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3. Inventarios\"/>
    </mc:Choice>
  </mc:AlternateContent>
  <xr:revisionPtr revIDLastSave="0" documentId="13_ncr:1_{596432EF-0979-49FB-A224-E3F8F3F3CF15}" xr6:coauthVersionLast="47" xr6:coauthVersionMax="47" xr10:uidLastSave="{00000000-0000-0000-0000-000000000000}"/>
  <bookViews>
    <workbookView xWindow="-110" yWindow="-110" windowWidth="19420" windowHeight="10300" xr2:uid="{0A9BA80B-9566-4FB2-AC5D-FDA41CBA1FDA}"/>
  </bookViews>
  <sheets>
    <sheet name="110.03" sheetId="1" r:id="rId1"/>
    <sheet name="Base de mayores" sheetId="6" r:id="rId2"/>
    <sheet name="Movimiento inventario" sheetId="5" state="hidden" r:id="rId3"/>
    <sheet name="Movimiento de la provisión" sheetId="4" state="hidden" r:id="rId4"/>
  </sheets>
  <definedNames>
    <definedName name="_xlnm._FilterDatabase" localSheetId="3" hidden="1">'Movimiento de la provisión'!$A$1:$Z$3</definedName>
    <definedName name="_xlnm._FilterDatabase" localSheetId="2" hidden="1">'Movimiento inventario'!$A$1:$Y$2373</definedName>
  </definedNames>
  <calcPr calcId="191029"/>
  <pivotCaches>
    <pivotCache cacheId="32" r:id="rId5"/>
    <pivotCache cacheId="3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4" i="1" l="1"/>
  <c r="D62" i="1" l="1"/>
  <c r="A2406" i="5" l="1"/>
  <c r="M49" i="1" l="1"/>
  <c r="D85" i="1" s="1"/>
  <c r="D86" i="1" s="1"/>
  <c r="L49" i="1"/>
  <c r="K49" i="1"/>
  <c r="D76" i="1" s="1"/>
  <c r="D77" i="1" s="1"/>
  <c r="J49" i="1"/>
  <c r="I49" i="1"/>
  <c r="H49" i="1"/>
  <c r="G49" i="1"/>
  <c r="D64" i="1" s="1"/>
  <c r="F49" i="1"/>
  <c r="E49" i="1"/>
  <c r="D49" i="1"/>
  <c r="D65" i="1" l="1"/>
  <c r="N49" i="1"/>
</calcChain>
</file>

<file path=xl/sharedStrings.xml><?xml version="1.0" encoding="utf-8"?>
<sst xmlns="http://schemas.openxmlformats.org/spreadsheetml/2006/main" count="21905" uniqueCount="4567">
  <si>
    <t>Preparado por:</t>
  </si>
  <si>
    <t>Revisado por:</t>
  </si>
  <si>
    <t>Objetivo:</t>
  </si>
  <si>
    <t>Suma de Neto</t>
  </si>
  <si>
    <t>Agrupación</t>
  </si>
  <si>
    <t>Cod</t>
  </si>
  <si>
    <t>Cuenta</t>
  </si>
  <si>
    <t>Adición</t>
  </si>
  <si>
    <t>(-) Provisión de inventarios por valor neto de realización</t>
  </si>
  <si>
    <t>Saldo Inicial</t>
  </si>
  <si>
    <t xml:space="preserve"> </t>
  </si>
  <si>
    <t>Fecha de contabilización</t>
  </si>
  <si>
    <t>Fecha de vencimiento</t>
  </si>
  <si>
    <t>Serie</t>
  </si>
  <si>
    <t>Nº documento</t>
  </si>
  <si>
    <t>Nº de transacción</t>
  </si>
  <si>
    <t>Comentarios</t>
  </si>
  <si>
    <t>Código de transacción</t>
  </si>
  <si>
    <t>Proyecto</t>
  </si>
  <si>
    <t>Cuenta de contrapartida</t>
  </si>
  <si>
    <t>Nombre de la cuenta de contrapartida</t>
  </si>
  <si>
    <t>Cargo/Abono (ML)</t>
  </si>
  <si>
    <t>Cargo (ML)</t>
  </si>
  <si>
    <t>Abono (ML)</t>
  </si>
  <si>
    <t>Neto</t>
  </si>
  <si>
    <t>Saldo acumulado (ML)</t>
  </si>
  <si>
    <t>Saldo vencido (ML)</t>
  </si>
  <si>
    <t>Autor</t>
  </si>
  <si>
    <t>Reconciliación externa</t>
  </si>
  <si>
    <t>Dimensión 1</t>
  </si>
  <si>
    <t>Nombre de proyecto</t>
  </si>
  <si>
    <t>Acuerdo global</t>
  </si>
  <si>
    <t>Nº sec.</t>
  </si>
  <si>
    <t>Descripción: (Cabecera)</t>
  </si>
  <si>
    <t>Inventario de prod. term. y mercad. en Bodega BULLSYPPLY  Quito</t>
  </si>
  <si>
    <t>Activos</t>
  </si>
  <si>
    <t>Primario</t>
  </si>
  <si>
    <t>Entrada de mercancías</t>
  </si>
  <si>
    <t>QUITO</t>
  </si>
  <si>
    <t>Costo por Revalorización de Inventario</t>
  </si>
  <si>
    <t>jcortiz</t>
  </si>
  <si>
    <t>QUITO-PICHINCHA</t>
  </si>
  <si>
    <t>FE001</t>
  </si>
  <si>
    <t>Traslados -</t>
  </si>
  <si>
    <t>Inventario de prod. term. y mercad. en Bodega BULLSYPPLY Coca</t>
  </si>
  <si>
    <t>Pedido de entrada de mercancías - PN1708725765001</t>
  </si>
  <si>
    <t>Facturas por Confirmar</t>
  </si>
  <si>
    <t>Entregas - CN1791263308001</t>
  </si>
  <si>
    <t>Costo de ventas Quito</t>
  </si>
  <si>
    <t>Entregas - CN1708725765001</t>
  </si>
  <si>
    <t>Entregas - CN1714787163001</t>
  </si>
  <si>
    <t>Entregas - CN1793080812001</t>
  </si>
  <si>
    <t>Pedido de entrada de mercancías - PN1791834399001</t>
  </si>
  <si>
    <t>Entregas - CN1715188270001</t>
  </si>
  <si>
    <t>Otros Ingresos</t>
  </si>
  <si>
    <t>Entregas - CN1791734920001</t>
  </si>
  <si>
    <t>Entregas - CN1102853817001</t>
  </si>
  <si>
    <t>Traslados - CN1792079160001</t>
  </si>
  <si>
    <t>Entregas - CN0400986691001</t>
  </si>
  <si>
    <t>Pedido de entrada de mercancías - PN1721795670001</t>
  </si>
  <si>
    <t>Anula</t>
  </si>
  <si>
    <t>Pedido de entrada de mercancías - Cancelación - PN</t>
  </si>
  <si>
    <t>Entregas - CN1791259505001</t>
  </si>
  <si>
    <t>Entregas - CN1790342867001</t>
  </si>
  <si>
    <t>Entregas - CN1710196104001</t>
  </si>
  <si>
    <t>Entregas - CN1716047186001</t>
  </si>
  <si>
    <t>Entregas - CN1792874939001</t>
  </si>
  <si>
    <t>Entregas - CN1725410037001</t>
  </si>
  <si>
    <t>Entregas - CN1801835495001</t>
  </si>
  <si>
    <t>gcali</t>
  </si>
  <si>
    <t>Entregas - CN1891800084001</t>
  </si>
  <si>
    <t>Entregas - CN1791403916001</t>
  </si>
  <si>
    <t>Entregas - CN1802461440001</t>
  </si>
  <si>
    <t>Pedido de entrada de mercancías - PN1790886824001</t>
  </si>
  <si>
    <t>Entregas - CN0590060933001</t>
  </si>
  <si>
    <t>Salida de mercancías</t>
  </si>
  <si>
    <t>Entregas - CN1791804619001</t>
  </si>
  <si>
    <t>Entregas - CN0101692655001</t>
  </si>
  <si>
    <t>Inventario de prod. term. y mercad. en Bodega muestras</t>
  </si>
  <si>
    <t>-222.71</t>
  </si>
  <si>
    <t>Pedido de entrada de mercancías - PN1711878445001</t>
  </si>
  <si>
    <t>-74.24</t>
  </si>
  <si>
    <t>Inventario de prod. term. y mercad. en Bodega importaciones</t>
  </si>
  <si>
    <t>Entregas - CN1790790967001</t>
  </si>
  <si>
    <t>Entregas - CN1793008054001</t>
  </si>
  <si>
    <t>Pedido de entrada de mercancías - PN0992124628001</t>
  </si>
  <si>
    <t>Entregas - CN1792368979001</t>
  </si>
  <si>
    <t>Entregas - CN1792010721001</t>
  </si>
  <si>
    <t>Entrega - Cancelación - CN1791263308001</t>
  </si>
  <si>
    <t>Pedido de entrada de mercancías - PN0103669644001</t>
  </si>
  <si>
    <t>Entrega - Cancelación - CN1792368979001</t>
  </si>
  <si>
    <t>Entregas - CN1792367107001</t>
  </si>
  <si>
    <t>Pedido de entrada de mercancías - PN1717177495001</t>
  </si>
  <si>
    <t>Entregas - CN1804437497001</t>
  </si>
  <si>
    <t>Entregas - CN1002297842001</t>
  </si>
  <si>
    <t>Entregas - CN1792055415001</t>
  </si>
  <si>
    <t>Entregas - CN1717226193001</t>
  </si>
  <si>
    <t>Entregas - CN1715369474001</t>
  </si>
  <si>
    <t>Entregas - CN1791239245001</t>
  </si>
  <si>
    <t>Entregas - CN1791749146001</t>
  </si>
  <si>
    <t>Pedido de entrada de mercancías - PN1792360250001</t>
  </si>
  <si>
    <t>Pedido de entrada de mercancías - PN1792520371001</t>
  </si>
  <si>
    <t>Entregas - CN1790801217001</t>
  </si>
  <si>
    <t>Pedido de entrada de mercancías - PN0990626014001</t>
  </si>
  <si>
    <t>Entregas - CN1717939720001</t>
  </si>
  <si>
    <t>Entregas - CN1792260787001</t>
  </si>
  <si>
    <t>ancueva</t>
  </si>
  <si>
    <t>Entregas - CN0501751374001</t>
  </si>
  <si>
    <t>Entregas - CN1790749509001</t>
  </si>
  <si>
    <t>Entregas - CN1801252170001</t>
  </si>
  <si>
    <t>-9.77</t>
  </si>
  <si>
    <t>-148.47</t>
  </si>
  <si>
    <t>Entregas - CN1768153530001</t>
  </si>
  <si>
    <t>-14.20</t>
  </si>
  <si>
    <t>Entregas - CN2290316882001</t>
  </si>
  <si>
    <t>Notas de crédito clientes - CN1792368979001</t>
  </si>
  <si>
    <t>CN1792368979001</t>
  </si>
  <si>
    <t>INGENIERIA, PROCURA, SERVICIOS Y CONSTRUCCION ENERGETICAS IPSCE S.A.</t>
  </si>
  <si>
    <t>Pedido de entrada de mercancías - PN0913319455001</t>
  </si>
  <si>
    <t>Pedido de entrada de mercancías - PN1802461440001</t>
  </si>
  <si>
    <t>Entrega - Cancelación - CN1102853817001</t>
  </si>
  <si>
    <t>448.00</t>
  </si>
  <si>
    <t>NCPQ</t>
  </si>
  <si>
    <t>Entregas - CN1791834399001</t>
  </si>
  <si>
    <t>-448.00</t>
  </si>
  <si>
    <t>7.00</t>
  </si>
  <si>
    <t>-33.02</t>
  </si>
  <si>
    <t>-130.37</t>
  </si>
  <si>
    <t>Inventario de prod. term. y mercad. en Bodega de materiales defectuosos</t>
  </si>
  <si>
    <t>Entregas - CN1720066859001</t>
  </si>
  <si>
    <t>Notas de crédito clientes - CN1791734920001</t>
  </si>
  <si>
    <t>CN1791734920001</t>
  </si>
  <si>
    <t>SEDEMI SERVICIOS DE MECANICA INDUSTRIAL DISENO CONSTRUCCION Y MONTAJE S.C.C</t>
  </si>
  <si>
    <t>Entregas - CN1716511926001</t>
  </si>
  <si>
    <t>Pedido de entrada de mercancías - PN1792628431001</t>
  </si>
  <si>
    <t>Entregas - CN1792067111001</t>
  </si>
  <si>
    <t>-411.40</t>
  </si>
  <si>
    <t>atayupa</t>
  </si>
  <si>
    <t>15.00</t>
  </si>
  <si>
    <t>Entregas - CN1722882634001</t>
  </si>
  <si>
    <t>Entregas - CN1711878445001</t>
  </si>
  <si>
    <t>Entregas - CN1791847776001</t>
  </si>
  <si>
    <t>-15.00</t>
  </si>
  <si>
    <t>-14.12</t>
  </si>
  <si>
    <t>-26.63</t>
  </si>
  <si>
    <t>-37.60</t>
  </si>
  <si>
    <t>Entregas - CN0501974331001</t>
  </si>
  <si>
    <t>5.00</t>
  </si>
  <si>
    <t>-5.00</t>
  </si>
  <si>
    <t>-7.26</t>
  </si>
  <si>
    <t>Entregas - CN1703862985001</t>
  </si>
  <si>
    <t>Entregas - CN1792198747001</t>
  </si>
  <si>
    <t>-27.50</t>
  </si>
  <si>
    <t>Pedido de entrada de mercancías - PN0992860499001</t>
  </si>
  <si>
    <t>Pedido de entrada de mercancías - PN1390060757001</t>
  </si>
  <si>
    <t>Entregas - CN1792358345001</t>
  </si>
  <si>
    <t>Pedido de entrada de mercancías - PN0990281866001</t>
  </si>
  <si>
    <t>-40.99</t>
  </si>
  <si>
    <t>Entregas - CN1793121225001</t>
  </si>
  <si>
    <t>Entregas - CN1715512180001</t>
  </si>
  <si>
    <t>20.00</t>
  </si>
  <si>
    <t>-20.00</t>
  </si>
  <si>
    <t>Entregas - CN1792371694001</t>
  </si>
  <si>
    <t>Entrega - Cancelación - CN1792371694001</t>
  </si>
  <si>
    <t>-49.39</t>
  </si>
  <si>
    <t>Entregas - CN1792903890001</t>
  </si>
  <si>
    <t>-23.89</t>
  </si>
  <si>
    <t>-17.76</t>
  </si>
  <si>
    <t>Entregas - CN1791338243001</t>
  </si>
  <si>
    <t>2.00</t>
  </si>
  <si>
    <t>-2.00</t>
  </si>
  <si>
    <t>Entregas - CN0401777131001</t>
  </si>
  <si>
    <t>-29.75</t>
  </si>
  <si>
    <t>-10.50</t>
  </si>
  <si>
    <t>Entregas - CN1792417910001</t>
  </si>
  <si>
    <t>Entregas - CN1003380936001</t>
  </si>
  <si>
    <t>Entregas - CN1791265416001</t>
  </si>
  <si>
    <t>-12.27</t>
  </si>
  <si>
    <t>Entregas - CN1705637997001</t>
  </si>
  <si>
    <t>Notas de crédito clientes - CN1791263308001</t>
  </si>
  <si>
    <t>CN1791263308001</t>
  </si>
  <si>
    <t>SERTECPET S.A.</t>
  </si>
  <si>
    <t>Entregas - CN1708294978001</t>
  </si>
  <si>
    <t>-11.72</t>
  </si>
  <si>
    <t>Entregas - CN1714577937001</t>
  </si>
  <si>
    <t>Entregas - CN1725670986001</t>
  </si>
  <si>
    <t>54.28</t>
  </si>
  <si>
    <t>Entregas - CN1793070272001</t>
  </si>
  <si>
    <t>-7.65</t>
  </si>
  <si>
    <t>-13.80</t>
  </si>
  <si>
    <t>Devoluciones - CN1791263308001</t>
  </si>
  <si>
    <t>-7.69</t>
  </si>
  <si>
    <t>Entregas - CN1715848477001</t>
  </si>
  <si>
    <t>Entregas - CN1791051955001</t>
  </si>
  <si>
    <t>Costo de Ventas Coca</t>
  </si>
  <si>
    <t>4160.00</t>
  </si>
  <si>
    <t>-15.09</t>
  </si>
  <si>
    <t>-42.04</t>
  </si>
  <si>
    <t>Notas de crédito clientes - CN1714787163001</t>
  </si>
  <si>
    <t>CN1714787163001</t>
  </si>
  <si>
    <t>GUERRERO ROSERO SEGUNDO MARIO</t>
  </si>
  <si>
    <t>-220.26</t>
  </si>
  <si>
    <t>ptipant</t>
  </si>
  <si>
    <t>ASIENTOS</t>
  </si>
  <si>
    <t>-68.22</t>
  </si>
  <si>
    <t>Entregas - CN1792073898001</t>
  </si>
  <si>
    <t>Entrega - Cancelación - CN1793121225001</t>
  </si>
  <si>
    <t>Entregas - CN1713037586001</t>
  </si>
  <si>
    <t>Entregas - CN1792464781001</t>
  </si>
  <si>
    <t>Pedido de entrada de mercancías - PN1792055415001</t>
  </si>
  <si>
    <t>Entrega - Cancelación - CN0590060933001</t>
  </si>
  <si>
    <t>94.86</t>
  </si>
  <si>
    <t>Entregas - CN1792876745001</t>
  </si>
  <si>
    <t>Devolución de mercancías - PN1791834399001</t>
  </si>
  <si>
    <t>-525.51</t>
  </si>
  <si>
    <t>Notas de crédito clientes - CN1792874939001</t>
  </si>
  <si>
    <t>CN1792874939001</t>
  </si>
  <si>
    <t>IMPORTADORA JUAN CEVALLOS IJC S.A.</t>
  </si>
  <si>
    <t>-38.44</t>
  </si>
  <si>
    <t>Entregas - CN1792014980001</t>
  </si>
  <si>
    <t>91.80</t>
  </si>
  <si>
    <t>-91.80</t>
  </si>
  <si>
    <t>Entregas - CN1792464161001</t>
  </si>
  <si>
    <t>-36.65</t>
  </si>
  <si>
    <t>-106.91</t>
  </si>
  <si>
    <t>-46.75</t>
  </si>
  <si>
    <t>Entrega - Cancelación - CN1791847776001</t>
  </si>
  <si>
    <t>-133.19</t>
  </si>
  <si>
    <t>-15.81</t>
  </si>
  <si>
    <t>-48.18</t>
  </si>
  <si>
    <t>Entregas - CN0992860499001</t>
  </si>
  <si>
    <t>Pedido de entrada de mercancías - PN1791769937001</t>
  </si>
  <si>
    <t>18.00</t>
  </si>
  <si>
    <t>-18.00</t>
  </si>
  <si>
    <t>-134.69</t>
  </si>
  <si>
    <t>-40.00</t>
  </si>
  <si>
    <t>-453.18</t>
  </si>
  <si>
    <t>Entregas - CN1792087627001</t>
  </si>
  <si>
    <t>-139.93</t>
  </si>
  <si>
    <t>Entregas - CN1792324688001</t>
  </si>
  <si>
    <t>COCA</t>
  </si>
  <si>
    <t>COCA-ORELLANA</t>
  </si>
  <si>
    <t>-51.37</t>
  </si>
  <si>
    <t>-22.17</t>
  </si>
  <si>
    <t>-1.90</t>
  </si>
  <si>
    <t>Entregas - CN1791768825001</t>
  </si>
  <si>
    <t>46.75</t>
  </si>
  <si>
    <t>Entregas - CN9999999999</t>
  </si>
  <si>
    <t>Entrega - Cancelación - CN1791259505001</t>
  </si>
  <si>
    <t>Entregas - CN1792360250001</t>
  </si>
  <si>
    <t>11.00</t>
  </si>
  <si>
    <t>Notas de crédito clientes - CN0101692655001</t>
  </si>
  <si>
    <t>CN0101692655001</t>
  </si>
  <si>
    <t>GALAN RODRIGUEZ VICENTE TEODORO</t>
  </si>
  <si>
    <t>-378.70</t>
  </si>
  <si>
    <t>-24.90</t>
  </si>
  <si>
    <t>-28.90</t>
  </si>
  <si>
    <t>PE0000000019</t>
  </si>
  <si>
    <t>METALFAR PRODOTTI INDUSTRIALI S.p.A.</t>
  </si>
  <si>
    <t>Pedido de entrada de mercancías - PN1708215940001</t>
  </si>
  <si>
    <t>-47.56</t>
  </si>
  <si>
    <t>Entregas - CN1792322537001</t>
  </si>
  <si>
    <t>-32.26</t>
  </si>
  <si>
    <t>-9.06</t>
  </si>
  <si>
    <t>-252.62</t>
  </si>
  <si>
    <t>Entrega - Cancelación - CN1791265416001</t>
  </si>
  <si>
    <t>Entregas - CN1792013585001</t>
  </si>
  <si>
    <t>65.00</t>
  </si>
  <si>
    <t>Entrega - Cancelación - CN1791749146001</t>
  </si>
  <si>
    <t>-123.19</t>
  </si>
  <si>
    <t>56.00</t>
  </si>
  <si>
    <t>-56.00</t>
  </si>
  <si>
    <t>-33.76</t>
  </si>
  <si>
    <t>pquishpe</t>
  </si>
  <si>
    <t>-51.50</t>
  </si>
  <si>
    <t>-21.34</t>
  </si>
  <si>
    <t>-42.24</t>
  </si>
  <si>
    <t>10.72</t>
  </si>
  <si>
    <t>Entregas - CN1792532469001</t>
  </si>
  <si>
    <t>Entregas - CN1792226864001</t>
  </si>
  <si>
    <t>-17.42</t>
  </si>
  <si>
    <t>Entrega - Cancelación - CN1708725765001</t>
  </si>
  <si>
    <t>Entregas - CN1707925168001</t>
  </si>
  <si>
    <t>-6.08</t>
  </si>
  <si>
    <t>Pedido de entrada de mercancías - PN0990607699001</t>
  </si>
  <si>
    <t>Entregas - CN1792369428001</t>
  </si>
  <si>
    <t>-144.00</t>
  </si>
  <si>
    <t>49.60</t>
  </si>
  <si>
    <t>31.71</t>
  </si>
  <si>
    <t>Inventario de prod. term. y mercad. en Bodega a consignación</t>
  </si>
  <si>
    <t>-122.81</t>
  </si>
  <si>
    <t>122.81</t>
  </si>
  <si>
    <t>-28.38</t>
  </si>
  <si>
    <t>-74.67</t>
  </si>
  <si>
    <t>-389.15</t>
  </si>
  <si>
    <t>408.00</t>
  </si>
  <si>
    <t>Pedido de entrada de mercancías - PN1102853817001</t>
  </si>
  <si>
    <t>Entregas - CN1793194217001</t>
  </si>
  <si>
    <t>-49.60</t>
  </si>
  <si>
    <t>Entregas - CN1720516440001</t>
  </si>
  <si>
    <t>-25.83</t>
  </si>
  <si>
    <t>1425.00</t>
  </si>
  <si>
    <t>Entregas - CN1792970717001</t>
  </si>
  <si>
    <t>41.60</t>
  </si>
  <si>
    <t>-33.60</t>
  </si>
  <si>
    <t>Notas de crédito clientes - CN1793121225001</t>
  </si>
  <si>
    <t>CN1793121225001</t>
  </si>
  <si>
    <t>COMERCIALIZACION Y SERVICIOS IPSCE S.C.C.</t>
  </si>
  <si>
    <t>Notas de crédito clientes - CN1791847776001</t>
  </si>
  <si>
    <t>CN1791847776001</t>
  </si>
  <si>
    <t>PROYECTOS INTEGRALES DEL ECUADOR PIL S.A</t>
  </si>
  <si>
    <t>-5.86</t>
  </si>
  <si>
    <t>-241.78</t>
  </si>
  <si>
    <t>-39.76</t>
  </si>
  <si>
    <t>Notas de crédito clientes - CN1791051955001</t>
  </si>
  <si>
    <t>CN1791051955001</t>
  </si>
  <si>
    <t>BEITE B&amp;T CIA. LTDA</t>
  </si>
  <si>
    <t>-23.88</t>
  </si>
  <si>
    <t>13.80</t>
  </si>
  <si>
    <t>Notas de crédito clientes - CN0590060933001</t>
  </si>
  <si>
    <t>CN0590060933001</t>
  </si>
  <si>
    <t>INDUACERO INDUSTRIA DE ACERO DEL ECUADOR CIA. LTDA.</t>
  </si>
  <si>
    <t>-45.16</t>
  </si>
  <si>
    <t>Entregas - CN1791774345001</t>
  </si>
  <si>
    <t>Pedido de entrada de mercancías - PN0992697571001</t>
  </si>
  <si>
    <t>18.64</t>
  </si>
  <si>
    <t>-48.42</t>
  </si>
  <si>
    <t>Entregas - CN1718452558001</t>
  </si>
  <si>
    <t>-185.58</t>
  </si>
  <si>
    <t>-31.50</t>
  </si>
  <si>
    <t>-2.21</t>
  </si>
  <si>
    <t>Entrega - Cancelación - CN1792874939001</t>
  </si>
  <si>
    <t>493.20</t>
  </si>
  <si>
    <t>-493.20</t>
  </si>
  <si>
    <t>-6.44</t>
  </si>
  <si>
    <t>-25.92</t>
  </si>
  <si>
    <t>102.00</t>
  </si>
  <si>
    <t>-102.00</t>
  </si>
  <si>
    <t>-26.51</t>
  </si>
  <si>
    <t>-26.50</t>
  </si>
  <si>
    <t>-31.71</t>
  </si>
  <si>
    <t>Entregas - CN2100329800001</t>
  </si>
  <si>
    <t>11.60</t>
  </si>
  <si>
    <t>-71.52</t>
  </si>
  <si>
    <t>-45.77</t>
  </si>
  <si>
    <t>-16.42</t>
  </si>
  <si>
    <t>Entregas - CN2101187900001</t>
  </si>
  <si>
    <t>-19.85</t>
  </si>
  <si>
    <t>-100.56</t>
  </si>
  <si>
    <t>Entrega - Cancelación - CN1792055415001</t>
  </si>
  <si>
    <t>-63.31</t>
  </si>
  <si>
    <t>-663.98</t>
  </si>
  <si>
    <t>-10.68</t>
  </si>
  <si>
    <t>-10.54</t>
  </si>
  <si>
    <t>-37.26</t>
  </si>
  <si>
    <t>234.70</t>
  </si>
  <si>
    <t>-39.81</t>
  </si>
  <si>
    <t>NE 100015206</t>
  </si>
  <si>
    <t>EP 6262</t>
  </si>
  <si>
    <t>IM 100003279</t>
  </si>
  <si>
    <t>NE 100015207</t>
  </si>
  <si>
    <t>-565.40</t>
  </si>
  <si>
    <t>NE 100015210</t>
  </si>
  <si>
    <t>Entregas - CN1791765362001</t>
  </si>
  <si>
    <t>NE 100015211</t>
  </si>
  <si>
    <t>-67.18</t>
  </si>
  <si>
    <t>NE 100015212</t>
  </si>
  <si>
    <t>NE 100015214</t>
  </si>
  <si>
    <t>Entregas - CN0502603228001</t>
  </si>
  <si>
    <t>-341.03</t>
  </si>
  <si>
    <t>NE 100015215</t>
  </si>
  <si>
    <t>-167.15</t>
  </si>
  <si>
    <t>NE 100015216</t>
  </si>
  <si>
    <t>-408.52</t>
  </si>
  <si>
    <t>EP 6263</t>
  </si>
  <si>
    <t>132.06</t>
  </si>
  <si>
    <t>EP 6264</t>
  </si>
  <si>
    <t>6.12</t>
  </si>
  <si>
    <t>NE 100015217</t>
  </si>
  <si>
    <t>-132.06</t>
  </si>
  <si>
    <t>IM 100003280</t>
  </si>
  <si>
    <t>-246.57</t>
  </si>
  <si>
    <t>RC 100000657</t>
  </si>
  <si>
    <t>294.80</t>
  </si>
  <si>
    <t>RC 100000658</t>
  </si>
  <si>
    <t>188.70</t>
  </si>
  <si>
    <t>RC 100000659</t>
  </si>
  <si>
    <t>332.16</t>
  </si>
  <si>
    <t>NE 100015219</t>
  </si>
  <si>
    <t>-426.09</t>
  </si>
  <si>
    <t>NE 100015220</t>
  </si>
  <si>
    <t>-46.76</t>
  </si>
  <si>
    <t>NE 100015221</t>
  </si>
  <si>
    <t>-144.61</t>
  </si>
  <si>
    <t>NE 100015222</t>
  </si>
  <si>
    <t>NE 100015223</t>
  </si>
  <si>
    <t>-14.49</t>
  </si>
  <si>
    <t>NE 100015224</t>
  </si>
  <si>
    <t>IM 100003281</t>
  </si>
  <si>
    <t>EP 6265</t>
  </si>
  <si>
    <t>73.10</t>
  </si>
  <si>
    <t>EP 6266</t>
  </si>
  <si>
    <t>263.20</t>
  </si>
  <si>
    <t>NE 100015225</t>
  </si>
  <si>
    <t>-458.80</t>
  </si>
  <si>
    <t>NE 100015226</t>
  </si>
  <si>
    <t>SM 557</t>
  </si>
  <si>
    <t>-337.61</t>
  </si>
  <si>
    <t>NE 100015227</t>
  </si>
  <si>
    <t>-19.58</t>
  </si>
  <si>
    <t>SM 558</t>
  </si>
  <si>
    <t>-85.94</t>
  </si>
  <si>
    <t>EM 1705</t>
  </si>
  <si>
    <t>369.63</t>
  </si>
  <si>
    <t>IM 100003282</t>
  </si>
  <si>
    <t>-781.03</t>
  </si>
  <si>
    <t>IM 100003283</t>
  </si>
  <si>
    <t>144.96</t>
  </si>
  <si>
    <t>IM 100003284</t>
  </si>
  <si>
    <t>-234.70</t>
  </si>
  <si>
    <t>NE 100015229</t>
  </si>
  <si>
    <t>-1108.46</t>
  </si>
  <si>
    <t>IM 100003285</t>
  </si>
  <si>
    <t>-7922.10</t>
  </si>
  <si>
    <t>1958.13</t>
  </si>
  <si>
    <t>NE 100015231</t>
  </si>
  <si>
    <t>-62.21</t>
  </si>
  <si>
    <t>NE 100015234</t>
  </si>
  <si>
    <t>EP 6267</t>
  </si>
  <si>
    <t>145.51</t>
  </si>
  <si>
    <t>EP 6268</t>
  </si>
  <si>
    <t>173.06</t>
  </si>
  <si>
    <t>NE 100015235</t>
  </si>
  <si>
    <t>-189.80</t>
  </si>
  <si>
    <t>NE 100015236</t>
  </si>
  <si>
    <t>-172.55</t>
  </si>
  <si>
    <t>IM 100003286</t>
  </si>
  <si>
    <t>1548.09</t>
  </si>
  <si>
    <t>EP 6269</t>
  </si>
  <si>
    <t>636.80</t>
  </si>
  <si>
    <t>IM 100003287</t>
  </si>
  <si>
    <t>-815.40</t>
  </si>
  <si>
    <t>EP 6270</t>
  </si>
  <si>
    <t>2779.06</t>
  </si>
  <si>
    <t>EP 6271</t>
  </si>
  <si>
    <t>3555.90</t>
  </si>
  <si>
    <t>IM 100003288</t>
  </si>
  <si>
    <t>-3415.86</t>
  </si>
  <si>
    <t>IM 100003289</t>
  </si>
  <si>
    <t>89.90</t>
  </si>
  <si>
    <t>-32.54</t>
  </si>
  <si>
    <t>IM 100003290</t>
  </si>
  <si>
    <t>-89.90</t>
  </si>
  <si>
    <t>32.54</t>
  </si>
  <si>
    <t>NE 100015237</t>
  </si>
  <si>
    <t>-1099.26</t>
  </si>
  <si>
    <t>NE 100015238</t>
  </si>
  <si>
    <t>1099.26</t>
  </si>
  <si>
    <t>NE 100015239</t>
  </si>
  <si>
    <t>IM 100003291</t>
  </si>
  <si>
    <t>-100.32</t>
  </si>
  <si>
    <t>7.69</t>
  </si>
  <si>
    <t>NE 100015240</t>
  </si>
  <si>
    <t>-1363.87</t>
  </si>
  <si>
    <t>NE 100015241</t>
  </si>
  <si>
    <t>-139.26</t>
  </si>
  <si>
    <t>NE 100015242</t>
  </si>
  <si>
    <t>-719.58</t>
  </si>
  <si>
    <t>NE 100015243</t>
  </si>
  <si>
    <t>-988.62</t>
  </si>
  <si>
    <t>EP 6272</t>
  </si>
  <si>
    <t>61.50</t>
  </si>
  <si>
    <t>EP 6273</t>
  </si>
  <si>
    <t>114.65</t>
  </si>
  <si>
    <t>EP 6274</t>
  </si>
  <si>
    <t>486.77</t>
  </si>
  <si>
    <t>NE 100015244</t>
  </si>
  <si>
    <t>-548.27</t>
  </si>
  <si>
    <t>NE 100015245</t>
  </si>
  <si>
    <t>-114.65</t>
  </si>
  <si>
    <t>RC 100000660</t>
  </si>
  <si>
    <t>174.75</t>
  </si>
  <si>
    <t>RC 100000661</t>
  </si>
  <si>
    <t>Notas de crédito clientes - CN1792369428001</t>
  </si>
  <si>
    <t>CN1792369428001</t>
  </si>
  <si>
    <t>SCHLUMBERGER DEL ECUADOR S.A</t>
  </si>
  <si>
    <t>1233.12</t>
  </si>
  <si>
    <t>RC 100000662</t>
  </si>
  <si>
    <t>Notas de crédito clientes - CN1790004724001</t>
  </si>
  <si>
    <t>CN1790004724001</t>
  </si>
  <si>
    <t>ACERIA DEL ECUADOR CA ADELCA.</t>
  </si>
  <si>
    <t>NE 100015246</t>
  </si>
  <si>
    <t>NE 100015247</t>
  </si>
  <si>
    <t>-554.59</t>
  </si>
  <si>
    <t>NE 100015248</t>
  </si>
  <si>
    <t>-694.60</t>
  </si>
  <si>
    <t>NE 100015249</t>
  </si>
  <si>
    <t>-4536.63</t>
  </si>
  <si>
    <t>EP 6275</t>
  </si>
  <si>
    <t>35.36</t>
  </si>
  <si>
    <t>IM 100003292</t>
  </si>
  <si>
    <t>-451.12</t>
  </si>
  <si>
    <t>NE 100015251</t>
  </si>
  <si>
    <t>-2766.66</t>
  </si>
  <si>
    <t>EP 6276</t>
  </si>
  <si>
    <t>6067.00</t>
  </si>
  <si>
    <t>NE 100015252</t>
  </si>
  <si>
    <t>-6067.00</t>
  </si>
  <si>
    <t>NE 100015253</t>
  </si>
  <si>
    <t>-250.70</t>
  </si>
  <si>
    <t>NE 100015255</t>
  </si>
  <si>
    <t>NE 100015256</t>
  </si>
  <si>
    <t>-158.00</t>
  </si>
  <si>
    <t>DM 48</t>
  </si>
  <si>
    <t>-1900.00</t>
  </si>
  <si>
    <t>IM 100003293</t>
  </si>
  <si>
    <t>-73.10</t>
  </si>
  <si>
    <t>IM 100003294</t>
  </si>
  <si>
    <t>291.27</t>
  </si>
  <si>
    <t>EP 200432</t>
  </si>
  <si>
    <t>-35.36</t>
  </si>
  <si>
    <t>IM 100003295</t>
  </si>
  <si>
    <t>EP 6277</t>
  </si>
  <si>
    <t>34.96</t>
  </si>
  <si>
    <t>IM 100003296</t>
  </si>
  <si>
    <t>-34.96</t>
  </si>
  <si>
    <t>EP 6278</t>
  </si>
  <si>
    <t>92.60</t>
  </si>
  <si>
    <t>NE 100015258</t>
  </si>
  <si>
    <t>-92.60</t>
  </si>
  <si>
    <t>EP 6279</t>
  </si>
  <si>
    <t>291.46</t>
  </si>
  <si>
    <t>EP 6280</t>
  </si>
  <si>
    <t>298.94</t>
  </si>
  <si>
    <t>EP 6281</t>
  </si>
  <si>
    <t>26.77</t>
  </si>
  <si>
    <t>EP 6282</t>
  </si>
  <si>
    <t>10.23</t>
  </si>
  <si>
    <t>NE 100015260</t>
  </si>
  <si>
    <t>NE 100015261</t>
  </si>
  <si>
    <t>NE 100015262</t>
  </si>
  <si>
    <t>-224.48</t>
  </si>
  <si>
    <t>IM 100003298</t>
  </si>
  <si>
    <t>NE 100015265</t>
  </si>
  <si>
    <t>-55.43</t>
  </si>
  <si>
    <t>NE 100015267</t>
  </si>
  <si>
    <t>-384.22</t>
  </si>
  <si>
    <t>NE 100015268</t>
  </si>
  <si>
    <t>-26.77</t>
  </si>
  <si>
    <t>IM 100003299</t>
  </si>
  <si>
    <t>-4844.82</t>
  </si>
  <si>
    <t>EP 6283</t>
  </si>
  <si>
    <t>3358.82</t>
  </si>
  <si>
    <t>IM 100003300</t>
  </si>
  <si>
    <t>-3411.35</t>
  </si>
  <si>
    <t>NE 100015269</t>
  </si>
  <si>
    <t>-599.76</t>
  </si>
  <si>
    <t>NE 100015270</t>
  </si>
  <si>
    <t>-1695.91</t>
  </si>
  <si>
    <t>IM 100003301</t>
  </si>
  <si>
    <t>-157.44</t>
  </si>
  <si>
    <t>IM 100003302</t>
  </si>
  <si>
    <t>4235.28</t>
  </si>
  <si>
    <t>EP 6284</t>
  </si>
  <si>
    <t>136.50</t>
  </si>
  <si>
    <t>NE 100015271</t>
  </si>
  <si>
    <t>-136.50</t>
  </si>
  <si>
    <t>NE 100015272</t>
  </si>
  <si>
    <t>-303.95</t>
  </si>
  <si>
    <t>NE 100015273</t>
  </si>
  <si>
    <t>-4245.34</t>
  </si>
  <si>
    <t>DV 227</t>
  </si>
  <si>
    <t>Devoluciones - CN1792876745001</t>
  </si>
  <si>
    <t>137.47</t>
  </si>
  <si>
    <t>DV 228</t>
  </si>
  <si>
    <t>285.76</t>
  </si>
  <si>
    <t>EP 6285</t>
  </si>
  <si>
    <t>41.16</t>
  </si>
  <si>
    <t>NE 100015275</t>
  </si>
  <si>
    <t>-19.61</t>
  </si>
  <si>
    <t>NE 100015276</t>
  </si>
  <si>
    <t>-7.67</t>
  </si>
  <si>
    <t>EP 6286</t>
  </si>
  <si>
    <t>1786.31</t>
  </si>
  <si>
    <t>NE 100015277</t>
  </si>
  <si>
    <t>-1857.11</t>
  </si>
  <si>
    <t>EP 6287</t>
  </si>
  <si>
    <t>1433.20</t>
  </si>
  <si>
    <t>EM 1706</t>
  </si>
  <si>
    <t>7.92</t>
  </si>
  <si>
    <t>NE 100015279</t>
  </si>
  <si>
    <t>-7.92</t>
  </si>
  <si>
    <t>NE 100015282</t>
  </si>
  <si>
    <t>303.95</t>
  </si>
  <si>
    <t>NE 100015281</t>
  </si>
  <si>
    <t>-342.62</t>
  </si>
  <si>
    <t>NE 100015283</t>
  </si>
  <si>
    <t>-17.38</t>
  </si>
  <si>
    <t>IM 100003304</t>
  </si>
  <si>
    <t>3136.94</t>
  </si>
  <si>
    <t>IM 100003305</t>
  </si>
  <si>
    <t>12321.52</t>
  </si>
  <si>
    <t>NE 100015284</t>
  </si>
  <si>
    <t>-12321.52</t>
  </si>
  <si>
    <t>SM 559</t>
  </si>
  <si>
    <t>AJUSTE DE IMPORTACION 394</t>
  </si>
  <si>
    <t>-277.99</t>
  </si>
  <si>
    <t>NE 100015285</t>
  </si>
  <si>
    <t>-249.18</t>
  </si>
  <si>
    <t>NE 100015286</t>
  </si>
  <si>
    <t>-1433.20</t>
  </si>
  <si>
    <t>IM 100003306</t>
  </si>
  <si>
    <t>4487.71</t>
  </si>
  <si>
    <t>-486.92</t>
  </si>
  <si>
    <t>NE 100015290</t>
  </si>
  <si>
    <t>-33.25</t>
  </si>
  <si>
    <t>NE 100015293</t>
  </si>
  <si>
    <t>-24.49</t>
  </si>
  <si>
    <t>DV 229</t>
  </si>
  <si>
    <t>Devoluciones - CN1792464161001</t>
  </si>
  <si>
    <t>EP 6291</t>
  </si>
  <si>
    <t>520.90</t>
  </si>
  <si>
    <t>NE 100015294</t>
  </si>
  <si>
    <t>Entregas - CN1716004005001</t>
  </si>
  <si>
    <t>-654.98</t>
  </si>
  <si>
    <t>NE 100015298</t>
  </si>
  <si>
    <t>Entrega - Cancelación - CN1716004005001</t>
  </si>
  <si>
    <t>654.98</t>
  </si>
  <si>
    <t>EP 200433</t>
  </si>
  <si>
    <t>-520.90</t>
  </si>
  <si>
    <t>NE 100015300</t>
  </si>
  <si>
    <t>-22.35</t>
  </si>
  <si>
    <t>NE 100015301</t>
  </si>
  <si>
    <t>-79.44</t>
  </si>
  <si>
    <t>EP 6292</t>
  </si>
  <si>
    <t>319.10</t>
  </si>
  <si>
    <t>NE 100015302</t>
  </si>
  <si>
    <t>IM 100003307</t>
  </si>
  <si>
    <t>100809.27</t>
  </si>
  <si>
    <t>NE 100015304</t>
  </si>
  <si>
    <t>-89.49</t>
  </si>
  <si>
    <t>IM 100003308</t>
  </si>
  <si>
    <t>-139240.00</t>
  </si>
  <si>
    <t>IM 100003309</t>
  </si>
  <si>
    <t>139233.51</t>
  </si>
  <si>
    <t>IM 100003310</t>
  </si>
  <si>
    <t>251.68</t>
  </si>
  <si>
    <t>IM 100003311</t>
  </si>
  <si>
    <t>-251.68</t>
  </si>
  <si>
    <t>EP 6293</t>
  </si>
  <si>
    <t>774.54</t>
  </si>
  <si>
    <t>IM 100003312</t>
  </si>
  <si>
    <t>-774.54</t>
  </si>
  <si>
    <t>NE 100015306</t>
  </si>
  <si>
    <t>IM 100003313</t>
  </si>
  <si>
    <t>IM 100003314</t>
  </si>
  <si>
    <t>-1452.63</t>
  </si>
  <si>
    <t>NE 100015307</t>
  </si>
  <si>
    <t>NE 100015309</t>
  </si>
  <si>
    <t>NE 100015310</t>
  </si>
  <si>
    <t>NE 100015311</t>
  </si>
  <si>
    <t>-658.35</t>
  </si>
  <si>
    <t>NE 100015312</t>
  </si>
  <si>
    <t>-53.77</t>
  </si>
  <si>
    <t>NE 100015313</t>
  </si>
  <si>
    <t>-31.43</t>
  </si>
  <si>
    <t>EP 6295</t>
  </si>
  <si>
    <t>264.25</t>
  </si>
  <si>
    <t>IM 100003315</t>
  </si>
  <si>
    <t>-264.25</t>
  </si>
  <si>
    <t>EP 6296</t>
  </si>
  <si>
    <t>389.76</t>
  </si>
  <si>
    <t>EP 6297</t>
  </si>
  <si>
    <t>2222.40</t>
  </si>
  <si>
    <t>IM 100003316</t>
  </si>
  <si>
    <t>399.56</t>
  </si>
  <si>
    <t>IM 100003317</t>
  </si>
  <si>
    <t>NE 100015315</t>
  </si>
  <si>
    <t>-2861.84</t>
  </si>
  <si>
    <t>NE 100015316</t>
  </si>
  <si>
    <t>-73.91</t>
  </si>
  <si>
    <t>IM 100003318</t>
  </si>
  <si>
    <t>146896.03</t>
  </si>
  <si>
    <t>IM 100003319</t>
  </si>
  <si>
    <t>-146896.03</t>
  </si>
  <si>
    <t>IM 100003320</t>
  </si>
  <si>
    <t>IM 100003321</t>
  </si>
  <si>
    <t>NE 100015317</t>
  </si>
  <si>
    <t>-85.11</t>
  </si>
  <si>
    <t>NE 100015318</t>
  </si>
  <si>
    <t>73.91</t>
  </si>
  <si>
    <t>NE 100015319</t>
  </si>
  <si>
    <t>-136.15</t>
  </si>
  <si>
    <t>NE 100015320</t>
  </si>
  <si>
    <t>-11.28</t>
  </si>
  <si>
    <t>NE 100015321</t>
  </si>
  <si>
    <t>-47.76</t>
  </si>
  <si>
    <t>NE 100015322</t>
  </si>
  <si>
    <t>NE 100015323</t>
  </si>
  <si>
    <t>-20.07</t>
  </si>
  <si>
    <t>NE 100015325</t>
  </si>
  <si>
    <t>-76.60</t>
  </si>
  <si>
    <t>NE 100015326</t>
  </si>
  <si>
    <t>-50.24</t>
  </si>
  <si>
    <t>NE 100015328</t>
  </si>
  <si>
    <t>-1996.34</t>
  </si>
  <si>
    <t>NE 100015329</t>
  </si>
  <si>
    <t>-9.56</t>
  </si>
  <si>
    <t>NE 100015330</t>
  </si>
  <si>
    <t>-49.54</t>
  </si>
  <si>
    <t>NE 100015331</t>
  </si>
  <si>
    <t>-54.32</t>
  </si>
  <si>
    <t>IM 100003322</t>
  </si>
  <si>
    <t>-3640.00</t>
  </si>
  <si>
    <t>NE 100015334</t>
  </si>
  <si>
    <t>-248.19</t>
  </si>
  <si>
    <t>NE 100015335</t>
  </si>
  <si>
    <t>EP 6298</t>
  </si>
  <si>
    <t>2560.00</t>
  </si>
  <si>
    <t>IM 100003323</t>
  </si>
  <si>
    <t>-57178.87</t>
  </si>
  <si>
    <t>NE 100015339</t>
  </si>
  <si>
    <t>-2560.00</t>
  </si>
  <si>
    <t>EP 6299</t>
  </si>
  <si>
    <t>61.11</t>
  </si>
  <si>
    <t>EP 6300</t>
  </si>
  <si>
    <t>805.80</t>
  </si>
  <si>
    <t>EP 6301</t>
  </si>
  <si>
    <t>25.33</t>
  </si>
  <si>
    <t>NE 100015340</t>
  </si>
  <si>
    <t>-61.11</t>
  </si>
  <si>
    <t>NE 100015341</t>
  </si>
  <si>
    <t>-25.33</t>
  </si>
  <si>
    <t>NE 100015342</t>
  </si>
  <si>
    <t>-805.80</t>
  </si>
  <si>
    <t>NE 100015343</t>
  </si>
  <si>
    <t>-218.09</t>
  </si>
  <si>
    <t>EP 6302</t>
  </si>
  <si>
    <t>115.20</t>
  </si>
  <si>
    <t>NE 100015344</t>
  </si>
  <si>
    <t>-115.20</t>
  </si>
  <si>
    <t>EP 6303</t>
  </si>
  <si>
    <t>4.16</t>
  </si>
  <si>
    <t>NE 100015345</t>
  </si>
  <si>
    <t>-575.16</t>
  </si>
  <si>
    <t>NE 100015346</t>
  </si>
  <si>
    <t>-51.74</t>
  </si>
  <si>
    <t>NE 100015347</t>
  </si>
  <si>
    <t>NE 100015349</t>
  </si>
  <si>
    <t>Entrega - Cancelación - CN0501751374001</t>
  </si>
  <si>
    <t>EP 200434</t>
  </si>
  <si>
    <t>EP 6304</t>
  </si>
  <si>
    <t>NE 100015350</t>
  </si>
  <si>
    <t>NE 100015351</t>
  </si>
  <si>
    <t>Entregas - CN1718342270001</t>
  </si>
  <si>
    <t>-95.65</t>
  </si>
  <si>
    <t>EM 1709</t>
  </si>
  <si>
    <t>11.41</t>
  </si>
  <si>
    <t>NE 100015352</t>
  </si>
  <si>
    <t>NE 100015353</t>
  </si>
  <si>
    <t>-1913.31</t>
  </si>
  <si>
    <t>NE 100015354</t>
  </si>
  <si>
    <t>DV 231</t>
  </si>
  <si>
    <t>45.77</t>
  </si>
  <si>
    <t>IM 100003326</t>
  </si>
  <si>
    <t>RC 100000664</t>
  </si>
  <si>
    <t>Notas de crédito clientes - CN1793080812001</t>
  </si>
  <si>
    <t>CN1793080812001</t>
  </si>
  <si>
    <t>TECNIACEROS ECUADOR S.A.</t>
  </si>
  <si>
    <t>23.89</t>
  </si>
  <si>
    <t>NE 100015355</t>
  </si>
  <si>
    <t>NE 100015356</t>
  </si>
  <si>
    <t>-743.99</t>
  </si>
  <si>
    <t>NE 100015357</t>
  </si>
  <si>
    <t>743.99</t>
  </si>
  <si>
    <t>NE 100015358</t>
  </si>
  <si>
    <t>IM 100003327</t>
  </si>
  <si>
    <t>-351.52</t>
  </si>
  <si>
    <t>EP 6306</t>
  </si>
  <si>
    <t>129.00</t>
  </si>
  <si>
    <t>NE 100015366</t>
  </si>
  <si>
    <t>-129.00</t>
  </si>
  <si>
    <t>EP 6307</t>
  </si>
  <si>
    <t>2400.00</t>
  </si>
  <si>
    <t>NE 100015367</t>
  </si>
  <si>
    <t>-2400.00</t>
  </si>
  <si>
    <t>NE 100015369</t>
  </si>
  <si>
    <t>-490.77</t>
  </si>
  <si>
    <t>NE 100015373</t>
  </si>
  <si>
    <t>Entregas - CN1791039688001</t>
  </si>
  <si>
    <t>NE 100015374</t>
  </si>
  <si>
    <t>-606.84</t>
  </si>
  <si>
    <t>IM 100003328</t>
  </si>
  <si>
    <t>27403.56</t>
  </si>
  <si>
    <t>IM 100003329</t>
  </si>
  <si>
    <t>23905.69</t>
  </si>
  <si>
    <t>IM 100003330</t>
  </si>
  <si>
    <t>263.05</t>
  </si>
  <si>
    <t>IM 100003331</t>
  </si>
  <si>
    <t>33.44</t>
  </si>
  <si>
    <t>IM 100003332</t>
  </si>
  <si>
    <t>-87887.08</t>
  </si>
  <si>
    <t>IM 100003333</t>
  </si>
  <si>
    <t>88083.98</t>
  </si>
  <si>
    <t>IM 100003334</t>
  </si>
  <si>
    <t>77880.73</t>
  </si>
  <si>
    <t>IM 100003335</t>
  </si>
  <si>
    <t>-77880.73</t>
  </si>
  <si>
    <t>IM 100003336</t>
  </si>
  <si>
    <t>58725.97</t>
  </si>
  <si>
    <t>IM 100003337</t>
  </si>
  <si>
    <t>-58725.97</t>
  </si>
  <si>
    <t>IM 100003338</t>
  </si>
  <si>
    <t>EP 6311</t>
  </si>
  <si>
    <t>1824.32</t>
  </si>
  <si>
    <t>IM 100003339</t>
  </si>
  <si>
    <t>-2289.21</t>
  </si>
  <si>
    <t>EP 200435</t>
  </si>
  <si>
    <t>-1824.32</t>
  </si>
  <si>
    <t>IM 100003340</t>
  </si>
  <si>
    <t>-399.56</t>
  </si>
  <si>
    <t>NE 100015378</t>
  </si>
  <si>
    <t>-41.10</t>
  </si>
  <si>
    <t>NE 100015380</t>
  </si>
  <si>
    <t>-107.46</t>
  </si>
  <si>
    <t>EP 6312</t>
  </si>
  <si>
    <t>71.00</t>
  </si>
  <si>
    <t>IM 100003341</t>
  </si>
  <si>
    <t>2289.21</t>
  </si>
  <si>
    <t>EP 6313</t>
  </si>
  <si>
    <t>IM 100003342</t>
  </si>
  <si>
    <t>NE 100015381</t>
  </si>
  <si>
    <t>-354.31</t>
  </si>
  <si>
    <t>NE 100015383</t>
  </si>
  <si>
    <t>-173.97</t>
  </si>
  <si>
    <t>IM 100003343</t>
  </si>
  <si>
    <t>2772.75</t>
  </si>
  <si>
    <t>IM 100003344</t>
  </si>
  <si>
    <t>-10536.18</t>
  </si>
  <si>
    <t>IM 100003345</t>
  </si>
  <si>
    <t>-23045.16</t>
  </si>
  <si>
    <t>RC 100000665</t>
  </si>
  <si>
    <t>Notas de crédito clientes - CN1102853817001</t>
  </si>
  <si>
    <t>CN1102853817001</t>
  </si>
  <si>
    <t>COSIOS ESPINOSA DIEGO FERNANDO</t>
  </si>
  <si>
    <t>63.80</t>
  </si>
  <si>
    <t>IM 100003346</t>
  </si>
  <si>
    <t>5.86</t>
  </si>
  <si>
    <t>NE 100015386</t>
  </si>
  <si>
    <t>Entregas - CN1708553464001</t>
  </si>
  <si>
    <t>-109.59</t>
  </si>
  <si>
    <t>EP 6314</t>
  </si>
  <si>
    <t>292.68</t>
  </si>
  <si>
    <t>IM 100003347</t>
  </si>
  <si>
    <t>-292.68</t>
  </si>
  <si>
    <t>EP 200436</t>
  </si>
  <si>
    <t>NE 100015388</t>
  </si>
  <si>
    <t>-1906.06</t>
  </si>
  <si>
    <t>NE 100015389</t>
  </si>
  <si>
    <t>-61.80</t>
  </si>
  <si>
    <t>IM 100003348</t>
  </si>
  <si>
    <t>EP 6315</t>
  </si>
  <si>
    <t>234.14</t>
  </si>
  <si>
    <t>IM 100003349</t>
  </si>
  <si>
    <t>-234.14</t>
  </si>
  <si>
    <t>NE 100015390</t>
  </si>
  <si>
    <t>NE 100015393</t>
  </si>
  <si>
    <t>-102.93</t>
  </si>
  <si>
    <t>NE 100015394</t>
  </si>
  <si>
    <t>-781.39</t>
  </si>
  <si>
    <t>EP 6316</t>
  </si>
  <si>
    <t>EP 6317</t>
  </si>
  <si>
    <t>223.11</t>
  </si>
  <si>
    <t>NE 100015395</t>
  </si>
  <si>
    <t>-53.11</t>
  </si>
  <si>
    <t>NE 100015396</t>
  </si>
  <si>
    <t>-226.05</t>
  </si>
  <si>
    <t>NE 100015397</t>
  </si>
  <si>
    <t>IM 100003350</t>
  </si>
  <si>
    <t>-871.30</t>
  </si>
  <si>
    <t>IM 100003351</t>
  </si>
  <si>
    <t>11.85</t>
  </si>
  <si>
    <t>NE 100015402</t>
  </si>
  <si>
    <t>-561.63</t>
  </si>
  <si>
    <t>EP 6318</t>
  </si>
  <si>
    <t>289.00</t>
  </si>
  <si>
    <t>IM 100003352</t>
  </si>
  <si>
    <t>-289.00</t>
  </si>
  <si>
    <t>IM 100003353</t>
  </si>
  <si>
    <t>214.86</t>
  </si>
  <si>
    <t>EP 6319</t>
  </si>
  <si>
    <t>205.70</t>
  </si>
  <si>
    <t>NE 100015407</t>
  </si>
  <si>
    <t>-13651.19</t>
  </si>
  <si>
    <t>EM 1710</t>
  </si>
  <si>
    <t>INGRESO DE MATERIAL OC 5825 AUTO ALESSANDRO CARDIL</t>
  </si>
  <si>
    <t>NE 100015408</t>
  </si>
  <si>
    <t>-121.18</t>
  </si>
  <si>
    <t>EP 6320</t>
  </si>
  <si>
    <t>17.24</t>
  </si>
  <si>
    <t>IM 100003354</t>
  </si>
  <si>
    <t>-17.24</t>
  </si>
  <si>
    <t>IM 100003355</t>
  </si>
  <si>
    <t>NE 100015411</t>
  </si>
  <si>
    <t>NE 100015412</t>
  </si>
  <si>
    <t>-645.18</t>
  </si>
  <si>
    <t>NE 100015413</t>
  </si>
  <si>
    <t>-150.97</t>
  </si>
  <si>
    <t>NE 100015415</t>
  </si>
  <si>
    <t>-394.02</t>
  </si>
  <si>
    <t>NE 100015416</t>
  </si>
  <si>
    <t>-254.55</t>
  </si>
  <si>
    <t>RC 100000666</t>
  </si>
  <si>
    <t>Notas de crédito clientes - CN1792300347001</t>
  </si>
  <si>
    <t>CN1792300347001</t>
  </si>
  <si>
    <t>SERVICIOS Y SUPLIDORA PETROLERA ECUATORIANA S.A. PETROSERVISUPPLY</t>
  </si>
  <si>
    <t>NE 100015417</t>
  </si>
  <si>
    <t>-51.91</t>
  </si>
  <si>
    <t>IM 100003356</t>
  </si>
  <si>
    <t>-10701.24</t>
  </si>
  <si>
    <t>EP 200443</t>
  </si>
  <si>
    <t>NE 100015418</t>
  </si>
  <si>
    <t>-136.93</t>
  </si>
  <si>
    <t>NE 100015419</t>
  </si>
  <si>
    <t>-16.62</t>
  </si>
  <si>
    <t>IM 100003357</t>
  </si>
  <si>
    <t>-3544.26</t>
  </si>
  <si>
    <t>NE 100015421</t>
  </si>
  <si>
    <t>-21.30</t>
  </si>
  <si>
    <t>NE 100015423</t>
  </si>
  <si>
    <t>-334.89</t>
  </si>
  <si>
    <t>NE 100015425</t>
  </si>
  <si>
    <t>-11.35</t>
  </si>
  <si>
    <t>NE 100015427</t>
  </si>
  <si>
    <t>-523.63</t>
  </si>
  <si>
    <t>NE 100015428</t>
  </si>
  <si>
    <t>334.89</t>
  </si>
  <si>
    <t>NE 100015429</t>
  </si>
  <si>
    <t>-269.04</t>
  </si>
  <si>
    <t>EP 6321</t>
  </si>
  <si>
    <t>152.80</t>
  </si>
  <si>
    <t>EP 6322</t>
  </si>
  <si>
    <t>418.40</t>
  </si>
  <si>
    <t>NE 100015430</t>
  </si>
  <si>
    <t>-152.80</t>
  </si>
  <si>
    <t>NE 100015431</t>
  </si>
  <si>
    <t>-418.40</t>
  </si>
  <si>
    <t>NE 100015432</t>
  </si>
  <si>
    <t>-1202.65</t>
  </si>
  <si>
    <t>NE 100015433</t>
  </si>
  <si>
    <t>Entregas - CN1800313569001</t>
  </si>
  <si>
    <t>-99.60</t>
  </si>
  <si>
    <t>IM 100003358</t>
  </si>
  <si>
    <t>1657.74</t>
  </si>
  <si>
    <t>EP 6323</t>
  </si>
  <si>
    <t>640.60</t>
  </si>
  <si>
    <t>NE 100015434</t>
  </si>
  <si>
    <t>Entregas - CN1790150569001</t>
  </si>
  <si>
    <t>-5118.40</t>
  </si>
  <si>
    <t>NE 100015435</t>
  </si>
  <si>
    <t>-145.32</t>
  </si>
  <si>
    <t>NE 100015436</t>
  </si>
  <si>
    <t>-24.83</t>
  </si>
  <si>
    <t>NE 100015572</t>
  </si>
  <si>
    <t>EP 200439</t>
  </si>
  <si>
    <t>SM 562</t>
  </si>
  <si>
    <t>-1.68</t>
  </si>
  <si>
    <t>NE 100015438</t>
  </si>
  <si>
    <t>-16.46</t>
  </si>
  <si>
    <t>SM 563</t>
  </si>
  <si>
    <t>EM 1712</t>
  </si>
  <si>
    <t>60.12</t>
  </si>
  <si>
    <t>IM 100003359</t>
  </si>
  <si>
    <t>72.20</t>
  </si>
  <si>
    <t>NE 100015440</t>
  </si>
  <si>
    <t>-76.03</t>
  </si>
  <si>
    <t>NE 100015441</t>
  </si>
  <si>
    <t>-52.26</t>
  </si>
  <si>
    <t>NE 100015442</t>
  </si>
  <si>
    <t>-18.64</t>
  </si>
  <si>
    <t>NE 100015443</t>
  </si>
  <si>
    <t>-45.34</t>
  </si>
  <si>
    <t>NE 100015444</t>
  </si>
  <si>
    <t>-117.19</t>
  </si>
  <si>
    <t>IM 100003360</t>
  </si>
  <si>
    <t>-99.39</t>
  </si>
  <si>
    <t>NE 100015445</t>
  </si>
  <si>
    <t>-29.31</t>
  </si>
  <si>
    <t>IM 100003361</t>
  </si>
  <si>
    <t>-14.29</t>
  </si>
  <si>
    <t>EP 6324</t>
  </si>
  <si>
    <t>346.00</t>
  </si>
  <si>
    <t>NE 100015446</t>
  </si>
  <si>
    <t>-346.00</t>
  </si>
  <si>
    <t>SM 564</t>
  </si>
  <si>
    <t>-214.86</t>
  </si>
  <si>
    <t>EM 1713</t>
  </si>
  <si>
    <t>254.90</t>
  </si>
  <si>
    <t>NE 100015447</t>
  </si>
  <si>
    <t>-254.90</t>
  </si>
  <si>
    <t>RC 100000667</t>
  </si>
  <si>
    <t>136.53</t>
  </si>
  <si>
    <t>EP 6325</t>
  </si>
  <si>
    <t>38.40</t>
  </si>
  <si>
    <t>EP 6326</t>
  </si>
  <si>
    <t>141.72</t>
  </si>
  <si>
    <t>SM 565</t>
  </si>
  <si>
    <t>-46.02</t>
  </si>
  <si>
    <t>EM 1714</t>
  </si>
  <si>
    <t>46.02</t>
  </si>
  <si>
    <t>IM 100003362</t>
  </si>
  <si>
    <t>-141.84</t>
  </si>
  <si>
    <t>NE 100015450</t>
  </si>
  <si>
    <t>-547.29</t>
  </si>
  <si>
    <t>RC 100000668</t>
  </si>
  <si>
    <t>561.63</t>
  </si>
  <si>
    <t>NE 100015451</t>
  </si>
  <si>
    <t>EP 6327</t>
  </si>
  <si>
    <t>97.92</t>
  </si>
  <si>
    <t>EP 6328</t>
  </si>
  <si>
    <t>503.36</t>
  </si>
  <si>
    <t>EP 6329</t>
  </si>
  <si>
    <t>411.00</t>
  </si>
  <si>
    <t>IM 100003363</t>
  </si>
  <si>
    <t>-411.00</t>
  </si>
  <si>
    <t>NE 100015452</t>
  </si>
  <si>
    <t>-5.17</t>
  </si>
  <si>
    <t>EP 6330</t>
  </si>
  <si>
    <t>452.37</t>
  </si>
  <si>
    <t>NE 100015453</t>
  </si>
  <si>
    <t>-452.37</t>
  </si>
  <si>
    <t>SM 566</t>
  </si>
  <si>
    <t>-166.50</t>
  </si>
  <si>
    <t>EM 1715</t>
  </si>
  <si>
    <t>270.54</t>
  </si>
  <si>
    <t>IM 100003364</t>
  </si>
  <si>
    <t>-270.54</t>
  </si>
  <si>
    <t>EP 6331</t>
  </si>
  <si>
    <t>459.16</t>
  </si>
  <si>
    <t>IM 100003365</t>
  </si>
  <si>
    <t>-458.41</t>
  </si>
  <si>
    <t>EP 6332</t>
  </si>
  <si>
    <t>1162.46</t>
  </si>
  <si>
    <t>NE 100015454</t>
  </si>
  <si>
    <t>-1162.46</t>
  </si>
  <si>
    <t>NE 100015455</t>
  </si>
  <si>
    <t>-203.97</t>
  </si>
  <si>
    <t>NE 100015456</t>
  </si>
  <si>
    <t>-503.36</t>
  </si>
  <si>
    <t>EP 6333</t>
  </si>
  <si>
    <t>65.45</t>
  </si>
  <si>
    <t>EP 6334</t>
  </si>
  <si>
    <t>1189.46</t>
  </si>
  <si>
    <t>EP 6335</t>
  </si>
  <si>
    <t>226.71</t>
  </si>
  <si>
    <t>EP 6336</t>
  </si>
  <si>
    <t>1954.46</t>
  </si>
  <si>
    <t>NE 100015457</t>
  </si>
  <si>
    <t>-91.62</t>
  </si>
  <si>
    <t>NE 100015458</t>
  </si>
  <si>
    <t>-226.71</t>
  </si>
  <si>
    <t>NE 100015459</t>
  </si>
  <si>
    <t>-341.06</t>
  </si>
  <si>
    <t>NE 100015460</t>
  </si>
  <si>
    <t>-77.81</t>
  </si>
  <si>
    <t>EM 1716</t>
  </si>
  <si>
    <t>NE 100015461</t>
  </si>
  <si>
    <t>Entregas - CN1717268898001</t>
  </si>
  <si>
    <t>EP 6337</t>
  </si>
  <si>
    <t>106.25</t>
  </si>
  <si>
    <t>EP 6338</t>
  </si>
  <si>
    <t>EP 6339</t>
  </si>
  <si>
    <t>39.44</t>
  </si>
  <si>
    <t>NE 100015462</t>
  </si>
  <si>
    <t>-2229.66</t>
  </si>
  <si>
    <t>NE 100015463</t>
  </si>
  <si>
    <t>-1599.21</t>
  </si>
  <si>
    <t>NE 100015464</t>
  </si>
  <si>
    <t>-71.06</t>
  </si>
  <si>
    <t>NE 100015466</t>
  </si>
  <si>
    <t>-98.25</t>
  </si>
  <si>
    <t>IM 100003367</t>
  </si>
  <si>
    <t>-416.42</t>
  </si>
  <si>
    <t>NE 100015470</t>
  </si>
  <si>
    <t>-61.65</t>
  </si>
  <si>
    <t>NE 100015471</t>
  </si>
  <si>
    <t>-186.21</t>
  </si>
  <si>
    <t>NE 100015473</t>
  </si>
  <si>
    <t>-32.91</t>
  </si>
  <si>
    <t>IM 100003368</t>
  </si>
  <si>
    <t>392.34</t>
  </si>
  <si>
    <t>TT 100008544</t>
  </si>
  <si>
    <t>MAQUICENTRO FC2791 Basado en Pedidos 5835.</t>
  </si>
  <si>
    <t>PN0992860499001</t>
  </si>
  <si>
    <t>MAQUICENTRO S.A</t>
  </si>
  <si>
    <t>-7.66</t>
  </si>
  <si>
    <t>NE 100015474</t>
  </si>
  <si>
    <t>-644.19</t>
  </si>
  <si>
    <t>NE 100015477</t>
  </si>
  <si>
    <t>NE 100015480</t>
  </si>
  <si>
    <t>-4379.52</t>
  </si>
  <si>
    <t>EP 6340</t>
  </si>
  <si>
    <t>136.00</t>
  </si>
  <si>
    <t>NE 100015481</t>
  </si>
  <si>
    <t>-287.20</t>
  </si>
  <si>
    <t>EP 6341</t>
  </si>
  <si>
    <t>42.24</t>
  </si>
  <si>
    <t>EP 6342</t>
  </si>
  <si>
    <t>1514.93</t>
  </si>
  <si>
    <t>EP 6343</t>
  </si>
  <si>
    <t>1881.29</t>
  </si>
  <si>
    <t>EP 6344</t>
  </si>
  <si>
    <t>6159.41</t>
  </si>
  <si>
    <t>NE 100015486</t>
  </si>
  <si>
    <t>-1877.33</t>
  </si>
  <si>
    <t>NE 100015487</t>
  </si>
  <si>
    <t>-6214.30</t>
  </si>
  <si>
    <t>NE 100015488</t>
  </si>
  <si>
    <t>-1652.83</t>
  </si>
  <si>
    <t>NE 100015489</t>
  </si>
  <si>
    <t>-48.43</t>
  </si>
  <si>
    <t>NE 100015490</t>
  </si>
  <si>
    <t>-79.25</t>
  </si>
  <si>
    <t>NE 100015491</t>
  </si>
  <si>
    <t>-655.90</t>
  </si>
  <si>
    <t>NE 100015496</t>
  </si>
  <si>
    <t>-290.55</t>
  </si>
  <si>
    <t>NE 100015497</t>
  </si>
  <si>
    <t>Entregas - CN1315662823001</t>
  </si>
  <si>
    <t>-56.57</t>
  </si>
  <si>
    <t>RC 100000669</t>
  </si>
  <si>
    <t>Notas de crédito clientes - CN1315662823001</t>
  </si>
  <si>
    <t>CN1315662823001</t>
  </si>
  <si>
    <t>OLIVO ZAMBRANO DAVID DANIEL</t>
  </si>
  <si>
    <t>56.57</t>
  </si>
  <si>
    <t>NE 100015498</t>
  </si>
  <si>
    <t>NE 100015499</t>
  </si>
  <si>
    <t>-55.50</t>
  </si>
  <si>
    <t>IM 100003369</t>
  </si>
  <si>
    <t>103.07</t>
  </si>
  <si>
    <t>NE 100015500</t>
  </si>
  <si>
    <t>-164.04</t>
  </si>
  <si>
    <t>NE 100015501</t>
  </si>
  <si>
    <t>1877.33</t>
  </si>
  <si>
    <t>NE 100015502</t>
  </si>
  <si>
    <t>-1525.43</t>
  </si>
  <si>
    <t>DM 49</t>
  </si>
  <si>
    <t>-351.90</t>
  </si>
  <si>
    <t>IM 100003370</t>
  </si>
  <si>
    <t>NE 100015504</t>
  </si>
  <si>
    <t>-105.02</t>
  </si>
  <si>
    <t>NE 100015505</t>
  </si>
  <si>
    <t>Entregas - CN1792055334001</t>
  </si>
  <si>
    <t>-392.34</t>
  </si>
  <si>
    <t>EP 6345</t>
  </si>
  <si>
    <t>EP 6346</t>
  </si>
  <si>
    <t>42.40</t>
  </si>
  <si>
    <t>EP 6347</t>
  </si>
  <si>
    <t>11.36</t>
  </si>
  <si>
    <t>NE 100015506</t>
  </si>
  <si>
    <t>NE 100015507</t>
  </si>
  <si>
    <t>-37.86</t>
  </si>
  <si>
    <t>EP 6348</t>
  </si>
  <si>
    <t>Pedido de entrada de mercancías - PN1711087211001</t>
  </si>
  <si>
    <t>NE 100015508</t>
  </si>
  <si>
    <t>IM 100003371</t>
  </si>
  <si>
    <t>3570.19</t>
  </si>
  <si>
    <t>NE 100015510</t>
  </si>
  <si>
    <t>NE 100015511</t>
  </si>
  <si>
    <t>NE 100015512</t>
  </si>
  <si>
    <t>-159.34</t>
  </si>
  <si>
    <t>NE 100015513</t>
  </si>
  <si>
    <t>NE 100015514</t>
  </si>
  <si>
    <t>37.86</t>
  </si>
  <si>
    <t>EP 200437</t>
  </si>
  <si>
    <t>-11.36</t>
  </si>
  <si>
    <t>EP 6349</t>
  </si>
  <si>
    <t>NE 100015515</t>
  </si>
  <si>
    <t>IM 100003372</t>
  </si>
  <si>
    <t>-103.87</t>
  </si>
  <si>
    <t>NE 100015516</t>
  </si>
  <si>
    <t>-113.45</t>
  </si>
  <si>
    <t>EP 6350</t>
  </si>
  <si>
    <t>EP 6351</t>
  </si>
  <si>
    <t>NE 100015517</t>
  </si>
  <si>
    <t>NE 100015518</t>
  </si>
  <si>
    <t>NE 100015520</t>
  </si>
  <si>
    <t>-100.61</t>
  </si>
  <si>
    <t>NE 100015521</t>
  </si>
  <si>
    <t>-147.11</t>
  </si>
  <si>
    <t>NE 100015523</t>
  </si>
  <si>
    <t>-112.44</t>
  </si>
  <si>
    <t>EP 6352</t>
  </si>
  <si>
    <t>2761.56</t>
  </si>
  <si>
    <t>EP 6353</t>
  </si>
  <si>
    <t>97.38</t>
  </si>
  <si>
    <t>EP 6354</t>
  </si>
  <si>
    <t>153.64</t>
  </si>
  <si>
    <t>NE 100015524</t>
  </si>
  <si>
    <t>-458.00</t>
  </si>
  <si>
    <t>NE 100015525</t>
  </si>
  <si>
    <t>-131.93</t>
  </si>
  <si>
    <t>NE 100015526</t>
  </si>
  <si>
    <t>-23.32</t>
  </si>
  <si>
    <t>NE 100015527</t>
  </si>
  <si>
    <t>-81.13</t>
  </si>
  <si>
    <t>EP 6355</t>
  </si>
  <si>
    <t>73.53</t>
  </si>
  <si>
    <t>EP 6356</t>
  </si>
  <si>
    <t>266.00</t>
  </si>
  <si>
    <t>NE 100015528</t>
  </si>
  <si>
    <t>-73.53</t>
  </si>
  <si>
    <t>NE 100015529</t>
  </si>
  <si>
    <t>-132.00</t>
  </si>
  <si>
    <t>EP 200438</t>
  </si>
  <si>
    <t>-266.00</t>
  </si>
  <si>
    <t>NE 100015532</t>
  </si>
  <si>
    <t>-4793.83</t>
  </si>
  <si>
    <t>EP 6357</t>
  </si>
  <si>
    <t>2698.05</t>
  </si>
  <si>
    <t>EP 6358</t>
  </si>
  <si>
    <t>3827.55</t>
  </si>
  <si>
    <t>NE 100015533</t>
  </si>
  <si>
    <t>-35.67</t>
  </si>
  <si>
    <t>EP 6359</t>
  </si>
  <si>
    <t>45.16</t>
  </si>
  <si>
    <t>NE 100015534</t>
  </si>
  <si>
    <t>EP 6360</t>
  </si>
  <si>
    <t>424.05</t>
  </si>
  <si>
    <t>NE 100015535</t>
  </si>
  <si>
    <t>-424.05</t>
  </si>
  <si>
    <t>NE 100015536</t>
  </si>
  <si>
    <t>-2821.98</t>
  </si>
  <si>
    <t>NE 100015537</t>
  </si>
  <si>
    <t>-6706.34</t>
  </si>
  <si>
    <t>IM 100003373</t>
  </si>
  <si>
    <t>281.05</t>
  </si>
  <si>
    <t>IM 100003374</t>
  </si>
  <si>
    <t>1170.90</t>
  </si>
  <si>
    <t>NE 100015548</t>
  </si>
  <si>
    <t>6706.34</t>
  </si>
  <si>
    <t>NE 100015551</t>
  </si>
  <si>
    <t>2821.98</t>
  </si>
  <si>
    <t>NE 100015553</t>
  </si>
  <si>
    <t>4793.83</t>
  </si>
  <si>
    <t>NE 100015577</t>
  </si>
  <si>
    <t>Entrega - Cancelación - CN1791774345001</t>
  </si>
  <si>
    <t>EP 200440</t>
  </si>
  <si>
    <t>EP 200442</t>
  </si>
  <si>
    <t>-2761.56</t>
  </si>
  <si>
    <t>NE 100015549</t>
  </si>
  <si>
    <t>-6333.78</t>
  </si>
  <si>
    <t>NE 100015552</t>
  </si>
  <si>
    <t>NE 100015555</t>
  </si>
  <si>
    <t>-4691.83</t>
  </si>
  <si>
    <t>NE 100015583</t>
  </si>
  <si>
    <t>4691.83</t>
  </si>
  <si>
    <t>NE 100015557</t>
  </si>
  <si>
    <t>-8.78</t>
  </si>
  <si>
    <t>IM 100003375</t>
  </si>
  <si>
    <t>NE 100015560</t>
  </si>
  <si>
    <t>-209.59</t>
  </si>
  <si>
    <t>NE 100015561</t>
  </si>
  <si>
    <t>-2390.32</t>
  </si>
  <si>
    <t>NE 100015562</t>
  </si>
  <si>
    <t>-7.27</t>
  </si>
  <si>
    <t>IM 100003376</t>
  </si>
  <si>
    <t>7.26</t>
  </si>
  <si>
    <t>IM 100003377</t>
  </si>
  <si>
    <t>8.78</t>
  </si>
  <si>
    <t>NE 100015563</t>
  </si>
  <si>
    <t>-990.01</t>
  </si>
  <si>
    <t>NE 100015564</t>
  </si>
  <si>
    <t>-1007.28</t>
  </si>
  <si>
    <t>NE 100015565</t>
  </si>
  <si>
    <t>-88.19</t>
  </si>
  <si>
    <t>DV 233</t>
  </si>
  <si>
    <t>307.09</t>
  </si>
  <si>
    <t>IM 100003378</t>
  </si>
  <si>
    <t>-307.09</t>
  </si>
  <si>
    <t>NE 100015566</t>
  </si>
  <si>
    <t>-7.96</t>
  </si>
  <si>
    <t>NE 100015567</t>
  </si>
  <si>
    <t>NE 100015568</t>
  </si>
  <si>
    <t>-177.12</t>
  </si>
  <si>
    <t>EP 6361</t>
  </si>
  <si>
    <t>21.25</t>
  </si>
  <si>
    <t>EP 6362</t>
  </si>
  <si>
    <t>95.38</t>
  </si>
  <si>
    <t>NE 100015569</t>
  </si>
  <si>
    <t>-95.38</t>
  </si>
  <si>
    <t>NE 100015570</t>
  </si>
  <si>
    <t>-6735.53</t>
  </si>
  <si>
    <t>NE 100015571</t>
  </si>
  <si>
    <t>-210.25</t>
  </si>
  <si>
    <t>EP 6363</t>
  </si>
  <si>
    <t>417.30</t>
  </si>
  <si>
    <t>NE 100015573</t>
  </si>
  <si>
    <t>-417.30</t>
  </si>
  <si>
    <t>NE 100015574</t>
  </si>
  <si>
    <t>-11.67</t>
  </si>
  <si>
    <t>NE 100015575</t>
  </si>
  <si>
    <t>EP 6364</t>
  </si>
  <si>
    <t>498.90</t>
  </si>
  <si>
    <t>NE 100015578</t>
  </si>
  <si>
    <t>-498.90</t>
  </si>
  <si>
    <t>NE 100015579</t>
  </si>
  <si>
    <t>EP 200441</t>
  </si>
  <si>
    <t>EP 6365</t>
  </si>
  <si>
    <t>424.06</t>
  </si>
  <si>
    <t>NE 100015580</t>
  </si>
  <si>
    <t>-424.06</t>
  </si>
  <si>
    <t>DM 50</t>
  </si>
  <si>
    <t>-372.56</t>
  </si>
  <si>
    <t>DM 51</t>
  </si>
  <si>
    <t>DM 52</t>
  </si>
  <si>
    <t>Devolución de mercancías - Cancelación - PN1791834</t>
  </si>
  <si>
    <t>EP 6366</t>
  </si>
  <si>
    <t>2697.10</t>
  </si>
  <si>
    <t>DM 53</t>
  </si>
  <si>
    <t>NE 100015584</t>
  </si>
  <si>
    <t>-4627.37</t>
  </si>
  <si>
    <t>NE 100015585</t>
  </si>
  <si>
    <t>-21.25</t>
  </si>
  <si>
    <t>EM 1717</t>
  </si>
  <si>
    <t>NE 100015587</t>
  </si>
  <si>
    <t>Entregas - CN1792455596001</t>
  </si>
  <si>
    <t>-581.30</t>
  </si>
  <si>
    <t>EP 6367</t>
  </si>
  <si>
    <t>109.90</t>
  </si>
  <si>
    <t>NE 100015588</t>
  </si>
  <si>
    <t>-109.90</t>
  </si>
  <si>
    <t>EP 6368</t>
  </si>
  <si>
    <t>4744.33</t>
  </si>
  <si>
    <t>EP 6369</t>
  </si>
  <si>
    <t>50.40</t>
  </si>
  <si>
    <t>IM 100003380</t>
  </si>
  <si>
    <t>-4744.33</t>
  </si>
  <si>
    <t>SM 567</t>
  </si>
  <si>
    <t>-1282.95</t>
  </si>
  <si>
    <t>EM 1718</t>
  </si>
  <si>
    <t>1485.34</t>
  </si>
  <si>
    <t>NE 100015589</t>
  </si>
  <si>
    <t>-1953.91</t>
  </si>
  <si>
    <t>EM 1719</t>
  </si>
  <si>
    <t>26.20</t>
  </si>
  <si>
    <t>NE 100015590</t>
  </si>
  <si>
    <t>-26.20</t>
  </si>
  <si>
    <t>RC 100000670</t>
  </si>
  <si>
    <t>88.19</t>
  </si>
  <si>
    <t>NE 100015594</t>
  </si>
  <si>
    <t>-181.55</t>
  </si>
  <si>
    <t>EP 6370</t>
  </si>
  <si>
    <t>589.86</t>
  </si>
  <si>
    <t>NE 100015596</t>
  </si>
  <si>
    <t>EP 6371</t>
  </si>
  <si>
    <t>361.48</t>
  </si>
  <si>
    <t>NE 100015599</t>
  </si>
  <si>
    <t>-741.77</t>
  </si>
  <si>
    <t>NE 100015600</t>
  </si>
  <si>
    <t>NE 100015601</t>
  </si>
  <si>
    <t>-91.84</t>
  </si>
  <si>
    <t>NE 100015602</t>
  </si>
  <si>
    <t>-654.25</t>
  </si>
  <si>
    <t>EP 6372</t>
  </si>
  <si>
    <t>170.00</t>
  </si>
  <si>
    <t>NE 100015603</t>
  </si>
  <si>
    <t>-170.00</t>
  </si>
  <si>
    <t>EP 6373</t>
  </si>
  <si>
    <t>201.95</t>
  </si>
  <si>
    <t>NE 100015604</t>
  </si>
  <si>
    <t>-201.95</t>
  </si>
  <si>
    <t>NE 100015605</t>
  </si>
  <si>
    <t>-84.08</t>
  </si>
  <si>
    <t>NE 100015606</t>
  </si>
  <si>
    <t>-191.04</t>
  </si>
  <si>
    <t>IM 100003381</t>
  </si>
  <si>
    <t>-589.86</t>
  </si>
  <si>
    <t>EP 6374</t>
  </si>
  <si>
    <t>13140.00</t>
  </si>
  <si>
    <t>NE 100015607</t>
  </si>
  <si>
    <t>Entregas - CN1722067616</t>
  </si>
  <si>
    <t>-19.36</t>
  </si>
  <si>
    <t>NE 100015611</t>
  </si>
  <si>
    <t>-46.49</t>
  </si>
  <si>
    <t>NE 100015614</t>
  </si>
  <si>
    <t>-16.53</t>
  </si>
  <si>
    <t>NE 100015615</t>
  </si>
  <si>
    <t>NE 100015616</t>
  </si>
  <si>
    <t>-604.01</t>
  </si>
  <si>
    <t>EP 6375</t>
  </si>
  <si>
    <t>1248.65</t>
  </si>
  <si>
    <t>IM 100003382</t>
  </si>
  <si>
    <t>-1585.82</t>
  </si>
  <si>
    <t>NE 100015617</t>
  </si>
  <si>
    <t>-140.35</t>
  </si>
  <si>
    <t>NE 100015618</t>
  </si>
  <si>
    <t>-346.54</t>
  </si>
  <si>
    <t>NE 100015619</t>
  </si>
  <si>
    <t>-2.71</t>
  </si>
  <si>
    <t>SM 568</t>
  </si>
  <si>
    <t>-22.00</t>
  </si>
  <si>
    <t>EM 1720</t>
  </si>
  <si>
    <t>27.00</t>
  </si>
  <si>
    <t>IM 100003383</t>
  </si>
  <si>
    <t>-27.00</t>
  </si>
  <si>
    <t>NE 100015620</t>
  </si>
  <si>
    <t>-23.17</t>
  </si>
  <si>
    <t>NE 100015621</t>
  </si>
  <si>
    <t>-523.96</t>
  </si>
  <si>
    <t>NE 100015625</t>
  </si>
  <si>
    <t>NE 100015626</t>
  </si>
  <si>
    <t>-133.54</t>
  </si>
  <si>
    <t>NE 100015627</t>
  </si>
  <si>
    <t>-190.09</t>
  </si>
  <si>
    <t>EP 6376</t>
  </si>
  <si>
    <t>22.61</t>
  </si>
  <si>
    <t>EP 6377</t>
  </si>
  <si>
    <t>3888.62</t>
  </si>
  <si>
    <t>NE 100015629</t>
  </si>
  <si>
    <t>-132.08</t>
  </si>
  <si>
    <t>SM 569</t>
  </si>
  <si>
    <t>NE 100015633</t>
  </si>
  <si>
    <t>-22.61</t>
  </si>
  <si>
    <t>NE 100015636</t>
  </si>
  <si>
    <t>-3933.13</t>
  </si>
  <si>
    <t>NE 100015637</t>
  </si>
  <si>
    <t>-175.02</t>
  </si>
  <si>
    <t>EM 1722</t>
  </si>
  <si>
    <t>49.54</t>
  </si>
  <si>
    <t>NE 100015639</t>
  </si>
  <si>
    <t>-194.15</t>
  </si>
  <si>
    <t>EP 6378</t>
  </si>
  <si>
    <t>30.13</t>
  </si>
  <si>
    <t>NE 100015643</t>
  </si>
  <si>
    <t>-948.38</t>
  </si>
  <si>
    <t>EP 6379</t>
  </si>
  <si>
    <t>381.36</t>
  </si>
  <si>
    <t>IM 100003385</t>
  </si>
  <si>
    <t>-381.36</t>
  </si>
  <si>
    <t>NE 100015646</t>
  </si>
  <si>
    <t>-58.35</t>
  </si>
  <si>
    <t>NE 100015647</t>
  </si>
  <si>
    <t>-146.45</t>
  </si>
  <si>
    <t>NE 100015650</t>
  </si>
  <si>
    <t>-157.45</t>
  </si>
  <si>
    <t>NE 100015651</t>
  </si>
  <si>
    <t>-14.15</t>
  </si>
  <si>
    <t>NE 100015652</t>
  </si>
  <si>
    <t>-265.48</t>
  </si>
  <si>
    <t>NE 100015653</t>
  </si>
  <si>
    <t>-30.01</t>
  </si>
  <si>
    <t>NE 100015654</t>
  </si>
  <si>
    <t>-88.83</t>
  </si>
  <si>
    <t>NE 100015655</t>
  </si>
  <si>
    <t>-75.96</t>
  </si>
  <si>
    <t>NE 100015656</t>
  </si>
  <si>
    <t>-47.57</t>
  </si>
  <si>
    <t>NE 100015658</t>
  </si>
  <si>
    <t>-165.92</t>
  </si>
  <si>
    <t>NE 100015661</t>
  </si>
  <si>
    <t>-689.30</t>
  </si>
  <si>
    <t>DV 237</t>
  </si>
  <si>
    <t>3.74</t>
  </si>
  <si>
    <t>EP 6380</t>
  </si>
  <si>
    <t>359.20</t>
  </si>
  <si>
    <t>NE 100015662</t>
  </si>
  <si>
    <t>-442.75</t>
  </si>
  <si>
    <t>NE 100015663</t>
  </si>
  <si>
    <t>-7.02</t>
  </si>
  <si>
    <t>NE 100015664</t>
  </si>
  <si>
    <t>-21.36</t>
  </si>
  <si>
    <t>EP 6381</t>
  </si>
  <si>
    <t>4156.92</t>
  </si>
  <si>
    <t>EM 1723</t>
  </si>
  <si>
    <t>79.83</t>
  </si>
  <si>
    <t>NE 100015666</t>
  </si>
  <si>
    <t>-237.02</t>
  </si>
  <si>
    <t>RC 100000671</t>
  </si>
  <si>
    <t>Notas de crédito clientes - CN1718342270001</t>
  </si>
  <si>
    <t>CN1718342270001</t>
  </si>
  <si>
    <t>BEDON TROYA ALVARO EDUARDO</t>
  </si>
  <si>
    <t>237.02</t>
  </si>
  <si>
    <t>NE 100015668</t>
  </si>
  <si>
    <t>EP 6382</t>
  </si>
  <si>
    <t>Pedido de entrada de mercancías - PN1792212251001</t>
  </si>
  <si>
    <t>174.00</t>
  </si>
  <si>
    <t>NE 100015671</t>
  </si>
  <si>
    <t>-174.00</t>
  </si>
  <si>
    <t>IM 100003386</t>
  </si>
  <si>
    <t>-18242.06</t>
  </si>
  <si>
    <t>NE 100015672</t>
  </si>
  <si>
    <t>-93.34</t>
  </si>
  <si>
    <t>NE 100015673</t>
  </si>
  <si>
    <t>EP 6383</t>
  </si>
  <si>
    <t>76.50</t>
  </si>
  <si>
    <t>EP 6384</t>
  </si>
  <si>
    <t>273.51</t>
  </si>
  <si>
    <t>EP 6385</t>
  </si>
  <si>
    <t>1154.56</t>
  </si>
  <si>
    <t>NE 100015675</t>
  </si>
  <si>
    <t>-548.70</t>
  </si>
  <si>
    <t>NE 100015676</t>
  </si>
  <si>
    <t>-1271.41</t>
  </si>
  <si>
    <t>NE 100015677</t>
  </si>
  <si>
    <t>-59.86</t>
  </si>
  <si>
    <t>NE 100015679</t>
  </si>
  <si>
    <t>-76.50</t>
  </si>
  <si>
    <t>IM 100003387</t>
  </si>
  <si>
    <t>523.50</t>
  </si>
  <si>
    <t>NE 100015680</t>
  </si>
  <si>
    <t>Entregas - CN1792375029001</t>
  </si>
  <si>
    <t>-1121.16</t>
  </si>
  <si>
    <t>NE 100015681</t>
  </si>
  <si>
    <t>EP 6386</t>
  </si>
  <si>
    <t>421.01</t>
  </si>
  <si>
    <t>EP 6387</t>
  </si>
  <si>
    <t>576.47</t>
  </si>
  <si>
    <t>NE 100015683</t>
  </si>
  <si>
    <t>-1432.21</t>
  </si>
  <si>
    <t>NE 100015684</t>
  </si>
  <si>
    <t>-137.86</t>
  </si>
  <si>
    <t>NE 100015685</t>
  </si>
  <si>
    <t>NE 100015686</t>
  </si>
  <si>
    <t>-12.35</t>
  </si>
  <si>
    <t>NE 100015687</t>
  </si>
  <si>
    <t>-14.72</t>
  </si>
  <si>
    <t>NE 100015688</t>
  </si>
  <si>
    <t>-22.07</t>
  </si>
  <si>
    <t>NE 100015689</t>
  </si>
  <si>
    <t>-23.51</t>
  </si>
  <si>
    <t>NE 100015690</t>
  </si>
  <si>
    <t>-2310.92</t>
  </si>
  <si>
    <t>RC 100000672</t>
  </si>
  <si>
    <t>Notas de crédito clientes - CN1718452558001</t>
  </si>
  <si>
    <t>CN1718452558001</t>
  </si>
  <si>
    <t>CATUCUAMBA ANDRANGO EDGAR PATRICIO</t>
  </si>
  <si>
    <t>14.72</t>
  </si>
  <si>
    <t>NE 100015691</t>
  </si>
  <si>
    <t>-79.34</t>
  </si>
  <si>
    <t>NE 100015692</t>
  </si>
  <si>
    <t>-171.00</t>
  </si>
  <si>
    <t>NE 100015693</t>
  </si>
  <si>
    <t>NE 100015694</t>
  </si>
  <si>
    <t>-737.08</t>
  </si>
  <si>
    <t>RC 100000673</t>
  </si>
  <si>
    <t>Notas de crédito clientes - CN0590038601001</t>
  </si>
  <si>
    <t>CN0590038601001</t>
  </si>
  <si>
    <t>NOVACERO S.A.</t>
  </si>
  <si>
    <t>1679.19</t>
  </si>
  <si>
    <t>EP 6388</t>
  </si>
  <si>
    <t>514.71</t>
  </si>
  <si>
    <t>EP 6389</t>
  </si>
  <si>
    <t>35.78</t>
  </si>
  <si>
    <t>NE 100015695</t>
  </si>
  <si>
    <t>-107.30</t>
  </si>
  <si>
    <t>NE 100015696</t>
  </si>
  <si>
    <t>-948.14</t>
  </si>
  <si>
    <t>IM 100003388</t>
  </si>
  <si>
    <t>-301.31</t>
  </si>
  <si>
    <t>EM 1724</t>
  </si>
  <si>
    <t>14.28</t>
  </si>
  <si>
    <t>NE 100015697</t>
  </si>
  <si>
    <t>-60.98</t>
  </si>
  <si>
    <t>NE 100015698</t>
  </si>
  <si>
    <t>-46.34</t>
  </si>
  <si>
    <t>NE 100015699</t>
  </si>
  <si>
    <t>-421.11</t>
  </si>
  <si>
    <t>NE 100015700</t>
  </si>
  <si>
    <t>IM 100003389</t>
  </si>
  <si>
    <t>3.64</t>
  </si>
  <si>
    <t>NE 100015968</t>
  </si>
  <si>
    <t>22.07</t>
  </si>
  <si>
    <t>NE 100015707</t>
  </si>
  <si>
    <t>-88.00</t>
  </si>
  <si>
    <t>EP 6390</t>
  </si>
  <si>
    <t>3.20</t>
  </si>
  <si>
    <t>EP 6391</t>
  </si>
  <si>
    <t>9.35</t>
  </si>
  <si>
    <t>EP 6392</t>
  </si>
  <si>
    <t>21.12</t>
  </si>
  <si>
    <t>EP 6393</t>
  </si>
  <si>
    <t>79.56</t>
  </si>
  <si>
    <t>NE 100015708</t>
  </si>
  <si>
    <t>Entregas - CN1793186742001</t>
  </si>
  <si>
    <t>-10.27</t>
  </si>
  <si>
    <t>NE 100015709</t>
  </si>
  <si>
    <t>-83.03</t>
  </si>
  <si>
    <t>NE 100015710</t>
  </si>
  <si>
    <t>-83.55</t>
  </si>
  <si>
    <t>RC 100000674</t>
  </si>
  <si>
    <t>Notas de crédito clientes - CN1793186742001</t>
  </si>
  <si>
    <t>CN1793186742001</t>
  </si>
  <si>
    <t>ARGUS TECHNOLOGY ARGUSTEC S.A.S.</t>
  </si>
  <si>
    <t>10.27</t>
  </si>
  <si>
    <t>NE 100015712</t>
  </si>
  <si>
    <t>EP 6394</t>
  </si>
  <si>
    <t>Pedido de entrada de mercancías - PN1792098254001</t>
  </si>
  <si>
    <t>34.52</t>
  </si>
  <si>
    <t>NE 100015713</t>
  </si>
  <si>
    <t>-34.52</t>
  </si>
  <si>
    <t>NE 100015714</t>
  </si>
  <si>
    <t>-27.93</t>
  </si>
  <si>
    <t>NE 100015715</t>
  </si>
  <si>
    <t>-79.56</t>
  </si>
  <si>
    <t>IM 100003390</t>
  </si>
  <si>
    <t>-40.68</t>
  </si>
  <si>
    <t>NE 100015716</t>
  </si>
  <si>
    <t>-14.09</t>
  </si>
  <si>
    <t>IM 100003391</t>
  </si>
  <si>
    <t>NE 100015718</t>
  </si>
  <si>
    <t>NE 100015719</t>
  </si>
  <si>
    <t>-69.12</t>
  </si>
  <si>
    <t>EP 6395</t>
  </si>
  <si>
    <t>227.66</t>
  </si>
  <si>
    <t>EP 6396</t>
  </si>
  <si>
    <t>EP 6397</t>
  </si>
  <si>
    <t>75.60</t>
  </si>
  <si>
    <t>EP 6398</t>
  </si>
  <si>
    <t>936.00</t>
  </si>
  <si>
    <t>NE 100015721</t>
  </si>
  <si>
    <t>-303.26</t>
  </si>
  <si>
    <t>NE 100015722</t>
  </si>
  <si>
    <t>NE 100015723</t>
  </si>
  <si>
    <t>-936.00</t>
  </si>
  <si>
    <t>NE 100015724</t>
  </si>
  <si>
    <t>Entregas - CN2191731258001</t>
  </si>
  <si>
    <t>-47.58</t>
  </si>
  <si>
    <t>NE 100015725</t>
  </si>
  <si>
    <t>-103.44</t>
  </si>
  <si>
    <t>NE 100015726</t>
  </si>
  <si>
    <t>EP 6400</t>
  </si>
  <si>
    <t>24.44</t>
  </si>
  <si>
    <t>NE 100015727</t>
  </si>
  <si>
    <t>-338.21</t>
  </si>
  <si>
    <t>NE 100015728</t>
  </si>
  <si>
    <t>Entrega - Cancelación - CN1792375029001</t>
  </si>
  <si>
    <t>338.21</t>
  </si>
  <si>
    <t>NE 100015729</t>
  </si>
  <si>
    <t>-339.05</t>
  </si>
  <si>
    <t>NE 100015730</t>
  </si>
  <si>
    <t>-104.99</t>
  </si>
  <si>
    <t>NE 100015732</t>
  </si>
  <si>
    <t>-108.61</t>
  </si>
  <si>
    <t>EM 1725</t>
  </si>
  <si>
    <t>74.67</t>
  </si>
  <si>
    <t>NE 100015733</t>
  </si>
  <si>
    <t>IM 100003392</t>
  </si>
  <si>
    <t>EP 6401</t>
  </si>
  <si>
    <t>43.99</t>
  </si>
  <si>
    <t>NE 100015734</t>
  </si>
  <si>
    <t>-58.10</t>
  </si>
  <si>
    <t>NE 100015735</t>
  </si>
  <si>
    <t>-60.06</t>
  </si>
  <si>
    <t>NE 100015736</t>
  </si>
  <si>
    <t>Entregas - CN1792105331001</t>
  </si>
  <si>
    <t>-4.62</t>
  </si>
  <si>
    <t>EP 6402</t>
  </si>
  <si>
    <t>1405.92</t>
  </si>
  <si>
    <t>EP 6403</t>
  </si>
  <si>
    <t>3352.50</t>
  </si>
  <si>
    <t>EP 6404</t>
  </si>
  <si>
    <t>907.21</t>
  </si>
  <si>
    <t>EP 6405</t>
  </si>
  <si>
    <t>115.61</t>
  </si>
  <si>
    <t>NE 100015742</t>
  </si>
  <si>
    <t>-143.10</t>
  </si>
  <si>
    <t>NE 100015743</t>
  </si>
  <si>
    <t>-3.17</t>
  </si>
  <si>
    <t>NE 100015744</t>
  </si>
  <si>
    <t>NE 100015745</t>
  </si>
  <si>
    <t>-15.70</t>
  </si>
  <si>
    <t>IM 100003393</t>
  </si>
  <si>
    <t>1444.52</t>
  </si>
  <si>
    <t>EP 200446</t>
  </si>
  <si>
    <t>-3315.80</t>
  </si>
  <si>
    <t>NE 100015844</t>
  </si>
  <si>
    <t>143.10</t>
  </si>
  <si>
    <t>EP 200447</t>
  </si>
  <si>
    <t>-115.61</t>
  </si>
  <si>
    <t>EM 1727</t>
  </si>
  <si>
    <t>103.39</t>
  </si>
  <si>
    <t>NE 100015746</t>
  </si>
  <si>
    <t>-103.39</t>
  </si>
  <si>
    <t>IM 100003394</t>
  </si>
  <si>
    <t>-3.64</t>
  </si>
  <si>
    <t>IM 100003395</t>
  </si>
  <si>
    <t>31.18</t>
  </si>
  <si>
    <t>EP 6406</t>
  </si>
  <si>
    <t>1026.00</t>
  </si>
  <si>
    <t>NE 100015749</t>
  </si>
  <si>
    <t>Entregas - CN0992388420001</t>
  </si>
  <si>
    <t>-4039.87</t>
  </si>
  <si>
    <t>NE 100015750</t>
  </si>
  <si>
    <t>-13.61</t>
  </si>
  <si>
    <t>NE 100015751</t>
  </si>
  <si>
    <t>Entregas - CN1713071197001</t>
  </si>
  <si>
    <t>-12.60</t>
  </si>
  <si>
    <t>RC 100000675</t>
  </si>
  <si>
    <t>Notas de crédito clientes - CN1713071197001</t>
  </si>
  <si>
    <t>CN1713071197001</t>
  </si>
  <si>
    <t>SUQUILLO GUACOLLANTE RAUL GERARDO</t>
  </si>
  <si>
    <t>12.60</t>
  </si>
  <si>
    <t>EP 6407</t>
  </si>
  <si>
    <t>1200.00</t>
  </si>
  <si>
    <t>IM 100003396</t>
  </si>
  <si>
    <t>-17486.71</t>
  </si>
  <si>
    <t>NE 100015752</t>
  </si>
  <si>
    <t>-17.85</t>
  </si>
  <si>
    <t>EP 6408</t>
  </si>
  <si>
    <t>1600.00</t>
  </si>
  <si>
    <t>NE 100015753</t>
  </si>
  <si>
    <t>-1600.00</t>
  </si>
  <si>
    <t>NE 100015755</t>
  </si>
  <si>
    <t>-887.27</t>
  </si>
  <si>
    <t>SM 573</t>
  </si>
  <si>
    <t>-344.70</t>
  </si>
  <si>
    <t>NE 100015756</t>
  </si>
  <si>
    <t>-121.61</t>
  </si>
  <si>
    <t>EM 1728</t>
  </si>
  <si>
    <t>389.71</t>
  </si>
  <si>
    <t>NE 100015757</t>
  </si>
  <si>
    <t>-389.71</t>
  </si>
  <si>
    <t>NE 100015758</t>
  </si>
  <si>
    <t>121.61</t>
  </si>
  <si>
    <t>NE 100015759</t>
  </si>
  <si>
    <t>-96.66</t>
  </si>
  <si>
    <t>NE 100015761</t>
  </si>
  <si>
    <t>-918.84</t>
  </si>
  <si>
    <t>NE 100015762</t>
  </si>
  <si>
    <t>-1200.00</t>
  </si>
  <si>
    <t>NE 100015764</t>
  </si>
  <si>
    <t>-106.05</t>
  </si>
  <si>
    <t>NE 100015765</t>
  </si>
  <si>
    <t>-262.46</t>
  </si>
  <si>
    <t>IM 100003397</t>
  </si>
  <si>
    <t>40.29</t>
  </si>
  <si>
    <t>NE 100015838</t>
  </si>
  <si>
    <t>EP 200445</t>
  </si>
  <si>
    <t>NE 100015847</t>
  </si>
  <si>
    <t>EP 200448</t>
  </si>
  <si>
    <t>IM 100003398</t>
  </si>
  <si>
    <t>-116.79</t>
  </si>
  <si>
    <t>EM 1729</t>
  </si>
  <si>
    <t>INGRESO DE MATERIAL OC 5932 AUTO ALESSANDRO CARDIL</t>
  </si>
  <si>
    <t>IM 100003399</t>
  </si>
  <si>
    <t>NE 100015767</t>
  </si>
  <si>
    <t>-52.54</t>
  </si>
  <si>
    <t>NE 100015768</t>
  </si>
  <si>
    <t>NE 100015769</t>
  </si>
  <si>
    <t>-47.19</t>
  </si>
  <si>
    <t>IM 100003400</t>
  </si>
  <si>
    <t>IM 100003401</t>
  </si>
  <si>
    <t>87438.09</t>
  </si>
  <si>
    <t>IM 100003402</t>
  </si>
  <si>
    <t>9802.48</t>
  </si>
  <si>
    <t>IM 100003403</t>
  </si>
  <si>
    <t>-100157.21</t>
  </si>
  <si>
    <t>IM 100003404</t>
  </si>
  <si>
    <t>100170.61</t>
  </si>
  <si>
    <t>NE 100015772</t>
  </si>
  <si>
    <t>-55209.65</t>
  </si>
  <si>
    <t>NE 100015773</t>
  </si>
  <si>
    <t>-988.89</t>
  </si>
  <si>
    <t>IM 100003405</t>
  </si>
  <si>
    <t>-278.79</t>
  </si>
  <si>
    <t>IM 100003406</t>
  </si>
  <si>
    <t>-106.67</t>
  </si>
  <si>
    <t>IM 100003407</t>
  </si>
  <si>
    <t>-796.12</t>
  </si>
  <si>
    <t>IM 100003408</t>
  </si>
  <si>
    <t>-240.32</t>
  </si>
  <si>
    <t>IM 100003409</t>
  </si>
  <si>
    <t>-40.78</t>
  </si>
  <si>
    <t>NE 100015780</t>
  </si>
  <si>
    <t>-523.73</t>
  </si>
  <si>
    <t>NE 100015781</t>
  </si>
  <si>
    <t>-316.89</t>
  </si>
  <si>
    <t>NE 100015782</t>
  </si>
  <si>
    <t>-281.65</t>
  </si>
  <si>
    <t>IM 100003410</t>
  </si>
  <si>
    <t>-706.12</t>
  </si>
  <si>
    <t>NE 100015784</t>
  </si>
  <si>
    <t>-7977.43</t>
  </si>
  <si>
    <t>NE 100015785</t>
  </si>
  <si>
    <t>-785.80</t>
  </si>
  <si>
    <t>NE 100015786</t>
  </si>
  <si>
    <t>-121.58</t>
  </si>
  <si>
    <t>NE 100015788</t>
  </si>
  <si>
    <t>-2335.78</t>
  </si>
  <si>
    <t>NE 100015789</t>
  </si>
  <si>
    <t>-119.00</t>
  </si>
  <si>
    <t>NE 100015790</t>
  </si>
  <si>
    <t>-179.70</t>
  </si>
  <si>
    <t>IM 100003411</t>
  </si>
  <si>
    <t>1072.95</t>
  </si>
  <si>
    <t>EP 6410</t>
  </si>
  <si>
    <t>1839.23</t>
  </si>
  <si>
    <t>EP 6411</t>
  </si>
  <si>
    <t>EP 6412</t>
  </si>
  <si>
    <t>497.25</t>
  </si>
  <si>
    <t>EP 6413</t>
  </si>
  <si>
    <t>415.50</t>
  </si>
  <si>
    <t>NE 100015791</t>
  </si>
  <si>
    <t>-415.50</t>
  </si>
  <si>
    <t>NE 100015792</t>
  </si>
  <si>
    <t>-2512.87</t>
  </si>
  <si>
    <t>EP 6414</t>
  </si>
  <si>
    <t>1742.72</t>
  </si>
  <si>
    <t>NE 100015793</t>
  </si>
  <si>
    <t>Entregas - CN1792064082001</t>
  </si>
  <si>
    <t>-650.98</t>
  </si>
  <si>
    <t>NE 100015794</t>
  </si>
  <si>
    <t>-478.55</t>
  </si>
  <si>
    <t>NE 100015795</t>
  </si>
  <si>
    <t>-212.38</t>
  </si>
  <si>
    <t>NE 100015796</t>
  </si>
  <si>
    <t>-924.62</t>
  </si>
  <si>
    <t>NE 100015797</t>
  </si>
  <si>
    <t>-403.60</t>
  </si>
  <si>
    <t>EP 6416</t>
  </si>
  <si>
    <t>10.54</t>
  </si>
  <si>
    <t>IM 100003412</t>
  </si>
  <si>
    <t>IM 100003413</t>
  </si>
  <si>
    <t>32397.76</t>
  </si>
  <si>
    <t>IM 100003414</t>
  </si>
  <si>
    <t>-32397.76</t>
  </si>
  <si>
    <t>RC 100000676</t>
  </si>
  <si>
    <t>EM 1730</t>
  </si>
  <si>
    <t>10.05</t>
  </si>
  <si>
    <t>NE 100015798</t>
  </si>
  <si>
    <t>-11.39</t>
  </si>
  <si>
    <t>NE 100015799</t>
  </si>
  <si>
    <t>-145.86</t>
  </si>
  <si>
    <t>IM 100003415</t>
  </si>
  <si>
    <t>-1144.55</t>
  </si>
  <si>
    <t>NE 100015801</t>
  </si>
  <si>
    <t>NE 100015803</t>
  </si>
  <si>
    <t>-313.69</t>
  </si>
  <si>
    <t>EP 6417</t>
  </si>
  <si>
    <t>453.20</t>
  </si>
  <si>
    <t>NE 100015804</t>
  </si>
  <si>
    <t>-1696.21</t>
  </si>
  <si>
    <t>EP 6418</t>
  </si>
  <si>
    <t>10.40</t>
  </si>
  <si>
    <t>EP 6419</t>
  </si>
  <si>
    <t>2394.20</t>
  </si>
  <si>
    <t>IM 100003416</t>
  </si>
  <si>
    <t>-2847.40</t>
  </si>
  <si>
    <t>EM 1731</t>
  </si>
  <si>
    <t>19.26</t>
  </si>
  <si>
    <t>NE 100015805</t>
  </si>
  <si>
    <t>-738.87</t>
  </si>
  <si>
    <t>NE 100015806</t>
  </si>
  <si>
    <t>-192.46</t>
  </si>
  <si>
    <t>NE 100015807</t>
  </si>
  <si>
    <t>NE 100015808</t>
  </si>
  <si>
    <t>-98.22</t>
  </si>
  <si>
    <t>NE 100015809</t>
  </si>
  <si>
    <t>EP 6420</t>
  </si>
  <si>
    <t>197.00</t>
  </si>
  <si>
    <t>NE 100015810</t>
  </si>
  <si>
    <t>-98.50</t>
  </si>
  <si>
    <t>NE 100015811</t>
  </si>
  <si>
    <t>NE 100015812</t>
  </si>
  <si>
    <t>-23.66</t>
  </si>
  <si>
    <t>NE 100015813</t>
  </si>
  <si>
    <t>-92.78</t>
  </si>
  <si>
    <t>IM 100003417</t>
  </si>
  <si>
    <t>88.92</t>
  </si>
  <si>
    <t>NE 100015817</t>
  </si>
  <si>
    <t>-226.89</t>
  </si>
  <si>
    <t>NE 100015818</t>
  </si>
  <si>
    <t>-16.76</t>
  </si>
  <si>
    <t>NE 100015820</t>
  </si>
  <si>
    <t>-61.05</t>
  </si>
  <si>
    <t>NE 100015822</t>
  </si>
  <si>
    <t>-159.07</t>
  </si>
  <si>
    <t>NE 100015824</t>
  </si>
  <si>
    <t>Entregas - CN1791769937001</t>
  </si>
  <si>
    <t>-5.85</t>
  </si>
  <si>
    <t>NE 100015825</t>
  </si>
  <si>
    <t>-17.78</t>
  </si>
  <si>
    <t>NE 100015826</t>
  </si>
  <si>
    <t>NE 100015827</t>
  </si>
  <si>
    <t>Entregas - CN1708563752001</t>
  </si>
  <si>
    <t>-9.94</t>
  </si>
  <si>
    <t>EP 6421</t>
  </si>
  <si>
    <t>14.79</t>
  </si>
  <si>
    <t>NE 100015828</t>
  </si>
  <si>
    <t>-14.79</t>
  </si>
  <si>
    <t>RC 100000677</t>
  </si>
  <si>
    <t>Notas de crédito clientes - CN1722882634001</t>
  </si>
  <si>
    <t>CN1722882634001</t>
  </si>
  <si>
    <t>FLORES LEON SONIA ELIZABETH</t>
  </si>
  <si>
    <t>2335.78</t>
  </si>
  <si>
    <t>IM 100003418</t>
  </si>
  <si>
    <t>NE 100015829</t>
  </si>
  <si>
    <t>Entregas - CN1792021359001</t>
  </si>
  <si>
    <t>NE 100015830</t>
  </si>
  <si>
    <t>NE 100015831</t>
  </si>
  <si>
    <t>-1660.70</t>
  </si>
  <si>
    <t>EP 6426</t>
  </si>
  <si>
    <t>126.72</t>
  </si>
  <si>
    <t>EP 6427</t>
  </si>
  <si>
    <t>NE 100015834</t>
  </si>
  <si>
    <t>-789.42</t>
  </si>
  <si>
    <t>IM 100003419</t>
  </si>
  <si>
    <t>50410.79</t>
  </si>
  <si>
    <t>EP 6428</t>
  </si>
  <si>
    <t>1942.40</t>
  </si>
  <si>
    <t>NE 100015835</t>
  </si>
  <si>
    <t>Entregas - CN1791768205001</t>
  </si>
  <si>
    <t>-108.34</t>
  </si>
  <si>
    <t>SM 574</t>
  </si>
  <si>
    <t>-258.94</t>
  </si>
  <si>
    <t>EM 1732</t>
  </si>
  <si>
    <t>293.99</t>
  </si>
  <si>
    <t>IM 100003420</t>
  </si>
  <si>
    <t>-293.99</t>
  </si>
  <si>
    <t>EP 200444</t>
  </si>
  <si>
    <t>EP 6429</t>
  </si>
  <si>
    <t>NE 100015836</t>
  </si>
  <si>
    <t>IM 100003421</t>
  </si>
  <si>
    <t>-1933.78</t>
  </si>
  <si>
    <t>IM 100003422</t>
  </si>
  <si>
    <t>-1208.62</t>
  </si>
  <si>
    <t>EP 6430</t>
  </si>
  <si>
    <t>856.80</t>
  </si>
  <si>
    <t>NE 100015839</t>
  </si>
  <si>
    <t>-856.80</t>
  </si>
  <si>
    <t>NE 100015840</t>
  </si>
  <si>
    <t>IM 100003423</t>
  </si>
  <si>
    <t>30.34</t>
  </si>
  <si>
    <t>IM 100003424</t>
  </si>
  <si>
    <t>-30.34</t>
  </si>
  <si>
    <t>IM 100003425</t>
  </si>
  <si>
    <t>3223.80</t>
  </si>
  <si>
    <t>IM 100003426</t>
  </si>
  <si>
    <t>92.00</t>
  </si>
  <si>
    <t>EP 6431</t>
  </si>
  <si>
    <t>3364.12</t>
  </si>
  <si>
    <t>IM 100003427</t>
  </si>
  <si>
    <t>-3312.37</t>
  </si>
  <si>
    <t>IM 100003428</t>
  </si>
  <si>
    <t>40.25</t>
  </si>
  <si>
    <t>DM 54</t>
  </si>
  <si>
    <t>-92.00</t>
  </si>
  <si>
    <t>EP 6432</t>
  </si>
  <si>
    <t>101.55</t>
  </si>
  <si>
    <t>NE 100015845</t>
  </si>
  <si>
    <t>-129.04</t>
  </si>
  <si>
    <t>EP 6433</t>
  </si>
  <si>
    <t>1640.00</t>
  </si>
  <si>
    <t>NE 100015849</t>
  </si>
  <si>
    <t>-1640.00</t>
  </si>
  <si>
    <t>NE 100015850</t>
  </si>
  <si>
    <t>EP 200449</t>
  </si>
  <si>
    <t>EP 6434</t>
  </si>
  <si>
    <t>NE 100015851</t>
  </si>
  <si>
    <t>NE 100015854</t>
  </si>
  <si>
    <t>-8.20</t>
  </si>
  <si>
    <t>IM 100003429</t>
  </si>
  <si>
    <t>74.98</t>
  </si>
  <si>
    <t>NE 100015855</t>
  </si>
  <si>
    <t>NE 100015856</t>
  </si>
  <si>
    <t>-52.43</t>
  </si>
  <si>
    <t>NE 100015857</t>
  </si>
  <si>
    <t>-87.80</t>
  </si>
  <si>
    <t>EP 6435</t>
  </si>
  <si>
    <t>NE 100015858</t>
  </si>
  <si>
    <t>EP 6436</t>
  </si>
  <si>
    <t>43.52</t>
  </si>
  <si>
    <t>EP 6437</t>
  </si>
  <si>
    <t>EP 6438</t>
  </si>
  <si>
    <t>45.29</t>
  </si>
  <si>
    <t>EP 6439</t>
  </si>
  <si>
    <t>49.30</t>
  </si>
  <si>
    <t>EP 6440</t>
  </si>
  <si>
    <t>67.86</t>
  </si>
  <si>
    <t>NE 100015859</t>
  </si>
  <si>
    <t>-43.52</t>
  </si>
  <si>
    <t>EP 6441</t>
  </si>
  <si>
    <t>676.60</t>
  </si>
  <si>
    <t>IM 100003430</t>
  </si>
  <si>
    <t>-2068.18</t>
  </si>
  <si>
    <t>IM 100003431</t>
  </si>
  <si>
    <t>-1.38</t>
  </si>
  <si>
    <t>NE 100015861</t>
  </si>
  <si>
    <t>-1.23</t>
  </si>
  <si>
    <t>EP 6442</t>
  </si>
  <si>
    <t>25.00</t>
  </si>
  <si>
    <t>IM 100003432</t>
  </si>
  <si>
    <t>-25.00</t>
  </si>
  <si>
    <t>NE 100015866</t>
  </si>
  <si>
    <t>NE 100015867</t>
  </si>
  <si>
    <t>-95.29</t>
  </si>
  <si>
    <t>DV 238</t>
  </si>
  <si>
    <t>Devoluciones - CN1790342867001</t>
  </si>
  <si>
    <t>62.07</t>
  </si>
  <si>
    <t>EP 6443</t>
  </si>
  <si>
    <t>2743.98</t>
  </si>
  <si>
    <t>NE 100015869</t>
  </si>
  <si>
    <t>-31.12</t>
  </si>
  <si>
    <t>NE 100015870</t>
  </si>
  <si>
    <t>-6.60</t>
  </si>
  <si>
    <t>NE 100015871</t>
  </si>
  <si>
    <t>Entregas - CN1801610476001</t>
  </si>
  <si>
    <t>-16.74</t>
  </si>
  <si>
    <t>NE 100015872</t>
  </si>
  <si>
    <t>IM 100003433</t>
  </si>
  <si>
    <t>-7.68</t>
  </si>
  <si>
    <t>NE 100015873</t>
  </si>
  <si>
    <t>-119.28</t>
  </si>
  <si>
    <t>NE 100015874</t>
  </si>
  <si>
    <t>119.28</t>
  </si>
  <si>
    <t>NE 100015875</t>
  </si>
  <si>
    <t>-194.26</t>
  </si>
  <si>
    <t>IM 100003434</t>
  </si>
  <si>
    <t>EP 6444</t>
  </si>
  <si>
    <t>EP 6445</t>
  </si>
  <si>
    <t>130.37</t>
  </si>
  <si>
    <t>EP 6446</t>
  </si>
  <si>
    <t>9.15</t>
  </si>
  <si>
    <t>EP 6447</t>
  </si>
  <si>
    <t>IM 100003435</t>
  </si>
  <si>
    <t>-9.15</t>
  </si>
  <si>
    <t>NE 100015877</t>
  </si>
  <si>
    <t>NE 100015878</t>
  </si>
  <si>
    <t>-39.44</t>
  </si>
  <si>
    <t>NE 100015879</t>
  </si>
  <si>
    <t>IM 100003436</t>
  </si>
  <si>
    <t>EP 6448</t>
  </si>
  <si>
    <t>90.00</t>
  </si>
  <si>
    <t>NE 100015881</t>
  </si>
  <si>
    <t>-90.00</t>
  </si>
  <si>
    <t>NE 100015882</t>
  </si>
  <si>
    <t>-24.21</t>
  </si>
  <si>
    <t>EP 200450</t>
  </si>
  <si>
    <t>IM 100003437</t>
  </si>
  <si>
    <t>-2743.98</t>
  </si>
  <si>
    <t>NE 100015885</t>
  </si>
  <si>
    <t>-161.96</t>
  </si>
  <si>
    <t>NE 100015886</t>
  </si>
  <si>
    <t>-91.79</t>
  </si>
  <si>
    <t>NE 100015887</t>
  </si>
  <si>
    <t>-14.21</t>
  </si>
  <si>
    <t>NE 100015888</t>
  </si>
  <si>
    <t>-94.63</t>
  </si>
  <si>
    <t>EP 6449</t>
  </si>
  <si>
    <t>3117.72</t>
  </si>
  <si>
    <t>IM 100003438</t>
  </si>
  <si>
    <t>-3117.72</t>
  </si>
  <si>
    <t>NE 100015893</t>
  </si>
  <si>
    <t>-2305.39</t>
  </si>
  <si>
    <t>EP 6450</t>
  </si>
  <si>
    <t>886.04</t>
  </si>
  <si>
    <t>EP 6451</t>
  </si>
  <si>
    <t>64.40</t>
  </si>
  <si>
    <t>EP 6452</t>
  </si>
  <si>
    <t>326.40</t>
  </si>
  <si>
    <t>NE 100015894</t>
  </si>
  <si>
    <t>-2812.53</t>
  </si>
  <si>
    <t>NE 100015896</t>
  </si>
  <si>
    <t>-759.18</t>
  </si>
  <si>
    <t>IM 100003439</t>
  </si>
  <si>
    <t>457.58</t>
  </si>
  <si>
    <t>NE 100015898</t>
  </si>
  <si>
    <t>-46737.44</t>
  </si>
  <si>
    <t>NE 100015899</t>
  </si>
  <si>
    <t>-31.63</t>
  </si>
  <si>
    <t>NE 100015900</t>
  </si>
  <si>
    <t>-11.22</t>
  </si>
  <si>
    <t>NE 100015901</t>
  </si>
  <si>
    <t>-457.58</t>
  </si>
  <si>
    <t>NE 100015902</t>
  </si>
  <si>
    <t>NE 100015910</t>
  </si>
  <si>
    <t>-710.68</t>
  </si>
  <si>
    <t>NE 100015911</t>
  </si>
  <si>
    <t>EP 6453</t>
  </si>
  <si>
    <t>788.73</t>
  </si>
  <si>
    <t>EP 6454</t>
  </si>
  <si>
    <t>157.49</t>
  </si>
  <si>
    <t>EP 6455</t>
  </si>
  <si>
    <t>363.88</t>
  </si>
  <si>
    <t>NE 100015912</t>
  </si>
  <si>
    <t>NE 100015913</t>
  </si>
  <si>
    <t>Entrega - Cancelación - CN1792073898001</t>
  </si>
  <si>
    <t>NE 100015914</t>
  </si>
  <si>
    <t>-20.69</t>
  </si>
  <si>
    <t>NE 100015915</t>
  </si>
  <si>
    <t>-8303.20</t>
  </si>
  <si>
    <t>NE 100015916</t>
  </si>
  <si>
    <t>-2.85</t>
  </si>
  <si>
    <t>NE 100015917</t>
  </si>
  <si>
    <t>-157.49</t>
  </si>
  <si>
    <t>EP 6456</t>
  </si>
  <si>
    <t>210.00</t>
  </si>
  <si>
    <t>EP 6457</t>
  </si>
  <si>
    <t>891.00</t>
  </si>
  <si>
    <t>NE 100015920</t>
  </si>
  <si>
    <t>-210.00</t>
  </si>
  <si>
    <t>NE 100015921</t>
  </si>
  <si>
    <t>-593.12</t>
  </si>
  <si>
    <t>NE 100015922</t>
  </si>
  <si>
    <t>-742.50</t>
  </si>
  <si>
    <t>NE 100015923</t>
  </si>
  <si>
    <t>-148.50</t>
  </si>
  <si>
    <t>IM 100003440</t>
  </si>
  <si>
    <t>41.76</t>
  </si>
  <si>
    <t>NE 100015924</t>
  </si>
  <si>
    <t>NE 100015925</t>
  </si>
  <si>
    <t>-315.34</t>
  </si>
  <si>
    <t>NE 100015926</t>
  </si>
  <si>
    <t>-137.89</t>
  </si>
  <si>
    <t>NE 100016106</t>
  </si>
  <si>
    <t>Entrega - Cancelación - CN1715188270001</t>
  </si>
  <si>
    <t>710.68</t>
  </si>
  <si>
    <t>NE 100015927</t>
  </si>
  <si>
    <t>-363.88</t>
  </si>
  <si>
    <t>NE 100015928</t>
  </si>
  <si>
    <t>-690.13</t>
  </si>
  <si>
    <t>EP 6458</t>
  </si>
  <si>
    <t>4456.08</t>
  </si>
  <si>
    <t>NE 100015929</t>
  </si>
  <si>
    <t>-34.80</t>
  </si>
  <si>
    <t>RC 100000678</t>
  </si>
  <si>
    <t>Notas de crédito clientes - CN1792514541001</t>
  </si>
  <si>
    <t>CN1792514541001</t>
  </si>
  <si>
    <t>SERVICIOS INTEGRADOS PAÑATURI S.A.</t>
  </si>
  <si>
    <t>NE 100015933</t>
  </si>
  <si>
    <t>-579.65</t>
  </si>
  <si>
    <t>NE 100015934</t>
  </si>
  <si>
    <t>-41.76</t>
  </si>
  <si>
    <t>NE 100015937</t>
  </si>
  <si>
    <t>-31.09</t>
  </si>
  <si>
    <t>IM 100003441</t>
  </si>
  <si>
    <t>-330.92</t>
  </si>
  <si>
    <t>NE 100015939</t>
  </si>
  <si>
    <t>-97.52</t>
  </si>
  <si>
    <t>IM 100003442</t>
  </si>
  <si>
    <t>171273.89</t>
  </si>
  <si>
    <t>IM 100003443</t>
  </si>
  <si>
    <t>-284196.21</t>
  </si>
  <si>
    <t>IM 100003444</t>
  </si>
  <si>
    <t>283426.08</t>
  </si>
  <si>
    <t>EP 6460</t>
  </si>
  <si>
    <t>EP 6461</t>
  </si>
  <si>
    <t>226.10</t>
  </si>
  <si>
    <t>EP 6462</t>
  </si>
  <si>
    <t>109.56</t>
  </si>
  <si>
    <t>IM 100003445</t>
  </si>
  <si>
    <t>-218.35</t>
  </si>
  <si>
    <t>NE 100015940</t>
  </si>
  <si>
    <t>NE 100015941</t>
  </si>
  <si>
    <t>-1093.82</t>
  </si>
  <si>
    <t>NE 100015942</t>
  </si>
  <si>
    <t>-282.18</t>
  </si>
  <si>
    <t>NE 100016078</t>
  </si>
  <si>
    <t>NE 100016108</t>
  </si>
  <si>
    <t>NE 100016110</t>
  </si>
  <si>
    <t>579.65</t>
  </si>
  <si>
    <t>EP 6463</t>
  </si>
  <si>
    <t>40.00</t>
  </si>
  <si>
    <t>NE 100015943</t>
  </si>
  <si>
    <t>-26.81</t>
  </si>
  <si>
    <t>NE 100015944</t>
  </si>
  <si>
    <t>-26.68</t>
  </si>
  <si>
    <t>NE 100015945</t>
  </si>
  <si>
    <t>-262.47</t>
  </si>
  <si>
    <t>NE 100015946</t>
  </si>
  <si>
    <t>Entregas - CN1792212251001</t>
  </si>
  <si>
    <t>-732.84</t>
  </si>
  <si>
    <t>NE 100015947</t>
  </si>
  <si>
    <t>-477.21</t>
  </si>
  <si>
    <t>NE 100015948</t>
  </si>
  <si>
    <t>-2537.41</t>
  </si>
  <si>
    <t>NE 100015949</t>
  </si>
  <si>
    <t>-433.37</t>
  </si>
  <si>
    <t>RC 100000679</t>
  </si>
  <si>
    <t>Notas de crédito clientes - CN1708553464001</t>
  </si>
  <si>
    <t>CN1708553464001</t>
  </si>
  <si>
    <t>ESQUIVEL ANDINO LUIS BAYARDO</t>
  </si>
  <si>
    <t>698.98</t>
  </si>
  <si>
    <t>RC 100000680</t>
  </si>
  <si>
    <t>27.93</t>
  </si>
  <si>
    <t>NE 100015953</t>
  </si>
  <si>
    <t>-698.38</t>
  </si>
  <si>
    <t>NE 100015954</t>
  </si>
  <si>
    <t>NE 100015955</t>
  </si>
  <si>
    <t>Entregas - CN1721849147001</t>
  </si>
  <si>
    <t>-178.37</t>
  </si>
  <si>
    <t>NE 100015956</t>
  </si>
  <si>
    <t>-72.90</t>
  </si>
  <si>
    <t>NE 100015957</t>
  </si>
  <si>
    <t>NE 100015959</t>
  </si>
  <si>
    <t>-175.44</t>
  </si>
  <si>
    <t>NE 100015961</t>
  </si>
  <si>
    <t>-53.01</t>
  </si>
  <si>
    <t>IM 100003446</t>
  </si>
  <si>
    <t>297.84</t>
  </si>
  <si>
    <t>NE 100015966</t>
  </si>
  <si>
    <t>EP 6464</t>
  </si>
  <si>
    <t>1923.80</t>
  </si>
  <si>
    <t>NE 100015967</t>
  </si>
  <si>
    <t>-320.12</t>
  </si>
  <si>
    <t>IM 100003447</t>
  </si>
  <si>
    <t>-4121.60</t>
  </si>
  <si>
    <t>IM 100003448</t>
  </si>
  <si>
    <t>-107010.95</t>
  </si>
  <si>
    <t>NE 100015969</t>
  </si>
  <si>
    <t>-66.96</t>
  </si>
  <si>
    <t>NE 100015970</t>
  </si>
  <si>
    <t>-83.35</t>
  </si>
  <si>
    <t>NE 100015971</t>
  </si>
  <si>
    <t>-15.72</t>
  </si>
  <si>
    <t>NE 100015972</t>
  </si>
  <si>
    <t>-166.63</t>
  </si>
  <si>
    <t>IM 100003449</t>
  </si>
  <si>
    <t>-1923.80</t>
  </si>
  <si>
    <t>NE 100015974</t>
  </si>
  <si>
    <t>-224.94</t>
  </si>
  <si>
    <t>NE 100015975</t>
  </si>
  <si>
    <t>-2244.34</t>
  </si>
  <si>
    <t>EP 6465</t>
  </si>
  <si>
    <t>EP 6466</t>
  </si>
  <si>
    <t>294.84</t>
  </si>
  <si>
    <t>NE 100015976</t>
  </si>
  <si>
    <t>-10.72</t>
  </si>
  <si>
    <t>NE 100015977</t>
  </si>
  <si>
    <t>-294.84</t>
  </si>
  <si>
    <t>NE 100015978</t>
  </si>
  <si>
    <t>-22.01</t>
  </si>
  <si>
    <t>SM 576</t>
  </si>
  <si>
    <t>-41.54</t>
  </si>
  <si>
    <t>EM 1734</t>
  </si>
  <si>
    <t>31.31</t>
  </si>
  <si>
    <t>IM 100003451</t>
  </si>
  <si>
    <t>-20.23</t>
  </si>
  <si>
    <t>SM 577</t>
  </si>
  <si>
    <t>-11.08</t>
  </si>
  <si>
    <t>RC 100000681</t>
  </si>
  <si>
    <t>194.26</t>
  </si>
  <si>
    <t>EP 6467</t>
  </si>
  <si>
    <t>989.45</t>
  </si>
  <si>
    <t>NE 100015980</t>
  </si>
  <si>
    <t>-989.45</t>
  </si>
  <si>
    <t>EP 6468</t>
  </si>
  <si>
    <t>NE 100015981</t>
  </si>
  <si>
    <t>EP 6469</t>
  </si>
  <si>
    <t>EP 6470</t>
  </si>
  <si>
    <t>263.91</t>
  </si>
  <si>
    <t>NE 100015983</t>
  </si>
  <si>
    <t>-491.57</t>
  </si>
  <si>
    <t>NE 100015984</t>
  </si>
  <si>
    <t>-57.27</t>
  </si>
  <si>
    <t>NE 100015985</t>
  </si>
  <si>
    <t>491.57</t>
  </si>
  <si>
    <t>EP 200451</t>
  </si>
  <si>
    <t>-263.91</t>
  </si>
  <si>
    <t>EP 6471</t>
  </si>
  <si>
    <t>230.89</t>
  </si>
  <si>
    <t>NE 100015986</t>
  </si>
  <si>
    <t>-458.55</t>
  </si>
  <si>
    <t>NE 100016035</t>
  </si>
  <si>
    <t>Entrega - Cancelación - CN1717939720001</t>
  </si>
  <si>
    <t>166.63</t>
  </si>
  <si>
    <t>NE 100016109</t>
  </si>
  <si>
    <t>282.18</t>
  </si>
  <si>
    <t>EM 1735</t>
  </si>
  <si>
    <t>INGRESO DE MATERIAL OC 5983 AUTO ALESSANDRO CARDIL</t>
  </si>
  <si>
    <t>64.00</t>
  </si>
  <si>
    <t>RC 100000682</t>
  </si>
  <si>
    <t>3695.63</t>
  </si>
  <si>
    <t>NE 100015988</t>
  </si>
  <si>
    <t>-658.68</t>
  </si>
  <si>
    <t>NE 100015989</t>
  </si>
  <si>
    <t>-490.62</t>
  </si>
  <si>
    <t>NE 100015990</t>
  </si>
  <si>
    <t>-427.77</t>
  </si>
  <si>
    <t>NE 100015991</t>
  </si>
  <si>
    <t>-23.27</t>
  </si>
  <si>
    <t>NE 100015992</t>
  </si>
  <si>
    <t>-574.75</t>
  </si>
  <si>
    <t>EP 6472</t>
  </si>
  <si>
    <t>400.37</t>
  </si>
  <si>
    <t>EP 6473</t>
  </si>
  <si>
    <t>217.67</t>
  </si>
  <si>
    <t>EP 6474</t>
  </si>
  <si>
    <t>70.72</t>
  </si>
  <si>
    <t>EP 6475</t>
  </si>
  <si>
    <t>89.59</t>
  </si>
  <si>
    <t>EP 6476</t>
  </si>
  <si>
    <t>2948.32</t>
  </si>
  <si>
    <t>EP 6477</t>
  </si>
  <si>
    <t>426.08</t>
  </si>
  <si>
    <t>EP 6478</t>
  </si>
  <si>
    <t>2725.00</t>
  </si>
  <si>
    <t>NE 100015993</t>
  </si>
  <si>
    <t>-246.22</t>
  </si>
  <si>
    <t>NE 100015994</t>
  </si>
  <si>
    <t>-248.01</t>
  </si>
  <si>
    <t>NE 100015995</t>
  </si>
  <si>
    <t>-84.01</t>
  </si>
  <si>
    <t>NE 100015996</t>
  </si>
  <si>
    <t>-1683.46</t>
  </si>
  <si>
    <t>NE 100015997</t>
  </si>
  <si>
    <t>-428.83</t>
  </si>
  <si>
    <t>NE 100015998</t>
  </si>
  <si>
    <t>-276.57</t>
  </si>
  <si>
    <t>NE 100015999</t>
  </si>
  <si>
    <t>EP 6479</t>
  </si>
  <si>
    <t>Pedido de entrada de mercancías - PN0990129185001</t>
  </si>
  <si>
    <t>832.14</t>
  </si>
  <si>
    <t>NE 100016000</t>
  </si>
  <si>
    <t>Entregas - CN1792145244001</t>
  </si>
  <si>
    <t>-85.61</t>
  </si>
  <si>
    <t>NE 100016002</t>
  </si>
  <si>
    <t>-3695.63</t>
  </si>
  <si>
    <t>SM 578</t>
  </si>
  <si>
    <t>-54.28</t>
  </si>
  <si>
    <t>EM 1736</t>
  </si>
  <si>
    <t>60.88</t>
  </si>
  <si>
    <t>IM 100003452</t>
  </si>
  <si>
    <t>-4658.70</t>
  </si>
  <si>
    <t>IM 100003453</t>
  </si>
  <si>
    <t>-650.39</t>
  </si>
  <si>
    <t>EP 6480</t>
  </si>
  <si>
    <t>1188.00</t>
  </si>
  <si>
    <t>NE 100016004</t>
  </si>
  <si>
    <t>-1188.00</t>
  </si>
  <si>
    <t>NE 100016008</t>
  </si>
  <si>
    <t>-56.40</t>
  </si>
  <si>
    <t>EP 6481</t>
  </si>
  <si>
    <t>1745.53</t>
  </si>
  <si>
    <t>IM 100003454</t>
  </si>
  <si>
    <t>-211.77</t>
  </si>
  <si>
    <t>EP 6482</t>
  </si>
  <si>
    <t>828.92</t>
  </si>
  <si>
    <t>NE 100016010</t>
  </si>
  <si>
    <t>-828.92</t>
  </si>
  <si>
    <t>IM 100003455</t>
  </si>
  <si>
    <t>-102.41</t>
  </si>
  <si>
    <t>EP 6483</t>
  </si>
  <si>
    <t>2079.00</t>
  </si>
  <si>
    <t>NE 100016012</t>
  </si>
  <si>
    <t>-2079.00</t>
  </si>
  <si>
    <t>NE 100016092</t>
  </si>
  <si>
    <t>84.01</t>
  </si>
  <si>
    <t>NE 100016134</t>
  </si>
  <si>
    <t>EP 200453</t>
  </si>
  <si>
    <t>NE 100016013</t>
  </si>
  <si>
    <t>-20.86</t>
  </si>
  <si>
    <t>NE 100016014</t>
  </si>
  <si>
    <t>-409.52</t>
  </si>
  <si>
    <t>NE 100016015</t>
  </si>
  <si>
    <t>-4600.50</t>
  </si>
  <si>
    <t>EP 6484</t>
  </si>
  <si>
    <t>642.56</t>
  </si>
  <si>
    <t>NE 100016017</t>
  </si>
  <si>
    <t>-1533.76</t>
  </si>
  <si>
    <t>IM 100003456</t>
  </si>
  <si>
    <t>-642.56</t>
  </si>
  <si>
    <t>NE 100016019</t>
  </si>
  <si>
    <t>-51.67</t>
  </si>
  <si>
    <t>NE 100016020</t>
  </si>
  <si>
    <t>-1701.53</t>
  </si>
  <si>
    <t>EM 1737</t>
  </si>
  <si>
    <t>NE 100016021</t>
  </si>
  <si>
    <t>-89.69</t>
  </si>
  <si>
    <t>NE 100016022</t>
  </si>
  <si>
    <t>-21.72</t>
  </si>
  <si>
    <t>NE 100016024</t>
  </si>
  <si>
    <t>NE 100016025</t>
  </si>
  <si>
    <t>-44.12</t>
  </si>
  <si>
    <t>EP 6485</t>
  </si>
  <si>
    <t>390.00</t>
  </si>
  <si>
    <t>EP 6486</t>
  </si>
  <si>
    <t>487.05</t>
  </si>
  <si>
    <t>NE 100016026</t>
  </si>
  <si>
    <t>Entregas - CN1792298539001</t>
  </si>
  <si>
    <t>-390.00</t>
  </si>
  <si>
    <t>NE 100016027</t>
  </si>
  <si>
    <t>NE 100016028</t>
  </si>
  <si>
    <t>NE 100016029</t>
  </si>
  <si>
    <t>IM 100003457</t>
  </si>
  <si>
    <t>NE 100016034</t>
  </si>
  <si>
    <t>-429.73</t>
  </si>
  <si>
    <t>IM 100003458</t>
  </si>
  <si>
    <t>-487.05</t>
  </si>
  <si>
    <t>IM 100003459</t>
  </si>
  <si>
    <t>99.70</t>
  </si>
  <si>
    <t>SM 579</t>
  </si>
  <si>
    <t>-2.51</t>
  </si>
  <si>
    <t>EM 1738</t>
  </si>
  <si>
    <t>7.33</t>
  </si>
  <si>
    <t>IM 100003460</t>
  </si>
  <si>
    <t>-7.33</t>
  </si>
  <si>
    <t>NE 100016036</t>
  </si>
  <si>
    <t>-152.98</t>
  </si>
  <si>
    <t>NE 100016037</t>
  </si>
  <si>
    <t>-70.46</t>
  </si>
  <si>
    <t>NE 100016038</t>
  </si>
  <si>
    <t>-99.70</t>
  </si>
  <si>
    <t>RC 100000683</t>
  </si>
  <si>
    <t>87.80</t>
  </si>
  <si>
    <t>NE 100016093</t>
  </si>
  <si>
    <t>20.86</t>
  </si>
  <si>
    <t>NE 100016042</t>
  </si>
  <si>
    <t>-1694.85</t>
  </si>
  <si>
    <t>EP 6487</t>
  </si>
  <si>
    <t>113.92</t>
  </si>
  <si>
    <t>NE 100016044</t>
  </si>
  <si>
    <t>-164.19</t>
  </si>
  <si>
    <t>NE 100016047</t>
  </si>
  <si>
    <t>-76.78</t>
  </si>
  <si>
    <t>IM 100003461</t>
  </si>
  <si>
    <t>189.82</t>
  </si>
  <si>
    <t>EP 6488</t>
  </si>
  <si>
    <t>156.96</t>
  </si>
  <si>
    <t>EP 6489</t>
  </si>
  <si>
    <t>NE 100016048</t>
  </si>
  <si>
    <t>-156.96</t>
  </si>
  <si>
    <t>NE 100016049</t>
  </si>
  <si>
    <t>-226.10</t>
  </si>
  <si>
    <t>NE 100016050</t>
  </si>
  <si>
    <t>-1106.19</t>
  </si>
  <si>
    <t>NE 100016051</t>
  </si>
  <si>
    <t>-25.24</t>
  </si>
  <si>
    <t>RC 100000684</t>
  </si>
  <si>
    <t>129.04</t>
  </si>
  <si>
    <t>NE 100016054</t>
  </si>
  <si>
    <t>-963.79</t>
  </si>
  <si>
    <t>NE 100016055</t>
  </si>
  <si>
    <t>-12.28</t>
  </si>
  <si>
    <t>NE 100016056</t>
  </si>
  <si>
    <t>-12.95</t>
  </si>
  <si>
    <t>NE 100016057</t>
  </si>
  <si>
    <t>NE 100016059</t>
  </si>
  <si>
    <t>-142.75</t>
  </si>
  <si>
    <t>IM 100003462</t>
  </si>
  <si>
    <t>IM 100003463</t>
  </si>
  <si>
    <t>1520.22</t>
  </si>
  <si>
    <t>IM 100003464</t>
  </si>
  <si>
    <t>29.38</t>
  </si>
  <si>
    <t>NE 100016060</t>
  </si>
  <si>
    <t>IM 100003465</t>
  </si>
  <si>
    <t>-733.64</t>
  </si>
  <si>
    <t>NE 100016061</t>
  </si>
  <si>
    <t>-1359.48</t>
  </si>
  <si>
    <t>NE 100016062</t>
  </si>
  <si>
    <t>-184.79</t>
  </si>
  <si>
    <t>EP 6490</t>
  </si>
  <si>
    <t>NE 100016063</t>
  </si>
  <si>
    <t>NE 100016064</t>
  </si>
  <si>
    <t>-2505.34</t>
  </si>
  <si>
    <t>NE 100016065</t>
  </si>
  <si>
    <t>-59.71</t>
  </si>
  <si>
    <t>RC 100000685</t>
  </si>
  <si>
    <t>RC 100000686</t>
  </si>
  <si>
    <t>31.12</t>
  </si>
  <si>
    <t>NE 100016067</t>
  </si>
  <si>
    <t>NE 100016068</t>
  </si>
  <si>
    <t>IM 100003466</t>
  </si>
  <si>
    <t>-1.26</t>
  </si>
  <si>
    <t>EP 6491</t>
  </si>
  <si>
    <t>288.00</t>
  </si>
  <si>
    <t>NE 100016069</t>
  </si>
  <si>
    <t>-288.00</t>
  </si>
  <si>
    <t>NE 100016070</t>
  </si>
  <si>
    <t>-527.94</t>
  </si>
  <si>
    <t>NE 100016071</t>
  </si>
  <si>
    <t>RC 100000687</t>
  </si>
  <si>
    <t>490.62</t>
  </si>
  <si>
    <t>NE 100016072</t>
  </si>
  <si>
    <t>NE 100016075</t>
  </si>
  <si>
    <t>-549.71</t>
  </si>
  <si>
    <t>EP 6492</t>
  </si>
  <si>
    <t>4225.00</t>
  </si>
  <si>
    <t>NE 100016079</t>
  </si>
  <si>
    <t>-4225.00</t>
  </si>
  <si>
    <t>NE 100016080</t>
  </si>
  <si>
    <t>NE 100016081</t>
  </si>
  <si>
    <t>-12.37</t>
  </si>
  <si>
    <t>RC 100000688</t>
  </si>
  <si>
    <t>RC 100000689</t>
  </si>
  <si>
    <t>Notas de crédito clientes - CN1792145244001</t>
  </si>
  <si>
    <t>CN1792145244001</t>
  </si>
  <si>
    <t>SIDERTECH S. A.</t>
  </si>
  <si>
    <t>85.61</t>
  </si>
  <si>
    <t>EP 6493</t>
  </si>
  <si>
    <t>126.00</t>
  </si>
  <si>
    <t>RC 100000690</t>
  </si>
  <si>
    <t>1359.48</t>
  </si>
  <si>
    <t>NE 100016083</t>
  </si>
  <si>
    <t>-126.00</t>
  </si>
  <si>
    <t>EP 6494</t>
  </si>
  <si>
    <t>73.78</t>
  </si>
  <si>
    <t>EP 6495</t>
  </si>
  <si>
    <t>544.51</t>
  </si>
  <si>
    <t>IM 100003467</t>
  </si>
  <si>
    <t>-544.51</t>
  </si>
  <si>
    <t>NE 100016085</t>
  </si>
  <si>
    <t>NE 100016087</t>
  </si>
  <si>
    <t>-1336.63</t>
  </si>
  <si>
    <t>NE 100016088</t>
  </si>
  <si>
    <t>-73.78</t>
  </si>
  <si>
    <t>EP 6496</t>
  </si>
  <si>
    <t>NE 100016089</t>
  </si>
  <si>
    <t>IM 100003468</t>
  </si>
  <si>
    <t>IM 100003469</t>
  </si>
  <si>
    <t>NE 100016090</t>
  </si>
  <si>
    <t>NE 100016091</t>
  </si>
  <si>
    <t>EP 6499</t>
  </si>
  <si>
    <t>1349.19</t>
  </si>
  <si>
    <t>IM 100003470</t>
  </si>
  <si>
    <t>-1349.19</t>
  </si>
  <si>
    <t>NE 100016095</t>
  </si>
  <si>
    <t>EP 6500</t>
  </si>
  <si>
    <t>41.07</t>
  </si>
  <si>
    <t>EP 6501</t>
  </si>
  <si>
    <t>359.04</t>
  </si>
  <si>
    <t>EP 6502</t>
  </si>
  <si>
    <t>58.80</t>
  </si>
  <si>
    <t>EP 6503</t>
  </si>
  <si>
    <t>1002.32</t>
  </si>
  <si>
    <t>EP 6504</t>
  </si>
  <si>
    <t>75.68</t>
  </si>
  <si>
    <t>NE 100016096</t>
  </si>
  <si>
    <t>-86.30</t>
  </si>
  <si>
    <t>NE 100016098</t>
  </si>
  <si>
    <t>-91.38</t>
  </si>
  <si>
    <t>IM 100003471</t>
  </si>
  <si>
    <t>-534.59</t>
  </si>
  <si>
    <t>NE 100016099</t>
  </si>
  <si>
    <t>-773.45</t>
  </si>
  <si>
    <t>EP 6505</t>
  </si>
  <si>
    <t>NE 100016100</t>
  </si>
  <si>
    <t>EP 6506</t>
  </si>
  <si>
    <t>59.60</t>
  </si>
  <si>
    <t>NE 100016101</t>
  </si>
  <si>
    <t>-59.60</t>
  </si>
  <si>
    <t>NE 100016102</t>
  </si>
  <si>
    <t>-34.07</t>
  </si>
  <si>
    <t>EP 6507</t>
  </si>
  <si>
    <t>182.00</t>
  </si>
  <si>
    <t>NE 100016104</t>
  </si>
  <si>
    <t>-182.00</t>
  </si>
  <si>
    <t>EP 6508</t>
  </si>
  <si>
    <t>310.38</t>
  </si>
  <si>
    <t>EP 200452</t>
  </si>
  <si>
    <t>-75.68</t>
  </si>
  <si>
    <t>RC 100000691</t>
  </si>
  <si>
    <t>2696.11</t>
  </si>
  <si>
    <t>NE 100016105</t>
  </si>
  <si>
    <t>-4.21</t>
  </si>
  <si>
    <t>NE 100016111</t>
  </si>
  <si>
    <t>-1074.57</t>
  </si>
  <si>
    <t>NE 100016112</t>
  </si>
  <si>
    <t>-861.83</t>
  </si>
  <si>
    <t>NE 100016114</t>
  </si>
  <si>
    <t>-25.93</t>
  </si>
  <si>
    <t>NE 100016115</t>
  </si>
  <si>
    <t>Entregas - CN1793191987001</t>
  </si>
  <si>
    <t>-704.71</t>
  </si>
  <si>
    <t>IM 100003472</t>
  </si>
  <si>
    <t>84526.70</t>
  </si>
  <si>
    <t>IM 100003473</t>
  </si>
  <si>
    <t>-89047.07</t>
  </si>
  <si>
    <t>IM 100003474</t>
  </si>
  <si>
    <t>88299.23</t>
  </si>
  <si>
    <t>NE 100016116</t>
  </si>
  <si>
    <t>-67.02</t>
  </si>
  <si>
    <t>NE 100016117</t>
  </si>
  <si>
    <t>-486.33</t>
  </si>
  <si>
    <t>NE 100016118</t>
  </si>
  <si>
    <t>-69.95</t>
  </si>
  <si>
    <t>NE 100016119</t>
  </si>
  <si>
    <t>-35.34</t>
  </si>
  <si>
    <t>IM 100003475</t>
  </si>
  <si>
    <t>-42044.34</t>
  </si>
  <si>
    <t>IM 100003476</t>
  </si>
  <si>
    <t>99.60</t>
  </si>
  <si>
    <t>NE 100016120</t>
  </si>
  <si>
    <t>-29.92</t>
  </si>
  <si>
    <t>NE 100016121</t>
  </si>
  <si>
    <t>-42.95</t>
  </si>
  <si>
    <t>NE 100016122</t>
  </si>
  <si>
    <t>-310.38</t>
  </si>
  <si>
    <t>NE 100016124</t>
  </si>
  <si>
    <t>-46.38</t>
  </si>
  <si>
    <t>EP 6510</t>
  </si>
  <si>
    <t>229.19</t>
  </si>
  <si>
    <t>EP 6511</t>
  </si>
  <si>
    <t>2009.41</t>
  </si>
  <si>
    <t>EP 6512</t>
  </si>
  <si>
    <t>41.28</t>
  </si>
  <si>
    <t>EP 6513</t>
  </si>
  <si>
    <t>NE 100016125</t>
  </si>
  <si>
    <t>-334.46</t>
  </si>
  <si>
    <t>NE 100016126</t>
  </si>
  <si>
    <t>-2184.03</t>
  </si>
  <si>
    <t>NE 100016127</t>
  </si>
  <si>
    <t>-76.42</t>
  </si>
  <si>
    <t>NE 100016128</t>
  </si>
  <si>
    <t>IM 100003477</t>
  </si>
  <si>
    <t>35.18</t>
  </si>
  <si>
    <t>EP 6514</t>
  </si>
  <si>
    <t>566.00</t>
  </si>
  <si>
    <t>NE 100016129</t>
  </si>
  <si>
    <t>-566.00</t>
  </si>
  <si>
    <t>NE 100016130</t>
  </si>
  <si>
    <t>-326.40</t>
  </si>
  <si>
    <t>NE 100016133</t>
  </si>
  <si>
    <t>-41.28</t>
  </si>
  <si>
    <t>NE 100016158</t>
  </si>
  <si>
    <t>Entrega - Cancelación - CN1791768205001</t>
  </si>
  <si>
    <t>2184.03</t>
  </si>
  <si>
    <t>EP 200455</t>
  </si>
  <si>
    <t>-2009.41</t>
  </si>
  <si>
    <t>IM 100003478</t>
  </si>
  <si>
    <t>EP 6515</t>
  </si>
  <si>
    <t>EP 6516</t>
  </si>
  <si>
    <t>830.11</t>
  </si>
  <si>
    <t>NE 100016135</t>
  </si>
  <si>
    <t>-830.11</t>
  </si>
  <si>
    <t>NE 100016136</t>
  </si>
  <si>
    <t>-211.68</t>
  </si>
  <si>
    <t>NE 100016137</t>
  </si>
  <si>
    <t>-163.57</t>
  </si>
  <si>
    <t>NE 100016139</t>
  </si>
  <si>
    <t>Entregas - CN1104857253001</t>
  </si>
  <si>
    <t>NE 100016140</t>
  </si>
  <si>
    <t>-54.86</t>
  </si>
  <si>
    <t>DV 240</t>
  </si>
  <si>
    <t>Devoluciones - CN1791768205001</t>
  </si>
  <si>
    <t>58.71</t>
  </si>
  <si>
    <t>NE 100016142</t>
  </si>
  <si>
    <t>-20.36</t>
  </si>
  <si>
    <t>NE 100016143</t>
  </si>
  <si>
    <t>-438.37</t>
  </si>
  <si>
    <t>NE 100016144</t>
  </si>
  <si>
    <t>-2696.10</t>
  </si>
  <si>
    <t>NE 100016145</t>
  </si>
  <si>
    <t>Entregas - CN1792714184001</t>
  </si>
  <si>
    <t>NE 100016146</t>
  </si>
  <si>
    <t>EP 6519</t>
  </si>
  <si>
    <t>4.08</t>
  </si>
  <si>
    <t>NE 100016148</t>
  </si>
  <si>
    <t>-111.09</t>
  </si>
  <si>
    <t>NE 100016149</t>
  </si>
  <si>
    <t>NE 100016150</t>
  </si>
  <si>
    <t>-137.65</t>
  </si>
  <si>
    <t>NE 100016151</t>
  </si>
  <si>
    <t>-673.79</t>
  </si>
  <si>
    <t>NE 100016152</t>
  </si>
  <si>
    <t>-79.70</t>
  </si>
  <si>
    <t>EP 6520</t>
  </si>
  <si>
    <t>1897.20</t>
  </si>
  <si>
    <t>NE 100016154</t>
  </si>
  <si>
    <t>-1897.20</t>
  </si>
  <si>
    <t>NE 100016155</t>
  </si>
  <si>
    <t>-25.59</t>
  </si>
  <si>
    <t>IM 100003479</t>
  </si>
  <si>
    <t>63.83</t>
  </si>
  <si>
    <t>NE 100016156</t>
  </si>
  <si>
    <t>EP 200454</t>
  </si>
  <si>
    <t>EP 6521</t>
  </si>
  <si>
    <t>1570.80</t>
  </si>
  <si>
    <t>NE 100016157</t>
  </si>
  <si>
    <t>-1570.80</t>
  </si>
  <si>
    <t>DV 241</t>
  </si>
  <si>
    <t>Devolución - Cancelación - CN1791768205001</t>
  </si>
  <si>
    <t>-58.71</t>
  </si>
  <si>
    <t>EP 6522</t>
  </si>
  <si>
    <t>1658.10</t>
  </si>
  <si>
    <t>NE 100016159</t>
  </si>
  <si>
    <t>-1832.87</t>
  </si>
  <si>
    <t>IM 100003480</t>
  </si>
  <si>
    <t>20078.56</t>
  </si>
  <si>
    <t>IM 100003481</t>
  </si>
  <si>
    <t>-20266.14</t>
  </si>
  <si>
    <t>IM 100003482</t>
  </si>
  <si>
    <t>20249.89</t>
  </si>
  <si>
    <t>EP 6523</t>
  </si>
  <si>
    <t>NE 100016160</t>
  </si>
  <si>
    <t>IM 100003483</t>
  </si>
  <si>
    <t>14849.79</t>
  </si>
  <si>
    <t>IM 100003484</t>
  </si>
  <si>
    <t>19700.33</t>
  </si>
  <si>
    <t>IM 100003485</t>
  </si>
  <si>
    <t>-34550.12</t>
  </si>
  <si>
    <t>IM 100003486</t>
  </si>
  <si>
    <t>34550.12</t>
  </si>
  <si>
    <t>SM 581</t>
  </si>
  <si>
    <t>-10995.77</t>
  </si>
  <si>
    <t>EM 1739</t>
  </si>
  <si>
    <t>11020.00</t>
  </si>
  <si>
    <t>IM 100003487</t>
  </si>
  <si>
    <t>-9608.99</t>
  </si>
  <si>
    <t>NE 100016164</t>
  </si>
  <si>
    <t>-75.17</t>
  </si>
  <si>
    <t>NE 100016165</t>
  </si>
  <si>
    <t>-30.61</t>
  </si>
  <si>
    <t>NE 100016166</t>
  </si>
  <si>
    <t>-1002.32</t>
  </si>
  <si>
    <t>NE 100016167</t>
  </si>
  <si>
    <t>-3267.39</t>
  </si>
  <si>
    <t>EP 6524</t>
  </si>
  <si>
    <t>844.52</t>
  </si>
  <si>
    <t>EP 6525</t>
  </si>
  <si>
    <t>695.71</t>
  </si>
  <si>
    <t>NE 100016168</t>
  </si>
  <si>
    <t>-845.24</t>
  </si>
  <si>
    <t>NE 100016169</t>
  </si>
  <si>
    <t>-727.11</t>
  </si>
  <si>
    <t>NE 100016170</t>
  </si>
  <si>
    <t>-177.78</t>
  </si>
  <si>
    <t>EP 6526</t>
  </si>
  <si>
    <t>472.00</t>
  </si>
  <si>
    <t>EP 6527</t>
  </si>
  <si>
    <t>860.00</t>
  </si>
  <si>
    <t>NE 100016171</t>
  </si>
  <si>
    <t>-860.00</t>
  </si>
  <si>
    <t>NE 100016172</t>
  </si>
  <si>
    <t>-472.00</t>
  </si>
  <si>
    <t>NE 100016174</t>
  </si>
  <si>
    <t>EP 6529</t>
  </si>
  <si>
    <t>3100.00</t>
  </si>
  <si>
    <t>NE 100016175</t>
  </si>
  <si>
    <t>-3100.00</t>
  </si>
  <si>
    <t>EP 6530</t>
  </si>
  <si>
    <t>216.00</t>
  </si>
  <si>
    <t>NE 100016176</t>
  </si>
  <si>
    <t>-216.00</t>
  </si>
  <si>
    <t>NE 100016177</t>
  </si>
  <si>
    <t>NE 100016178</t>
  </si>
  <si>
    <t>-303.31</t>
  </si>
  <si>
    <t>NE 100016179</t>
  </si>
  <si>
    <t>-27.77</t>
  </si>
  <si>
    <t>NE 100016183</t>
  </si>
  <si>
    <t>Entregas - CN1792005760001</t>
  </si>
  <si>
    <t>-62.79</t>
  </si>
  <si>
    <t>IM 100003488</t>
  </si>
  <si>
    <t>19901.85</t>
  </si>
  <si>
    <t>IM 100003489</t>
  </si>
  <si>
    <t>-31344.08</t>
  </si>
  <si>
    <t>IM 100003490</t>
  </si>
  <si>
    <t>31344.08</t>
  </si>
  <si>
    <t>EP 6534</t>
  </si>
  <si>
    <t>16240.00</t>
  </si>
  <si>
    <t>EP 6535</t>
  </si>
  <si>
    <t>357.72</t>
  </si>
  <si>
    <t>NE 100016185</t>
  </si>
  <si>
    <t>-357.72</t>
  </si>
  <si>
    <t>NE 100016186</t>
  </si>
  <si>
    <t>-70.00</t>
  </si>
  <si>
    <t>EP 6536</t>
  </si>
  <si>
    <t>44741.50</t>
  </si>
  <si>
    <t>NE 100016188</t>
  </si>
  <si>
    <t>-104.93</t>
  </si>
  <si>
    <t>DV 242</t>
  </si>
  <si>
    <t>285.60</t>
  </si>
  <si>
    <t>IM 100003491</t>
  </si>
  <si>
    <t>87431.93</t>
  </si>
  <si>
    <t>IM 100003492</t>
  </si>
  <si>
    <t>-87431.93</t>
  </si>
  <si>
    <t>EP 6537</t>
  </si>
  <si>
    <t>889.92</t>
  </si>
  <si>
    <t>NE 100016189</t>
  </si>
  <si>
    <t>-889.92</t>
  </si>
  <si>
    <t>NE 100016190</t>
  </si>
  <si>
    <t>-1130.59</t>
  </si>
  <si>
    <t>SM 582</t>
  </si>
  <si>
    <t>-545.50</t>
  </si>
  <si>
    <t>EP 200457</t>
  </si>
  <si>
    <t>-44741.50</t>
  </si>
  <si>
    <t>NE 100016192</t>
  </si>
  <si>
    <t>-16240.00</t>
  </si>
  <si>
    <t>NE 100016193</t>
  </si>
  <si>
    <t>-995.40</t>
  </si>
  <si>
    <t>NE 100016194</t>
  </si>
  <si>
    <t>-431.36</t>
  </si>
  <si>
    <t>NE 100016195</t>
  </si>
  <si>
    <t>-127.13</t>
  </si>
  <si>
    <t>NE 100016197</t>
  </si>
  <si>
    <t>-1921.48</t>
  </si>
  <si>
    <t>IM 100003493</t>
  </si>
  <si>
    <t>-6216.70</t>
  </si>
  <si>
    <t>NE 100016199</t>
  </si>
  <si>
    <t>-1092.43</t>
  </si>
  <si>
    <t>NE 100016200</t>
  </si>
  <si>
    <t>-49.05</t>
  </si>
  <si>
    <t>IM 100003494</t>
  </si>
  <si>
    <t>223.47</t>
  </si>
  <si>
    <t>NE 100016202</t>
  </si>
  <si>
    <t>Entregas - CN0502309487001</t>
  </si>
  <si>
    <t>NE 100016203</t>
  </si>
  <si>
    <t>-29674.30</t>
  </si>
  <si>
    <t>NE 100016204</t>
  </si>
  <si>
    <t>-14615.70</t>
  </si>
  <si>
    <t>EP 6538</t>
  </si>
  <si>
    <t>2268.00</t>
  </si>
  <si>
    <t>NE 100016207</t>
  </si>
  <si>
    <t>-2268.00</t>
  </si>
  <si>
    <t>NE 100016208</t>
  </si>
  <si>
    <t>-22.27</t>
  </si>
  <si>
    <t>IM 100003495</t>
  </si>
  <si>
    <t>3424.71</t>
  </si>
  <si>
    <t>RC 100000692</t>
  </si>
  <si>
    <t>Notas de crédito clientes - CN1792417910001</t>
  </si>
  <si>
    <t>CN1792417910001</t>
  </si>
  <si>
    <t>SANCHEZ CABRERA INGENIERIA &amp; CONSTRUCCION CIA .LTDA</t>
  </si>
  <si>
    <t>1092.43</t>
  </si>
  <si>
    <t>IM 100003496</t>
  </si>
  <si>
    <t>-3591.22</t>
  </si>
  <si>
    <t>IM 100003497</t>
  </si>
  <si>
    <t>3591.22</t>
  </si>
  <si>
    <t>NE 100016257</t>
  </si>
  <si>
    <t>29674.30</t>
  </si>
  <si>
    <t>NE 100016258</t>
  </si>
  <si>
    <t>14615.70</t>
  </si>
  <si>
    <t>NE 100016210</t>
  </si>
  <si>
    <t>NE 100016211</t>
  </si>
  <si>
    <t>-539.58</t>
  </si>
  <si>
    <t>NE 100016212</t>
  </si>
  <si>
    <t>Entregas - CN1724177991</t>
  </si>
  <si>
    <t>NE 100016213</t>
  </si>
  <si>
    <t>-321.73</t>
  </si>
  <si>
    <t>NE 100016214</t>
  </si>
  <si>
    <t>-280.15</t>
  </si>
  <si>
    <t>IM 100003498</t>
  </si>
  <si>
    <t>-1621.94</t>
  </si>
  <si>
    <t>NE 100016217</t>
  </si>
  <si>
    <t>-223.47</t>
  </si>
  <si>
    <t>NE 100016218</t>
  </si>
  <si>
    <t>NE 100016219</t>
  </si>
  <si>
    <t>NE 100016220</t>
  </si>
  <si>
    <t>-22.31</t>
  </si>
  <si>
    <t>IM 100003499</t>
  </si>
  <si>
    <t>1908.28</t>
  </si>
  <si>
    <t>NE 100016222</t>
  </si>
  <si>
    <t>NE 100016223</t>
  </si>
  <si>
    <t>-700.71</t>
  </si>
  <si>
    <t>NE 100016233</t>
  </si>
  <si>
    <t>539.58</t>
  </si>
  <si>
    <t>NE 100016225</t>
  </si>
  <si>
    <t>-109.16</t>
  </si>
  <si>
    <t>EP 6541</t>
  </si>
  <si>
    <t>430.00</t>
  </si>
  <si>
    <t>IM 100003500</t>
  </si>
  <si>
    <t>-430.00</t>
  </si>
  <si>
    <t>NE 100016229</t>
  </si>
  <si>
    <t>-88.44</t>
  </si>
  <si>
    <t>SM 586</t>
  </si>
  <si>
    <t>BAJA DE INVENTARIO CON DECLARACION JURAMENTADA 30/</t>
  </si>
  <si>
    <t>Costo baja de inventario</t>
  </si>
  <si>
    <t>-55286.42</t>
  </si>
  <si>
    <t>EM 1754</t>
  </si>
  <si>
    <t>AJUSTE INV. FISICO QUITO AUT. ALESANDRO CARDILO</t>
  </si>
  <si>
    <t>2235.83</t>
  </si>
  <si>
    <t>SM 593</t>
  </si>
  <si>
    <t>AJUSTE INV. FISICO QUITO AUT. ALESANDRO CARDILLO</t>
  </si>
  <si>
    <t>-3845.28</t>
  </si>
  <si>
    <t>EM 1756</t>
  </si>
  <si>
    <t>1.26</t>
  </si>
  <si>
    <t>SM 594</t>
  </si>
  <si>
    <t>MATERIAL DADO DE BAJA/NO SUMA EN ACTA</t>
  </si>
  <si>
    <t>-17.51</t>
  </si>
  <si>
    <t>IM 100003520</t>
  </si>
  <si>
    <t>-28233.80</t>
  </si>
  <si>
    <t>6586.37</t>
  </si>
  <si>
    <t>Entregas - CN1792514541001</t>
  </si>
  <si>
    <t>Entregas - CN2100115803001</t>
  </si>
  <si>
    <t>-19.22</t>
  </si>
  <si>
    <t>Entregas - CN0603340175</t>
  </si>
  <si>
    <t>Entregas - CN1803843182001</t>
  </si>
  <si>
    <t>-94.80</t>
  </si>
  <si>
    <t>-177.06</t>
  </si>
  <si>
    <t>Entregas - CN1723930275001</t>
  </si>
  <si>
    <t>Entregas - CN2290313034001</t>
  </si>
  <si>
    <t>Entregas - CN1792452929001</t>
  </si>
  <si>
    <t>-11.85</t>
  </si>
  <si>
    <t>-787.22</t>
  </si>
  <si>
    <t>123.19</t>
  </si>
  <si>
    <t>40.99</t>
  </si>
  <si>
    <t>-50.28</t>
  </si>
  <si>
    <t>349.44</t>
  </si>
  <si>
    <t>-66.59</t>
  </si>
  <si>
    <t>-4033.82</t>
  </si>
  <si>
    <t>Entregas - CN2200035166001</t>
  </si>
  <si>
    <t>-19.54</t>
  </si>
  <si>
    <t>Entregas - CN1708413479001</t>
  </si>
  <si>
    <t>-54.68</t>
  </si>
  <si>
    <t>101.52</t>
  </si>
  <si>
    <t>-224.09</t>
  </si>
  <si>
    <t>NE 100015202</t>
  </si>
  <si>
    <t>-170.60</t>
  </si>
  <si>
    <t>NE 100015203</t>
  </si>
  <si>
    <t>-27.05</t>
  </si>
  <si>
    <t>NE 100015204</t>
  </si>
  <si>
    <t>-22.39</t>
  </si>
  <si>
    <t>NE 100015205</t>
  </si>
  <si>
    <t>83.46</t>
  </si>
  <si>
    <t>NE 100015208</t>
  </si>
  <si>
    <t>-841.13</t>
  </si>
  <si>
    <t>NE 100015213</t>
  </si>
  <si>
    <t>246.57</t>
  </si>
  <si>
    <t>NE 100015218</t>
  </si>
  <si>
    <t>-92.93</t>
  </si>
  <si>
    <t>NE 100015747</t>
  </si>
  <si>
    <t>815.40</t>
  </si>
  <si>
    <t>102.04</t>
  </si>
  <si>
    <t>781.03</t>
  </si>
  <si>
    <t>NE 100015228</t>
  </si>
  <si>
    <t>-15.27</t>
  </si>
  <si>
    <t>-352.06</t>
  </si>
  <si>
    <t>-144.96</t>
  </si>
  <si>
    <t>NE 100015230</t>
  </si>
  <si>
    <t>-12.90</t>
  </si>
  <si>
    <t>7922.10</t>
  </si>
  <si>
    <t>-1958.13</t>
  </si>
  <si>
    <t>NE 100015232</t>
  </si>
  <si>
    <t>NE 100015233</t>
  </si>
  <si>
    <t>-1548.09</t>
  </si>
  <si>
    <t>3415.86</t>
  </si>
  <si>
    <t>100.32</t>
  </si>
  <si>
    <t>-35.60</t>
  </si>
  <si>
    <t>451.12</t>
  </si>
  <si>
    <t>NE 100015250</t>
  </si>
  <si>
    <t>-456.64</t>
  </si>
  <si>
    <t>NE 100015254</t>
  </si>
  <si>
    <t>-1233.12</t>
  </si>
  <si>
    <t>-291.27</t>
  </si>
  <si>
    <t>NE 100015257</t>
  </si>
  <si>
    <t>-371.53</t>
  </si>
  <si>
    <t>IM 100003297</t>
  </si>
  <si>
    <t>-34.97</t>
  </si>
  <si>
    <t>NE 100015259</t>
  </si>
  <si>
    <t>-364.96</t>
  </si>
  <si>
    <t>-1595.07</t>
  </si>
  <si>
    <t>NE 100015263</t>
  </si>
  <si>
    <t>-425.36</t>
  </si>
  <si>
    <t>NE 100015264</t>
  </si>
  <si>
    <t>-52.53</t>
  </si>
  <si>
    <t>RC 100000663</t>
  </si>
  <si>
    <t>4033.82</t>
  </si>
  <si>
    <t>NE 100015266</t>
  </si>
  <si>
    <t>4844.82</t>
  </si>
  <si>
    <t>3411.35</t>
  </si>
  <si>
    <t>157.44</t>
  </si>
  <si>
    <t>-4235.28</t>
  </si>
  <si>
    <t>111.82</t>
  </si>
  <si>
    <t>NE 100015274</t>
  </si>
  <si>
    <t>-337.67</t>
  </si>
  <si>
    <t>IM 100003303</t>
  </si>
  <si>
    <t>-3835.71</t>
  </si>
  <si>
    <t>NE 100015278</t>
  </si>
  <si>
    <t>NE 100015280</t>
  </si>
  <si>
    <t>NE 100015287</t>
  </si>
  <si>
    <t>-1069.37</t>
  </si>
  <si>
    <t>NE 100015288</t>
  </si>
  <si>
    <t>-21.02</t>
  </si>
  <si>
    <t>NE 100015289</t>
  </si>
  <si>
    <t>-14.83</t>
  </si>
  <si>
    <t>-4487.71</t>
  </si>
  <si>
    <t>486.92</t>
  </si>
  <si>
    <t>SM 560</t>
  </si>
  <si>
    <t>-242.94</t>
  </si>
  <si>
    <t>EM 1707</t>
  </si>
  <si>
    <t>NE 100015748</t>
  </si>
  <si>
    <t>21.02</t>
  </si>
  <si>
    <t>NE 100015291</t>
  </si>
  <si>
    <t>NE 100015292</t>
  </si>
  <si>
    <t>-431.50</t>
  </si>
  <si>
    <t>DV 230</t>
  </si>
  <si>
    <t>349.70</t>
  </si>
  <si>
    <t>NE 100015296</t>
  </si>
  <si>
    <t>-1186.79</t>
  </si>
  <si>
    <t>NE 100015297</t>
  </si>
  <si>
    <t>Entrega - Cancelación - CN1791239245001</t>
  </si>
  <si>
    <t>1186.79</t>
  </si>
  <si>
    <t>NE 100015299</t>
  </si>
  <si>
    <t>NE 100015303</t>
  </si>
  <si>
    <t>139240.00</t>
  </si>
  <si>
    <t>-139233.51</t>
  </si>
  <si>
    <t>NE 100015305</t>
  </si>
  <si>
    <t>-102.04</t>
  </si>
  <si>
    <t>NE 100015314</t>
  </si>
  <si>
    <t>133.19</t>
  </si>
  <si>
    <t>NE 100015324</t>
  </si>
  <si>
    <t>-69.06</t>
  </si>
  <si>
    <t>NE 100015327</t>
  </si>
  <si>
    <t>NE 100015332</t>
  </si>
  <si>
    <t>-2876.84</t>
  </si>
  <si>
    <t>EM 1708</t>
  </si>
  <si>
    <t>-520.00</t>
  </si>
  <si>
    <t>NE 100015333</t>
  </si>
  <si>
    <t>-123.77</t>
  </si>
  <si>
    <t>NE 100015336</t>
  </si>
  <si>
    <t>-875.25</t>
  </si>
  <si>
    <t>NE 100015337</t>
  </si>
  <si>
    <t>-262.77</t>
  </si>
  <si>
    <t>NE 100015338</t>
  </si>
  <si>
    <t>-90.82</t>
  </si>
  <si>
    <t>57178.87</t>
  </si>
  <si>
    <t>IM 100003324</t>
  </si>
  <si>
    <t>-196.54</t>
  </si>
  <si>
    <t>NE 100015348</t>
  </si>
  <si>
    <t>-37.54</t>
  </si>
  <si>
    <t>IM 100003325</t>
  </si>
  <si>
    <t>2651.40</t>
  </si>
  <si>
    <t>-390.83</t>
  </si>
  <si>
    <t>-433.55</t>
  </si>
  <si>
    <t>433.55</t>
  </si>
  <si>
    <t>NE 100015359</t>
  </si>
  <si>
    <t>351.52</t>
  </si>
  <si>
    <t>NE 100015360</t>
  </si>
  <si>
    <t>NE 100015361</t>
  </si>
  <si>
    <t>-703.04</t>
  </si>
  <si>
    <t>NE 100015362</t>
  </si>
  <si>
    <t>-856.07</t>
  </si>
  <si>
    <t>NE 100015363</t>
  </si>
  <si>
    <t>-1854.03</t>
  </si>
  <si>
    <t>NE 100015364</t>
  </si>
  <si>
    <t>NE 100015365</t>
  </si>
  <si>
    <t>-4461.86</t>
  </si>
  <si>
    <t>NE 100015368</t>
  </si>
  <si>
    <t>NE 100015370</t>
  </si>
  <si>
    <t>-141.01</t>
  </si>
  <si>
    <t>NE 100015371</t>
  </si>
  <si>
    <t>-1701.03</t>
  </si>
  <si>
    <t>NE 100015372</t>
  </si>
  <si>
    <t>-1520.11</t>
  </si>
  <si>
    <t>-33.44</t>
  </si>
  <si>
    <t>87887.08</t>
  </si>
  <si>
    <t>-88083.98</t>
  </si>
  <si>
    <t>NE 100015375</t>
  </si>
  <si>
    <t>-421.06</t>
  </si>
  <si>
    <t>NE 100015376</t>
  </si>
  <si>
    <t>-344.00</t>
  </si>
  <si>
    <t>-1520.70</t>
  </si>
  <si>
    <t>NE 100015377</t>
  </si>
  <si>
    <t>-24.99</t>
  </si>
  <si>
    <t>NE 100015379</t>
  </si>
  <si>
    <t>-338.79</t>
  </si>
  <si>
    <t>NE 100015382</t>
  </si>
  <si>
    <t>-2772.75</t>
  </si>
  <si>
    <t>10536.18</t>
  </si>
  <si>
    <t>23045.16</t>
  </si>
  <si>
    <t>NE 100015384</t>
  </si>
  <si>
    <t>-36.44</t>
  </si>
  <si>
    <t>NE 100015385</t>
  </si>
  <si>
    <t>-13.38</t>
  </si>
  <si>
    <t>NE 100015387</t>
  </si>
  <si>
    <t>-6.42</t>
  </si>
  <si>
    <t>NE 100015391</t>
  </si>
  <si>
    <t>-33.06</t>
  </si>
  <si>
    <t>NE 100015392</t>
  </si>
  <si>
    <t>871.30</t>
  </si>
  <si>
    <t>NE 100015398</t>
  </si>
  <si>
    <t>-1299.73</t>
  </si>
  <si>
    <t>NE 100015399</t>
  </si>
  <si>
    <t>-1186.34</t>
  </si>
  <si>
    <t>NE 100015400</t>
  </si>
  <si>
    <t>-29.67</t>
  </si>
  <si>
    <t>NE 100015401</t>
  </si>
  <si>
    <t>-2727.32</t>
  </si>
  <si>
    <t>NE 100015403</t>
  </si>
  <si>
    <t>-379.42</t>
  </si>
  <si>
    <t>NE 100015404</t>
  </si>
  <si>
    <t>NE 100015405</t>
  </si>
  <si>
    <t>-415.26</t>
  </si>
  <si>
    <t>NE 100015406</t>
  </si>
  <si>
    <t>-1968.04</t>
  </si>
  <si>
    <t>EM 1711</t>
  </si>
  <si>
    <t>SM 561</t>
  </si>
  <si>
    <t>NE 100015409</t>
  </si>
  <si>
    <t>-2028.37</t>
  </si>
  <si>
    <t>NE 100015410</t>
  </si>
  <si>
    <t>Entregas - CN1792300347001</t>
  </si>
  <si>
    <t>-149.00</t>
  </si>
  <si>
    <t>-19.24</t>
  </si>
  <si>
    <t>NE 100015414</t>
  </si>
  <si>
    <t>-5253.98</t>
  </si>
  <si>
    <t>10701.24</t>
  </si>
  <si>
    <t>3544.26</t>
  </si>
  <si>
    <t>NE 100015420</t>
  </si>
  <si>
    <t>NE 100015422</t>
  </si>
  <si>
    <t>NE 100015424</t>
  </si>
  <si>
    <t>-23.11</t>
  </si>
  <si>
    <t>NE 100015426</t>
  </si>
  <si>
    <t>-48.31</t>
  </si>
  <si>
    <t>-1657.74</t>
  </si>
  <si>
    <t>NE 100015437</t>
  </si>
  <si>
    <t>-72.20</t>
  </si>
  <si>
    <t>NE 100015439</t>
  </si>
  <si>
    <t>14.29</t>
  </si>
  <si>
    <t>NE 100015449</t>
  </si>
  <si>
    <t>-810.94</t>
  </si>
  <si>
    <t>458.41</t>
  </si>
  <si>
    <t>IM 100003366</t>
  </si>
  <si>
    <t>-299.02</t>
  </si>
  <si>
    <t>NE 100015465</t>
  </si>
  <si>
    <t>NE 100015467</t>
  </si>
  <si>
    <t>-1132.69</t>
  </si>
  <si>
    <t>NE 100015468</t>
  </si>
  <si>
    <t>-619.99</t>
  </si>
  <si>
    <t>NE 100015469</t>
  </si>
  <si>
    <t>-3011.20</t>
  </si>
  <si>
    <t>416.42</t>
  </si>
  <si>
    <t>NE 100015472</t>
  </si>
  <si>
    <t>-5229.21</t>
  </si>
  <si>
    <t>NE 100015475</t>
  </si>
  <si>
    <t>NE 100015476</t>
  </si>
  <si>
    <t>-2317.87</t>
  </si>
  <si>
    <t>NE 100015482</t>
  </si>
  <si>
    <t>NE 100015483</t>
  </si>
  <si>
    <t>-1527.15</t>
  </si>
  <si>
    <t>NE 100015484</t>
  </si>
  <si>
    <t>1527.15</t>
  </si>
  <si>
    <t>NE 100015485</t>
  </si>
  <si>
    <t>-1542.71</t>
  </si>
  <si>
    <t>NE 100015492</t>
  </si>
  <si>
    <t>-20.62</t>
  </si>
  <si>
    <t>NE 100015493</t>
  </si>
  <si>
    <t>-214.95</t>
  </si>
  <si>
    <t>NE 100015494</t>
  </si>
  <si>
    <t>NE 100015495</t>
  </si>
  <si>
    <t>39.76</t>
  </si>
  <si>
    <t>-103.07</t>
  </si>
  <si>
    <t>NE 100015503</t>
  </si>
  <si>
    <t>-2985.30</t>
  </si>
  <si>
    <t>-568.26</t>
  </si>
  <si>
    <t>-3570.19</t>
  </si>
  <si>
    <t>NE 100015509</t>
  </si>
  <si>
    <t>-1364.56</t>
  </si>
  <si>
    <t>103.87</t>
  </si>
  <si>
    <t>NE 100015519</t>
  </si>
  <si>
    <t>-7264.09</t>
  </si>
  <si>
    <t>-72.29</t>
  </si>
  <si>
    <t>DV 232</t>
  </si>
  <si>
    <t>407.78</t>
  </si>
  <si>
    <t>NE 100015522</t>
  </si>
  <si>
    <t>-2386.44</t>
  </si>
  <si>
    <t>-13.92</t>
  </si>
  <si>
    <t>NE 100015530</t>
  </si>
  <si>
    <t>-2351.00</t>
  </si>
  <si>
    <t>NE 100015531</t>
  </si>
  <si>
    <t>-1105.21</t>
  </si>
  <si>
    <t>NE 100015538</t>
  </si>
  <si>
    <t>-224.88</t>
  </si>
  <si>
    <t>NE 100015539</t>
  </si>
  <si>
    <t>-124.22</t>
  </si>
  <si>
    <t>NE 100015540</t>
  </si>
  <si>
    <t>-5808.34</t>
  </si>
  <si>
    <t>NE 100015541</t>
  </si>
  <si>
    <t>-4110.70</t>
  </si>
  <si>
    <t>NE 100015542</t>
  </si>
  <si>
    <t>2351.00</t>
  </si>
  <si>
    <t>NE 100015543</t>
  </si>
  <si>
    <t>1105.21</t>
  </si>
  <si>
    <t>NE 100015544</t>
  </si>
  <si>
    <t>-4644.00</t>
  </si>
  <si>
    <t>-281.05</t>
  </si>
  <si>
    <t>-1170.90</t>
  </si>
  <si>
    <t>NE 100015545</t>
  </si>
  <si>
    <t>NE 100015546</t>
  </si>
  <si>
    <t>-42.40</t>
  </si>
  <si>
    <t>-82.77</t>
  </si>
  <si>
    <t>NE 100015547</t>
  </si>
  <si>
    <t>4110.70</t>
  </si>
  <si>
    <t>NE 100015550</t>
  </si>
  <si>
    <t>5808.34</t>
  </si>
  <si>
    <t>NE 100015554</t>
  </si>
  <si>
    <t>4644.00</t>
  </si>
  <si>
    <t>NE 100015556</t>
  </si>
  <si>
    <t>-2593.57</t>
  </si>
  <si>
    <t>NE 100015558</t>
  </si>
  <si>
    <t>-64.39</t>
  </si>
  <si>
    <t>NE 100015559</t>
  </si>
  <si>
    <t>-577.19</t>
  </si>
  <si>
    <t>DV 234</t>
  </si>
  <si>
    <t>2802.84</t>
  </si>
  <si>
    <t>-6.33</t>
  </si>
  <si>
    <t>IM 100003379</t>
  </si>
  <si>
    <t>-227.75</t>
  </si>
  <si>
    <t>NE 100015576</t>
  </si>
  <si>
    <t>-6.48</t>
  </si>
  <si>
    <t>NE 100015581</t>
  </si>
  <si>
    <t>-28.50</t>
  </si>
  <si>
    <t>NE 100015582</t>
  </si>
  <si>
    <t>-101.47</t>
  </si>
  <si>
    <t>NE 100015586</t>
  </si>
  <si>
    <t>NE 100015591</t>
  </si>
  <si>
    <t>-175.52</t>
  </si>
  <si>
    <t>NE 100015592</t>
  </si>
  <si>
    <t>-265.92</t>
  </si>
  <si>
    <t>NE 100015593</t>
  </si>
  <si>
    <t>-218.04</t>
  </si>
  <si>
    <t>NE 100015595</t>
  </si>
  <si>
    <t>-11.19</t>
  </si>
  <si>
    <t>NE 100015597</t>
  </si>
  <si>
    <t>NE 100015598</t>
  </si>
  <si>
    <t>Entregas - CN1709627259</t>
  </si>
  <si>
    <t>NE 100015608</t>
  </si>
  <si>
    <t>-28.31</t>
  </si>
  <si>
    <t>NE 100015609</t>
  </si>
  <si>
    <t>-8183.72</t>
  </si>
  <si>
    <t>NE 100015610</t>
  </si>
  <si>
    <t>-132.52</t>
  </si>
  <si>
    <t>NE 100015612</t>
  </si>
  <si>
    <t>-2166.39</t>
  </si>
  <si>
    <t>NE 100015613</t>
  </si>
  <si>
    <t>-308.74</t>
  </si>
  <si>
    <t>1585.82</t>
  </si>
  <si>
    <t>NE 100015622</t>
  </si>
  <si>
    <t>Entregas - CN1104493539001</t>
  </si>
  <si>
    <t>-1248.65</t>
  </si>
  <si>
    <t>IM 100003384</t>
  </si>
  <si>
    <t>-2142.18</t>
  </si>
  <si>
    <t>NE 100015623</t>
  </si>
  <si>
    <t>-1590.70</t>
  </si>
  <si>
    <t>DV 235</t>
  </si>
  <si>
    <t>NE 100015624</t>
  </si>
  <si>
    <t>-202.75</t>
  </si>
  <si>
    <t>NE 100015628</t>
  </si>
  <si>
    <t>-204.36</t>
  </si>
  <si>
    <t>NE 100015630</t>
  </si>
  <si>
    <t>NE 100015631</t>
  </si>
  <si>
    <t>EM 1721</t>
  </si>
  <si>
    <t>7.08</t>
  </si>
  <si>
    <t>NE 100015632</t>
  </si>
  <si>
    <t>-34.08</t>
  </si>
  <si>
    <t>NE 100015634</t>
  </si>
  <si>
    <t>NE 100015635</t>
  </si>
  <si>
    <t>-4.88</t>
  </si>
  <si>
    <t>NE 100015638</t>
  </si>
  <si>
    <t>-203.64</t>
  </si>
  <si>
    <t>NE 100015640</t>
  </si>
  <si>
    <t>-1219.27</t>
  </si>
  <si>
    <t>DV 236</t>
  </si>
  <si>
    <t>NE 100015641</t>
  </si>
  <si>
    <t>-3674.42</t>
  </si>
  <si>
    <t>NE 100015642</t>
  </si>
  <si>
    <t>-920.80</t>
  </si>
  <si>
    <t>NE 100015644</t>
  </si>
  <si>
    <t>-7.29</t>
  </si>
  <si>
    <t>NE 100015645</t>
  </si>
  <si>
    <t>-399.86</t>
  </si>
  <si>
    <t>NE 100015648</t>
  </si>
  <si>
    <t>-180.32</t>
  </si>
  <si>
    <t>NE 100015649</t>
  </si>
  <si>
    <t>NE 100015657</t>
  </si>
  <si>
    <t>-2.43</t>
  </si>
  <si>
    <t>NE 100015659</t>
  </si>
  <si>
    <t>-275.94</t>
  </si>
  <si>
    <t>NE 100015660</t>
  </si>
  <si>
    <t>-5.19</t>
  </si>
  <si>
    <t>NE 100015665</t>
  </si>
  <si>
    <t>-741.95</t>
  </si>
  <si>
    <t>NE 100015667</t>
  </si>
  <si>
    <t>-321.09</t>
  </si>
  <si>
    <t>NE 100015669</t>
  </si>
  <si>
    <t>-414.40</t>
  </si>
  <si>
    <t>NE 100015670</t>
  </si>
  <si>
    <t>-163.32</t>
  </si>
  <si>
    <t>18242.06</t>
  </si>
  <si>
    <t>NE 100015674</t>
  </si>
  <si>
    <t>NE 100015678</t>
  </si>
  <si>
    <t>-514.57</t>
  </si>
  <si>
    <t>-523.50</t>
  </si>
  <si>
    <t>NE 100015682</t>
  </si>
  <si>
    <t>-97.34</t>
  </si>
  <si>
    <t>301.31</t>
  </si>
  <si>
    <t>NE 100015701</t>
  </si>
  <si>
    <t>-221.18</t>
  </si>
  <si>
    <t>NE 100015702</t>
  </si>
  <si>
    <t>-1045.06</t>
  </si>
  <si>
    <t>NE 100015703</t>
  </si>
  <si>
    <t>-9110.01</t>
  </si>
  <si>
    <t>NE 100015704</t>
  </si>
  <si>
    <t>-2406.73</t>
  </si>
  <si>
    <t>NE 100015705</t>
  </si>
  <si>
    <t>2406.73</t>
  </si>
  <si>
    <t>NE 100015706</t>
  </si>
  <si>
    <t>-2018.24</t>
  </si>
  <si>
    <t>NE 100015711</t>
  </si>
  <si>
    <t>-183.69</t>
  </si>
  <si>
    <t>40.68</t>
  </si>
  <si>
    <t>NE 100015717</t>
  </si>
  <si>
    <t>-549.88</t>
  </si>
  <si>
    <t>157.45</t>
  </si>
  <si>
    <t>NE 100015720</t>
  </si>
  <si>
    <t>NE 100015731</t>
  </si>
  <si>
    <t>NE 100015738</t>
  </si>
  <si>
    <t>-208.72</t>
  </si>
  <si>
    <t>NE 100015739</t>
  </si>
  <si>
    <t>NE 100015740</t>
  </si>
  <si>
    <t>-388.49</t>
  </si>
  <si>
    <t>-1444.52</t>
  </si>
  <si>
    <t>SM 571</t>
  </si>
  <si>
    <t>SM 572</t>
  </si>
  <si>
    <t>-31.18</t>
  </si>
  <si>
    <t>17486.71</t>
  </si>
  <si>
    <t>NE 100015760</t>
  </si>
  <si>
    <t>-138.31</t>
  </si>
  <si>
    <t>NE 100015763</t>
  </si>
  <si>
    <t>-24.95</t>
  </si>
  <si>
    <t>-40.29</t>
  </si>
  <si>
    <t>NE 100015766</t>
  </si>
  <si>
    <t>-23951.27</t>
  </si>
  <si>
    <t>-42.11</t>
  </si>
  <si>
    <t>12.27</t>
  </si>
  <si>
    <t>NE 100015770</t>
  </si>
  <si>
    <t>Entregas - CN1803721206001</t>
  </si>
  <si>
    <t>NE 100015771</t>
  </si>
  <si>
    <t>-436.68</t>
  </si>
  <si>
    <t>100157.21</t>
  </si>
  <si>
    <t>-100170.61</t>
  </si>
  <si>
    <t>NE 100015774</t>
  </si>
  <si>
    <t>NE 100015787</t>
  </si>
  <si>
    <t>-232.17</t>
  </si>
  <si>
    <t>-1072.95</t>
  </si>
  <si>
    <t>202.75</t>
  </si>
  <si>
    <t>NE 100015800</t>
  </si>
  <si>
    <t>1144.55</t>
  </si>
  <si>
    <t>NE 100015802</t>
  </si>
  <si>
    <t>-273.39</t>
  </si>
  <si>
    <t>2847.40</t>
  </si>
  <si>
    <t>-60.00</t>
  </si>
  <si>
    <t>NE 100015814</t>
  </si>
  <si>
    <t>-44.86</t>
  </si>
  <si>
    <t>NE 100015815</t>
  </si>
  <si>
    <t>NE 100015816</t>
  </si>
  <si>
    <t>-1220.86</t>
  </si>
  <si>
    <t>-88.92</t>
  </si>
  <si>
    <t>NE 100015819</t>
  </si>
  <si>
    <t>-283.85</t>
  </si>
  <si>
    <t>NE 100015821</t>
  </si>
  <si>
    <t>-244.89</t>
  </si>
  <si>
    <t>NE 100015823</t>
  </si>
  <si>
    <t>Entregas - CN0501808281</t>
  </si>
  <si>
    <t>-28.89</t>
  </si>
  <si>
    <t>NE 100015832</t>
  </si>
  <si>
    <t>-198.98</t>
  </si>
  <si>
    <t>NE 100015833</t>
  </si>
  <si>
    <t>-2847.03</t>
  </si>
  <si>
    <t>-439.40</t>
  </si>
  <si>
    <t>1933.78</t>
  </si>
  <si>
    <t>1208.62</t>
  </si>
  <si>
    <t>NE 100015837</t>
  </si>
  <si>
    <t>-7.61</t>
  </si>
  <si>
    <t>-3223.80</t>
  </si>
  <si>
    <t>NE 100015841</t>
  </si>
  <si>
    <t>-1384.71</t>
  </si>
  <si>
    <t>3312.37</t>
  </si>
  <si>
    <t>-40.25</t>
  </si>
  <si>
    <t>NE 100015842</t>
  </si>
  <si>
    <t>-27.23</t>
  </si>
  <si>
    <t>NE 100015843</t>
  </si>
  <si>
    <t>NE 100015846</t>
  </si>
  <si>
    <t>-33.21</t>
  </si>
  <si>
    <t>NE 100015848</t>
  </si>
  <si>
    <t>NE 100015852</t>
  </si>
  <si>
    <t>-1473.31</t>
  </si>
  <si>
    <t>NE 100015853</t>
  </si>
  <si>
    <t>-1302.42</t>
  </si>
  <si>
    <t>-74.98</t>
  </si>
  <si>
    <t>NE 100015860</t>
  </si>
  <si>
    <t>-3117.71</t>
  </si>
  <si>
    <t>2068.18</t>
  </si>
  <si>
    <t>1.38</t>
  </si>
  <si>
    <t>NE 100015862</t>
  </si>
  <si>
    <t>-18.49</t>
  </si>
  <si>
    <t>NE 100015863</t>
  </si>
  <si>
    <t>-49.30</t>
  </si>
  <si>
    <t>NE 100015864</t>
  </si>
  <si>
    <t>-701.60</t>
  </si>
  <si>
    <t>NE 100015865</t>
  </si>
  <si>
    <t>-1091.74</t>
  </si>
  <si>
    <t>NE 100015868</t>
  </si>
  <si>
    <t>-53.70</t>
  </si>
  <si>
    <t>-94.89</t>
  </si>
  <si>
    <t>-6.71</t>
  </si>
  <si>
    <t>-43.47</t>
  </si>
  <si>
    <t>7.68</t>
  </si>
  <si>
    <t>NE 100015876</t>
  </si>
  <si>
    <t>-326.68</t>
  </si>
  <si>
    <t>NE 100015880</t>
  </si>
  <si>
    <t>NE 100015883</t>
  </si>
  <si>
    <t>NE 100015884</t>
  </si>
  <si>
    <t>NE 100015889</t>
  </si>
  <si>
    <t>-962.07</t>
  </si>
  <si>
    <t>NE 100015890</t>
  </si>
  <si>
    <t>962.07</t>
  </si>
  <si>
    <t>NE 100015891</t>
  </si>
  <si>
    <t>-428.25</t>
  </si>
  <si>
    <t>NE 100015892</t>
  </si>
  <si>
    <t>-8473.67</t>
  </si>
  <si>
    <t>NE 100015895</t>
  </si>
  <si>
    <t>-246.93</t>
  </si>
  <si>
    <t>NE 100015903</t>
  </si>
  <si>
    <t>-200.87</t>
  </si>
  <si>
    <t>NE 100015904</t>
  </si>
  <si>
    <t>-229.18</t>
  </si>
  <si>
    <t>NE 100015905</t>
  </si>
  <si>
    <t>-2466.54</t>
  </si>
  <si>
    <t>NE 100015906</t>
  </si>
  <si>
    <t>NE 100015907</t>
  </si>
  <si>
    <t>NE 100015908</t>
  </si>
  <si>
    <t>-90.30</t>
  </si>
  <si>
    <t>NE 100015909</t>
  </si>
  <si>
    <t>-1.30</t>
  </si>
  <si>
    <t>NE 100015918</t>
  </si>
  <si>
    <t>-224.62</t>
  </si>
  <si>
    <t>NE 100015919</t>
  </si>
  <si>
    <t>-4.91</t>
  </si>
  <si>
    <t>NE 100016107</t>
  </si>
  <si>
    <t>224.62</t>
  </si>
  <si>
    <t>NE 100015930</t>
  </si>
  <si>
    <t>-1356.81</t>
  </si>
  <si>
    <t>-30.23</t>
  </si>
  <si>
    <t>503.83</t>
  </si>
  <si>
    <t>NE 100015931</t>
  </si>
  <si>
    <t>NE 100015932</t>
  </si>
  <si>
    <t>NE 100015935</t>
  </si>
  <si>
    <t>-38.36</t>
  </si>
  <si>
    <t>NE 100015936</t>
  </si>
  <si>
    <t>-761.89</t>
  </si>
  <si>
    <t>330.92</t>
  </si>
  <si>
    <t>NE 100015938</t>
  </si>
  <si>
    <t>Entregas - CN2200029425001</t>
  </si>
  <si>
    <t>284196.21</t>
  </si>
  <si>
    <t>-283426.08</t>
  </si>
  <si>
    <t>218.35</t>
  </si>
  <si>
    <t>NE 100015950</t>
  </si>
  <si>
    <t>-107.84</t>
  </si>
  <si>
    <t>NE 100015951</t>
  </si>
  <si>
    <t>-29.96</t>
  </si>
  <si>
    <t>NE 100015952</t>
  </si>
  <si>
    <t>-302.34</t>
  </si>
  <si>
    <t>NE 100015958</t>
  </si>
  <si>
    <t>NE 100015960</t>
  </si>
  <si>
    <t>-683.25</t>
  </si>
  <si>
    <t>NE 100015962</t>
  </si>
  <si>
    <t>-21024.64</t>
  </si>
  <si>
    <t>-297.84</t>
  </si>
  <si>
    <t>NE 100015963</t>
  </si>
  <si>
    <t>-145.10</t>
  </si>
  <si>
    <t>NE 100015964</t>
  </si>
  <si>
    <t>-265.72</t>
  </si>
  <si>
    <t>NE 100015965</t>
  </si>
  <si>
    <t>-10.59</t>
  </si>
  <si>
    <t>4121.60</t>
  </si>
  <si>
    <t>107010.95</t>
  </si>
  <si>
    <t>NE 100015973</t>
  </si>
  <si>
    <t>IM 100003450</t>
  </si>
  <si>
    <t>-21.49</t>
  </si>
  <si>
    <t>20.23</t>
  </si>
  <si>
    <t>NE 100015979</t>
  </si>
  <si>
    <t>-74.03</t>
  </si>
  <si>
    <t>NE 100015982</t>
  </si>
  <si>
    <t>NE 100016076</t>
  </si>
  <si>
    <t>549.71</t>
  </si>
  <si>
    <t>NE 100015987</t>
  </si>
  <si>
    <t>-5.44</t>
  </si>
  <si>
    <t>-19.11</t>
  </si>
  <si>
    <t>-436.11</t>
  </si>
  <si>
    <t>NE 100016001</t>
  </si>
  <si>
    <t>-37.09</t>
  </si>
  <si>
    <t>NE 100016003</t>
  </si>
  <si>
    <t>4658.70</t>
  </si>
  <si>
    <t>650.39</t>
  </si>
  <si>
    <t>NE 100016005</t>
  </si>
  <si>
    <t>NE 100016006</t>
  </si>
  <si>
    <t>-506.70</t>
  </si>
  <si>
    <t>NE 100016007</t>
  </si>
  <si>
    <t>-227.10</t>
  </si>
  <si>
    <t>NE 100016009</t>
  </si>
  <si>
    <t>211.77</t>
  </si>
  <si>
    <t>NE 100016011</t>
  </si>
  <si>
    <t>Entregas - CN1719227629</t>
  </si>
  <si>
    <t>102.41</t>
  </si>
  <si>
    <t>NE 100016016</t>
  </si>
  <si>
    <t>-297.08</t>
  </si>
  <si>
    <t>-428.91</t>
  </si>
  <si>
    <t>NE 100016018</t>
  </si>
  <si>
    <t>NE 100016023</t>
  </si>
  <si>
    <t>-690.06</t>
  </si>
  <si>
    <t>NE 100016030</t>
  </si>
  <si>
    <t>-13.33</t>
  </si>
  <si>
    <t>NE 100016031</t>
  </si>
  <si>
    <t>-187.97</t>
  </si>
  <si>
    <t>NE 100016032</t>
  </si>
  <si>
    <t>NE 100016033</t>
  </si>
  <si>
    <t>NE 100016039</t>
  </si>
  <si>
    <t>-585.48</t>
  </si>
  <si>
    <t>NE 100016040</t>
  </si>
  <si>
    <t>-4701.65</t>
  </si>
  <si>
    <t>NE 100016041</t>
  </si>
  <si>
    <t>-4304.69</t>
  </si>
  <si>
    <t>-3317.75</t>
  </si>
  <si>
    <t>NE 100016043</t>
  </si>
  <si>
    <t>NE 100016045</t>
  </si>
  <si>
    <t>-19.18</t>
  </si>
  <si>
    <t>NE 100016046</t>
  </si>
  <si>
    <t>-189.82</t>
  </si>
  <si>
    <t>NE 100016052</t>
  </si>
  <si>
    <t>-2410.15</t>
  </si>
  <si>
    <t>NE 100016053</t>
  </si>
  <si>
    <t>-1528.92</t>
  </si>
  <si>
    <t>NE 100016058</t>
  </si>
  <si>
    <t>-43.11</t>
  </si>
  <si>
    <t>-1520.22</t>
  </si>
  <si>
    <t>-29.38</t>
  </si>
  <si>
    <t>733.64</t>
  </si>
  <si>
    <t>DV 239</t>
  </si>
  <si>
    <t>52.09</t>
  </si>
  <si>
    <t>NE 100016066</t>
  </si>
  <si>
    <t>-18.60</t>
  </si>
  <si>
    <t>436.11</t>
  </si>
  <si>
    <t>NE 100016073</t>
  </si>
  <si>
    <t>-142.25</t>
  </si>
  <si>
    <t>-109.56</t>
  </si>
  <si>
    <t>NE 100016074</t>
  </si>
  <si>
    <t>-51.26</t>
  </si>
  <si>
    <t>NE 100016082</t>
  </si>
  <si>
    <t>-915.46</t>
  </si>
  <si>
    <t>NE 100016084</t>
  </si>
  <si>
    <t>-405.66</t>
  </si>
  <si>
    <t>NE 100016086</t>
  </si>
  <si>
    <t>NE 100016094</t>
  </si>
  <si>
    <t>NE 100016097</t>
  </si>
  <si>
    <t>-17334.81</t>
  </si>
  <si>
    <t>534.59</t>
  </si>
  <si>
    <t>NE 100016103</t>
  </si>
  <si>
    <t>-3190.34</t>
  </si>
  <si>
    <t>-124.00</t>
  </si>
  <si>
    <t>NE 100016113</t>
  </si>
  <si>
    <t>-100.62</t>
  </si>
  <si>
    <t>89047.07</t>
  </si>
  <si>
    <t>-88299.23</t>
  </si>
  <si>
    <t>42044.34</t>
  </si>
  <si>
    <t>NE 100016123</t>
  </si>
  <si>
    <t>-4616.22</t>
  </si>
  <si>
    <t>-35.18</t>
  </si>
  <si>
    <t>NE 100016131</t>
  </si>
  <si>
    <t>-1249.15</t>
  </si>
  <si>
    <t>-67.80</t>
  </si>
  <si>
    <t>NE 100016132</t>
  </si>
  <si>
    <t>-5327.33</t>
  </si>
  <si>
    <t>NE 100016138</t>
  </si>
  <si>
    <t>-386.71</t>
  </si>
  <si>
    <t>NE 100016141</t>
  </si>
  <si>
    <t>-1324.01</t>
  </si>
  <si>
    <t>NE 100016147</t>
  </si>
  <si>
    <t>-233.60</t>
  </si>
  <si>
    <t>NE 100016153</t>
  </si>
  <si>
    <t>-1317.37</t>
  </si>
  <si>
    <t>-63.83</t>
  </si>
  <si>
    <t>20266.14</t>
  </si>
  <si>
    <t>-20249.89</t>
  </si>
  <si>
    <t>NE 100016161</t>
  </si>
  <si>
    <t>NE 100016162</t>
  </si>
  <si>
    <t>NE 100016163</t>
  </si>
  <si>
    <t>-301.13</t>
  </si>
  <si>
    <t>9608.99</t>
  </si>
  <si>
    <t>NE 100016173</t>
  </si>
  <si>
    <t>-936.09</t>
  </si>
  <si>
    <t>NE 100016180</t>
  </si>
  <si>
    <t>-1271.92</t>
  </si>
  <si>
    <t>NE 100016181</t>
  </si>
  <si>
    <t>-158.84</t>
  </si>
  <si>
    <t>NE 100016182</t>
  </si>
  <si>
    <t>NE 100016184</t>
  </si>
  <si>
    <t>-1682.66</t>
  </si>
  <si>
    <t>NE 100016187</t>
  </si>
  <si>
    <t>-1068.02</t>
  </si>
  <si>
    <t>NE 100016191</t>
  </si>
  <si>
    <t>-56.15</t>
  </si>
  <si>
    <t>NE 100016196</t>
  </si>
  <si>
    <t>-38.70</t>
  </si>
  <si>
    <t>6216.70</t>
  </si>
  <si>
    <t>NE 100016198</t>
  </si>
  <si>
    <t>-2826.20</t>
  </si>
  <si>
    <t>NE 100016201</t>
  </si>
  <si>
    <t>-5702.51</t>
  </si>
  <si>
    <t>-3353.28</t>
  </si>
  <si>
    <t>NE 100016205</t>
  </si>
  <si>
    <t>5702.51</t>
  </si>
  <si>
    <t>3353.28</t>
  </si>
  <si>
    <t>NE 100016206</t>
  </si>
  <si>
    <t>-5655.31</t>
  </si>
  <si>
    <t>NE 100016209</t>
  </si>
  <si>
    <t>-1602.39</t>
  </si>
  <si>
    <t>-1621.92</t>
  </si>
  <si>
    <t>NE 100016215</t>
  </si>
  <si>
    <t>-10059.85</t>
  </si>
  <si>
    <t>1621.94</t>
  </si>
  <si>
    <t>NE 100016216</t>
  </si>
  <si>
    <t>-1908.28</t>
  </si>
  <si>
    <t>NE 100016224</t>
  </si>
  <si>
    <t>NE 100016230</t>
  </si>
  <si>
    <t>10059.85</t>
  </si>
  <si>
    <t>NE 100016226</t>
  </si>
  <si>
    <t>-486.80</t>
  </si>
  <si>
    <t>NE 100016227</t>
  </si>
  <si>
    <t>-3703.55</t>
  </si>
  <si>
    <t>NE 100016228</t>
  </si>
  <si>
    <t>NE 100016231</t>
  </si>
  <si>
    <t>-8596.23</t>
  </si>
  <si>
    <t>NE 100016232</t>
  </si>
  <si>
    <t>-585.03</t>
  </si>
  <si>
    <t>-43109.68</t>
  </si>
  <si>
    <t>EM 1752</t>
  </si>
  <si>
    <t>AJUSTE INV. FISICO COCA AUT. ALESSANDRO</t>
  </si>
  <si>
    <t>2660.65</t>
  </si>
  <si>
    <t>SM 592</t>
  </si>
  <si>
    <t>AJUSTE INV. FISICO COCA AUT. ALESANDRO CARDILLO</t>
  </si>
  <si>
    <t>-1346.05</t>
  </si>
  <si>
    <t>28233.80</t>
  </si>
  <si>
    <t>-6586.37</t>
  </si>
  <si>
    <t>Inventario de prod. term. y mercad. en Bodega Baja Rotación</t>
  </si>
  <si>
    <t>222.71</t>
  </si>
  <si>
    <t>74.24</t>
  </si>
  <si>
    <t>148.47</t>
  </si>
  <si>
    <t>99.39</t>
  </si>
  <si>
    <t>116.79</t>
  </si>
  <si>
    <t>SM 588</t>
  </si>
  <si>
    <t>-31720.68</t>
  </si>
  <si>
    <t>Pedido de entrada de mercancías - PE0000000012</t>
  </si>
  <si>
    <t>Mercadería en Tránsito</t>
  </si>
  <si>
    <t>Pedido de entrada de mercancías - PE0000000019</t>
  </si>
  <si>
    <t>Pedido de entrada de mercancías - PE0000000062</t>
  </si>
  <si>
    <t>Pedido de entrada de mercancías - PE0000000004</t>
  </si>
  <si>
    <t>Pedido de entrada de mercancías - PE0000000010</t>
  </si>
  <si>
    <t>Pedido de entrada de mercancías - PE0000000077</t>
  </si>
  <si>
    <t>Pedido de entrada de mercancías - PE0000000099</t>
  </si>
  <si>
    <t>Pedido de entrada de mercancías - PE0000000018</t>
  </si>
  <si>
    <t>Pedido de entrada de mercancías - PE0000000080</t>
  </si>
  <si>
    <t>Pedido de entrada de mercancías - PE0000000046</t>
  </si>
  <si>
    <t>Pedido de entrada de mercancías - PE0000000094</t>
  </si>
  <si>
    <t>Pedido de entrada de mercancías - PE0000000074</t>
  </si>
  <si>
    <t>Pedido de entrada de mercancías - PE0000000044</t>
  </si>
  <si>
    <t>Pedido de entrada de mercancías - PE0000000081</t>
  </si>
  <si>
    <t>EP 6288</t>
  </si>
  <si>
    <t>Pedido de entrada de mercancías - PE0000000103</t>
  </si>
  <si>
    <t>9036.00</t>
  </si>
  <si>
    <t>DI 419</t>
  </si>
  <si>
    <t>Precio de entrega 419</t>
  </si>
  <si>
    <t>3285.52</t>
  </si>
  <si>
    <t>EP 6289</t>
  </si>
  <si>
    <t>2783.80</t>
  </si>
  <si>
    <t>DI 420</t>
  </si>
  <si>
    <t>Precio de entrega 420</t>
  </si>
  <si>
    <t>353.14</t>
  </si>
  <si>
    <t>-3136.94</t>
  </si>
  <si>
    <t>EP 6290</t>
  </si>
  <si>
    <t>89198.99</t>
  </si>
  <si>
    <t>DI 421</t>
  </si>
  <si>
    <t>Precio de entrega 421</t>
  </si>
  <si>
    <t>13307.02</t>
  </si>
  <si>
    <t>NE 100015295</t>
  </si>
  <si>
    <t>-371.16</t>
  </si>
  <si>
    <t>-1325.58</t>
  </si>
  <si>
    <t>1325.58</t>
  </si>
  <si>
    <t>-100809.27</t>
  </si>
  <si>
    <t>EP 6294</t>
  </si>
  <si>
    <t>133480.07</t>
  </si>
  <si>
    <t>DI 422</t>
  </si>
  <si>
    <t>Precio de entrega 422</t>
  </si>
  <si>
    <t>13415.96</t>
  </si>
  <si>
    <t>1452.63</t>
  </si>
  <si>
    <t>EP 6305</t>
  </si>
  <si>
    <t>56980.50</t>
  </si>
  <si>
    <t>DI 423</t>
  </si>
  <si>
    <t>Precio de entrega 423</t>
  </si>
  <si>
    <t>1745.47</t>
  </si>
  <si>
    <t>EP 6308</t>
  </si>
  <si>
    <t>243.15</t>
  </si>
  <si>
    <t>EP 6309</t>
  </si>
  <si>
    <t>22096.60</t>
  </si>
  <si>
    <t>EP 6310</t>
  </si>
  <si>
    <t>25329.76</t>
  </si>
  <si>
    <t>DI 424</t>
  </si>
  <si>
    <t>Precio de entrega 424</t>
  </si>
  <si>
    <t>3902.79</t>
  </si>
  <si>
    <t>-27403.56</t>
  </si>
  <si>
    <t>-23905.69</t>
  </si>
  <si>
    <t>-263.05</t>
  </si>
  <si>
    <t>141.84</t>
  </si>
  <si>
    <t>NE 100015448</t>
  </si>
  <si>
    <t>NE 100015478</t>
  </si>
  <si>
    <t>Entrega - Cancelación - CN1768153530001</t>
  </si>
  <si>
    <t>NE 100015479</t>
  </si>
  <si>
    <t>Entregas - CN1768153880001</t>
  </si>
  <si>
    <t>NE 100015754</t>
  </si>
  <si>
    <t>Entrega - Cancelación - CN1768153880001</t>
  </si>
  <si>
    <t>EP 6399</t>
  </si>
  <si>
    <t>74305.37</t>
  </si>
  <si>
    <t>-34.78</t>
  </si>
  <si>
    <t>NE 100015737</t>
  </si>
  <si>
    <t>-204.74</t>
  </si>
  <si>
    <t>DI 425</t>
  </si>
  <si>
    <t>Precio de entrega 425</t>
  </si>
  <si>
    <t>14327.38</t>
  </si>
  <si>
    <t>SM 570</t>
  </si>
  <si>
    <t>Ajuste importacion # 402</t>
  </si>
  <si>
    <t>-897.46</t>
  </si>
  <si>
    <t>NE 100015741</t>
  </si>
  <si>
    <t>-82.45</t>
  </si>
  <si>
    <t>EM 1726</t>
  </si>
  <si>
    <t>ajuste importacion OTAI # 402</t>
  </si>
  <si>
    <t>425.86</t>
  </si>
  <si>
    <t>EP 6409</t>
  </si>
  <si>
    <t>Pedido de entrada de mercancías - PE0000000101</t>
  </si>
  <si>
    <t>8172.00</t>
  </si>
  <si>
    <t>DI 426</t>
  </si>
  <si>
    <t>Precio de entrega 426</t>
  </si>
  <si>
    <t>1630.48</t>
  </si>
  <si>
    <t>-87438.09</t>
  </si>
  <si>
    <t>-9802.48</t>
  </si>
  <si>
    <t>278.79</t>
  </si>
  <si>
    <t>NE 100015775</t>
  </si>
  <si>
    <t>106.67</t>
  </si>
  <si>
    <t>NE 100015776</t>
  </si>
  <si>
    <t>796.12</t>
  </si>
  <si>
    <t>NE 100015777</t>
  </si>
  <si>
    <t>240.32</t>
  </si>
  <si>
    <t>NE 100015778</t>
  </si>
  <si>
    <t>40.78</t>
  </si>
  <si>
    <t>NE 100015779</t>
  </si>
  <si>
    <t>706.12</t>
  </si>
  <si>
    <t>NE 100015783</t>
  </si>
  <si>
    <t>-706.11</t>
  </si>
  <si>
    <t>EP 6415</t>
  </si>
  <si>
    <t>Pedido de entrada de mercancías - PE0000000084</t>
  </si>
  <si>
    <t>26936.10</t>
  </si>
  <si>
    <t>DI 427</t>
  </si>
  <si>
    <t>Precio de entrega 427</t>
  </si>
  <si>
    <t>5461.66</t>
  </si>
  <si>
    <t>EP 6422</t>
  </si>
  <si>
    <t>363.00</t>
  </si>
  <si>
    <t>DI 428</t>
  </si>
  <si>
    <t>Precio de entrega 428</t>
  </si>
  <si>
    <t>207.82</t>
  </si>
  <si>
    <t>EP 6423</t>
  </si>
  <si>
    <t>44083.50</t>
  </si>
  <si>
    <t>DI 429</t>
  </si>
  <si>
    <t>Precio de entrega 429</t>
  </si>
  <si>
    <t>4020.00</t>
  </si>
  <si>
    <t>EP 6424</t>
  </si>
  <si>
    <t>191.60</t>
  </si>
  <si>
    <t>EP 6425</t>
  </si>
  <si>
    <t>922.14</t>
  </si>
  <si>
    <t>DI 430</t>
  </si>
  <si>
    <t>Precio de entrega 430</t>
  </si>
  <si>
    <t>622.73</t>
  </si>
  <si>
    <t>-50410.79</t>
  </si>
  <si>
    <t>NE 100015897</t>
  </si>
  <si>
    <t>Entregas - CN0990006687001</t>
  </si>
  <si>
    <t>-570.82</t>
  </si>
  <si>
    <t>EP 6459</t>
  </si>
  <si>
    <t>161451.00</t>
  </si>
  <si>
    <t>DI 431</t>
  </si>
  <si>
    <t>Precio de entrega 431</t>
  </si>
  <si>
    <t>9822.89</t>
  </si>
  <si>
    <t>-171273.89</t>
  </si>
  <si>
    <t>EP 6497</t>
  </si>
  <si>
    <t>16739.00</t>
  </si>
  <si>
    <t>EP 6498</t>
  </si>
  <si>
    <t>12195.00</t>
  </si>
  <si>
    <t>DI 432</t>
  </si>
  <si>
    <t>Precio de entrega 432</t>
  </si>
  <si>
    <t>6298.81</t>
  </si>
  <si>
    <t>EP 6509</t>
  </si>
  <si>
    <t>72667.62</t>
  </si>
  <si>
    <t>DI 433</t>
  </si>
  <si>
    <t>Precio de entrega 433</t>
  </si>
  <si>
    <t>12733.46</t>
  </si>
  <si>
    <t>SM 580</t>
  </si>
  <si>
    <t>AJUSTE DE IMPORTACION # 420 METALFAR</t>
  </si>
  <si>
    <t>-874.38</t>
  </si>
  <si>
    <t>-84526.70</t>
  </si>
  <si>
    <t>EP 6517</t>
  </si>
  <si>
    <t>13894.04</t>
  </si>
  <si>
    <t>EP 6518</t>
  </si>
  <si>
    <t>1431.31</t>
  </si>
  <si>
    <t>DI 434</t>
  </si>
  <si>
    <t>Precio de entrega 434</t>
  </si>
  <si>
    <t>4753.21</t>
  </si>
  <si>
    <t>-682.69</t>
  </si>
  <si>
    <t>-20078.56</t>
  </si>
  <si>
    <t>-14849.79</t>
  </si>
  <si>
    <t>-19700.33</t>
  </si>
  <si>
    <t>EP 6528</t>
  </si>
  <si>
    <t>2340.00</t>
  </si>
  <si>
    <t>DI 435</t>
  </si>
  <si>
    <t>Precio de entrega 435</t>
  </si>
  <si>
    <t>1883.53</t>
  </si>
  <si>
    <t>EP 6531</t>
  </si>
  <si>
    <t>17510.04</t>
  </si>
  <si>
    <t>EP 6532</t>
  </si>
  <si>
    <t>154.64</t>
  </si>
  <si>
    <t>DI 436</t>
  </si>
  <si>
    <t>Precio de entrega 436</t>
  </si>
  <si>
    <t>2244.95</t>
  </si>
  <si>
    <t>-19901.85</t>
  </si>
  <si>
    <t>EP 6533</t>
  </si>
  <si>
    <t>78548.58</t>
  </si>
  <si>
    <t>DI 437</t>
  </si>
  <si>
    <t>Precio de entrega 437</t>
  </si>
  <si>
    <t>8883.35</t>
  </si>
  <si>
    <t>EP 6539</t>
  </si>
  <si>
    <t>3065.95</t>
  </si>
  <si>
    <t>DI 438</t>
  </si>
  <si>
    <t>Precio de entrega 438</t>
  </si>
  <si>
    <t>361.13</t>
  </si>
  <si>
    <t>-3424.71</t>
  </si>
  <si>
    <t>3.05</t>
  </si>
  <si>
    <t>-27.46</t>
  </si>
  <si>
    <t>NE 100015209</t>
  </si>
  <si>
    <t>-1178.52</t>
  </si>
  <si>
    <t>34.97</t>
  </si>
  <si>
    <t>3835.71</t>
  </si>
  <si>
    <t>196.54</t>
  </si>
  <si>
    <t>-2651.40</t>
  </si>
  <si>
    <t>390.83</t>
  </si>
  <si>
    <t>-26.35</t>
  </si>
  <si>
    <t>299.02</t>
  </si>
  <si>
    <t>-265.49</t>
  </si>
  <si>
    <t>227.75</t>
  </si>
  <si>
    <t>2142.18</t>
  </si>
  <si>
    <t>SM 575</t>
  </si>
  <si>
    <t>EM 1733</t>
  </si>
  <si>
    <t>227.76</t>
  </si>
  <si>
    <t>21.49</t>
  </si>
  <si>
    <t>NE 100016077</t>
  </si>
  <si>
    <t>SM 587</t>
  </si>
  <si>
    <t>-34092.21</t>
  </si>
  <si>
    <t>Inventario de Corte</t>
  </si>
  <si>
    <t>PagEfect</t>
  </si>
  <si>
    <t>Banco Bolivariano</t>
  </si>
  <si>
    <t>0.00</t>
  </si>
  <si>
    <t>PN1791903013001</t>
  </si>
  <si>
    <t>SIATIEXPRESS CIA. LTDA.</t>
  </si>
  <si>
    <t>FPQ</t>
  </si>
  <si>
    <t>PN1760013480001</t>
  </si>
  <si>
    <t>SERVICIO NACIONAL DE ADUANA DEL ECUADOR</t>
  </si>
  <si>
    <t>PE0000000012</t>
  </si>
  <si>
    <t>FIKE</t>
  </si>
  <si>
    <t>PN1790516008001</t>
  </si>
  <si>
    <t>CHUBB SEGUROS ECUADOR S.A.</t>
  </si>
  <si>
    <t>PN1792278767001</t>
  </si>
  <si>
    <t>FAST TRUCK DEL ECUADOR COMPAÑIA DE RESPONSABILIDAD LIMITADA</t>
  </si>
  <si>
    <t>PN1790952150001</t>
  </si>
  <si>
    <t>SCHRYVER DEL ECUADOR S.A</t>
  </si>
  <si>
    <t>120.00</t>
  </si>
  <si>
    <t>PE0000000062</t>
  </si>
  <si>
    <t>OTAI (HK) INT L LIMITED</t>
  </si>
  <si>
    <t>PE0000000004</t>
  </si>
  <si>
    <t>ARFLU INDUSTRIAL VALVES</t>
  </si>
  <si>
    <t>Alimentacion</t>
  </si>
  <si>
    <t>50.00</t>
  </si>
  <si>
    <t>PN1709027252</t>
  </si>
  <si>
    <t>MENA IPIALES WASHINGTON OMAR</t>
  </si>
  <si>
    <t>Cuenta transitoria ISD</t>
  </si>
  <si>
    <t>Crédito tributario a favor del sujeto pasivo (ISD)</t>
  </si>
  <si>
    <t>Banco Internacional</t>
  </si>
  <si>
    <t>FACT 000108711 IMP# MENEJO ORIGEN OIL</t>
  </si>
  <si>
    <t>PN0992705469001</t>
  </si>
  <si>
    <t>STARCARGO CIA. LTDA</t>
  </si>
  <si>
    <t>PE0000000010</t>
  </si>
  <si>
    <t>DK LOK Fittings &amp; Valves</t>
  </si>
  <si>
    <t>FACT 000043166 IMP# PENDIENTE REEMBOLSO TRANSPORTE</t>
  </si>
  <si>
    <t>PE0000000077</t>
  </si>
  <si>
    <t>LINCOLN SOLDADURAS DE COLOMBIA LTDA</t>
  </si>
  <si>
    <t>Gastos bancarios</t>
  </si>
  <si>
    <t>PN0993052701001</t>
  </si>
  <si>
    <t>GLOBALSHIPPINGLINE S.A.</t>
  </si>
  <si>
    <t>PN0990300925001</t>
  </si>
  <si>
    <t>HAMBURG SUD ECUADOR S.A.</t>
  </si>
  <si>
    <t>ANUL</t>
  </si>
  <si>
    <t>PE0000000099</t>
  </si>
  <si>
    <t>ZHEJIANG JUNYUE STANDARD PART CO.  LTD.</t>
  </si>
  <si>
    <t>PE0000000018</t>
  </si>
  <si>
    <t>KIMRAY INC</t>
  </si>
  <si>
    <t>255.00</t>
  </si>
  <si>
    <t>PE0000000100</t>
  </si>
  <si>
    <t>Maersk A/S</t>
  </si>
  <si>
    <t>Cuentra transitoria G. Bancarios</t>
  </si>
  <si>
    <t>PN0990369445001</t>
  </si>
  <si>
    <t>REMAR REPRESENTACIONES MARITIMAS DEL ECUADOR SA REMAR</t>
  </si>
  <si>
    <t>PE0000000080</t>
  </si>
  <si>
    <t>FLUID SEALING PRODUCTS</t>
  </si>
  <si>
    <t>PE0000000046</t>
  </si>
  <si>
    <t>Bao Steel do Brasil Ltda</t>
  </si>
  <si>
    <t>PN1792131936001</t>
  </si>
  <si>
    <t>SIATILOGISTICS S.A.</t>
  </si>
  <si>
    <t>PN1792492890001</t>
  </si>
  <si>
    <t>SIATIADUANAS SA</t>
  </si>
  <si>
    <t>Impuesto Salida de Divisas</t>
  </si>
  <si>
    <t>325.00</t>
  </si>
  <si>
    <t>PE0000000094</t>
  </si>
  <si>
    <t>LINCOLN ELECTRIC (TANGSHAN) WELDING MATERIALS CO., LTD</t>
  </si>
  <si>
    <t>PE0000000074</t>
  </si>
  <si>
    <t>HANGZHOU LINAN DA YANG WELDING MATERIAL CO.LTD</t>
  </si>
  <si>
    <t>PN1768046530001</t>
  </si>
  <si>
    <t>SERVICIO ECUATORIANO DE NORMALIZACION</t>
  </si>
  <si>
    <t>Factura de proveedores - Cancelación - PN099270546</t>
  </si>
  <si>
    <t>GASTOS BANCARIOS IMP #386 METALFAR</t>
  </si>
  <si>
    <t>PE0000000044</t>
  </si>
  <si>
    <t>Bray Controls Andina, Ltda.</t>
  </si>
  <si>
    <t>GTO BANCARIO KIM RAY IMP397 F.442117/440510/</t>
  </si>
  <si>
    <t>GASTOS BANCARIOS IMP #389 BRAY CONTROLS</t>
  </si>
  <si>
    <t>GASTOS BANCARIOS IMP #405 ZHEJIANG JUNYUE</t>
  </si>
  <si>
    <t>PAGO ISD IMP #405 ZHEJIANG JUNYUE</t>
  </si>
  <si>
    <t>ISD IMP #326 397 KIMRAY</t>
  </si>
  <si>
    <t>PE0000000081</t>
  </si>
  <si>
    <t>LINCOLN ELECTRIC HOLDINGS, INC.</t>
  </si>
  <si>
    <t>GASTOS BANCARIOS IMP #398 BRAY CONTROLS</t>
  </si>
  <si>
    <t>TT 100008375</t>
  </si>
  <si>
    <t>FC84671 IMP #398 MANIPULEO, VISTO BUENO, ADMINISTR</t>
  </si>
  <si>
    <t>PN0992424311001</t>
  </si>
  <si>
    <t>MSL DEL ECUADOR S.A.</t>
  </si>
  <si>
    <t>TT 100008385</t>
  </si>
  <si>
    <t>FC131296 IMP #390 SERVICIOS ADMINISTRATIVOS, PROCE</t>
  </si>
  <si>
    <t>TT 100008457</t>
  </si>
  <si>
    <t>FC000187697 IMP #398 CERTIFICADO INEN</t>
  </si>
  <si>
    <t>TT 100008492</t>
  </si>
  <si>
    <t>FC168991 IMP#405 APLICACION 29 SEGURO DE TRANSPORT</t>
  </si>
  <si>
    <t>TT 100008493</t>
  </si>
  <si>
    <t>FC168990 IMP#404 APLICACION 28 SEGURO DE TRANSPORT</t>
  </si>
  <si>
    <t>TT 100008494</t>
  </si>
  <si>
    <t>FC168992 IMP#402 APLICACION 30 SEGURO DE TRANSPORT</t>
  </si>
  <si>
    <t>PP 11593</t>
  </si>
  <si>
    <t>GASTOS BANCARIOS IMP #409 MKS PIPE  STEEL</t>
  </si>
  <si>
    <t>PP 11594</t>
  </si>
  <si>
    <t>PAGO ISD IMP #409 MKS PIPE STEEL</t>
  </si>
  <si>
    <t>PC 221</t>
  </si>
  <si>
    <t>Notas de crédito acreedores - PN0992705469001</t>
  </si>
  <si>
    <t>PC 222</t>
  </si>
  <si>
    <t>PC 223</t>
  </si>
  <si>
    <t>TT 6141</t>
  </si>
  <si>
    <t>LIQ ADUANA 43277821 IMP #390 BAOSTEEL</t>
  </si>
  <si>
    <t>PC 224</t>
  </si>
  <si>
    <t>PC 225</t>
  </si>
  <si>
    <t>TT 6143</t>
  </si>
  <si>
    <t>LIQ ADUANA 43288396 IMP #398 BRAY CONTROLS ANDINA</t>
  </si>
  <si>
    <t>TT 100008428</t>
  </si>
  <si>
    <t>FC50141 IMP# 401 MANEJO DE GUIA, MANEJO LOCAL</t>
  </si>
  <si>
    <t>TT 100008430</t>
  </si>
  <si>
    <t>FC121994 IMP #390 SERVICIO LOGISTICO Y ALMACENAJE</t>
  </si>
  <si>
    <t>TT 100008431</t>
  </si>
  <si>
    <t>FC121997 IMP #386 FLETE INTERNACIONAL</t>
  </si>
  <si>
    <t>TT 100008432</t>
  </si>
  <si>
    <t>FC121996 IMP# 386  MANEJO DESTINO, GASTOS LOCALES</t>
  </si>
  <si>
    <t>TT 6135</t>
  </si>
  <si>
    <t>RECIBO UP5312-01 IMP #401 PICK UP DKLOK, FLETE AER</t>
  </si>
  <si>
    <t>TT 100008454</t>
  </si>
  <si>
    <t>FC000022747 IMP #386 TRANSPORTE INTERNO</t>
  </si>
  <si>
    <t>TT 100008455</t>
  </si>
  <si>
    <t>FC000022748 IMP #390 TRANSPORTE INTERNO</t>
  </si>
  <si>
    <t>TT 100008456</t>
  </si>
  <si>
    <t>FC000121995 IMP #386 REEMBOLSO ALMACENAJE</t>
  </si>
  <si>
    <t>AS 107678</t>
  </si>
  <si>
    <t>RECLAS IMP #390 BAOSTEEL FC6136 ALIMENTACION</t>
  </si>
  <si>
    <t>AS 107679</t>
  </si>
  <si>
    <t>RECLAS IMP #390 BAOSTEEL NV795 ALIMENTACION</t>
  </si>
  <si>
    <t>TT 6131</t>
  </si>
  <si>
    <t>imp 404</t>
  </si>
  <si>
    <t>PE0000000103</t>
  </si>
  <si>
    <t>STRAVAL</t>
  </si>
  <si>
    <t>TT 6132</t>
  </si>
  <si>
    <t>IMP 411</t>
  </si>
  <si>
    <t>TT 6133</t>
  </si>
  <si>
    <t>IMP 386</t>
  </si>
  <si>
    <t>TT 6142</t>
  </si>
  <si>
    <t>LIQ ADUANA 43303547 IMP #401 DKLOK KIMRAY FLUID</t>
  </si>
  <si>
    <t>PP 11599</t>
  </si>
  <si>
    <t>GASTOS BANCARIOS IMP #409 MKS PIPE STEEL</t>
  </si>
  <si>
    <t>PP 11600</t>
  </si>
  <si>
    <t>TT 6134</t>
  </si>
  <si>
    <t>IMP 390</t>
  </si>
  <si>
    <t>PP 11602</t>
  </si>
  <si>
    <t>PP 11603</t>
  </si>
  <si>
    <t>PP 11605</t>
  </si>
  <si>
    <t>GASTOS BANCARIOS IMP #380 396 FIKE</t>
  </si>
  <si>
    <t>PP 11606</t>
  </si>
  <si>
    <t>PAGO ISD IMP #380 396 FIKE</t>
  </si>
  <si>
    <t>PP 11608</t>
  </si>
  <si>
    <t>GASTOS BANCARIOS IMP #414 PANTECH</t>
  </si>
  <si>
    <t>132.00</t>
  </si>
  <si>
    <t>PP 11609</t>
  </si>
  <si>
    <t>PAGO ISD IMP #414 PANTECH</t>
  </si>
  <si>
    <t>2090.94</t>
  </si>
  <si>
    <t>PP 11611</t>
  </si>
  <si>
    <t>GASTOS BANCARIOS IMP #402 DONGGUAN OTAI</t>
  </si>
  <si>
    <t>PP 11612</t>
  </si>
  <si>
    <t>PAGO ISD #402 DONGGUAN OTAI</t>
  </si>
  <si>
    <t>PP 11614</t>
  </si>
  <si>
    <t>GASTOS BANCARIOS IMP #406 BAOSTEEL</t>
  </si>
  <si>
    <t>PP 11615</t>
  </si>
  <si>
    <t>PAGO ISD IMP #406 BAOSTEEL</t>
  </si>
  <si>
    <t>PP 11617</t>
  </si>
  <si>
    <t>GASTOS BANCARIOS IMP #420 METALFAR</t>
  </si>
  <si>
    <t>PP 11618</t>
  </si>
  <si>
    <t>PAGO ISD #420 METALFAR</t>
  </si>
  <si>
    <t>TT 100008482</t>
  </si>
  <si>
    <t>FC50405 IMP #401 REEMBOLSO POR BODEGAJE</t>
  </si>
  <si>
    <t>TT 100008483</t>
  </si>
  <si>
    <t>FC22835 IMP #395 TRANSPORTE INTERNO</t>
  </si>
  <si>
    <t>TT 100008484</t>
  </si>
  <si>
    <t>FC122503 IMP #398 REEMBOLSO ALMACENAJE</t>
  </si>
  <si>
    <t>TT 100008485</t>
  </si>
  <si>
    <t>FC122502 IMP #398 SERVICIO LOGISTICO ADUANA</t>
  </si>
  <si>
    <t>TT 100008500</t>
  </si>
  <si>
    <t>FC113746 IMP #402 REEMBOLSO OCEAN FREIGHT</t>
  </si>
  <si>
    <t>PN1790427692001</t>
  </si>
  <si>
    <t>PANATLANTIC LOGISTICS S. A.</t>
  </si>
  <si>
    <t>TT 100008501</t>
  </si>
  <si>
    <t>FC113745 IMP #402 SERVICIO DE MANEJO GASTOS LOCALE</t>
  </si>
  <si>
    <t>TT 6136</t>
  </si>
  <si>
    <t>IMP 398</t>
  </si>
  <si>
    <t>TT 200630</t>
  </si>
  <si>
    <t>Factura de proveedores - Cancelación - PE000000004</t>
  </si>
  <si>
    <t>TT 6137</t>
  </si>
  <si>
    <t>TT 6138</t>
  </si>
  <si>
    <t>imp 401</t>
  </si>
  <si>
    <t>TT 6139</t>
  </si>
  <si>
    <t>TT 6140</t>
  </si>
  <si>
    <t>IMP 401</t>
  </si>
  <si>
    <t>AS 107310</t>
  </si>
  <si>
    <t>CIERRE FACT 000171891 IMP 363 FORMULARIO INEN</t>
  </si>
  <si>
    <t>Gasto Importacion</t>
  </si>
  <si>
    <t>AS 107312</t>
  </si>
  <si>
    <t>CIERRE ISD IMP# 368 North American Interpipe</t>
  </si>
  <si>
    <t>Impuesto salida de divisas</t>
  </si>
  <si>
    <t>AS 108545</t>
  </si>
  <si>
    <t>AS 108546</t>
  </si>
  <si>
    <t>CIERRE ISD IMP# 368 North American Interpipe(Anula</t>
  </si>
  <si>
    <t>PP 11693</t>
  </si>
  <si>
    <t>GASTOS BANCARIOS IMP #418 LINCOLN ELECTRIC</t>
  </si>
  <si>
    <t>94.32</t>
  </si>
  <si>
    <t>PP 11694</t>
  </si>
  <si>
    <t>PAGO ISD IMP # 418 LINCOLN ELECTRIC</t>
  </si>
  <si>
    <t>PP 11696</t>
  </si>
  <si>
    <t>GASTOS BANCARIOS IMP #420 TDC MAKINA</t>
  </si>
  <si>
    <t>PP 11697</t>
  </si>
  <si>
    <t>PAGO ISD IMP #420 TDC MAKINA</t>
  </si>
  <si>
    <t>70.31</t>
  </si>
  <si>
    <t>TT 6145</t>
  </si>
  <si>
    <t>LIQ ADUANA 43348509 IMP #416 FIKE</t>
  </si>
  <si>
    <t>TT 100008529</t>
  </si>
  <si>
    <t>FC526903 IMP #416 FLETE COURIER, DESADUANIZACION</t>
  </si>
  <si>
    <t>TT 100008528</t>
  </si>
  <si>
    <t>LC286 CAJA CHICA CCPR282</t>
  </si>
  <si>
    <t>AS 107667</t>
  </si>
  <si>
    <t>GND IMP #386 CAJA CHICA CCPR282 UIO</t>
  </si>
  <si>
    <t>AS 107664</t>
  </si>
  <si>
    <t>REG. GASTO BANCARIO IMP#411 KIMRAY</t>
  </si>
  <si>
    <t>AS 107674</t>
  </si>
  <si>
    <t>REG. ISD Y G. BANCRIOS IMP# 386 METALFAR</t>
  </si>
  <si>
    <t>AS 107706</t>
  </si>
  <si>
    <t>DIF. ISD IMP# 387 GENERAL/METALFAR</t>
  </si>
  <si>
    <t>AS 107710</t>
  </si>
  <si>
    <t>REG. COMISION BANCARIA IMP# 398 BRAY</t>
  </si>
  <si>
    <t>AS 107711</t>
  </si>
  <si>
    <t>ISD IMP# 401 DKLOK</t>
  </si>
  <si>
    <t>AS 107712</t>
  </si>
  <si>
    <t>REG. ISD IMP# 401 FLUID</t>
  </si>
  <si>
    <t>AS 107713</t>
  </si>
  <si>
    <t>AS 107714</t>
  </si>
  <si>
    <t>ISD IMP# 401 DKLOK(Anulación) - 107711</t>
  </si>
  <si>
    <t>AS 107717</t>
  </si>
  <si>
    <t>REG. G. BANCARIO DKLOK/KIMRAY IMP#401</t>
  </si>
  <si>
    <t>AS 107724</t>
  </si>
  <si>
    <t>AS 107727</t>
  </si>
  <si>
    <t>PAGO PRO ONE INTERNACIONAL</t>
  </si>
  <si>
    <t>PP 11685</t>
  </si>
  <si>
    <t>GASTOS BANCARIOS KIMRAY IMP #396 411</t>
  </si>
  <si>
    <t>PP 11686</t>
  </si>
  <si>
    <t>PAGO ISD KIMRAY IMP #396 411</t>
  </si>
  <si>
    <t>TT 6146</t>
  </si>
  <si>
    <t>LIQ ADUANA 43373523 IMP #417 LINCOLN KIMRAY</t>
  </si>
  <si>
    <t>PP 11688</t>
  </si>
  <si>
    <t>GASTOS BANCARIOS IMP #415 HANGZHOU</t>
  </si>
  <si>
    <t>PP 11689</t>
  </si>
  <si>
    <t>PAGO ISD IMP #415 HANGZHOU</t>
  </si>
  <si>
    <t>PP 11703</t>
  </si>
  <si>
    <t>GASTOS BANCARIOS IMP 386 METALFAR</t>
  </si>
  <si>
    <t>PP 11704</t>
  </si>
  <si>
    <t>PAGO ISD IMP 386 METALFAR</t>
  </si>
  <si>
    <t>TT 100008537</t>
  </si>
  <si>
    <t>FC4810 IMP #405 SERVICIO LOGISTICO</t>
  </si>
  <si>
    <t>TT 100008538</t>
  </si>
  <si>
    <t>FC4811 IMP #405 MOVIMIENTO INTERNO</t>
  </si>
  <si>
    <t>TT 6144</t>
  </si>
  <si>
    <t>RECIBO 3611 IMP 405 FLETE MARITIMO</t>
  </si>
  <si>
    <t>TT 6147</t>
  </si>
  <si>
    <t>LIQ ADUANA 43383914 IMP #408 BRAY</t>
  </si>
  <si>
    <t>TT 100008562</t>
  </si>
  <si>
    <t>FC000189357 IMP #405 CERTIFICADO INEN</t>
  </si>
  <si>
    <t>AS 108340</t>
  </si>
  <si>
    <t>CRUCE DKLOK POR MERCADERIA EXTRAVIADA</t>
  </si>
  <si>
    <t>PE0000000000065</t>
  </si>
  <si>
    <t>NUDRAULIX DBA DKLOK USA INC</t>
  </si>
  <si>
    <t>TT 100008571</t>
  </si>
  <si>
    <t>FC000084650 IMP#402 SERVICIOS DEVOLUCION CONTENEDO</t>
  </si>
  <si>
    <t>TT 100008572</t>
  </si>
  <si>
    <t>FC000084643 IMP#402 SERVICIOS DE AGENDAMIENTO, BOD</t>
  </si>
  <si>
    <t>TT 6150</t>
  </si>
  <si>
    <t>LIQ. ADUANA 43338048 IMP #402 OTAI</t>
  </si>
  <si>
    <t>TT 100008670</t>
  </si>
  <si>
    <t>LC294 CAJA CHICA CCPR283 UIO</t>
  </si>
  <si>
    <t>AS 109020</t>
  </si>
  <si>
    <t>CAJA CHICA CCPR283 UIO</t>
  </si>
  <si>
    <t>AS 110128</t>
  </si>
  <si>
    <t>IMP #421 MKS PIPE &amp; STEEL PICK UP ORIGEN 192299A</t>
  </si>
  <si>
    <t>PE0000000084</t>
  </si>
  <si>
    <t>MKS PIPE &amp; STEEL,INC</t>
  </si>
  <si>
    <t>AS 110129</t>
  </si>
  <si>
    <t>IMP #421 MKS PIPE &amp; STEEL OTROS  192299A</t>
  </si>
  <si>
    <t>TT 100008582</t>
  </si>
  <si>
    <t>FC000050869 IMP#408 TRAMITES DE IMPORTACION, EXPOR</t>
  </si>
  <si>
    <t>TT 100008586</t>
  </si>
  <si>
    <t>FC000528369 422 FLETE COURIER, DESADUANIZACION, SE</t>
  </si>
  <si>
    <t>TT 6149</t>
  </si>
  <si>
    <t>RECIBO 3175 IMP#408 RECOGIDA GASTOS DE BODEGA</t>
  </si>
  <si>
    <t>TT 100008584</t>
  </si>
  <si>
    <t>FC000050931 IMP #421 COORDINACION Y DESPACHO</t>
  </si>
  <si>
    <t>TT 100008585</t>
  </si>
  <si>
    <t>FC000050930 IMP#421 COLLECTION FEE</t>
  </si>
  <si>
    <t>TT 6148</t>
  </si>
  <si>
    <t>RECIBO UP5405-01 IMP#421 PANAMA CANAL SURCHARGE FL</t>
  </si>
  <si>
    <t>TT 100008587</t>
  </si>
  <si>
    <t>FC000004844 IMP #405 REEMBOLSO</t>
  </si>
  <si>
    <t>PC 228</t>
  </si>
  <si>
    <t>PC 229</t>
  </si>
  <si>
    <t>PP 11777</t>
  </si>
  <si>
    <t>GASTOS BANCARIOS IMP #418 DKLOK</t>
  </si>
  <si>
    <t>PP 11778</t>
  </si>
  <si>
    <t>PAGO ISD IMP #418 DKLOK</t>
  </si>
  <si>
    <t>PP 11780</t>
  </si>
  <si>
    <t>GASTOS BANCARIOS IMP #413 BAO STEEL</t>
  </si>
  <si>
    <t>PP 11781</t>
  </si>
  <si>
    <t>PAGO ISD IMP #413 BAO STEEL</t>
  </si>
  <si>
    <t>3922.86</t>
  </si>
  <si>
    <t>TT 6159</t>
  </si>
  <si>
    <t>LIQ ADUANA 43409140 IMP #421 MKS PIPE</t>
  </si>
  <si>
    <t>TT 6160</t>
  </si>
  <si>
    <t>LIQ ADUANA 43410051 IMP #405 ARFLU</t>
  </si>
  <si>
    <t>TT 100008606</t>
  </si>
  <si>
    <t>FC000060417 IMP #423 SERVICIO RETIRO DE CARGA</t>
  </si>
  <si>
    <t>TT 100008607</t>
  </si>
  <si>
    <t>FC000051139 IMP #421 COORDINACION Y LOGISTICA</t>
  </si>
  <si>
    <t>TT 100008646</t>
  </si>
  <si>
    <t>FC000051249 IMP #421 REEMBOLSO BODEGAJE</t>
  </si>
  <si>
    <t>TT 100008652</t>
  </si>
  <si>
    <t>FC171284 IMP#395 APLICACION 31 SEGURO DE TRANSPORT</t>
  </si>
  <si>
    <t>TT 100008653</t>
  </si>
  <si>
    <t>FC000171285 IMP #406 APLICACION 33 SEGURO DE TRANS</t>
  </si>
  <si>
    <t>TT 100008654</t>
  </si>
  <si>
    <t>FC000171286 IMP#401 APLICACION 32 SEGURO DE TRANSP</t>
  </si>
  <si>
    <t>TT 100008655</t>
  </si>
  <si>
    <t>FC000171287 IMP #421 APLICACION 35 SEGURO DE TRANS</t>
  </si>
  <si>
    <t>TT 100008656</t>
  </si>
  <si>
    <t>FC000171288 IMP #408 APLICACION 36 SEGURO DE TRANS</t>
  </si>
  <si>
    <t>TT 100008657</t>
  </si>
  <si>
    <t>FC000171289 IMP #420 APLICACION 38 SEGURO DE TRANS</t>
  </si>
  <si>
    <t>TT 100008658</t>
  </si>
  <si>
    <t>FC000171290 IMP #414 APLICACION 37 SEGURO DE TRANS</t>
  </si>
  <si>
    <t>53.17</t>
  </si>
  <si>
    <t>TT 100008659</t>
  </si>
  <si>
    <t>FC000171291 IMP #415 APLICACION 40 SEGURO DE TRANS</t>
  </si>
  <si>
    <t>TT 100008660</t>
  </si>
  <si>
    <t>FC000171292 IMP #418 APLICACION 39 SEGURO DE TRANS</t>
  </si>
  <si>
    <t>TT 100008661</t>
  </si>
  <si>
    <t>FC000171295 IMP #412 APLICACION 42 SEGURO DE TRANS</t>
  </si>
  <si>
    <t>132.52</t>
  </si>
  <si>
    <t>TT 100008645</t>
  </si>
  <si>
    <t>FC000051334 IMP #421 REEMBOLSO BODEGAJE</t>
  </si>
  <si>
    <t>PP 11792</t>
  </si>
  <si>
    <t>PP 11793</t>
  </si>
  <si>
    <t>TT 6161</t>
  </si>
  <si>
    <t>LIQ. ADUANA 43436369 IMP #395 BOTH WELL STEEL</t>
  </si>
  <si>
    <t>PP 11795</t>
  </si>
  <si>
    <t>GASTOS BANCARIOS IMP # ARFLU</t>
  </si>
  <si>
    <t>PP 11796</t>
  </si>
  <si>
    <t>PAGO ISD IMP # ARFLU</t>
  </si>
  <si>
    <t>PP 11798</t>
  </si>
  <si>
    <t>GASTOS BANCARIOS IMP #422 OMC RACCORD</t>
  </si>
  <si>
    <t>PP 11799</t>
  </si>
  <si>
    <t>PAGO ISD IMP #422 OMC RACCORD</t>
  </si>
  <si>
    <t>1115.85</t>
  </si>
  <si>
    <t>TT 100008707</t>
  </si>
  <si>
    <t>FC060029034 IMP #405 ACTUALIZACION DE CARTA</t>
  </si>
  <si>
    <t>TT 100008605</t>
  </si>
  <si>
    <t>FC579236 IMP #405 ALMACENAJE DE CONTENEDORES</t>
  </si>
  <si>
    <t>PN0992506717001</t>
  </si>
  <si>
    <t>CONTECON GUAYAQUIL S.A.</t>
  </si>
  <si>
    <t>TT 6151</t>
  </si>
  <si>
    <t>IMP 402</t>
  </si>
  <si>
    <t>TT 100008662</t>
  </si>
  <si>
    <t>FC000023080 IMP #395 TRANSPORTE INTERNO</t>
  </si>
  <si>
    <t>TT 100008663</t>
  </si>
  <si>
    <t>FC124153 IMP #395 GASTOS LOCALES, MANEJO DESTINO O</t>
  </si>
  <si>
    <t>TT 100008664</t>
  </si>
  <si>
    <t>FC124154 IMP #395 REEMBOLSO ALMACENAJE</t>
  </si>
  <si>
    <t>TT 100008665</t>
  </si>
  <si>
    <t>FC124155 IMP #395 FLETE INTERNACIONAL</t>
  </si>
  <si>
    <t>TT 6152</t>
  </si>
  <si>
    <t>IMP 395</t>
  </si>
  <si>
    <t>PE0000000101</t>
  </si>
  <si>
    <t>BOTH-WELL STEEL FITTINGS CO. LTD.</t>
  </si>
  <si>
    <t>TT 6154</t>
  </si>
  <si>
    <t>imp 421</t>
  </si>
  <si>
    <t>PP 11805</t>
  </si>
  <si>
    <t>GASTOS BANCARIOS IMP #430 BAO STEEL</t>
  </si>
  <si>
    <t>PP 11806</t>
  </si>
  <si>
    <t>PAGO ISD IMP #430 BAO STEEL</t>
  </si>
  <si>
    <t>1464.36</t>
  </si>
  <si>
    <t>TT 6155</t>
  </si>
  <si>
    <t>imp 416</t>
  </si>
  <si>
    <t>TT 6156</t>
  </si>
  <si>
    <t>imp 408</t>
  </si>
  <si>
    <t>TT 6157</t>
  </si>
  <si>
    <t>IMP 417</t>
  </si>
  <si>
    <t>TT 6158</t>
  </si>
  <si>
    <t>TT 100008716</t>
  </si>
  <si>
    <t>LC297 CAJA CHICA CCPR284 UIO</t>
  </si>
  <si>
    <t>AS 109524</t>
  </si>
  <si>
    <t>GND IMP #405 CAJA CHICA CCPR284 UIO</t>
  </si>
  <si>
    <t>TT 6163</t>
  </si>
  <si>
    <t>LIQ ADUANA 43492451 IMP#407</t>
  </si>
  <si>
    <t>TT 100008683</t>
  </si>
  <si>
    <t>FC132454 IMP #406 SERVICIO ADMINISTRATIVO CARTA DE</t>
  </si>
  <si>
    <t>PP 11839</t>
  </si>
  <si>
    <t>PAGO IMP 423 VERGARA MIRIAM</t>
  </si>
  <si>
    <t>AS 110117</t>
  </si>
  <si>
    <t>REG. GASTOS BANCARIOS IMP# 408 BRAY</t>
  </si>
  <si>
    <t>AS 110119</t>
  </si>
  <si>
    <t>REG. GASTOS BANCARIOS IMP# 416 FIKE</t>
  </si>
  <si>
    <t>AS 110120</t>
  </si>
  <si>
    <t>GASTO BANCARIOS PAGO FIKE</t>
  </si>
  <si>
    <t>AS 110135</t>
  </si>
  <si>
    <t>REG. ISD IMP# 421 MKS PIPE</t>
  </si>
  <si>
    <t>AS 110141</t>
  </si>
  <si>
    <t>ISD IMP# 395 BOTH WELL</t>
  </si>
  <si>
    <t>AS 110146</t>
  </si>
  <si>
    <t>REG. GASTOS BANCARIOS IMP# 402 OTAI</t>
  </si>
  <si>
    <t>AS 110147</t>
  </si>
  <si>
    <t>AS 110148</t>
  </si>
  <si>
    <t>REG. ISD IMP# 402 OTAI</t>
  </si>
  <si>
    <t>AS 110157</t>
  </si>
  <si>
    <t>VALOR COBRADO POR STARCARGO IMP # 359</t>
  </si>
  <si>
    <t>AS 110160</t>
  </si>
  <si>
    <t>PAGO SENAE LIQ. COMPLE IMP# 332-367</t>
  </si>
  <si>
    <t>AS 110163</t>
  </si>
  <si>
    <t>AS 110168</t>
  </si>
  <si>
    <t>IMP KIMRAY</t>
  </si>
  <si>
    <t>AS 110171</t>
  </si>
  <si>
    <t>AS 110174</t>
  </si>
  <si>
    <t>RECLASIF. CUENTA ISD</t>
  </si>
  <si>
    <t>AS 110175</t>
  </si>
  <si>
    <t>REG. DIF. PAGO ISD</t>
  </si>
  <si>
    <t>AS 110176</t>
  </si>
  <si>
    <t>REG ISD IMP #383 384 KIMRAY</t>
  </si>
  <si>
    <t>AS 110177</t>
  </si>
  <si>
    <t>AS 110178</t>
  </si>
  <si>
    <t>AS 110179</t>
  </si>
  <si>
    <t>AS 110180</t>
  </si>
  <si>
    <t>REG ISD IMP #380 396 FIKE</t>
  </si>
  <si>
    <t>TT 6162</t>
  </si>
  <si>
    <t>imp 405</t>
  </si>
  <si>
    <t>PP 11888</t>
  </si>
  <si>
    <t>SERVICIOS BANCARIOS IMP #420 FONDITAL</t>
  </si>
  <si>
    <t>PP 11889</t>
  </si>
  <si>
    <t>PAGO ISD IMP #420 FONDITAL</t>
  </si>
  <si>
    <t>153.63</t>
  </si>
  <si>
    <t>TT 6176</t>
  </si>
  <si>
    <t>LIQ. ADUANA 43514770 IMP 419 LINCOLN ELECTRIC</t>
  </si>
  <si>
    <t>TT 6188</t>
  </si>
  <si>
    <t>MAERSK FC558280080 DEMORAJE IMP #405</t>
  </si>
  <si>
    <t>TT 100008748</t>
  </si>
  <si>
    <t>FC000052022 IMP #423 COORDINACION Y DESPACHO</t>
  </si>
  <si>
    <t>TT 100008753</t>
  </si>
  <si>
    <t>FC000532581 IMP #419 DESADUANIZACION, SERVICIO DE</t>
  </si>
  <si>
    <t>TT 200636</t>
  </si>
  <si>
    <t>TT 100008746</t>
  </si>
  <si>
    <t>FC52007 IMP #407 COORDINACION Y DESPACHO</t>
  </si>
  <si>
    <t>TT 100008747</t>
  </si>
  <si>
    <t>FC52077 IMP #423 MANEJO LOCAL Y GUIA</t>
  </si>
  <si>
    <t>TT 6166</t>
  </si>
  <si>
    <t>RECIBO 3246-3247 IMP #407 FLETE TERRESTRE, PICK UP</t>
  </si>
  <si>
    <t>TT 6167</t>
  </si>
  <si>
    <t>RECIBO UP5975-01 IMP#423 FLETE AEREO FUEL CHARGE</t>
  </si>
  <si>
    <t>TT 200637</t>
  </si>
  <si>
    <t>TT 200638</t>
  </si>
  <si>
    <t>TT 6164</t>
  </si>
  <si>
    <t>RECIBO NYSLSHGYE22102009 IMP #415 FLETE MARITIMO</t>
  </si>
  <si>
    <t>TT 6165</t>
  </si>
  <si>
    <t>RECIBO WJXG221111980 IMP #418 FLETE MARITIMO</t>
  </si>
  <si>
    <t>TT 100008749</t>
  </si>
  <si>
    <t>FC52142 IMP #418 GASTOS PORTUARIOS DESCONSOLIDACIO</t>
  </si>
  <si>
    <t>TT 100008750</t>
  </si>
  <si>
    <t>FC52143 IMP #415 GASTOS PORTUARIOS MANIPULEO</t>
  </si>
  <si>
    <t>TT 100008751</t>
  </si>
  <si>
    <t>FC52144 IMP #415 COORDINACION Y DESPACHO</t>
  </si>
  <si>
    <t>TT 100008789</t>
  </si>
  <si>
    <t>FC172649 IMP #423 APLICACION 45 SEGURO DE TRANSPOR</t>
  </si>
  <si>
    <t>TT 100008790</t>
  </si>
  <si>
    <t>FC172648 IMP #407 APLICACION 44 SEGURO DE TRANSPOR</t>
  </si>
  <si>
    <t>TT 6177</t>
  </si>
  <si>
    <t>LIQ. ADUANA 43539185 IMP #420 METALFAR</t>
  </si>
  <si>
    <t>TT 100008782</t>
  </si>
  <si>
    <t>FC000060939 IMP #423 EMISION GUIA IMPORT FEE</t>
  </si>
  <si>
    <t>407.89</t>
  </si>
  <si>
    <t>TT 6179</t>
  </si>
  <si>
    <t>LIQ. ADUANA 43542194 IMP #406 BAOSTEEL</t>
  </si>
  <si>
    <t>TT 100008781</t>
  </si>
  <si>
    <t>FC000052264 IMP #418 COORDINACION Y DESPACHO</t>
  </si>
  <si>
    <t>TT 6184</t>
  </si>
  <si>
    <t>LIQ. ADUANA 43563529 IMP #425 FIKE</t>
  </si>
  <si>
    <t>1322.45</t>
  </si>
  <si>
    <t>TT 100008834</t>
  </si>
  <si>
    <t>FC000052395 IMP #415 REEMBOLSO BODEGAJE</t>
  </si>
  <si>
    <t>PP 11905</t>
  </si>
  <si>
    <t>GASTOS BANCARIOS IMP #430 OMC RACCORDI</t>
  </si>
  <si>
    <t>PP 11906</t>
  </si>
  <si>
    <t>PAGO ISD IMP #430 OMC RACCORDI</t>
  </si>
  <si>
    <t>257.90</t>
  </si>
  <si>
    <t>TT 6185</t>
  </si>
  <si>
    <t>LIQ. ADUANA 43577511 IMP #418 LINCOLN ELECTRIC</t>
  </si>
  <si>
    <t>TT 6186</t>
  </si>
  <si>
    <t>LIQ. ADUANA 43577453 IMP #415 ZHEJIANG</t>
  </si>
  <si>
    <t>TT 100008822</t>
  </si>
  <si>
    <t>FC000023272 IMP #406 TRANSPORTE INTERNO</t>
  </si>
  <si>
    <t>TT 100008823</t>
  </si>
  <si>
    <t>FC000023256 IMP#420 TRANSPORTE INTERNO</t>
  </si>
  <si>
    <t>TT 100008826</t>
  </si>
  <si>
    <t>FC000125323 IMP #420 REEMBOLSO ALMACENAJE</t>
  </si>
  <si>
    <t>TT 100008827</t>
  </si>
  <si>
    <t>FC000125322 IMP #420 MANEJO DESTINO GASTOS LOCALES</t>
  </si>
  <si>
    <t>TT 100008828</t>
  </si>
  <si>
    <t>FC000125324 IMP #420 FLETE INTERNACIONAL MANEJO Y</t>
  </si>
  <si>
    <t>TT 100008829</t>
  </si>
  <si>
    <t>FC000052472 IMP #423 MANEJO DE GUIA MANEJO LOCAL</t>
  </si>
  <si>
    <t>TT 100008830</t>
  </si>
  <si>
    <t>FC000052473 IMP #423 COORDINACION Y DESPACHO</t>
  </si>
  <si>
    <t>TT 100008831</t>
  </si>
  <si>
    <t>FC000052454 IMP #418 COORDINACION Y LOGISTICA</t>
  </si>
  <si>
    <t>TT 100008832</t>
  </si>
  <si>
    <t>FC000052453 IMP #418 REEMBOLSO BODEGAJE</t>
  </si>
  <si>
    <t>TT 100008833</t>
  </si>
  <si>
    <t>FC000052455 IMP #415 COORDINACION Y LOGISTICA</t>
  </si>
  <si>
    <t>TT 6174</t>
  </si>
  <si>
    <t>RECIBO UP5975-01 IMP #423 FLETE AEREO</t>
  </si>
  <si>
    <t>PP 11941</t>
  </si>
  <si>
    <t>GASTOS BANCARIOS IMP #431 DORRENBERG EDELSTAHL GMB</t>
  </si>
  <si>
    <t>PP 11942</t>
  </si>
  <si>
    <t>PAGO ISD IMP #431 DORRENBERG EDELSTAHL GMBH</t>
  </si>
  <si>
    <t>476.69</t>
  </si>
  <si>
    <t>PP 11944</t>
  </si>
  <si>
    <t>GASTOS BANCARIOS IMP #432 METALFAR</t>
  </si>
  <si>
    <t>PP 11945</t>
  </si>
  <si>
    <t>PAGO ISD IMP #432 METALFAR</t>
  </si>
  <si>
    <t>Cancelar entrada para número de pago 11941</t>
  </si>
  <si>
    <t>PP 12018</t>
  </si>
  <si>
    <t>GASTOS BANCARIOS IMP #431 DORRENBERG EDELSTAHL</t>
  </si>
  <si>
    <t>Cancelar entrada para número de pago 11944</t>
  </si>
  <si>
    <t>PP 12019</t>
  </si>
  <si>
    <t>TT 100008824</t>
  </si>
  <si>
    <t>FC000035864 IMP #425 SERVICIO DE BODEGAJE</t>
  </si>
  <si>
    <t>259.40</t>
  </si>
  <si>
    <t>TT 100008825</t>
  </si>
  <si>
    <t>FC000125353 IMP #406 SERVICIO LOGISTICO Y ALMACENA</t>
  </si>
  <si>
    <t>TT 6178</t>
  </si>
  <si>
    <t>LIQ. ADUANA 43593070 IMP #423 DKLOK LINCOLN</t>
  </si>
  <si>
    <t>TT 6187</t>
  </si>
  <si>
    <t>LIQ. ADUANA 43597612 IMP #426 LINCOLN ELECTRIC</t>
  </si>
  <si>
    <t>TT 100008845</t>
  </si>
  <si>
    <t>FC535199 IMP #440 FLETE COURIER SERVICIO RAYOS X</t>
  </si>
  <si>
    <t>TT 100008846</t>
  </si>
  <si>
    <t>FC000052599 IMP #423 REEMBOLSO POR BODEGAJE  LOCAL</t>
  </si>
  <si>
    <t>TT 6169</t>
  </si>
  <si>
    <t>IMP 415</t>
  </si>
  <si>
    <t>TT 6170</t>
  </si>
  <si>
    <t>imp 415</t>
  </si>
  <si>
    <t>TT 100008835</t>
  </si>
  <si>
    <t>FC000017358 SUMINISTROS DE OFICINA</t>
  </si>
  <si>
    <t>PN1790963489001</t>
  </si>
  <si>
    <t>CORPORACION ECUATORIANA DE SUMINISTROS SUMECOR</t>
  </si>
  <si>
    <t>69.82</t>
  </si>
  <si>
    <t>PP 11947</t>
  </si>
  <si>
    <t>GASTOS BANCARIOS IMP #450 DKLOK</t>
  </si>
  <si>
    <t>PP 11948</t>
  </si>
  <si>
    <t>PAGO ISD IMP #450 DKLOK</t>
  </si>
  <si>
    <t>302.57</t>
  </si>
  <si>
    <t>Cancelar entrada para número de pago 11947</t>
  </si>
  <si>
    <t>PP 12020</t>
  </si>
  <si>
    <t>105.18</t>
  </si>
  <si>
    <t>AS 112500</t>
  </si>
  <si>
    <t>Suministros de oficina</t>
  </si>
  <si>
    <t>-69.82</t>
  </si>
  <si>
    <t>TT 6171</t>
  </si>
  <si>
    <t>IMP 420</t>
  </si>
  <si>
    <t>PP 11951</t>
  </si>
  <si>
    <t>GASTOS BANCARIOS IMP #451 HANGZHOULIN</t>
  </si>
  <si>
    <t>TT 6172</t>
  </si>
  <si>
    <t>imp 407</t>
  </si>
  <si>
    <t>TT 6173</t>
  </si>
  <si>
    <t>TT 6175</t>
  </si>
  <si>
    <t>imp 418</t>
  </si>
  <si>
    <t>PP 12003</t>
  </si>
  <si>
    <t>GASTOS BANCARIOS IMP #407 LINCOLN SOLDADURAS COLOM</t>
  </si>
  <si>
    <t>PP 12004</t>
  </si>
  <si>
    <t>PAGO ISD IMP #407 LINCOLN SOLDADURAS DE COLOMBIA</t>
  </si>
  <si>
    <t>Cancelar entrada para número de pago 12003</t>
  </si>
  <si>
    <t>PP 12021</t>
  </si>
  <si>
    <t>TT 6180</t>
  </si>
  <si>
    <t>imp 423</t>
  </si>
  <si>
    <t>TT 6181</t>
  </si>
  <si>
    <t>TT 6182</t>
  </si>
  <si>
    <t>IMP 406</t>
  </si>
  <si>
    <t>PP 11956</t>
  </si>
  <si>
    <t>GASTOS BANCARIOS IMP #451 HANGZHOU LINAN</t>
  </si>
  <si>
    <t>PP 11962</t>
  </si>
  <si>
    <t>PAGO ISD IMP #451 HANGZHOU LINAN</t>
  </si>
  <si>
    <t>361.44</t>
  </si>
  <si>
    <t>TT 6183</t>
  </si>
  <si>
    <t>IMP 419</t>
  </si>
  <si>
    <t>PP 11993</t>
  </si>
  <si>
    <t>GASTOS BANCARIOS IMP #408 BRAY</t>
  </si>
  <si>
    <t>PP 11994</t>
  </si>
  <si>
    <t>PAGO ISD IMP #408 BRAY</t>
  </si>
  <si>
    <t>PP 11996</t>
  </si>
  <si>
    <t>GASTOS BANCARIOS IMP #417 LINCOLN ELECTRIC</t>
  </si>
  <si>
    <t>PP 11997</t>
  </si>
  <si>
    <t>PAGO ISD IMP #417 LINCOLN ELECTRIC</t>
  </si>
  <si>
    <t>AS 111264</t>
  </si>
  <si>
    <t>REG. ISD IMP# 415 ZHEJIANG JUNYE-HANGZHOU</t>
  </si>
  <si>
    <t>AS 111449</t>
  </si>
  <si>
    <t>REG. ISD IMP# 419 LINCOLN ELECTRIC</t>
  </si>
  <si>
    <t>AS 111452</t>
  </si>
  <si>
    <t>DIF. G. BANCARIO IMP# 406 BAOSTEEL</t>
  </si>
  <si>
    <t>AS 111461</t>
  </si>
  <si>
    <t>DIF. G. BANCARIO IMP# 418 LINCLOL</t>
  </si>
  <si>
    <t>AS 111464</t>
  </si>
  <si>
    <t>REG. ISD IMP# 418 LINCOLN ELECTRIC TANGSHAN</t>
  </si>
  <si>
    <t>AS 111467</t>
  </si>
  <si>
    <t>DIF. G BANCARIOS IMP #407 LINCOLN SOLDADURAS COLOM</t>
  </si>
  <si>
    <t>AS 111469</t>
  </si>
  <si>
    <t>G. BANCARIOS IMP# 407 BRAY</t>
  </si>
  <si>
    <t>AS 111470</t>
  </si>
  <si>
    <t>REG. ISD IMP# 407 LINCOLN</t>
  </si>
  <si>
    <t>AS 111476</t>
  </si>
  <si>
    <t>DIF. G. BANCARIOS IMP# 420 METALFAR</t>
  </si>
  <si>
    <t>AS 111478</t>
  </si>
  <si>
    <t>DIF. ISD IMP# 420 METALFAR</t>
  </si>
  <si>
    <t>AS 111506</t>
  </si>
  <si>
    <t>REG. ISD IMP# 334 ARFLU</t>
  </si>
  <si>
    <t>AS 111514</t>
  </si>
  <si>
    <t>REG. ISD IMP# 423 DKLOK-LINCOLN</t>
  </si>
  <si>
    <t>AS 112048</t>
  </si>
  <si>
    <t>AS 112050</t>
  </si>
  <si>
    <t>REG. DIF. GASTO BANCARIOS IMPORTACIONES</t>
  </si>
  <si>
    <t>AS 112052</t>
  </si>
  <si>
    <t>REG. ISD IMP# 389 BRAY</t>
  </si>
  <si>
    <t>AS 112056</t>
  </si>
  <si>
    <t>AS 112057</t>
  </si>
  <si>
    <t>AS 112058</t>
  </si>
  <si>
    <t>AS 112059</t>
  </si>
  <si>
    <t>AS 112061</t>
  </si>
  <si>
    <t>AS 112062</t>
  </si>
  <si>
    <t>AS 112066</t>
  </si>
  <si>
    <t>AS 112071</t>
  </si>
  <si>
    <t>AS 112074</t>
  </si>
  <si>
    <t>REG. ISD IMP# 408 BRAY</t>
  </si>
  <si>
    <t>Compras</t>
  </si>
  <si>
    <t>Traslados</t>
  </si>
  <si>
    <t>Total general</t>
  </si>
  <si>
    <t>AS 112447</t>
  </si>
  <si>
    <t>REGISTRO PROVISIÓN VNR 2022</t>
  </si>
  <si>
    <t>Gasto provisión deterioro del valor de los activos</t>
  </si>
  <si>
    <t>-5195.76</t>
  </si>
  <si>
    <t>Diferencia</t>
  </si>
  <si>
    <t>Notas de crédito</t>
  </si>
  <si>
    <t>Costo de ventas</t>
  </si>
  <si>
    <t>Baja</t>
  </si>
  <si>
    <t>Devolución en compras</t>
  </si>
  <si>
    <t>En transito</t>
  </si>
  <si>
    <t>Otros costos</t>
  </si>
  <si>
    <t>Otros ingresos</t>
  </si>
  <si>
    <t>Importaciones</t>
  </si>
  <si>
    <t>[2]</t>
  </si>
  <si>
    <t>[1]</t>
  </si>
  <si>
    <t>[3]</t>
  </si>
  <si>
    <t>COMPAÑÍA MODELO S.A.</t>
  </si>
  <si>
    <t>MOVIMIENTO DE INVENTARIOS</t>
  </si>
  <si>
    <t>Desarrollo:</t>
  </si>
  <si>
    <t>Ref.</t>
  </si>
  <si>
    <t>Base de decisión: Materialidad</t>
  </si>
  <si>
    <t>General</t>
  </si>
  <si>
    <t>XXX.XXX</t>
  </si>
  <si>
    <t>Desempeño</t>
  </si>
  <si>
    <t>Errores Triviales</t>
  </si>
  <si>
    <t>1.-</t>
  </si>
  <si>
    <t>2.-</t>
  </si>
  <si>
    <t>4.-</t>
  </si>
  <si>
    <t>3-.</t>
  </si>
  <si>
    <t>Sumatoria</t>
  </si>
  <si>
    <t>p/t 110</t>
  </si>
  <si>
    <t xml:space="preserve">Marcas de auditoría: </t>
  </si>
  <si>
    <t>XX</t>
  </si>
  <si>
    <t xml:space="preserve">Código Contable </t>
  </si>
  <si>
    <t xml:space="preserve">Cuenta Contable </t>
  </si>
  <si>
    <t>*** El número de filas depende las cuentas de inventario que presenta la Compañía Modelo S.A.</t>
  </si>
  <si>
    <t>p/t 1600</t>
  </si>
  <si>
    <t>AL 31 DE DICIEMBRE DE 20XX</t>
  </si>
  <si>
    <t>*** El número de columnas depende las agrupaciones que se de al movimiento de inventario de la Compañía Modelo S.A.</t>
  </si>
  <si>
    <t>Observaciones:</t>
  </si>
  <si>
    <t>Notas aclaratorias:</t>
  </si>
  <si>
    <t>Conclusión:</t>
  </si>
  <si>
    <t>110.03</t>
  </si>
  <si>
    <t>Preliminar</t>
  </si>
  <si>
    <t xml:space="preserve">Final </t>
  </si>
  <si>
    <t xml:space="preserve">Código cuenta contable </t>
  </si>
  <si>
    <t xml:space="preserve">Nombre cuenta contable </t>
  </si>
  <si>
    <t>Saldo según EEFF al _/_/20XX</t>
  </si>
  <si>
    <t>Saldo según ERI al _/_/20XX</t>
  </si>
  <si>
    <t>a)</t>
  </si>
  <si>
    <t>b)</t>
  </si>
  <si>
    <t>c)</t>
  </si>
  <si>
    <t>Obs.1</t>
  </si>
  <si>
    <t>Obs.2</t>
  </si>
  <si>
    <t>Obs.3</t>
  </si>
  <si>
    <t>***Concluir en función al objetivo</t>
  </si>
  <si>
    <t>FECHA DE CORTE: _/_/20XX</t>
  </si>
  <si>
    <t>Procedimientos:</t>
  </si>
  <si>
    <t>Solicitar a la Compañía los estados financieros al _/_/20XX</t>
  </si>
  <si>
    <t>Solicitar a la Compañía los mayores contables al _/_/20XX</t>
  </si>
  <si>
    <t xml:space="preserve">Clasificar los movimientos en el mayor contable de la cuenta de inventarios. </t>
  </si>
  <si>
    <t>Documentar el papel de trabajo y concluir en base al objetivo.</t>
  </si>
  <si>
    <t xml:space="preserve">Cruce con estados financieros </t>
  </si>
  <si>
    <t xml:space="preserve">1) Cruce costo de ventas vs estado de resultados </t>
  </si>
  <si>
    <t>Saldo según movimiento</t>
  </si>
  <si>
    <t xml:space="preserve">2) Cruce bajas de inventario vs estado de resultados </t>
  </si>
  <si>
    <t>Deterioro</t>
  </si>
  <si>
    <t>Tomado de mayores contables al 31/xx/20xx (Año de revisión)</t>
  </si>
  <si>
    <t>Según Estado Financiero al 31/12/202x (Año anterior)</t>
  </si>
  <si>
    <t>Según Estado Financiero al 31/12/202x (Año de revisión)</t>
  </si>
  <si>
    <t>A</t>
  </si>
  <si>
    <t>B</t>
  </si>
  <si>
    <t>C</t>
  </si>
  <si>
    <t>5.-</t>
  </si>
  <si>
    <t>Identificar el tipo de transacciones que se han registrado en el inventario al _/_/20XX.</t>
  </si>
  <si>
    <t xml:space="preserve">Conciliar íntegramente el saldo final del movimiento con estados financieros. </t>
  </si>
  <si>
    <t xml:space="preserve">3) Cruce deterioro vs estado de resultados </t>
  </si>
  <si>
    <t>***Base de mayores con la que se efectúa el movimiento</t>
  </si>
  <si>
    <t>Verificaciones:</t>
  </si>
  <si>
    <t>Saldo según EEFF al _/_/20XX-1</t>
  </si>
  <si>
    <t>6.-</t>
  </si>
  <si>
    <t>Solicitar a la Compañía los estados financieros al _/_/20XX-1</t>
  </si>
  <si>
    <t xml:space="preserve">Compras netas </t>
  </si>
  <si>
    <t xml:space="preserve">***en caso que aplique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</si>
</sst>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22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name val="Arial"/>
      <family val="2"/>
    </font>
    <font>
      <sz val="10"/>
      <name val="Tahoma"/>
      <family val="2"/>
    </font>
    <font>
      <sz val="11"/>
      <color theme="1"/>
      <name val="Calibri"/>
      <family val="2"/>
    </font>
    <font>
      <b/>
      <sz val="10"/>
      <color theme="1"/>
      <name val="Tahoma"/>
      <family val="2"/>
    </font>
    <font>
      <b/>
      <sz val="10"/>
      <name val="Tahoma"/>
      <family val="2"/>
    </font>
    <font>
      <b/>
      <sz val="10"/>
      <color theme="3"/>
      <name val="Tahoma"/>
      <family val="2"/>
    </font>
    <font>
      <b/>
      <sz val="10"/>
      <color rgb="FFFF0000"/>
      <name val="Tahoma"/>
      <family val="2"/>
    </font>
    <font>
      <sz val="11"/>
      <color indexed="8"/>
      <name val="Calibri"/>
      <family val="2"/>
    </font>
    <font>
      <sz val="10"/>
      <color rgb="FF000000"/>
      <name val="Tahoma"/>
      <family val="2"/>
    </font>
    <font>
      <b/>
      <sz val="10"/>
      <color rgb="FF002060"/>
      <name val="Tahoma"/>
      <family val="2"/>
    </font>
    <font>
      <sz val="10"/>
      <color rgb="FFFF0000"/>
      <name val="Tahoma"/>
      <family val="2"/>
    </font>
    <font>
      <sz val="10"/>
      <color rgb="FF0000CC"/>
      <name val="Tahoma"/>
      <family val="2"/>
    </font>
    <font>
      <b/>
      <sz val="10"/>
      <color rgb="FFFF0000"/>
      <name val="Marlett"/>
      <charset val="2"/>
    </font>
    <font>
      <sz val="10"/>
      <color rgb="FF0000FF"/>
      <name val="Tahoma"/>
      <family val="2"/>
    </font>
    <font>
      <b/>
      <sz val="10"/>
      <color rgb="FF000099"/>
      <name val="Tahoma"/>
      <family val="2"/>
    </font>
    <font>
      <b/>
      <u/>
      <sz val="10"/>
      <color rgb="FF0000FF"/>
      <name val="Tahoma"/>
      <family val="2"/>
    </font>
    <font>
      <b/>
      <sz val="10"/>
      <color rgb="FF0000FF"/>
      <name val="Tahoma"/>
      <family val="2"/>
    </font>
    <font>
      <b/>
      <u/>
      <sz val="10"/>
      <color theme="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</cellStyleXfs>
  <cellXfs count="107">
    <xf numFmtId="0" fontId="0" fillId="0" borderId="0" xfId="0"/>
    <xf numFmtId="0" fontId="3" fillId="2" borderId="0" xfId="0" applyFont="1" applyFill="1"/>
    <xf numFmtId="0" fontId="5" fillId="2" borderId="0" xfId="2" applyFont="1" applyFill="1"/>
    <xf numFmtId="0" fontId="5" fillId="2" borderId="0" xfId="2" applyFont="1" applyFill="1" applyAlignment="1">
      <alignment horizontal="center" vertical="center"/>
    </xf>
    <xf numFmtId="0" fontId="9" fillId="2" borderId="0" xfId="4" applyFont="1" applyFill="1" applyAlignment="1">
      <alignment vertical="center"/>
    </xf>
    <xf numFmtId="0" fontId="9" fillId="2" borderId="0" xfId="4" applyFont="1" applyFill="1" applyAlignment="1">
      <alignment horizontal="right" vertical="center" wrapText="1"/>
    </xf>
    <xf numFmtId="0" fontId="5" fillId="2" borderId="0" xfId="3" applyFont="1" applyFill="1" applyAlignment="1">
      <alignment horizontal="center"/>
    </xf>
    <xf numFmtId="0" fontId="12" fillId="2" borderId="0" xfId="5" applyFont="1" applyFill="1" applyAlignment="1">
      <alignment horizontal="left"/>
    </xf>
    <xf numFmtId="0" fontId="3" fillId="2" borderId="0" xfId="0" applyFont="1" applyFill="1" applyAlignment="1">
      <alignment horizontal="right"/>
    </xf>
    <xf numFmtId="0" fontId="5" fillId="2" borderId="0" xfId="5" applyFont="1" applyFill="1"/>
    <xf numFmtId="0" fontId="12" fillId="2" borderId="0" xfId="5" applyFont="1" applyFill="1"/>
    <xf numFmtId="0" fontId="3" fillId="0" borderId="0" xfId="0" applyFont="1"/>
    <xf numFmtId="0" fontId="13" fillId="0" borderId="0" xfId="0" applyFont="1"/>
    <xf numFmtId="0" fontId="7" fillId="0" borderId="0" xfId="0" applyFont="1"/>
    <xf numFmtId="164" fontId="3" fillId="0" borderId="0" xfId="1" applyNumberFormat="1" applyFont="1"/>
    <xf numFmtId="0" fontId="3" fillId="0" borderId="0" xfId="0" applyFont="1" applyAlignment="1">
      <alignment horizontal="center"/>
    </xf>
    <xf numFmtId="0" fontId="5" fillId="0" borderId="0" xfId="0" applyFont="1"/>
    <xf numFmtId="164" fontId="7" fillId="0" borderId="0" xfId="1" applyNumberFormat="1" applyFont="1"/>
    <xf numFmtId="0" fontId="10" fillId="0" borderId="0" xfId="0" applyFont="1" applyAlignment="1">
      <alignment horizontal="center"/>
    </xf>
    <xf numFmtId="164" fontId="10" fillId="0" borderId="0" xfId="1" applyNumberFormat="1" applyFont="1" applyAlignment="1">
      <alignment horizontal="center"/>
    </xf>
    <xf numFmtId="164" fontId="7" fillId="0" borderId="3" xfId="1" applyNumberFormat="1" applyFont="1" applyBorder="1"/>
    <xf numFmtId="1" fontId="3" fillId="0" borderId="0" xfId="0" applyNumberFormat="1" applyFont="1"/>
    <xf numFmtId="43" fontId="3" fillId="2" borderId="0" xfId="1" applyFont="1" applyFill="1" applyAlignment="1">
      <alignment horizontal="right"/>
    </xf>
    <xf numFmtId="43" fontId="10" fillId="2" borderId="0" xfId="1" applyFont="1" applyFill="1"/>
    <xf numFmtId="43" fontId="14" fillId="2" borderId="0" xfId="1" applyFont="1" applyFill="1" applyAlignment="1">
      <alignment horizontal="right"/>
    </xf>
    <xf numFmtId="43" fontId="14" fillId="2" borderId="0" xfId="1" applyFont="1" applyFill="1"/>
    <xf numFmtId="4" fontId="3" fillId="0" borderId="0" xfId="0" applyNumberFormat="1" applyFont="1"/>
    <xf numFmtId="0" fontId="10" fillId="0" borderId="0" xfId="0" applyFont="1"/>
    <xf numFmtId="0" fontId="17" fillId="0" borderId="0" xfId="0" applyFont="1" applyAlignment="1">
      <alignment horizontal="right"/>
    </xf>
    <xf numFmtId="0" fontId="18" fillId="0" borderId="0" xfId="0" applyFont="1"/>
    <xf numFmtId="3" fontId="5" fillId="0" borderId="0" xfId="1" applyNumberFormat="1" applyFont="1" applyFill="1" applyBorder="1"/>
    <xf numFmtId="3" fontId="14" fillId="2" borderId="0" xfId="1" applyNumberFormat="1" applyFont="1" applyFill="1" applyBorder="1"/>
    <xf numFmtId="165" fontId="10" fillId="0" borderId="0" xfId="1" applyNumberFormat="1" applyFont="1"/>
    <xf numFmtId="49" fontId="10" fillId="2" borderId="0" xfId="1" applyNumberFormat="1" applyFont="1" applyFill="1"/>
    <xf numFmtId="0" fontId="10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7" fillId="3" borderId="0" xfId="0" applyFont="1" applyFill="1"/>
    <xf numFmtId="4" fontId="7" fillId="3" borderId="0" xfId="0" applyNumberFormat="1" applyFont="1" applyFill="1"/>
    <xf numFmtId="4" fontId="7" fillId="3" borderId="0" xfId="1" applyNumberFormat="1" applyFont="1" applyFill="1"/>
    <xf numFmtId="43" fontId="7" fillId="3" borderId="0" xfId="1" applyFont="1" applyFill="1"/>
    <xf numFmtId="43" fontId="3" fillId="0" borderId="0" xfId="1" applyFont="1"/>
    <xf numFmtId="14" fontId="3" fillId="0" borderId="0" xfId="0" applyNumberFormat="1" applyFont="1"/>
    <xf numFmtId="43" fontId="3" fillId="3" borderId="0" xfId="1" applyFont="1" applyFill="1"/>
    <xf numFmtId="43" fontId="8" fillId="4" borderId="0" xfId="1" applyFont="1" applyFill="1"/>
    <xf numFmtId="4" fontId="3" fillId="3" borderId="0" xfId="1" applyNumberFormat="1" applyFont="1" applyFill="1"/>
    <xf numFmtId="0" fontId="3" fillId="0" borderId="0" xfId="0" pivotButton="1" applyFont="1"/>
    <xf numFmtId="0" fontId="3" fillId="4" borderId="0" xfId="0" applyFont="1" applyFill="1"/>
    <xf numFmtId="164" fontId="3" fillId="0" borderId="0" xfId="0" applyNumberFormat="1" applyFont="1"/>
    <xf numFmtId="43" fontId="10" fillId="0" borderId="0" xfId="1" applyFont="1"/>
    <xf numFmtId="0" fontId="5" fillId="2" borderId="0" xfId="2" applyFont="1" applyFill="1" applyBorder="1"/>
    <xf numFmtId="0" fontId="3" fillId="2" borderId="0" xfId="0" applyFont="1" applyFill="1" applyBorder="1"/>
    <xf numFmtId="0" fontId="1" fillId="0" borderId="0" xfId="0" applyFont="1"/>
    <xf numFmtId="0" fontId="16" fillId="0" borderId="0" xfId="0" applyFont="1" applyAlignment="1">
      <alignment horizontal="left"/>
    </xf>
    <xf numFmtId="0" fontId="13" fillId="2" borderId="0" xfId="3" applyFont="1" applyFill="1" applyBorder="1" applyAlignment="1" applyProtection="1">
      <alignment horizontal="left" vertical="center"/>
      <protection hidden="1"/>
    </xf>
    <xf numFmtId="0" fontId="13" fillId="2" borderId="0" xfId="3" applyFont="1" applyFill="1" applyAlignment="1" applyProtection="1">
      <alignment horizontal="left" vertical="center"/>
      <protection hidden="1"/>
    </xf>
    <xf numFmtId="0" fontId="13" fillId="2" borderId="0" xfId="0" applyFont="1" applyFill="1" applyAlignment="1">
      <alignment horizontal="left" vertical="top"/>
    </xf>
    <xf numFmtId="0" fontId="5" fillId="2" borderId="0" xfId="6" applyFont="1" applyFill="1" applyAlignment="1">
      <alignment horizontal="left" vertical="center" indent="1"/>
    </xf>
    <xf numFmtId="0" fontId="8" fillId="2" borderId="0" xfId="6" applyFont="1" applyFill="1" applyAlignment="1">
      <alignment horizontal="left" vertical="center" indent="1"/>
    </xf>
    <xf numFmtId="0" fontId="1" fillId="0" borderId="5" xfId="0" applyFont="1" applyBorder="1"/>
    <xf numFmtId="0" fontId="19" fillId="0" borderId="0" xfId="0" applyFont="1"/>
    <xf numFmtId="0" fontId="3" fillId="0" borderId="0" xfId="0" applyFont="1" applyBorder="1"/>
    <xf numFmtId="0" fontId="10" fillId="0" borderId="0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4" fillId="0" borderId="0" xfId="0" applyFont="1" applyBorder="1"/>
    <xf numFmtId="43" fontId="15" fillId="2" borderId="0" xfId="1" applyFont="1" applyFill="1" applyBorder="1"/>
    <xf numFmtId="0" fontId="3" fillId="0" borderId="2" xfId="0" applyFont="1" applyBorder="1"/>
    <xf numFmtId="0" fontId="1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164" fontId="3" fillId="0" borderId="2" xfId="1" applyNumberFormat="1" applyFont="1" applyBorder="1"/>
    <xf numFmtId="0" fontId="14" fillId="0" borderId="2" xfId="0" applyFont="1" applyBorder="1"/>
    <xf numFmtId="0" fontId="16" fillId="0" borderId="0" xfId="0" applyFont="1" applyBorder="1" applyAlignment="1">
      <alignment horizontal="center"/>
    </xf>
    <xf numFmtId="3" fontId="5" fillId="0" borderId="2" xfId="1" applyNumberFormat="1" applyFont="1" applyFill="1" applyBorder="1"/>
    <xf numFmtId="3" fontId="3" fillId="0" borderId="2" xfId="0" applyNumberFormat="1" applyFont="1" applyBorder="1"/>
    <xf numFmtId="3" fontId="3" fillId="0" borderId="6" xfId="0" applyNumberFormat="1" applyFont="1" applyBorder="1"/>
    <xf numFmtId="43" fontId="8" fillId="2" borderId="3" xfId="1" applyFont="1" applyFill="1" applyBorder="1"/>
    <xf numFmtId="0" fontId="13" fillId="6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0" fontId="14" fillId="0" borderId="0" xfId="0" applyFont="1"/>
    <xf numFmtId="0" fontId="10" fillId="0" borderId="0" xfId="8" applyFont="1" applyAlignment="1">
      <alignment horizontal="center" vertical="center"/>
    </xf>
    <xf numFmtId="0" fontId="10" fillId="2" borderId="0" xfId="5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1" fillId="2" borderId="0" xfId="7" applyFont="1" applyFill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/>
    <xf numFmtId="0" fontId="1" fillId="0" borderId="2" xfId="5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5" fillId="0" borderId="0" xfId="2" applyFont="1"/>
    <xf numFmtId="0" fontId="1" fillId="0" borderId="0" xfId="0" applyFont="1" applyFill="1"/>
    <xf numFmtId="0" fontId="7" fillId="0" borderId="0" xfId="0" applyFont="1" applyFill="1" applyBorder="1" applyAlignment="1">
      <alignment horizontal="center"/>
    </xf>
    <xf numFmtId="43" fontId="8" fillId="2" borderId="0" xfId="1" applyFont="1" applyFill="1" applyBorder="1"/>
    <xf numFmtId="0" fontId="1" fillId="2" borderId="0" xfId="0" applyFont="1" applyFill="1" applyAlignment="1">
      <alignment vertical="center"/>
    </xf>
    <xf numFmtId="0" fontId="8" fillId="0" borderId="0" xfId="0" applyFont="1"/>
    <xf numFmtId="0" fontId="1" fillId="2" borderId="0" xfId="0" applyFont="1" applyFill="1" applyAlignment="1">
      <alignment horizontal="center"/>
    </xf>
    <xf numFmtId="0" fontId="12" fillId="0" borderId="0" xfId="0" applyFont="1"/>
    <xf numFmtId="0" fontId="3" fillId="2" borderId="0" xfId="0" applyFont="1" applyFill="1" applyAlignment="1">
      <alignment vertical="center"/>
    </xf>
    <xf numFmtId="0" fontId="13" fillId="7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0" fillId="8" borderId="8" xfId="0" applyFont="1" applyFill="1" applyBorder="1" applyAlignment="1">
      <alignment horizontal="center" vertical="center" wrapText="1"/>
    </xf>
    <xf numFmtId="43" fontId="10" fillId="2" borderId="0" xfId="1" applyFont="1" applyFill="1" applyAlignment="1">
      <alignment horizontal="right"/>
    </xf>
    <xf numFmtId="43" fontId="10" fillId="2" borderId="3" xfId="1" applyFont="1" applyFill="1" applyBorder="1"/>
    <xf numFmtId="0" fontId="13" fillId="5" borderId="1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0" fontId="13" fillId="5" borderId="7" xfId="0" applyFont="1" applyFill="1" applyBorder="1" applyAlignment="1">
      <alignment horizontal="center"/>
    </xf>
  </cellXfs>
  <cellStyles count="9">
    <cellStyle name="Millares" xfId="1" builtinId="3"/>
    <cellStyle name="Normal" xfId="0" builtinId="0"/>
    <cellStyle name="Normal 2 10" xfId="5" xr:uid="{6D8E8897-0F71-4D56-B38E-C9EA54D54AA5}"/>
    <cellStyle name="Normal 2 2" xfId="6" xr:uid="{BD9438B3-3E27-4F4A-BABA-A0D5F63DB987}"/>
    <cellStyle name="Normal 2 2 2 10" xfId="8" xr:uid="{261F8540-91CE-45F8-A4C2-ACEB9BFDD299}"/>
    <cellStyle name="Normal 2 3 2 5" xfId="2" xr:uid="{17C8A721-6DDC-4E2B-8529-B4AFB396BD43}"/>
    <cellStyle name="Normal 3 2" xfId="4" xr:uid="{667FD748-1F1F-4B7A-AD30-9F936246618F}"/>
    <cellStyle name="Normal 7" xfId="3" xr:uid="{5F8FE461-8992-4AF8-97BA-0006F1243865}"/>
    <cellStyle name="Normal_2102.1.1 Analisis de Partidas Conciliatorias" xfId="7" xr:uid="{BD18E976-0275-4DCF-9958-21CB01D6A837}"/>
  </cellStyles>
  <dxfs count="64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ill>
        <patternFill patternType="solid">
          <bgColor rgb="FFFFFF00"/>
        </patternFill>
      </fill>
    </dxf>
    <dxf>
      <numFmt numFmtId="164" formatCode="_ * #,##0_ ;_ * \-#,##0_ ;_ * &quot;-&quot;??_ ;_ @_ "/>
    </dxf>
  </dxfs>
  <tableStyles count="0" defaultTableStyle="TableStyleMedium2" defaultPivotStyle="PivotStyleLight16"/>
  <colors>
    <mruColors>
      <color rgb="FF203764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222806</xdr:colOff>
      <xdr:row>35</xdr:row>
      <xdr:rowOff>38992</xdr:rowOff>
    </xdr:from>
    <xdr:to>
      <xdr:col>12</xdr:col>
      <xdr:colOff>977565</xdr:colOff>
      <xdr:row>35</xdr:row>
      <xdr:rowOff>41776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B04B96D1-09F7-DF44-B527-A4087A4ECB82}"/>
            </a:ext>
          </a:extLst>
        </xdr:cNvPr>
        <xdr:cNvCxnSpPr>
          <a:stCxn id="8" idx="3"/>
        </xdr:cNvCxnSpPr>
      </xdr:nvCxnSpPr>
      <xdr:spPr>
        <a:xfrm>
          <a:off x="8185372" y="4534124"/>
          <a:ext cx="14591075" cy="278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1423664</xdr:colOff>
      <xdr:row>47</xdr:row>
      <xdr:rowOff>34600</xdr:rowOff>
    </xdr:from>
    <xdr:ext cx="232427" cy="232427"/>
    <xdr:pic>
      <xdr:nvPicPr>
        <xdr:cNvPr id="5" name="Imagen 4">
          <a:extLst>
            <a:ext uri="{FF2B5EF4-FFF2-40B4-BE49-F238E27FC236}">
              <a16:creationId xmlns:a16="http://schemas.microsoft.com/office/drawing/2014/main" id="{11E92B2A-A279-4E7A-BD3B-E251F3266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6789" y="7662538"/>
          <a:ext cx="232427" cy="23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1813649</xdr:colOff>
      <xdr:row>34</xdr:row>
      <xdr:rowOff>66843</xdr:rowOff>
    </xdr:from>
    <xdr:to>
      <xdr:col>4</xdr:col>
      <xdr:colOff>256143</xdr:colOff>
      <xdr:row>35</xdr:row>
      <xdr:rowOff>158814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88C7B7C-9CA4-4243-BBD9-B42E879E4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9702" y="4403225"/>
          <a:ext cx="255670" cy="2617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7938</xdr:colOff>
      <xdr:row>37</xdr:row>
      <xdr:rowOff>84668</xdr:rowOff>
    </xdr:from>
    <xdr:to>
      <xdr:col>2</xdr:col>
      <xdr:colOff>10055</xdr:colOff>
      <xdr:row>46</xdr:row>
      <xdr:rowOff>84667</xdr:rowOff>
    </xdr:to>
    <xdr:sp macro="" textlink="">
      <xdr:nvSpPr>
        <xdr:cNvPr id="14" name="Abrir llave 13">
          <a:extLst>
            <a:ext uri="{FF2B5EF4-FFF2-40B4-BE49-F238E27FC236}">
              <a16:creationId xmlns:a16="http://schemas.microsoft.com/office/drawing/2014/main" id="{601D957F-6B8E-4255-B07A-9C204F7AE0D5}"/>
            </a:ext>
          </a:extLst>
        </xdr:cNvPr>
        <xdr:cNvSpPr/>
      </xdr:nvSpPr>
      <xdr:spPr>
        <a:xfrm>
          <a:off x="2151063" y="5942543"/>
          <a:ext cx="2117" cy="1452562"/>
        </a:xfrm>
        <a:prstGeom prst="lef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651243</xdr:colOff>
      <xdr:row>34</xdr:row>
      <xdr:rowOff>78615</xdr:rowOff>
    </xdr:from>
    <xdr:to>
      <xdr:col>3</xdr:col>
      <xdr:colOff>906913</xdr:colOff>
      <xdr:row>35</xdr:row>
      <xdr:rowOff>152625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4EBEDBC-4DF4-420B-9227-AC4AFB0F8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368" y="5039553"/>
          <a:ext cx="255670" cy="2486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355818</xdr:colOff>
      <xdr:row>34</xdr:row>
      <xdr:rowOff>121870</xdr:rowOff>
    </xdr:from>
    <xdr:to>
      <xdr:col>13</xdr:col>
      <xdr:colOff>588245</xdr:colOff>
      <xdr:row>36</xdr:row>
      <xdr:rowOff>3377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82DABFC-31C9-45E5-9B16-2EFCADC87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24173" y="4617002"/>
          <a:ext cx="232427" cy="23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1469774</xdr:colOff>
      <xdr:row>61</xdr:row>
      <xdr:rowOff>0</xdr:rowOff>
    </xdr:from>
    <xdr:ext cx="174625" cy="174625"/>
    <xdr:pic>
      <xdr:nvPicPr>
        <xdr:cNvPr id="17" name="Imagen 16">
          <a:extLst>
            <a:ext uri="{FF2B5EF4-FFF2-40B4-BE49-F238E27FC236}">
              <a16:creationId xmlns:a16="http://schemas.microsoft.com/office/drawing/2014/main" id="{2D4F5005-2935-45D6-B5F7-757F2D9AD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2899" y="9691688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34</xdr:row>
      <xdr:rowOff>108619</xdr:rowOff>
    </xdr:from>
    <xdr:to>
      <xdr:col>1</xdr:col>
      <xdr:colOff>232427</xdr:colOff>
      <xdr:row>35</xdr:row>
      <xdr:rowOff>165586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6DE5FFEF-392C-410F-87A4-4910785E6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961" y="4879474"/>
          <a:ext cx="232427" cy="23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232427</xdr:colOff>
      <xdr:row>35</xdr:row>
      <xdr:rowOff>49372</xdr:rowOff>
    </xdr:from>
    <xdr:to>
      <xdr:col>2</xdr:col>
      <xdr:colOff>3275263</xdr:colOff>
      <xdr:row>35</xdr:row>
      <xdr:rowOff>58487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34369AB9-50C0-4A61-8988-2D3C885D0EB6}"/>
            </a:ext>
          </a:extLst>
        </xdr:cNvPr>
        <xdr:cNvCxnSpPr>
          <a:stCxn id="16" idx="3"/>
        </xdr:cNvCxnSpPr>
      </xdr:nvCxnSpPr>
      <xdr:spPr>
        <a:xfrm>
          <a:off x="725388" y="4995688"/>
          <a:ext cx="5566125" cy="911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1438029</xdr:colOff>
      <xdr:row>73</xdr:row>
      <xdr:rowOff>0</xdr:rowOff>
    </xdr:from>
    <xdr:ext cx="174625" cy="174625"/>
    <xdr:pic>
      <xdr:nvPicPr>
        <xdr:cNvPr id="21" name="Imagen 20">
          <a:extLst>
            <a:ext uri="{FF2B5EF4-FFF2-40B4-BE49-F238E27FC236}">
              <a16:creationId xmlns:a16="http://schemas.microsoft.com/office/drawing/2014/main" id="{8773D219-348B-4201-8045-5923B2445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154" y="11715750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152402</xdr:colOff>
      <xdr:row>90</xdr:row>
      <xdr:rowOff>0</xdr:rowOff>
    </xdr:from>
    <xdr:to>
      <xdr:col>0</xdr:col>
      <xdr:colOff>311152</xdr:colOff>
      <xdr:row>91</xdr:row>
      <xdr:rowOff>819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C944E988-621B-4AC0-B029-43AC72E19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2" y="16287750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143933</xdr:colOff>
      <xdr:row>91</xdr:row>
      <xdr:rowOff>16933</xdr:rowOff>
    </xdr:from>
    <xdr:to>
      <xdr:col>0</xdr:col>
      <xdr:colOff>302683</xdr:colOff>
      <xdr:row>92</xdr:row>
      <xdr:rowOff>16934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A5AA652B-138A-4C7C-85F6-D7E1D8CC7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933" y="16463433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135735</xdr:colOff>
      <xdr:row>92</xdr:row>
      <xdr:rowOff>16669</xdr:rowOff>
    </xdr:from>
    <xdr:to>
      <xdr:col>0</xdr:col>
      <xdr:colOff>294485</xdr:colOff>
      <xdr:row>93</xdr:row>
      <xdr:rowOff>16669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A40B14D4-6A5B-47F4-A7E6-C90F34611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35" y="16621919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142039</xdr:colOff>
      <xdr:row>93</xdr:row>
      <xdr:rowOff>8355</xdr:rowOff>
    </xdr:from>
    <xdr:ext cx="158750" cy="158750"/>
    <xdr:pic>
      <xdr:nvPicPr>
        <xdr:cNvPr id="30" name="Imagen 29">
          <a:extLst>
            <a:ext uri="{FF2B5EF4-FFF2-40B4-BE49-F238E27FC236}">
              <a16:creationId xmlns:a16="http://schemas.microsoft.com/office/drawing/2014/main" id="{475F1321-37CE-4517-A4B0-D97BE7F95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039" y="17211842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reston%20Ecuador/Documents/Lisbeth%20Toapanta/BULLSUPPLY%20C.A/Inventario/Movimiento%20de%20la%20provisi&#243;n%20inventario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eston Ecuador" refreshedDate="44989.234259722223" createdVersion="7" refreshedVersion="7" minRefreshableVersion="3" recordCount="2" xr:uid="{BC6175A2-42D8-4725-9DE5-9C1497E57548}">
  <cacheSource type="worksheet">
    <worksheetSource ref="A1:Z3" sheet="Hoja1" r:id="rId2"/>
  </cacheSource>
  <cacheFields count="26">
    <cacheField name="Cod" numFmtId="0">
      <sharedItems containsSemiMixedTypes="0" containsString="0" containsNumber="1" containsInteger="1" minValue="101061101" maxValue="101061101" count="1">
        <n v="101061101"/>
      </sharedItems>
    </cacheField>
    <cacheField name="Cuenta" numFmtId="0">
      <sharedItems count="1">
        <s v="(-) Provisión de inventarios por valor neto de realización"/>
      </sharedItems>
    </cacheField>
    <cacheField name="Fecha de contabilización" numFmtId="0">
      <sharedItems containsDate="1" containsMixedTypes="1" minDate="2022-12-30T00:00:00" maxDate="2022-12-31T00:00:00"/>
    </cacheField>
    <cacheField name="Fecha de vencimiento" numFmtId="0">
      <sharedItems containsSemiMixedTypes="0" containsDate="1" containsString="0" containsMixedTypes="1" minDate="1900-01-01T02:33:05" maxDate="2022-12-31T00:00:00"/>
    </cacheField>
    <cacheField name="Serie" numFmtId="0">
      <sharedItems containsBlank="1"/>
    </cacheField>
    <cacheField name="Nº documento" numFmtId="0">
      <sharedItems containsBlank="1"/>
    </cacheField>
    <cacheField name="Nº de transacción" numFmtId="0">
      <sharedItems containsString="0" containsBlank="1" containsNumber="1" containsInteger="1" minValue="112447" maxValue="112447"/>
    </cacheField>
    <cacheField name="Comentarios" numFmtId="0">
      <sharedItems/>
    </cacheField>
    <cacheField name="Código de transacción" numFmtId="0">
      <sharedItems containsNonDate="0" containsString="0" containsBlank="1"/>
    </cacheField>
    <cacheField name="Proyecto" numFmtId="0">
      <sharedItems containsBlank="1"/>
    </cacheField>
    <cacheField name="Cuenta de contrapartida" numFmtId="0">
      <sharedItems containsString="0" containsBlank="1" containsNumber="1" containsInteger="1" minValue="61030705" maxValue="61030705"/>
    </cacheField>
    <cacheField name="Nombre de la cuenta de contrapartida" numFmtId="0">
      <sharedItems containsBlank="1"/>
    </cacheField>
    <cacheField name="Cargo/Abono (ML)" numFmtId="0">
      <sharedItems containsBlank="1"/>
    </cacheField>
    <cacheField name="Cargo (ML)" numFmtId="0">
      <sharedItems containsNonDate="0" containsString="0" containsBlank="1"/>
    </cacheField>
    <cacheField name="Abono (ML)" numFmtId="0">
      <sharedItems containsSemiMixedTypes="0" containsString="0" containsNumber="1" minValue="4831.1499999999996" maxValue="5195.76"/>
    </cacheField>
    <cacheField name="Neto" numFmtId="43">
      <sharedItems containsSemiMixedTypes="0" containsString="0" containsNumber="1" minValue="-5195.76" maxValue="-4831.1499999999996"/>
    </cacheField>
    <cacheField name="Agrupación" numFmtId="0">
      <sharedItems count="2">
        <s v="Saldo Inicial"/>
        <s v="Adición"/>
      </sharedItems>
    </cacheField>
    <cacheField name="Saldo acumulado (ML)" numFmtId="0">
      <sharedItems containsSemiMixedTypes="0" containsString="0" containsNumber="1" minValue="-10026.91" maxValue="-4831.1499999999996"/>
    </cacheField>
    <cacheField name="Saldo vencido (ML)" numFmtId="0">
      <sharedItems containsBlank="1"/>
    </cacheField>
    <cacheField name="Autor" numFmtId="0">
      <sharedItems containsBlank="1"/>
    </cacheField>
    <cacheField name="Reconciliación externa" numFmtId="0">
      <sharedItems containsString="0" containsBlank="1" containsNumber="1" containsInteger="1" minValue="0" maxValue="0"/>
    </cacheField>
    <cacheField name="Dimensión 1" numFmtId="0">
      <sharedItems containsNonDate="0" containsString="0" containsBlank="1"/>
    </cacheField>
    <cacheField name="Nombre de proyecto" numFmtId="0">
      <sharedItems containsBlank="1"/>
    </cacheField>
    <cacheField name="Acuerdo global" numFmtId="0">
      <sharedItems containsNonDate="0" containsString="0" containsBlank="1"/>
    </cacheField>
    <cacheField name="Nº sec." numFmtId="0">
      <sharedItems containsNonDate="0" containsString="0" containsBlank="1"/>
    </cacheField>
    <cacheField name="Descripción: (Cabecera)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4991.92889560185" createdVersion="7" refreshedVersion="7" minRefreshableVersion="3" recordCount="2372" xr:uid="{6C0E31C9-8B06-4844-92EE-92183D820F78}">
  <cacheSource type="worksheet">
    <worksheetSource ref="A1:Y2373" sheet="Movimiento inventario"/>
  </cacheSource>
  <cacheFields count="25">
    <cacheField name="Cod" numFmtId="0">
      <sharedItems containsSemiMixedTypes="0" containsString="0" containsNumber="1" containsInteger="1" minValue="101060401" maxValue="101060501" count="9">
        <n v="101060401"/>
        <n v="101060402"/>
        <n v="101060405"/>
        <n v="101060406"/>
        <n v="101060407"/>
        <n v="101060408"/>
        <n v="101060409"/>
        <n v="101060415"/>
        <n v="101060501"/>
      </sharedItems>
    </cacheField>
    <cacheField name="Cuenta" numFmtId="0">
      <sharedItems count="9">
        <s v="Inventario de prod. term. y mercad. en Bodega BULLSYPPLY  Quito"/>
        <s v="Inventario de prod. term. y mercad. en Bodega BULLSYPPLY Coca"/>
        <s v="Inventario de prod. term. y mercad. en Bodega Baja Rotación"/>
        <s v="Inventario de prod. term. y mercad. en Bodega a consignación"/>
        <s v="Inventario de prod. term. y mercad. en Bodega muestras"/>
        <s v="Inventario de prod. term. y mercad. en Bodega importaciones"/>
        <s v="Inventario de prod. term. y mercad. en Bodega de materiales defectuosos"/>
        <s v="Inventario de Corte"/>
        <s v="Mercadería en Tránsito"/>
      </sharedItems>
    </cacheField>
    <cacheField name="Fecha de contabilización" numFmtId="0">
      <sharedItems containsDate="1" containsMixedTypes="1" minDate="2022-10-01T00:00:00" maxDate="2023-01-01T00:00:00"/>
    </cacheField>
    <cacheField name="Fecha de vencimiento" numFmtId="0">
      <sharedItems containsSemiMixedTypes="0" containsDate="1" containsString="0" containsMixedTypes="1" minDate="1900-01-01T02:33:05" maxDate="2023-03-28T00:00:00"/>
    </cacheField>
    <cacheField name="Serie" numFmtId="0">
      <sharedItems containsBlank="1"/>
    </cacheField>
    <cacheField name="Nº documento" numFmtId="0">
      <sharedItems containsBlank="1"/>
    </cacheField>
    <cacheField name="Nº de transacción" numFmtId="0">
      <sharedItems containsString="0" containsBlank="1" containsNumber="1" containsInteger="1" minValue="106369" maxValue="112500"/>
    </cacheField>
    <cacheField name="Comentarios" numFmtId="0">
      <sharedItems/>
    </cacheField>
    <cacheField name="Código de transacción" numFmtId="0">
      <sharedItems containsNonDate="0" containsString="0" containsBlank="1"/>
    </cacheField>
    <cacheField name="Proyecto" numFmtId="0">
      <sharedItems containsBlank="1"/>
    </cacheField>
    <cacheField name="Cuenta de contrapartida" numFmtId="0">
      <sharedItems containsBlank="1" containsMixedTypes="1" containsNumber="1" containsInteger="1" minValue="51010101" maxValue="401030105"/>
    </cacheField>
    <cacheField name="Nombre de la cuenta de contrapartida" numFmtId="0">
      <sharedItems containsBlank="1"/>
    </cacheField>
    <cacheField name="Cargo (ML)" numFmtId="0">
      <sharedItems containsString="0" containsBlank="1" containsNumber="1" minValue="0.33" maxValue="1274570.99"/>
    </cacheField>
    <cacheField name="Abono (ML)" numFmtId="0">
      <sharedItems containsString="0" containsBlank="1" containsNumber="1" minValue="1.23" maxValue="284196.21000000002"/>
    </cacheField>
    <cacheField name="Neto" numFmtId="0">
      <sharedItems containsSemiMixedTypes="0" containsString="0" containsNumber="1" minValue="-284196.21000000002" maxValue="1274570.99"/>
    </cacheField>
    <cacheField name="Agrupación" numFmtId="0">
      <sharedItems count="14">
        <s v="Saldo Inicial"/>
        <s v="Costo de ventas"/>
        <s v="Compras"/>
        <s v="Traslados"/>
        <s v="Notas de crédito"/>
        <s v="Otros ingresos"/>
        <s v="Devolución en compras"/>
        <s v="Otros costos"/>
        <s v="Baja"/>
        <s v="En transito"/>
        <s v="Importaciones"/>
        <s v="Entrada de mercadería" u="1"/>
        <s v="NC Compras" u="1"/>
        <s v="Ventas" u="1"/>
      </sharedItems>
    </cacheField>
    <cacheField name="Saldo acumulado (ML)" numFmtId="0">
      <sharedItems containsSemiMixedTypes="0" containsString="0" containsNumber="1" minValue="0" maxValue="1577069.02"/>
    </cacheField>
    <cacheField name="Saldo vencido (ML)" numFmtId="0">
      <sharedItems containsBlank="1"/>
    </cacheField>
    <cacheField name="Autor" numFmtId="0">
      <sharedItems containsBlank="1"/>
    </cacheField>
    <cacheField name="Reconciliación externa" numFmtId="0">
      <sharedItems containsString="0" containsBlank="1" containsNumber="1" containsInteger="1" minValue="0" maxValue="0"/>
    </cacheField>
    <cacheField name="Dimensión 1" numFmtId="0">
      <sharedItems containsNonDate="0" containsString="0" containsBlank="1"/>
    </cacheField>
    <cacheField name="Nombre de proyecto" numFmtId="0">
      <sharedItems containsBlank="1"/>
    </cacheField>
    <cacheField name="Acuerdo global" numFmtId="0">
      <sharedItems containsNonDate="0" containsString="0" containsBlank="1"/>
    </cacheField>
    <cacheField name="Nº sec." numFmtId="0">
      <sharedItems containsNonDate="0" containsString="0" containsBlank="1"/>
    </cacheField>
    <cacheField name="Descripción: (Cabecera)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x v="0"/>
    <s v="Activos"/>
    <n v="101061101"/>
    <m/>
    <m/>
    <m/>
    <s v="Saldo Inicial"/>
    <m/>
    <m/>
    <m/>
    <m/>
    <m/>
    <m/>
    <n v="4831.1499999999996"/>
    <n v="-4831.1499999999996"/>
    <x v="0"/>
    <n v="-4831.1499999999996"/>
    <m/>
    <m/>
    <m/>
    <m/>
    <m/>
    <m/>
    <m/>
    <m/>
  </r>
  <r>
    <x v="0"/>
    <x v="0"/>
    <d v="2022-12-30T00:00:00"/>
    <d v="2022-12-30T00:00:00"/>
    <s v="ASIENTOS"/>
    <s v="AS 112447"/>
    <n v="112447"/>
    <s v="REGISTRO PROVISIÓN VNR 2022"/>
    <m/>
    <s v="QUITO"/>
    <n v="61030705"/>
    <s v="Gasto provisión deterioro del valor de los activos"/>
    <s v="-5195.76"/>
    <m/>
    <n v="5195.76"/>
    <n v="-5195.76"/>
    <x v="1"/>
    <n v="-10026.91"/>
    <s v="-5195.76"/>
    <s v="ptipant"/>
    <n v="0"/>
    <m/>
    <s v="QUITO-PICHINCHA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72">
  <r>
    <x v="0"/>
    <x v="0"/>
    <s v="Activos"/>
    <n v="101060401"/>
    <m/>
    <m/>
    <m/>
    <s v="Saldo Inicial"/>
    <m/>
    <m/>
    <m/>
    <m/>
    <n v="1183604.4099999999"/>
    <m/>
    <n v="1183604.4099999999"/>
    <x v="0"/>
    <n v="1183604.4099999999"/>
    <m/>
    <m/>
    <m/>
    <m/>
    <m/>
    <m/>
    <m/>
    <m/>
  </r>
  <r>
    <x v="0"/>
    <x v="0"/>
    <d v="2022-10-03T00:00:00"/>
    <d v="2022-10-03T00:00:00"/>
    <s v="FE001"/>
    <s v="NE 100015206"/>
    <n v="106373"/>
    <s v="Entregas - CN1804437497001"/>
    <m/>
    <s v="QUITO"/>
    <n v="51010101"/>
    <s v="Costo de ventas Quito"/>
    <m/>
    <n v="37.26"/>
    <n v="-37.26"/>
    <x v="1"/>
    <n v="1298631.96"/>
    <s v="-37.26"/>
    <s v="jcortiz"/>
    <n v="0"/>
    <m/>
    <s v="QUITO-PICHINCHA"/>
    <m/>
    <m/>
    <m/>
  </r>
  <r>
    <x v="0"/>
    <x v="0"/>
    <d v="2022-10-03T00:00:00"/>
    <d v="2022-10-03T00:00:00"/>
    <s v="Primario"/>
    <s v="EP 6262"/>
    <n v="106374"/>
    <s v="Pedido de entrada de mercancías - PN1791834399001"/>
    <m/>
    <m/>
    <n v="201040506"/>
    <s v="Facturas por Confirmar"/>
    <n v="56"/>
    <m/>
    <n v="56"/>
    <x v="2"/>
    <n v="1298687.96"/>
    <s v="56.00"/>
    <s v="jcortiz"/>
    <n v="0"/>
    <m/>
    <m/>
    <m/>
    <m/>
    <m/>
  </r>
  <r>
    <x v="0"/>
    <x v="0"/>
    <d v="2022-10-03T00:00:00"/>
    <d v="2022-10-03T00:00:00"/>
    <s v="FE001"/>
    <s v="IM 100003279"/>
    <n v="106375"/>
    <s v="Traslados - CN1792079160001"/>
    <m/>
    <m/>
    <n v="101060402"/>
    <s v="Inventario de prod. term. y mercad. en Bodega BULLSYPPLY Coca"/>
    <m/>
    <n v="56"/>
    <n v="-56"/>
    <x v="3"/>
    <n v="1298631.96"/>
    <s v="-56.00"/>
    <s v="jcortiz"/>
    <n v="0"/>
    <m/>
    <m/>
    <m/>
    <m/>
    <m/>
  </r>
  <r>
    <x v="0"/>
    <x v="0"/>
    <d v="2022-10-03T00:00:00"/>
    <d v="2022-10-03T00:00:00"/>
    <s v="FE001"/>
    <s v="NE 100015207"/>
    <n v="106376"/>
    <s v="Entregas - CN1791774345001"/>
    <m/>
    <s v="QUITO"/>
    <n v="51010101"/>
    <s v="Costo de ventas Quito"/>
    <m/>
    <n v="565.4"/>
    <n v="-565.4"/>
    <x v="1"/>
    <n v="1298066.56"/>
    <s v="-565.40"/>
    <s v="jcortiz"/>
    <n v="0"/>
    <m/>
    <s v="QUITO-PICHINCHA"/>
    <m/>
    <m/>
    <m/>
  </r>
  <r>
    <x v="0"/>
    <x v="0"/>
    <d v="2022-10-03T00:00:00"/>
    <d v="2022-10-03T00:00:00"/>
    <s v="FE001"/>
    <s v="NE 100015210"/>
    <n v="106380"/>
    <s v="Entregas - CN1791765362001"/>
    <m/>
    <s v="QUITO"/>
    <n v="51010101"/>
    <s v="Costo de ventas Quito"/>
    <m/>
    <n v="139.93"/>
    <n v="-139.93"/>
    <x v="1"/>
    <n v="1297926.6299999999"/>
    <s v="-139.93"/>
    <s v="jcortiz"/>
    <n v="0"/>
    <m/>
    <s v="QUITO-PICHINCHA"/>
    <m/>
    <m/>
    <m/>
  </r>
  <r>
    <x v="0"/>
    <x v="0"/>
    <d v="2022-10-03T00:00:00"/>
    <d v="2022-10-03T00:00:00"/>
    <s v="FE001"/>
    <s v="NE 100015211"/>
    <n v="106381"/>
    <s v="Entregas - CN1791834399001"/>
    <m/>
    <s v="QUITO"/>
    <n v="51010101"/>
    <s v="Costo de ventas Quito"/>
    <m/>
    <n v="67.180000000000007"/>
    <n v="-67.180000000000007"/>
    <x v="1"/>
    <n v="1297859.45"/>
    <s v="-67.18"/>
    <s v="jcortiz"/>
    <n v="0"/>
    <m/>
    <s v="QUITO-PICHINCHA"/>
    <m/>
    <m/>
    <m/>
  </r>
  <r>
    <x v="0"/>
    <x v="0"/>
    <d v="2022-10-03T00:00:00"/>
    <d v="2022-10-03T00:00:00"/>
    <s v="FE001"/>
    <s v="NE 100015212"/>
    <n v="106382"/>
    <s v="Entregas - CN1804437497001"/>
    <m/>
    <s v="QUITO"/>
    <n v="51010101"/>
    <s v="Costo de ventas Quito"/>
    <m/>
    <n v="37.6"/>
    <n v="-37.6"/>
    <x v="1"/>
    <n v="1297821.8500000001"/>
    <s v="-37.60"/>
    <s v="jcortiz"/>
    <n v="0"/>
    <m/>
    <s v="QUITO-PICHINCHA"/>
    <m/>
    <m/>
    <m/>
  </r>
  <r>
    <x v="0"/>
    <x v="0"/>
    <d v="2022-10-03T00:00:00"/>
    <d v="2022-10-03T00:00:00"/>
    <s v="FE001"/>
    <s v="NE 100015214"/>
    <n v="106385"/>
    <s v="Entregas - CN0502603228001"/>
    <m/>
    <s v="QUITO"/>
    <n v="51010101"/>
    <s v="Costo de ventas Quito"/>
    <m/>
    <n v="341.03"/>
    <n v="-341.03"/>
    <x v="1"/>
    <n v="1297480.82"/>
    <s v="-341.03"/>
    <s v="jcortiz"/>
    <n v="0"/>
    <m/>
    <s v="QUITO-PICHINCHA"/>
    <m/>
    <m/>
    <m/>
  </r>
  <r>
    <x v="0"/>
    <x v="0"/>
    <d v="2022-10-03T00:00:00"/>
    <d v="2022-10-03T00:00:00"/>
    <s v="FE001"/>
    <s v="NE 100015215"/>
    <n v="106387"/>
    <s v="Entregas - CN1790342867001"/>
    <m/>
    <s v="QUITO"/>
    <n v="51010101"/>
    <s v="Costo de ventas Quito"/>
    <m/>
    <n v="167.15"/>
    <n v="-167.15"/>
    <x v="1"/>
    <n v="1297313.67"/>
    <s v="-167.15"/>
    <s v="jcortiz"/>
    <n v="0"/>
    <m/>
    <s v="QUITO-PICHINCHA"/>
    <m/>
    <m/>
    <m/>
  </r>
  <r>
    <x v="0"/>
    <x v="0"/>
    <d v="2022-10-03T00:00:00"/>
    <d v="2022-10-03T00:00:00"/>
    <s v="FE001"/>
    <s v="NE 100015216"/>
    <n v="106390"/>
    <s v="Entregas - CN1714787163001"/>
    <m/>
    <s v="QUITO"/>
    <n v="51010101"/>
    <s v="Costo de ventas Quito"/>
    <m/>
    <n v="408.52"/>
    <n v="-408.52"/>
    <x v="1"/>
    <n v="1296905.1499999999"/>
    <s v="-408.52"/>
    <s v="jcortiz"/>
    <n v="0"/>
    <m/>
    <s v="QUITO-PICHINCHA"/>
    <m/>
    <m/>
    <m/>
  </r>
  <r>
    <x v="0"/>
    <x v="0"/>
    <d v="2022-10-03T00:00:00"/>
    <d v="2022-10-03T00:00:00"/>
    <s v="Primario"/>
    <s v="EP 6263"/>
    <n v="106391"/>
    <s v="Pedido de entrada de mercancías - PN1791834399001"/>
    <m/>
    <m/>
    <n v="201040506"/>
    <s v="Facturas por Confirmar"/>
    <n v="132.06"/>
    <m/>
    <n v="132.06"/>
    <x v="2"/>
    <n v="1297037.21"/>
    <s v="132.06"/>
    <s v="jcortiz"/>
    <n v="0"/>
    <m/>
    <m/>
    <m/>
    <m/>
    <m/>
  </r>
  <r>
    <x v="0"/>
    <x v="0"/>
    <d v="2022-10-03T00:00:00"/>
    <d v="2022-10-03T00:00:00"/>
    <s v="Primario"/>
    <s v="EP 6264"/>
    <n v="106392"/>
    <s v="Pedido de entrada de mercancías - PN1791834399001"/>
    <m/>
    <m/>
    <n v="201040506"/>
    <s v="Facturas por Confirmar"/>
    <n v="6.12"/>
    <m/>
    <n v="6.12"/>
    <x v="2"/>
    <n v="1297043.33"/>
    <s v="6.12"/>
    <s v="jcortiz"/>
    <n v="0"/>
    <m/>
    <m/>
    <m/>
    <m/>
    <m/>
  </r>
  <r>
    <x v="0"/>
    <x v="0"/>
    <d v="2022-10-03T00:00:00"/>
    <d v="2022-10-03T00:00:00"/>
    <s v="FE001"/>
    <s v="NE 100015217"/>
    <n v="106393"/>
    <s v="Entregas - CN1791263308001"/>
    <m/>
    <s v="QUITO"/>
    <n v="51010101"/>
    <s v="Costo de ventas Quito"/>
    <m/>
    <n v="132.06"/>
    <n v="-132.06"/>
    <x v="1"/>
    <n v="1296911.27"/>
    <s v="-132.06"/>
    <s v="jcortiz"/>
    <n v="0"/>
    <m/>
    <s v="QUITO-PICHINCHA"/>
    <m/>
    <m/>
    <m/>
  </r>
  <r>
    <x v="0"/>
    <x v="0"/>
    <d v="2022-10-03T00:00:00"/>
    <d v="2022-10-03T00:00:00"/>
    <s v="FE001"/>
    <s v="IM 100003280"/>
    <n v="106394"/>
    <s v="Traslados - CN1792079160001"/>
    <m/>
    <m/>
    <n v="101060402"/>
    <s v="Inventario de prod. term. y mercad. en Bodega BULLSYPPLY Coca"/>
    <m/>
    <n v="246.57"/>
    <n v="-246.57"/>
    <x v="3"/>
    <n v="1296664.7"/>
    <s v="-246.57"/>
    <s v="jcortiz"/>
    <n v="0"/>
    <m/>
    <m/>
    <m/>
    <m/>
    <m/>
  </r>
  <r>
    <x v="0"/>
    <x v="0"/>
    <d v="2022-10-03T00:00:00"/>
    <d v="2022-10-03T00:00:00"/>
    <s v="FE001"/>
    <s v="RC 100000657"/>
    <n v="106399"/>
    <s v="Notas de crédito clientes - CN0101692655001"/>
    <m/>
    <s v="QUITO"/>
    <s v="CN0101692655001"/>
    <s v="GALAN RODRIGUEZ VICENTE TEODORO"/>
    <n v="294.8"/>
    <m/>
    <n v="294.8"/>
    <x v="4"/>
    <n v="1296959.5"/>
    <s v="294.80"/>
    <s v="gcali"/>
    <n v="0"/>
    <m/>
    <s v="QUITO-PICHINCHA"/>
    <m/>
    <m/>
    <m/>
  </r>
  <r>
    <x v="0"/>
    <x v="0"/>
    <d v="2022-10-03T00:00:00"/>
    <d v="2022-10-03T00:00:00"/>
    <s v="FE001"/>
    <s v="RC 100000658"/>
    <n v="106400"/>
    <s v="Notas de crédito clientes - CN1714787163001"/>
    <m/>
    <s v="QUITO"/>
    <s v="CN1714787163001"/>
    <s v="GUERRERO ROSERO SEGUNDO MARIO"/>
    <n v="188.7"/>
    <m/>
    <n v="188.7"/>
    <x v="4"/>
    <n v="1297148.2"/>
    <s v="188.70"/>
    <s v="gcali"/>
    <n v="0"/>
    <m/>
    <s v="QUITO-PICHINCHA"/>
    <m/>
    <m/>
    <m/>
  </r>
  <r>
    <x v="0"/>
    <x v="0"/>
    <d v="2022-10-03T00:00:00"/>
    <d v="2022-10-03T00:00:00"/>
    <s v="FE001"/>
    <s v="RC 100000659"/>
    <n v="106401"/>
    <s v="Notas de crédito clientes - CN1792368979001"/>
    <m/>
    <s v="QUITO"/>
    <s v="CN1792368979001"/>
    <s v="INGENIERIA, PROCURA, SERVICIOS Y CONSTRUCCION ENERGETICAS IPSCE S.A."/>
    <n v="332.16"/>
    <m/>
    <n v="332.16"/>
    <x v="4"/>
    <n v="1297480.3600000001"/>
    <s v="332.16"/>
    <s v="gcali"/>
    <n v="0"/>
    <m/>
    <s v="QUITO-PICHINCHA"/>
    <m/>
    <m/>
    <m/>
  </r>
  <r>
    <x v="0"/>
    <x v="0"/>
    <d v="2022-10-03T00:00:00"/>
    <d v="2022-10-03T00:00:00"/>
    <s v="FE001"/>
    <s v="NE 100015219"/>
    <n v="106402"/>
    <s v="Entregas - CN0101692655001"/>
    <m/>
    <s v="QUITO"/>
    <n v="51010101"/>
    <s v="Costo de ventas Quito"/>
    <m/>
    <n v="426.09"/>
    <n v="-426.09"/>
    <x v="1"/>
    <n v="1297054.27"/>
    <s v="-426.09"/>
    <s v="jcortiz"/>
    <n v="0"/>
    <m/>
    <s v="QUITO-PICHINCHA"/>
    <m/>
    <m/>
    <m/>
  </r>
  <r>
    <x v="0"/>
    <x v="0"/>
    <d v="2022-10-03T00:00:00"/>
    <d v="2022-10-03T00:00:00"/>
    <s v="FE001"/>
    <s v="NE 100015220"/>
    <n v="106405"/>
    <s v="Entregas - CN1802461440001"/>
    <m/>
    <s v="QUITO"/>
    <n v="51010101"/>
    <s v="Costo de ventas Quito"/>
    <m/>
    <n v="46.76"/>
    <n v="-46.76"/>
    <x v="1"/>
    <n v="1297007.51"/>
    <s v="-46.76"/>
    <s v="jcortiz"/>
    <n v="0"/>
    <m/>
    <s v="QUITO-PICHINCHA"/>
    <m/>
    <m/>
    <m/>
  </r>
  <r>
    <x v="0"/>
    <x v="0"/>
    <d v="2022-10-03T00:00:00"/>
    <d v="2022-10-03T00:00:00"/>
    <s v="FE001"/>
    <s v="NE 100015221"/>
    <n v="106406"/>
    <s v="Entregas - CN1722882634001"/>
    <m/>
    <s v="QUITO"/>
    <n v="51010101"/>
    <s v="Costo de ventas Quito"/>
    <m/>
    <n v="144.61000000000001"/>
    <n v="-144.61000000000001"/>
    <x v="1"/>
    <n v="1296862.8999999999"/>
    <s v="-144.61"/>
    <s v="jcortiz"/>
    <n v="0"/>
    <m/>
    <s v="QUITO-PICHINCHA"/>
    <m/>
    <m/>
    <m/>
  </r>
  <r>
    <x v="0"/>
    <x v="0"/>
    <d v="2022-10-04T00:00:00"/>
    <d v="2022-10-04T00:00:00"/>
    <s v="FE001"/>
    <s v="NE 100015222"/>
    <n v="106445"/>
    <s v="Entregas - CN1710196104001"/>
    <m/>
    <s v="QUITO"/>
    <n v="51010101"/>
    <s v="Costo de ventas Quito"/>
    <m/>
    <n v="220.26"/>
    <n v="-220.26"/>
    <x v="1"/>
    <n v="1296642.6399999999"/>
    <s v="-220.26"/>
    <s v="jcortiz"/>
    <n v="0"/>
    <m/>
    <s v="QUITO-PICHINCHA"/>
    <m/>
    <m/>
    <m/>
  </r>
  <r>
    <x v="0"/>
    <x v="0"/>
    <d v="2022-10-04T00:00:00"/>
    <d v="2022-10-04T00:00:00"/>
    <s v="FE001"/>
    <s v="NE 100015223"/>
    <n v="106460"/>
    <s v="Entregas - CN1714787163001"/>
    <m/>
    <s v="QUITO"/>
    <n v="51010101"/>
    <s v="Costo de ventas Quito"/>
    <m/>
    <n v="14.49"/>
    <n v="-14.49"/>
    <x v="1"/>
    <n v="1296628.1499999999"/>
    <s v="-14.49"/>
    <s v="jcortiz"/>
    <n v="0"/>
    <m/>
    <s v="QUITO-PICHINCHA"/>
    <m/>
    <m/>
    <m/>
  </r>
  <r>
    <x v="0"/>
    <x v="0"/>
    <d v="2022-10-04T00:00:00"/>
    <d v="2022-10-04T00:00:00"/>
    <s v="FE001"/>
    <s v="NE 100015224"/>
    <n v="106461"/>
    <s v="Entregas - CN1714787163001"/>
    <m/>
    <s v="QUITO"/>
    <n v="51010101"/>
    <s v="Costo de ventas Quito"/>
    <m/>
    <n v="14.12"/>
    <n v="-14.12"/>
    <x v="1"/>
    <n v="1296614.03"/>
    <s v="-14.12"/>
    <s v="jcortiz"/>
    <n v="0"/>
    <m/>
    <s v="QUITO-PICHINCHA"/>
    <m/>
    <m/>
    <m/>
  </r>
  <r>
    <x v="0"/>
    <x v="0"/>
    <d v="2022-10-04T00:00:00"/>
    <d v="2022-10-04T00:00:00"/>
    <s v="FE001"/>
    <s v="IM 100003281"/>
    <n v="106463"/>
    <s v="Traslados - CN1792079160001"/>
    <m/>
    <m/>
    <n v="101060402"/>
    <s v="Inventario de prod. term. y mercad. en Bodega BULLSYPPLY Coca"/>
    <m/>
    <n v="123.19"/>
    <n v="-123.19"/>
    <x v="3"/>
    <n v="1296490.8400000001"/>
    <s v="-123.19"/>
    <s v="jcortiz"/>
    <n v="0"/>
    <m/>
    <m/>
    <m/>
    <m/>
    <m/>
  </r>
  <r>
    <x v="0"/>
    <x v="0"/>
    <d v="2022-10-04T00:00:00"/>
    <d v="2022-10-04T00:00:00"/>
    <s v="Primario"/>
    <s v="EP 6265"/>
    <n v="106464"/>
    <s v="Pedido de entrada de mercancías - PN1791834399001"/>
    <m/>
    <m/>
    <n v="201040506"/>
    <s v="Facturas por Confirmar"/>
    <n v="73.099999999999994"/>
    <m/>
    <n v="73.099999999999994"/>
    <x v="2"/>
    <n v="1296563.94"/>
    <s v="73.10"/>
    <s v="jcortiz"/>
    <n v="0"/>
    <m/>
    <m/>
    <m/>
    <m/>
    <m/>
  </r>
  <r>
    <x v="0"/>
    <x v="0"/>
    <d v="2022-10-04T00:00:00"/>
    <d v="2022-10-04T00:00:00"/>
    <s v="Primario"/>
    <s v="EP 6266"/>
    <n v="106466"/>
    <s v="Pedido de entrada de mercancías - PN1791834399001"/>
    <m/>
    <m/>
    <n v="201040506"/>
    <s v="Facturas por Confirmar"/>
    <n v="263.2"/>
    <m/>
    <n v="263.2"/>
    <x v="2"/>
    <n v="1296827.1399999999"/>
    <s v="263.20"/>
    <s v="jcortiz"/>
    <n v="0"/>
    <m/>
    <m/>
    <m/>
    <m/>
    <m/>
  </r>
  <r>
    <x v="0"/>
    <x v="0"/>
    <d v="2022-10-04T00:00:00"/>
    <d v="2022-10-04T00:00:00"/>
    <s v="FE001"/>
    <s v="NE 100015225"/>
    <n v="106470"/>
    <s v="Entregas - CN0590060933001"/>
    <m/>
    <s v="QUITO"/>
    <n v="51010101"/>
    <s v="Costo de ventas Quito"/>
    <m/>
    <n v="458.8"/>
    <n v="-458.8"/>
    <x v="1"/>
    <n v="1296368.3400000001"/>
    <s v="-458.80"/>
    <s v="jcortiz"/>
    <n v="0"/>
    <m/>
    <s v="QUITO-PICHINCHA"/>
    <m/>
    <m/>
    <m/>
  </r>
  <r>
    <x v="0"/>
    <x v="0"/>
    <d v="2022-10-04T00:00:00"/>
    <d v="2022-10-04T00:00:00"/>
    <s v="FE001"/>
    <s v="NE 100015226"/>
    <n v="106479"/>
    <s v="Entregas - CN1714787163001"/>
    <m/>
    <s v="QUITO"/>
    <n v="51010101"/>
    <s v="Costo de ventas Quito"/>
    <m/>
    <n v="17.760000000000002"/>
    <n v="-17.760000000000002"/>
    <x v="1"/>
    <n v="1296350.58"/>
    <s v="-17.76"/>
    <s v="jcortiz"/>
    <n v="0"/>
    <m/>
    <s v="QUITO-PICHINCHA"/>
    <m/>
    <m/>
    <m/>
  </r>
  <r>
    <x v="0"/>
    <x v="0"/>
    <d v="2022-10-04T00:00:00"/>
    <d v="2022-10-04T00:00:00"/>
    <s v="Primario"/>
    <s v="SM 557"/>
    <n v="106502"/>
    <s v="Salida de mercancías"/>
    <m/>
    <s v="QUITO"/>
    <n v="51010101"/>
    <s v="Costo de ventas Quito"/>
    <m/>
    <n v="337.61"/>
    <n v="-337.61"/>
    <x v="1"/>
    <n v="1296012.97"/>
    <s v="-337.61"/>
    <s v="jcortiz"/>
    <n v="0"/>
    <m/>
    <s v="QUITO-PICHINCHA"/>
    <m/>
    <m/>
    <m/>
  </r>
  <r>
    <x v="0"/>
    <x v="0"/>
    <d v="2022-10-04T00:00:00"/>
    <d v="2022-10-04T00:00:00"/>
    <s v="FE001"/>
    <s v="NE 100015227"/>
    <n v="106526"/>
    <s v="Entregas - CN1710196104001"/>
    <m/>
    <s v="QUITO"/>
    <n v="51010101"/>
    <s v="Costo de ventas Quito"/>
    <m/>
    <n v="19.579999999999998"/>
    <n v="-19.579999999999998"/>
    <x v="1"/>
    <n v="1295993.3899999999"/>
    <s v="-19.58"/>
    <s v="jcortiz"/>
    <n v="0"/>
    <m/>
    <s v="QUITO-PICHINCHA"/>
    <m/>
    <m/>
    <m/>
  </r>
  <r>
    <x v="0"/>
    <x v="0"/>
    <d v="2022-10-04T00:00:00"/>
    <d v="2022-10-04T00:00:00"/>
    <s v="Primario"/>
    <s v="SM 558"/>
    <n v="106535"/>
    <s v="Salida de mercancías"/>
    <m/>
    <s v="QUITO"/>
    <n v="51010101"/>
    <s v="Costo de ventas Quito"/>
    <m/>
    <n v="85.94"/>
    <n v="-85.94"/>
    <x v="1"/>
    <n v="1295907.45"/>
    <s v="-85.94"/>
    <s v="jcortiz"/>
    <n v="0"/>
    <m/>
    <s v="QUITO-PICHINCHA"/>
    <m/>
    <m/>
    <m/>
  </r>
  <r>
    <x v="0"/>
    <x v="0"/>
    <d v="2022-10-04T00:00:00"/>
    <d v="2022-10-04T00:00:00"/>
    <s v="Primario"/>
    <s v="EM 1705"/>
    <n v="106544"/>
    <s v="Entrada de mercancías"/>
    <m/>
    <m/>
    <n v="401030105"/>
    <s v="Otros Ingresos"/>
    <n v="369.63"/>
    <m/>
    <n v="369.63"/>
    <x v="5"/>
    <n v="1296277.08"/>
    <s v="369.63"/>
    <s v="jcortiz"/>
    <n v="0"/>
    <m/>
    <m/>
    <m/>
    <m/>
    <m/>
  </r>
  <r>
    <x v="0"/>
    <x v="0"/>
    <d v="2022-10-04T00:00:00"/>
    <d v="2022-10-04T00:00:00"/>
    <s v="FE001"/>
    <s v="IM 100003282"/>
    <n v="106546"/>
    <s v="Traslados - CN1792079160001"/>
    <m/>
    <m/>
    <n v="101060402"/>
    <s v="Inventario de prod. term. y mercad. en Bodega BULLSYPPLY Coca"/>
    <m/>
    <n v="781.03"/>
    <n v="-781.03"/>
    <x v="3"/>
    <n v="1295496.05"/>
    <s v="-781.03"/>
    <s v="jcortiz"/>
    <n v="0"/>
    <m/>
    <m/>
    <m/>
    <m/>
    <m/>
  </r>
  <r>
    <x v="0"/>
    <x v="0"/>
    <d v="2022-10-05T00:00:00"/>
    <d v="2022-10-05T00:00:00"/>
    <s v="FE001"/>
    <s v="IM 100003283"/>
    <n v="106548"/>
    <s v="Traslados - CN1792079160001"/>
    <m/>
    <m/>
    <n v="101060402"/>
    <s v="Inventario de prod. term. y mercad. en Bodega BULLSYPPLY Coca"/>
    <n v="144.96"/>
    <m/>
    <n v="144.96"/>
    <x v="3"/>
    <n v="1295641.01"/>
    <s v="144.96"/>
    <s v="ancueva"/>
    <n v="0"/>
    <m/>
    <m/>
    <m/>
    <m/>
    <m/>
  </r>
  <r>
    <x v="0"/>
    <x v="0"/>
    <d v="2022-10-05T00:00:00"/>
    <d v="2022-10-05T00:00:00"/>
    <s v="FE001"/>
    <s v="IM 100003284"/>
    <n v="106558"/>
    <s v="Traslados - CN1792079160001"/>
    <m/>
    <m/>
    <n v="101060402"/>
    <s v="Inventario de prod. term. y mercad. en Bodega BULLSYPPLY Coca"/>
    <m/>
    <n v="234.7"/>
    <n v="-234.7"/>
    <x v="3"/>
    <n v="1295406.31"/>
    <s v="-234.70"/>
    <s v="jcortiz"/>
    <n v="0"/>
    <m/>
    <m/>
    <m/>
    <m/>
    <m/>
  </r>
  <r>
    <x v="0"/>
    <x v="0"/>
    <d v="2022-10-05T00:00:00"/>
    <d v="2022-10-05T00:00:00"/>
    <s v="FE001"/>
    <s v="NE 100015229"/>
    <n v="106563"/>
    <s v="Entregas - CN1791263308001"/>
    <m/>
    <s v="QUITO"/>
    <n v="51010101"/>
    <s v="Costo de ventas Quito"/>
    <m/>
    <n v="1108.46"/>
    <n v="-1108.46"/>
    <x v="1"/>
    <n v="1294297.8500000001"/>
    <s v="-1108.46"/>
    <s v="jcortiz"/>
    <n v="0"/>
    <m/>
    <s v="QUITO-PICHINCHA"/>
    <m/>
    <m/>
    <m/>
  </r>
  <r>
    <x v="0"/>
    <x v="0"/>
    <d v="2022-10-05T00:00:00"/>
    <d v="2022-10-05T00:00:00"/>
    <s v="FE001"/>
    <s v="IM 100003285"/>
    <n v="106566"/>
    <s v="Traslados - CN1792079160001"/>
    <m/>
    <m/>
    <n v="101060402"/>
    <s v="Inventario de prod. term. y mercad. en Bodega BULLSYPPLY Coca"/>
    <m/>
    <n v="7922.1"/>
    <n v="-7922.1"/>
    <x v="3"/>
    <n v="1286375.75"/>
    <s v="-7922.10"/>
    <s v="ancueva"/>
    <n v="0"/>
    <m/>
    <m/>
    <m/>
    <m/>
    <m/>
  </r>
  <r>
    <x v="0"/>
    <x v="0"/>
    <d v="2022-10-05T00:00:00"/>
    <d v="2022-10-05T00:00:00"/>
    <s v="FE001"/>
    <s v="IM 100003285"/>
    <n v="106566"/>
    <s v="Traslados - CN1792079160001"/>
    <m/>
    <m/>
    <n v="101060402"/>
    <s v="Inventario de prod. term. y mercad. en Bodega BULLSYPPLY Coca"/>
    <n v="1958.13"/>
    <m/>
    <n v="1958.13"/>
    <x v="3"/>
    <n v="1288333.8799999999"/>
    <s v="1958.13"/>
    <s v="ancueva"/>
    <n v="0"/>
    <m/>
    <m/>
    <m/>
    <m/>
    <m/>
  </r>
  <r>
    <x v="0"/>
    <x v="0"/>
    <d v="2022-10-05T00:00:00"/>
    <d v="2022-10-05T00:00:00"/>
    <s v="FE001"/>
    <s v="NE 100015231"/>
    <n v="106567"/>
    <s v="Entregas - CN1801835495001"/>
    <m/>
    <s v="QUITO"/>
    <n v="51010101"/>
    <s v="Costo de ventas Quito"/>
    <m/>
    <n v="62.21"/>
    <n v="-62.21"/>
    <x v="1"/>
    <n v="1288271.67"/>
    <s v="-62.21"/>
    <s v="jcortiz"/>
    <n v="0"/>
    <m/>
    <s v="QUITO-PICHINCHA"/>
    <m/>
    <m/>
    <m/>
  </r>
  <r>
    <x v="0"/>
    <x v="0"/>
    <d v="2022-10-05T00:00:00"/>
    <d v="2022-10-05T00:00:00"/>
    <s v="FE001"/>
    <s v="NE 100015234"/>
    <n v="106572"/>
    <s v="Entregas - CN1722882634001"/>
    <m/>
    <s v="QUITO"/>
    <n v="51010101"/>
    <s v="Costo de ventas Quito"/>
    <m/>
    <n v="31.5"/>
    <n v="-31.5"/>
    <x v="1"/>
    <n v="1288240.17"/>
    <s v="-31.50"/>
    <s v="jcortiz"/>
    <n v="0"/>
    <m/>
    <s v="QUITO-PICHINCHA"/>
    <m/>
    <m/>
    <m/>
  </r>
  <r>
    <x v="0"/>
    <x v="0"/>
    <d v="2022-10-05T00:00:00"/>
    <d v="2022-10-05T00:00:00"/>
    <s v="Primario"/>
    <s v="EP 6267"/>
    <n v="106573"/>
    <s v="Pedido de entrada de mercancías - PN1791834399001"/>
    <m/>
    <m/>
    <n v="201040506"/>
    <s v="Facturas por Confirmar"/>
    <n v="145.51"/>
    <m/>
    <n v="145.51"/>
    <x v="2"/>
    <n v="1288385.68"/>
    <s v="145.51"/>
    <s v="jcortiz"/>
    <n v="0"/>
    <m/>
    <m/>
    <m/>
    <m/>
    <m/>
  </r>
  <r>
    <x v="0"/>
    <x v="0"/>
    <d v="2022-10-05T00:00:00"/>
    <d v="2022-10-05T00:00:00"/>
    <s v="Primario"/>
    <s v="EP 6268"/>
    <n v="106574"/>
    <s v="Pedido de entrada de mercancías - PN1791834399001"/>
    <m/>
    <m/>
    <n v="201040506"/>
    <s v="Facturas por Confirmar"/>
    <n v="173.06"/>
    <m/>
    <n v="173.06"/>
    <x v="2"/>
    <n v="1288558.74"/>
    <s v="173.06"/>
    <s v="jcortiz"/>
    <n v="0"/>
    <m/>
    <m/>
    <m/>
    <m/>
    <m/>
  </r>
  <r>
    <x v="0"/>
    <x v="0"/>
    <d v="2022-10-05T00:00:00"/>
    <d v="2022-10-05T00:00:00"/>
    <s v="FE001"/>
    <s v="NE 100015235"/>
    <n v="106575"/>
    <s v="Entregas - CN1791265416001"/>
    <m/>
    <s v="QUITO"/>
    <n v="51010101"/>
    <s v="Costo de ventas Quito"/>
    <m/>
    <n v="189.8"/>
    <n v="-189.8"/>
    <x v="1"/>
    <n v="1288368.94"/>
    <s v="-189.80"/>
    <s v="jcortiz"/>
    <n v="0"/>
    <m/>
    <s v="QUITO-PICHINCHA"/>
    <m/>
    <m/>
    <m/>
  </r>
  <r>
    <x v="0"/>
    <x v="0"/>
    <d v="2022-10-05T00:00:00"/>
    <d v="2022-10-05T00:00:00"/>
    <s v="FE001"/>
    <s v="NE 100015236"/>
    <n v="106576"/>
    <s v="Entregas - CN1792876745001"/>
    <m/>
    <s v="QUITO"/>
    <n v="51010101"/>
    <s v="Costo de ventas Quito"/>
    <m/>
    <n v="172.55"/>
    <n v="-172.55"/>
    <x v="1"/>
    <n v="1288196.3899999999"/>
    <s v="-172.55"/>
    <s v="jcortiz"/>
    <n v="0"/>
    <m/>
    <s v="QUITO-PICHINCHA"/>
    <m/>
    <m/>
    <m/>
  </r>
  <r>
    <x v="0"/>
    <x v="0"/>
    <d v="2022-10-05T00:00:00"/>
    <d v="2022-10-05T00:00:00"/>
    <s v="FE001"/>
    <s v="IM 100003286"/>
    <n v="106577"/>
    <s v="Traslados - CN1792079160001"/>
    <m/>
    <m/>
    <n v="101060402"/>
    <s v="Inventario de prod. term. y mercad. en Bodega BULLSYPPLY Coca"/>
    <n v="1548.09"/>
    <m/>
    <n v="1548.09"/>
    <x v="3"/>
    <n v="1289744.48"/>
    <s v="1548.09"/>
    <s v="ancueva"/>
    <n v="0"/>
    <m/>
    <m/>
    <m/>
    <m/>
    <m/>
  </r>
  <r>
    <x v="0"/>
    <x v="0"/>
    <d v="2022-10-05T00:00:00"/>
    <d v="2022-10-05T00:00:00"/>
    <s v="Primario"/>
    <s v="EP 6269"/>
    <n v="106579"/>
    <s v="Pedido de entrada de mercancías - PN0990626014001"/>
    <m/>
    <m/>
    <n v="201040506"/>
    <s v="Facturas por Confirmar"/>
    <n v="636.79999999999995"/>
    <m/>
    <n v="636.79999999999995"/>
    <x v="2"/>
    <n v="1290381.28"/>
    <s v="636.80"/>
    <s v="jcortiz"/>
    <n v="0"/>
    <m/>
    <m/>
    <m/>
    <m/>
    <m/>
  </r>
  <r>
    <x v="0"/>
    <x v="0"/>
    <d v="2022-10-05T00:00:00"/>
    <d v="2022-10-05T00:00:00"/>
    <s v="FE001"/>
    <s v="IM 100003287"/>
    <n v="106580"/>
    <s v="Traslados - CN1792079160001"/>
    <m/>
    <m/>
    <n v="101060402"/>
    <s v="Inventario de prod. term. y mercad. en Bodega BULLSYPPLY Coca"/>
    <m/>
    <n v="815.4"/>
    <n v="-815.4"/>
    <x v="3"/>
    <n v="1289565.8799999999"/>
    <s v="-815.40"/>
    <s v="ancueva"/>
    <n v="0"/>
    <m/>
    <m/>
    <m/>
    <m/>
    <m/>
  </r>
  <r>
    <x v="0"/>
    <x v="0"/>
    <d v="2022-10-05T00:00:00"/>
    <d v="2022-10-05T00:00:00"/>
    <s v="Primario"/>
    <s v="EP 6270"/>
    <n v="106581"/>
    <s v="Pedido de entrada de mercancías - PN0990626014001"/>
    <m/>
    <m/>
    <n v="201040506"/>
    <s v="Facturas por Confirmar"/>
    <n v="2779.06"/>
    <m/>
    <n v="2779.06"/>
    <x v="2"/>
    <n v="1292344.94"/>
    <s v="2779.06"/>
    <s v="jcortiz"/>
    <n v="0"/>
    <m/>
    <m/>
    <m/>
    <m/>
    <m/>
  </r>
  <r>
    <x v="0"/>
    <x v="0"/>
    <d v="2022-10-05T00:00:00"/>
    <d v="2022-10-05T00:00:00"/>
    <s v="Primario"/>
    <s v="EP 6271"/>
    <n v="106583"/>
    <s v="Pedido de entrada de mercancías - PN0990626014001"/>
    <m/>
    <m/>
    <n v="201040506"/>
    <s v="Facturas por Confirmar"/>
    <n v="3555.9"/>
    <m/>
    <n v="3555.9"/>
    <x v="2"/>
    <n v="1295900.8400000001"/>
    <s v="3555.90"/>
    <s v="jcortiz"/>
    <n v="0"/>
    <m/>
    <m/>
    <m/>
    <m/>
    <m/>
  </r>
  <r>
    <x v="0"/>
    <x v="0"/>
    <d v="2022-10-05T00:00:00"/>
    <d v="2022-10-05T00:00:00"/>
    <s v="FE001"/>
    <s v="IM 100003288"/>
    <n v="106590"/>
    <s v="Traslados - CN1792079160001"/>
    <m/>
    <m/>
    <n v="101060402"/>
    <s v="Inventario de prod. term. y mercad. en Bodega BULLSYPPLY Coca"/>
    <m/>
    <n v="3415.86"/>
    <n v="-3415.86"/>
    <x v="3"/>
    <n v="1292484.98"/>
    <s v="-3415.86"/>
    <s v="jcortiz"/>
    <n v="0"/>
    <m/>
    <m/>
    <m/>
    <m/>
    <m/>
  </r>
  <r>
    <x v="0"/>
    <x v="0"/>
    <d v="2022-10-05T00:00:00"/>
    <d v="2022-10-05T00:00:00"/>
    <s v="FE001"/>
    <s v="IM 100003289"/>
    <n v="106591"/>
    <s v="Traslados - CN1792079160001"/>
    <m/>
    <m/>
    <n v="101060402"/>
    <s v="Inventario de prod. term. y mercad. en Bodega BULLSYPPLY Coca"/>
    <n v="89.9"/>
    <m/>
    <n v="89.9"/>
    <x v="3"/>
    <n v="1292574.8799999999"/>
    <s v="89.90"/>
    <s v="ancueva"/>
    <n v="0"/>
    <m/>
    <m/>
    <m/>
    <m/>
    <m/>
  </r>
  <r>
    <x v="0"/>
    <x v="0"/>
    <d v="2022-10-05T00:00:00"/>
    <d v="2022-10-05T00:00:00"/>
    <s v="FE001"/>
    <s v="IM 100003289"/>
    <n v="106591"/>
    <s v="Traslados - CN1792079160001"/>
    <m/>
    <m/>
    <n v="101060402"/>
    <s v="Inventario de prod. term. y mercad. en Bodega BULLSYPPLY Coca"/>
    <m/>
    <n v="32.54"/>
    <n v="-32.54"/>
    <x v="3"/>
    <n v="1292542.3400000001"/>
    <s v="-32.54"/>
    <s v="ancueva"/>
    <n v="0"/>
    <m/>
    <m/>
    <m/>
    <m/>
    <m/>
  </r>
  <r>
    <x v="0"/>
    <x v="0"/>
    <d v="2022-10-05T00:00:00"/>
    <d v="2022-10-05T00:00:00"/>
    <s v="FE001"/>
    <s v="IM 100003290"/>
    <n v="106592"/>
    <s v="Traslados - CN1792079160001"/>
    <m/>
    <m/>
    <n v="101060402"/>
    <s v="Inventario de prod. term. y mercad. en Bodega BULLSYPPLY Coca"/>
    <m/>
    <n v="89.9"/>
    <n v="-89.9"/>
    <x v="3"/>
    <n v="1292452.44"/>
    <s v="-89.90"/>
    <s v="ancueva"/>
    <n v="0"/>
    <m/>
    <m/>
    <m/>
    <m/>
    <m/>
  </r>
  <r>
    <x v="0"/>
    <x v="0"/>
    <d v="2022-10-05T00:00:00"/>
    <d v="2022-10-05T00:00:00"/>
    <s v="FE001"/>
    <s v="IM 100003290"/>
    <n v="106592"/>
    <s v="Traslados - CN1792079160001"/>
    <m/>
    <m/>
    <n v="101060402"/>
    <s v="Inventario de prod. term. y mercad. en Bodega BULLSYPPLY Coca"/>
    <n v="32.54"/>
    <m/>
    <n v="32.54"/>
    <x v="3"/>
    <n v="1292484.98"/>
    <s v="32.54"/>
    <s v="ancueva"/>
    <n v="0"/>
    <m/>
    <m/>
    <m/>
    <m/>
    <m/>
  </r>
  <r>
    <x v="0"/>
    <x v="0"/>
    <d v="2022-10-05T00:00:00"/>
    <d v="2022-10-05T00:00:00"/>
    <s v="FE001"/>
    <s v="NE 100015237"/>
    <n v="106593"/>
    <s v="Entregas - CN1791263308001"/>
    <m/>
    <s v="QUITO"/>
    <n v="51010101"/>
    <s v="Costo de ventas Quito"/>
    <m/>
    <n v="1099.26"/>
    <n v="-1099.26"/>
    <x v="1"/>
    <n v="1291385.72"/>
    <s v="-1099.26"/>
    <s v="jcortiz"/>
    <n v="0"/>
    <m/>
    <s v="QUITO-PICHINCHA"/>
    <m/>
    <m/>
    <m/>
  </r>
  <r>
    <x v="0"/>
    <x v="0"/>
    <d v="2022-10-05T00:00:00"/>
    <d v="2022-10-05T00:00:00"/>
    <s v="FE001"/>
    <s v="NE 100015238"/>
    <n v="106594"/>
    <s v="Entrega - Cancelación - CN1791263308001"/>
    <m/>
    <s v="QUITO"/>
    <n v="51010101"/>
    <s v="Costo de ventas Quito"/>
    <n v="1099.26"/>
    <m/>
    <n v="1099.26"/>
    <x v="1"/>
    <n v="1292484.98"/>
    <s v="1099.26"/>
    <s v="jcortiz"/>
    <n v="0"/>
    <m/>
    <s v="QUITO-PICHINCHA"/>
    <m/>
    <m/>
    <m/>
  </r>
  <r>
    <x v="0"/>
    <x v="0"/>
    <d v="2022-10-05T00:00:00"/>
    <d v="2022-10-05T00:00:00"/>
    <s v="FE001"/>
    <s v="NE 100015239"/>
    <n v="106595"/>
    <s v="Entregas - CN1791263308001"/>
    <m/>
    <s v="QUITO"/>
    <n v="51010101"/>
    <s v="Costo de ventas Quito"/>
    <m/>
    <n v="1099.26"/>
    <n v="-1099.26"/>
    <x v="1"/>
    <n v="1291385.72"/>
    <s v="-1099.26"/>
    <s v="jcortiz"/>
    <n v="0"/>
    <m/>
    <s v="QUITO-PICHINCHA"/>
    <m/>
    <m/>
    <m/>
  </r>
  <r>
    <x v="0"/>
    <x v="0"/>
    <d v="2022-10-05T00:00:00"/>
    <d v="2022-10-05T00:00:00"/>
    <s v="FE001"/>
    <s v="IM 100003291"/>
    <n v="106596"/>
    <s v="Traslados - CN1792079160001"/>
    <m/>
    <m/>
    <n v="101060402"/>
    <s v="Inventario de prod. term. y mercad. en Bodega BULLSYPPLY Coca"/>
    <m/>
    <n v="100.32"/>
    <n v="-100.32"/>
    <x v="3"/>
    <n v="1291285.3999999999"/>
    <s v="-100.32"/>
    <s v="ancueva"/>
    <n v="0"/>
    <m/>
    <m/>
    <m/>
    <m/>
    <m/>
  </r>
  <r>
    <x v="0"/>
    <x v="0"/>
    <d v="2022-10-05T00:00:00"/>
    <d v="2022-10-05T00:00:00"/>
    <s v="FE001"/>
    <s v="IM 100003291"/>
    <n v="106596"/>
    <s v="Traslados - CN1792079160001"/>
    <m/>
    <m/>
    <n v="101060402"/>
    <s v="Inventario de prod. term. y mercad. en Bodega BULLSYPPLY Coca"/>
    <n v="7.69"/>
    <m/>
    <n v="7.69"/>
    <x v="3"/>
    <n v="1291293.0900000001"/>
    <s v="7.69"/>
    <s v="ancueva"/>
    <n v="0"/>
    <m/>
    <m/>
    <m/>
    <m/>
    <m/>
  </r>
  <r>
    <x v="0"/>
    <x v="0"/>
    <d v="2022-10-06T00:00:00"/>
    <d v="2022-10-06T00:00:00"/>
    <s v="FE001"/>
    <s v="NE 100015240"/>
    <n v="106597"/>
    <s v="Entregas - CN1790749509001"/>
    <m/>
    <s v="QUITO"/>
    <n v="51010101"/>
    <s v="Costo de ventas Quito"/>
    <m/>
    <n v="1363.87"/>
    <n v="-1363.87"/>
    <x v="1"/>
    <n v="1289929.22"/>
    <s v="-1363.87"/>
    <s v="jcortiz"/>
    <n v="0"/>
    <m/>
    <s v="QUITO-PICHINCHA"/>
    <m/>
    <m/>
    <m/>
  </r>
  <r>
    <x v="0"/>
    <x v="0"/>
    <d v="2022-10-06T00:00:00"/>
    <d v="2022-10-06T00:00:00"/>
    <s v="FE001"/>
    <s v="NE 100015241"/>
    <n v="106599"/>
    <s v="Entregas - CN1791051955001"/>
    <m/>
    <s v="QUITO"/>
    <n v="51010101"/>
    <s v="Costo de ventas Quito"/>
    <m/>
    <n v="139.26"/>
    <n v="-139.26"/>
    <x v="1"/>
    <n v="1289789.96"/>
    <s v="-139.26"/>
    <s v="jcortiz"/>
    <n v="0"/>
    <m/>
    <s v="QUITO-PICHINCHA"/>
    <m/>
    <m/>
    <m/>
  </r>
  <r>
    <x v="0"/>
    <x v="0"/>
    <d v="2022-10-06T00:00:00"/>
    <d v="2022-10-06T00:00:00"/>
    <s v="FE001"/>
    <s v="NE 100015242"/>
    <n v="106600"/>
    <s v="Entregas - CN1792876745001"/>
    <m/>
    <s v="QUITO"/>
    <n v="51010101"/>
    <s v="Costo de ventas Quito"/>
    <m/>
    <n v="719.58"/>
    <n v="-719.58"/>
    <x v="1"/>
    <n v="1289070.3799999999"/>
    <s v="-719.58"/>
    <s v="jcortiz"/>
    <n v="0"/>
    <m/>
    <s v="QUITO-PICHINCHA"/>
    <m/>
    <m/>
    <m/>
  </r>
  <r>
    <x v="0"/>
    <x v="0"/>
    <d v="2022-10-06T00:00:00"/>
    <d v="2022-10-06T00:00:00"/>
    <s v="FE001"/>
    <s v="NE 100015243"/>
    <n v="106601"/>
    <s v="Entregas - CN1793121225001"/>
    <m/>
    <s v="QUITO"/>
    <n v="51010101"/>
    <s v="Costo de ventas Quito"/>
    <m/>
    <n v="988.62"/>
    <n v="-988.62"/>
    <x v="1"/>
    <n v="1288081.76"/>
    <s v="-988.62"/>
    <s v="jcortiz"/>
    <n v="0"/>
    <m/>
    <s v="QUITO-PICHINCHA"/>
    <m/>
    <m/>
    <m/>
  </r>
  <r>
    <x v="0"/>
    <x v="0"/>
    <d v="2022-10-06T00:00:00"/>
    <d v="2022-10-06T00:00:00"/>
    <s v="Primario"/>
    <s v="EP 6272"/>
    <n v="106602"/>
    <s v="Pedido de entrada de mercancías - PN1708215940001"/>
    <m/>
    <m/>
    <n v="201040506"/>
    <s v="Facturas por Confirmar"/>
    <n v="61.5"/>
    <m/>
    <n v="61.5"/>
    <x v="2"/>
    <n v="1288143.26"/>
    <s v="61.50"/>
    <s v="jcortiz"/>
    <n v="0"/>
    <m/>
    <m/>
    <m/>
    <m/>
    <m/>
  </r>
  <r>
    <x v="0"/>
    <x v="0"/>
    <d v="2022-10-06T00:00:00"/>
    <d v="2022-10-06T00:00:00"/>
    <s v="Primario"/>
    <s v="EP 6273"/>
    <n v="106603"/>
    <s v="Pedido de entrada de mercancías - PN1708215940001"/>
    <m/>
    <m/>
    <n v="201040506"/>
    <s v="Facturas por Confirmar"/>
    <n v="114.65"/>
    <m/>
    <n v="114.65"/>
    <x v="2"/>
    <n v="1288257.9099999999"/>
    <s v="114.65"/>
    <s v="jcortiz"/>
    <n v="0"/>
    <m/>
    <m/>
    <m/>
    <m/>
    <m/>
  </r>
  <r>
    <x v="0"/>
    <x v="0"/>
    <d v="2022-10-06T00:00:00"/>
    <d v="2022-10-06T00:00:00"/>
    <s v="Primario"/>
    <s v="EP 6274"/>
    <n v="106604"/>
    <s v="Pedido de entrada de mercancías - PN0990607699001"/>
    <m/>
    <m/>
    <n v="201040506"/>
    <s v="Facturas por Confirmar"/>
    <n v="486.77"/>
    <m/>
    <n v="486.77"/>
    <x v="2"/>
    <n v="1288744.68"/>
    <s v="486.77"/>
    <s v="jcortiz"/>
    <n v="0"/>
    <m/>
    <m/>
    <m/>
    <m/>
    <m/>
  </r>
  <r>
    <x v="0"/>
    <x v="0"/>
    <d v="2022-10-06T00:00:00"/>
    <d v="2022-10-06T00:00:00"/>
    <s v="FE001"/>
    <s v="NE 100015244"/>
    <n v="106605"/>
    <s v="Entregas - CN1793121225001"/>
    <m/>
    <s v="QUITO"/>
    <n v="51010101"/>
    <s v="Costo de ventas Quito"/>
    <m/>
    <n v="548.27"/>
    <n v="-548.27"/>
    <x v="1"/>
    <n v="1288196.4099999999"/>
    <s v="-548.27"/>
    <s v="jcortiz"/>
    <n v="0"/>
    <m/>
    <s v="QUITO-PICHINCHA"/>
    <m/>
    <m/>
    <m/>
  </r>
  <r>
    <x v="0"/>
    <x v="0"/>
    <d v="2022-10-06T00:00:00"/>
    <d v="2022-10-06T00:00:00"/>
    <s v="FE001"/>
    <s v="NE 100015245"/>
    <n v="106606"/>
    <s v="Entregas - CN1793121225001"/>
    <m/>
    <s v="QUITO"/>
    <n v="51010101"/>
    <s v="Costo de ventas Quito"/>
    <m/>
    <n v="114.65"/>
    <n v="-114.65"/>
    <x v="1"/>
    <n v="1288081.76"/>
    <s v="-114.65"/>
    <s v="jcortiz"/>
    <n v="0"/>
    <m/>
    <s v="QUITO-PICHINCHA"/>
    <m/>
    <m/>
    <m/>
  </r>
  <r>
    <x v="0"/>
    <x v="0"/>
    <d v="2022-10-06T00:00:00"/>
    <d v="2022-10-06T00:00:00"/>
    <s v="FE001"/>
    <s v="RC 100000660"/>
    <n v="106608"/>
    <s v="Notas de crédito clientes - CN1791051955001"/>
    <m/>
    <s v="QUITO"/>
    <s v="CN1791051955001"/>
    <s v="BEITE B&amp;T CIA. LTDA"/>
    <n v="174.75"/>
    <m/>
    <n v="174.75"/>
    <x v="4"/>
    <n v="1288256.51"/>
    <s v="174.75"/>
    <s v="gcali"/>
    <n v="0"/>
    <m/>
    <s v="QUITO-PICHINCHA"/>
    <m/>
    <m/>
    <m/>
  </r>
  <r>
    <x v="0"/>
    <x v="0"/>
    <d v="2022-10-06T00:00:00"/>
    <d v="2022-10-06T00:00:00"/>
    <s v="FE001"/>
    <s v="RC 100000661"/>
    <n v="106612"/>
    <s v="Notas de crédito clientes - CN1792369428001"/>
    <m/>
    <s v="QUITO"/>
    <s v="CN1792369428001"/>
    <s v="SCHLUMBERGER DEL ECUADOR S.A"/>
    <n v="1233.1199999999999"/>
    <m/>
    <n v="1233.1199999999999"/>
    <x v="4"/>
    <n v="1289489.6299999999"/>
    <s v="1233.12"/>
    <s v="gcali"/>
    <n v="0"/>
    <m/>
    <s v="QUITO-PICHINCHA"/>
    <m/>
    <m/>
    <m/>
  </r>
  <r>
    <x v="0"/>
    <x v="0"/>
    <d v="2022-10-06T00:00:00"/>
    <d v="2022-10-06T00:00:00"/>
    <s v="FE001"/>
    <s v="RC 100000662"/>
    <n v="106613"/>
    <s v="Notas de crédito clientes - CN1790004724001"/>
    <m/>
    <s v="QUITO"/>
    <s v="CN1790004724001"/>
    <s v="ACERIA DEL ECUADOR CA ADELCA."/>
    <n v="1425"/>
    <m/>
    <n v="1425"/>
    <x v="4"/>
    <n v="1290914.6299999999"/>
    <s v="1425.00"/>
    <s v="gcali"/>
    <n v="0"/>
    <m/>
    <s v="QUITO-PICHINCHA"/>
    <m/>
    <m/>
    <m/>
  </r>
  <r>
    <x v="0"/>
    <x v="0"/>
    <d v="2022-10-06T00:00:00"/>
    <d v="2022-10-06T00:00:00"/>
    <s v="FE001"/>
    <s v="NE 100015246"/>
    <n v="106626"/>
    <s v="Entregas - CN1725410037001"/>
    <m/>
    <s v="QUITO"/>
    <n v="51010101"/>
    <s v="Costo de ventas Quito"/>
    <m/>
    <n v="33.6"/>
    <n v="-33.6"/>
    <x v="1"/>
    <n v="1290881.03"/>
    <s v="-33.60"/>
    <s v="jcortiz"/>
    <n v="0"/>
    <m/>
    <s v="QUITO-PICHINCHA"/>
    <m/>
    <m/>
    <m/>
  </r>
  <r>
    <x v="0"/>
    <x v="0"/>
    <d v="2022-10-06T00:00:00"/>
    <d v="2022-10-06T00:00:00"/>
    <s v="FE001"/>
    <s v="NE 100015247"/>
    <n v="106628"/>
    <s v="Entregas - CN0992860499001"/>
    <m/>
    <s v="QUITO"/>
    <n v="51010101"/>
    <s v="Costo de ventas Quito"/>
    <m/>
    <n v="554.59"/>
    <n v="-554.59"/>
    <x v="1"/>
    <n v="1290326.44"/>
    <s v="-554.59"/>
    <s v="jcortiz"/>
    <n v="0"/>
    <m/>
    <s v="QUITO-PICHINCHA"/>
    <m/>
    <m/>
    <m/>
  </r>
  <r>
    <x v="0"/>
    <x v="0"/>
    <d v="2022-10-06T00:00:00"/>
    <d v="2022-10-06T00:00:00"/>
    <s v="FE001"/>
    <s v="NE 100015248"/>
    <n v="106635"/>
    <s v="Entregas - CN1714787163001"/>
    <m/>
    <s v="QUITO"/>
    <n v="51010101"/>
    <s v="Costo de ventas Quito"/>
    <m/>
    <n v="694.6"/>
    <n v="-694.6"/>
    <x v="1"/>
    <n v="1289631.8400000001"/>
    <s v="-694.60"/>
    <s v="jcortiz"/>
    <n v="0"/>
    <m/>
    <s v="QUITO-PICHINCHA"/>
    <m/>
    <m/>
    <m/>
  </r>
  <r>
    <x v="0"/>
    <x v="0"/>
    <d v="2022-10-06T00:00:00"/>
    <d v="2022-10-06T00:00:00"/>
    <s v="FE001"/>
    <s v="NE 100015249"/>
    <n v="106636"/>
    <s v="Entregas - CN1792876745001"/>
    <m/>
    <s v="QUITO"/>
    <n v="51010101"/>
    <s v="Costo de ventas Quito"/>
    <m/>
    <n v="4536.63"/>
    <n v="-4536.63"/>
    <x v="1"/>
    <n v="1285095.21"/>
    <s v="-4536.63"/>
    <s v="jcortiz"/>
    <n v="0"/>
    <m/>
    <s v="QUITO-PICHINCHA"/>
    <m/>
    <m/>
    <m/>
  </r>
  <r>
    <x v="0"/>
    <x v="0"/>
    <d v="2022-10-06T00:00:00"/>
    <d v="2022-10-06T00:00:00"/>
    <s v="Primario"/>
    <s v="EP 6275"/>
    <n v="106647"/>
    <s v="Pedido de entrada de mercancías - PN1792520371001"/>
    <m/>
    <m/>
    <n v="201040506"/>
    <s v="Facturas por Confirmar"/>
    <n v="35.36"/>
    <m/>
    <n v="35.36"/>
    <x v="2"/>
    <n v="1285130.57"/>
    <s v="35.36"/>
    <s v="jcortiz"/>
    <n v="0"/>
    <m/>
    <m/>
    <m/>
    <m/>
    <m/>
  </r>
  <r>
    <x v="0"/>
    <x v="0"/>
    <d v="2022-10-06T00:00:00"/>
    <d v="2022-10-06T00:00:00"/>
    <s v="FE001"/>
    <s v="IM 100003292"/>
    <n v="106650"/>
    <s v="Traslados - CN1792079160001"/>
    <m/>
    <m/>
    <n v="101060402"/>
    <s v="Inventario de prod. term. y mercad. en Bodega BULLSYPPLY Coca"/>
    <m/>
    <n v="451.12"/>
    <n v="-451.12"/>
    <x v="3"/>
    <n v="1284679.45"/>
    <s v="-451.12"/>
    <s v="jcortiz"/>
    <n v="0"/>
    <m/>
    <m/>
    <m/>
    <m/>
    <m/>
  </r>
  <r>
    <x v="0"/>
    <x v="0"/>
    <d v="2022-10-06T00:00:00"/>
    <d v="2022-10-06T00:00:00"/>
    <s v="FE001"/>
    <s v="NE 100015251"/>
    <n v="106652"/>
    <s v="Entregas - CN1793121225001"/>
    <m/>
    <s v="QUITO"/>
    <n v="51010101"/>
    <s v="Costo de ventas Quito"/>
    <m/>
    <n v="2766.66"/>
    <n v="-2766.66"/>
    <x v="1"/>
    <n v="1281912.79"/>
    <s v="-2766.66"/>
    <s v="jcortiz"/>
    <n v="0"/>
    <m/>
    <s v="QUITO-PICHINCHA"/>
    <m/>
    <m/>
    <m/>
  </r>
  <r>
    <x v="0"/>
    <x v="0"/>
    <d v="2022-10-06T00:00:00"/>
    <d v="2022-10-06T00:00:00"/>
    <s v="Primario"/>
    <s v="EP 6276"/>
    <n v="106663"/>
    <s v="Pedido de entrada de mercancías - PN1802461440001"/>
    <m/>
    <m/>
    <n v="201040506"/>
    <s v="Facturas por Confirmar"/>
    <n v="6067"/>
    <m/>
    <n v="6067"/>
    <x v="2"/>
    <n v="1287979.79"/>
    <s v="6067.00"/>
    <s v="jcortiz"/>
    <n v="0"/>
    <m/>
    <m/>
    <m/>
    <m/>
    <m/>
  </r>
  <r>
    <x v="0"/>
    <x v="0"/>
    <d v="2022-10-06T00:00:00"/>
    <d v="2022-10-06T00:00:00"/>
    <s v="FE001"/>
    <s v="NE 100015252"/>
    <n v="106667"/>
    <s v="Entregas - CN1791263308001"/>
    <m/>
    <s v="QUITO"/>
    <n v="51010101"/>
    <s v="Costo de ventas Quito"/>
    <m/>
    <n v="6067"/>
    <n v="-6067"/>
    <x v="1"/>
    <n v="1281912.79"/>
    <s v="-6067.00"/>
    <s v="jcortiz"/>
    <n v="0"/>
    <m/>
    <s v="QUITO-PICHINCHA"/>
    <m/>
    <m/>
    <m/>
  </r>
  <r>
    <x v="0"/>
    <x v="0"/>
    <d v="2022-10-06T00:00:00"/>
    <d v="2022-10-06T00:00:00"/>
    <s v="FE001"/>
    <s v="NE 100015253"/>
    <n v="106671"/>
    <s v="Entregas - CN1710196104001"/>
    <m/>
    <s v="QUITO"/>
    <n v="51010101"/>
    <s v="Costo de ventas Quito"/>
    <m/>
    <n v="250.7"/>
    <n v="-250.7"/>
    <x v="1"/>
    <n v="1281662.0900000001"/>
    <s v="-250.70"/>
    <s v="jcortiz"/>
    <n v="0"/>
    <m/>
    <s v="QUITO-PICHINCHA"/>
    <m/>
    <m/>
    <m/>
  </r>
  <r>
    <x v="0"/>
    <x v="0"/>
    <d v="2022-10-06T00:00:00"/>
    <d v="2022-10-06T00:00:00"/>
    <s v="FE001"/>
    <s v="NE 100015255"/>
    <n v="106673"/>
    <s v="Entregas - CN1714787163001"/>
    <m/>
    <s v="QUITO"/>
    <n v="51010101"/>
    <s v="Costo de ventas Quito"/>
    <m/>
    <n v="9.06"/>
    <n v="-9.06"/>
    <x v="1"/>
    <n v="1281653.03"/>
    <s v="-9.06"/>
    <s v="jcortiz"/>
    <n v="0"/>
    <m/>
    <s v="QUITO-PICHINCHA"/>
    <m/>
    <m/>
    <m/>
  </r>
  <r>
    <x v="0"/>
    <x v="0"/>
    <d v="2022-10-06T00:00:00"/>
    <d v="2022-10-06T00:00:00"/>
    <s v="FE001"/>
    <s v="NE 100015256"/>
    <n v="106675"/>
    <s v="Entregas - CN1711878445001"/>
    <m/>
    <s v="QUITO"/>
    <n v="51010101"/>
    <s v="Costo de ventas Quito"/>
    <m/>
    <n v="158"/>
    <n v="-158"/>
    <x v="1"/>
    <n v="1281495.03"/>
    <s v="-158.00"/>
    <s v="jcortiz"/>
    <n v="0"/>
    <m/>
    <s v="QUITO-PICHINCHA"/>
    <m/>
    <m/>
    <m/>
  </r>
  <r>
    <x v="0"/>
    <x v="0"/>
    <d v="2022-10-06T00:00:00"/>
    <d v="2022-10-06T00:00:00"/>
    <s v="Primario"/>
    <s v="DM 48"/>
    <n v="106677"/>
    <s v="Devolución de mercancías - PN1791834399001"/>
    <m/>
    <m/>
    <n v="201040506"/>
    <s v="Facturas por Confirmar"/>
    <m/>
    <n v="1900"/>
    <n v="-1900"/>
    <x v="6"/>
    <n v="1279595.03"/>
    <s v="-1900.00"/>
    <s v="jcortiz"/>
    <n v="0"/>
    <m/>
    <m/>
    <m/>
    <m/>
    <m/>
  </r>
  <r>
    <x v="0"/>
    <x v="0"/>
    <d v="2022-10-06T00:00:00"/>
    <d v="2022-10-06T00:00:00"/>
    <s v="FE001"/>
    <s v="IM 100003293"/>
    <n v="106678"/>
    <s v="Traslados - CN1792079160001"/>
    <m/>
    <m/>
    <n v="101060402"/>
    <s v="Inventario de prod. term. y mercad. en Bodega BULLSYPPLY Coca"/>
    <m/>
    <n v="73.099999999999994"/>
    <n v="-73.099999999999994"/>
    <x v="3"/>
    <n v="1279521.93"/>
    <s v="-73.10"/>
    <s v="jcortiz"/>
    <n v="0"/>
    <m/>
    <m/>
    <m/>
    <m/>
    <m/>
  </r>
  <r>
    <x v="0"/>
    <x v="0"/>
    <d v="2022-10-06T00:00:00"/>
    <d v="2022-10-06T00:00:00"/>
    <s v="FE001"/>
    <s v="IM 100003294"/>
    <n v="106679"/>
    <s v="Traslados - CN1792079160001"/>
    <m/>
    <m/>
    <n v="101060402"/>
    <s v="Inventario de prod. term. y mercad. en Bodega BULLSYPPLY Coca"/>
    <n v="291.27"/>
    <m/>
    <n v="291.27"/>
    <x v="3"/>
    <n v="1279813.2"/>
    <s v="291.27"/>
    <s v="ancueva"/>
    <n v="0"/>
    <m/>
    <m/>
    <m/>
    <m/>
    <m/>
  </r>
  <r>
    <x v="0"/>
    <x v="0"/>
    <d v="2022-10-06T00:00:00"/>
    <d v="2022-10-06T00:00:00"/>
    <s v="Anula"/>
    <s v="EP 200432"/>
    <n v="106688"/>
    <s v="Pedido de entrada de mercancías - Cancelación - PN"/>
    <m/>
    <m/>
    <n v="201040506"/>
    <s v="Facturas por Confirmar"/>
    <m/>
    <n v="35.36"/>
    <n v="-35.36"/>
    <x v="2"/>
    <n v="1279777.8400000001"/>
    <s v="-35.36"/>
    <s v="jcortiz"/>
    <n v="0"/>
    <m/>
    <m/>
    <m/>
    <m/>
    <m/>
  </r>
  <r>
    <x v="0"/>
    <x v="0"/>
    <d v="2022-10-07T00:00:00"/>
    <d v="2022-10-07T00:00:00"/>
    <s v="FE001"/>
    <s v="IM 100003295"/>
    <n v="106687"/>
    <s v="Traslados -"/>
    <m/>
    <m/>
    <n v="101060402"/>
    <s v="Inventario de prod. term. y mercad. en Bodega BULLSYPPLY Coca"/>
    <n v="35.36"/>
    <m/>
    <n v="35.36"/>
    <x v="3"/>
    <n v="1279813.2"/>
    <s v="35.36"/>
    <s v="jcortiz"/>
    <n v="0"/>
    <m/>
    <m/>
    <m/>
    <m/>
    <m/>
  </r>
  <r>
    <x v="0"/>
    <x v="0"/>
    <d v="2022-10-07T00:00:00"/>
    <d v="2022-10-07T00:00:00"/>
    <s v="Primario"/>
    <s v="EP 6277"/>
    <n v="106689"/>
    <s v="Pedido de entrada de mercancías - PN1792520371001"/>
    <m/>
    <m/>
    <n v="201040506"/>
    <s v="Facturas por Confirmar"/>
    <n v="34.96"/>
    <m/>
    <n v="34.96"/>
    <x v="2"/>
    <n v="1279848.1599999999"/>
    <s v="34.96"/>
    <s v="jcortiz"/>
    <n v="0"/>
    <m/>
    <m/>
    <m/>
    <m/>
    <m/>
  </r>
  <r>
    <x v="0"/>
    <x v="0"/>
    <d v="2022-10-07T00:00:00"/>
    <d v="2022-10-07T00:00:00"/>
    <s v="FE001"/>
    <s v="IM 100003296"/>
    <n v="106690"/>
    <s v="Traslados -"/>
    <m/>
    <m/>
    <n v="101060402"/>
    <s v="Inventario de prod. term. y mercad. en Bodega BULLSYPPLY Coca"/>
    <m/>
    <n v="34.96"/>
    <n v="-34.96"/>
    <x v="3"/>
    <n v="1279813.2"/>
    <s v="-34.96"/>
    <s v="jcortiz"/>
    <n v="0"/>
    <m/>
    <m/>
    <m/>
    <m/>
    <m/>
  </r>
  <r>
    <x v="0"/>
    <x v="0"/>
    <d v="2022-10-07T00:00:00"/>
    <d v="2022-10-07T00:00:00"/>
    <s v="Primario"/>
    <s v="EP 6278"/>
    <n v="106692"/>
    <s v="Pedido de entrada de mercancías - PN1708215940001"/>
    <m/>
    <m/>
    <n v="201040506"/>
    <s v="Facturas por Confirmar"/>
    <n v="92.6"/>
    <m/>
    <n v="92.6"/>
    <x v="2"/>
    <n v="1279905.8"/>
    <s v="92.60"/>
    <s v="jcortiz"/>
    <n v="0"/>
    <m/>
    <m/>
    <m/>
    <m/>
    <m/>
  </r>
  <r>
    <x v="0"/>
    <x v="0"/>
    <d v="2022-10-07T00:00:00"/>
    <d v="2022-10-07T00:00:00"/>
    <s v="FE001"/>
    <s v="NE 100015258"/>
    <n v="106693"/>
    <s v="Entregas - CN1793121225001"/>
    <m/>
    <s v="QUITO"/>
    <n v="51010101"/>
    <s v="Costo de ventas Quito"/>
    <m/>
    <n v="92.6"/>
    <n v="-92.6"/>
    <x v="1"/>
    <n v="1279813.2"/>
    <s v="-92.60"/>
    <s v="jcortiz"/>
    <n v="0"/>
    <m/>
    <s v="QUITO-PICHINCHA"/>
    <m/>
    <m/>
    <m/>
  </r>
  <r>
    <x v="0"/>
    <x v="0"/>
    <d v="2022-10-07T00:00:00"/>
    <d v="2022-10-07T00:00:00"/>
    <s v="Primario"/>
    <s v="EP 6279"/>
    <n v="106704"/>
    <s v="Pedido de entrada de mercancías - PN1791834399001"/>
    <m/>
    <m/>
    <n v="201040506"/>
    <s v="Facturas por Confirmar"/>
    <n v="291.45999999999998"/>
    <m/>
    <n v="291.45999999999998"/>
    <x v="2"/>
    <n v="1280104.6599999999"/>
    <s v="291.46"/>
    <s v="jcortiz"/>
    <n v="0"/>
    <m/>
    <m/>
    <m/>
    <m/>
    <m/>
  </r>
  <r>
    <x v="0"/>
    <x v="0"/>
    <d v="2022-10-07T00:00:00"/>
    <d v="2022-10-07T00:00:00"/>
    <s v="Primario"/>
    <s v="EP 6280"/>
    <n v="106705"/>
    <s v="Pedido de entrada de mercancías - PN1791834399001"/>
    <m/>
    <m/>
    <n v="201040506"/>
    <s v="Facturas por Confirmar"/>
    <n v="298.94"/>
    <m/>
    <n v="298.94"/>
    <x v="2"/>
    <n v="1280403.6000000001"/>
    <s v="298.94"/>
    <s v="jcortiz"/>
    <n v="0"/>
    <m/>
    <m/>
    <m/>
    <m/>
    <m/>
  </r>
  <r>
    <x v="0"/>
    <x v="0"/>
    <d v="2022-10-07T00:00:00"/>
    <d v="2022-10-07T00:00:00"/>
    <s v="Primario"/>
    <s v="EP 6281"/>
    <n v="106706"/>
    <s v="Pedido de entrada de mercancías - PN1791834399001"/>
    <m/>
    <m/>
    <n v="201040506"/>
    <s v="Facturas por Confirmar"/>
    <n v="26.77"/>
    <m/>
    <n v="26.77"/>
    <x v="2"/>
    <n v="1280430.3700000001"/>
    <s v="26.77"/>
    <s v="jcortiz"/>
    <n v="0"/>
    <m/>
    <m/>
    <m/>
    <m/>
    <m/>
  </r>
  <r>
    <x v="0"/>
    <x v="0"/>
    <d v="2022-10-07T00:00:00"/>
    <d v="2022-10-07T00:00:00"/>
    <s v="Primario"/>
    <s v="EP 6282"/>
    <n v="106707"/>
    <s v="Pedido de entrada de mercancías - PN1792360250001"/>
    <m/>
    <m/>
    <n v="201040506"/>
    <s v="Facturas por Confirmar"/>
    <n v="10.23"/>
    <m/>
    <n v="10.23"/>
    <x v="2"/>
    <n v="1280440.6000000001"/>
    <s v="10.23"/>
    <s v="jcortiz"/>
    <n v="0"/>
    <m/>
    <m/>
    <m/>
    <m/>
    <m/>
  </r>
  <r>
    <x v="0"/>
    <x v="0"/>
    <d v="2022-10-07T00:00:00"/>
    <d v="2022-10-07T00:00:00"/>
    <s v="FE001"/>
    <s v="NE 100015260"/>
    <n v="106708"/>
    <s v="Entrega - Cancelación - CN1793121225001"/>
    <m/>
    <s v="QUITO"/>
    <n v="51010101"/>
    <s v="Costo de ventas Quito"/>
    <n v="493.2"/>
    <m/>
    <n v="493.2"/>
    <x v="1"/>
    <n v="1280933.8"/>
    <s v="493.20"/>
    <s v="jcortiz"/>
    <n v="0"/>
    <m/>
    <s v="QUITO-PICHINCHA"/>
    <m/>
    <m/>
    <m/>
  </r>
  <r>
    <x v="0"/>
    <x v="0"/>
    <d v="2022-10-07T00:00:00"/>
    <d v="2022-10-07T00:00:00"/>
    <s v="FE001"/>
    <s v="NE 100015261"/>
    <n v="106710"/>
    <s v="Entregas - CN1792368979001"/>
    <m/>
    <s v="QUITO"/>
    <n v="51010101"/>
    <s v="Costo de ventas Quito"/>
    <m/>
    <n v="493.2"/>
    <n v="-493.2"/>
    <x v="1"/>
    <n v="1280440.6000000001"/>
    <s v="-493.20"/>
    <s v="jcortiz"/>
    <n v="0"/>
    <m/>
    <s v="QUITO-PICHINCHA"/>
    <m/>
    <m/>
    <m/>
  </r>
  <r>
    <x v="0"/>
    <x v="0"/>
    <d v="2022-10-07T00:00:00"/>
    <d v="2022-10-07T00:00:00"/>
    <s v="FE001"/>
    <s v="NE 100015262"/>
    <n v="106711"/>
    <s v="Entregas - CN0101692655001"/>
    <m/>
    <s v="QUITO"/>
    <n v="51010101"/>
    <s v="Costo de ventas Quito"/>
    <m/>
    <n v="224.48"/>
    <n v="-224.48"/>
    <x v="1"/>
    <n v="1280216.1200000001"/>
    <s v="-224.48"/>
    <s v="jcortiz"/>
    <n v="0"/>
    <m/>
    <s v="QUITO-PICHINCHA"/>
    <m/>
    <m/>
    <m/>
  </r>
  <r>
    <x v="0"/>
    <x v="0"/>
    <d v="2022-10-07T00:00:00"/>
    <d v="2022-10-07T00:00:00"/>
    <s v="FE001"/>
    <s v="IM 100003298"/>
    <n v="106712"/>
    <s v="Traslados - CN1792079160001"/>
    <m/>
    <m/>
    <n v="101060409"/>
    <s v="Inventario de prod. term. y mercad. en Bodega de materiales defectuosos"/>
    <m/>
    <n v="31.71"/>
    <n v="-31.71"/>
    <x v="3"/>
    <n v="1280184.4099999999"/>
    <s v="-31.71"/>
    <s v="jcortiz"/>
    <n v="0"/>
    <m/>
    <m/>
    <m/>
    <m/>
    <m/>
  </r>
  <r>
    <x v="0"/>
    <x v="0"/>
    <d v="2022-10-07T00:00:00"/>
    <d v="2022-10-07T00:00:00"/>
    <s v="FE001"/>
    <s v="NE 100015265"/>
    <n v="106723"/>
    <s v="Entregas - CN0590060933001"/>
    <m/>
    <s v="QUITO"/>
    <n v="51010101"/>
    <s v="Costo de ventas Quito"/>
    <m/>
    <n v="55.43"/>
    <n v="-55.43"/>
    <x v="1"/>
    <n v="1280128.98"/>
    <s v="-55.43"/>
    <s v="jcortiz"/>
    <n v="0"/>
    <m/>
    <s v="QUITO-PICHINCHA"/>
    <m/>
    <m/>
    <m/>
  </r>
  <r>
    <x v="0"/>
    <x v="0"/>
    <d v="2022-10-07T00:00:00"/>
    <d v="2022-10-07T00:00:00"/>
    <s v="FE001"/>
    <s v="NE 100015267"/>
    <n v="106726"/>
    <s v="Entregas - CN1791263308001"/>
    <m/>
    <s v="QUITO"/>
    <n v="51010101"/>
    <s v="Costo de ventas Quito"/>
    <m/>
    <n v="384.22"/>
    <n v="-384.22"/>
    <x v="1"/>
    <n v="1279744.76"/>
    <s v="-384.22"/>
    <s v="jcortiz"/>
    <n v="0"/>
    <m/>
    <s v="QUITO-PICHINCHA"/>
    <m/>
    <m/>
    <m/>
  </r>
  <r>
    <x v="0"/>
    <x v="0"/>
    <d v="2022-10-07T00:00:00"/>
    <d v="2022-10-07T00:00:00"/>
    <s v="FE001"/>
    <s v="NE 100015268"/>
    <n v="106727"/>
    <s v="Entregas - CN1791263308001"/>
    <m/>
    <s v="QUITO"/>
    <n v="51010101"/>
    <s v="Costo de ventas Quito"/>
    <m/>
    <n v="26.77"/>
    <n v="-26.77"/>
    <x v="1"/>
    <n v="1279717.99"/>
    <s v="-26.77"/>
    <s v="jcortiz"/>
    <n v="0"/>
    <m/>
    <s v="QUITO-PICHINCHA"/>
    <m/>
    <m/>
    <m/>
  </r>
  <r>
    <x v="0"/>
    <x v="0"/>
    <d v="2022-10-07T00:00:00"/>
    <d v="2022-10-07T00:00:00"/>
    <s v="FE001"/>
    <s v="IM 100003299"/>
    <n v="106728"/>
    <s v="Traslados - CN1792079160001"/>
    <m/>
    <m/>
    <n v="101060402"/>
    <s v="Inventario de prod. term. y mercad. en Bodega BULLSYPPLY Coca"/>
    <m/>
    <n v="4844.82"/>
    <n v="-4844.82"/>
    <x v="3"/>
    <n v="1274873.17"/>
    <s v="-4844.82"/>
    <s v="ancueva"/>
    <n v="0"/>
    <m/>
    <m/>
    <m/>
    <m/>
    <m/>
  </r>
  <r>
    <x v="0"/>
    <x v="0"/>
    <d v="2022-10-07T00:00:00"/>
    <d v="2022-10-07T00:00:00"/>
    <s v="Primario"/>
    <s v="EP 6283"/>
    <n v="106730"/>
    <s v="Pedido de entrada de mercancías - PN0990626014001"/>
    <m/>
    <m/>
    <n v="201040506"/>
    <s v="Facturas por Confirmar"/>
    <n v="3358.82"/>
    <m/>
    <n v="3358.82"/>
    <x v="2"/>
    <n v="1278231.99"/>
    <s v="3358.82"/>
    <s v="jcortiz"/>
    <n v="0"/>
    <m/>
    <m/>
    <m/>
    <m/>
    <m/>
  </r>
  <r>
    <x v="0"/>
    <x v="0"/>
    <d v="2022-10-07T00:00:00"/>
    <d v="2022-10-07T00:00:00"/>
    <s v="FE001"/>
    <s v="IM 100003300"/>
    <n v="106731"/>
    <s v="Traslados - CN1792079160001"/>
    <m/>
    <m/>
    <n v="101060402"/>
    <s v="Inventario de prod. term. y mercad. en Bodega BULLSYPPLY Coca"/>
    <m/>
    <n v="3411.35"/>
    <n v="-3411.35"/>
    <x v="3"/>
    <n v="1274820.6399999999"/>
    <s v="-3411.35"/>
    <s v="jcortiz"/>
    <n v="0"/>
    <m/>
    <m/>
    <m/>
    <m/>
    <m/>
  </r>
  <r>
    <x v="0"/>
    <x v="0"/>
    <d v="2022-10-07T00:00:00"/>
    <d v="2022-10-07T00:00:00"/>
    <s v="FE001"/>
    <s v="NE 100015269"/>
    <n v="106732"/>
    <s v="Entregas - CN1791847776001"/>
    <m/>
    <s v="QUITO"/>
    <n v="51010101"/>
    <s v="Costo de ventas Quito"/>
    <m/>
    <n v="599.76"/>
    <n v="-599.76"/>
    <x v="1"/>
    <n v="1274220.8799999999"/>
    <s v="-599.76"/>
    <s v="jcortiz"/>
    <n v="0"/>
    <m/>
    <s v="QUITO-PICHINCHA"/>
    <m/>
    <m/>
    <m/>
  </r>
  <r>
    <x v="0"/>
    <x v="0"/>
    <d v="2022-10-07T00:00:00"/>
    <d v="2022-10-07T00:00:00"/>
    <s v="FE001"/>
    <s v="NE 100015270"/>
    <n v="106733"/>
    <s v="Entregas - CN1791338243001"/>
    <m/>
    <s v="QUITO"/>
    <n v="51010101"/>
    <s v="Costo de ventas Quito"/>
    <m/>
    <n v="1695.91"/>
    <n v="-1695.91"/>
    <x v="1"/>
    <n v="1272524.97"/>
    <s v="-1695.91"/>
    <s v="jcortiz"/>
    <n v="0"/>
    <m/>
    <s v="QUITO-PICHINCHA"/>
    <m/>
    <m/>
    <m/>
  </r>
  <r>
    <x v="0"/>
    <x v="0"/>
    <d v="2022-10-07T00:00:00"/>
    <d v="2022-10-07T00:00:00"/>
    <s v="FE001"/>
    <s v="IM 100003301"/>
    <n v="106741"/>
    <s v="Traslados - CN1792079160001"/>
    <m/>
    <m/>
    <n v="101060402"/>
    <s v="Inventario de prod. term. y mercad. en Bodega BULLSYPPLY Coca"/>
    <m/>
    <n v="157.44"/>
    <n v="-157.44"/>
    <x v="3"/>
    <n v="1272367.53"/>
    <s v="-157.44"/>
    <s v="ancueva"/>
    <n v="0"/>
    <m/>
    <m/>
    <m/>
    <m/>
    <m/>
  </r>
  <r>
    <x v="0"/>
    <x v="0"/>
    <d v="2022-10-07T00:00:00"/>
    <d v="2022-10-07T00:00:00"/>
    <s v="FE001"/>
    <s v="IM 100003302"/>
    <n v="106743"/>
    <s v="Traslados - CN1792079160001"/>
    <m/>
    <m/>
    <n v="101060402"/>
    <s v="Inventario de prod. term. y mercad. en Bodega BULLSYPPLY Coca"/>
    <n v="4235.28"/>
    <m/>
    <n v="4235.28"/>
    <x v="3"/>
    <n v="1276602.81"/>
    <s v="4235.28"/>
    <s v="ancueva"/>
    <n v="0"/>
    <m/>
    <m/>
    <m/>
    <m/>
    <m/>
  </r>
  <r>
    <x v="0"/>
    <x v="0"/>
    <d v="2022-10-11T00:00:00"/>
    <d v="2022-10-11T00:00:00"/>
    <s v="Primario"/>
    <s v="EP 6284"/>
    <n v="106744"/>
    <s v="Pedido de entrada de mercancías - PN1708215940001"/>
    <m/>
    <m/>
    <n v="201040506"/>
    <s v="Facturas por Confirmar"/>
    <n v="136.5"/>
    <m/>
    <n v="136.5"/>
    <x v="2"/>
    <n v="1276739.31"/>
    <s v="136.50"/>
    <s v="jcortiz"/>
    <n v="0"/>
    <m/>
    <m/>
    <m/>
    <m/>
    <m/>
  </r>
  <r>
    <x v="0"/>
    <x v="0"/>
    <d v="2022-10-11T00:00:00"/>
    <d v="2022-10-11T00:00:00"/>
    <s v="FE001"/>
    <s v="NE 100015271"/>
    <n v="106745"/>
    <s v="Entregas - CN1793121225001"/>
    <m/>
    <s v="QUITO"/>
    <n v="51010101"/>
    <s v="Costo de ventas Quito"/>
    <m/>
    <n v="136.5"/>
    <n v="-136.5"/>
    <x v="1"/>
    <n v="1276602.81"/>
    <s v="-136.50"/>
    <s v="jcortiz"/>
    <n v="0"/>
    <m/>
    <s v="QUITO-PICHINCHA"/>
    <m/>
    <m/>
    <m/>
  </r>
  <r>
    <x v="0"/>
    <x v="0"/>
    <d v="2022-10-11T00:00:00"/>
    <d v="2022-10-11T00:00:00"/>
    <s v="FE001"/>
    <s v="NE 100015272"/>
    <n v="106750"/>
    <s v="Entregas - CN0590060933001"/>
    <m/>
    <s v="QUITO"/>
    <n v="51010101"/>
    <s v="Costo de ventas Quito"/>
    <m/>
    <n v="303.95"/>
    <n v="-303.95"/>
    <x v="1"/>
    <n v="1276298.8600000001"/>
    <s v="-303.95"/>
    <s v="jcortiz"/>
    <n v="0"/>
    <m/>
    <s v="QUITO-PICHINCHA"/>
    <m/>
    <m/>
    <m/>
  </r>
  <r>
    <x v="0"/>
    <x v="0"/>
    <d v="2022-10-11T00:00:00"/>
    <d v="2022-10-11T00:00:00"/>
    <s v="FE001"/>
    <s v="NE 100015273"/>
    <n v="106751"/>
    <s v="Entregas - CN1791403916001"/>
    <m/>
    <s v="QUITO"/>
    <n v="51010101"/>
    <s v="Costo de ventas Quito"/>
    <m/>
    <n v="4245.34"/>
    <n v="-4245.34"/>
    <x v="1"/>
    <n v="1272053.52"/>
    <s v="-4245.34"/>
    <s v="jcortiz"/>
    <n v="0"/>
    <m/>
    <s v="QUITO-PICHINCHA"/>
    <m/>
    <m/>
    <m/>
  </r>
  <r>
    <x v="0"/>
    <x v="0"/>
    <d v="2022-10-11T00:00:00"/>
    <d v="2022-10-11T00:00:00"/>
    <s v="Primario"/>
    <s v="DV 227"/>
    <n v="106765"/>
    <s v="Devoluciones - CN1792876745001"/>
    <m/>
    <s v="QUITO"/>
    <n v="51010101"/>
    <s v="Costo de ventas Quito"/>
    <n v="137.47"/>
    <m/>
    <n v="137.47"/>
    <x v="1"/>
    <n v="1272190.99"/>
    <s v="137.47"/>
    <s v="jcortiz"/>
    <n v="0"/>
    <m/>
    <s v="QUITO-PICHINCHA"/>
    <m/>
    <m/>
    <m/>
  </r>
  <r>
    <x v="0"/>
    <x v="0"/>
    <d v="2022-10-11T00:00:00"/>
    <d v="2022-10-11T00:00:00"/>
    <s v="Primario"/>
    <s v="DV 228"/>
    <n v="106770"/>
    <s v="Devoluciones - CN1792876745001"/>
    <m/>
    <s v="QUITO"/>
    <n v="51010101"/>
    <s v="Costo de ventas Quito"/>
    <n v="285.76"/>
    <m/>
    <n v="285.76"/>
    <x v="1"/>
    <n v="1272476.75"/>
    <s v="285.76"/>
    <s v="jcortiz"/>
    <n v="0"/>
    <m/>
    <s v="QUITO-PICHINCHA"/>
    <m/>
    <m/>
    <m/>
  </r>
  <r>
    <x v="0"/>
    <x v="0"/>
    <d v="2022-10-11T00:00:00"/>
    <d v="2022-10-11T00:00:00"/>
    <s v="Primario"/>
    <s v="EP 6285"/>
    <n v="106772"/>
    <s v="Pedido de entrada de mercancías - PN0992697571001"/>
    <m/>
    <m/>
    <n v="201040506"/>
    <s v="Facturas por Confirmar"/>
    <n v="41.16"/>
    <m/>
    <n v="41.16"/>
    <x v="2"/>
    <n v="1272517.9099999999"/>
    <s v="41.16"/>
    <s v="jcortiz"/>
    <n v="0"/>
    <m/>
    <m/>
    <m/>
    <m/>
    <m/>
  </r>
  <r>
    <x v="0"/>
    <x v="0"/>
    <d v="2022-10-11T00:00:00"/>
    <d v="2022-10-11T00:00:00"/>
    <s v="FE001"/>
    <s v="NE 100015275"/>
    <n v="106793"/>
    <s v="Entregas - CN1710196104001"/>
    <m/>
    <s v="QUITO"/>
    <n v="51010101"/>
    <s v="Costo de ventas Quito"/>
    <m/>
    <n v="19.61"/>
    <n v="-19.61"/>
    <x v="1"/>
    <n v="1272498.3"/>
    <s v="-19.61"/>
    <s v="jcortiz"/>
    <n v="0"/>
    <m/>
    <s v="QUITO-PICHINCHA"/>
    <m/>
    <m/>
    <m/>
  </r>
  <r>
    <x v="0"/>
    <x v="0"/>
    <d v="2022-10-11T00:00:00"/>
    <d v="2022-10-11T00:00:00"/>
    <s v="FE001"/>
    <s v="NE 100015276"/>
    <n v="106797"/>
    <s v="Entregas - CN1792087627001"/>
    <m/>
    <s v="QUITO"/>
    <n v="51010101"/>
    <s v="Costo de ventas Quito"/>
    <m/>
    <n v="7.67"/>
    <n v="-7.67"/>
    <x v="1"/>
    <n v="1272490.6299999999"/>
    <s v="-7.67"/>
    <s v="jcortiz"/>
    <n v="0"/>
    <m/>
    <s v="QUITO-PICHINCHA"/>
    <m/>
    <m/>
    <m/>
  </r>
  <r>
    <x v="0"/>
    <x v="0"/>
    <d v="2022-10-11T00:00:00"/>
    <d v="2022-10-11T00:00:00"/>
    <s v="Primario"/>
    <s v="EP 6286"/>
    <n v="106806"/>
    <s v="Pedido de entrada de mercancías - PN1791834399001"/>
    <m/>
    <m/>
    <n v="201040506"/>
    <s v="Facturas por Confirmar"/>
    <n v="1786.31"/>
    <m/>
    <n v="1786.31"/>
    <x v="2"/>
    <n v="1274276.94"/>
    <s v="1786.31"/>
    <s v="jcortiz"/>
    <n v="0"/>
    <m/>
    <m/>
    <m/>
    <m/>
    <m/>
  </r>
  <r>
    <x v="0"/>
    <x v="0"/>
    <d v="2022-10-11T00:00:00"/>
    <d v="2022-10-11T00:00:00"/>
    <s v="FE001"/>
    <s v="NE 100015277"/>
    <n v="106807"/>
    <s v="Entregas - CN1791263308001"/>
    <m/>
    <s v="QUITO"/>
    <n v="51010101"/>
    <s v="Costo de ventas Quito"/>
    <m/>
    <n v="1857.11"/>
    <n v="-1857.11"/>
    <x v="1"/>
    <n v="1272419.83"/>
    <s v="-1857.11"/>
    <s v="jcortiz"/>
    <n v="0"/>
    <m/>
    <s v="QUITO-PICHINCHA"/>
    <m/>
    <m/>
    <m/>
  </r>
  <r>
    <x v="0"/>
    <x v="0"/>
    <d v="2022-10-11T00:00:00"/>
    <d v="2022-10-11T00:00:00"/>
    <s v="Primario"/>
    <s v="EP 6287"/>
    <n v="106817"/>
    <s v="Pedido de entrada de mercancías - PN1721795670001"/>
    <m/>
    <m/>
    <n v="201040506"/>
    <s v="Facturas por Confirmar"/>
    <n v="1433.2"/>
    <m/>
    <n v="1433.2"/>
    <x v="2"/>
    <n v="1273853.03"/>
    <s v="1433.20"/>
    <s v="jcortiz"/>
    <n v="0"/>
    <m/>
    <m/>
    <m/>
    <m/>
    <m/>
  </r>
  <r>
    <x v="0"/>
    <x v="0"/>
    <d v="2022-10-11T00:00:00"/>
    <d v="2022-10-11T00:00:00"/>
    <s v="Primario"/>
    <s v="EM 1706"/>
    <n v="106825"/>
    <s v="Entrada de mercancías"/>
    <m/>
    <s v="QUITO"/>
    <n v="401030105"/>
    <s v="Otros Ingresos"/>
    <n v="7.92"/>
    <m/>
    <n v="7.92"/>
    <x v="5"/>
    <n v="1273860.95"/>
    <s v="7.92"/>
    <s v="jcortiz"/>
    <n v="0"/>
    <m/>
    <s v="QUITO-PICHINCHA"/>
    <m/>
    <m/>
    <m/>
  </r>
  <r>
    <x v="0"/>
    <x v="0"/>
    <d v="2022-10-11T00:00:00"/>
    <d v="2022-10-11T00:00:00"/>
    <s v="FE001"/>
    <s v="NE 100015279"/>
    <n v="106826"/>
    <s v="Entregas - CN0400986691001"/>
    <m/>
    <s v="QUITO"/>
    <n v="51010101"/>
    <s v="Costo de ventas Quito"/>
    <m/>
    <n v="7.92"/>
    <n v="-7.92"/>
    <x v="1"/>
    <n v="1273853.03"/>
    <s v="-7.92"/>
    <s v="jcortiz"/>
    <n v="0"/>
    <m/>
    <s v="QUITO-PICHINCHA"/>
    <m/>
    <m/>
    <m/>
  </r>
  <r>
    <x v="0"/>
    <x v="0"/>
    <d v="2022-10-11T00:00:00"/>
    <d v="2022-10-11T00:00:00"/>
    <s v="FE001"/>
    <s v="NE 100015282"/>
    <n v="106853"/>
    <s v="Entrega - Cancelación - CN0590060933001"/>
    <m/>
    <s v="QUITO"/>
    <n v="51010101"/>
    <s v="Costo de ventas Quito"/>
    <n v="303.95"/>
    <m/>
    <n v="303.95"/>
    <x v="1"/>
    <n v="1274156.98"/>
    <s v="303.95"/>
    <s v="jcortiz"/>
    <n v="0"/>
    <m/>
    <s v="QUITO-PICHINCHA"/>
    <m/>
    <m/>
    <m/>
  </r>
  <r>
    <x v="0"/>
    <x v="0"/>
    <d v="2022-10-12T00:00:00"/>
    <d v="2022-10-12T00:00:00"/>
    <s v="FE001"/>
    <s v="NE 100015281"/>
    <n v="106844"/>
    <s v="Entregas - CN1710196104001"/>
    <m/>
    <s v="QUITO"/>
    <n v="51010101"/>
    <s v="Costo de ventas Quito"/>
    <m/>
    <n v="342.62"/>
    <n v="-342.62"/>
    <x v="1"/>
    <n v="1273814.3600000001"/>
    <s v="-342.62"/>
    <s v="jcortiz"/>
    <n v="0"/>
    <m/>
    <s v="QUITO-PICHINCHA"/>
    <m/>
    <m/>
    <m/>
  </r>
  <r>
    <x v="0"/>
    <x v="0"/>
    <d v="2022-10-12T00:00:00"/>
    <d v="2022-10-12T00:00:00"/>
    <s v="FE001"/>
    <s v="NE 100015283"/>
    <n v="106854"/>
    <s v="Entregas - CN1802461440001"/>
    <m/>
    <s v="QUITO"/>
    <n v="51010101"/>
    <s v="Costo de ventas Quito"/>
    <m/>
    <n v="17.38"/>
    <n v="-17.38"/>
    <x v="1"/>
    <n v="1273796.98"/>
    <s v="-17.38"/>
    <s v="jcortiz"/>
    <n v="0"/>
    <m/>
    <s v="QUITO-PICHINCHA"/>
    <m/>
    <m/>
    <m/>
  </r>
  <r>
    <x v="0"/>
    <x v="0"/>
    <d v="2022-10-12T00:00:00"/>
    <d v="2022-10-12T00:00:00"/>
    <s v="FE001"/>
    <s v="IM 100003304"/>
    <n v="106855"/>
    <s v="Traslados - CN1792079160001"/>
    <m/>
    <m/>
    <n v="101060408"/>
    <s v="Inventario de prod. term. y mercad. en Bodega importaciones"/>
    <n v="3136.94"/>
    <m/>
    <n v="3136.94"/>
    <x v="3"/>
    <n v="1276933.92"/>
    <s v="3136.94"/>
    <s v="jcortiz"/>
    <n v="0"/>
    <m/>
    <m/>
    <m/>
    <m/>
    <m/>
  </r>
  <r>
    <x v="0"/>
    <x v="0"/>
    <d v="2022-10-12T00:00:00"/>
    <d v="2022-10-12T00:00:00"/>
    <s v="FE001"/>
    <s v="IM 100003305"/>
    <n v="106856"/>
    <s v="Traslados - CN1792079160001"/>
    <m/>
    <m/>
    <n v="101060408"/>
    <s v="Inventario de prod. term. y mercad. en Bodega importaciones"/>
    <n v="12321.52"/>
    <m/>
    <n v="12321.52"/>
    <x v="3"/>
    <n v="1289255.44"/>
    <s v="12321.52"/>
    <s v="jcortiz"/>
    <n v="0"/>
    <m/>
    <m/>
    <m/>
    <m/>
    <m/>
  </r>
  <r>
    <x v="0"/>
    <x v="0"/>
    <d v="2022-10-12T00:00:00"/>
    <d v="2022-10-12T00:00:00"/>
    <s v="FE001"/>
    <s v="NE 100015284"/>
    <n v="106857"/>
    <s v="Entregas - CN1791263308001"/>
    <m/>
    <s v="QUITO"/>
    <n v="51010101"/>
    <s v="Costo de ventas Quito"/>
    <m/>
    <n v="12321.52"/>
    <n v="-12321.52"/>
    <x v="1"/>
    <n v="1276933.92"/>
    <s v="-12321.52"/>
    <s v="jcortiz"/>
    <n v="0"/>
    <m/>
    <s v="QUITO-PICHINCHA"/>
    <m/>
    <m/>
    <m/>
  </r>
  <r>
    <x v="0"/>
    <x v="0"/>
    <d v="2022-10-12T00:00:00"/>
    <d v="2022-10-12T00:00:00"/>
    <s v="Primario"/>
    <s v="SM 559"/>
    <n v="106875"/>
    <s v="AJUSTE DE IMPORTACION 394"/>
    <m/>
    <s v="QUITO"/>
    <n v="51010101"/>
    <s v="Costo de ventas Quito"/>
    <m/>
    <n v="277.99"/>
    <n v="-277.99"/>
    <x v="1"/>
    <n v="1276655.93"/>
    <s v="-277.99"/>
    <s v="atayupa"/>
    <n v="0"/>
    <m/>
    <s v="QUITO-PICHINCHA"/>
    <m/>
    <m/>
    <m/>
  </r>
  <r>
    <x v="0"/>
    <x v="0"/>
    <d v="2022-10-12T00:00:00"/>
    <d v="2022-10-12T00:00:00"/>
    <s v="FE001"/>
    <s v="NE 100015285"/>
    <n v="106876"/>
    <s v="Entregas - CN1791263308001"/>
    <m/>
    <s v="QUITO"/>
    <n v="51010101"/>
    <s v="Costo de ventas Quito"/>
    <m/>
    <n v="249.18"/>
    <n v="-249.18"/>
    <x v="1"/>
    <n v="1276406.75"/>
    <s v="-249.18"/>
    <s v="jcortiz"/>
    <n v="0"/>
    <m/>
    <s v="QUITO-PICHINCHA"/>
    <m/>
    <m/>
    <m/>
  </r>
  <r>
    <x v="0"/>
    <x v="0"/>
    <d v="2022-10-12T00:00:00"/>
    <d v="2022-10-12T00:00:00"/>
    <s v="FE001"/>
    <s v="NE 100015286"/>
    <n v="106881"/>
    <s v="Entregas - CN1791847776001"/>
    <m/>
    <s v="QUITO"/>
    <n v="51010101"/>
    <s v="Costo de ventas Quito"/>
    <m/>
    <n v="1433.2"/>
    <n v="-1433.2"/>
    <x v="1"/>
    <n v="1274973.55"/>
    <s v="-1433.20"/>
    <s v="jcortiz"/>
    <n v="0"/>
    <m/>
    <s v="QUITO-PICHINCHA"/>
    <m/>
    <m/>
    <m/>
  </r>
  <r>
    <x v="0"/>
    <x v="0"/>
    <d v="2022-10-12T00:00:00"/>
    <d v="2022-10-12T00:00:00"/>
    <s v="FE001"/>
    <s v="IM 100003306"/>
    <n v="106899"/>
    <s v="Traslados - CN1792079160001"/>
    <m/>
    <m/>
    <n v="101060402"/>
    <s v="Inventario de prod. term. y mercad. en Bodega BULLSYPPLY Coca"/>
    <n v="4487.71"/>
    <m/>
    <n v="4487.71"/>
    <x v="3"/>
    <n v="1279461.26"/>
    <s v="4487.71"/>
    <s v="ancueva"/>
    <n v="0"/>
    <m/>
    <m/>
    <m/>
    <m/>
    <m/>
  </r>
  <r>
    <x v="0"/>
    <x v="0"/>
    <d v="2022-10-12T00:00:00"/>
    <d v="2022-10-12T00:00:00"/>
    <s v="FE001"/>
    <s v="IM 100003306"/>
    <n v="106899"/>
    <s v="Traslados - CN1792079160001"/>
    <m/>
    <m/>
    <n v="101060402"/>
    <s v="Inventario de prod. term. y mercad. en Bodega BULLSYPPLY Coca"/>
    <m/>
    <n v="486.92"/>
    <n v="-486.92"/>
    <x v="3"/>
    <n v="1278974.3400000001"/>
    <s v="-486.92"/>
    <s v="ancueva"/>
    <n v="0"/>
    <m/>
    <m/>
    <m/>
    <m/>
    <m/>
  </r>
  <r>
    <x v="0"/>
    <x v="0"/>
    <d v="2022-10-12T00:00:00"/>
    <d v="2022-10-12T00:00:00"/>
    <s v="FE001"/>
    <s v="NE 100015290"/>
    <n v="106902"/>
    <s v="Entregas - CN1713037586001"/>
    <m/>
    <s v="QUITO"/>
    <n v="51010101"/>
    <s v="Costo de ventas Quito"/>
    <m/>
    <n v="33.25"/>
    <n v="-33.25"/>
    <x v="1"/>
    <n v="1278941.0900000001"/>
    <s v="-33.25"/>
    <s v="jcortiz"/>
    <n v="0"/>
    <m/>
    <s v="QUITO-PICHINCHA"/>
    <m/>
    <m/>
    <m/>
  </r>
  <r>
    <x v="0"/>
    <x v="0"/>
    <d v="2022-10-13T00:00:00"/>
    <d v="2022-10-13T00:00:00"/>
    <s v="FE001"/>
    <s v="NE 100015293"/>
    <n v="106905"/>
    <s v="Entregas - CN1714787163001"/>
    <m/>
    <s v="QUITO"/>
    <n v="51010101"/>
    <s v="Costo de ventas Quito"/>
    <m/>
    <n v="24.49"/>
    <n v="-24.49"/>
    <x v="1"/>
    <n v="1278916.6000000001"/>
    <s v="-24.49"/>
    <s v="jcortiz"/>
    <n v="0"/>
    <m/>
    <s v="QUITO-PICHINCHA"/>
    <m/>
    <m/>
    <m/>
  </r>
  <r>
    <x v="0"/>
    <x v="0"/>
    <d v="2022-10-13T00:00:00"/>
    <d v="2022-10-13T00:00:00"/>
    <s v="Primario"/>
    <s v="DV 229"/>
    <n v="106919"/>
    <s v="Devoluciones - CN1792464161001"/>
    <m/>
    <s v="QUITO"/>
    <n v="51010102"/>
    <s v="Costo de Ventas Coca"/>
    <n v="73.099999999999994"/>
    <m/>
    <n v="73.099999999999994"/>
    <x v="1"/>
    <n v="1278989.7"/>
    <s v="73.10"/>
    <s v="ancueva"/>
    <n v="0"/>
    <m/>
    <s v="QUITO-PICHINCHA"/>
    <m/>
    <m/>
    <m/>
  </r>
  <r>
    <x v="0"/>
    <x v="0"/>
    <d v="2022-10-13T00:00:00"/>
    <d v="2022-10-13T00:00:00"/>
    <s v="Primario"/>
    <s v="EP 6291"/>
    <n v="106921"/>
    <s v="Pedido de entrada de mercancías - PN1791834399001"/>
    <m/>
    <m/>
    <n v="201040506"/>
    <s v="Facturas por Confirmar"/>
    <n v="520.9"/>
    <m/>
    <n v="520.9"/>
    <x v="2"/>
    <n v="1279510.6000000001"/>
    <s v="520.90"/>
    <s v="jcortiz"/>
    <n v="0"/>
    <m/>
    <m/>
    <m/>
    <m/>
    <m/>
  </r>
  <r>
    <x v="0"/>
    <x v="0"/>
    <d v="2022-10-13T00:00:00"/>
    <d v="2022-10-13T00:00:00"/>
    <s v="FE001"/>
    <s v="NE 100015294"/>
    <n v="106923"/>
    <s v="Entregas - CN1716004005001"/>
    <m/>
    <s v="QUITO"/>
    <n v="51010101"/>
    <s v="Costo de ventas Quito"/>
    <m/>
    <n v="654.98"/>
    <n v="-654.98"/>
    <x v="1"/>
    <n v="1278855.6200000001"/>
    <s v="-654.98"/>
    <s v="jcortiz"/>
    <n v="0"/>
    <m/>
    <s v="QUITO-PICHINCHA"/>
    <m/>
    <m/>
    <m/>
  </r>
  <r>
    <x v="0"/>
    <x v="0"/>
    <d v="2022-10-13T00:00:00"/>
    <d v="2022-10-13T00:00:00"/>
    <s v="FE001"/>
    <s v="NE 100015298"/>
    <n v="106938"/>
    <s v="Entrega - Cancelación - CN1716004005001"/>
    <m/>
    <s v="QUITO"/>
    <n v="51010101"/>
    <s v="Costo de ventas Quito"/>
    <n v="654.98"/>
    <m/>
    <n v="654.98"/>
    <x v="1"/>
    <n v="1279510.6000000001"/>
    <s v="654.98"/>
    <s v="jcortiz"/>
    <n v="0"/>
    <m/>
    <s v="QUITO-PICHINCHA"/>
    <m/>
    <m/>
    <m/>
  </r>
  <r>
    <x v="0"/>
    <x v="0"/>
    <d v="2022-10-13T00:00:00"/>
    <d v="2022-10-13T00:00:00"/>
    <s v="Anula"/>
    <s v="EP 200433"/>
    <n v="106939"/>
    <s v="Pedido de entrada de mercancías - Cancelación - PN"/>
    <m/>
    <m/>
    <n v="201040506"/>
    <s v="Facturas por Confirmar"/>
    <m/>
    <n v="520.9"/>
    <n v="-520.9"/>
    <x v="2"/>
    <n v="1278989.7"/>
    <s v="-520.90"/>
    <s v="jcortiz"/>
    <n v="0"/>
    <m/>
    <m/>
    <m/>
    <m/>
    <m/>
  </r>
  <r>
    <x v="0"/>
    <x v="0"/>
    <d v="2022-10-13T00:00:00"/>
    <d v="2022-10-13T00:00:00"/>
    <s v="FE001"/>
    <s v="NE 100015300"/>
    <n v="106944"/>
    <s v="Entregas - CN1714787163001"/>
    <m/>
    <s v="QUITO"/>
    <n v="51010101"/>
    <s v="Costo de ventas Quito"/>
    <m/>
    <n v="22.35"/>
    <n v="-22.35"/>
    <x v="1"/>
    <n v="1278967.3500000001"/>
    <s v="-22.35"/>
    <s v="jcortiz"/>
    <n v="0"/>
    <m/>
    <s v="QUITO-PICHINCHA"/>
    <m/>
    <m/>
    <m/>
  </r>
  <r>
    <x v="0"/>
    <x v="0"/>
    <d v="2022-10-13T00:00:00"/>
    <d v="2022-10-13T00:00:00"/>
    <s v="FE001"/>
    <s v="NE 100015301"/>
    <n v="106946"/>
    <s v="Entregas - CN1002297842001"/>
    <m/>
    <s v="QUITO"/>
    <n v="51010101"/>
    <s v="Costo de ventas Quito"/>
    <m/>
    <n v="79.44"/>
    <n v="-79.44"/>
    <x v="1"/>
    <n v="1278887.9099999999"/>
    <s v="-79.44"/>
    <s v="jcortiz"/>
    <n v="0"/>
    <m/>
    <s v="QUITO-PICHINCHA"/>
    <m/>
    <m/>
    <m/>
  </r>
  <r>
    <x v="0"/>
    <x v="0"/>
    <d v="2022-10-13T00:00:00"/>
    <d v="2022-10-13T00:00:00"/>
    <s v="Primario"/>
    <s v="EP 6292"/>
    <n v="106947"/>
    <s v="Pedido de entrada de mercancías - PN1791834399001"/>
    <m/>
    <m/>
    <n v="201040506"/>
    <s v="Facturas por Confirmar"/>
    <n v="319.10000000000002"/>
    <m/>
    <n v="319.10000000000002"/>
    <x v="2"/>
    <n v="1279207.01"/>
    <s v="319.10"/>
    <s v="jcortiz"/>
    <n v="0"/>
    <m/>
    <m/>
    <m/>
    <m/>
    <m/>
  </r>
  <r>
    <x v="0"/>
    <x v="0"/>
    <d v="2022-10-13T00:00:00"/>
    <d v="2022-10-13T00:00:00"/>
    <s v="FE001"/>
    <s v="NE 100015302"/>
    <n v="106948"/>
    <s v="Entregas - CN1716004005001"/>
    <m/>
    <s v="QUITO"/>
    <n v="51010101"/>
    <s v="Costo de ventas Quito"/>
    <m/>
    <n v="453.18"/>
    <n v="-453.18"/>
    <x v="1"/>
    <n v="1278753.83"/>
    <s v="-453.18"/>
    <s v="jcortiz"/>
    <n v="0"/>
    <m/>
    <s v="QUITO-PICHINCHA"/>
    <m/>
    <m/>
    <m/>
  </r>
  <r>
    <x v="0"/>
    <x v="0"/>
    <d v="2022-10-13T00:00:00"/>
    <d v="2022-10-13T00:00:00"/>
    <s v="FE001"/>
    <s v="IM 100003307"/>
    <n v="106951"/>
    <s v="Traslados - CN1792079160001"/>
    <m/>
    <m/>
    <n v="101060408"/>
    <s v="Inventario de prod. term. y mercad. en Bodega importaciones"/>
    <n v="100809.27"/>
    <m/>
    <n v="100809.27"/>
    <x v="3"/>
    <n v="1379563.1"/>
    <s v="100809.27"/>
    <s v="jcortiz"/>
    <n v="0"/>
    <m/>
    <m/>
    <m/>
    <m/>
    <m/>
  </r>
  <r>
    <x v="0"/>
    <x v="0"/>
    <d v="2022-10-13T00:00:00"/>
    <d v="2022-10-13T00:00:00"/>
    <s v="FE001"/>
    <s v="NE 100015304"/>
    <n v="106952"/>
    <s v="Entregas - CN1791847776001"/>
    <m/>
    <s v="QUITO"/>
    <n v="51010101"/>
    <s v="Costo de ventas Quito"/>
    <m/>
    <n v="89.49"/>
    <n v="-89.49"/>
    <x v="1"/>
    <n v="1379473.61"/>
    <s v="-89.49"/>
    <s v="jcortiz"/>
    <n v="0"/>
    <m/>
    <s v="QUITO-PICHINCHA"/>
    <m/>
    <m/>
    <m/>
  </r>
  <r>
    <x v="0"/>
    <x v="0"/>
    <d v="2022-10-13T00:00:00"/>
    <d v="2022-10-13T00:00:00"/>
    <s v="FE001"/>
    <s v="IM 100003308"/>
    <n v="106953"/>
    <s v="Traslados - CN1792079160001"/>
    <m/>
    <m/>
    <n v="101060402"/>
    <s v="Inventario de prod. term. y mercad. en Bodega BULLSYPPLY Coca"/>
    <m/>
    <n v="139240"/>
    <n v="-139240"/>
    <x v="3"/>
    <n v="1240233.6100000001"/>
    <s v="-139240.00"/>
    <s v="jcortiz"/>
    <n v="0"/>
    <m/>
    <m/>
    <m/>
    <m/>
    <m/>
  </r>
  <r>
    <x v="0"/>
    <x v="0"/>
    <d v="2022-10-13T00:00:00"/>
    <d v="2022-10-13T00:00:00"/>
    <s v="FE001"/>
    <s v="IM 100003309"/>
    <n v="106956"/>
    <s v="Traslados -"/>
    <m/>
    <m/>
    <n v="101060402"/>
    <s v="Inventario de prod. term. y mercad. en Bodega BULLSYPPLY Coca"/>
    <n v="139233.51"/>
    <m/>
    <n v="139233.51"/>
    <x v="3"/>
    <n v="1379467.12"/>
    <s v="139233.51"/>
    <s v="jcortiz"/>
    <n v="0"/>
    <m/>
    <m/>
    <m/>
    <m/>
    <m/>
  </r>
  <r>
    <x v="0"/>
    <x v="0"/>
    <d v="2022-10-13T00:00:00"/>
    <d v="2022-10-13T00:00:00"/>
    <s v="FE001"/>
    <s v="IM 100003310"/>
    <n v="106957"/>
    <s v="Traslados - CN1792079160001"/>
    <m/>
    <m/>
    <n v="101060402"/>
    <s v="Inventario de prod. term. y mercad. en Bodega BULLSYPPLY Coca"/>
    <n v="251.68"/>
    <m/>
    <n v="251.68"/>
    <x v="3"/>
    <n v="1379718.8"/>
    <s v="251.68"/>
    <s v="jcortiz"/>
    <n v="0"/>
    <m/>
    <m/>
    <m/>
    <m/>
    <m/>
  </r>
  <r>
    <x v="0"/>
    <x v="0"/>
    <d v="2022-10-13T00:00:00"/>
    <d v="2022-10-13T00:00:00"/>
    <s v="FE001"/>
    <s v="IM 100003311"/>
    <n v="106958"/>
    <s v="Traslados -"/>
    <m/>
    <m/>
    <n v="101060402"/>
    <s v="Inventario de prod. term. y mercad. en Bodega BULLSYPPLY Coca"/>
    <m/>
    <n v="251.68"/>
    <n v="-251.68"/>
    <x v="3"/>
    <n v="1379467.12"/>
    <s v="-251.68"/>
    <s v="jcortiz"/>
    <n v="0"/>
    <m/>
    <m/>
    <m/>
    <m/>
    <m/>
  </r>
  <r>
    <x v="0"/>
    <x v="0"/>
    <d v="2022-10-13T00:00:00"/>
    <d v="2022-10-13T00:00:00"/>
    <s v="Primario"/>
    <s v="EP 6293"/>
    <n v="106963"/>
    <s v="Pedido de entrada de mercancías - PN1791834399001"/>
    <m/>
    <m/>
    <n v="201040506"/>
    <s v="Facturas por Confirmar"/>
    <n v="774.54"/>
    <m/>
    <n v="774.54"/>
    <x v="2"/>
    <n v="1380241.66"/>
    <s v="774.54"/>
    <s v="jcortiz"/>
    <n v="0"/>
    <m/>
    <m/>
    <m/>
    <m/>
    <m/>
  </r>
  <r>
    <x v="0"/>
    <x v="0"/>
    <d v="2022-10-13T00:00:00"/>
    <d v="2022-10-13T00:00:00"/>
    <s v="FE001"/>
    <s v="IM 100003312"/>
    <n v="106964"/>
    <s v="Traslados - CN1792079160001"/>
    <m/>
    <m/>
    <n v="101060402"/>
    <s v="Inventario de prod. term. y mercad. en Bodega BULLSYPPLY Coca"/>
    <m/>
    <n v="774.54"/>
    <n v="-774.54"/>
    <x v="3"/>
    <n v="1379467.12"/>
    <s v="-774.54"/>
    <s v="jcortiz"/>
    <n v="0"/>
    <m/>
    <m/>
    <m/>
    <m/>
    <m/>
  </r>
  <r>
    <x v="0"/>
    <x v="0"/>
    <d v="2022-10-13T00:00:00"/>
    <d v="2022-10-13T00:00:00"/>
    <s v="FE001"/>
    <s v="NE 100015306"/>
    <n v="106974"/>
    <s v="Entregas - CN1716047186001"/>
    <m/>
    <s v="QUITO"/>
    <n v="51010101"/>
    <s v="Costo de ventas Quito"/>
    <m/>
    <n v="16.420000000000002"/>
    <n v="-16.420000000000002"/>
    <x v="1"/>
    <n v="1379450.7"/>
    <s v="-16.42"/>
    <s v="jcortiz"/>
    <n v="0"/>
    <m/>
    <s v="QUITO-PICHINCHA"/>
    <m/>
    <m/>
    <m/>
  </r>
  <r>
    <x v="0"/>
    <x v="0"/>
    <d v="2022-10-13T00:00:00"/>
    <d v="2022-10-13T00:00:00"/>
    <s v="FE001"/>
    <s v="IM 100003313"/>
    <n v="106979"/>
    <s v="Traslados - CN1792079160001"/>
    <m/>
    <m/>
    <n v="101060402"/>
    <s v="Inventario de prod. term. y mercad. en Bodega BULLSYPPLY Coca"/>
    <n v="73.099999999999994"/>
    <m/>
    <n v="73.099999999999994"/>
    <x v="3"/>
    <n v="1379523.8"/>
    <s v="73.10"/>
    <s v="ancueva"/>
    <n v="0"/>
    <m/>
    <m/>
    <m/>
    <m/>
    <m/>
  </r>
  <r>
    <x v="0"/>
    <x v="0"/>
    <d v="2022-10-13T00:00:00"/>
    <d v="2022-10-13T00:00:00"/>
    <s v="FE001"/>
    <s v="IM 100003314"/>
    <n v="106985"/>
    <s v="Traslados - CN1792079160001"/>
    <m/>
    <m/>
    <n v="101060408"/>
    <s v="Inventario de prod. term. y mercad. en Bodega importaciones"/>
    <m/>
    <n v="1452.63"/>
    <n v="-1452.63"/>
    <x v="3"/>
    <n v="1378071.17"/>
    <s v="-1452.63"/>
    <s v="jcortiz"/>
    <n v="0"/>
    <m/>
    <m/>
    <m/>
    <m/>
    <m/>
  </r>
  <r>
    <x v="0"/>
    <x v="0"/>
    <d v="2022-10-13T00:00:00"/>
    <d v="2022-10-13T00:00:00"/>
    <s v="FE001"/>
    <s v="NE 100015307"/>
    <n v="106986"/>
    <s v="Entregas - CN0590060933001"/>
    <m/>
    <s v="QUITO"/>
    <n v="51010101"/>
    <s v="Costo de ventas Quito"/>
    <m/>
    <n v="303.95"/>
    <n v="-303.95"/>
    <x v="1"/>
    <n v="1377767.22"/>
    <s v="-303.95"/>
    <s v="jcortiz"/>
    <n v="0"/>
    <m/>
    <s v="QUITO-PICHINCHA"/>
    <m/>
    <m/>
    <m/>
  </r>
  <r>
    <x v="0"/>
    <x v="0"/>
    <d v="2022-10-13T00:00:00"/>
    <d v="2022-10-13T00:00:00"/>
    <s v="FE001"/>
    <s v="NE 100015309"/>
    <n v="106990"/>
    <s v="Entregas - CN1791263308001"/>
    <m/>
    <s v="QUITO"/>
    <n v="51010101"/>
    <s v="Costo de ventas Quito"/>
    <m/>
    <n v="29.75"/>
    <n v="-29.75"/>
    <x v="1"/>
    <n v="1377737.47"/>
    <s v="-29.75"/>
    <s v="jcortiz"/>
    <n v="0"/>
    <m/>
    <s v="QUITO-PICHINCHA"/>
    <m/>
    <m/>
    <m/>
  </r>
  <r>
    <x v="0"/>
    <x v="0"/>
    <d v="2022-10-13T00:00:00"/>
    <d v="2022-10-13T00:00:00"/>
    <s v="FE001"/>
    <s v="NE 100015310"/>
    <n v="106991"/>
    <s v="Entregas - CN1791263308001"/>
    <m/>
    <s v="QUITO"/>
    <n v="51010101"/>
    <s v="Costo de ventas Quito"/>
    <m/>
    <n v="185.58"/>
    <n v="-185.58"/>
    <x v="1"/>
    <n v="1377551.89"/>
    <s v="-185.58"/>
    <s v="jcortiz"/>
    <n v="0"/>
    <m/>
    <s v="QUITO-PICHINCHA"/>
    <m/>
    <m/>
    <m/>
  </r>
  <r>
    <x v="0"/>
    <x v="0"/>
    <d v="2022-10-13T00:00:00"/>
    <d v="2022-10-13T00:00:00"/>
    <s v="FE001"/>
    <s v="NE 100015311"/>
    <n v="106992"/>
    <s v="Entregas - CN1791263308001"/>
    <m/>
    <s v="QUITO"/>
    <n v="51010101"/>
    <s v="Costo de ventas Quito"/>
    <m/>
    <n v="658.35"/>
    <n v="-658.35"/>
    <x v="1"/>
    <n v="1376893.54"/>
    <s v="-658.35"/>
    <s v="jcortiz"/>
    <n v="0"/>
    <m/>
    <s v="QUITO-PICHINCHA"/>
    <m/>
    <m/>
    <m/>
  </r>
  <r>
    <x v="0"/>
    <x v="0"/>
    <d v="2022-10-13T00:00:00"/>
    <d v="2022-10-13T00:00:00"/>
    <s v="FE001"/>
    <s v="NE 100015312"/>
    <n v="107000"/>
    <s v="Entregas - CN1790342867001"/>
    <m/>
    <s v="QUITO"/>
    <n v="51010101"/>
    <s v="Costo de ventas Quito"/>
    <m/>
    <n v="53.77"/>
    <n v="-53.77"/>
    <x v="1"/>
    <n v="1376839.77"/>
    <s v="-53.77"/>
    <s v="jcortiz"/>
    <n v="0"/>
    <m/>
    <s v="QUITO-PICHINCHA"/>
    <m/>
    <m/>
    <m/>
  </r>
  <r>
    <x v="0"/>
    <x v="0"/>
    <d v="2022-10-13T00:00:00"/>
    <d v="2022-10-13T00:00:00"/>
    <s v="FE001"/>
    <s v="NE 100015313"/>
    <n v="107002"/>
    <s v="Entregas - CN1792324688001"/>
    <m/>
    <s v="QUITO"/>
    <n v="51010101"/>
    <s v="Costo de ventas Quito"/>
    <m/>
    <n v="31.43"/>
    <n v="-31.43"/>
    <x v="1"/>
    <n v="1376808.34"/>
    <s v="-31.43"/>
    <s v="jcortiz"/>
    <n v="0"/>
    <m/>
    <s v="QUITO-PICHINCHA"/>
    <m/>
    <m/>
    <m/>
  </r>
  <r>
    <x v="0"/>
    <x v="0"/>
    <d v="2022-10-13T00:00:00"/>
    <d v="2022-10-13T00:00:00"/>
    <s v="Primario"/>
    <s v="EP 6295"/>
    <n v="107008"/>
    <s v="Pedido de entrada de mercancías - PN1708215940001"/>
    <m/>
    <m/>
    <n v="201040506"/>
    <s v="Facturas por Confirmar"/>
    <n v="264.25"/>
    <m/>
    <n v="264.25"/>
    <x v="2"/>
    <n v="1377072.59"/>
    <s v="264.25"/>
    <s v="jcortiz"/>
    <n v="0"/>
    <m/>
    <m/>
    <m/>
    <m/>
    <m/>
  </r>
  <r>
    <x v="0"/>
    <x v="0"/>
    <d v="2022-10-13T00:00:00"/>
    <d v="2022-10-13T00:00:00"/>
    <s v="FE001"/>
    <s v="IM 100003315"/>
    <n v="107009"/>
    <s v="Traslados - CN1792079160001"/>
    <m/>
    <m/>
    <n v="101060402"/>
    <s v="Inventario de prod. term. y mercad. en Bodega BULLSYPPLY Coca"/>
    <m/>
    <n v="264.25"/>
    <n v="-264.25"/>
    <x v="3"/>
    <n v="1376808.34"/>
    <s v="-264.25"/>
    <s v="jcortiz"/>
    <n v="0"/>
    <m/>
    <m/>
    <m/>
    <m/>
    <m/>
  </r>
  <r>
    <x v="0"/>
    <x v="0"/>
    <d v="2022-10-14T00:00:00"/>
    <d v="2022-10-14T00:00:00"/>
    <s v="Primario"/>
    <s v="EP 6296"/>
    <n v="107011"/>
    <s v="Pedido de entrada de mercancías - PN1791834399001"/>
    <m/>
    <m/>
    <n v="201040506"/>
    <s v="Facturas por Confirmar"/>
    <n v="389.76"/>
    <m/>
    <n v="389.76"/>
    <x v="2"/>
    <n v="1377198.1"/>
    <s v="389.76"/>
    <s v="jcortiz"/>
    <n v="0"/>
    <m/>
    <m/>
    <m/>
    <m/>
    <m/>
  </r>
  <r>
    <x v="0"/>
    <x v="0"/>
    <d v="2022-10-14T00:00:00"/>
    <d v="2022-10-14T00:00:00"/>
    <s v="Primario"/>
    <s v="EP 6297"/>
    <n v="107012"/>
    <s v="Pedido de entrada de mercancías - PN1792055415001"/>
    <m/>
    <m/>
    <n v="201040506"/>
    <s v="Facturas por Confirmar"/>
    <n v="2222.4"/>
    <m/>
    <n v="2222.4"/>
    <x v="2"/>
    <n v="1379420.5"/>
    <s v="2222.40"/>
    <s v="jcortiz"/>
    <n v="0"/>
    <m/>
    <m/>
    <m/>
    <m/>
    <m/>
  </r>
  <r>
    <x v="0"/>
    <x v="0"/>
    <d v="2022-10-14T00:00:00"/>
    <d v="2022-10-14T00:00:00"/>
    <s v="FE001"/>
    <s v="IM 100003316"/>
    <n v="107013"/>
    <s v="Traslados - CN1792079160001"/>
    <m/>
    <m/>
    <n v="101060402"/>
    <s v="Inventario de prod. term. y mercad. en Bodega BULLSYPPLY Coca"/>
    <n v="399.56"/>
    <m/>
    <n v="399.56"/>
    <x v="3"/>
    <n v="1379820.06"/>
    <s v="399.56"/>
    <s v="ancueva"/>
    <n v="0"/>
    <m/>
    <m/>
    <m/>
    <m/>
    <m/>
  </r>
  <r>
    <x v="0"/>
    <x v="0"/>
    <d v="2022-10-14T00:00:00"/>
    <d v="2022-10-14T00:00:00"/>
    <s v="FE001"/>
    <s v="IM 100003317"/>
    <n v="107014"/>
    <s v="Traslados - CN1792079160001"/>
    <m/>
    <m/>
    <n v="101060402"/>
    <s v="Inventario de prod. term. y mercad. en Bodega BULLSYPPLY Coca"/>
    <m/>
    <n v="133.19"/>
    <n v="-133.19"/>
    <x v="3"/>
    <n v="1379686.87"/>
    <s v="-133.19"/>
    <s v="jcortiz"/>
    <n v="0"/>
    <m/>
    <m/>
    <m/>
    <m/>
    <m/>
  </r>
  <r>
    <x v="0"/>
    <x v="0"/>
    <d v="2022-10-14T00:00:00"/>
    <d v="2022-10-14T00:00:00"/>
    <s v="FE001"/>
    <s v="NE 100015315"/>
    <n v="107015"/>
    <s v="Entregas - CN1791259505001"/>
    <m/>
    <s v="QUITO"/>
    <n v="51010101"/>
    <s v="Costo de ventas Quito"/>
    <m/>
    <n v="2861.84"/>
    <n v="-2861.84"/>
    <x v="1"/>
    <n v="1376825.03"/>
    <s v="-2861.84"/>
    <s v="jcortiz"/>
    <n v="0"/>
    <m/>
    <s v="QUITO-PICHINCHA"/>
    <m/>
    <m/>
    <m/>
  </r>
  <r>
    <x v="0"/>
    <x v="0"/>
    <d v="2022-10-14T00:00:00"/>
    <d v="2022-10-14T00:00:00"/>
    <s v="FE001"/>
    <s v="NE 100015316"/>
    <n v="107016"/>
    <s v="Entregas - CN1708725765001"/>
    <m/>
    <s v="QUITO"/>
    <n v="51010101"/>
    <s v="Costo de ventas Quito"/>
    <m/>
    <n v="73.91"/>
    <n v="-73.91"/>
    <x v="1"/>
    <n v="1376751.12"/>
    <s v="-73.91"/>
    <s v="jcortiz"/>
    <n v="0"/>
    <m/>
    <s v="QUITO-PICHINCHA"/>
    <m/>
    <m/>
    <m/>
  </r>
  <r>
    <x v="0"/>
    <x v="0"/>
    <d v="2022-10-14T00:00:00"/>
    <d v="2022-10-14T00:00:00"/>
    <s v="FE001"/>
    <s v="IM 100003318"/>
    <n v="107017"/>
    <s v="Traslados - CN1792079160001"/>
    <m/>
    <m/>
    <n v="101060408"/>
    <s v="Inventario de prod. term. y mercad. en Bodega importaciones"/>
    <n v="146896.03"/>
    <m/>
    <n v="146896.03"/>
    <x v="3"/>
    <n v="1523647.15"/>
    <s v="146896.03"/>
    <s v="jcortiz"/>
    <n v="0"/>
    <m/>
    <m/>
    <m/>
    <m/>
    <m/>
  </r>
  <r>
    <x v="0"/>
    <x v="0"/>
    <d v="2022-10-14T00:00:00"/>
    <d v="2022-10-14T00:00:00"/>
    <s v="FE001"/>
    <s v="IM 100003319"/>
    <n v="107018"/>
    <s v="Traslados -"/>
    <m/>
    <m/>
    <n v="101060402"/>
    <s v="Inventario de prod. term. y mercad. en Bodega BULLSYPPLY Coca"/>
    <m/>
    <n v="146896.03"/>
    <n v="-146896.03"/>
    <x v="3"/>
    <n v="1376751.12"/>
    <s v="-146896.03"/>
    <s v="jcortiz"/>
    <n v="0"/>
    <m/>
    <m/>
    <m/>
    <m/>
    <m/>
  </r>
  <r>
    <x v="0"/>
    <x v="0"/>
    <d v="2022-10-14T00:00:00"/>
    <d v="2022-10-14T00:00:00"/>
    <s v="FE001"/>
    <s v="IM 100003320"/>
    <n v="107019"/>
    <s v="Traslados - CN1792079160001"/>
    <m/>
    <m/>
    <n v="101060402"/>
    <s v="Inventario de prod. term. y mercad. en Bodega BULLSYPPLY Coca"/>
    <m/>
    <n v="73.099999999999994"/>
    <n v="-73.099999999999994"/>
    <x v="3"/>
    <n v="1376678.02"/>
    <s v="-73.10"/>
    <s v="jcortiz"/>
    <n v="0"/>
    <m/>
    <m/>
    <m/>
    <m/>
    <m/>
  </r>
  <r>
    <x v="0"/>
    <x v="0"/>
    <d v="2022-10-14T00:00:00"/>
    <d v="2022-10-14T00:00:00"/>
    <s v="FE001"/>
    <s v="IM 100003321"/>
    <n v="107020"/>
    <s v="Traslados -"/>
    <m/>
    <m/>
    <n v="101060402"/>
    <s v="Inventario de prod. term. y mercad. en Bodega BULLSYPPLY Coca"/>
    <n v="73.099999999999994"/>
    <m/>
    <n v="73.099999999999994"/>
    <x v="3"/>
    <n v="1376751.12"/>
    <s v="73.10"/>
    <s v="jcortiz"/>
    <n v="0"/>
    <m/>
    <m/>
    <m/>
    <m/>
    <m/>
  </r>
  <r>
    <x v="0"/>
    <x v="0"/>
    <d v="2022-10-14T00:00:00"/>
    <d v="2022-10-14T00:00:00"/>
    <s v="FE001"/>
    <s v="NE 100015317"/>
    <n v="107025"/>
    <s v="Entregas - CN1716004005001"/>
    <m/>
    <s v="QUITO"/>
    <n v="51010101"/>
    <s v="Costo de ventas Quito"/>
    <m/>
    <n v="85.11"/>
    <n v="-85.11"/>
    <x v="1"/>
    <n v="1376666.01"/>
    <s v="-85.11"/>
    <s v="jcortiz"/>
    <n v="0"/>
    <m/>
    <s v="QUITO-PICHINCHA"/>
    <m/>
    <m/>
    <m/>
  </r>
  <r>
    <x v="0"/>
    <x v="0"/>
    <d v="2022-10-14T00:00:00"/>
    <d v="2022-10-14T00:00:00"/>
    <s v="FE001"/>
    <s v="NE 100015318"/>
    <n v="107026"/>
    <s v="Entrega - Cancelación - CN1708725765001"/>
    <m/>
    <s v="QUITO"/>
    <n v="51010101"/>
    <s v="Costo de ventas Quito"/>
    <n v="73.91"/>
    <m/>
    <n v="73.91"/>
    <x v="1"/>
    <n v="1376739.92"/>
    <s v="73.91"/>
    <s v="jcortiz"/>
    <n v="0"/>
    <m/>
    <s v="QUITO-PICHINCHA"/>
    <m/>
    <m/>
    <m/>
  </r>
  <r>
    <x v="0"/>
    <x v="0"/>
    <d v="2022-10-14T00:00:00"/>
    <d v="2022-10-14T00:00:00"/>
    <s v="FE001"/>
    <s v="NE 100015319"/>
    <n v="107027"/>
    <s v="Entregas - CN1708725765001"/>
    <m/>
    <s v="QUITO"/>
    <n v="51010101"/>
    <s v="Costo de ventas Quito"/>
    <m/>
    <n v="136.15"/>
    <n v="-136.15"/>
    <x v="1"/>
    <n v="1376603.77"/>
    <s v="-136.15"/>
    <s v="jcortiz"/>
    <n v="0"/>
    <m/>
    <s v="QUITO-PICHINCHA"/>
    <m/>
    <m/>
    <m/>
  </r>
  <r>
    <x v="0"/>
    <x v="0"/>
    <d v="2022-10-14T00:00:00"/>
    <d v="2022-10-14T00:00:00"/>
    <s v="FE001"/>
    <s v="NE 100015320"/>
    <n v="107031"/>
    <s v="Entregas - CN1792358345001"/>
    <m/>
    <s v="QUITO"/>
    <n v="51010101"/>
    <s v="Costo de ventas Quito"/>
    <m/>
    <n v="11.28"/>
    <n v="-11.28"/>
    <x v="1"/>
    <n v="1376592.49"/>
    <s v="-11.28"/>
    <s v="jcortiz"/>
    <n v="0"/>
    <m/>
    <s v="QUITO-PICHINCHA"/>
    <m/>
    <m/>
    <m/>
  </r>
  <r>
    <x v="0"/>
    <x v="0"/>
    <d v="2022-10-14T00:00:00"/>
    <d v="2022-10-14T00:00:00"/>
    <s v="FE001"/>
    <s v="NE 100015321"/>
    <n v="107032"/>
    <s v="Entregas - CN1716004005001"/>
    <m/>
    <s v="QUITO"/>
    <n v="51010101"/>
    <s v="Costo de ventas Quito"/>
    <m/>
    <n v="47.76"/>
    <n v="-47.76"/>
    <x v="1"/>
    <n v="1376544.73"/>
    <s v="-47.76"/>
    <s v="jcortiz"/>
    <n v="0"/>
    <m/>
    <s v="QUITO-PICHINCHA"/>
    <m/>
    <m/>
    <m/>
  </r>
  <r>
    <x v="0"/>
    <x v="0"/>
    <d v="2022-10-14T00:00:00"/>
    <d v="2022-10-14T00:00:00"/>
    <s v="FE001"/>
    <s v="NE 100015322"/>
    <n v="107033"/>
    <s v="Entregas - CN1716004005001"/>
    <m/>
    <s v="QUITO"/>
    <n v="51010101"/>
    <s v="Costo de ventas Quito"/>
    <m/>
    <n v="73.099999999999994"/>
    <n v="-73.099999999999994"/>
    <x v="1"/>
    <n v="1376471.63"/>
    <s v="-73.10"/>
    <s v="jcortiz"/>
    <n v="0"/>
    <m/>
    <s v="QUITO-PICHINCHA"/>
    <m/>
    <m/>
    <m/>
  </r>
  <r>
    <x v="0"/>
    <x v="0"/>
    <d v="2022-10-14T00:00:00"/>
    <d v="2022-10-14T00:00:00"/>
    <s v="FE001"/>
    <s v="NE 100015323"/>
    <n v="107035"/>
    <s v="Entregas - CN1792358345001"/>
    <m/>
    <s v="QUITO"/>
    <n v="51010101"/>
    <s v="Costo de ventas Quito"/>
    <m/>
    <n v="20.07"/>
    <n v="-20.07"/>
    <x v="1"/>
    <n v="1376451.56"/>
    <s v="-20.07"/>
    <s v="jcortiz"/>
    <n v="0"/>
    <m/>
    <s v="QUITO-PICHINCHA"/>
    <m/>
    <m/>
    <m/>
  </r>
  <r>
    <x v="0"/>
    <x v="0"/>
    <d v="2022-10-14T00:00:00"/>
    <d v="2022-10-14T00:00:00"/>
    <s v="FE001"/>
    <s v="NE 100015325"/>
    <n v="107052"/>
    <s v="Entregas - CN1791265416001"/>
    <m/>
    <s v="QUITO"/>
    <n v="51010101"/>
    <s v="Costo de ventas Quito"/>
    <m/>
    <n v="76.599999999999994"/>
    <n v="-76.599999999999994"/>
    <x v="1"/>
    <n v="1376374.96"/>
    <s v="-76.60"/>
    <s v="jcortiz"/>
    <n v="0"/>
    <m/>
    <s v="QUITO-PICHINCHA"/>
    <m/>
    <m/>
    <m/>
  </r>
  <r>
    <x v="0"/>
    <x v="0"/>
    <d v="2022-10-14T00:00:00"/>
    <d v="2022-10-14T00:00:00"/>
    <s v="FE001"/>
    <s v="NE 100015326"/>
    <n v="107053"/>
    <s v="Entregas - CN1715512180001"/>
    <m/>
    <s v="QUITO"/>
    <n v="51010101"/>
    <s v="Costo de ventas Quito"/>
    <m/>
    <n v="50.24"/>
    <n v="-50.24"/>
    <x v="1"/>
    <n v="1376324.72"/>
    <s v="-50.24"/>
    <s v="jcortiz"/>
    <n v="0"/>
    <m/>
    <s v="QUITO-PICHINCHA"/>
    <m/>
    <m/>
    <m/>
  </r>
  <r>
    <x v="0"/>
    <x v="0"/>
    <d v="2022-10-17T00:00:00"/>
    <d v="2022-10-17T00:00:00"/>
    <s v="FE001"/>
    <s v="NE 100015328"/>
    <n v="107061"/>
    <s v="Entregas - CN1790801217001"/>
    <m/>
    <s v="QUITO"/>
    <n v="51010101"/>
    <s v="Costo de ventas Quito"/>
    <m/>
    <n v="1996.34"/>
    <n v="-1996.34"/>
    <x v="1"/>
    <n v="1374328.38"/>
    <s v="-1996.34"/>
    <s v="jcortiz"/>
    <n v="0"/>
    <m/>
    <s v="QUITO-PICHINCHA"/>
    <m/>
    <m/>
    <m/>
  </r>
  <r>
    <x v="0"/>
    <x v="0"/>
    <d v="2022-10-17T00:00:00"/>
    <d v="2022-10-17T00:00:00"/>
    <s v="FE001"/>
    <s v="NE 100015329"/>
    <n v="107062"/>
    <s v="Entregas - CN1791847776001"/>
    <m/>
    <s v="QUITO"/>
    <n v="51010101"/>
    <s v="Costo de ventas Quito"/>
    <m/>
    <n v="9.56"/>
    <n v="-9.56"/>
    <x v="1"/>
    <n v="1374318.82"/>
    <s v="-9.56"/>
    <s v="jcortiz"/>
    <n v="0"/>
    <m/>
    <s v="QUITO-PICHINCHA"/>
    <m/>
    <m/>
    <m/>
  </r>
  <r>
    <x v="0"/>
    <x v="0"/>
    <d v="2022-10-17T00:00:00"/>
    <d v="2022-10-17T00:00:00"/>
    <s v="FE001"/>
    <s v="NE 100015330"/>
    <n v="107063"/>
    <s v="Entregas - CN1791403916001"/>
    <m/>
    <s v="QUITO"/>
    <n v="51010101"/>
    <s v="Costo de ventas Quito"/>
    <m/>
    <n v="49.54"/>
    <n v="-49.54"/>
    <x v="1"/>
    <n v="1374269.28"/>
    <s v="-49.54"/>
    <s v="jcortiz"/>
    <n v="0"/>
    <m/>
    <s v="QUITO-PICHINCHA"/>
    <m/>
    <m/>
    <m/>
  </r>
  <r>
    <x v="0"/>
    <x v="0"/>
    <d v="2022-10-17T00:00:00"/>
    <d v="2022-10-17T00:00:00"/>
    <s v="FE001"/>
    <s v="NE 100015331"/>
    <n v="107064"/>
    <s v="Entregas - CN1791403916001"/>
    <m/>
    <s v="QUITO"/>
    <n v="51010101"/>
    <s v="Costo de ventas Quito"/>
    <m/>
    <n v="54.32"/>
    <n v="-54.32"/>
    <x v="1"/>
    <n v="1374214.96"/>
    <s v="-54.32"/>
    <s v="jcortiz"/>
    <n v="0"/>
    <m/>
    <s v="QUITO-PICHINCHA"/>
    <m/>
    <m/>
    <m/>
  </r>
  <r>
    <x v="0"/>
    <x v="0"/>
    <d v="2022-10-17T00:00:00"/>
    <d v="2022-10-17T00:00:00"/>
    <s v="FE001"/>
    <s v="IM 100003322"/>
    <n v="107071"/>
    <s v="Traslados - CN1792079160001"/>
    <m/>
    <m/>
    <n v="101060401"/>
    <s v="Inventario de prod. term. y mercad. en Bodega BULLSYPPLY  Quito"/>
    <m/>
    <n v="3640"/>
    <n v="-3640"/>
    <x v="3"/>
    <n v="1370574.96"/>
    <s v="-3640.00"/>
    <s v="jcortiz"/>
    <n v="0"/>
    <m/>
    <m/>
    <m/>
    <m/>
    <m/>
  </r>
  <r>
    <x v="0"/>
    <x v="0"/>
    <d v="2022-10-17T00:00:00"/>
    <d v="2022-10-17T00:00:00"/>
    <s v="FE001"/>
    <s v="IM 100003322"/>
    <n v="107071"/>
    <s v="Traslados - CN1792079160001"/>
    <m/>
    <m/>
    <n v="101060401"/>
    <s v="Inventario de prod. term. y mercad. en Bodega BULLSYPPLY  Quito"/>
    <n v="4160"/>
    <m/>
    <n v="4160"/>
    <x v="3"/>
    <n v="1374734.96"/>
    <s v="4160.00"/>
    <s v="jcortiz"/>
    <n v="0"/>
    <m/>
    <m/>
    <m/>
    <m/>
    <m/>
  </r>
  <r>
    <x v="0"/>
    <x v="0"/>
    <d v="2022-10-17T00:00:00"/>
    <d v="2022-10-17T00:00:00"/>
    <s v="FE001"/>
    <s v="NE 100015334"/>
    <n v="107075"/>
    <s v="Entregas - CN1791263308001"/>
    <m/>
    <s v="QUITO"/>
    <n v="51010101"/>
    <s v="Costo de ventas Quito"/>
    <m/>
    <n v="248.19"/>
    <n v="-248.19"/>
    <x v="1"/>
    <n v="1374486.77"/>
    <s v="-248.19"/>
    <s v="jcortiz"/>
    <n v="0"/>
    <m/>
    <s v="QUITO-PICHINCHA"/>
    <m/>
    <m/>
    <m/>
  </r>
  <r>
    <x v="0"/>
    <x v="0"/>
    <d v="2022-10-17T00:00:00"/>
    <d v="2022-10-17T00:00:00"/>
    <s v="FE001"/>
    <s v="NE 100015335"/>
    <n v="107077"/>
    <s v="Entregas - CN1791263308001"/>
    <m/>
    <s v="QUITO"/>
    <n v="51010101"/>
    <s v="Costo de ventas Quito"/>
    <m/>
    <n v="25.92"/>
    <n v="-25.92"/>
    <x v="1"/>
    <n v="1374460.85"/>
    <s v="-25.92"/>
    <s v="jcortiz"/>
    <n v="0"/>
    <m/>
    <s v="QUITO-PICHINCHA"/>
    <m/>
    <m/>
    <m/>
  </r>
  <r>
    <x v="0"/>
    <x v="0"/>
    <d v="2022-10-17T00:00:00"/>
    <d v="2022-10-17T00:00:00"/>
    <s v="Primario"/>
    <s v="EP 6298"/>
    <n v="107083"/>
    <s v="Pedido de entrada de mercancías - PN1711878445001"/>
    <m/>
    <m/>
    <n v="201040506"/>
    <s v="Facturas por Confirmar"/>
    <n v="2560"/>
    <m/>
    <n v="2560"/>
    <x v="2"/>
    <n v="1377020.85"/>
    <s v="2560.00"/>
    <s v="jcortiz"/>
    <n v="0"/>
    <m/>
    <m/>
    <m/>
    <m/>
    <m/>
  </r>
  <r>
    <x v="0"/>
    <x v="0"/>
    <d v="2022-10-17T00:00:00"/>
    <d v="2022-10-17T00:00:00"/>
    <s v="FE001"/>
    <s v="IM 100003323"/>
    <n v="107084"/>
    <s v="Traslados - CN1792079160001"/>
    <m/>
    <m/>
    <n v="101060402"/>
    <s v="Inventario de prod. term. y mercad. en Bodega BULLSYPPLY Coca"/>
    <m/>
    <n v="57178.87"/>
    <n v="-57178.87"/>
    <x v="3"/>
    <n v="1319841.98"/>
    <s v="-57178.87"/>
    <s v="jcortiz"/>
    <n v="0"/>
    <m/>
    <m/>
    <m/>
    <m/>
    <m/>
  </r>
  <r>
    <x v="0"/>
    <x v="0"/>
    <d v="2022-10-17T00:00:00"/>
    <d v="2022-10-17T00:00:00"/>
    <s v="FE001"/>
    <s v="NE 100015339"/>
    <n v="107085"/>
    <s v="Entregas - CN1791263308001"/>
    <m/>
    <s v="QUITO"/>
    <n v="51010101"/>
    <s v="Costo de ventas Quito"/>
    <m/>
    <n v="2560"/>
    <n v="-2560"/>
    <x v="1"/>
    <n v="1317281.98"/>
    <s v="-2560.00"/>
    <s v="jcortiz"/>
    <n v="0"/>
    <m/>
    <s v="QUITO-PICHINCHA"/>
    <m/>
    <m/>
    <m/>
  </r>
  <r>
    <x v="0"/>
    <x v="0"/>
    <d v="2022-10-17T00:00:00"/>
    <d v="2022-10-17T00:00:00"/>
    <s v="Primario"/>
    <s v="EP 6299"/>
    <n v="107086"/>
    <s v="Pedido de entrada de mercancías - PN1791834399001"/>
    <m/>
    <m/>
    <n v="201040506"/>
    <s v="Facturas por Confirmar"/>
    <n v="61.11"/>
    <m/>
    <n v="61.11"/>
    <x v="2"/>
    <n v="1317343.0900000001"/>
    <s v="61.11"/>
    <s v="jcortiz"/>
    <n v="0"/>
    <m/>
    <m/>
    <m/>
    <m/>
    <m/>
  </r>
  <r>
    <x v="0"/>
    <x v="0"/>
    <d v="2022-10-17T00:00:00"/>
    <d v="2022-10-17T00:00:00"/>
    <s v="Primario"/>
    <s v="EP 6300"/>
    <n v="107087"/>
    <s v="Pedido de entrada de mercancías - PN1791834399001"/>
    <m/>
    <m/>
    <n v="201040506"/>
    <s v="Facturas por Confirmar"/>
    <n v="805.8"/>
    <m/>
    <n v="805.8"/>
    <x v="2"/>
    <n v="1318148.8899999999"/>
    <s v="805.80"/>
    <s v="jcortiz"/>
    <n v="0"/>
    <m/>
    <m/>
    <m/>
    <m/>
    <m/>
  </r>
  <r>
    <x v="0"/>
    <x v="0"/>
    <d v="2022-10-17T00:00:00"/>
    <d v="2022-10-17T00:00:00"/>
    <s v="Primario"/>
    <s v="EP 6301"/>
    <n v="107088"/>
    <s v="Pedido de entrada de mercancías - PN1791834399001"/>
    <m/>
    <m/>
    <n v="201040506"/>
    <s v="Facturas por Confirmar"/>
    <n v="25.33"/>
    <m/>
    <n v="25.33"/>
    <x v="2"/>
    <n v="1318174.22"/>
    <s v="25.33"/>
    <s v="jcortiz"/>
    <n v="0"/>
    <m/>
    <m/>
    <m/>
    <m/>
    <m/>
  </r>
  <r>
    <x v="0"/>
    <x v="0"/>
    <d v="2022-10-17T00:00:00"/>
    <d v="2022-10-17T00:00:00"/>
    <s v="FE001"/>
    <s v="NE 100015340"/>
    <n v="107089"/>
    <s v="Entregas - CN1791263308001"/>
    <m/>
    <s v="QUITO"/>
    <n v="51010101"/>
    <s v="Costo de ventas Quito"/>
    <m/>
    <n v="61.11"/>
    <n v="-61.11"/>
    <x v="1"/>
    <n v="1318113.1100000001"/>
    <s v="-61.11"/>
    <s v="jcortiz"/>
    <n v="0"/>
    <m/>
    <s v="QUITO-PICHINCHA"/>
    <m/>
    <m/>
    <m/>
  </r>
  <r>
    <x v="0"/>
    <x v="0"/>
    <d v="2022-10-17T00:00:00"/>
    <d v="2022-10-17T00:00:00"/>
    <s v="FE001"/>
    <s v="NE 100015341"/>
    <n v="107090"/>
    <s v="Entregas - CN1791263308001"/>
    <m/>
    <s v="QUITO"/>
    <n v="51010101"/>
    <s v="Costo de ventas Quito"/>
    <m/>
    <n v="25.33"/>
    <n v="-25.33"/>
    <x v="1"/>
    <n v="1318087.78"/>
    <s v="-25.33"/>
    <s v="jcortiz"/>
    <n v="0"/>
    <m/>
    <s v="QUITO-PICHINCHA"/>
    <m/>
    <m/>
    <m/>
  </r>
  <r>
    <x v="0"/>
    <x v="0"/>
    <d v="2022-10-17T00:00:00"/>
    <d v="2022-10-17T00:00:00"/>
    <s v="FE001"/>
    <s v="NE 100015342"/>
    <n v="107091"/>
    <s v="Entregas - CN0590060933001"/>
    <m/>
    <s v="QUITO"/>
    <n v="51010101"/>
    <s v="Costo de ventas Quito"/>
    <m/>
    <n v="805.8"/>
    <n v="-805.8"/>
    <x v="1"/>
    <n v="1317281.98"/>
    <s v="-805.80"/>
    <s v="jcortiz"/>
    <n v="0"/>
    <m/>
    <s v="QUITO-PICHINCHA"/>
    <m/>
    <m/>
    <m/>
  </r>
  <r>
    <x v="0"/>
    <x v="0"/>
    <d v="2022-10-17T00:00:00"/>
    <d v="2022-10-17T00:00:00"/>
    <s v="FE001"/>
    <s v="NE 100015343"/>
    <n v="107092"/>
    <s v="Entregas - CN1804437497001"/>
    <m/>
    <s v="QUITO"/>
    <n v="51010101"/>
    <s v="Costo de ventas Quito"/>
    <m/>
    <n v="218.09"/>
    <n v="-218.09"/>
    <x v="1"/>
    <n v="1317063.8899999999"/>
    <s v="-218.09"/>
    <s v="jcortiz"/>
    <n v="0"/>
    <m/>
    <s v="QUITO-PICHINCHA"/>
    <m/>
    <m/>
    <m/>
  </r>
  <r>
    <x v="0"/>
    <x v="0"/>
    <d v="2022-10-17T00:00:00"/>
    <d v="2022-10-17T00:00:00"/>
    <s v="Primario"/>
    <s v="EP 6302"/>
    <n v="107093"/>
    <s v="Pedido de entrada de mercancías - PN1791834399001"/>
    <m/>
    <m/>
    <n v="201040506"/>
    <s v="Facturas por Confirmar"/>
    <n v="115.2"/>
    <m/>
    <n v="115.2"/>
    <x v="2"/>
    <n v="1317179.0900000001"/>
    <s v="115.20"/>
    <s v="jcortiz"/>
    <n v="0"/>
    <m/>
    <m/>
    <m/>
    <m/>
    <m/>
  </r>
  <r>
    <x v="0"/>
    <x v="0"/>
    <d v="2022-10-17T00:00:00"/>
    <d v="2022-10-17T00:00:00"/>
    <s v="FE001"/>
    <s v="NE 100015344"/>
    <n v="107094"/>
    <s v="Entregas - CN0501751374001"/>
    <m/>
    <s v="QUITO"/>
    <n v="51010101"/>
    <s v="Costo de ventas Quito"/>
    <m/>
    <n v="115.2"/>
    <n v="-115.2"/>
    <x v="1"/>
    <n v="1317063.8899999999"/>
    <s v="-115.20"/>
    <s v="jcortiz"/>
    <n v="0"/>
    <m/>
    <s v="QUITO-PICHINCHA"/>
    <m/>
    <m/>
    <m/>
  </r>
  <r>
    <x v="0"/>
    <x v="0"/>
    <d v="2022-10-17T00:00:00"/>
    <d v="2022-10-17T00:00:00"/>
    <s v="Primario"/>
    <s v="EP 6303"/>
    <n v="107095"/>
    <s v="Pedido de entrada de mercancías - PN1791834399001"/>
    <m/>
    <m/>
    <n v="201040506"/>
    <s v="Facturas por Confirmar"/>
    <n v="4.16"/>
    <m/>
    <n v="4.16"/>
    <x v="2"/>
    <n v="1317068.05"/>
    <s v="4.16"/>
    <s v="jcortiz"/>
    <n v="0"/>
    <m/>
    <m/>
    <m/>
    <m/>
    <m/>
  </r>
  <r>
    <x v="0"/>
    <x v="0"/>
    <d v="2022-10-17T00:00:00"/>
    <d v="2022-10-17T00:00:00"/>
    <s v="FE001"/>
    <s v="NE 100015345"/>
    <n v="107096"/>
    <s v="Entregas - CN1792198747001"/>
    <m/>
    <s v="QUITO"/>
    <n v="51010101"/>
    <s v="Costo de ventas Quito"/>
    <m/>
    <n v="575.16"/>
    <n v="-575.16"/>
    <x v="1"/>
    <n v="1316492.8899999999"/>
    <s v="-575.16"/>
    <s v="jcortiz"/>
    <n v="0"/>
    <m/>
    <s v="QUITO-PICHINCHA"/>
    <m/>
    <m/>
    <m/>
  </r>
  <r>
    <x v="0"/>
    <x v="0"/>
    <d v="2022-10-17T00:00:00"/>
    <d v="2022-10-17T00:00:00"/>
    <s v="FE001"/>
    <s v="NE 100015346"/>
    <n v="107097"/>
    <s v="Entregas - CN1768153530001"/>
    <m/>
    <s v="QUITO"/>
    <n v="51010101"/>
    <s v="Costo de ventas Quito"/>
    <m/>
    <n v="51.74"/>
    <n v="-51.74"/>
    <x v="1"/>
    <n v="1316441.1499999999"/>
    <s v="-51.74"/>
    <s v="jcortiz"/>
    <n v="0"/>
    <m/>
    <s v="QUITO-PICHINCHA"/>
    <m/>
    <m/>
    <m/>
  </r>
  <r>
    <x v="0"/>
    <x v="0"/>
    <d v="2022-10-17T00:00:00"/>
    <d v="2022-10-17T00:00:00"/>
    <s v="FE001"/>
    <s v="NE 100015347"/>
    <n v="107098"/>
    <s v="Entregas - CN1708725765001"/>
    <m/>
    <s v="QUITO"/>
    <n v="51010101"/>
    <s v="Costo de ventas Quito"/>
    <m/>
    <n v="167.15"/>
    <n v="-167.15"/>
    <x v="1"/>
    <n v="1316274"/>
    <s v="-167.15"/>
    <s v="jcortiz"/>
    <n v="0"/>
    <m/>
    <s v="QUITO-PICHINCHA"/>
    <m/>
    <m/>
    <m/>
  </r>
  <r>
    <x v="0"/>
    <x v="0"/>
    <d v="2022-10-17T00:00:00"/>
    <d v="2022-10-17T00:00:00"/>
    <s v="FE001"/>
    <s v="NE 100015349"/>
    <n v="107110"/>
    <s v="Entrega - Cancelación - CN0501751374001"/>
    <m/>
    <s v="QUITO"/>
    <n v="51010101"/>
    <s v="Costo de ventas Quito"/>
    <n v="115.2"/>
    <m/>
    <n v="115.2"/>
    <x v="1"/>
    <n v="1316389.2"/>
    <s v="115.20"/>
    <s v="jcortiz"/>
    <n v="0"/>
    <m/>
    <s v="QUITO-PICHINCHA"/>
    <m/>
    <m/>
    <m/>
  </r>
  <r>
    <x v="0"/>
    <x v="0"/>
    <d v="2022-10-17T00:00:00"/>
    <d v="2022-10-17T00:00:00"/>
    <s v="Anula"/>
    <s v="EP 200434"/>
    <n v="107111"/>
    <s v="Pedido de entrada de mercancías - Cancelación - PN"/>
    <m/>
    <m/>
    <n v="201040506"/>
    <s v="Facturas por Confirmar"/>
    <m/>
    <n v="115.2"/>
    <n v="-115.2"/>
    <x v="2"/>
    <n v="1316274"/>
    <s v="-115.20"/>
    <s v="jcortiz"/>
    <n v="0"/>
    <m/>
    <m/>
    <m/>
    <m/>
    <m/>
  </r>
  <r>
    <x v="0"/>
    <x v="0"/>
    <d v="2022-10-18T00:00:00"/>
    <d v="2022-10-18T00:00:00"/>
    <s v="Primario"/>
    <s v="EP 6304"/>
    <n v="107112"/>
    <s v="Pedido de entrada de mercancías - PN1791834399001"/>
    <m/>
    <m/>
    <n v="201040506"/>
    <s v="Facturas por Confirmar"/>
    <n v="115.2"/>
    <m/>
    <n v="115.2"/>
    <x v="2"/>
    <n v="1316389.2"/>
    <s v="115.20"/>
    <s v="jcortiz"/>
    <n v="0"/>
    <m/>
    <m/>
    <m/>
    <m/>
    <m/>
  </r>
  <r>
    <x v="0"/>
    <x v="0"/>
    <d v="2022-10-18T00:00:00"/>
    <d v="2022-10-18T00:00:00"/>
    <s v="FE001"/>
    <s v="NE 100015350"/>
    <n v="107116"/>
    <s v="Entregas - CN0501751374001"/>
    <m/>
    <s v="QUITO"/>
    <n v="51010101"/>
    <s v="Costo de ventas Quito"/>
    <m/>
    <n v="115.2"/>
    <n v="-115.2"/>
    <x v="1"/>
    <n v="1316274"/>
    <s v="-115.20"/>
    <s v="jcortiz"/>
    <n v="0"/>
    <m/>
    <s v="QUITO-PICHINCHA"/>
    <m/>
    <m/>
    <m/>
  </r>
  <r>
    <x v="0"/>
    <x v="0"/>
    <d v="2022-10-18T00:00:00"/>
    <d v="2022-10-18T00:00:00"/>
    <s v="FE001"/>
    <s v="NE 100015351"/>
    <n v="107121"/>
    <s v="Entregas - CN1718342270001"/>
    <m/>
    <s v="QUITO"/>
    <n v="51010101"/>
    <s v="Costo de ventas Quito"/>
    <m/>
    <n v="95.65"/>
    <n v="-95.65"/>
    <x v="1"/>
    <n v="1316178.3500000001"/>
    <s v="-95.65"/>
    <s v="jcortiz"/>
    <n v="0"/>
    <m/>
    <s v="QUITO-PICHINCHA"/>
    <m/>
    <m/>
    <m/>
  </r>
  <r>
    <x v="0"/>
    <x v="0"/>
    <d v="2022-10-18T00:00:00"/>
    <d v="2022-10-18T00:00:00"/>
    <s v="Primario"/>
    <s v="EM 1709"/>
    <n v="107134"/>
    <s v="Entrada de mercancías"/>
    <m/>
    <s v="QUITO"/>
    <n v="401030105"/>
    <s v="Otros Ingresos"/>
    <n v="11.41"/>
    <m/>
    <n v="11.41"/>
    <x v="5"/>
    <n v="1316189.76"/>
    <s v="11.41"/>
    <s v="jcortiz"/>
    <n v="0"/>
    <m/>
    <s v="QUITO-PICHINCHA"/>
    <m/>
    <m/>
    <m/>
  </r>
  <r>
    <x v="0"/>
    <x v="0"/>
    <d v="2022-10-18T00:00:00"/>
    <d v="2022-10-18T00:00:00"/>
    <s v="FE001"/>
    <s v="NE 100015352"/>
    <n v="107135"/>
    <s v="Entregas - CN1722882634001"/>
    <m/>
    <s v="QUITO"/>
    <n v="51010101"/>
    <s v="Costo de ventas Quito"/>
    <m/>
    <n v="36.65"/>
    <n v="-36.65"/>
    <x v="1"/>
    <n v="1316153.1100000001"/>
    <s v="-36.65"/>
    <s v="jcortiz"/>
    <n v="0"/>
    <m/>
    <s v="QUITO-PICHINCHA"/>
    <m/>
    <m/>
    <m/>
  </r>
  <r>
    <x v="0"/>
    <x v="0"/>
    <d v="2022-10-18T00:00:00"/>
    <d v="2022-10-18T00:00:00"/>
    <s v="FE001"/>
    <s v="NE 100015353"/>
    <n v="107139"/>
    <s v="Entregas - CN1711878445001"/>
    <m/>
    <s v="QUITO"/>
    <n v="51010101"/>
    <s v="Costo de ventas Quito"/>
    <m/>
    <n v="1913.31"/>
    <n v="-1913.31"/>
    <x v="1"/>
    <n v="1314239.8"/>
    <s v="-1913.31"/>
    <s v="jcortiz"/>
    <n v="0"/>
    <m/>
    <s v="QUITO-PICHINCHA"/>
    <m/>
    <m/>
    <m/>
  </r>
  <r>
    <x v="0"/>
    <x v="0"/>
    <d v="2022-10-18T00:00:00"/>
    <d v="2022-10-18T00:00:00"/>
    <s v="FE001"/>
    <s v="NE 100015354"/>
    <n v="107153"/>
    <s v="Entregas - CN1793080812001"/>
    <m/>
    <s v="QUITO"/>
    <n v="51010101"/>
    <s v="Costo de ventas Quito"/>
    <m/>
    <n v="23.89"/>
    <n v="-23.89"/>
    <x v="1"/>
    <n v="1314215.9099999999"/>
    <s v="-23.89"/>
    <s v="jcortiz"/>
    <n v="0"/>
    <m/>
    <s v="QUITO-PICHINCHA"/>
    <m/>
    <m/>
    <m/>
  </r>
  <r>
    <x v="0"/>
    <x v="0"/>
    <d v="2022-10-18T00:00:00"/>
    <d v="2022-10-18T00:00:00"/>
    <s v="Primario"/>
    <s v="DV 231"/>
    <n v="107158"/>
    <s v="Devoluciones - CN1792876745001"/>
    <m/>
    <s v="QUITO"/>
    <n v="51010101"/>
    <s v="Costo de ventas Quito"/>
    <n v="45.77"/>
    <m/>
    <n v="45.77"/>
    <x v="1"/>
    <n v="1314261.68"/>
    <s v="45.77"/>
    <s v="jcortiz"/>
    <n v="0"/>
    <m/>
    <s v="QUITO-PICHINCHA"/>
    <m/>
    <m/>
    <m/>
  </r>
  <r>
    <x v="0"/>
    <x v="0"/>
    <d v="2022-10-18T00:00:00"/>
    <d v="2022-10-18T00:00:00"/>
    <s v="FE001"/>
    <s v="IM 100003326"/>
    <n v="107160"/>
    <s v="Traslados - CN1792079160001"/>
    <m/>
    <m/>
    <n v="101060409"/>
    <s v="Inventario de prod. term. y mercad. en Bodega de materiales defectuosos"/>
    <m/>
    <n v="45.77"/>
    <n v="-45.77"/>
    <x v="3"/>
    <n v="1314215.9099999999"/>
    <s v="-45.77"/>
    <s v="jcortiz"/>
    <n v="0"/>
    <m/>
    <m/>
    <m/>
    <m/>
    <m/>
  </r>
  <r>
    <x v="0"/>
    <x v="0"/>
    <d v="2022-10-18T00:00:00"/>
    <d v="2022-10-18T00:00:00"/>
    <s v="FE001"/>
    <s v="RC 100000664"/>
    <n v="107170"/>
    <s v="Notas de crédito clientes - CN1793080812001"/>
    <m/>
    <s v="QUITO"/>
    <s v="CN1793080812001"/>
    <s v="TECNIACEROS ECUADOR S.A."/>
    <n v="23.89"/>
    <m/>
    <n v="23.89"/>
    <x v="4"/>
    <n v="1314239.8"/>
    <s v="23.89"/>
    <s v="gcali"/>
    <n v="0"/>
    <m/>
    <s v="QUITO-PICHINCHA"/>
    <m/>
    <m/>
    <m/>
  </r>
  <r>
    <x v="0"/>
    <x v="0"/>
    <d v="2022-10-18T00:00:00"/>
    <d v="2022-10-18T00:00:00"/>
    <s v="FE001"/>
    <s v="NE 100015355"/>
    <n v="107172"/>
    <s v="Entregas - CN1792417910001"/>
    <m/>
    <s v="QUITO"/>
    <n v="51010101"/>
    <s v="Costo de ventas Quito"/>
    <m/>
    <n v="10.68"/>
    <n v="-10.68"/>
    <x v="1"/>
    <n v="1314229.1200000001"/>
    <s v="-10.68"/>
    <s v="jcortiz"/>
    <n v="0"/>
    <m/>
    <s v="QUITO-PICHINCHA"/>
    <m/>
    <m/>
    <m/>
  </r>
  <r>
    <x v="0"/>
    <x v="0"/>
    <d v="2022-10-18T00:00:00"/>
    <d v="2022-10-18T00:00:00"/>
    <s v="FE001"/>
    <s v="NE 100015356"/>
    <n v="107181"/>
    <s v="Entregas - CN1791263308001"/>
    <m/>
    <s v="QUITO"/>
    <n v="51010101"/>
    <s v="Costo de ventas Quito"/>
    <m/>
    <n v="743.99"/>
    <n v="-743.99"/>
    <x v="1"/>
    <n v="1313485.1299999999"/>
    <s v="-743.99"/>
    <s v="jcortiz"/>
    <n v="0"/>
    <m/>
    <s v="QUITO-PICHINCHA"/>
    <m/>
    <m/>
    <m/>
  </r>
  <r>
    <x v="0"/>
    <x v="0"/>
    <d v="2022-10-18T00:00:00"/>
    <d v="2022-10-18T00:00:00"/>
    <s v="FE001"/>
    <s v="NE 100015357"/>
    <n v="107182"/>
    <s v="Entrega - Cancelación - CN1791263308001"/>
    <m/>
    <s v="QUITO"/>
    <n v="51010101"/>
    <s v="Costo de ventas Quito"/>
    <n v="743.99"/>
    <m/>
    <n v="743.99"/>
    <x v="1"/>
    <n v="1314229.1200000001"/>
    <s v="743.99"/>
    <s v="jcortiz"/>
    <n v="0"/>
    <m/>
    <s v="QUITO-PICHINCHA"/>
    <m/>
    <m/>
    <m/>
  </r>
  <r>
    <x v="0"/>
    <x v="0"/>
    <d v="2022-10-18T00:00:00"/>
    <d v="2022-10-18T00:00:00"/>
    <s v="FE001"/>
    <s v="NE 100015358"/>
    <n v="107184"/>
    <s v="Entregas - CN1791263308001"/>
    <m/>
    <s v="QUITO"/>
    <n v="51010101"/>
    <s v="Costo de ventas Quito"/>
    <m/>
    <n v="743.99"/>
    <n v="-743.99"/>
    <x v="1"/>
    <n v="1313485.1299999999"/>
    <s v="-743.99"/>
    <s v="jcortiz"/>
    <n v="0"/>
    <m/>
    <s v="QUITO-PICHINCHA"/>
    <m/>
    <m/>
    <m/>
  </r>
  <r>
    <x v="0"/>
    <x v="0"/>
    <d v="2022-10-18T00:00:00"/>
    <d v="2022-10-18T00:00:00"/>
    <s v="FE001"/>
    <s v="IM 100003327"/>
    <n v="107190"/>
    <s v="Traslados - CN1792079160001"/>
    <m/>
    <m/>
    <n v="101060402"/>
    <s v="Inventario de prod. term. y mercad. en Bodega BULLSYPPLY Coca"/>
    <m/>
    <n v="351.52"/>
    <n v="-351.52"/>
    <x v="3"/>
    <n v="1313133.6100000001"/>
    <s v="-351.52"/>
    <s v="jcortiz"/>
    <n v="0"/>
    <m/>
    <m/>
    <m/>
    <m/>
    <m/>
  </r>
  <r>
    <x v="0"/>
    <x v="0"/>
    <d v="2022-10-19T00:00:00"/>
    <d v="2022-10-19T00:00:00"/>
    <s v="Primario"/>
    <s v="EP 6306"/>
    <n v="107216"/>
    <s v="Pedido de entrada de mercancías - PN1792360250001"/>
    <m/>
    <m/>
    <n v="201040506"/>
    <s v="Facturas por Confirmar"/>
    <n v="129"/>
    <m/>
    <n v="129"/>
    <x v="2"/>
    <n v="1313262.6100000001"/>
    <s v="129.00"/>
    <s v="jcortiz"/>
    <n v="0"/>
    <m/>
    <m/>
    <m/>
    <m/>
    <m/>
  </r>
  <r>
    <x v="0"/>
    <x v="0"/>
    <d v="2022-10-19T00:00:00"/>
    <d v="2022-10-19T00:00:00"/>
    <s v="FE001"/>
    <s v="NE 100015366"/>
    <n v="107217"/>
    <s v="Entregas - CN1792417910001"/>
    <m/>
    <s v="QUITO"/>
    <n v="51010101"/>
    <s v="Costo de ventas Quito"/>
    <m/>
    <n v="129"/>
    <n v="-129"/>
    <x v="1"/>
    <n v="1313133.6100000001"/>
    <s v="-129.00"/>
    <s v="jcortiz"/>
    <n v="0"/>
    <m/>
    <s v="QUITO-PICHINCHA"/>
    <m/>
    <m/>
    <m/>
  </r>
  <r>
    <x v="0"/>
    <x v="0"/>
    <d v="2022-10-19T00:00:00"/>
    <d v="2022-10-19T00:00:00"/>
    <s v="Primario"/>
    <s v="EP 6307"/>
    <n v="107218"/>
    <s v="Pedido de entrada de mercancías - PN1790886824001"/>
    <m/>
    <m/>
    <n v="201040506"/>
    <s v="Facturas por Confirmar"/>
    <n v="2400"/>
    <m/>
    <n v="2400"/>
    <x v="2"/>
    <n v="1315533.6100000001"/>
    <s v="2400.00"/>
    <s v="jcortiz"/>
    <n v="0"/>
    <m/>
    <m/>
    <m/>
    <m/>
    <m/>
  </r>
  <r>
    <x v="0"/>
    <x v="0"/>
    <d v="2022-10-19T00:00:00"/>
    <d v="2022-10-19T00:00:00"/>
    <s v="FE001"/>
    <s v="NE 100015367"/>
    <n v="107219"/>
    <s v="Entregas - CN1792198747001"/>
    <m/>
    <s v="QUITO"/>
    <n v="51010101"/>
    <s v="Costo de ventas Quito"/>
    <m/>
    <n v="2400"/>
    <n v="-2400"/>
    <x v="1"/>
    <n v="1313133.6100000001"/>
    <s v="-2400.00"/>
    <s v="jcortiz"/>
    <n v="0"/>
    <m/>
    <s v="QUITO-PICHINCHA"/>
    <m/>
    <m/>
    <m/>
  </r>
  <r>
    <x v="0"/>
    <x v="0"/>
    <d v="2022-10-19T00:00:00"/>
    <d v="2022-10-19T00:00:00"/>
    <s v="FE001"/>
    <s v="NE 100015369"/>
    <n v="107226"/>
    <s v="Entregas - CN1791263308001"/>
    <m/>
    <s v="QUITO"/>
    <n v="51010101"/>
    <s v="Costo de ventas Quito"/>
    <m/>
    <n v="490.77"/>
    <n v="-490.77"/>
    <x v="1"/>
    <n v="1312642.8400000001"/>
    <s v="-490.77"/>
    <s v="jcortiz"/>
    <n v="0"/>
    <m/>
    <s v="QUITO-PICHINCHA"/>
    <m/>
    <m/>
    <m/>
  </r>
  <r>
    <x v="0"/>
    <x v="0"/>
    <d v="2022-10-19T00:00:00"/>
    <d v="2022-10-19T00:00:00"/>
    <s v="FE001"/>
    <s v="NE 100015373"/>
    <n v="107240"/>
    <s v="Entregas - CN1791039688001"/>
    <m/>
    <s v="QUITO"/>
    <n v="51010101"/>
    <s v="Costo de ventas Quito"/>
    <m/>
    <n v="10.5"/>
    <n v="-10.5"/>
    <x v="1"/>
    <n v="1312632.3400000001"/>
    <s v="-10.50"/>
    <s v="jcortiz"/>
    <n v="0"/>
    <m/>
    <s v="QUITO-PICHINCHA"/>
    <m/>
    <m/>
    <m/>
  </r>
  <r>
    <x v="0"/>
    <x v="0"/>
    <d v="2022-10-19T00:00:00"/>
    <d v="2022-10-19T00:00:00"/>
    <s v="FE001"/>
    <s v="NE 100015374"/>
    <n v="107242"/>
    <s v="Entregas - CN1711878445001"/>
    <m/>
    <s v="QUITO"/>
    <n v="51010101"/>
    <s v="Costo de ventas Quito"/>
    <m/>
    <n v="606.84"/>
    <n v="-606.84"/>
    <x v="1"/>
    <n v="1312025.5"/>
    <s v="-606.84"/>
    <s v="jcortiz"/>
    <n v="0"/>
    <m/>
    <s v="QUITO-PICHINCHA"/>
    <m/>
    <m/>
    <m/>
  </r>
  <r>
    <x v="0"/>
    <x v="0"/>
    <d v="2022-10-19T00:00:00"/>
    <d v="2022-10-19T00:00:00"/>
    <s v="FE001"/>
    <s v="IM 100003328"/>
    <n v="107243"/>
    <s v="Traslados - CN1792079160001"/>
    <m/>
    <m/>
    <n v="101060408"/>
    <s v="Inventario de prod. term. y mercad. en Bodega importaciones"/>
    <n v="27403.56"/>
    <m/>
    <n v="27403.56"/>
    <x v="3"/>
    <n v="1339429.06"/>
    <s v="27403.56"/>
    <s v="jcortiz"/>
    <n v="0"/>
    <m/>
    <m/>
    <m/>
    <m/>
    <m/>
  </r>
  <r>
    <x v="0"/>
    <x v="0"/>
    <d v="2022-10-19T00:00:00"/>
    <d v="2022-10-19T00:00:00"/>
    <s v="FE001"/>
    <s v="IM 100003329"/>
    <n v="107244"/>
    <s v="Traslados - CN1792079160001"/>
    <m/>
    <m/>
    <n v="101060408"/>
    <s v="Inventario de prod. term. y mercad. en Bodega importaciones"/>
    <n v="23905.69"/>
    <m/>
    <n v="23905.69"/>
    <x v="3"/>
    <n v="1363334.75"/>
    <s v="23905.69"/>
    <s v="jcortiz"/>
    <n v="0"/>
    <m/>
    <m/>
    <m/>
    <m/>
    <m/>
  </r>
  <r>
    <x v="0"/>
    <x v="0"/>
    <d v="2022-10-19T00:00:00"/>
    <d v="2022-10-19T00:00:00"/>
    <s v="FE001"/>
    <s v="IM 100003330"/>
    <n v="107245"/>
    <s v="Traslados - CN1792079160001"/>
    <m/>
    <m/>
    <n v="101060408"/>
    <s v="Inventario de prod. term. y mercad. en Bodega importaciones"/>
    <n v="263.05"/>
    <m/>
    <n v="263.05"/>
    <x v="3"/>
    <n v="1363597.8"/>
    <s v="263.05"/>
    <s v="jcortiz"/>
    <n v="0"/>
    <m/>
    <m/>
    <m/>
    <m/>
    <m/>
  </r>
  <r>
    <x v="0"/>
    <x v="0"/>
    <d v="2022-10-19T00:00:00"/>
    <d v="2022-10-19T00:00:00"/>
    <s v="FE001"/>
    <s v="IM 100003331"/>
    <n v="107246"/>
    <s v="Traslados - CN1792079160001"/>
    <m/>
    <m/>
    <n v="101060402"/>
    <s v="Inventario de prod. term. y mercad. en Bodega BULLSYPPLY Coca"/>
    <n v="33.44"/>
    <m/>
    <n v="33.44"/>
    <x v="3"/>
    <n v="1363631.24"/>
    <s v="33.44"/>
    <s v="ancueva"/>
    <n v="0"/>
    <m/>
    <m/>
    <m/>
    <m/>
    <m/>
  </r>
  <r>
    <x v="0"/>
    <x v="0"/>
    <d v="2022-10-19T00:00:00"/>
    <d v="2022-10-19T00:00:00"/>
    <s v="FE001"/>
    <s v="IM 100003332"/>
    <n v="107247"/>
    <s v="Traslados - CN1792079160001"/>
    <m/>
    <m/>
    <n v="101060402"/>
    <s v="Inventario de prod. term. y mercad. en Bodega BULLSYPPLY Coca"/>
    <m/>
    <n v="87887.08"/>
    <n v="-87887.08"/>
    <x v="3"/>
    <n v="1275744.1599999999"/>
    <s v="-87887.08"/>
    <s v="jcortiz"/>
    <n v="0"/>
    <m/>
    <m/>
    <m/>
    <m/>
    <m/>
  </r>
  <r>
    <x v="0"/>
    <x v="0"/>
    <d v="2022-10-19T00:00:00"/>
    <d v="2022-10-19T00:00:00"/>
    <s v="FE001"/>
    <s v="IM 100003333"/>
    <n v="107248"/>
    <s v="Traslados -"/>
    <m/>
    <m/>
    <n v="101060402"/>
    <s v="Inventario de prod. term. y mercad. en Bodega BULLSYPPLY Coca"/>
    <n v="88083.98"/>
    <m/>
    <n v="88083.98"/>
    <x v="3"/>
    <n v="1363828.14"/>
    <s v="88083.98"/>
    <s v="jcortiz"/>
    <n v="0"/>
    <m/>
    <m/>
    <m/>
    <m/>
    <m/>
  </r>
  <r>
    <x v="0"/>
    <x v="0"/>
    <d v="2022-10-19T00:00:00"/>
    <d v="2022-10-19T00:00:00"/>
    <s v="FE001"/>
    <s v="IM 100003334"/>
    <n v="107249"/>
    <s v="Traslados - CN1792079160001"/>
    <m/>
    <m/>
    <n v="101060402"/>
    <s v="Inventario de prod. term. y mercad. en Bodega BULLSYPPLY Coca"/>
    <n v="77880.73"/>
    <m/>
    <n v="77880.73"/>
    <x v="3"/>
    <n v="1441708.87"/>
    <s v="77880.73"/>
    <s v="jcortiz"/>
    <n v="0"/>
    <m/>
    <m/>
    <m/>
    <m/>
    <m/>
  </r>
  <r>
    <x v="0"/>
    <x v="0"/>
    <d v="2022-10-19T00:00:00"/>
    <d v="2022-10-19T00:00:00"/>
    <s v="FE001"/>
    <s v="IM 100003335"/>
    <n v="107250"/>
    <s v="Traslados -"/>
    <m/>
    <m/>
    <n v="101060402"/>
    <s v="Inventario de prod. term. y mercad. en Bodega BULLSYPPLY Coca"/>
    <m/>
    <n v="77880.73"/>
    <n v="-77880.73"/>
    <x v="3"/>
    <n v="1363828.14"/>
    <s v="-77880.73"/>
    <s v="jcortiz"/>
    <n v="0"/>
    <m/>
    <m/>
    <m/>
    <m/>
    <m/>
  </r>
  <r>
    <x v="0"/>
    <x v="0"/>
    <d v="2022-10-19T00:00:00"/>
    <d v="2022-10-19T00:00:00"/>
    <s v="FE001"/>
    <s v="IM 100003336"/>
    <n v="107251"/>
    <s v="Traslados - CN1792079160001"/>
    <m/>
    <m/>
    <n v="101060408"/>
    <s v="Inventario de prod. term. y mercad. en Bodega importaciones"/>
    <n v="58725.97"/>
    <m/>
    <n v="58725.97"/>
    <x v="3"/>
    <n v="1422554.11"/>
    <s v="58725.97"/>
    <s v="jcortiz"/>
    <n v="0"/>
    <m/>
    <m/>
    <m/>
    <m/>
    <m/>
  </r>
  <r>
    <x v="0"/>
    <x v="0"/>
    <d v="2022-10-19T00:00:00"/>
    <d v="2022-10-19T00:00:00"/>
    <s v="FE001"/>
    <s v="IM 100003337"/>
    <n v="107252"/>
    <s v="Traslados -"/>
    <m/>
    <m/>
    <n v="101060402"/>
    <s v="Inventario de prod. term. y mercad. en Bodega BULLSYPPLY Coca"/>
    <m/>
    <n v="58725.97"/>
    <n v="-58725.97"/>
    <x v="3"/>
    <n v="1363828.14"/>
    <s v="-58725.97"/>
    <s v="jcortiz"/>
    <n v="0"/>
    <m/>
    <m/>
    <m/>
    <m/>
    <m/>
  </r>
  <r>
    <x v="0"/>
    <x v="0"/>
    <d v="2022-10-19T00:00:00"/>
    <d v="2022-10-19T00:00:00"/>
    <s v="FE001"/>
    <s v="IM 100003338"/>
    <n v="107253"/>
    <s v="Traslados -"/>
    <m/>
    <m/>
    <n v="101060402"/>
    <s v="Inventario de prod. term. y mercad. en Bodega BULLSYPPLY Coca"/>
    <n v="58725.97"/>
    <m/>
    <n v="58725.97"/>
    <x v="3"/>
    <n v="1422554.11"/>
    <s v="58725.97"/>
    <s v="jcortiz"/>
    <n v="0"/>
    <m/>
    <m/>
    <m/>
    <m/>
    <m/>
  </r>
  <r>
    <x v="0"/>
    <x v="0"/>
    <d v="2022-10-19T00:00:00"/>
    <d v="2022-10-19T00:00:00"/>
    <s v="Primario"/>
    <s v="EP 6311"/>
    <n v="107254"/>
    <s v="Pedido de entrada de mercancías - PN1791834399001"/>
    <m/>
    <m/>
    <n v="201040506"/>
    <s v="Facturas por Confirmar"/>
    <n v="1824.32"/>
    <m/>
    <n v="1824.32"/>
    <x v="2"/>
    <n v="1424378.43"/>
    <s v="1824.32"/>
    <s v="jcortiz"/>
    <n v="0"/>
    <m/>
    <m/>
    <m/>
    <m/>
    <m/>
  </r>
  <r>
    <x v="0"/>
    <x v="0"/>
    <d v="2022-10-19T00:00:00"/>
    <d v="2022-10-19T00:00:00"/>
    <s v="FE001"/>
    <s v="IM 100003339"/>
    <n v="107255"/>
    <s v="Traslados - CN1792079160001"/>
    <m/>
    <m/>
    <n v="101060402"/>
    <s v="Inventario de prod. term. y mercad. en Bodega BULLSYPPLY Coca"/>
    <m/>
    <n v="2289.21"/>
    <n v="-2289.21"/>
    <x v="3"/>
    <n v="1422089.22"/>
    <s v="-2289.21"/>
    <s v="jcortiz"/>
    <n v="0"/>
    <m/>
    <m/>
    <m/>
    <m/>
    <m/>
  </r>
  <r>
    <x v="0"/>
    <x v="0"/>
    <d v="2022-10-19T00:00:00"/>
    <d v="2022-10-19T00:00:00"/>
    <s v="Anula"/>
    <s v="EP 200435"/>
    <n v="107270"/>
    <s v="Pedido de entrada de mercancías - Cancelación - PN"/>
    <m/>
    <m/>
    <n v="201040506"/>
    <s v="Facturas por Confirmar"/>
    <m/>
    <n v="1824.32"/>
    <n v="-1824.32"/>
    <x v="2"/>
    <n v="1420264.9"/>
    <s v="-1824.32"/>
    <s v="jcortiz"/>
    <n v="0"/>
    <m/>
    <m/>
    <m/>
    <m/>
    <m/>
  </r>
  <r>
    <x v="0"/>
    <x v="0"/>
    <d v="2022-10-20T00:00:00"/>
    <d v="2022-10-20T00:00:00"/>
    <s v="FE001"/>
    <s v="IM 100003340"/>
    <n v="107260"/>
    <s v="Traslados - CN1792079160001"/>
    <m/>
    <m/>
    <n v="101060402"/>
    <s v="Inventario de prod. term. y mercad. en Bodega BULLSYPPLY Coca"/>
    <m/>
    <n v="399.56"/>
    <n v="-399.56"/>
    <x v="3"/>
    <n v="1419865.34"/>
    <s v="-399.56"/>
    <s v="jcortiz"/>
    <n v="0"/>
    <m/>
    <m/>
    <m/>
    <m/>
    <m/>
  </r>
  <r>
    <x v="0"/>
    <x v="0"/>
    <d v="2022-10-20T00:00:00"/>
    <d v="2022-10-20T00:00:00"/>
    <s v="FE001"/>
    <s v="NE 100015378"/>
    <n v="107262"/>
    <s v="Entregas - CN1791847776001"/>
    <m/>
    <s v="QUITO"/>
    <n v="51010101"/>
    <s v="Costo de ventas Quito"/>
    <m/>
    <n v="41.1"/>
    <n v="-41.1"/>
    <x v="1"/>
    <n v="1419824.24"/>
    <s v="-41.10"/>
    <s v="jcortiz"/>
    <n v="0"/>
    <m/>
    <s v="QUITO-PICHINCHA"/>
    <m/>
    <m/>
    <m/>
  </r>
  <r>
    <x v="0"/>
    <x v="0"/>
    <d v="2022-10-20T00:00:00"/>
    <d v="2022-10-20T00:00:00"/>
    <s v="FE001"/>
    <s v="NE 100015380"/>
    <n v="107264"/>
    <s v="Entregas - CN1791847776001"/>
    <m/>
    <s v="QUITO"/>
    <n v="51010101"/>
    <s v="Costo de ventas Quito"/>
    <m/>
    <n v="107.46"/>
    <n v="-107.46"/>
    <x v="1"/>
    <n v="1419716.78"/>
    <s v="-107.46"/>
    <s v="jcortiz"/>
    <n v="0"/>
    <m/>
    <s v="QUITO-PICHINCHA"/>
    <m/>
    <m/>
    <m/>
  </r>
  <r>
    <x v="0"/>
    <x v="0"/>
    <d v="2022-10-20T00:00:00"/>
    <d v="2022-10-20T00:00:00"/>
    <s v="Primario"/>
    <s v="EP 6312"/>
    <n v="107266"/>
    <s v="Pedido de entrada de mercancías - PN0990626014001"/>
    <m/>
    <m/>
    <n v="201040506"/>
    <s v="Facturas por Confirmar"/>
    <n v="71"/>
    <m/>
    <n v="71"/>
    <x v="2"/>
    <n v="1419787.78"/>
    <s v="71.00"/>
    <s v="jcortiz"/>
    <n v="0"/>
    <m/>
    <m/>
    <m/>
    <m/>
    <m/>
  </r>
  <r>
    <x v="0"/>
    <x v="0"/>
    <d v="2022-10-20T00:00:00"/>
    <d v="2022-10-20T00:00:00"/>
    <s v="FE001"/>
    <s v="IM 100003341"/>
    <n v="107269"/>
    <s v="Traslados -"/>
    <m/>
    <m/>
    <n v="101060402"/>
    <s v="Inventario de prod. term. y mercad. en Bodega BULLSYPPLY Coca"/>
    <n v="2289.21"/>
    <m/>
    <n v="2289.21"/>
    <x v="3"/>
    <n v="1422076.99"/>
    <s v="2289.21"/>
    <s v="jcortiz"/>
    <n v="0"/>
    <m/>
    <m/>
    <m/>
    <m/>
    <m/>
  </r>
  <r>
    <x v="0"/>
    <x v="0"/>
    <d v="2022-10-20T00:00:00"/>
    <d v="2022-10-20T00:00:00"/>
    <s v="Primario"/>
    <s v="EP 6313"/>
    <n v="107271"/>
    <s v="Pedido de entrada de mercancías - PN1791834399001"/>
    <m/>
    <m/>
    <n v="201040506"/>
    <s v="Facturas por Confirmar"/>
    <n v="1824.32"/>
    <m/>
    <n v="1824.32"/>
    <x v="2"/>
    <n v="1423901.31"/>
    <s v="1824.32"/>
    <s v="jcortiz"/>
    <n v="0"/>
    <m/>
    <m/>
    <m/>
    <m/>
    <m/>
  </r>
  <r>
    <x v="0"/>
    <x v="0"/>
    <d v="2022-10-20T00:00:00"/>
    <d v="2022-10-20T00:00:00"/>
    <s v="FE001"/>
    <s v="IM 100003342"/>
    <n v="107272"/>
    <s v="Traslados -"/>
    <m/>
    <m/>
    <n v="101060402"/>
    <s v="Inventario de prod. term. y mercad. en Bodega BULLSYPPLY Coca"/>
    <m/>
    <n v="2289.21"/>
    <n v="-2289.21"/>
    <x v="3"/>
    <n v="1421612.1"/>
    <s v="-2289.21"/>
    <s v="jcortiz"/>
    <n v="0"/>
    <m/>
    <m/>
    <m/>
    <m/>
    <m/>
  </r>
  <r>
    <x v="0"/>
    <x v="0"/>
    <d v="2022-10-20T00:00:00"/>
    <d v="2022-10-20T00:00:00"/>
    <s v="FE001"/>
    <s v="NE 100015381"/>
    <n v="107273"/>
    <s v="Entregas - CN1714787163001"/>
    <m/>
    <s v="QUITO"/>
    <n v="51010101"/>
    <s v="Costo de ventas Quito"/>
    <m/>
    <n v="354.31"/>
    <n v="-354.31"/>
    <x v="1"/>
    <n v="1421257.79"/>
    <s v="-354.31"/>
    <s v="jcortiz"/>
    <n v="0"/>
    <m/>
    <s v="QUITO-PICHINCHA"/>
    <m/>
    <m/>
    <m/>
  </r>
  <r>
    <x v="0"/>
    <x v="0"/>
    <d v="2022-10-20T00:00:00"/>
    <d v="2022-10-20T00:00:00"/>
    <s v="FE001"/>
    <s v="NE 100015383"/>
    <n v="107277"/>
    <s v="Entregas - CN1792010721001"/>
    <m/>
    <s v="QUITO"/>
    <n v="51010101"/>
    <s v="Costo de ventas Quito"/>
    <m/>
    <n v="173.97"/>
    <n v="-173.97"/>
    <x v="1"/>
    <n v="1421083.82"/>
    <s v="-173.97"/>
    <s v="jcortiz"/>
    <n v="0"/>
    <m/>
    <s v="QUITO-PICHINCHA"/>
    <m/>
    <m/>
    <m/>
  </r>
  <r>
    <x v="0"/>
    <x v="0"/>
    <d v="2022-10-20T00:00:00"/>
    <d v="2022-10-20T00:00:00"/>
    <s v="FE001"/>
    <s v="IM 100003343"/>
    <n v="107278"/>
    <s v="Traslados - CN1792079160001"/>
    <m/>
    <m/>
    <n v="101060402"/>
    <s v="Inventario de prod. term. y mercad. en Bodega BULLSYPPLY Coca"/>
    <n v="2772.75"/>
    <m/>
    <n v="2772.75"/>
    <x v="3"/>
    <n v="1423856.57"/>
    <s v="2772.75"/>
    <s v="ancueva"/>
    <n v="0"/>
    <m/>
    <m/>
    <m/>
    <m/>
    <m/>
  </r>
  <r>
    <x v="0"/>
    <x v="0"/>
    <d v="2022-10-20T00:00:00"/>
    <d v="2022-10-20T00:00:00"/>
    <s v="FE001"/>
    <s v="IM 100003344"/>
    <n v="107279"/>
    <s v="Traslados - CN1792079160001"/>
    <m/>
    <m/>
    <n v="101060402"/>
    <s v="Inventario de prod. term. y mercad. en Bodega BULLSYPPLY Coca"/>
    <m/>
    <n v="10536.18"/>
    <n v="-10536.18"/>
    <x v="3"/>
    <n v="1413320.39"/>
    <s v="-10536.18"/>
    <s v="jcortiz"/>
    <n v="0"/>
    <m/>
    <m/>
    <m/>
    <m/>
    <m/>
  </r>
  <r>
    <x v="0"/>
    <x v="0"/>
    <d v="2022-10-20T00:00:00"/>
    <d v="2022-10-20T00:00:00"/>
    <s v="FE001"/>
    <s v="IM 100003345"/>
    <n v="107280"/>
    <s v="Traslados - CN1792079160001"/>
    <m/>
    <m/>
    <n v="101060402"/>
    <s v="Inventario de prod. term. y mercad. en Bodega BULLSYPPLY Coca"/>
    <m/>
    <n v="23045.16"/>
    <n v="-23045.16"/>
    <x v="3"/>
    <n v="1390275.23"/>
    <s v="-23045.16"/>
    <s v="jcortiz"/>
    <n v="0"/>
    <m/>
    <m/>
    <m/>
    <m/>
    <m/>
  </r>
  <r>
    <x v="0"/>
    <x v="0"/>
    <d v="2022-10-20T00:00:00"/>
    <d v="2022-10-20T00:00:00"/>
    <s v="FE001"/>
    <s v="RC 100000665"/>
    <n v="107281"/>
    <s v="Notas de crédito clientes - CN1102853817001"/>
    <m/>
    <s v="QUITO"/>
    <s v="CN1102853817001"/>
    <s v="COSIOS ESPINOSA DIEGO FERNANDO"/>
    <n v="63.8"/>
    <m/>
    <n v="63.8"/>
    <x v="4"/>
    <n v="1390339.03"/>
    <s v="63.80"/>
    <s v="gcali"/>
    <n v="0"/>
    <m/>
    <s v="QUITO-PICHINCHA"/>
    <m/>
    <m/>
    <m/>
  </r>
  <r>
    <x v="0"/>
    <x v="0"/>
    <d v="2022-10-20T00:00:00"/>
    <d v="2022-10-20T00:00:00"/>
    <s v="FE001"/>
    <s v="IM 100003346"/>
    <n v="107284"/>
    <s v="Traslados - CN1792079160001"/>
    <m/>
    <m/>
    <n v="101060402"/>
    <s v="Inventario de prod. term. y mercad. en Bodega BULLSYPPLY Coca"/>
    <n v="5.86"/>
    <m/>
    <n v="5.86"/>
    <x v="3"/>
    <n v="1390344.89"/>
    <s v="5.86"/>
    <s v="ancueva"/>
    <n v="0"/>
    <m/>
    <m/>
    <m/>
    <m/>
    <m/>
  </r>
  <r>
    <x v="0"/>
    <x v="0"/>
    <d v="2022-10-20T00:00:00"/>
    <d v="2022-10-20T00:00:00"/>
    <s v="FE001"/>
    <s v="NE 100015386"/>
    <n v="107285"/>
    <s v="Entregas - CN1708553464001"/>
    <m/>
    <s v="QUITO"/>
    <n v="51010101"/>
    <s v="Costo de ventas Quito"/>
    <m/>
    <n v="109.59"/>
    <n v="-109.59"/>
    <x v="1"/>
    <n v="1390235.3"/>
    <s v="-109.59"/>
    <s v="jcortiz"/>
    <n v="0"/>
    <m/>
    <s v="QUITO-PICHINCHA"/>
    <m/>
    <m/>
    <m/>
  </r>
  <r>
    <x v="0"/>
    <x v="0"/>
    <d v="2022-10-20T00:00:00"/>
    <d v="2022-10-20T00:00:00"/>
    <s v="Primario"/>
    <s v="EP 6314"/>
    <n v="107289"/>
    <s v="Pedido de entrada de mercancías - PN0990607699001"/>
    <m/>
    <m/>
    <n v="201040506"/>
    <s v="Facturas por Confirmar"/>
    <n v="292.68"/>
    <m/>
    <n v="292.68"/>
    <x v="2"/>
    <n v="1390527.98"/>
    <s v="292.68"/>
    <s v="jcortiz"/>
    <n v="0"/>
    <m/>
    <m/>
    <m/>
    <m/>
    <m/>
  </r>
  <r>
    <x v="0"/>
    <x v="0"/>
    <d v="2022-10-20T00:00:00"/>
    <d v="2022-10-20T00:00:00"/>
    <s v="FE001"/>
    <s v="IM 100003347"/>
    <n v="107290"/>
    <s v="Traslados - CN1792079160001"/>
    <m/>
    <m/>
    <n v="101060402"/>
    <s v="Inventario de prod. term. y mercad. en Bodega BULLSYPPLY Coca"/>
    <m/>
    <n v="292.68"/>
    <n v="-292.68"/>
    <x v="3"/>
    <n v="1390235.3"/>
    <s v="-292.68"/>
    <s v="jcortiz"/>
    <n v="0"/>
    <m/>
    <m/>
    <m/>
    <m/>
    <m/>
  </r>
  <r>
    <x v="0"/>
    <x v="0"/>
    <d v="2022-10-20T00:00:00"/>
    <d v="2022-10-20T00:00:00"/>
    <s v="Anula"/>
    <s v="EP 200436"/>
    <n v="107319"/>
    <s v="Pedido de entrada de mercancías - Cancelación - PN"/>
    <m/>
    <m/>
    <n v="201040506"/>
    <s v="Facturas por Confirmar"/>
    <m/>
    <n v="292.68"/>
    <n v="-292.68"/>
    <x v="2"/>
    <n v="1389942.62"/>
    <s v="-292.68"/>
    <s v="jcortiz"/>
    <n v="0"/>
    <m/>
    <m/>
    <m/>
    <m/>
    <m/>
  </r>
  <r>
    <x v="0"/>
    <x v="0"/>
    <d v="2022-10-21T00:00:00"/>
    <d v="2022-10-21T00:00:00"/>
    <s v="FE001"/>
    <s v="NE 100015388"/>
    <n v="107316"/>
    <s v="Entregas - CN0590060933001"/>
    <m/>
    <s v="QUITO"/>
    <n v="51010101"/>
    <s v="Costo de ventas Quito"/>
    <m/>
    <n v="1906.06"/>
    <n v="-1906.06"/>
    <x v="1"/>
    <n v="1388036.56"/>
    <s v="-1906.06"/>
    <s v="jcortiz"/>
    <n v="0"/>
    <m/>
    <s v="QUITO-PICHINCHA"/>
    <m/>
    <m/>
    <m/>
  </r>
  <r>
    <x v="0"/>
    <x v="0"/>
    <d v="2022-10-21T00:00:00"/>
    <d v="2022-10-21T00:00:00"/>
    <s v="FE001"/>
    <s v="NE 100015389"/>
    <n v="107317"/>
    <s v="Entregas - CN0590060933001"/>
    <m/>
    <s v="QUITO"/>
    <n v="51010101"/>
    <s v="Costo de ventas Quito"/>
    <m/>
    <n v="61.8"/>
    <n v="-61.8"/>
    <x v="1"/>
    <n v="1387974.76"/>
    <s v="-61.80"/>
    <s v="jcortiz"/>
    <n v="0"/>
    <m/>
    <s v="QUITO-PICHINCHA"/>
    <m/>
    <m/>
    <m/>
  </r>
  <r>
    <x v="0"/>
    <x v="0"/>
    <d v="2022-10-21T00:00:00"/>
    <d v="2022-10-21T00:00:00"/>
    <s v="FE001"/>
    <s v="IM 100003348"/>
    <n v="107318"/>
    <s v="Traslados -"/>
    <m/>
    <m/>
    <n v="101060402"/>
    <s v="Inventario de prod. term. y mercad. en Bodega BULLSYPPLY Coca"/>
    <n v="292.68"/>
    <m/>
    <n v="292.68"/>
    <x v="3"/>
    <n v="1388267.44"/>
    <s v="292.68"/>
    <s v="jcortiz"/>
    <n v="0"/>
    <m/>
    <m/>
    <m/>
    <m/>
    <m/>
  </r>
  <r>
    <x v="0"/>
    <x v="0"/>
    <d v="2022-10-21T00:00:00"/>
    <d v="2022-10-21T00:00:00"/>
    <s v="Primario"/>
    <s v="EP 6315"/>
    <n v="107320"/>
    <s v="Pedido de entrada de mercancías - PN0990607699001"/>
    <m/>
    <m/>
    <n v="201040506"/>
    <s v="Facturas por Confirmar"/>
    <n v="234.14"/>
    <m/>
    <n v="234.14"/>
    <x v="2"/>
    <n v="1388501.58"/>
    <s v="234.14"/>
    <s v="jcortiz"/>
    <n v="0"/>
    <m/>
    <m/>
    <m/>
    <m/>
    <m/>
  </r>
  <r>
    <x v="0"/>
    <x v="0"/>
    <d v="2022-10-21T00:00:00"/>
    <d v="2022-10-21T00:00:00"/>
    <s v="FE001"/>
    <s v="IM 100003349"/>
    <n v="107321"/>
    <s v="Traslados -"/>
    <m/>
    <m/>
    <n v="101060402"/>
    <s v="Inventario de prod. term. y mercad. en Bodega BULLSYPPLY Coca"/>
    <m/>
    <n v="234.14"/>
    <n v="-234.14"/>
    <x v="3"/>
    <n v="1388267.44"/>
    <s v="-234.14"/>
    <s v="jcortiz"/>
    <n v="0"/>
    <m/>
    <m/>
    <m/>
    <m/>
    <m/>
  </r>
  <r>
    <x v="0"/>
    <x v="0"/>
    <d v="2022-10-21T00:00:00"/>
    <d v="2022-10-21T00:00:00"/>
    <s v="FE001"/>
    <s v="NE 100015390"/>
    <n v="107322"/>
    <s v="Entregas - CN1791403916001"/>
    <m/>
    <s v="QUITO"/>
    <n v="51010101"/>
    <s v="Costo de ventas Quito"/>
    <m/>
    <n v="5.86"/>
    <n v="-5.86"/>
    <x v="1"/>
    <n v="1388261.58"/>
    <s v="-5.86"/>
    <s v="jcortiz"/>
    <n v="0"/>
    <m/>
    <s v="QUITO-PICHINCHA"/>
    <m/>
    <m/>
    <m/>
  </r>
  <r>
    <x v="0"/>
    <x v="0"/>
    <d v="2022-10-21T00:00:00"/>
    <d v="2022-10-21T00:00:00"/>
    <s v="FE001"/>
    <s v="NE 100015393"/>
    <n v="107327"/>
    <s v="Entregas - CN1791403916001"/>
    <m/>
    <s v="QUITO"/>
    <n v="51010101"/>
    <s v="Costo de ventas Quito"/>
    <m/>
    <n v="102.93"/>
    <n v="-102.93"/>
    <x v="1"/>
    <n v="1388158.65"/>
    <s v="-102.93"/>
    <s v="jcortiz"/>
    <n v="0"/>
    <m/>
    <s v="QUITO-PICHINCHA"/>
    <m/>
    <m/>
    <m/>
  </r>
  <r>
    <x v="0"/>
    <x v="0"/>
    <d v="2022-10-21T00:00:00"/>
    <d v="2022-10-21T00:00:00"/>
    <s v="FE001"/>
    <s v="NE 100015394"/>
    <n v="107328"/>
    <s v="Entregas - CN1722882634001"/>
    <m/>
    <s v="QUITO"/>
    <n v="51010101"/>
    <s v="Costo de ventas Quito"/>
    <m/>
    <n v="781.39"/>
    <n v="-781.39"/>
    <x v="1"/>
    <n v="1387377.26"/>
    <s v="-781.39"/>
    <s v="jcortiz"/>
    <n v="0"/>
    <m/>
    <s v="QUITO-PICHINCHA"/>
    <m/>
    <m/>
    <m/>
  </r>
  <r>
    <x v="0"/>
    <x v="0"/>
    <d v="2022-10-21T00:00:00"/>
    <d v="2022-10-21T00:00:00"/>
    <s v="Primario"/>
    <s v="EP 6316"/>
    <n v="107334"/>
    <s v="Pedido de entrada de mercancías - PN1791834399001"/>
    <m/>
    <m/>
    <n v="201040506"/>
    <s v="Facturas por Confirmar"/>
    <n v="41.6"/>
    <m/>
    <n v="41.6"/>
    <x v="2"/>
    <n v="1387418.86"/>
    <s v="41.60"/>
    <s v="jcortiz"/>
    <n v="0"/>
    <m/>
    <m/>
    <m/>
    <m/>
    <m/>
  </r>
  <r>
    <x v="0"/>
    <x v="0"/>
    <d v="2022-10-21T00:00:00"/>
    <d v="2022-10-21T00:00:00"/>
    <s v="Primario"/>
    <s v="EP 6317"/>
    <n v="107335"/>
    <s v="Pedido de entrada de mercancías - PN1791834399001"/>
    <m/>
    <m/>
    <n v="201040506"/>
    <s v="Facturas por Confirmar"/>
    <n v="223.11"/>
    <m/>
    <n v="223.11"/>
    <x v="2"/>
    <n v="1387641.97"/>
    <s v="223.11"/>
    <s v="jcortiz"/>
    <n v="0"/>
    <m/>
    <m/>
    <m/>
    <m/>
    <m/>
  </r>
  <r>
    <x v="0"/>
    <x v="0"/>
    <d v="2022-10-21T00:00:00"/>
    <d v="2022-10-21T00:00:00"/>
    <s v="FE001"/>
    <s v="NE 100015395"/>
    <n v="107336"/>
    <s v="Entregas - CN1791263308001"/>
    <m/>
    <s v="QUITO"/>
    <n v="51010101"/>
    <s v="Costo de ventas Quito"/>
    <m/>
    <n v="53.11"/>
    <n v="-53.11"/>
    <x v="1"/>
    <n v="1387588.86"/>
    <s v="-53.11"/>
    <s v="jcortiz"/>
    <n v="0"/>
    <m/>
    <s v="QUITO-PICHINCHA"/>
    <m/>
    <m/>
    <m/>
  </r>
  <r>
    <x v="0"/>
    <x v="0"/>
    <d v="2022-10-21T00:00:00"/>
    <d v="2022-10-21T00:00:00"/>
    <s v="FE001"/>
    <s v="NE 100015396"/>
    <n v="107337"/>
    <s v="Entregas - CN1791263308001"/>
    <m/>
    <s v="QUITO"/>
    <n v="51010101"/>
    <s v="Costo de ventas Quito"/>
    <m/>
    <n v="226.05"/>
    <n v="-226.05"/>
    <x v="1"/>
    <n v="1387362.81"/>
    <s v="-226.05"/>
    <s v="jcortiz"/>
    <n v="0"/>
    <m/>
    <s v="QUITO-PICHINCHA"/>
    <m/>
    <m/>
    <m/>
  </r>
  <r>
    <x v="0"/>
    <x v="0"/>
    <d v="2022-10-21T00:00:00"/>
    <d v="2022-10-21T00:00:00"/>
    <s v="FE001"/>
    <s v="NE 100015397"/>
    <n v="107338"/>
    <s v="Entregas - CN1714787163001"/>
    <m/>
    <s v="QUITO"/>
    <n v="51010101"/>
    <s v="Costo de ventas Quito"/>
    <m/>
    <n v="22.17"/>
    <n v="-22.17"/>
    <x v="1"/>
    <n v="1387340.64"/>
    <s v="-22.17"/>
    <s v="jcortiz"/>
    <n v="0"/>
    <m/>
    <s v="QUITO-PICHINCHA"/>
    <m/>
    <m/>
    <m/>
  </r>
  <r>
    <x v="0"/>
    <x v="0"/>
    <d v="2022-10-21T00:00:00"/>
    <d v="2022-10-21T00:00:00"/>
    <s v="FE001"/>
    <s v="IM 100003350"/>
    <n v="107344"/>
    <s v="Traslados - CN1792079160001"/>
    <m/>
    <m/>
    <n v="101060402"/>
    <s v="Inventario de prod. term. y mercad. en Bodega BULLSYPPLY Coca"/>
    <m/>
    <n v="871.3"/>
    <n v="-871.3"/>
    <x v="3"/>
    <n v="1386469.34"/>
    <s v="-871.30"/>
    <s v="jcortiz"/>
    <n v="0"/>
    <m/>
    <m/>
    <m/>
    <m/>
    <m/>
  </r>
  <r>
    <x v="0"/>
    <x v="0"/>
    <d v="2022-10-21T00:00:00"/>
    <d v="2022-10-21T00:00:00"/>
    <s v="FE001"/>
    <s v="IM 100003351"/>
    <n v="107348"/>
    <s v="Traslados - CN1792079160001"/>
    <m/>
    <m/>
    <n v="101060402"/>
    <s v="Inventario de prod. term. y mercad. en Bodega BULLSYPPLY Coca"/>
    <n v="11.85"/>
    <m/>
    <n v="11.85"/>
    <x v="3"/>
    <n v="1386481.19"/>
    <s v="11.85"/>
    <s v="ancueva"/>
    <n v="0"/>
    <m/>
    <m/>
    <m/>
    <m/>
    <m/>
  </r>
  <r>
    <x v="0"/>
    <x v="0"/>
    <d v="2022-10-21T00:00:00"/>
    <d v="2022-10-21T00:00:00"/>
    <s v="FE001"/>
    <s v="NE 100015402"/>
    <n v="107356"/>
    <s v="Entregas - CN1791734920001"/>
    <m/>
    <s v="QUITO"/>
    <n v="51010101"/>
    <s v="Costo de ventas Quito"/>
    <m/>
    <n v="561.63"/>
    <n v="-561.63"/>
    <x v="1"/>
    <n v="1385919.56"/>
    <s v="-561.63"/>
    <s v="jcortiz"/>
    <n v="0"/>
    <m/>
    <s v="QUITO-PICHINCHA"/>
    <m/>
    <m/>
    <m/>
  </r>
  <r>
    <x v="0"/>
    <x v="0"/>
    <d v="2022-10-21T00:00:00"/>
    <d v="2022-10-21T00:00:00"/>
    <s v="Primario"/>
    <s v="EP 6318"/>
    <n v="107374"/>
    <s v="Pedido de entrada de mercancías - PN1791834399001"/>
    <m/>
    <m/>
    <n v="201040506"/>
    <s v="Facturas por Confirmar"/>
    <n v="289"/>
    <m/>
    <n v="289"/>
    <x v="2"/>
    <n v="1386208.56"/>
    <s v="289.00"/>
    <s v="jcortiz"/>
    <n v="0"/>
    <m/>
    <m/>
    <m/>
    <m/>
    <m/>
  </r>
  <r>
    <x v="0"/>
    <x v="0"/>
    <d v="2022-10-21T00:00:00"/>
    <d v="2022-10-21T00:00:00"/>
    <s v="FE001"/>
    <s v="IM 100003352"/>
    <n v="107375"/>
    <s v="Traslados - CN1792079160001"/>
    <m/>
    <m/>
    <n v="101060402"/>
    <s v="Inventario de prod. term. y mercad. en Bodega BULLSYPPLY Coca"/>
    <m/>
    <n v="289"/>
    <n v="-289"/>
    <x v="3"/>
    <n v="1385919.56"/>
    <s v="-289.00"/>
    <s v="jcortiz"/>
    <n v="0"/>
    <m/>
    <m/>
    <m/>
    <m/>
    <m/>
  </r>
  <r>
    <x v="0"/>
    <x v="0"/>
    <d v="2022-10-22T00:00:00"/>
    <d v="2022-10-22T00:00:00"/>
    <s v="FE001"/>
    <s v="IM 100003353"/>
    <n v="107387"/>
    <s v="Traslados - CN1792079160001"/>
    <m/>
    <m/>
    <n v="101060402"/>
    <s v="Inventario de prod. term. y mercad. en Bodega BULLSYPPLY Coca"/>
    <n v="214.86"/>
    <m/>
    <n v="214.86"/>
    <x v="3"/>
    <n v="1386134.42"/>
    <s v="214.86"/>
    <s v="ancueva"/>
    <n v="0"/>
    <m/>
    <m/>
    <m/>
    <m/>
    <m/>
  </r>
  <r>
    <x v="0"/>
    <x v="0"/>
    <d v="2022-10-24T00:00:00"/>
    <d v="2022-10-24T00:00:00"/>
    <s v="Primario"/>
    <s v="EP 6319"/>
    <n v="107399"/>
    <s v="Pedido de entrada de mercancías - PN1791834399001"/>
    <m/>
    <m/>
    <n v="201040506"/>
    <s v="Facturas por Confirmar"/>
    <n v="205.7"/>
    <m/>
    <n v="205.7"/>
    <x v="2"/>
    <n v="1386340.12"/>
    <s v="205.70"/>
    <s v="jcortiz"/>
    <n v="0"/>
    <m/>
    <m/>
    <m/>
    <m/>
    <m/>
  </r>
  <r>
    <x v="0"/>
    <x v="0"/>
    <d v="2022-10-24T00:00:00"/>
    <d v="2022-10-24T00:00:00"/>
    <s v="FE001"/>
    <s v="NE 100015407"/>
    <n v="107402"/>
    <s v="Entregas - CN1792368979001"/>
    <m/>
    <s v="QUITO"/>
    <n v="51010101"/>
    <s v="Costo de ventas Quito"/>
    <m/>
    <n v="13651.19"/>
    <n v="-13651.19"/>
    <x v="1"/>
    <n v="1372688.93"/>
    <s v="-13651.19"/>
    <s v="jcortiz"/>
    <n v="0"/>
    <m/>
    <s v="QUITO-PICHINCHA"/>
    <m/>
    <m/>
    <m/>
  </r>
  <r>
    <x v="0"/>
    <x v="0"/>
    <d v="2022-10-24T00:00:00"/>
    <d v="2022-10-24T00:00:00"/>
    <s v="Primario"/>
    <s v="EM 1710"/>
    <n v="107417"/>
    <s v="INGRESO DE MATERIAL OC 5825 AUTO ALESSANDRO CARDIL"/>
    <m/>
    <s v="QUITO"/>
    <n v="401030105"/>
    <s v="Otros Ingresos"/>
    <n v="2"/>
    <m/>
    <n v="2"/>
    <x v="5"/>
    <n v="1372690.93"/>
    <s v="2.00"/>
    <s v="pquishpe"/>
    <n v="0"/>
    <m/>
    <s v="QUITO-PICHINCHA"/>
    <m/>
    <m/>
    <m/>
  </r>
  <r>
    <x v="0"/>
    <x v="0"/>
    <d v="2022-10-24T00:00:00"/>
    <d v="2022-10-24T00:00:00"/>
    <s v="FE001"/>
    <s v="NE 100015408"/>
    <n v="107418"/>
    <s v="Entregas - CN1708725765001"/>
    <m/>
    <s v="QUITO"/>
    <n v="51010101"/>
    <s v="Costo de ventas Quito"/>
    <m/>
    <n v="121.18"/>
    <n v="-121.18"/>
    <x v="1"/>
    <n v="1372569.75"/>
    <s v="-121.18"/>
    <s v="jcortiz"/>
    <n v="0"/>
    <m/>
    <s v="QUITO-PICHINCHA"/>
    <m/>
    <m/>
    <m/>
  </r>
  <r>
    <x v="0"/>
    <x v="0"/>
    <d v="2022-10-24T00:00:00"/>
    <d v="2022-10-24T00:00:00"/>
    <s v="Primario"/>
    <s v="EP 6320"/>
    <n v="107419"/>
    <s v="Pedido de entrada de mercancías - PN1791769937001"/>
    <m/>
    <m/>
    <n v="201040506"/>
    <s v="Facturas por Confirmar"/>
    <n v="17.239999999999998"/>
    <m/>
    <n v="17.239999999999998"/>
    <x v="2"/>
    <n v="1372586.99"/>
    <s v="17.24"/>
    <s v="jcortiz"/>
    <n v="0"/>
    <m/>
    <m/>
    <m/>
    <m/>
    <m/>
  </r>
  <r>
    <x v="0"/>
    <x v="0"/>
    <d v="2022-10-24T00:00:00"/>
    <d v="2022-10-24T00:00:00"/>
    <s v="FE001"/>
    <s v="IM 100003354"/>
    <n v="107421"/>
    <s v="Traslados - CN1792079160001"/>
    <m/>
    <m/>
    <n v="101060402"/>
    <s v="Inventario de prod. term. y mercad. en Bodega BULLSYPPLY Coca"/>
    <m/>
    <n v="17.239999999999998"/>
    <n v="-17.239999999999998"/>
    <x v="3"/>
    <n v="1372569.75"/>
    <s v="-17.24"/>
    <s v="jcortiz"/>
    <n v="0"/>
    <m/>
    <m/>
    <m/>
    <m/>
    <m/>
  </r>
  <r>
    <x v="0"/>
    <x v="0"/>
    <d v="2022-10-24T00:00:00"/>
    <d v="2022-10-24T00:00:00"/>
    <s v="FE001"/>
    <s v="IM 100003355"/>
    <n v="107423"/>
    <s v="Traslados - CN1792079160001"/>
    <m/>
    <m/>
    <n v="101060402"/>
    <s v="Inventario de prod. term. y mercad. en Bodega BULLSYPPLY Coca"/>
    <m/>
    <n v="2"/>
    <n v="-2"/>
    <x v="3"/>
    <n v="1372567.75"/>
    <s v="-2.00"/>
    <s v="jcortiz"/>
    <n v="0"/>
    <m/>
    <m/>
    <m/>
    <m/>
    <m/>
  </r>
  <r>
    <x v="0"/>
    <x v="0"/>
    <d v="2022-10-24T00:00:00"/>
    <d v="2022-10-24T00:00:00"/>
    <s v="FE001"/>
    <s v="NE 100015411"/>
    <n v="107427"/>
    <s v="Entregas - CN1791263308001"/>
    <m/>
    <s v="QUITO"/>
    <n v="51010101"/>
    <s v="Costo de ventas Quito"/>
    <m/>
    <n v="525.51"/>
    <n v="-525.51"/>
    <x v="1"/>
    <n v="1372042.24"/>
    <s v="-525.51"/>
    <s v="jcortiz"/>
    <n v="0"/>
    <m/>
    <s v="QUITO-PICHINCHA"/>
    <m/>
    <m/>
    <m/>
  </r>
  <r>
    <x v="0"/>
    <x v="0"/>
    <d v="2022-10-24T00:00:00"/>
    <d v="2022-10-24T00:00:00"/>
    <s v="FE001"/>
    <s v="NE 100015412"/>
    <n v="107428"/>
    <s v="Entregas - CN1791263308001"/>
    <m/>
    <s v="QUITO"/>
    <n v="51010101"/>
    <s v="Costo de ventas Quito"/>
    <m/>
    <n v="645.17999999999995"/>
    <n v="-645.17999999999995"/>
    <x v="1"/>
    <n v="1371397.06"/>
    <s v="-645.18"/>
    <s v="jcortiz"/>
    <n v="0"/>
    <m/>
    <s v="QUITO-PICHINCHA"/>
    <m/>
    <m/>
    <m/>
  </r>
  <r>
    <x v="0"/>
    <x v="0"/>
    <d v="2022-10-24T00:00:00"/>
    <d v="2022-10-24T00:00:00"/>
    <s v="FE001"/>
    <s v="NE 100015413"/>
    <n v="107433"/>
    <s v="Entregas - CN0101692655001"/>
    <m/>
    <s v="QUITO"/>
    <n v="51010101"/>
    <s v="Costo de ventas Quito"/>
    <m/>
    <n v="150.97"/>
    <n v="-150.97"/>
    <x v="1"/>
    <n v="1371246.09"/>
    <s v="-150.97"/>
    <s v="jcortiz"/>
    <n v="0"/>
    <m/>
    <s v="QUITO-PICHINCHA"/>
    <m/>
    <m/>
    <m/>
  </r>
  <r>
    <x v="0"/>
    <x v="0"/>
    <d v="2022-10-24T00:00:00"/>
    <d v="2022-10-24T00:00:00"/>
    <s v="FE001"/>
    <s v="NE 100015415"/>
    <n v="107441"/>
    <s v="Entregas - CN1716511926001"/>
    <m/>
    <s v="QUITO"/>
    <n v="51010101"/>
    <s v="Costo de ventas Quito"/>
    <m/>
    <n v="394.02"/>
    <n v="-394.02"/>
    <x v="1"/>
    <n v="1370852.07"/>
    <s v="-394.02"/>
    <s v="jcortiz"/>
    <n v="0"/>
    <m/>
    <s v="QUITO-PICHINCHA"/>
    <m/>
    <m/>
    <m/>
  </r>
  <r>
    <x v="0"/>
    <x v="0"/>
    <d v="2022-10-24T00:00:00"/>
    <d v="2022-10-24T00:00:00"/>
    <s v="FE001"/>
    <s v="NE 100015416"/>
    <n v="107444"/>
    <s v="Entregas - CN1792874939001"/>
    <m/>
    <s v="QUITO"/>
    <n v="51010101"/>
    <s v="Costo de ventas Quito"/>
    <m/>
    <n v="254.55"/>
    <n v="-254.55"/>
    <x v="1"/>
    <n v="1370597.52"/>
    <s v="-254.55"/>
    <s v="jcortiz"/>
    <n v="0"/>
    <m/>
    <s v="QUITO-PICHINCHA"/>
    <m/>
    <m/>
    <m/>
  </r>
  <r>
    <x v="0"/>
    <x v="0"/>
    <d v="2022-10-24T00:00:00"/>
    <d v="2022-10-24T00:00:00"/>
    <s v="FE001"/>
    <s v="RC 100000666"/>
    <n v="107446"/>
    <s v="Notas de crédito clientes - CN1792300347001"/>
    <m/>
    <s v="QUITO"/>
    <s v="CN1792300347001"/>
    <s v="SERVICIOS Y SUPLIDORA PETROLERA ECUATORIANA S.A. PETROSERVISUPPLY"/>
    <n v="17.239999999999998"/>
    <m/>
    <n v="17.239999999999998"/>
    <x v="4"/>
    <n v="1370614.76"/>
    <s v="17.24"/>
    <s v="gcali"/>
    <n v="0"/>
    <m/>
    <s v="QUITO-PICHINCHA"/>
    <m/>
    <m/>
    <m/>
  </r>
  <r>
    <x v="0"/>
    <x v="0"/>
    <d v="2022-10-24T00:00:00"/>
    <d v="2022-10-24T00:00:00"/>
    <s v="FE001"/>
    <s v="NE 100015417"/>
    <n v="107454"/>
    <s v="Entregas - CN1718342270001"/>
    <m/>
    <s v="QUITO"/>
    <n v="51010101"/>
    <s v="Costo de ventas Quito"/>
    <m/>
    <n v="51.91"/>
    <n v="-51.91"/>
    <x v="1"/>
    <n v="1370562.85"/>
    <s v="-51.91"/>
    <s v="jcortiz"/>
    <n v="0"/>
    <m/>
    <s v="QUITO-PICHINCHA"/>
    <m/>
    <m/>
    <m/>
  </r>
  <r>
    <x v="0"/>
    <x v="0"/>
    <d v="2022-10-24T00:00:00"/>
    <d v="2022-10-24T00:00:00"/>
    <s v="FE001"/>
    <s v="IM 100003356"/>
    <n v="107459"/>
    <s v="Traslados - CN1792079160001"/>
    <m/>
    <m/>
    <n v="101060402"/>
    <s v="Inventario de prod. term. y mercad. en Bodega BULLSYPPLY Coca"/>
    <m/>
    <n v="10701.24"/>
    <n v="-10701.24"/>
    <x v="3"/>
    <n v="1359861.61"/>
    <s v="-10701.24"/>
    <s v="jcortiz"/>
    <n v="0"/>
    <m/>
    <m/>
    <m/>
    <m/>
    <m/>
  </r>
  <r>
    <x v="0"/>
    <x v="0"/>
    <d v="2022-10-24T00:00:00"/>
    <d v="2022-10-24T00:00:00"/>
    <s v="Anula"/>
    <s v="EP 200443"/>
    <n v="108802"/>
    <s v="Pedido de entrada de mercancías - Cancelación - PN"/>
    <m/>
    <m/>
    <n v="201040506"/>
    <s v="Facturas por Confirmar"/>
    <m/>
    <n v="17.239999999999998"/>
    <n v="-17.239999999999998"/>
    <x v="2"/>
    <n v="1359844.37"/>
    <s v="-17.24"/>
    <s v="jcortiz"/>
    <n v="0"/>
    <m/>
    <m/>
    <m/>
    <m/>
    <m/>
  </r>
  <r>
    <x v="0"/>
    <x v="0"/>
    <d v="2022-10-25T00:00:00"/>
    <d v="2022-10-25T00:00:00"/>
    <s v="FE001"/>
    <s v="NE 100015418"/>
    <n v="107472"/>
    <s v="Entregas - CN1792417910001"/>
    <m/>
    <s v="QUITO"/>
    <n v="51010101"/>
    <s v="Costo de ventas Quito"/>
    <m/>
    <n v="136.93"/>
    <n v="-136.93"/>
    <x v="1"/>
    <n v="1359707.44"/>
    <s v="-136.93"/>
    <s v="jcortiz"/>
    <n v="0"/>
    <m/>
    <s v="QUITO-PICHINCHA"/>
    <m/>
    <m/>
    <m/>
  </r>
  <r>
    <x v="0"/>
    <x v="0"/>
    <d v="2022-10-25T00:00:00"/>
    <d v="2022-10-25T00:00:00"/>
    <s v="FE001"/>
    <s v="NE 100015419"/>
    <n v="107479"/>
    <s v="Entregas - CN1717226193001"/>
    <m/>
    <s v="QUITO"/>
    <n v="51010101"/>
    <s v="Costo de ventas Quito"/>
    <m/>
    <n v="16.62"/>
    <n v="-16.62"/>
    <x v="1"/>
    <n v="1359690.82"/>
    <s v="-16.62"/>
    <s v="jcortiz"/>
    <n v="0"/>
    <m/>
    <s v="QUITO-PICHINCHA"/>
    <m/>
    <m/>
    <m/>
  </r>
  <r>
    <x v="0"/>
    <x v="0"/>
    <d v="2022-10-25T00:00:00"/>
    <d v="2022-10-25T00:00:00"/>
    <s v="FE001"/>
    <s v="IM 100003357"/>
    <n v="107482"/>
    <s v="Traslados - CN1792079160001"/>
    <m/>
    <m/>
    <n v="101060402"/>
    <s v="Inventario de prod. term. y mercad. en Bodega BULLSYPPLY Coca"/>
    <m/>
    <n v="3544.26"/>
    <n v="-3544.26"/>
    <x v="3"/>
    <n v="1356146.56"/>
    <s v="-3544.26"/>
    <s v="jcortiz"/>
    <n v="0"/>
    <m/>
    <m/>
    <m/>
    <m/>
    <m/>
  </r>
  <r>
    <x v="0"/>
    <x v="0"/>
    <d v="2022-10-25T00:00:00"/>
    <d v="2022-10-25T00:00:00"/>
    <s v="FE001"/>
    <s v="NE 100015421"/>
    <n v="107485"/>
    <s v="Entregas - CN1714787163001"/>
    <m/>
    <s v="QUITO"/>
    <n v="51010101"/>
    <s v="Costo de ventas Quito"/>
    <m/>
    <n v="21.3"/>
    <n v="-21.3"/>
    <x v="1"/>
    <n v="1356125.26"/>
    <s v="-21.30"/>
    <s v="jcortiz"/>
    <n v="0"/>
    <m/>
    <s v="QUITO-PICHINCHA"/>
    <m/>
    <m/>
    <m/>
  </r>
  <r>
    <x v="0"/>
    <x v="0"/>
    <d v="2022-10-25T00:00:00"/>
    <d v="2022-10-25T00:00:00"/>
    <s v="FE001"/>
    <s v="NE 100015423"/>
    <n v="107518"/>
    <s v="Entregas - CN1102853817001"/>
    <m/>
    <s v="QUITO"/>
    <n v="51010101"/>
    <s v="Costo de ventas Quito"/>
    <m/>
    <n v="334.89"/>
    <n v="-334.89"/>
    <x v="1"/>
    <n v="1355790.37"/>
    <s v="-334.89"/>
    <s v="jcortiz"/>
    <n v="0"/>
    <m/>
    <s v="QUITO-PICHINCHA"/>
    <m/>
    <m/>
    <m/>
  </r>
  <r>
    <x v="0"/>
    <x v="0"/>
    <d v="2022-10-25T00:00:00"/>
    <d v="2022-10-25T00:00:00"/>
    <s v="FE001"/>
    <s v="NE 100015425"/>
    <n v="107524"/>
    <s v="Entregas - CN1792874939001"/>
    <m/>
    <s v="QUITO"/>
    <n v="51010101"/>
    <s v="Costo de ventas Quito"/>
    <m/>
    <n v="11.35"/>
    <n v="-11.35"/>
    <x v="1"/>
    <n v="1355779.02"/>
    <s v="-11.35"/>
    <s v="jcortiz"/>
    <n v="0"/>
    <m/>
    <s v="QUITO-PICHINCHA"/>
    <m/>
    <m/>
    <m/>
  </r>
  <r>
    <x v="0"/>
    <x v="0"/>
    <d v="2022-10-25T00:00:00"/>
    <d v="2022-10-25T00:00:00"/>
    <s v="FE001"/>
    <s v="NE 100015427"/>
    <n v="107527"/>
    <s v="Entregas - CN0501751374001"/>
    <m/>
    <s v="QUITO"/>
    <n v="51010101"/>
    <s v="Costo de ventas Quito"/>
    <m/>
    <n v="523.63"/>
    <n v="-523.63"/>
    <x v="1"/>
    <n v="1355255.39"/>
    <s v="-523.63"/>
    <s v="jcortiz"/>
    <n v="0"/>
    <m/>
    <s v="QUITO-PICHINCHA"/>
    <m/>
    <m/>
    <m/>
  </r>
  <r>
    <x v="0"/>
    <x v="0"/>
    <d v="2022-10-25T00:00:00"/>
    <d v="2022-10-25T00:00:00"/>
    <s v="FE001"/>
    <s v="NE 100015428"/>
    <n v="107528"/>
    <s v="Entrega - Cancelación - CN1102853817001"/>
    <m/>
    <s v="QUITO"/>
    <n v="51010101"/>
    <s v="Costo de ventas Quito"/>
    <n v="334.89"/>
    <m/>
    <n v="334.89"/>
    <x v="1"/>
    <n v="1355590.28"/>
    <s v="334.89"/>
    <s v="jcortiz"/>
    <n v="0"/>
    <m/>
    <s v="QUITO-PICHINCHA"/>
    <m/>
    <m/>
    <m/>
  </r>
  <r>
    <x v="0"/>
    <x v="0"/>
    <d v="2022-10-25T00:00:00"/>
    <d v="2022-10-25T00:00:00"/>
    <s v="FE001"/>
    <s v="NE 100015429"/>
    <n v="107529"/>
    <s v="Entregas - CN1102853817001"/>
    <m/>
    <s v="QUITO"/>
    <n v="51010101"/>
    <s v="Costo de ventas Quito"/>
    <m/>
    <n v="269.04000000000002"/>
    <n v="-269.04000000000002"/>
    <x v="1"/>
    <n v="1355321.24"/>
    <s v="-269.04"/>
    <s v="jcortiz"/>
    <n v="0"/>
    <m/>
    <s v="QUITO-PICHINCHA"/>
    <m/>
    <m/>
    <m/>
  </r>
  <r>
    <x v="0"/>
    <x v="0"/>
    <d v="2022-10-25T00:00:00"/>
    <d v="2022-10-25T00:00:00"/>
    <s v="Primario"/>
    <s v="EP 6321"/>
    <n v="107530"/>
    <s v="Pedido de entrada de mercancías - PN1791834399001"/>
    <m/>
    <m/>
    <n v="201040506"/>
    <s v="Facturas por Confirmar"/>
    <n v="152.80000000000001"/>
    <m/>
    <n v="152.80000000000001"/>
    <x v="2"/>
    <n v="1355474.04"/>
    <s v="152.80"/>
    <s v="jcortiz"/>
    <n v="0"/>
    <m/>
    <m/>
    <m/>
    <m/>
    <m/>
  </r>
  <r>
    <x v="0"/>
    <x v="0"/>
    <d v="2022-10-25T00:00:00"/>
    <d v="2022-10-25T00:00:00"/>
    <s v="Primario"/>
    <s v="EP 6322"/>
    <n v="107531"/>
    <s v="Pedido de entrada de mercancías - PN1791834399001"/>
    <m/>
    <m/>
    <n v="201040506"/>
    <s v="Facturas por Confirmar"/>
    <n v="418.4"/>
    <m/>
    <n v="418.4"/>
    <x v="2"/>
    <n v="1355892.44"/>
    <s v="418.40"/>
    <s v="jcortiz"/>
    <n v="0"/>
    <m/>
    <m/>
    <m/>
    <m/>
    <m/>
  </r>
  <r>
    <x v="0"/>
    <x v="0"/>
    <d v="2022-10-25T00:00:00"/>
    <d v="2022-10-25T00:00:00"/>
    <s v="FE001"/>
    <s v="NE 100015430"/>
    <n v="107532"/>
    <s v="Entregas - CN1791263308001"/>
    <m/>
    <s v="QUITO"/>
    <n v="51010101"/>
    <s v="Costo de ventas Quito"/>
    <m/>
    <n v="152.80000000000001"/>
    <n v="-152.80000000000001"/>
    <x v="1"/>
    <n v="1355739.64"/>
    <s v="-152.80"/>
    <s v="jcortiz"/>
    <n v="0"/>
    <m/>
    <s v="QUITO-PICHINCHA"/>
    <m/>
    <m/>
    <m/>
  </r>
  <r>
    <x v="0"/>
    <x v="0"/>
    <d v="2022-10-25T00:00:00"/>
    <d v="2022-10-25T00:00:00"/>
    <s v="FE001"/>
    <s v="NE 100015431"/>
    <n v="107535"/>
    <s v="Entregas - CN1791263308001"/>
    <m/>
    <s v="QUITO"/>
    <n v="51010101"/>
    <s v="Costo de ventas Quito"/>
    <m/>
    <n v="418.4"/>
    <n v="-418.4"/>
    <x v="1"/>
    <n v="1355321.24"/>
    <s v="-418.40"/>
    <s v="jcortiz"/>
    <n v="0"/>
    <m/>
    <s v="QUITO-PICHINCHA"/>
    <m/>
    <m/>
    <m/>
  </r>
  <r>
    <x v="0"/>
    <x v="0"/>
    <d v="2022-10-25T00:00:00"/>
    <d v="2022-10-25T00:00:00"/>
    <s v="FE001"/>
    <s v="NE 100015432"/>
    <n v="107537"/>
    <s v="Entregas - CN1791263308001"/>
    <m/>
    <s v="QUITO"/>
    <n v="51010101"/>
    <s v="Costo de ventas Quito"/>
    <m/>
    <n v="1202.6500000000001"/>
    <n v="-1202.6500000000001"/>
    <x v="1"/>
    <n v="1354118.59"/>
    <s v="-1202.65"/>
    <s v="jcortiz"/>
    <n v="0"/>
    <m/>
    <s v="QUITO-PICHINCHA"/>
    <m/>
    <m/>
    <m/>
  </r>
  <r>
    <x v="0"/>
    <x v="0"/>
    <d v="2022-10-25T00:00:00"/>
    <d v="2022-10-25T00:00:00"/>
    <s v="FE001"/>
    <s v="NE 100015433"/>
    <n v="107553"/>
    <s v="Entregas - CN1800313569001"/>
    <m/>
    <s v="QUITO"/>
    <n v="51010101"/>
    <s v="Costo de ventas Quito"/>
    <m/>
    <n v="99.6"/>
    <n v="-99.6"/>
    <x v="1"/>
    <n v="1354018.99"/>
    <s v="-99.60"/>
    <s v="jcortiz"/>
    <n v="0"/>
    <m/>
    <s v="QUITO-PICHINCHA"/>
    <m/>
    <m/>
    <m/>
  </r>
  <r>
    <x v="0"/>
    <x v="0"/>
    <d v="2022-10-25T00:00:00"/>
    <d v="2022-10-25T00:00:00"/>
    <s v="FE001"/>
    <s v="IM 100003358"/>
    <n v="107558"/>
    <s v="Traslados - CN1792079160001"/>
    <m/>
    <m/>
    <n v="101060402"/>
    <s v="Inventario de prod. term. y mercad. en Bodega BULLSYPPLY Coca"/>
    <n v="1657.74"/>
    <m/>
    <n v="1657.74"/>
    <x v="3"/>
    <n v="1355676.73"/>
    <s v="1657.74"/>
    <s v="jcortiz"/>
    <n v="0"/>
    <m/>
    <m/>
    <m/>
    <m/>
    <m/>
  </r>
  <r>
    <x v="0"/>
    <x v="0"/>
    <d v="2022-10-25T00:00:00"/>
    <d v="2022-10-25T00:00:00"/>
    <s v="Primario"/>
    <s v="EP 6323"/>
    <n v="107560"/>
    <s v="Pedido de entrada de mercancías - PN1791834399001"/>
    <m/>
    <m/>
    <n v="201040506"/>
    <s v="Facturas por Confirmar"/>
    <n v="640.6"/>
    <m/>
    <n v="640.6"/>
    <x v="2"/>
    <n v="1356317.33"/>
    <s v="640.60"/>
    <s v="jcortiz"/>
    <n v="0"/>
    <m/>
    <m/>
    <m/>
    <m/>
    <m/>
  </r>
  <r>
    <x v="0"/>
    <x v="0"/>
    <d v="2022-10-25T00:00:00"/>
    <d v="2022-10-25T00:00:00"/>
    <s v="FE001"/>
    <s v="NE 100015434"/>
    <n v="107561"/>
    <s v="Entregas - CN1790150569001"/>
    <m/>
    <s v="QUITO"/>
    <n v="51010101"/>
    <s v="Costo de ventas Quito"/>
    <m/>
    <n v="5118.3999999999996"/>
    <n v="-5118.3999999999996"/>
    <x v="1"/>
    <n v="1351198.93"/>
    <s v="-5118.40"/>
    <s v="jcortiz"/>
    <n v="0"/>
    <m/>
    <s v="QUITO-PICHINCHA"/>
    <m/>
    <m/>
    <m/>
  </r>
  <r>
    <x v="0"/>
    <x v="0"/>
    <d v="2022-10-25T00:00:00"/>
    <d v="2022-10-25T00:00:00"/>
    <s v="FE001"/>
    <s v="NE 100015435"/>
    <n v="107577"/>
    <s v="Entregas - CN1714787163001"/>
    <m/>
    <s v="QUITO"/>
    <n v="51010101"/>
    <s v="Costo de ventas Quito"/>
    <m/>
    <n v="145.32"/>
    <n v="-145.32"/>
    <x v="1"/>
    <n v="1351053.61"/>
    <s v="-145.32"/>
    <s v="jcortiz"/>
    <n v="0"/>
    <m/>
    <s v="QUITO-PICHINCHA"/>
    <m/>
    <m/>
    <m/>
  </r>
  <r>
    <x v="0"/>
    <x v="0"/>
    <d v="2022-10-25T00:00:00"/>
    <d v="2022-10-25T00:00:00"/>
    <s v="FE001"/>
    <s v="NE 100015436"/>
    <n v="107597"/>
    <s v="Entregas - CN1793121225001"/>
    <m/>
    <s v="QUITO"/>
    <n v="51010101"/>
    <s v="Costo de ventas Quito"/>
    <m/>
    <n v="24.83"/>
    <n v="-24.83"/>
    <x v="1"/>
    <n v="1351028.78"/>
    <s v="-24.83"/>
    <s v="jcortiz"/>
    <n v="0"/>
    <m/>
    <s v="QUITO-PICHINCHA"/>
    <m/>
    <m/>
    <m/>
  </r>
  <r>
    <x v="0"/>
    <x v="0"/>
    <d v="2022-10-25T00:00:00"/>
    <d v="2022-10-25T00:00:00"/>
    <s v="FE001"/>
    <s v="NE 100015572"/>
    <n v="108157"/>
    <s v="Entrega - Cancelación - CN1791263308001"/>
    <m/>
    <s v="QUITO"/>
    <n v="51010101"/>
    <s v="Costo de ventas Quito"/>
    <n v="418.4"/>
    <m/>
    <n v="418.4"/>
    <x v="1"/>
    <n v="1351447.18"/>
    <s v="418.40"/>
    <s v="jcortiz"/>
    <n v="0"/>
    <m/>
    <s v="QUITO-PICHINCHA"/>
    <m/>
    <m/>
    <m/>
  </r>
  <r>
    <x v="0"/>
    <x v="0"/>
    <d v="2022-10-25T00:00:00"/>
    <d v="2022-10-25T00:00:00"/>
    <s v="Anula"/>
    <s v="EP 200439"/>
    <n v="108158"/>
    <s v="Pedido de entrada de mercancías - Cancelación - PN"/>
    <m/>
    <m/>
    <n v="201040506"/>
    <s v="Facturas por Confirmar"/>
    <m/>
    <n v="418.4"/>
    <n v="-418.4"/>
    <x v="2"/>
    <n v="1351028.78"/>
    <s v="-418.40"/>
    <s v="jcortiz"/>
    <n v="0"/>
    <m/>
    <m/>
    <m/>
    <m/>
    <m/>
  </r>
  <r>
    <x v="0"/>
    <x v="0"/>
    <d v="2022-10-26T00:00:00"/>
    <d v="2022-10-26T00:00:00"/>
    <s v="Primario"/>
    <s v="SM 562"/>
    <n v="107615"/>
    <s v="Salida de mercancías"/>
    <m/>
    <s v="QUITO"/>
    <n v="51010101"/>
    <s v="Costo de ventas Quito"/>
    <m/>
    <n v="51.37"/>
    <n v="-51.37"/>
    <x v="1"/>
    <n v="1350977.41"/>
    <s v="-51.37"/>
    <s v="jcortiz"/>
    <n v="0"/>
    <m/>
    <s v="QUITO-PICHINCHA"/>
    <m/>
    <m/>
    <m/>
  </r>
  <r>
    <x v="0"/>
    <x v="0"/>
    <d v="2022-10-26T00:00:00"/>
    <d v="2022-10-26T00:00:00"/>
    <s v="Primario"/>
    <s v="SM 562"/>
    <n v="107615"/>
    <s v="Salida de mercancías"/>
    <m/>
    <s v="QUITO"/>
    <n v="51010103"/>
    <s v="Costo por Revalorización de Inventario"/>
    <m/>
    <n v="1.68"/>
    <n v="-1.68"/>
    <x v="7"/>
    <n v="1350975.73"/>
    <s v="-1.68"/>
    <s v="jcortiz"/>
    <n v="0"/>
    <m/>
    <s v="QUITO-PICHINCHA"/>
    <m/>
    <m/>
    <m/>
  </r>
  <r>
    <x v="0"/>
    <x v="0"/>
    <d v="2022-10-26T00:00:00"/>
    <d v="2022-10-26T00:00:00"/>
    <s v="FE001"/>
    <s v="NE 100015438"/>
    <n v="107616"/>
    <s v="Entregas - CN1718342270001"/>
    <m/>
    <s v="QUITO"/>
    <n v="51010101"/>
    <s v="Costo de ventas Quito"/>
    <m/>
    <n v="16.46"/>
    <n v="-16.46"/>
    <x v="1"/>
    <n v="1350959.27"/>
    <s v="-16.46"/>
    <s v="jcortiz"/>
    <n v="0"/>
    <m/>
    <s v="QUITO-PICHINCHA"/>
    <m/>
    <m/>
    <m/>
  </r>
  <r>
    <x v="0"/>
    <x v="0"/>
    <d v="2022-10-26T00:00:00"/>
    <d v="2022-10-26T00:00:00"/>
    <s v="Primario"/>
    <s v="SM 563"/>
    <n v="107617"/>
    <s v="Salida de mercancías"/>
    <m/>
    <s v="QUITO"/>
    <n v="51010101"/>
    <s v="Costo de ventas Quito"/>
    <m/>
    <n v="15.09"/>
    <n v="-15.09"/>
    <x v="1"/>
    <n v="1350944.18"/>
    <s v="-15.09"/>
    <s v="jcortiz"/>
    <n v="0"/>
    <m/>
    <s v="QUITO-PICHINCHA"/>
    <m/>
    <m/>
    <m/>
  </r>
  <r>
    <x v="0"/>
    <x v="0"/>
    <d v="2022-10-26T00:00:00"/>
    <d v="2022-10-26T00:00:00"/>
    <s v="Primario"/>
    <s v="EM 1712"/>
    <n v="107618"/>
    <s v="Entrada de mercancías"/>
    <m/>
    <s v="QUITO"/>
    <n v="401030105"/>
    <s v="Otros Ingresos"/>
    <n v="60.12"/>
    <m/>
    <n v="60.12"/>
    <x v="5"/>
    <n v="1351004.3"/>
    <s v="60.12"/>
    <s v="jcortiz"/>
    <n v="0"/>
    <m/>
    <s v="QUITO-PICHINCHA"/>
    <m/>
    <m/>
    <m/>
  </r>
  <r>
    <x v="0"/>
    <x v="0"/>
    <d v="2022-10-26T00:00:00"/>
    <d v="2022-10-26T00:00:00"/>
    <s v="FE001"/>
    <s v="IM 100003359"/>
    <n v="107621"/>
    <s v="Traslados - CN1792079160001"/>
    <m/>
    <m/>
    <n v="101060402"/>
    <s v="Inventario de prod. term. y mercad. en Bodega BULLSYPPLY Coca"/>
    <n v="72.2"/>
    <m/>
    <n v="72.2"/>
    <x v="3"/>
    <n v="1351076.5"/>
    <s v="72.20"/>
    <s v="ancueva"/>
    <n v="0"/>
    <m/>
    <m/>
    <m/>
    <m/>
    <m/>
  </r>
  <r>
    <x v="0"/>
    <x v="0"/>
    <d v="2022-10-26T00:00:00"/>
    <d v="2022-10-26T00:00:00"/>
    <s v="FE001"/>
    <s v="NE 100015440"/>
    <n v="107628"/>
    <s v="Entregas - CN1714787163001"/>
    <m/>
    <s v="QUITO"/>
    <n v="51010101"/>
    <s v="Costo de ventas Quito"/>
    <m/>
    <n v="76.03"/>
    <n v="-76.03"/>
    <x v="1"/>
    <n v="1351000.47"/>
    <s v="-76.03"/>
    <s v="jcortiz"/>
    <n v="0"/>
    <m/>
    <s v="QUITO-PICHINCHA"/>
    <m/>
    <m/>
    <m/>
  </r>
  <r>
    <x v="0"/>
    <x v="0"/>
    <d v="2022-10-26T00:00:00"/>
    <d v="2022-10-26T00:00:00"/>
    <s v="FE001"/>
    <s v="NE 100015441"/>
    <n v="107629"/>
    <s v="Entregas - CN1791734920001"/>
    <m/>
    <s v="QUITO"/>
    <n v="51010101"/>
    <s v="Costo de ventas Quito"/>
    <m/>
    <n v="52.26"/>
    <n v="-52.26"/>
    <x v="1"/>
    <n v="1350948.21"/>
    <s v="-52.26"/>
    <s v="jcortiz"/>
    <n v="0"/>
    <m/>
    <s v="QUITO-PICHINCHA"/>
    <m/>
    <m/>
    <m/>
  </r>
  <r>
    <x v="0"/>
    <x v="0"/>
    <d v="2022-10-26T00:00:00"/>
    <d v="2022-10-26T00:00:00"/>
    <s v="FE001"/>
    <s v="NE 100015442"/>
    <n v="107631"/>
    <s v="Entregas - CN1801252170001"/>
    <m/>
    <s v="QUITO"/>
    <n v="51010101"/>
    <s v="Costo de ventas Quito"/>
    <m/>
    <n v="18.64"/>
    <n v="-18.64"/>
    <x v="1"/>
    <n v="1350929.57"/>
    <s v="-18.64"/>
    <s v="jcortiz"/>
    <n v="0"/>
    <m/>
    <s v="QUITO-PICHINCHA"/>
    <m/>
    <m/>
    <m/>
  </r>
  <r>
    <x v="0"/>
    <x v="0"/>
    <d v="2022-10-26T00:00:00"/>
    <d v="2022-10-26T00:00:00"/>
    <s v="FE001"/>
    <s v="NE 100015443"/>
    <n v="107632"/>
    <s v="Entregas - CN1102853817001"/>
    <m/>
    <s v="QUITO"/>
    <n v="51010101"/>
    <s v="Costo de ventas Quito"/>
    <m/>
    <n v="45.34"/>
    <n v="-45.34"/>
    <x v="1"/>
    <n v="1350884.23"/>
    <s v="-45.34"/>
    <s v="jcortiz"/>
    <n v="0"/>
    <m/>
    <s v="QUITO-PICHINCHA"/>
    <m/>
    <m/>
    <m/>
  </r>
  <r>
    <x v="0"/>
    <x v="0"/>
    <d v="2022-10-26T00:00:00"/>
    <d v="2022-10-26T00:00:00"/>
    <s v="FE001"/>
    <s v="NE 100015444"/>
    <n v="107633"/>
    <s v="Entregas - CN1792367107001"/>
    <m/>
    <s v="QUITO"/>
    <n v="51010101"/>
    <s v="Costo de ventas Quito"/>
    <m/>
    <n v="117.19"/>
    <n v="-117.19"/>
    <x v="1"/>
    <n v="1350767.04"/>
    <s v="-117.19"/>
    <s v="jcortiz"/>
    <n v="0"/>
    <m/>
    <s v="QUITO-PICHINCHA"/>
    <m/>
    <m/>
    <m/>
  </r>
  <r>
    <x v="0"/>
    <x v="0"/>
    <d v="2022-10-26T00:00:00"/>
    <d v="2022-10-26T00:00:00"/>
    <s v="FE001"/>
    <s v="IM 100003360"/>
    <n v="107634"/>
    <s v="Traslados - CN1792079160001"/>
    <m/>
    <m/>
    <n v="101060407"/>
    <s v="Inventario de prod. term. y mercad. en Bodega muestras"/>
    <m/>
    <n v="99.39"/>
    <n v="-99.39"/>
    <x v="3"/>
    <n v="1350667.65"/>
    <s v="-99.39"/>
    <s v="jcortiz"/>
    <n v="0"/>
    <m/>
    <m/>
    <m/>
    <m/>
    <m/>
  </r>
  <r>
    <x v="0"/>
    <x v="0"/>
    <d v="2022-10-26T00:00:00"/>
    <d v="2022-10-26T00:00:00"/>
    <s v="FE001"/>
    <s v="NE 100015445"/>
    <n v="107635"/>
    <s v="Entregas - CN1708294978001"/>
    <m/>
    <s v="QUITO"/>
    <n v="51010101"/>
    <s v="Costo de ventas Quito"/>
    <m/>
    <n v="29.31"/>
    <n v="-29.31"/>
    <x v="1"/>
    <n v="1350638.34"/>
    <s v="-29.31"/>
    <s v="jcortiz"/>
    <n v="0"/>
    <m/>
    <s v="QUITO-PICHINCHA"/>
    <m/>
    <m/>
    <m/>
  </r>
  <r>
    <x v="0"/>
    <x v="0"/>
    <d v="2022-10-26T00:00:00"/>
    <d v="2022-10-26T00:00:00"/>
    <s v="FE001"/>
    <s v="IM 100003361"/>
    <n v="107640"/>
    <s v="Traslados - CN1792079160001"/>
    <m/>
    <m/>
    <n v="101060402"/>
    <s v="Inventario de prod. term. y mercad. en Bodega BULLSYPPLY Coca"/>
    <m/>
    <n v="14.29"/>
    <n v="-14.29"/>
    <x v="3"/>
    <n v="1350624.05"/>
    <s v="-14.29"/>
    <s v="jcortiz"/>
    <n v="0"/>
    <m/>
    <m/>
    <m/>
    <m/>
    <m/>
  </r>
  <r>
    <x v="0"/>
    <x v="0"/>
    <d v="2022-10-26T00:00:00"/>
    <d v="2022-10-26T00:00:00"/>
    <s v="Primario"/>
    <s v="EP 6324"/>
    <n v="107644"/>
    <s v="Pedido de entrada de mercancías - PN1791834399001"/>
    <m/>
    <m/>
    <n v="201040506"/>
    <s v="Facturas por Confirmar"/>
    <n v="346"/>
    <m/>
    <n v="346"/>
    <x v="2"/>
    <n v="1350970.05"/>
    <s v="346.00"/>
    <s v="jcortiz"/>
    <n v="0"/>
    <m/>
    <m/>
    <m/>
    <m/>
    <m/>
  </r>
  <r>
    <x v="0"/>
    <x v="0"/>
    <d v="2022-10-26T00:00:00"/>
    <d v="2022-10-26T00:00:00"/>
    <s v="FE001"/>
    <s v="NE 100015446"/>
    <n v="107645"/>
    <s v="Entregas - CN1791263308001"/>
    <m/>
    <s v="QUITO"/>
    <n v="51010101"/>
    <s v="Costo de ventas Quito"/>
    <m/>
    <n v="346"/>
    <n v="-346"/>
    <x v="1"/>
    <n v="1350624.05"/>
    <s v="-346.00"/>
    <s v="jcortiz"/>
    <n v="0"/>
    <m/>
    <s v="QUITO-PICHINCHA"/>
    <m/>
    <m/>
    <m/>
  </r>
  <r>
    <x v="0"/>
    <x v="0"/>
    <d v="2022-10-26T00:00:00"/>
    <d v="2022-10-26T00:00:00"/>
    <s v="Primario"/>
    <s v="SM 564"/>
    <n v="107646"/>
    <s v="Salida de mercancías"/>
    <m/>
    <s v="QUITO"/>
    <n v="51010101"/>
    <s v="Costo de ventas Quito"/>
    <m/>
    <n v="214.86"/>
    <n v="-214.86"/>
    <x v="1"/>
    <n v="1350409.19"/>
    <s v="-214.86"/>
    <s v="jcortiz"/>
    <n v="0"/>
    <m/>
    <s v="QUITO-PICHINCHA"/>
    <m/>
    <m/>
    <m/>
  </r>
  <r>
    <x v="0"/>
    <x v="0"/>
    <d v="2022-10-26T00:00:00"/>
    <d v="2022-10-26T00:00:00"/>
    <s v="Primario"/>
    <s v="EM 1713"/>
    <n v="107647"/>
    <s v="Entrada de mercancías"/>
    <m/>
    <s v="QUITO"/>
    <n v="401030105"/>
    <s v="Otros Ingresos"/>
    <n v="254.9"/>
    <m/>
    <n v="254.9"/>
    <x v="5"/>
    <n v="1350664.09"/>
    <s v="254.90"/>
    <s v="jcortiz"/>
    <n v="0"/>
    <m/>
    <s v="QUITO-PICHINCHA"/>
    <m/>
    <m/>
    <m/>
  </r>
  <r>
    <x v="0"/>
    <x v="0"/>
    <d v="2022-10-26T00:00:00"/>
    <d v="2022-10-26T00:00:00"/>
    <s v="FE001"/>
    <s v="NE 100015447"/>
    <n v="107648"/>
    <s v="Entregas - CN1791847776001"/>
    <m/>
    <s v="QUITO"/>
    <n v="51010101"/>
    <s v="Costo de ventas Quito"/>
    <m/>
    <n v="254.9"/>
    <n v="-254.9"/>
    <x v="1"/>
    <n v="1350409.19"/>
    <s v="-254.90"/>
    <s v="jcortiz"/>
    <n v="0"/>
    <m/>
    <s v="QUITO-PICHINCHA"/>
    <m/>
    <m/>
    <m/>
  </r>
  <r>
    <x v="0"/>
    <x v="0"/>
    <d v="2022-10-26T00:00:00"/>
    <d v="2022-10-26T00:00:00"/>
    <s v="FE001"/>
    <s v="RC 100000667"/>
    <n v="107649"/>
    <s v="Notas de crédito clientes - CN0101692655001"/>
    <m/>
    <s v="QUITO"/>
    <s v="CN0101692655001"/>
    <s v="GALAN RODRIGUEZ VICENTE TEODORO"/>
    <n v="136.53"/>
    <m/>
    <n v="136.53"/>
    <x v="4"/>
    <n v="1350545.72"/>
    <s v="136.53"/>
    <s v="gcali"/>
    <n v="0"/>
    <m/>
    <s v="QUITO-PICHINCHA"/>
    <m/>
    <m/>
    <m/>
  </r>
  <r>
    <x v="0"/>
    <x v="0"/>
    <d v="2022-10-26T00:00:00"/>
    <d v="2022-10-26T00:00:00"/>
    <s v="Primario"/>
    <s v="EP 6325"/>
    <n v="107653"/>
    <s v="Pedido de entrada de mercancías - PN0992124628001"/>
    <m/>
    <m/>
    <n v="201040506"/>
    <s v="Facturas por Confirmar"/>
    <n v="38.4"/>
    <m/>
    <n v="38.4"/>
    <x v="2"/>
    <n v="1350584.12"/>
    <s v="38.40"/>
    <s v="jcortiz"/>
    <n v="0"/>
    <m/>
    <m/>
    <m/>
    <m/>
    <m/>
  </r>
  <r>
    <x v="0"/>
    <x v="0"/>
    <d v="2022-10-26T00:00:00"/>
    <d v="2022-10-26T00:00:00"/>
    <s v="Primario"/>
    <s v="EP 6326"/>
    <n v="107654"/>
    <s v="Pedido de entrada de mercancías - PN0992860499001"/>
    <m/>
    <m/>
    <n v="201040506"/>
    <s v="Facturas por Confirmar"/>
    <n v="141.72"/>
    <m/>
    <n v="141.72"/>
    <x v="2"/>
    <n v="1350725.84"/>
    <s v="141.72"/>
    <s v="jcortiz"/>
    <n v="0"/>
    <m/>
    <m/>
    <m/>
    <m/>
    <m/>
  </r>
  <r>
    <x v="0"/>
    <x v="0"/>
    <d v="2022-10-26T00:00:00"/>
    <d v="2022-10-26T00:00:00"/>
    <s v="Primario"/>
    <s v="SM 565"/>
    <n v="107655"/>
    <s v="Salida de mercancías"/>
    <m/>
    <s v="QUITO"/>
    <n v="51010101"/>
    <s v="Costo de ventas Quito"/>
    <m/>
    <n v="46.02"/>
    <n v="-46.02"/>
    <x v="1"/>
    <n v="1350679.82"/>
    <s v="-46.02"/>
    <s v="jcortiz"/>
    <n v="0"/>
    <m/>
    <s v="QUITO-PICHINCHA"/>
    <m/>
    <m/>
    <m/>
  </r>
  <r>
    <x v="0"/>
    <x v="0"/>
    <d v="2022-10-26T00:00:00"/>
    <d v="2022-10-26T00:00:00"/>
    <s v="Primario"/>
    <s v="EM 1714"/>
    <n v="107656"/>
    <s v="Entrada de mercancías"/>
    <m/>
    <s v="QUITO"/>
    <n v="51010103"/>
    <s v="Costo por Revalorización de Inventario"/>
    <n v="46.02"/>
    <m/>
    <n v="46.02"/>
    <x v="7"/>
    <n v="1350725.84"/>
    <s v="46.02"/>
    <s v="jcortiz"/>
    <n v="0"/>
    <m/>
    <s v="QUITO-PICHINCHA"/>
    <m/>
    <m/>
    <m/>
  </r>
  <r>
    <x v="0"/>
    <x v="0"/>
    <d v="2022-10-26T00:00:00"/>
    <d v="2022-10-26T00:00:00"/>
    <s v="FE001"/>
    <s v="IM 100003362"/>
    <n v="107658"/>
    <s v="Traslados - CN1792079160001"/>
    <m/>
    <m/>
    <n v="101060408"/>
    <s v="Inventario de prod. term. y mercad. en Bodega importaciones"/>
    <m/>
    <n v="141.84"/>
    <n v="-141.84"/>
    <x v="3"/>
    <n v="1350584"/>
    <s v="-141.84"/>
    <s v="jcortiz"/>
    <n v="0"/>
    <m/>
    <m/>
    <m/>
    <m/>
    <m/>
  </r>
  <r>
    <x v="0"/>
    <x v="0"/>
    <d v="2022-10-27T00:00:00"/>
    <d v="2022-10-27T00:00:00"/>
    <s v="FE001"/>
    <s v="NE 100015450"/>
    <n v="107662"/>
    <s v="Entregas - CN1791734920001"/>
    <m/>
    <s v="QUITO"/>
    <n v="51010101"/>
    <s v="Costo de ventas Quito"/>
    <m/>
    <n v="547.29"/>
    <n v="-547.29"/>
    <x v="1"/>
    <n v="1350036.71"/>
    <s v="-547.29"/>
    <s v="jcortiz"/>
    <n v="0"/>
    <m/>
    <s v="QUITO-PICHINCHA"/>
    <m/>
    <m/>
    <m/>
  </r>
  <r>
    <x v="0"/>
    <x v="0"/>
    <d v="2022-10-27T00:00:00"/>
    <d v="2022-10-27T00:00:00"/>
    <s v="FE001"/>
    <s v="RC 100000668"/>
    <n v="107663"/>
    <s v="Notas de crédito clientes - CN1791734920001"/>
    <m/>
    <s v="QUITO"/>
    <s v="CN1791734920001"/>
    <s v="SEDEMI SERVICIOS DE MECANICA INDUSTRIAL DISENO CONSTRUCCION Y MONTAJE S.C.C"/>
    <n v="561.63"/>
    <m/>
    <n v="561.63"/>
    <x v="4"/>
    <n v="1350598.34"/>
    <s v="561.63"/>
    <s v="gcali"/>
    <n v="0"/>
    <m/>
    <s v="QUITO-PICHINCHA"/>
    <m/>
    <m/>
    <m/>
  </r>
  <r>
    <x v="0"/>
    <x v="0"/>
    <d v="2022-10-27T00:00:00"/>
    <d v="2022-10-27T00:00:00"/>
    <s v="FE001"/>
    <s v="NE 100015451"/>
    <n v="107666"/>
    <s v="Entregas - CN1792055415001"/>
    <m/>
    <s v="QUITO"/>
    <n v="51010101"/>
    <s v="Costo de ventas Quito"/>
    <m/>
    <n v="38.44"/>
    <n v="-38.44"/>
    <x v="1"/>
    <n v="1350559.9"/>
    <s v="-38.44"/>
    <s v="jcortiz"/>
    <n v="0"/>
    <m/>
    <s v="QUITO-PICHINCHA"/>
    <m/>
    <m/>
    <m/>
  </r>
  <r>
    <x v="0"/>
    <x v="0"/>
    <d v="2022-10-27T00:00:00"/>
    <d v="2022-10-27T00:00:00"/>
    <s v="Primario"/>
    <s v="EP 6327"/>
    <n v="107681"/>
    <s v="Pedido de entrada de mercancías - PN1791834399001"/>
    <m/>
    <m/>
    <n v="201040506"/>
    <s v="Facturas por Confirmar"/>
    <n v="97.92"/>
    <m/>
    <n v="97.92"/>
    <x v="2"/>
    <n v="1350657.82"/>
    <s v="97.92"/>
    <s v="jcortiz"/>
    <n v="0"/>
    <m/>
    <m/>
    <m/>
    <m/>
    <m/>
  </r>
  <r>
    <x v="0"/>
    <x v="0"/>
    <d v="2022-10-27T00:00:00"/>
    <d v="2022-10-27T00:00:00"/>
    <s v="Primario"/>
    <s v="EP 6328"/>
    <n v="107682"/>
    <s v="Pedido de entrada de mercancías - PN1791834399001"/>
    <m/>
    <m/>
    <n v="201040506"/>
    <s v="Facturas por Confirmar"/>
    <n v="503.36"/>
    <m/>
    <n v="503.36"/>
    <x v="2"/>
    <n v="1351161.18"/>
    <s v="503.36"/>
    <s v="jcortiz"/>
    <n v="0"/>
    <m/>
    <m/>
    <m/>
    <m/>
    <m/>
  </r>
  <r>
    <x v="0"/>
    <x v="0"/>
    <d v="2022-10-27T00:00:00"/>
    <d v="2022-10-27T00:00:00"/>
    <s v="Primario"/>
    <s v="EP 6329"/>
    <n v="107716"/>
    <s v="Pedido de entrada de mercancías - PN0103669644001"/>
    <m/>
    <m/>
    <n v="201040506"/>
    <s v="Facturas por Confirmar"/>
    <n v="411"/>
    <m/>
    <n v="411"/>
    <x v="2"/>
    <n v="1351572.18"/>
    <s v="411.00"/>
    <s v="jcortiz"/>
    <n v="0"/>
    <m/>
    <m/>
    <m/>
    <m/>
    <m/>
  </r>
  <r>
    <x v="0"/>
    <x v="0"/>
    <d v="2022-10-27T00:00:00"/>
    <d v="2022-10-27T00:00:00"/>
    <s v="FE001"/>
    <s v="IM 100003363"/>
    <n v="107719"/>
    <s v="Traslados - CN1792079160001"/>
    <m/>
    <m/>
    <n v="101060402"/>
    <s v="Inventario de prod. term. y mercad. en Bodega BULLSYPPLY Coca"/>
    <m/>
    <n v="411"/>
    <n v="-411"/>
    <x v="3"/>
    <n v="1351161.18"/>
    <s v="-411.00"/>
    <s v="jcortiz"/>
    <n v="0"/>
    <m/>
    <m/>
    <m/>
    <m/>
    <m/>
  </r>
  <r>
    <x v="0"/>
    <x v="0"/>
    <d v="2022-10-27T00:00:00"/>
    <d v="2022-10-27T00:00:00"/>
    <s v="FE001"/>
    <s v="NE 100015452"/>
    <n v="107720"/>
    <s v="Entregas - CN1102853817001"/>
    <m/>
    <s v="QUITO"/>
    <n v="51010101"/>
    <s v="Costo de ventas Quito"/>
    <m/>
    <n v="5.17"/>
    <n v="-5.17"/>
    <x v="1"/>
    <n v="1351156.01"/>
    <s v="-5.17"/>
    <s v="jcortiz"/>
    <n v="0"/>
    <m/>
    <s v="QUITO-PICHINCHA"/>
    <m/>
    <m/>
    <m/>
  </r>
  <r>
    <x v="0"/>
    <x v="0"/>
    <d v="2022-10-27T00:00:00"/>
    <d v="2022-10-27T00:00:00"/>
    <s v="Primario"/>
    <s v="EP 6330"/>
    <n v="107723"/>
    <s v="Pedido de entrada de mercancías - PN1791834399001"/>
    <m/>
    <m/>
    <n v="201040506"/>
    <s v="Facturas por Confirmar"/>
    <n v="452.37"/>
    <m/>
    <n v="452.37"/>
    <x v="2"/>
    <n v="1351608.38"/>
    <s v="452.37"/>
    <s v="jcortiz"/>
    <n v="0"/>
    <m/>
    <m/>
    <m/>
    <m/>
    <m/>
  </r>
  <r>
    <x v="0"/>
    <x v="0"/>
    <d v="2022-10-27T00:00:00"/>
    <d v="2022-10-27T00:00:00"/>
    <s v="FE001"/>
    <s v="NE 100015453"/>
    <n v="107725"/>
    <s v="Entregas - CN1791263308001"/>
    <m/>
    <s v="QUITO"/>
    <n v="51010101"/>
    <s v="Costo de ventas Quito"/>
    <m/>
    <n v="452.37"/>
    <n v="-452.37"/>
    <x v="1"/>
    <n v="1351156.01"/>
    <s v="-452.37"/>
    <s v="jcortiz"/>
    <n v="0"/>
    <m/>
    <s v="QUITO-PICHINCHA"/>
    <m/>
    <m/>
    <m/>
  </r>
  <r>
    <x v="0"/>
    <x v="0"/>
    <d v="2022-10-27T00:00:00"/>
    <d v="2022-10-27T00:00:00"/>
    <s v="Primario"/>
    <s v="SM 566"/>
    <n v="107729"/>
    <s v="Salida de mercancías"/>
    <m/>
    <s v="QUITO"/>
    <n v="51010101"/>
    <s v="Costo de ventas Quito"/>
    <m/>
    <n v="166.5"/>
    <n v="-166.5"/>
    <x v="1"/>
    <n v="1350989.51"/>
    <s v="-166.50"/>
    <s v="jcortiz"/>
    <n v="0"/>
    <m/>
    <s v="QUITO-PICHINCHA"/>
    <m/>
    <m/>
    <m/>
  </r>
  <r>
    <x v="0"/>
    <x v="0"/>
    <d v="2022-10-27T00:00:00"/>
    <d v="2022-10-27T00:00:00"/>
    <s v="Primario"/>
    <s v="EM 1715"/>
    <n v="107731"/>
    <s v="Entrada de mercancías"/>
    <m/>
    <s v="QUITO"/>
    <n v="401030105"/>
    <s v="Otros Ingresos"/>
    <n v="270.54000000000002"/>
    <m/>
    <n v="270.54000000000002"/>
    <x v="5"/>
    <n v="1351260.05"/>
    <s v="270.54"/>
    <s v="jcortiz"/>
    <n v="0"/>
    <m/>
    <s v="QUITO-PICHINCHA"/>
    <m/>
    <m/>
    <m/>
  </r>
  <r>
    <x v="0"/>
    <x v="0"/>
    <d v="2022-10-27T00:00:00"/>
    <d v="2022-10-27T00:00:00"/>
    <s v="FE001"/>
    <s v="IM 100003364"/>
    <n v="107732"/>
    <s v="Traslados - CN1792079160001"/>
    <m/>
    <m/>
    <n v="101060402"/>
    <s v="Inventario de prod. term. y mercad. en Bodega BULLSYPPLY Coca"/>
    <m/>
    <n v="270.54000000000002"/>
    <n v="-270.54000000000002"/>
    <x v="3"/>
    <n v="1350989.51"/>
    <s v="-270.54"/>
    <s v="jcortiz"/>
    <n v="0"/>
    <m/>
    <m/>
    <m/>
    <m/>
    <m/>
  </r>
  <r>
    <x v="0"/>
    <x v="0"/>
    <d v="2022-10-27T00:00:00"/>
    <d v="2022-10-27T00:00:00"/>
    <s v="Primario"/>
    <s v="EP 6331"/>
    <n v="107733"/>
    <s v="Pedido de entrada de mercancías - PN1791834399001"/>
    <m/>
    <m/>
    <n v="201040506"/>
    <s v="Facturas por Confirmar"/>
    <n v="459.16"/>
    <m/>
    <n v="459.16"/>
    <x v="2"/>
    <n v="1351448.67"/>
    <s v="459.16"/>
    <s v="jcortiz"/>
    <n v="0"/>
    <m/>
    <m/>
    <m/>
    <m/>
    <m/>
  </r>
  <r>
    <x v="0"/>
    <x v="0"/>
    <d v="2022-10-27T00:00:00"/>
    <d v="2022-10-27T00:00:00"/>
    <s v="FE001"/>
    <s v="IM 100003365"/>
    <n v="107736"/>
    <s v="Traslados - CN1792079160001"/>
    <m/>
    <m/>
    <n v="101060402"/>
    <s v="Inventario de prod. term. y mercad. en Bodega BULLSYPPLY Coca"/>
    <m/>
    <n v="458.41"/>
    <n v="-458.41"/>
    <x v="3"/>
    <n v="1350990.26"/>
    <s v="-458.41"/>
    <s v="jcortiz"/>
    <n v="0"/>
    <m/>
    <m/>
    <m/>
    <m/>
    <m/>
  </r>
  <r>
    <x v="0"/>
    <x v="0"/>
    <d v="2022-10-27T00:00:00"/>
    <d v="2022-10-27T00:00:00"/>
    <s v="Primario"/>
    <s v="EP 6332"/>
    <n v="107739"/>
    <s v="Pedido de entrada de mercancías - PN1791834399001"/>
    <m/>
    <m/>
    <n v="201040506"/>
    <s v="Facturas por Confirmar"/>
    <n v="1162.46"/>
    <m/>
    <n v="1162.46"/>
    <x v="2"/>
    <n v="1352152.72"/>
    <s v="1162.46"/>
    <s v="jcortiz"/>
    <n v="0"/>
    <m/>
    <m/>
    <m/>
    <m/>
    <m/>
  </r>
  <r>
    <x v="0"/>
    <x v="0"/>
    <d v="2022-10-27T00:00:00"/>
    <d v="2022-10-27T00:00:00"/>
    <s v="FE001"/>
    <s v="NE 100015454"/>
    <n v="107741"/>
    <s v="Entregas - CN1791263308001"/>
    <m/>
    <s v="QUITO"/>
    <n v="51010101"/>
    <s v="Costo de ventas Quito"/>
    <m/>
    <n v="1162.46"/>
    <n v="-1162.46"/>
    <x v="1"/>
    <n v="1350990.26"/>
    <s v="-1162.46"/>
    <s v="jcortiz"/>
    <n v="0"/>
    <m/>
    <s v="QUITO-PICHINCHA"/>
    <m/>
    <m/>
    <m/>
  </r>
  <r>
    <x v="0"/>
    <x v="0"/>
    <d v="2022-10-27T00:00:00"/>
    <d v="2022-10-27T00:00:00"/>
    <s v="FE001"/>
    <s v="NE 100015455"/>
    <n v="107747"/>
    <s v="Entregas - CN1715188270001"/>
    <m/>
    <s v="QUITO"/>
    <n v="51010101"/>
    <s v="Costo de ventas Quito"/>
    <m/>
    <n v="203.97"/>
    <n v="-203.97"/>
    <x v="1"/>
    <n v="1350786.29"/>
    <s v="-203.97"/>
    <s v="jcortiz"/>
    <n v="0"/>
    <m/>
    <s v="QUITO-PICHINCHA"/>
    <m/>
    <m/>
    <m/>
  </r>
  <r>
    <x v="0"/>
    <x v="0"/>
    <d v="2022-10-28T00:00:00"/>
    <d v="2022-10-28T00:00:00"/>
    <s v="FE001"/>
    <s v="NE 100015456"/>
    <n v="107754"/>
    <s v="Entregas - CN1716004005001"/>
    <m/>
    <s v="QUITO"/>
    <n v="51010101"/>
    <s v="Costo de ventas Quito"/>
    <m/>
    <n v="503.36"/>
    <n v="-503.36"/>
    <x v="1"/>
    <n v="1350282.93"/>
    <s v="-503.36"/>
    <s v="jcortiz"/>
    <n v="0"/>
    <m/>
    <s v="QUITO-PICHINCHA"/>
    <m/>
    <m/>
    <m/>
  </r>
  <r>
    <x v="0"/>
    <x v="0"/>
    <d v="2022-10-28T00:00:00"/>
    <d v="2022-10-28T00:00:00"/>
    <s v="Primario"/>
    <s v="EP 6333"/>
    <n v="107761"/>
    <s v="Pedido de entrada de mercancías - PN1791834399001"/>
    <m/>
    <m/>
    <n v="201040506"/>
    <s v="Facturas por Confirmar"/>
    <n v="65.45"/>
    <m/>
    <n v="65.45"/>
    <x v="2"/>
    <n v="1350348.38"/>
    <s v="65.45"/>
    <s v="jcortiz"/>
    <n v="0"/>
    <m/>
    <m/>
    <m/>
    <m/>
    <m/>
  </r>
  <r>
    <x v="0"/>
    <x v="0"/>
    <d v="2022-10-28T00:00:00"/>
    <d v="2022-10-28T00:00:00"/>
    <s v="Primario"/>
    <s v="EP 6334"/>
    <n v="107762"/>
    <s v="Pedido de entrada de mercancías - PN1791834399001"/>
    <m/>
    <m/>
    <n v="201040506"/>
    <s v="Facturas por Confirmar"/>
    <n v="1189.46"/>
    <m/>
    <n v="1189.46"/>
    <x v="2"/>
    <n v="1351537.84"/>
    <s v="1189.46"/>
    <s v="jcortiz"/>
    <n v="0"/>
    <m/>
    <m/>
    <m/>
    <m/>
    <m/>
  </r>
  <r>
    <x v="0"/>
    <x v="0"/>
    <d v="2022-10-28T00:00:00"/>
    <d v="2022-10-28T00:00:00"/>
    <s v="Primario"/>
    <s v="EP 6335"/>
    <n v="107763"/>
    <s v="Pedido de entrada de mercancías - PN1791834399001"/>
    <m/>
    <m/>
    <n v="201040506"/>
    <s v="Facturas por Confirmar"/>
    <n v="226.71"/>
    <m/>
    <n v="226.71"/>
    <x v="2"/>
    <n v="1351764.55"/>
    <s v="226.71"/>
    <s v="jcortiz"/>
    <n v="0"/>
    <m/>
    <m/>
    <m/>
    <m/>
    <m/>
  </r>
  <r>
    <x v="0"/>
    <x v="0"/>
    <d v="2022-10-28T00:00:00"/>
    <d v="2022-10-28T00:00:00"/>
    <s v="Primario"/>
    <s v="EP 6336"/>
    <n v="107764"/>
    <s v="Pedido de entrada de mercancías - PN1791834399001"/>
    <m/>
    <m/>
    <n v="201040506"/>
    <s v="Facturas por Confirmar"/>
    <n v="1954.46"/>
    <m/>
    <n v="1954.46"/>
    <x v="2"/>
    <n v="1353719.01"/>
    <s v="1954.46"/>
    <s v="jcortiz"/>
    <n v="0"/>
    <m/>
    <m/>
    <m/>
    <m/>
    <m/>
  </r>
  <r>
    <x v="0"/>
    <x v="0"/>
    <d v="2022-10-28T00:00:00"/>
    <d v="2022-10-28T00:00:00"/>
    <s v="FE001"/>
    <s v="NE 100015457"/>
    <n v="107765"/>
    <s v="Entregas - CN1792970717001"/>
    <m/>
    <s v="QUITO"/>
    <n v="51010101"/>
    <s v="Costo de ventas Quito"/>
    <m/>
    <n v="91.62"/>
    <n v="-91.62"/>
    <x v="1"/>
    <n v="1353627.39"/>
    <s v="-91.62"/>
    <s v="jcortiz"/>
    <n v="0"/>
    <m/>
    <s v="QUITO-PICHINCHA"/>
    <m/>
    <m/>
    <m/>
  </r>
  <r>
    <x v="0"/>
    <x v="0"/>
    <d v="2022-10-28T00:00:00"/>
    <d v="2022-10-28T00:00:00"/>
    <s v="FE001"/>
    <s v="NE 100015458"/>
    <n v="107767"/>
    <s v="Entregas - CN1790150569001"/>
    <m/>
    <s v="QUITO"/>
    <n v="51010101"/>
    <s v="Costo de ventas Quito"/>
    <m/>
    <n v="226.71"/>
    <n v="-226.71"/>
    <x v="1"/>
    <n v="1353400.68"/>
    <s v="-226.71"/>
    <s v="jcortiz"/>
    <n v="0"/>
    <m/>
    <s v="QUITO-PICHINCHA"/>
    <m/>
    <m/>
    <m/>
  </r>
  <r>
    <x v="0"/>
    <x v="0"/>
    <d v="2022-10-28T00:00:00"/>
    <d v="2022-10-28T00:00:00"/>
    <s v="FE001"/>
    <s v="NE 100015459"/>
    <n v="107769"/>
    <s v="Entregas - CN1791847776001"/>
    <m/>
    <s v="QUITO"/>
    <n v="51010101"/>
    <s v="Costo de ventas Quito"/>
    <m/>
    <n v="341.06"/>
    <n v="-341.06"/>
    <x v="1"/>
    <n v="1353059.62"/>
    <s v="-341.06"/>
    <s v="jcortiz"/>
    <n v="0"/>
    <m/>
    <s v="QUITO-PICHINCHA"/>
    <m/>
    <m/>
    <m/>
  </r>
  <r>
    <x v="0"/>
    <x v="0"/>
    <d v="2022-10-28T00:00:00"/>
    <d v="2022-10-28T00:00:00"/>
    <s v="FE001"/>
    <s v="NE 100015460"/>
    <n v="107770"/>
    <s v="Entregas - CN1791847776001"/>
    <m/>
    <s v="QUITO"/>
    <n v="51010101"/>
    <s v="Costo de ventas Quito"/>
    <m/>
    <n v="77.81"/>
    <n v="-77.81"/>
    <x v="1"/>
    <n v="1352981.81"/>
    <s v="-77.81"/>
    <s v="jcortiz"/>
    <n v="0"/>
    <m/>
    <s v="QUITO-PICHINCHA"/>
    <m/>
    <m/>
    <m/>
  </r>
  <r>
    <x v="0"/>
    <x v="0"/>
    <d v="2022-10-28T00:00:00"/>
    <d v="2022-10-28T00:00:00"/>
    <s v="Primario"/>
    <s v="EM 1716"/>
    <n v="107771"/>
    <s v="Entrada de mercancías"/>
    <m/>
    <s v="QUITO"/>
    <n v="401030105"/>
    <s v="Otros Ingresos"/>
    <n v="2"/>
    <m/>
    <n v="2"/>
    <x v="5"/>
    <n v="1352983.81"/>
    <s v="2.00"/>
    <s v="jcortiz"/>
    <n v="0"/>
    <m/>
    <s v="QUITO-PICHINCHA"/>
    <m/>
    <m/>
    <m/>
  </r>
  <r>
    <x v="0"/>
    <x v="0"/>
    <d v="2022-10-28T00:00:00"/>
    <d v="2022-10-28T00:00:00"/>
    <s v="FE001"/>
    <s v="NE 100015461"/>
    <n v="107772"/>
    <s v="Entregas - CN1717268898001"/>
    <m/>
    <s v="QUITO"/>
    <n v="51010101"/>
    <s v="Costo de ventas Quito"/>
    <m/>
    <n v="2"/>
    <n v="-2"/>
    <x v="1"/>
    <n v="1352981.81"/>
    <s v="-2.00"/>
    <s v="jcortiz"/>
    <n v="0"/>
    <m/>
    <s v="QUITO-PICHINCHA"/>
    <m/>
    <m/>
    <m/>
  </r>
  <r>
    <x v="0"/>
    <x v="0"/>
    <d v="2022-10-28T00:00:00"/>
    <d v="2022-10-28T00:00:00"/>
    <s v="Primario"/>
    <s v="EP 6337"/>
    <n v="107773"/>
    <s v="Pedido de entrada de mercancías - PN1791834399001"/>
    <m/>
    <m/>
    <n v="201040506"/>
    <s v="Facturas por Confirmar"/>
    <n v="106.25"/>
    <m/>
    <n v="106.25"/>
    <x v="2"/>
    <n v="1353088.06"/>
    <s v="106.25"/>
    <s v="jcortiz"/>
    <n v="0"/>
    <m/>
    <m/>
    <m/>
    <m/>
    <m/>
  </r>
  <r>
    <x v="0"/>
    <x v="0"/>
    <d v="2022-10-28T00:00:00"/>
    <d v="2022-10-28T00:00:00"/>
    <s v="Primario"/>
    <s v="EP 6338"/>
    <n v="107774"/>
    <s v="Pedido de entrada de mercancías - PN1791834399001"/>
    <m/>
    <m/>
    <n v="201040506"/>
    <s v="Facturas por Confirmar"/>
    <n v="106.25"/>
    <m/>
    <n v="106.25"/>
    <x v="2"/>
    <n v="1353194.31"/>
    <s v="106.25"/>
    <s v="jcortiz"/>
    <n v="0"/>
    <m/>
    <m/>
    <m/>
    <m/>
    <m/>
  </r>
  <r>
    <x v="0"/>
    <x v="0"/>
    <d v="2022-10-28T00:00:00"/>
    <d v="2022-10-28T00:00:00"/>
    <s v="Primario"/>
    <s v="EP 6339"/>
    <n v="107775"/>
    <s v="Pedido de entrada de mercancías - PN1791834399001"/>
    <m/>
    <m/>
    <n v="201040506"/>
    <s v="Facturas por Confirmar"/>
    <n v="39.44"/>
    <m/>
    <n v="39.44"/>
    <x v="2"/>
    <n v="1353233.75"/>
    <s v="39.44"/>
    <s v="jcortiz"/>
    <n v="0"/>
    <m/>
    <m/>
    <m/>
    <m/>
    <m/>
  </r>
  <r>
    <x v="0"/>
    <x v="0"/>
    <d v="2022-10-28T00:00:00"/>
    <d v="2022-10-28T00:00:00"/>
    <s v="FE001"/>
    <s v="NE 100015462"/>
    <n v="107776"/>
    <s v="Entregas - CN1791263308001"/>
    <m/>
    <s v="QUITO"/>
    <n v="51010101"/>
    <s v="Costo de ventas Quito"/>
    <m/>
    <n v="2229.66"/>
    <n v="-2229.66"/>
    <x v="1"/>
    <n v="1351004.09"/>
    <s v="-2229.66"/>
    <s v="jcortiz"/>
    <n v="0"/>
    <m/>
    <s v="QUITO-PICHINCHA"/>
    <m/>
    <m/>
    <m/>
  </r>
  <r>
    <x v="0"/>
    <x v="0"/>
    <d v="2022-10-28T00:00:00"/>
    <d v="2022-10-28T00:00:00"/>
    <s v="FE001"/>
    <s v="NE 100015463"/>
    <n v="107777"/>
    <s v="Entregas - CN1791263308001"/>
    <m/>
    <s v="QUITO"/>
    <n v="51010101"/>
    <s v="Costo de ventas Quito"/>
    <m/>
    <n v="1599.21"/>
    <n v="-1599.21"/>
    <x v="1"/>
    <n v="1349404.88"/>
    <s v="-1599.21"/>
    <s v="jcortiz"/>
    <n v="0"/>
    <m/>
    <s v="QUITO-PICHINCHA"/>
    <m/>
    <m/>
    <m/>
  </r>
  <r>
    <x v="0"/>
    <x v="0"/>
    <d v="2022-10-28T00:00:00"/>
    <d v="2022-10-28T00:00:00"/>
    <s v="FE001"/>
    <s v="NE 100015464"/>
    <n v="107778"/>
    <s v="Entregas - CN1791847776001"/>
    <m/>
    <s v="QUITO"/>
    <n v="51010101"/>
    <s v="Costo de ventas Quito"/>
    <m/>
    <n v="71.06"/>
    <n v="-71.06"/>
    <x v="1"/>
    <n v="1349333.82"/>
    <s v="-71.06"/>
    <s v="jcortiz"/>
    <n v="0"/>
    <m/>
    <s v="QUITO-PICHINCHA"/>
    <m/>
    <m/>
    <m/>
  </r>
  <r>
    <x v="0"/>
    <x v="0"/>
    <d v="2022-10-28T00:00:00"/>
    <d v="2022-10-28T00:00:00"/>
    <s v="FE001"/>
    <s v="NE 100015466"/>
    <n v="107780"/>
    <s v="Entregas - CN1708725765001"/>
    <m/>
    <s v="QUITO"/>
    <n v="51010101"/>
    <s v="Costo de ventas Quito"/>
    <m/>
    <n v="98.25"/>
    <n v="-98.25"/>
    <x v="1"/>
    <n v="1349235.57"/>
    <s v="-98.25"/>
    <s v="jcortiz"/>
    <n v="0"/>
    <m/>
    <s v="QUITO-PICHINCHA"/>
    <m/>
    <m/>
    <m/>
  </r>
  <r>
    <x v="0"/>
    <x v="0"/>
    <d v="2022-10-28T00:00:00"/>
    <d v="2022-10-28T00:00:00"/>
    <s v="FE001"/>
    <s v="IM 100003367"/>
    <n v="107784"/>
    <s v="Traslados - CN1792079160001"/>
    <m/>
    <m/>
    <n v="101060402"/>
    <s v="Inventario de prod. term. y mercad. en Bodega BULLSYPPLY Coca"/>
    <m/>
    <n v="416.42"/>
    <n v="-416.42"/>
    <x v="3"/>
    <n v="1348819.15"/>
    <s v="-416.42"/>
    <s v="jcortiz"/>
    <n v="0"/>
    <m/>
    <m/>
    <m/>
    <m/>
    <m/>
  </r>
  <r>
    <x v="0"/>
    <x v="0"/>
    <d v="2022-10-28T00:00:00"/>
    <d v="2022-10-28T00:00:00"/>
    <s v="FE001"/>
    <s v="NE 100015470"/>
    <n v="107785"/>
    <s v="Entregas - CN1714787163001"/>
    <m/>
    <s v="QUITO"/>
    <n v="51010101"/>
    <s v="Costo de ventas Quito"/>
    <m/>
    <n v="61.65"/>
    <n v="-61.65"/>
    <x v="1"/>
    <n v="1348757.5"/>
    <s v="-61.65"/>
    <s v="jcortiz"/>
    <n v="0"/>
    <m/>
    <s v="QUITO-PICHINCHA"/>
    <m/>
    <m/>
    <m/>
  </r>
  <r>
    <x v="0"/>
    <x v="0"/>
    <d v="2022-10-28T00:00:00"/>
    <d v="2022-10-28T00:00:00"/>
    <s v="FE001"/>
    <s v="NE 100015471"/>
    <n v="107795"/>
    <s v="Entregas - CN1722882634001"/>
    <m/>
    <s v="QUITO"/>
    <n v="51010101"/>
    <s v="Costo de ventas Quito"/>
    <m/>
    <n v="186.21"/>
    <n v="-186.21"/>
    <x v="1"/>
    <n v="1348571.29"/>
    <s v="-186.21"/>
    <s v="jcortiz"/>
    <n v="0"/>
    <m/>
    <s v="QUITO-PICHINCHA"/>
    <m/>
    <m/>
    <m/>
  </r>
  <r>
    <x v="0"/>
    <x v="0"/>
    <d v="2022-10-28T00:00:00"/>
    <d v="2022-10-28T00:00:00"/>
    <s v="FE001"/>
    <s v="NE 100015473"/>
    <n v="107798"/>
    <s v="Entregas - CN1715512180001"/>
    <m/>
    <s v="QUITO"/>
    <n v="51010101"/>
    <s v="Costo de ventas Quito"/>
    <m/>
    <n v="32.909999999999997"/>
    <n v="-32.909999999999997"/>
    <x v="1"/>
    <n v="1348538.38"/>
    <s v="-32.91"/>
    <s v="jcortiz"/>
    <n v="0"/>
    <m/>
    <s v="QUITO-PICHINCHA"/>
    <m/>
    <m/>
    <m/>
  </r>
  <r>
    <x v="0"/>
    <x v="0"/>
    <d v="2022-10-28T00:00:00"/>
    <d v="2022-10-28T00:00:00"/>
    <s v="FE001"/>
    <s v="IM 100003368"/>
    <n v="107807"/>
    <s v="Traslados - CN1792079160001"/>
    <m/>
    <m/>
    <n v="101060402"/>
    <s v="Inventario de prod. term. y mercad. en Bodega BULLSYPPLY Coca"/>
    <n v="392.34"/>
    <m/>
    <n v="392.34"/>
    <x v="3"/>
    <n v="1348930.72"/>
    <s v="392.34"/>
    <s v="ancueva"/>
    <n v="0"/>
    <m/>
    <m/>
    <m/>
    <m/>
    <m/>
  </r>
  <r>
    <x v="0"/>
    <x v="0"/>
    <d v="2022-10-28T00:00:00"/>
    <d v="2022-10-28T00:00:00"/>
    <s v="FE001"/>
    <s v="TT 100008544"/>
    <n v="107901"/>
    <s v="MAQUICENTRO FC2791 Basado en Pedidos 5835."/>
    <m/>
    <m/>
    <s v="PN0992860499001"/>
    <s v="MAQUICENTRO S.A"/>
    <m/>
    <n v="7.66"/>
    <n v="-7.66"/>
    <x v="5"/>
    <n v="1348923.06"/>
    <s v="-7.66"/>
    <s v="pquishpe"/>
    <n v="0"/>
    <m/>
    <m/>
    <m/>
    <m/>
    <m/>
  </r>
  <r>
    <x v="0"/>
    <x v="0"/>
    <d v="2022-10-31T00:00:00"/>
    <d v="2022-10-31T00:00:00"/>
    <s v="FE001"/>
    <s v="NE 100015474"/>
    <n v="107808"/>
    <s v="Entregas - CN1791263308001"/>
    <m/>
    <s v="QUITO"/>
    <n v="51010101"/>
    <s v="Costo de ventas Quito"/>
    <m/>
    <n v="644.19000000000005"/>
    <n v="-644.19000000000005"/>
    <x v="1"/>
    <n v="1348278.87"/>
    <s v="-644.19"/>
    <s v="jcortiz"/>
    <n v="0"/>
    <m/>
    <s v="QUITO-PICHINCHA"/>
    <m/>
    <m/>
    <m/>
  </r>
  <r>
    <x v="0"/>
    <x v="0"/>
    <d v="2022-10-31T00:00:00"/>
    <d v="2022-10-31T00:00:00"/>
    <s v="FE001"/>
    <s v="NE 100015477"/>
    <n v="107813"/>
    <s v="Entregas - CN1714787163001"/>
    <m/>
    <s v="QUITO"/>
    <n v="51010101"/>
    <s v="Costo de ventas Quito"/>
    <m/>
    <n v="32.26"/>
    <n v="-32.26"/>
    <x v="1"/>
    <n v="1348246.61"/>
    <s v="-32.26"/>
    <s v="jcortiz"/>
    <n v="0"/>
    <m/>
    <s v="QUITO-PICHINCHA"/>
    <m/>
    <m/>
    <m/>
  </r>
  <r>
    <x v="0"/>
    <x v="0"/>
    <d v="2022-10-31T00:00:00"/>
    <d v="2022-10-31T00:00:00"/>
    <s v="FE001"/>
    <s v="NE 100015480"/>
    <n v="107817"/>
    <s v="Entregas - CN1791263308001"/>
    <m/>
    <s v="QUITO"/>
    <n v="51010101"/>
    <s v="Costo de ventas Quito"/>
    <m/>
    <n v="4379.5200000000004"/>
    <n v="-4379.5200000000004"/>
    <x v="1"/>
    <n v="1343867.09"/>
    <s v="-4379.52"/>
    <s v="jcortiz"/>
    <n v="0"/>
    <m/>
    <s v="QUITO-PICHINCHA"/>
    <m/>
    <m/>
    <m/>
  </r>
  <r>
    <x v="0"/>
    <x v="0"/>
    <d v="2022-10-31T00:00:00"/>
    <d v="2022-10-31T00:00:00"/>
    <s v="Primario"/>
    <s v="EP 6340"/>
    <n v="107818"/>
    <s v="Pedido de entrada de mercancías - PN1791834399001"/>
    <m/>
    <m/>
    <n v="201040506"/>
    <s v="Facturas por Confirmar"/>
    <n v="136"/>
    <m/>
    <n v="136"/>
    <x v="2"/>
    <n v="1344003.09"/>
    <s v="136.00"/>
    <s v="jcortiz"/>
    <n v="0"/>
    <m/>
    <m/>
    <m/>
    <m/>
    <m/>
  </r>
  <r>
    <x v="0"/>
    <x v="0"/>
    <d v="2022-10-31T00:00:00"/>
    <d v="2022-10-31T00:00:00"/>
    <s v="FE001"/>
    <s v="NE 100015481"/>
    <n v="107819"/>
    <s v="Entregas - CN1791263308001"/>
    <m/>
    <s v="QUITO"/>
    <n v="51010101"/>
    <s v="Costo de ventas Quito"/>
    <m/>
    <n v="287.2"/>
    <n v="-287.2"/>
    <x v="1"/>
    <n v="1343715.89"/>
    <s v="-287.20"/>
    <s v="jcortiz"/>
    <n v="0"/>
    <m/>
    <s v="QUITO-PICHINCHA"/>
    <m/>
    <m/>
    <m/>
  </r>
  <r>
    <x v="0"/>
    <x v="0"/>
    <d v="2022-10-31T00:00:00"/>
    <d v="2022-10-31T00:00:00"/>
    <s v="Primario"/>
    <s v="EP 6341"/>
    <n v="107832"/>
    <s v="Pedido de entrada de mercancías - PN1791834399001"/>
    <m/>
    <m/>
    <n v="201040506"/>
    <s v="Facturas por Confirmar"/>
    <n v="42.24"/>
    <m/>
    <n v="42.24"/>
    <x v="2"/>
    <n v="1343758.13"/>
    <s v="42.24"/>
    <s v="jcortiz"/>
    <n v="0"/>
    <m/>
    <m/>
    <m/>
    <m/>
    <m/>
  </r>
  <r>
    <x v="0"/>
    <x v="0"/>
    <d v="2022-10-31T00:00:00"/>
    <d v="2022-10-31T00:00:00"/>
    <s v="Primario"/>
    <s v="EP 6342"/>
    <n v="107833"/>
    <s v="Pedido de entrada de mercancías - PN1791834399001"/>
    <m/>
    <m/>
    <n v="201040506"/>
    <s v="Facturas por Confirmar"/>
    <n v="1514.93"/>
    <m/>
    <n v="1514.93"/>
    <x v="2"/>
    <n v="1345273.06"/>
    <s v="1514.93"/>
    <s v="jcortiz"/>
    <n v="0"/>
    <m/>
    <m/>
    <m/>
    <m/>
    <m/>
  </r>
  <r>
    <x v="0"/>
    <x v="0"/>
    <d v="2022-10-31T00:00:00"/>
    <d v="2022-10-31T00:00:00"/>
    <s v="Primario"/>
    <s v="EP 6343"/>
    <n v="107834"/>
    <s v="Pedido de entrada de mercancías - PN1791834399001"/>
    <m/>
    <m/>
    <n v="201040506"/>
    <s v="Facturas por Confirmar"/>
    <n v="1881.29"/>
    <m/>
    <n v="1881.29"/>
    <x v="2"/>
    <n v="1347154.35"/>
    <s v="1881.29"/>
    <s v="jcortiz"/>
    <n v="0"/>
    <m/>
    <m/>
    <m/>
    <m/>
    <m/>
  </r>
  <r>
    <x v="0"/>
    <x v="0"/>
    <d v="2022-10-31T00:00:00"/>
    <d v="2022-10-31T00:00:00"/>
    <s v="Primario"/>
    <s v="EP 6344"/>
    <n v="107835"/>
    <s v="Pedido de entrada de mercancías - PN1791834399001"/>
    <m/>
    <m/>
    <n v="201040506"/>
    <s v="Facturas por Confirmar"/>
    <n v="6159.41"/>
    <m/>
    <n v="6159.41"/>
    <x v="2"/>
    <n v="1353313.76"/>
    <s v="6159.41"/>
    <s v="jcortiz"/>
    <n v="0"/>
    <m/>
    <m/>
    <m/>
    <m/>
    <m/>
  </r>
  <r>
    <x v="0"/>
    <x v="0"/>
    <d v="2022-10-31T00:00:00"/>
    <d v="2022-10-31T00:00:00"/>
    <s v="FE001"/>
    <s v="NE 100015486"/>
    <n v="107837"/>
    <s v="Entregas - CN1791263308001"/>
    <m/>
    <s v="QUITO"/>
    <n v="51010101"/>
    <s v="Costo de ventas Quito"/>
    <m/>
    <n v="1877.33"/>
    <n v="-1877.33"/>
    <x v="1"/>
    <n v="1351436.43"/>
    <s v="-1877.33"/>
    <s v="jcortiz"/>
    <n v="0"/>
    <m/>
    <s v="QUITO-PICHINCHA"/>
    <m/>
    <m/>
    <m/>
  </r>
  <r>
    <x v="0"/>
    <x v="0"/>
    <d v="2022-10-31T00:00:00"/>
    <d v="2022-10-31T00:00:00"/>
    <s v="FE001"/>
    <s v="NE 100015487"/>
    <n v="107838"/>
    <s v="Entregas - CN1791263308001"/>
    <m/>
    <s v="QUITO"/>
    <n v="51010101"/>
    <s v="Costo de ventas Quito"/>
    <m/>
    <n v="6214.3"/>
    <n v="-6214.3"/>
    <x v="1"/>
    <n v="1345222.13"/>
    <s v="-6214.30"/>
    <s v="jcortiz"/>
    <n v="0"/>
    <m/>
    <s v="QUITO-PICHINCHA"/>
    <m/>
    <m/>
    <m/>
  </r>
  <r>
    <x v="0"/>
    <x v="0"/>
    <d v="2022-10-31T00:00:00"/>
    <d v="2022-10-31T00:00:00"/>
    <s v="FE001"/>
    <s v="NE 100015488"/>
    <n v="107839"/>
    <s v="Entregas - CN1791263308001"/>
    <m/>
    <s v="QUITO"/>
    <n v="51010101"/>
    <s v="Costo de ventas Quito"/>
    <m/>
    <n v="1652.83"/>
    <n v="-1652.83"/>
    <x v="1"/>
    <n v="1343569.3"/>
    <s v="-1652.83"/>
    <s v="jcortiz"/>
    <n v="0"/>
    <m/>
    <s v="QUITO-PICHINCHA"/>
    <m/>
    <m/>
    <m/>
  </r>
  <r>
    <x v="0"/>
    <x v="0"/>
    <d v="2022-10-31T00:00:00"/>
    <d v="2022-10-31T00:00:00"/>
    <s v="FE001"/>
    <s v="NE 100015489"/>
    <n v="107840"/>
    <s v="Entregas - CN0992860499001"/>
    <m/>
    <s v="QUITO"/>
    <n v="51010101"/>
    <s v="Costo de ventas Quito"/>
    <m/>
    <n v="48.43"/>
    <n v="-48.43"/>
    <x v="1"/>
    <n v="1343520.87"/>
    <s v="-48.43"/>
    <s v="jcortiz"/>
    <n v="0"/>
    <m/>
    <s v="QUITO-PICHINCHA"/>
    <m/>
    <m/>
    <m/>
  </r>
  <r>
    <x v="0"/>
    <x v="0"/>
    <d v="2022-10-31T00:00:00"/>
    <d v="2022-10-31T00:00:00"/>
    <s v="FE001"/>
    <s v="NE 100015490"/>
    <n v="107841"/>
    <s v="Entregas - CN1791263308001"/>
    <m/>
    <s v="QUITO"/>
    <n v="51010101"/>
    <s v="Costo de ventas Quito"/>
    <m/>
    <n v="79.25"/>
    <n v="-79.25"/>
    <x v="1"/>
    <n v="1343441.62"/>
    <s v="-79.25"/>
    <s v="jcortiz"/>
    <n v="0"/>
    <m/>
    <s v="QUITO-PICHINCHA"/>
    <m/>
    <m/>
    <m/>
  </r>
  <r>
    <x v="0"/>
    <x v="0"/>
    <d v="2022-10-31T00:00:00"/>
    <d v="2022-10-31T00:00:00"/>
    <s v="FE001"/>
    <s v="NE 100015491"/>
    <n v="107842"/>
    <s v="Entregas - CN1791263308001"/>
    <m/>
    <s v="QUITO"/>
    <n v="51010101"/>
    <s v="Costo de ventas Quito"/>
    <m/>
    <n v="655.9"/>
    <n v="-655.9"/>
    <x v="1"/>
    <n v="1342785.72"/>
    <s v="-655.90"/>
    <s v="jcortiz"/>
    <n v="0"/>
    <m/>
    <s v="QUITO-PICHINCHA"/>
    <m/>
    <m/>
    <m/>
  </r>
  <r>
    <x v="0"/>
    <x v="0"/>
    <d v="2022-10-31T00:00:00"/>
    <d v="2022-10-31T00:00:00"/>
    <s v="FE001"/>
    <s v="NE 100015496"/>
    <n v="107849"/>
    <s v="Entregas - CN0992860499001"/>
    <m/>
    <s v="QUITO"/>
    <n v="51010101"/>
    <s v="Costo de ventas Quito"/>
    <m/>
    <n v="290.55"/>
    <n v="-290.55"/>
    <x v="1"/>
    <n v="1342495.17"/>
    <s v="-290.55"/>
    <s v="jcortiz"/>
    <n v="0"/>
    <m/>
    <s v="QUITO-PICHINCHA"/>
    <m/>
    <m/>
    <m/>
  </r>
  <r>
    <x v="0"/>
    <x v="0"/>
    <d v="2022-10-31T00:00:00"/>
    <d v="2022-10-31T00:00:00"/>
    <s v="FE001"/>
    <s v="NE 100015497"/>
    <n v="107851"/>
    <s v="Entregas - CN1315662823001"/>
    <m/>
    <s v="QUITO"/>
    <n v="51010101"/>
    <s v="Costo de ventas Quito"/>
    <m/>
    <n v="56.57"/>
    <n v="-56.57"/>
    <x v="1"/>
    <n v="1342438.6"/>
    <s v="-56.57"/>
    <s v="jcortiz"/>
    <n v="0"/>
    <m/>
    <s v="QUITO-PICHINCHA"/>
    <m/>
    <m/>
    <m/>
  </r>
  <r>
    <x v="0"/>
    <x v="0"/>
    <d v="2022-10-31T00:00:00"/>
    <d v="2022-10-31T00:00:00"/>
    <s v="FE001"/>
    <s v="RC 100000669"/>
    <n v="107853"/>
    <s v="Notas de crédito clientes - CN1315662823001"/>
    <m/>
    <s v="QUITO"/>
    <s v="CN1315662823001"/>
    <s v="OLIVO ZAMBRANO DAVID DANIEL"/>
    <n v="56.57"/>
    <m/>
    <n v="56.57"/>
    <x v="4"/>
    <n v="1342495.17"/>
    <s v="56.57"/>
    <s v="gcali"/>
    <n v="0"/>
    <m/>
    <s v="QUITO-PICHINCHA"/>
    <m/>
    <m/>
    <m/>
  </r>
  <r>
    <x v="0"/>
    <x v="0"/>
    <d v="2022-10-31T00:00:00"/>
    <d v="2022-10-31T00:00:00"/>
    <s v="FE001"/>
    <s v="NE 100015498"/>
    <n v="107854"/>
    <s v="Entregas - CN1315662823001"/>
    <m/>
    <s v="QUITO"/>
    <n v="51010101"/>
    <s v="Costo de ventas Quito"/>
    <m/>
    <n v="48.42"/>
    <n v="-48.42"/>
    <x v="1"/>
    <n v="1342446.75"/>
    <s v="-48.42"/>
    <s v="jcortiz"/>
    <n v="0"/>
    <m/>
    <s v="QUITO-PICHINCHA"/>
    <m/>
    <m/>
    <m/>
  </r>
  <r>
    <x v="0"/>
    <x v="0"/>
    <d v="2022-10-31T00:00:00"/>
    <d v="2022-10-31T00:00:00"/>
    <s v="FE001"/>
    <s v="NE 100015499"/>
    <n v="107856"/>
    <s v="Entregas - CN1708725765001"/>
    <m/>
    <s v="QUITO"/>
    <n v="51010101"/>
    <s v="Costo de ventas Quito"/>
    <m/>
    <n v="55.5"/>
    <n v="-55.5"/>
    <x v="1"/>
    <n v="1342391.25"/>
    <s v="-55.50"/>
    <s v="jcortiz"/>
    <n v="0"/>
    <m/>
    <s v="QUITO-PICHINCHA"/>
    <m/>
    <m/>
    <m/>
  </r>
  <r>
    <x v="0"/>
    <x v="0"/>
    <d v="2022-10-31T00:00:00"/>
    <d v="2022-10-31T00:00:00"/>
    <s v="FE001"/>
    <s v="IM 100003369"/>
    <n v="107857"/>
    <s v="Traslados - CN1792079160001"/>
    <m/>
    <m/>
    <n v="101060402"/>
    <s v="Inventario de prod. term. y mercad. en Bodega BULLSYPPLY Coca"/>
    <n v="103.07"/>
    <m/>
    <n v="103.07"/>
    <x v="3"/>
    <n v="1342494.32"/>
    <s v="103.07"/>
    <s v="ancueva"/>
    <n v="0"/>
    <m/>
    <m/>
    <m/>
    <m/>
    <m/>
  </r>
  <r>
    <x v="0"/>
    <x v="0"/>
    <d v="2022-10-31T00:00:00"/>
    <d v="2022-10-31T00:00:00"/>
    <s v="FE001"/>
    <s v="NE 100015500"/>
    <n v="107865"/>
    <s v="Entregas - CN1791263308001"/>
    <m/>
    <s v="QUITO"/>
    <n v="51010101"/>
    <s v="Costo de ventas Quito"/>
    <m/>
    <n v="164.04"/>
    <n v="-164.04"/>
    <x v="1"/>
    <n v="1342330.28"/>
    <s v="-164.04"/>
    <s v="jcortiz"/>
    <n v="0"/>
    <m/>
    <s v="QUITO-PICHINCHA"/>
    <m/>
    <m/>
    <m/>
  </r>
  <r>
    <x v="0"/>
    <x v="0"/>
    <d v="2022-10-31T00:00:00"/>
    <d v="2022-10-31T00:00:00"/>
    <s v="FE001"/>
    <s v="NE 100015501"/>
    <n v="107887"/>
    <s v="Entrega - Cancelación - CN1791263308001"/>
    <m/>
    <s v="QUITO"/>
    <n v="51010101"/>
    <s v="Costo de ventas Quito"/>
    <n v="1877.33"/>
    <m/>
    <n v="1877.33"/>
    <x v="1"/>
    <n v="1344207.61"/>
    <s v="1877.33"/>
    <s v="jcortiz"/>
    <n v="0"/>
    <m/>
    <s v="QUITO-PICHINCHA"/>
    <m/>
    <m/>
    <m/>
  </r>
  <r>
    <x v="0"/>
    <x v="0"/>
    <d v="2022-10-31T00:00:00"/>
    <d v="2022-10-31T00:00:00"/>
    <s v="FE001"/>
    <s v="NE 100015502"/>
    <n v="107888"/>
    <s v="Entregas - CN1791263308001"/>
    <m/>
    <s v="QUITO"/>
    <n v="51010101"/>
    <s v="Costo de ventas Quito"/>
    <m/>
    <n v="1525.43"/>
    <n v="-1525.43"/>
    <x v="1"/>
    <n v="1342682.18"/>
    <s v="-1525.43"/>
    <s v="jcortiz"/>
    <n v="0"/>
    <m/>
    <s v="QUITO-PICHINCHA"/>
    <m/>
    <m/>
    <m/>
  </r>
  <r>
    <x v="0"/>
    <x v="0"/>
    <d v="2022-10-31T00:00:00"/>
    <d v="2022-10-31T00:00:00"/>
    <s v="Primario"/>
    <s v="DM 49"/>
    <n v="107890"/>
    <s v="Devolución de mercancías - PN1791834399001"/>
    <m/>
    <m/>
    <n v="201040506"/>
    <s v="Facturas por Confirmar"/>
    <m/>
    <n v="351.9"/>
    <n v="-351.9"/>
    <x v="6"/>
    <n v="1342330.28"/>
    <s v="-351.90"/>
    <s v="jcortiz"/>
    <n v="0"/>
    <m/>
    <m/>
    <m/>
    <m/>
    <m/>
  </r>
  <r>
    <x v="0"/>
    <x v="0"/>
    <d v="2022-10-31T00:00:00"/>
    <d v="2022-10-31T00:00:00"/>
    <s v="FE001"/>
    <s v="IM 100003370"/>
    <n v="107891"/>
    <s v="Traslados - CN1792079160001"/>
    <m/>
    <m/>
    <n v="101060402"/>
    <s v="Inventario de prod. term. y mercad. en Bodega BULLSYPPLY Coca"/>
    <m/>
    <n v="42.24"/>
    <n v="-42.24"/>
    <x v="3"/>
    <n v="1342288.04"/>
    <s v="-42.24"/>
    <s v="jcortiz"/>
    <n v="0"/>
    <m/>
    <m/>
    <m/>
    <m/>
    <m/>
  </r>
  <r>
    <x v="0"/>
    <x v="0"/>
    <d v="2022-11-01T00:00:00"/>
    <d v="2022-11-01T00:00:00"/>
    <s v="FE001"/>
    <s v="NE 100015504"/>
    <n v="107894"/>
    <s v="Entregas - CN1791403916001"/>
    <m/>
    <s v="QUITO"/>
    <n v="51010101"/>
    <s v="Costo de ventas Quito"/>
    <m/>
    <n v="105.02"/>
    <n v="-105.02"/>
    <x v="1"/>
    <n v="1342183.02"/>
    <s v="-105.02"/>
    <s v="jcortiz"/>
    <n v="0"/>
    <m/>
    <s v="QUITO-PICHINCHA"/>
    <m/>
    <m/>
    <m/>
  </r>
  <r>
    <x v="0"/>
    <x v="0"/>
    <d v="2022-11-01T00:00:00"/>
    <d v="2022-11-01T00:00:00"/>
    <s v="FE001"/>
    <s v="NE 100015505"/>
    <n v="107898"/>
    <s v="Entregas - CN1792055334001"/>
    <m/>
    <s v="QUITO"/>
    <n v="51010101"/>
    <s v="Costo de ventas Quito"/>
    <m/>
    <n v="392.34"/>
    <n v="-392.34"/>
    <x v="1"/>
    <n v="1341790.68"/>
    <s v="-392.34"/>
    <s v="jcortiz"/>
    <n v="0"/>
    <m/>
    <s v="QUITO-PICHINCHA"/>
    <m/>
    <m/>
    <m/>
  </r>
  <r>
    <x v="0"/>
    <x v="0"/>
    <d v="2022-11-01T00:00:00"/>
    <d v="2022-11-01T00:00:00"/>
    <s v="Primario"/>
    <s v="EP 6345"/>
    <n v="107909"/>
    <s v="Pedido de entrada de mercancías - PN1791834399001"/>
    <m/>
    <m/>
    <n v="201040506"/>
    <s v="Facturas por Confirmar"/>
    <n v="11.6"/>
    <m/>
    <n v="11.6"/>
    <x v="2"/>
    <n v="1341802.28"/>
    <s v="11.60"/>
    <s v="jcortiz"/>
    <n v="0"/>
    <m/>
    <m/>
    <m/>
    <m/>
    <m/>
  </r>
  <r>
    <x v="0"/>
    <x v="0"/>
    <d v="2022-11-01T00:00:00"/>
    <d v="2022-11-01T00:00:00"/>
    <s v="Primario"/>
    <s v="EP 6346"/>
    <n v="107911"/>
    <s v="Pedido de entrada de mercancías - PN1792520371001"/>
    <m/>
    <m/>
    <n v="201040506"/>
    <s v="Facturas por Confirmar"/>
    <n v="42.4"/>
    <m/>
    <n v="42.4"/>
    <x v="2"/>
    <n v="1341844.68"/>
    <s v="42.40"/>
    <s v="jcortiz"/>
    <n v="0"/>
    <m/>
    <m/>
    <m/>
    <m/>
    <m/>
  </r>
  <r>
    <x v="0"/>
    <x v="0"/>
    <d v="2022-11-01T00:00:00"/>
    <d v="2022-11-01T00:00:00"/>
    <s v="Primario"/>
    <s v="EP 6347"/>
    <n v="107912"/>
    <s v="Pedido de entrada de mercancías - PN1792520371001"/>
    <m/>
    <m/>
    <n v="201040506"/>
    <s v="Facturas por Confirmar"/>
    <n v="11.36"/>
    <m/>
    <n v="11.36"/>
    <x v="2"/>
    <n v="1341856.04"/>
    <s v="11.36"/>
    <s v="jcortiz"/>
    <n v="0"/>
    <m/>
    <m/>
    <m/>
    <m/>
    <m/>
  </r>
  <r>
    <x v="0"/>
    <x v="0"/>
    <d v="2022-11-01T00:00:00"/>
    <d v="2022-11-01T00:00:00"/>
    <s v="FE001"/>
    <s v="NE 100015506"/>
    <n v="107918"/>
    <s v="Entregas - CN1716511926001"/>
    <m/>
    <s v="QUITO"/>
    <n v="51010101"/>
    <s v="Costo de ventas Quito"/>
    <m/>
    <n v="63.31"/>
    <n v="-63.31"/>
    <x v="1"/>
    <n v="1341792.73"/>
    <s v="-63.31"/>
    <s v="jcortiz"/>
    <n v="0"/>
    <m/>
    <s v="QUITO-PICHINCHA"/>
    <m/>
    <m/>
    <m/>
  </r>
  <r>
    <x v="0"/>
    <x v="0"/>
    <d v="2022-11-01T00:00:00"/>
    <d v="2022-11-01T00:00:00"/>
    <s v="FE001"/>
    <s v="NE 100015507"/>
    <n v="107923"/>
    <s v="Entregas - CN1791847776001"/>
    <m/>
    <s v="QUITO"/>
    <n v="51010101"/>
    <s v="Costo de ventas Quito"/>
    <m/>
    <n v="37.86"/>
    <n v="-37.86"/>
    <x v="1"/>
    <n v="1341754.8700000001"/>
    <s v="-37.86"/>
    <s v="jcortiz"/>
    <n v="0"/>
    <m/>
    <s v="QUITO-PICHINCHA"/>
    <m/>
    <m/>
    <m/>
  </r>
  <r>
    <x v="0"/>
    <x v="0"/>
    <d v="2022-11-01T00:00:00"/>
    <d v="2022-11-01T00:00:00"/>
    <s v="Primario"/>
    <s v="EP 6348"/>
    <n v="107945"/>
    <s v="Pedido de entrada de mercancías - PN1711087211001"/>
    <m/>
    <m/>
    <n v="201040506"/>
    <s v="Facturas por Confirmar"/>
    <n v="49.6"/>
    <m/>
    <n v="49.6"/>
    <x v="2"/>
    <n v="1341804.47"/>
    <s v="49.60"/>
    <s v="jcortiz"/>
    <n v="0"/>
    <m/>
    <m/>
    <m/>
    <m/>
    <m/>
  </r>
  <r>
    <x v="0"/>
    <x v="0"/>
    <d v="2022-11-01T00:00:00"/>
    <d v="2022-11-01T00:00:00"/>
    <s v="FE001"/>
    <s v="NE 100015508"/>
    <n v="107946"/>
    <s v="Entregas - CN1791039688001"/>
    <m/>
    <s v="QUITO"/>
    <n v="51010101"/>
    <s v="Costo de ventas Quito"/>
    <m/>
    <n v="49.6"/>
    <n v="-49.6"/>
    <x v="1"/>
    <n v="1341754.8700000001"/>
    <s v="-49.60"/>
    <s v="jcortiz"/>
    <n v="0"/>
    <m/>
    <s v="QUITO-PICHINCHA"/>
    <m/>
    <m/>
    <m/>
  </r>
  <r>
    <x v="0"/>
    <x v="0"/>
    <d v="2022-11-01T00:00:00"/>
    <d v="2022-11-01T00:00:00"/>
    <s v="FE001"/>
    <s v="IM 100003371"/>
    <n v="107951"/>
    <s v="Traslados - CN1792079160001"/>
    <m/>
    <m/>
    <n v="101060402"/>
    <s v="Inventario de prod. term. y mercad. en Bodega BULLSYPPLY Coca"/>
    <n v="3570.19"/>
    <m/>
    <n v="3570.19"/>
    <x v="3"/>
    <n v="1345325.06"/>
    <s v="3570.19"/>
    <s v="ancueva"/>
    <n v="0"/>
    <m/>
    <m/>
    <m/>
    <m/>
    <m/>
  </r>
  <r>
    <x v="0"/>
    <x v="0"/>
    <d v="2022-11-01T00:00:00"/>
    <d v="2022-11-01T00:00:00"/>
    <s v="FE001"/>
    <s v="NE 100015510"/>
    <n v="107956"/>
    <s v="Entregas - CN1791263308001"/>
    <m/>
    <s v="QUITO"/>
    <n v="51010101"/>
    <s v="Costo de ventas Quito"/>
    <m/>
    <n v="53.11"/>
    <n v="-53.11"/>
    <x v="1"/>
    <n v="1345271.95"/>
    <s v="-53.11"/>
    <s v="jcortiz"/>
    <n v="0"/>
    <m/>
    <s v="QUITO-PICHINCHA"/>
    <m/>
    <m/>
    <m/>
  </r>
  <r>
    <x v="0"/>
    <x v="0"/>
    <d v="2022-11-01T00:00:00"/>
    <d v="2022-11-01T00:00:00"/>
    <s v="FE001"/>
    <s v="NE 100015511"/>
    <n v="107957"/>
    <s v="Entregas - CN1791263308001"/>
    <m/>
    <s v="QUITO"/>
    <n v="51010101"/>
    <s v="Costo de ventas Quito"/>
    <m/>
    <n v="53.11"/>
    <n v="-53.11"/>
    <x v="1"/>
    <n v="1345218.84"/>
    <s v="-53.11"/>
    <s v="jcortiz"/>
    <n v="0"/>
    <m/>
    <s v="QUITO-PICHINCHA"/>
    <m/>
    <m/>
    <m/>
  </r>
  <r>
    <x v="0"/>
    <x v="0"/>
    <d v="2022-11-01T00:00:00"/>
    <d v="2022-11-01T00:00:00"/>
    <s v="FE001"/>
    <s v="NE 100015512"/>
    <n v="107958"/>
    <s v="Entregas - CN1791263308001"/>
    <m/>
    <s v="QUITO"/>
    <n v="51010101"/>
    <s v="Costo de ventas Quito"/>
    <m/>
    <n v="159.34"/>
    <n v="-159.34"/>
    <x v="1"/>
    <n v="1345059.5"/>
    <s v="-159.34"/>
    <s v="jcortiz"/>
    <n v="0"/>
    <m/>
    <s v="QUITO-PICHINCHA"/>
    <m/>
    <m/>
    <m/>
  </r>
  <r>
    <x v="0"/>
    <x v="0"/>
    <d v="2022-11-01T00:00:00"/>
    <d v="2022-11-01T00:00:00"/>
    <s v="FE001"/>
    <s v="NE 100015513"/>
    <n v="107959"/>
    <s v="Entregas - CN1791263308001"/>
    <m/>
    <s v="QUITO"/>
    <n v="51010101"/>
    <s v="Costo de ventas Quito"/>
    <m/>
    <n v="53.11"/>
    <n v="-53.11"/>
    <x v="1"/>
    <n v="1345006.39"/>
    <s v="-53.11"/>
    <s v="jcortiz"/>
    <n v="0"/>
    <m/>
    <s v="QUITO-PICHINCHA"/>
    <m/>
    <m/>
    <m/>
  </r>
  <r>
    <x v="0"/>
    <x v="0"/>
    <d v="2022-11-01T00:00:00"/>
    <d v="2022-11-01T00:00:00"/>
    <s v="FE001"/>
    <s v="NE 100015514"/>
    <n v="107968"/>
    <s v="Entrega - Cancelación - CN1791847776001"/>
    <m/>
    <s v="QUITO"/>
    <n v="51010101"/>
    <s v="Costo de ventas Quito"/>
    <n v="37.86"/>
    <m/>
    <n v="37.86"/>
    <x v="1"/>
    <n v="1345044.25"/>
    <s v="37.86"/>
    <s v="jcortiz"/>
    <n v="0"/>
    <m/>
    <s v="QUITO-PICHINCHA"/>
    <m/>
    <m/>
    <m/>
  </r>
  <r>
    <x v="0"/>
    <x v="0"/>
    <d v="2022-11-01T00:00:00"/>
    <d v="2022-11-01T00:00:00"/>
    <s v="Anula"/>
    <s v="EP 200437"/>
    <n v="107969"/>
    <s v="Pedido de entrada de mercancías - Cancelación - PN"/>
    <m/>
    <m/>
    <n v="201040506"/>
    <s v="Facturas por Confirmar"/>
    <m/>
    <n v="11.36"/>
    <n v="-11.36"/>
    <x v="2"/>
    <n v="1345032.89"/>
    <s v="-11.36"/>
    <s v="jcortiz"/>
    <n v="0"/>
    <m/>
    <m/>
    <m/>
    <m/>
    <m/>
  </r>
  <r>
    <x v="0"/>
    <x v="0"/>
    <d v="2022-11-01T00:00:00"/>
    <d v="2022-11-01T00:00:00"/>
    <s v="Primario"/>
    <s v="EP 6349"/>
    <n v="107972"/>
    <s v="Pedido de entrada de mercancías - PN1792520371001"/>
    <m/>
    <m/>
    <n v="201040506"/>
    <s v="Facturas por Confirmar"/>
    <n v="11.36"/>
    <m/>
    <n v="11.36"/>
    <x v="2"/>
    <n v="1345044.25"/>
    <s v="11.36"/>
    <s v="jcortiz"/>
    <n v="0"/>
    <m/>
    <m/>
    <m/>
    <m/>
    <m/>
  </r>
  <r>
    <x v="0"/>
    <x v="0"/>
    <d v="2022-11-01T00:00:00"/>
    <d v="2022-11-01T00:00:00"/>
    <s v="FE001"/>
    <s v="NE 100015515"/>
    <n v="107973"/>
    <s v="Entregas - CN1791847776001"/>
    <m/>
    <s v="QUITO"/>
    <n v="51010101"/>
    <s v="Costo de ventas Quito"/>
    <m/>
    <n v="37.86"/>
    <n v="-37.86"/>
    <x v="1"/>
    <n v="1345006.39"/>
    <s v="-37.86"/>
    <s v="jcortiz"/>
    <n v="0"/>
    <m/>
    <s v="QUITO-PICHINCHA"/>
    <m/>
    <m/>
    <m/>
  </r>
  <r>
    <x v="0"/>
    <x v="0"/>
    <d v="2022-11-01T00:00:00"/>
    <d v="2022-11-01T00:00:00"/>
    <s v="FE001"/>
    <s v="IM 100003372"/>
    <n v="107982"/>
    <s v="Traslados - CN1792079160001"/>
    <m/>
    <m/>
    <n v="101060402"/>
    <s v="Inventario de prod. term. y mercad. en Bodega BULLSYPPLY Coca"/>
    <m/>
    <n v="103.87"/>
    <n v="-103.87"/>
    <x v="3"/>
    <n v="1344902.52"/>
    <s v="-103.87"/>
    <s v="jcortiz"/>
    <n v="0"/>
    <m/>
    <m/>
    <m/>
    <m/>
    <m/>
  </r>
  <r>
    <x v="0"/>
    <x v="0"/>
    <d v="2022-11-01T00:00:00"/>
    <d v="2022-11-01T00:00:00"/>
    <s v="FE001"/>
    <s v="NE 100015516"/>
    <n v="107984"/>
    <s v="Entregas - CN1722882634001"/>
    <m/>
    <s v="QUITO"/>
    <n v="51010101"/>
    <s v="Costo de ventas Quito"/>
    <m/>
    <n v="113.45"/>
    <n v="-113.45"/>
    <x v="1"/>
    <n v="1344789.07"/>
    <s v="-113.45"/>
    <s v="jcortiz"/>
    <n v="0"/>
    <m/>
    <s v="QUITO-PICHINCHA"/>
    <m/>
    <m/>
    <m/>
  </r>
  <r>
    <x v="0"/>
    <x v="0"/>
    <d v="2022-11-01T00:00:00"/>
    <d v="2022-11-01T00:00:00"/>
    <s v="Primario"/>
    <s v="EP 6350"/>
    <n v="107986"/>
    <s v="Pedido de entrada de mercancías - PN0103669644001"/>
    <m/>
    <m/>
    <n v="201040506"/>
    <s v="Facturas por Confirmar"/>
    <n v="5"/>
    <m/>
    <n v="5"/>
    <x v="2"/>
    <n v="1344794.07"/>
    <s v="5.00"/>
    <s v="jcortiz"/>
    <n v="0"/>
    <m/>
    <m/>
    <m/>
    <m/>
    <m/>
  </r>
  <r>
    <x v="0"/>
    <x v="0"/>
    <d v="2022-11-01T00:00:00"/>
    <d v="2022-11-01T00:00:00"/>
    <s v="Primario"/>
    <s v="EP 6351"/>
    <n v="107988"/>
    <s v="Pedido de entrada de mercancías - PN0103669644001"/>
    <m/>
    <m/>
    <n v="201040506"/>
    <s v="Facturas por Confirmar"/>
    <n v="18"/>
    <m/>
    <n v="18"/>
    <x v="2"/>
    <n v="1344812.07"/>
    <s v="18.00"/>
    <s v="jcortiz"/>
    <n v="0"/>
    <m/>
    <m/>
    <m/>
    <m/>
    <m/>
  </r>
  <r>
    <x v="0"/>
    <x v="0"/>
    <d v="2022-11-01T00:00:00"/>
    <d v="2022-11-01T00:00:00"/>
    <s v="FE001"/>
    <s v="NE 100015517"/>
    <n v="107990"/>
    <s v="Entregas - CN1791263308001"/>
    <m/>
    <s v="QUITO"/>
    <n v="51010101"/>
    <s v="Costo de ventas Quito"/>
    <m/>
    <n v="5"/>
    <n v="-5"/>
    <x v="1"/>
    <n v="1344807.07"/>
    <s v="-5.00"/>
    <s v="jcortiz"/>
    <n v="0"/>
    <m/>
    <s v="QUITO-PICHINCHA"/>
    <m/>
    <m/>
    <m/>
  </r>
  <r>
    <x v="0"/>
    <x v="0"/>
    <d v="2022-11-01T00:00:00"/>
    <d v="2022-11-01T00:00:00"/>
    <s v="FE001"/>
    <s v="NE 100015518"/>
    <n v="107992"/>
    <s v="Entregas - CN1791263308001"/>
    <m/>
    <s v="QUITO"/>
    <n v="51010101"/>
    <s v="Costo de ventas Quito"/>
    <m/>
    <n v="18"/>
    <n v="-18"/>
    <x v="1"/>
    <n v="1344789.07"/>
    <s v="-18.00"/>
    <s v="jcortiz"/>
    <n v="0"/>
    <m/>
    <s v="QUITO-PICHINCHA"/>
    <m/>
    <m/>
    <m/>
  </r>
  <r>
    <x v="0"/>
    <x v="0"/>
    <d v="2022-11-01T00:00:00"/>
    <d v="2022-11-01T00:00:00"/>
    <s v="FE001"/>
    <s v="NE 100015520"/>
    <n v="108041"/>
    <s v="Entregas - CN1102853817001"/>
    <m/>
    <s v="QUITO"/>
    <n v="51010101"/>
    <s v="Costo de ventas Quito"/>
    <m/>
    <n v="100.61"/>
    <n v="-100.61"/>
    <x v="1"/>
    <n v="1344688.46"/>
    <s v="-100.61"/>
    <s v="jcortiz"/>
    <n v="0"/>
    <m/>
    <s v="QUITO-PICHINCHA"/>
    <m/>
    <m/>
    <m/>
  </r>
  <r>
    <x v="0"/>
    <x v="0"/>
    <d v="2022-11-02T00:00:00"/>
    <d v="2022-11-02T00:00:00"/>
    <s v="FE001"/>
    <s v="NE 100015521"/>
    <n v="108046"/>
    <s v="Entregas - CN1802461440001"/>
    <m/>
    <s v="QUITO"/>
    <n v="51010101"/>
    <s v="Costo de ventas Quito"/>
    <m/>
    <n v="147.11000000000001"/>
    <n v="-147.11000000000001"/>
    <x v="1"/>
    <n v="1344541.35"/>
    <s v="-147.11"/>
    <s v="jcortiz"/>
    <n v="0"/>
    <m/>
    <s v="QUITO-PICHINCHA"/>
    <m/>
    <m/>
    <m/>
  </r>
  <r>
    <x v="0"/>
    <x v="0"/>
    <d v="2022-11-02T00:00:00"/>
    <d v="2022-11-02T00:00:00"/>
    <s v="FE001"/>
    <s v="NE 100015523"/>
    <n v="108060"/>
    <s v="Entregas - CN1791403916001"/>
    <m/>
    <s v="QUITO"/>
    <n v="51010101"/>
    <s v="Costo de ventas Quito"/>
    <m/>
    <n v="112.44"/>
    <n v="-112.44"/>
    <x v="1"/>
    <n v="1344428.91"/>
    <s v="-112.44"/>
    <s v="jcortiz"/>
    <n v="0"/>
    <m/>
    <s v="QUITO-PICHINCHA"/>
    <m/>
    <m/>
    <m/>
  </r>
  <r>
    <x v="0"/>
    <x v="0"/>
    <d v="2022-11-02T00:00:00"/>
    <d v="2022-11-02T00:00:00"/>
    <s v="Primario"/>
    <s v="EP 6352"/>
    <n v="108061"/>
    <s v="Pedido de entrada de mercancías - PN1791834399001"/>
    <m/>
    <m/>
    <n v="201040506"/>
    <s v="Facturas por Confirmar"/>
    <n v="2761.56"/>
    <m/>
    <n v="2761.56"/>
    <x v="2"/>
    <n v="1347190.47"/>
    <s v="2761.56"/>
    <s v="jcortiz"/>
    <n v="0"/>
    <m/>
    <m/>
    <m/>
    <m/>
    <m/>
  </r>
  <r>
    <x v="0"/>
    <x v="0"/>
    <d v="2022-11-02T00:00:00"/>
    <d v="2022-11-02T00:00:00"/>
    <s v="Primario"/>
    <s v="EP 6353"/>
    <n v="108062"/>
    <s v="Pedido de entrada de mercancías - PN1791834399001"/>
    <m/>
    <m/>
    <n v="201040506"/>
    <s v="Facturas por Confirmar"/>
    <n v="97.38"/>
    <m/>
    <n v="97.38"/>
    <x v="2"/>
    <n v="1347287.85"/>
    <s v="97.38"/>
    <s v="jcortiz"/>
    <n v="0"/>
    <m/>
    <m/>
    <m/>
    <m/>
    <m/>
  </r>
  <r>
    <x v="0"/>
    <x v="0"/>
    <d v="2022-11-02T00:00:00"/>
    <d v="2022-11-02T00:00:00"/>
    <s v="Primario"/>
    <s v="EP 6354"/>
    <n v="108063"/>
    <s v="Pedido de entrada de mercancías - PN1791834399001"/>
    <m/>
    <m/>
    <n v="201040506"/>
    <s v="Facturas por Confirmar"/>
    <n v="153.63999999999999"/>
    <m/>
    <n v="153.63999999999999"/>
    <x v="2"/>
    <n v="1347441.49"/>
    <s v="153.64"/>
    <s v="jcortiz"/>
    <n v="0"/>
    <m/>
    <m/>
    <m/>
    <m/>
    <m/>
  </r>
  <r>
    <x v="0"/>
    <x v="0"/>
    <d v="2022-11-02T00:00:00"/>
    <d v="2022-11-02T00:00:00"/>
    <s v="FE001"/>
    <s v="NE 100015524"/>
    <n v="108064"/>
    <s v="Entregas - CN0590060933001"/>
    <m/>
    <s v="QUITO"/>
    <n v="51010101"/>
    <s v="Costo de ventas Quito"/>
    <m/>
    <n v="458"/>
    <n v="-458"/>
    <x v="1"/>
    <n v="1346983.49"/>
    <s v="-458.00"/>
    <s v="jcortiz"/>
    <n v="0"/>
    <m/>
    <s v="QUITO-PICHINCHA"/>
    <m/>
    <m/>
    <m/>
  </r>
  <r>
    <x v="0"/>
    <x v="0"/>
    <d v="2022-11-02T00:00:00"/>
    <d v="2022-11-02T00:00:00"/>
    <s v="FE001"/>
    <s v="NE 100015525"/>
    <n v="108065"/>
    <s v="Entregas - CN0590060933001"/>
    <m/>
    <s v="QUITO"/>
    <n v="51010101"/>
    <s v="Costo de ventas Quito"/>
    <m/>
    <n v="131.93"/>
    <n v="-131.93"/>
    <x v="1"/>
    <n v="1346851.56"/>
    <s v="-131.93"/>
    <s v="jcortiz"/>
    <n v="0"/>
    <m/>
    <s v="QUITO-PICHINCHA"/>
    <m/>
    <m/>
    <m/>
  </r>
  <r>
    <x v="0"/>
    <x v="0"/>
    <d v="2022-11-02T00:00:00"/>
    <d v="2022-11-02T00:00:00"/>
    <s v="FE001"/>
    <s v="NE 100015526"/>
    <n v="108066"/>
    <s v="Entregas - CN0590060933001"/>
    <m/>
    <s v="QUITO"/>
    <n v="51010101"/>
    <s v="Costo de ventas Quito"/>
    <m/>
    <n v="23.32"/>
    <n v="-23.32"/>
    <x v="1"/>
    <n v="1346828.24"/>
    <s v="-23.32"/>
    <s v="jcortiz"/>
    <n v="0"/>
    <m/>
    <s v="QUITO-PICHINCHA"/>
    <m/>
    <m/>
    <m/>
  </r>
  <r>
    <x v="0"/>
    <x v="0"/>
    <d v="2022-11-02T00:00:00"/>
    <d v="2022-11-02T00:00:00"/>
    <s v="FE001"/>
    <s v="NE 100015527"/>
    <n v="108067"/>
    <s v="Entregas - CN1793008054001"/>
    <m/>
    <s v="QUITO"/>
    <n v="51010101"/>
    <s v="Costo de ventas Quito"/>
    <m/>
    <n v="81.13"/>
    <n v="-81.13"/>
    <x v="1"/>
    <n v="1346747.11"/>
    <s v="-81.13"/>
    <s v="jcortiz"/>
    <n v="0"/>
    <m/>
    <s v="QUITO-PICHINCHA"/>
    <m/>
    <m/>
    <m/>
  </r>
  <r>
    <x v="0"/>
    <x v="0"/>
    <d v="2022-11-02T00:00:00"/>
    <d v="2022-11-02T00:00:00"/>
    <s v="Primario"/>
    <s v="EP 6355"/>
    <n v="108068"/>
    <s v="Pedido de entrada de mercancías - PN1791834399001"/>
    <m/>
    <m/>
    <n v="201040506"/>
    <s v="Facturas por Confirmar"/>
    <n v="73.53"/>
    <m/>
    <n v="73.53"/>
    <x v="2"/>
    <n v="1346820.64"/>
    <s v="73.53"/>
    <s v="jcortiz"/>
    <n v="0"/>
    <m/>
    <m/>
    <m/>
    <m/>
    <m/>
  </r>
  <r>
    <x v="0"/>
    <x v="0"/>
    <d v="2022-11-02T00:00:00"/>
    <d v="2022-11-02T00:00:00"/>
    <s v="Primario"/>
    <s v="EP 6356"/>
    <n v="108069"/>
    <s v="Pedido de entrada de mercancías - PN1791834399001"/>
    <m/>
    <m/>
    <n v="201040506"/>
    <s v="Facturas por Confirmar"/>
    <n v="266"/>
    <m/>
    <n v="266"/>
    <x v="2"/>
    <n v="1347086.64"/>
    <s v="266.00"/>
    <s v="jcortiz"/>
    <n v="0"/>
    <m/>
    <m/>
    <m/>
    <m/>
    <m/>
  </r>
  <r>
    <x v="0"/>
    <x v="0"/>
    <d v="2022-11-02T00:00:00"/>
    <d v="2022-11-02T00:00:00"/>
    <s v="FE001"/>
    <s v="NE 100015528"/>
    <n v="108070"/>
    <s v="Entregas - CN0590060933001"/>
    <m/>
    <s v="QUITO"/>
    <n v="51010101"/>
    <s v="Costo de ventas Quito"/>
    <m/>
    <n v="73.53"/>
    <n v="-73.53"/>
    <x v="1"/>
    <n v="1347013.11"/>
    <s v="-73.53"/>
    <s v="jcortiz"/>
    <n v="0"/>
    <m/>
    <s v="QUITO-PICHINCHA"/>
    <m/>
    <m/>
    <m/>
  </r>
  <r>
    <x v="0"/>
    <x v="0"/>
    <d v="2022-11-02T00:00:00"/>
    <d v="2022-11-02T00:00:00"/>
    <s v="FE001"/>
    <s v="NE 100015529"/>
    <n v="108071"/>
    <s v="Entregas - CN1707925168001"/>
    <m/>
    <s v="QUITO"/>
    <n v="51010101"/>
    <s v="Costo de ventas Quito"/>
    <m/>
    <n v="132"/>
    <n v="-132"/>
    <x v="1"/>
    <n v="1346881.11"/>
    <s v="-132.00"/>
    <s v="jcortiz"/>
    <n v="0"/>
    <m/>
    <s v="QUITO-PICHINCHA"/>
    <m/>
    <m/>
    <m/>
  </r>
  <r>
    <x v="0"/>
    <x v="0"/>
    <d v="2022-11-02T00:00:00"/>
    <d v="2022-11-02T00:00:00"/>
    <s v="Anula"/>
    <s v="EP 200438"/>
    <n v="108072"/>
    <s v="Pedido de entrada de mercancías - Cancelación - PN"/>
    <m/>
    <m/>
    <n v="201040506"/>
    <s v="Facturas por Confirmar"/>
    <m/>
    <n v="266"/>
    <n v="-266"/>
    <x v="2"/>
    <n v="1346615.11"/>
    <s v="-266.00"/>
    <s v="jcortiz"/>
    <n v="0"/>
    <m/>
    <m/>
    <m/>
    <m/>
    <m/>
  </r>
  <r>
    <x v="0"/>
    <x v="0"/>
    <d v="2022-11-02T00:00:00"/>
    <d v="2022-11-02T00:00:00"/>
    <s v="FE001"/>
    <s v="NE 100015532"/>
    <n v="108082"/>
    <s v="Entregas - CN1791263308001"/>
    <m/>
    <s v="QUITO"/>
    <n v="51010101"/>
    <s v="Costo de ventas Quito"/>
    <m/>
    <n v="4793.83"/>
    <n v="-4793.83"/>
    <x v="1"/>
    <n v="1341821.28"/>
    <s v="-4793.83"/>
    <s v="jcortiz"/>
    <n v="0"/>
    <m/>
    <s v="QUITO-PICHINCHA"/>
    <m/>
    <m/>
    <m/>
  </r>
  <r>
    <x v="0"/>
    <x v="0"/>
    <d v="2022-11-02T00:00:00"/>
    <d v="2022-11-02T00:00:00"/>
    <s v="Primario"/>
    <s v="EP 6357"/>
    <n v="108084"/>
    <s v="Pedido de entrada de mercancías - PN1791834399001"/>
    <m/>
    <m/>
    <n v="201040506"/>
    <s v="Facturas por Confirmar"/>
    <n v="2698.05"/>
    <m/>
    <n v="2698.05"/>
    <x v="2"/>
    <n v="1344519.33"/>
    <s v="2698.05"/>
    <s v="jcortiz"/>
    <n v="0"/>
    <m/>
    <m/>
    <m/>
    <m/>
    <m/>
  </r>
  <r>
    <x v="0"/>
    <x v="0"/>
    <d v="2022-11-02T00:00:00"/>
    <d v="2022-11-02T00:00:00"/>
    <s v="Primario"/>
    <s v="EP 6358"/>
    <n v="108085"/>
    <s v="Pedido de entrada de mercancías - PN1791834399001"/>
    <m/>
    <m/>
    <n v="201040506"/>
    <s v="Facturas por Confirmar"/>
    <n v="3827.55"/>
    <m/>
    <n v="3827.55"/>
    <x v="2"/>
    <n v="1348346.8799999999"/>
    <s v="3827.55"/>
    <s v="jcortiz"/>
    <n v="0"/>
    <m/>
    <m/>
    <m/>
    <m/>
    <m/>
  </r>
  <r>
    <x v="0"/>
    <x v="0"/>
    <d v="2022-11-02T00:00:00"/>
    <d v="2022-11-02T00:00:00"/>
    <s v="FE001"/>
    <s v="NE 100015533"/>
    <n v="108088"/>
    <s v="Entregas - CN1791774345001"/>
    <m/>
    <s v="QUITO"/>
    <n v="51010101"/>
    <s v="Costo de ventas Quito"/>
    <m/>
    <n v="35.67"/>
    <n v="-35.67"/>
    <x v="1"/>
    <n v="1348311.21"/>
    <s v="-35.67"/>
    <s v="jcortiz"/>
    <n v="0"/>
    <m/>
    <s v="QUITO-PICHINCHA"/>
    <m/>
    <m/>
    <m/>
  </r>
  <r>
    <x v="0"/>
    <x v="0"/>
    <d v="2022-11-02T00:00:00"/>
    <d v="2022-11-02T00:00:00"/>
    <s v="Primario"/>
    <s v="EP 6359"/>
    <n v="108089"/>
    <s v="Pedido de entrada de mercancías - PN1791834399001"/>
    <m/>
    <m/>
    <n v="201040506"/>
    <s v="Facturas por Confirmar"/>
    <n v="45.16"/>
    <m/>
    <n v="45.16"/>
    <x v="2"/>
    <n v="1348356.37"/>
    <s v="45.16"/>
    <s v="jcortiz"/>
    <n v="0"/>
    <m/>
    <m/>
    <m/>
    <m/>
    <m/>
  </r>
  <r>
    <x v="0"/>
    <x v="0"/>
    <d v="2022-11-02T00:00:00"/>
    <d v="2022-11-02T00:00:00"/>
    <s v="FE001"/>
    <s v="NE 100015534"/>
    <n v="108090"/>
    <s v="Entregas - CN1791774345001"/>
    <m/>
    <s v="QUITO"/>
    <n v="51010101"/>
    <s v="Costo de ventas Quito"/>
    <m/>
    <n v="45.16"/>
    <n v="-45.16"/>
    <x v="1"/>
    <n v="1348311.21"/>
    <s v="-45.16"/>
    <s v="jcortiz"/>
    <n v="0"/>
    <m/>
    <s v="QUITO-PICHINCHA"/>
    <m/>
    <m/>
    <m/>
  </r>
  <r>
    <x v="0"/>
    <x v="0"/>
    <d v="2022-11-02T00:00:00"/>
    <d v="2022-11-02T00:00:00"/>
    <s v="Primario"/>
    <s v="EP 6360"/>
    <n v="108091"/>
    <s v="Pedido de entrada de mercancías - PN1791834399001"/>
    <m/>
    <m/>
    <n v="201040506"/>
    <s v="Facturas por Confirmar"/>
    <n v="424.05"/>
    <m/>
    <n v="424.05"/>
    <x v="2"/>
    <n v="1348735.26"/>
    <s v="424.05"/>
    <s v="jcortiz"/>
    <n v="0"/>
    <m/>
    <m/>
    <m/>
    <m/>
    <m/>
  </r>
  <r>
    <x v="0"/>
    <x v="0"/>
    <d v="2022-11-02T00:00:00"/>
    <d v="2022-11-02T00:00:00"/>
    <s v="FE001"/>
    <s v="NE 100015535"/>
    <n v="108092"/>
    <s v="Entregas - CN1791774345001"/>
    <m/>
    <s v="QUITO"/>
    <n v="51010101"/>
    <s v="Costo de ventas Quito"/>
    <m/>
    <n v="424.05"/>
    <n v="-424.05"/>
    <x v="1"/>
    <n v="1348311.21"/>
    <s v="-424.05"/>
    <s v="jcortiz"/>
    <n v="0"/>
    <m/>
    <s v="QUITO-PICHINCHA"/>
    <m/>
    <m/>
    <m/>
  </r>
  <r>
    <x v="0"/>
    <x v="0"/>
    <d v="2022-11-02T00:00:00"/>
    <d v="2022-11-02T00:00:00"/>
    <s v="FE001"/>
    <s v="NE 100015536"/>
    <n v="108095"/>
    <s v="Entregas - CN1791263308001"/>
    <m/>
    <s v="QUITO"/>
    <n v="51010101"/>
    <s v="Costo de ventas Quito"/>
    <m/>
    <n v="2821.98"/>
    <n v="-2821.98"/>
    <x v="1"/>
    <n v="1345489.23"/>
    <s v="-2821.98"/>
    <s v="jcortiz"/>
    <n v="0"/>
    <m/>
    <s v="QUITO-PICHINCHA"/>
    <m/>
    <m/>
    <m/>
  </r>
  <r>
    <x v="0"/>
    <x v="0"/>
    <d v="2022-11-02T00:00:00"/>
    <d v="2022-11-02T00:00:00"/>
    <s v="FE001"/>
    <s v="NE 100015537"/>
    <n v="108099"/>
    <s v="Entregas - CN1791263308001"/>
    <m/>
    <s v="QUITO"/>
    <n v="51010101"/>
    <s v="Costo de ventas Quito"/>
    <m/>
    <n v="6706.34"/>
    <n v="-6706.34"/>
    <x v="1"/>
    <n v="1338782.8899999999"/>
    <s v="-6706.34"/>
    <s v="jcortiz"/>
    <n v="0"/>
    <m/>
    <s v="QUITO-PICHINCHA"/>
    <m/>
    <m/>
    <m/>
  </r>
  <r>
    <x v="0"/>
    <x v="0"/>
    <d v="2022-11-02T00:00:00"/>
    <d v="2022-11-02T00:00:00"/>
    <s v="FE001"/>
    <s v="IM 100003373"/>
    <n v="108107"/>
    <s v="Traslados - CN1792079160001"/>
    <m/>
    <m/>
    <n v="101060402"/>
    <s v="Inventario de prod. term. y mercad. en Bodega BULLSYPPLY Coca"/>
    <n v="281.05"/>
    <m/>
    <n v="281.05"/>
    <x v="3"/>
    <n v="1339063.94"/>
    <s v="281.05"/>
    <s v="ancueva"/>
    <n v="0"/>
    <m/>
    <m/>
    <m/>
    <m/>
    <m/>
  </r>
  <r>
    <x v="0"/>
    <x v="0"/>
    <d v="2022-11-02T00:00:00"/>
    <d v="2022-11-02T00:00:00"/>
    <s v="FE001"/>
    <s v="IM 100003374"/>
    <n v="108108"/>
    <s v="Traslados - CN1792079160001"/>
    <m/>
    <m/>
    <n v="101060402"/>
    <s v="Inventario de prod. term. y mercad. en Bodega BULLSYPPLY Coca"/>
    <n v="1170.9000000000001"/>
    <m/>
    <n v="1170.9000000000001"/>
    <x v="3"/>
    <n v="1340234.8400000001"/>
    <s v="1170.90"/>
    <s v="ancueva"/>
    <n v="0"/>
    <m/>
    <m/>
    <m/>
    <m/>
    <m/>
  </r>
  <r>
    <x v="0"/>
    <x v="0"/>
    <d v="2022-11-02T00:00:00"/>
    <d v="2022-11-02T00:00:00"/>
    <s v="FE001"/>
    <s v="NE 100015548"/>
    <n v="108112"/>
    <s v="Entrega - Cancelación - CN1791263308001"/>
    <m/>
    <s v="QUITO"/>
    <n v="51010101"/>
    <s v="Costo de ventas Quito"/>
    <n v="6706.34"/>
    <m/>
    <n v="6706.34"/>
    <x v="1"/>
    <n v="1346941.18"/>
    <s v="6706.34"/>
    <s v="ancueva"/>
    <n v="0"/>
    <m/>
    <s v="QUITO-PICHINCHA"/>
    <m/>
    <m/>
    <m/>
  </r>
  <r>
    <x v="0"/>
    <x v="0"/>
    <d v="2022-11-02T00:00:00"/>
    <d v="2022-11-02T00:00:00"/>
    <s v="FE001"/>
    <s v="NE 100015551"/>
    <n v="108115"/>
    <s v="Entrega - Cancelación - CN1791263308001"/>
    <m/>
    <s v="QUITO"/>
    <n v="51010101"/>
    <s v="Costo de ventas Quito"/>
    <n v="2821.98"/>
    <m/>
    <n v="2821.98"/>
    <x v="1"/>
    <n v="1349763.16"/>
    <s v="2821.98"/>
    <s v="ancueva"/>
    <n v="0"/>
    <m/>
    <s v="QUITO-PICHINCHA"/>
    <m/>
    <m/>
    <m/>
  </r>
  <r>
    <x v="0"/>
    <x v="0"/>
    <d v="2022-11-02T00:00:00"/>
    <d v="2022-11-02T00:00:00"/>
    <s v="FE001"/>
    <s v="NE 100015553"/>
    <n v="108117"/>
    <s v="Entrega - Cancelación - CN1791263308001"/>
    <m/>
    <s v="QUITO"/>
    <n v="51010101"/>
    <s v="Costo de ventas Quito"/>
    <n v="4793.83"/>
    <m/>
    <n v="4793.83"/>
    <x v="1"/>
    <n v="1354556.99"/>
    <s v="4793.83"/>
    <s v="ancueva"/>
    <n v="0"/>
    <m/>
    <s v="QUITO-PICHINCHA"/>
    <m/>
    <m/>
    <m/>
  </r>
  <r>
    <x v="0"/>
    <x v="0"/>
    <d v="2022-11-02T00:00:00"/>
    <d v="2022-11-02T00:00:00"/>
    <s v="FE001"/>
    <s v="NE 100015577"/>
    <n v="108171"/>
    <s v="Entrega - Cancelación - CN1791774345001"/>
    <m/>
    <s v="QUITO"/>
    <n v="51010101"/>
    <s v="Costo de ventas Quito"/>
    <n v="424.05"/>
    <m/>
    <n v="424.05"/>
    <x v="1"/>
    <n v="1354981.04"/>
    <s v="424.05"/>
    <s v="jcortiz"/>
    <n v="0"/>
    <m/>
    <s v="QUITO-PICHINCHA"/>
    <m/>
    <m/>
    <m/>
  </r>
  <r>
    <x v="0"/>
    <x v="0"/>
    <d v="2022-11-02T00:00:00"/>
    <d v="2022-11-02T00:00:00"/>
    <s v="Anula"/>
    <s v="EP 200440"/>
    <n v="108172"/>
    <s v="Pedido de entrada de mercancías - Cancelación - PN"/>
    <m/>
    <m/>
    <n v="201040506"/>
    <s v="Facturas por Confirmar"/>
    <m/>
    <n v="424.05"/>
    <n v="-424.05"/>
    <x v="2"/>
    <n v="1354556.99"/>
    <s v="-424.05"/>
    <s v="jcortiz"/>
    <n v="0"/>
    <m/>
    <m/>
    <m/>
    <m/>
    <m/>
  </r>
  <r>
    <x v="0"/>
    <x v="0"/>
    <d v="2022-11-02T00:00:00"/>
    <d v="2022-11-02T00:00:00"/>
    <s v="Anula"/>
    <s v="EP 200442"/>
    <n v="108189"/>
    <s v="Pedido de entrada de mercancías - Cancelación - PN"/>
    <m/>
    <m/>
    <n v="201040506"/>
    <s v="Facturas por Confirmar"/>
    <m/>
    <n v="2761.56"/>
    <n v="-2761.56"/>
    <x v="2"/>
    <n v="1351795.43"/>
    <s v="-2761.56"/>
    <s v="jcortiz"/>
    <n v="0"/>
    <m/>
    <m/>
    <m/>
    <m/>
    <m/>
  </r>
  <r>
    <x v="0"/>
    <x v="0"/>
    <d v="2022-11-03T00:00:00"/>
    <d v="2022-11-03T00:00:00"/>
    <s v="FE001"/>
    <s v="NE 100015549"/>
    <n v="108113"/>
    <s v="Entregas - CN1791263308001"/>
    <m/>
    <s v="QUITO"/>
    <n v="51010101"/>
    <s v="Costo de ventas Quito"/>
    <m/>
    <n v="6333.78"/>
    <n v="-6333.78"/>
    <x v="1"/>
    <n v="1345461.65"/>
    <s v="-6333.78"/>
    <s v="ancueva"/>
    <n v="0"/>
    <m/>
    <s v="QUITO-PICHINCHA"/>
    <m/>
    <m/>
    <m/>
  </r>
  <r>
    <x v="0"/>
    <x v="0"/>
    <d v="2022-11-03T00:00:00"/>
    <d v="2022-11-03T00:00:00"/>
    <s v="FE001"/>
    <s v="NE 100015552"/>
    <n v="108116"/>
    <s v="Entregas - CN1791263308001"/>
    <m/>
    <s v="QUITO"/>
    <n v="51010101"/>
    <s v="Costo de ventas Quito"/>
    <m/>
    <n v="2821.98"/>
    <n v="-2821.98"/>
    <x v="1"/>
    <n v="1342639.67"/>
    <s v="-2821.98"/>
    <s v="ancueva"/>
    <n v="0"/>
    <m/>
    <s v="QUITO-PICHINCHA"/>
    <m/>
    <m/>
    <m/>
  </r>
  <r>
    <x v="0"/>
    <x v="0"/>
    <d v="2022-11-03T00:00:00"/>
    <d v="2022-11-03T00:00:00"/>
    <s v="FE001"/>
    <s v="NE 100015555"/>
    <n v="108119"/>
    <s v="Entregas - CN1791263308001"/>
    <m/>
    <s v="QUITO"/>
    <n v="51010101"/>
    <s v="Costo de ventas Quito"/>
    <m/>
    <n v="4691.83"/>
    <n v="-4691.83"/>
    <x v="1"/>
    <n v="1337947.8400000001"/>
    <s v="-4691.83"/>
    <s v="ancueva"/>
    <n v="0"/>
    <m/>
    <s v="QUITO-PICHINCHA"/>
    <m/>
    <m/>
    <m/>
  </r>
  <r>
    <x v="0"/>
    <x v="0"/>
    <d v="2022-11-03T00:00:00"/>
    <d v="2022-11-03T00:00:00"/>
    <s v="FE001"/>
    <s v="NE 100015583"/>
    <n v="108187"/>
    <s v="Entrega - Cancelación - CN1791263308001"/>
    <m/>
    <s v="QUITO"/>
    <n v="51010101"/>
    <s v="Costo de ventas Quito"/>
    <n v="4691.83"/>
    <m/>
    <n v="4691.83"/>
    <x v="1"/>
    <n v="1342639.67"/>
    <s v="4691.83"/>
    <s v="jcortiz"/>
    <n v="0"/>
    <m/>
    <s v="QUITO-PICHINCHA"/>
    <m/>
    <m/>
    <m/>
  </r>
  <r>
    <x v="0"/>
    <x v="0"/>
    <d v="2022-11-06T00:00:00"/>
    <d v="2022-11-06T00:00:00"/>
    <s v="FE001"/>
    <s v="NE 100015557"/>
    <n v="108121"/>
    <s v="Entregas - CN1791263308001"/>
    <m/>
    <s v="QUITO"/>
    <n v="51010101"/>
    <s v="Costo de ventas Quito"/>
    <m/>
    <n v="8.7799999999999994"/>
    <n v="-8.7799999999999994"/>
    <x v="1"/>
    <n v="1342630.89"/>
    <s v="-8.78"/>
    <s v="ancueva"/>
    <n v="0"/>
    <m/>
    <s v="QUITO-PICHINCHA"/>
    <m/>
    <m/>
    <m/>
  </r>
  <r>
    <x v="0"/>
    <x v="0"/>
    <d v="2022-11-07T00:00:00"/>
    <d v="2022-11-07T00:00:00"/>
    <s v="FE001"/>
    <s v="IM 100003375"/>
    <n v="108124"/>
    <s v="Traslados - CN1792079160001"/>
    <m/>
    <m/>
    <n v="101060402"/>
    <s v="Inventario de prod. term. y mercad. en Bodega BULLSYPPLY Coca"/>
    <m/>
    <n v="39.76"/>
    <n v="-39.76"/>
    <x v="3"/>
    <n v="1342591.13"/>
    <s v="-39.76"/>
    <s v="jcortiz"/>
    <n v="0"/>
    <m/>
    <m/>
    <m/>
    <m/>
    <m/>
  </r>
  <r>
    <x v="0"/>
    <x v="0"/>
    <d v="2022-11-07T00:00:00"/>
    <d v="2022-11-07T00:00:00"/>
    <s v="FE001"/>
    <s v="NE 100015560"/>
    <n v="108125"/>
    <s v="Entregas - CN0590060933001"/>
    <m/>
    <s v="QUITO"/>
    <n v="51010101"/>
    <s v="Costo de ventas Quito"/>
    <m/>
    <n v="209.59"/>
    <n v="-209.59"/>
    <x v="1"/>
    <n v="1342381.54"/>
    <s v="-209.59"/>
    <s v="jcortiz"/>
    <n v="0"/>
    <m/>
    <s v="QUITO-PICHINCHA"/>
    <m/>
    <m/>
    <m/>
  </r>
  <r>
    <x v="0"/>
    <x v="0"/>
    <d v="2022-11-07T00:00:00"/>
    <d v="2022-11-07T00:00:00"/>
    <s v="FE001"/>
    <s v="NE 100015561"/>
    <n v="108126"/>
    <s v="Entregas - CN1793121225001"/>
    <m/>
    <s v="QUITO"/>
    <n v="51010101"/>
    <s v="Costo de ventas Quito"/>
    <m/>
    <n v="2390.3200000000002"/>
    <n v="-2390.3200000000002"/>
    <x v="1"/>
    <n v="1339991.22"/>
    <s v="-2390.32"/>
    <s v="jcortiz"/>
    <n v="0"/>
    <m/>
    <s v="QUITO-PICHINCHA"/>
    <m/>
    <m/>
    <m/>
  </r>
  <r>
    <x v="0"/>
    <x v="0"/>
    <d v="2022-11-07T00:00:00"/>
    <d v="2022-11-07T00:00:00"/>
    <s v="FE001"/>
    <s v="NE 100015562"/>
    <n v="108127"/>
    <s v="Entregas - CN1791263308001"/>
    <m/>
    <s v="QUITO"/>
    <n v="51010101"/>
    <s v="Costo de ventas Quito"/>
    <m/>
    <n v="7.27"/>
    <n v="-7.27"/>
    <x v="1"/>
    <n v="1339983.95"/>
    <s v="-7.27"/>
    <s v="jcortiz"/>
    <n v="0"/>
    <m/>
    <s v="QUITO-PICHINCHA"/>
    <m/>
    <m/>
    <m/>
  </r>
  <r>
    <x v="0"/>
    <x v="0"/>
    <d v="2022-11-07T00:00:00"/>
    <d v="2022-11-07T00:00:00"/>
    <s v="FE001"/>
    <s v="IM 100003376"/>
    <n v="108128"/>
    <s v="Traslados - CN1792079160001"/>
    <m/>
    <m/>
    <n v="101060402"/>
    <s v="Inventario de prod. term. y mercad. en Bodega BULLSYPPLY Coca"/>
    <n v="7.26"/>
    <m/>
    <n v="7.26"/>
    <x v="3"/>
    <n v="1339991.21"/>
    <s v="7.26"/>
    <s v="ancueva"/>
    <n v="0"/>
    <m/>
    <m/>
    <m/>
    <m/>
    <m/>
  </r>
  <r>
    <x v="0"/>
    <x v="0"/>
    <d v="2022-11-07T00:00:00"/>
    <d v="2022-11-07T00:00:00"/>
    <s v="FE001"/>
    <s v="IM 100003377"/>
    <n v="108134"/>
    <s v="Traslados - CN1792079160001"/>
    <m/>
    <m/>
    <n v="101060402"/>
    <s v="Inventario de prod. term. y mercad. en Bodega BULLSYPPLY Coca"/>
    <n v="8.7799999999999994"/>
    <m/>
    <n v="8.7799999999999994"/>
    <x v="3"/>
    <n v="1339999.99"/>
    <s v="8.78"/>
    <s v="ancueva"/>
    <n v="0"/>
    <m/>
    <m/>
    <m/>
    <m/>
    <m/>
  </r>
  <r>
    <x v="0"/>
    <x v="0"/>
    <d v="2022-11-07T00:00:00"/>
    <d v="2022-11-07T00:00:00"/>
    <s v="FE001"/>
    <s v="NE 100015563"/>
    <n v="108138"/>
    <s v="Entregas - CN1792014980001"/>
    <m/>
    <s v="QUITO"/>
    <n v="51010101"/>
    <s v="Costo de ventas Quito"/>
    <m/>
    <n v="990.01"/>
    <n v="-990.01"/>
    <x v="1"/>
    <n v="1339009.98"/>
    <s v="-990.01"/>
    <s v="jcortiz"/>
    <n v="0"/>
    <m/>
    <s v="QUITO-PICHINCHA"/>
    <m/>
    <m/>
    <m/>
  </r>
  <r>
    <x v="0"/>
    <x v="0"/>
    <d v="2022-11-07T00:00:00"/>
    <d v="2022-11-07T00:00:00"/>
    <s v="FE001"/>
    <s v="NE 100015564"/>
    <n v="108139"/>
    <s v="Entregas - CN1791847776001"/>
    <m/>
    <s v="QUITO"/>
    <n v="51010101"/>
    <s v="Costo de ventas Quito"/>
    <m/>
    <n v="1007.28"/>
    <n v="-1007.28"/>
    <x v="1"/>
    <n v="1338002.7"/>
    <s v="-1007.28"/>
    <s v="jcortiz"/>
    <n v="0"/>
    <m/>
    <s v="QUITO-PICHINCHA"/>
    <m/>
    <m/>
    <m/>
  </r>
  <r>
    <x v="0"/>
    <x v="0"/>
    <d v="2022-11-07T00:00:00"/>
    <d v="2022-11-07T00:00:00"/>
    <s v="FE001"/>
    <s v="NE 100015565"/>
    <n v="108140"/>
    <s v="Entregas - CN1315662823001"/>
    <m/>
    <s v="QUITO"/>
    <n v="51010101"/>
    <s v="Costo de ventas Quito"/>
    <m/>
    <n v="88.19"/>
    <n v="-88.19"/>
    <x v="1"/>
    <n v="1337914.51"/>
    <s v="-88.19"/>
    <s v="jcortiz"/>
    <n v="0"/>
    <m/>
    <s v="QUITO-PICHINCHA"/>
    <m/>
    <m/>
    <m/>
  </r>
  <r>
    <x v="0"/>
    <x v="0"/>
    <d v="2022-11-07T00:00:00"/>
    <d v="2022-11-07T00:00:00"/>
    <s v="Primario"/>
    <s v="DV 233"/>
    <n v="108142"/>
    <s v="Devoluciones - CN1791263308001"/>
    <m/>
    <s v="QUITO"/>
    <n v="51010101"/>
    <s v="Costo de ventas Quito"/>
    <n v="307.08999999999997"/>
    <m/>
    <n v="307.08999999999997"/>
    <x v="1"/>
    <n v="1338221.6000000001"/>
    <s v="307.09"/>
    <s v="jcortiz"/>
    <n v="0"/>
    <m/>
    <s v="QUITO-PICHINCHA"/>
    <m/>
    <m/>
    <m/>
  </r>
  <r>
    <x v="0"/>
    <x v="0"/>
    <d v="2022-11-07T00:00:00"/>
    <d v="2022-11-07T00:00:00"/>
    <s v="FE001"/>
    <s v="IM 100003378"/>
    <n v="108144"/>
    <s v="Traslados - CN1792079160001"/>
    <m/>
    <m/>
    <n v="101060402"/>
    <s v="Inventario de prod. term. y mercad. en Bodega BULLSYPPLY Coca"/>
    <m/>
    <n v="307.08999999999997"/>
    <n v="-307.08999999999997"/>
    <x v="3"/>
    <n v="1337914.51"/>
    <s v="-307.09"/>
    <s v="jcortiz"/>
    <n v="0"/>
    <m/>
    <m/>
    <m/>
    <m/>
    <m/>
  </r>
  <r>
    <x v="0"/>
    <x v="0"/>
    <d v="2022-11-07T00:00:00"/>
    <d v="2022-11-07T00:00:00"/>
    <s v="FE001"/>
    <s v="NE 100015566"/>
    <n v="108145"/>
    <s v="Entregas - CN1791847776001"/>
    <m/>
    <s v="QUITO"/>
    <n v="51010101"/>
    <s v="Costo de ventas Quito"/>
    <m/>
    <n v="7.96"/>
    <n v="-7.96"/>
    <x v="1"/>
    <n v="1337906.55"/>
    <s v="-7.96"/>
    <s v="ancueva"/>
    <n v="0"/>
    <m/>
    <s v="QUITO-PICHINCHA"/>
    <m/>
    <m/>
    <m/>
  </r>
  <r>
    <x v="0"/>
    <x v="0"/>
    <d v="2022-11-07T00:00:00"/>
    <d v="2022-11-07T00:00:00"/>
    <s v="FE001"/>
    <s v="NE 100015567"/>
    <n v="108148"/>
    <s v="Entregas - CN1716511926001"/>
    <m/>
    <s v="QUITO"/>
    <n v="51010101"/>
    <s v="Costo de ventas Quito"/>
    <m/>
    <n v="21.34"/>
    <n v="-21.34"/>
    <x v="1"/>
    <n v="1337885.21"/>
    <s v="-21.34"/>
    <s v="jcortiz"/>
    <n v="0"/>
    <m/>
    <s v="QUITO-PICHINCHA"/>
    <m/>
    <m/>
    <m/>
  </r>
  <r>
    <x v="0"/>
    <x v="0"/>
    <d v="2022-11-07T00:00:00"/>
    <d v="2022-11-07T00:00:00"/>
    <s v="FE001"/>
    <s v="NE 100015568"/>
    <n v="108150"/>
    <s v="Entregas - CN0101692655001"/>
    <m/>
    <s v="QUITO"/>
    <n v="51010101"/>
    <s v="Costo de ventas Quito"/>
    <m/>
    <n v="177.12"/>
    <n v="-177.12"/>
    <x v="1"/>
    <n v="1337708.0900000001"/>
    <s v="-177.12"/>
    <s v="jcortiz"/>
    <n v="0"/>
    <m/>
    <s v="QUITO-PICHINCHA"/>
    <m/>
    <m/>
    <m/>
  </r>
  <r>
    <x v="0"/>
    <x v="0"/>
    <d v="2022-11-07T00:00:00"/>
    <d v="2022-11-07T00:00:00"/>
    <s v="Primario"/>
    <s v="EP 6361"/>
    <n v="108151"/>
    <s v="Pedido de entrada de mercancías - PN1791834399001"/>
    <m/>
    <m/>
    <n v="201040506"/>
    <s v="Facturas por Confirmar"/>
    <n v="21.25"/>
    <m/>
    <n v="21.25"/>
    <x v="2"/>
    <n v="1337729.3400000001"/>
    <s v="21.25"/>
    <s v="jcortiz"/>
    <n v="0"/>
    <m/>
    <m/>
    <m/>
    <m/>
    <m/>
  </r>
  <r>
    <x v="0"/>
    <x v="0"/>
    <d v="2022-11-07T00:00:00"/>
    <d v="2022-11-07T00:00:00"/>
    <s v="Primario"/>
    <s v="EP 6362"/>
    <n v="108152"/>
    <s v="Pedido de entrada de mercancías - PN1791834399001"/>
    <m/>
    <m/>
    <n v="201040506"/>
    <s v="Facturas por Confirmar"/>
    <n v="95.38"/>
    <m/>
    <n v="95.38"/>
    <x v="2"/>
    <n v="1337824.72"/>
    <s v="95.38"/>
    <s v="jcortiz"/>
    <n v="0"/>
    <m/>
    <m/>
    <m/>
    <m/>
    <m/>
  </r>
  <r>
    <x v="0"/>
    <x v="0"/>
    <d v="2022-11-07T00:00:00"/>
    <d v="2022-11-07T00:00:00"/>
    <s v="FE001"/>
    <s v="NE 100015569"/>
    <n v="108153"/>
    <s v="Entregas - CN0590060933001"/>
    <m/>
    <s v="QUITO"/>
    <n v="51010101"/>
    <s v="Costo de ventas Quito"/>
    <m/>
    <n v="95.38"/>
    <n v="-95.38"/>
    <x v="1"/>
    <n v="1337729.3400000001"/>
    <s v="-95.38"/>
    <s v="jcortiz"/>
    <n v="0"/>
    <m/>
    <s v="QUITO-PICHINCHA"/>
    <m/>
    <m/>
    <m/>
  </r>
  <r>
    <x v="0"/>
    <x v="0"/>
    <d v="2022-11-07T00:00:00"/>
    <d v="2022-11-07T00:00:00"/>
    <s v="FE001"/>
    <s v="NE 100015570"/>
    <n v="108154"/>
    <s v="Entregas - CN1792055415001"/>
    <m/>
    <s v="QUITO"/>
    <n v="51010101"/>
    <s v="Costo de ventas Quito"/>
    <m/>
    <n v="6735.53"/>
    <n v="-6735.53"/>
    <x v="1"/>
    <n v="1330993.81"/>
    <s v="-6735.53"/>
    <s v="jcortiz"/>
    <n v="0"/>
    <m/>
    <s v="QUITO-PICHINCHA"/>
    <m/>
    <m/>
    <m/>
  </r>
  <r>
    <x v="0"/>
    <x v="0"/>
    <d v="2022-11-07T00:00:00"/>
    <d v="2022-11-07T00:00:00"/>
    <s v="FE001"/>
    <s v="NE 100015571"/>
    <n v="108156"/>
    <s v="Entregas - CN1793008054001"/>
    <m/>
    <s v="QUITO"/>
    <n v="51010101"/>
    <s v="Costo de ventas Quito"/>
    <m/>
    <n v="210.25"/>
    <n v="-210.25"/>
    <x v="1"/>
    <n v="1330783.56"/>
    <s v="-210.25"/>
    <s v="jcortiz"/>
    <n v="0"/>
    <m/>
    <s v="QUITO-PICHINCHA"/>
    <m/>
    <m/>
    <m/>
  </r>
  <r>
    <x v="0"/>
    <x v="0"/>
    <d v="2022-11-07T00:00:00"/>
    <d v="2022-11-07T00:00:00"/>
    <s v="Primario"/>
    <s v="EP 6363"/>
    <n v="108159"/>
    <s v="Pedido de entrada de mercancías - PN1791834399001"/>
    <m/>
    <m/>
    <n v="201040506"/>
    <s v="Facturas por Confirmar"/>
    <n v="417.3"/>
    <m/>
    <n v="417.3"/>
    <x v="2"/>
    <n v="1331200.8600000001"/>
    <s v="417.30"/>
    <s v="jcortiz"/>
    <n v="0"/>
    <m/>
    <m/>
    <m/>
    <m/>
    <m/>
  </r>
  <r>
    <x v="0"/>
    <x v="0"/>
    <d v="2022-11-07T00:00:00"/>
    <d v="2022-11-07T00:00:00"/>
    <s v="FE001"/>
    <s v="NE 100015573"/>
    <n v="108160"/>
    <s v="Entregas - CN1791263308001"/>
    <m/>
    <s v="QUITO"/>
    <n v="51010101"/>
    <s v="Costo de ventas Quito"/>
    <m/>
    <n v="417.3"/>
    <n v="-417.3"/>
    <x v="1"/>
    <n v="1330783.56"/>
    <s v="-417.30"/>
    <s v="jcortiz"/>
    <n v="0"/>
    <m/>
    <s v="QUITO-PICHINCHA"/>
    <m/>
    <m/>
    <m/>
  </r>
  <r>
    <x v="0"/>
    <x v="0"/>
    <d v="2022-11-07T00:00:00"/>
    <d v="2022-11-07T00:00:00"/>
    <s v="FE001"/>
    <s v="NE 100015574"/>
    <n v="108161"/>
    <s v="Entregas - CN1792874939001"/>
    <m/>
    <s v="QUITO"/>
    <n v="51010101"/>
    <s v="Costo de ventas Quito"/>
    <m/>
    <n v="11.67"/>
    <n v="-11.67"/>
    <x v="1"/>
    <n v="1330771.8899999999"/>
    <s v="-11.67"/>
    <s v="jcortiz"/>
    <n v="0"/>
    <m/>
    <s v="QUITO-PICHINCHA"/>
    <m/>
    <m/>
    <m/>
  </r>
  <r>
    <x v="0"/>
    <x v="0"/>
    <d v="2022-11-07T00:00:00"/>
    <d v="2022-11-07T00:00:00"/>
    <s v="FE001"/>
    <s v="NE 100015575"/>
    <n v="108167"/>
    <s v="Entregas - CN1315662823001"/>
    <m/>
    <s v="QUITO"/>
    <n v="51010101"/>
    <s v="Costo de ventas Quito"/>
    <m/>
    <n v="48.42"/>
    <n v="-48.42"/>
    <x v="1"/>
    <n v="1330723.47"/>
    <s v="-48.42"/>
    <s v="jcortiz"/>
    <n v="0"/>
    <m/>
    <s v="QUITO-PICHINCHA"/>
    <m/>
    <m/>
    <m/>
  </r>
  <r>
    <x v="0"/>
    <x v="0"/>
    <d v="2022-11-08T00:00:00"/>
    <d v="2022-11-08T00:00:00"/>
    <s v="Primario"/>
    <s v="EP 6364"/>
    <n v="108173"/>
    <s v="Pedido de entrada de mercancías - PN1791834399001"/>
    <m/>
    <m/>
    <n v="201040506"/>
    <s v="Facturas por Confirmar"/>
    <n v="498.9"/>
    <m/>
    <n v="498.9"/>
    <x v="2"/>
    <n v="1331222.3700000001"/>
    <s v="498.90"/>
    <s v="jcortiz"/>
    <n v="0"/>
    <m/>
    <m/>
    <m/>
    <m/>
    <m/>
  </r>
  <r>
    <x v="0"/>
    <x v="0"/>
    <d v="2022-11-08T00:00:00"/>
    <d v="2022-11-08T00:00:00"/>
    <s v="FE001"/>
    <s v="NE 100015578"/>
    <n v="108174"/>
    <s v="Entregas - CN1791774345001"/>
    <m/>
    <s v="QUITO"/>
    <n v="51010101"/>
    <s v="Costo de ventas Quito"/>
    <m/>
    <n v="498.9"/>
    <n v="-498.9"/>
    <x v="1"/>
    <n v="1330723.47"/>
    <s v="-498.90"/>
    <s v="jcortiz"/>
    <n v="0"/>
    <m/>
    <s v="QUITO-PICHINCHA"/>
    <m/>
    <m/>
    <m/>
  </r>
  <r>
    <x v="0"/>
    <x v="0"/>
    <d v="2022-11-08T00:00:00"/>
    <d v="2022-11-08T00:00:00"/>
    <s v="FE001"/>
    <s v="NE 100015579"/>
    <n v="108175"/>
    <s v="Entrega - Cancelación - CN1791774345001"/>
    <m/>
    <s v="QUITO"/>
    <n v="51010101"/>
    <s v="Costo de ventas Quito"/>
    <n v="498.9"/>
    <m/>
    <n v="498.9"/>
    <x v="1"/>
    <n v="1331222.3700000001"/>
    <s v="498.90"/>
    <s v="jcortiz"/>
    <n v="0"/>
    <m/>
    <s v="QUITO-PICHINCHA"/>
    <m/>
    <m/>
    <m/>
  </r>
  <r>
    <x v="0"/>
    <x v="0"/>
    <d v="2022-11-08T00:00:00"/>
    <d v="2022-11-08T00:00:00"/>
    <s v="Anula"/>
    <s v="EP 200441"/>
    <n v="108176"/>
    <s v="Pedido de entrada de mercancías - Cancelación - PN"/>
    <m/>
    <m/>
    <n v="201040506"/>
    <s v="Facturas por Confirmar"/>
    <m/>
    <n v="498.9"/>
    <n v="-498.9"/>
    <x v="2"/>
    <n v="1330723.47"/>
    <s v="-498.90"/>
    <s v="jcortiz"/>
    <n v="0"/>
    <m/>
    <m/>
    <m/>
    <m/>
    <m/>
  </r>
  <r>
    <x v="0"/>
    <x v="0"/>
    <d v="2022-11-08T00:00:00"/>
    <d v="2022-11-08T00:00:00"/>
    <s v="Primario"/>
    <s v="EP 6365"/>
    <n v="108177"/>
    <s v="Pedido de entrada de mercancías - PN1791834399001"/>
    <m/>
    <m/>
    <n v="201040506"/>
    <s v="Facturas por Confirmar"/>
    <n v="424.06"/>
    <m/>
    <n v="424.06"/>
    <x v="2"/>
    <n v="1331147.53"/>
    <s v="424.06"/>
    <s v="jcortiz"/>
    <n v="0"/>
    <m/>
    <m/>
    <m/>
    <m/>
    <m/>
  </r>
  <r>
    <x v="0"/>
    <x v="0"/>
    <d v="2022-11-08T00:00:00"/>
    <d v="2022-11-08T00:00:00"/>
    <s v="FE001"/>
    <s v="NE 100015580"/>
    <n v="108178"/>
    <s v="Entregas - CN1791774345001"/>
    <m/>
    <s v="QUITO"/>
    <n v="51010101"/>
    <s v="Costo de ventas Quito"/>
    <m/>
    <n v="424.06"/>
    <n v="-424.06"/>
    <x v="1"/>
    <n v="1330723.47"/>
    <s v="-424.06"/>
    <s v="jcortiz"/>
    <n v="0"/>
    <m/>
    <s v="QUITO-PICHINCHA"/>
    <m/>
    <m/>
    <m/>
  </r>
  <r>
    <x v="0"/>
    <x v="0"/>
    <d v="2022-11-08T00:00:00"/>
    <d v="2022-11-08T00:00:00"/>
    <s v="Primario"/>
    <s v="DM 50"/>
    <n v="108179"/>
    <s v="Devolución de mercancías - PN1791834399001"/>
    <m/>
    <m/>
    <n v="201040506"/>
    <s v="Facturas por Confirmar"/>
    <m/>
    <n v="372.56"/>
    <n v="-372.56"/>
    <x v="6"/>
    <n v="1330350.9099999999"/>
    <s v="-372.56"/>
    <s v="jcortiz"/>
    <n v="0"/>
    <m/>
    <m/>
    <m/>
    <m/>
    <m/>
  </r>
  <r>
    <x v="0"/>
    <x v="0"/>
    <d v="2022-11-08T00:00:00"/>
    <d v="2022-11-08T00:00:00"/>
    <s v="Primario"/>
    <s v="DM 51"/>
    <n v="108182"/>
    <s v="Devolución de mercancías - PN1791834399001"/>
    <m/>
    <m/>
    <n v="201040506"/>
    <s v="Facturas por Confirmar"/>
    <m/>
    <n v="102"/>
    <n v="-102"/>
    <x v="6"/>
    <n v="1330248.9099999999"/>
    <s v="-102.00"/>
    <s v="jcortiz"/>
    <n v="0"/>
    <m/>
    <m/>
    <m/>
    <m/>
    <m/>
  </r>
  <r>
    <x v="0"/>
    <x v="0"/>
    <d v="2022-11-08T00:00:00"/>
    <d v="2022-11-08T00:00:00"/>
    <s v="Primario"/>
    <s v="DM 52"/>
    <n v="108188"/>
    <s v="Devolución de mercancías - Cancelación - PN1791834"/>
    <m/>
    <m/>
    <n v="201040506"/>
    <s v="Facturas por Confirmar"/>
    <n v="102"/>
    <m/>
    <n v="102"/>
    <x v="6"/>
    <n v="1330350.9099999999"/>
    <s v="102.00"/>
    <s v="jcortiz"/>
    <n v="0"/>
    <m/>
    <m/>
    <m/>
    <m/>
    <m/>
  </r>
  <r>
    <x v="0"/>
    <x v="0"/>
    <d v="2022-11-08T00:00:00"/>
    <d v="2022-11-08T00:00:00"/>
    <s v="Primario"/>
    <s v="EP 6366"/>
    <n v="108191"/>
    <s v="Pedido de entrada de mercancías - PN1791834399001"/>
    <m/>
    <m/>
    <n v="201040506"/>
    <s v="Facturas por Confirmar"/>
    <n v="2697.1"/>
    <m/>
    <n v="2697.1"/>
    <x v="2"/>
    <n v="1333048.01"/>
    <s v="2697.10"/>
    <s v="jcortiz"/>
    <n v="0"/>
    <m/>
    <m/>
    <m/>
    <m/>
    <m/>
  </r>
  <r>
    <x v="0"/>
    <x v="0"/>
    <d v="2022-11-08T00:00:00"/>
    <d v="2022-11-08T00:00:00"/>
    <s v="Primario"/>
    <s v="DM 53"/>
    <n v="108192"/>
    <s v="Devolución de mercancías - PN1791834399001"/>
    <m/>
    <m/>
    <n v="201040506"/>
    <s v="Facturas por Confirmar"/>
    <m/>
    <n v="102"/>
    <n v="-102"/>
    <x v="6"/>
    <n v="1332946.01"/>
    <s v="-102.00"/>
    <s v="jcortiz"/>
    <n v="0"/>
    <m/>
    <m/>
    <m/>
    <m/>
    <m/>
  </r>
  <r>
    <x v="0"/>
    <x v="0"/>
    <d v="2022-11-08T00:00:00"/>
    <d v="2022-11-08T00:00:00"/>
    <s v="FE001"/>
    <s v="NE 100015584"/>
    <n v="108194"/>
    <s v="Entregas - CN1791263308001"/>
    <m/>
    <s v="QUITO"/>
    <n v="51010101"/>
    <s v="Costo de ventas Quito"/>
    <m/>
    <n v="4627.37"/>
    <n v="-4627.37"/>
    <x v="1"/>
    <n v="1328318.6399999999"/>
    <s v="-4627.37"/>
    <s v="jcortiz"/>
    <n v="0"/>
    <m/>
    <s v="QUITO-PICHINCHA"/>
    <m/>
    <m/>
    <m/>
  </r>
  <r>
    <x v="0"/>
    <x v="0"/>
    <d v="2022-11-08T00:00:00"/>
    <d v="2022-11-08T00:00:00"/>
    <s v="FE001"/>
    <s v="NE 100015585"/>
    <n v="108196"/>
    <s v="Entregas - CN1791263308001"/>
    <m/>
    <s v="QUITO"/>
    <n v="51010101"/>
    <s v="Costo de ventas Quito"/>
    <m/>
    <n v="21.25"/>
    <n v="-21.25"/>
    <x v="1"/>
    <n v="1328297.3899999999"/>
    <s v="-21.25"/>
    <s v="jcortiz"/>
    <n v="0"/>
    <m/>
    <s v="QUITO-PICHINCHA"/>
    <m/>
    <m/>
    <m/>
  </r>
  <r>
    <x v="0"/>
    <x v="0"/>
    <d v="2022-11-08T00:00:00"/>
    <d v="2022-11-08T00:00:00"/>
    <s v="Primario"/>
    <s v="EM 1717"/>
    <n v="108200"/>
    <s v="Entrada de mercancías"/>
    <m/>
    <s v="QUITO"/>
    <n v="401030105"/>
    <s v="Otros Ingresos"/>
    <n v="7"/>
    <m/>
    <n v="7"/>
    <x v="5"/>
    <n v="1328304.3899999999"/>
    <s v="7.00"/>
    <s v="jcortiz"/>
    <n v="0"/>
    <m/>
    <s v="QUITO-PICHINCHA"/>
    <m/>
    <m/>
    <m/>
  </r>
  <r>
    <x v="0"/>
    <x v="0"/>
    <d v="2022-11-08T00:00:00"/>
    <d v="2022-11-08T00:00:00"/>
    <s v="FE001"/>
    <s v="NE 100015587"/>
    <n v="108201"/>
    <s v="Entregas - CN1792455596001"/>
    <m/>
    <s v="QUITO"/>
    <n v="51010101"/>
    <s v="Costo de ventas Quito"/>
    <m/>
    <n v="581.29999999999995"/>
    <n v="-581.29999999999995"/>
    <x v="1"/>
    <n v="1327723.0900000001"/>
    <s v="-581.30"/>
    <s v="jcortiz"/>
    <n v="0"/>
    <m/>
    <s v="QUITO-PICHINCHA"/>
    <m/>
    <m/>
    <m/>
  </r>
  <r>
    <x v="0"/>
    <x v="0"/>
    <d v="2022-11-08T00:00:00"/>
    <d v="2022-11-08T00:00:00"/>
    <s v="Primario"/>
    <s v="EP 6367"/>
    <n v="108206"/>
    <s v="Pedido de entrada de mercancías - PN0103669644001"/>
    <m/>
    <m/>
    <n v="201040506"/>
    <s v="Facturas por Confirmar"/>
    <n v="109.9"/>
    <m/>
    <n v="109.9"/>
    <x v="2"/>
    <n v="1327832.99"/>
    <s v="109.90"/>
    <s v="jcortiz"/>
    <n v="0"/>
    <m/>
    <m/>
    <m/>
    <m/>
    <m/>
  </r>
  <r>
    <x v="0"/>
    <x v="0"/>
    <d v="2022-11-08T00:00:00"/>
    <d v="2022-11-08T00:00:00"/>
    <s v="FE001"/>
    <s v="NE 100015588"/>
    <n v="108207"/>
    <s v="Entregas - CN1791263308001"/>
    <m/>
    <s v="QUITO"/>
    <n v="51010101"/>
    <s v="Costo de ventas Quito"/>
    <m/>
    <n v="109.9"/>
    <n v="-109.9"/>
    <x v="1"/>
    <n v="1327723.0900000001"/>
    <s v="-109.90"/>
    <s v="jcortiz"/>
    <n v="0"/>
    <m/>
    <s v="QUITO-PICHINCHA"/>
    <m/>
    <m/>
    <m/>
  </r>
  <r>
    <x v="0"/>
    <x v="0"/>
    <d v="2022-11-08T00:00:00"/>
    <d v="2022-11-08T00:00:00"/>
    <s v="Primario"/>
    <s v="EP 6368"/>
    <n v="108208"/>
    <s v="Pedido de entrada de mercancías - PN1791834399001"/>
    <m/>
    <m/>
    <n v="201040506"/>
    <s v="Facturas por Confirmar"/>
    <n v="4744.33"/>
    <m/>
    <n v="4744.33"/>
    <x v="2"/>
    <n v="1332467.42"/>
    <s v="4744.33"/>
    <s v="jcortiz"/>
    <n v="0"/>
    <m/>
    <m/>
    <m/>
    <m/>
    <m/>
  </r>
  <r>
    <x v="0"/>
    <x v="0"/>
    <d v="2022-11-08T00:00:00"/>
    <d v="2022-11-08T00:00:00"/>
    <s v="Primario"/>
    <s v="EP 6369"/>
    <n v="108209"/>
    <s v="Pedido de entrada de mercancías - PN1791834399001"/>
    <m/>
    <m/>
    <n v="201040506"/>
    <s v="Facturas por Confirmar"/>
    <n v="50.4"/>
    <m/>
    <n v="50.4"/>
    <x v="2"/>
    <n v="1332517.82"/>
    <s v="50.40"/>
    <s v="jcortiz"/>
    <n v="0"/>
    <m/>
    <m/>
    <m/>
    <m/>
    <m/>
  </r>
  <r>
    <x v="0"/>
    <x v="0"/>
    <d v="2022-11-08T00:00:00"/>
    <d v="2022-11-08T00:00:00"/>
    <s v="FE001"/>
    <s v="IM 100003380"/>
    <n v="108210"/>
    <s v="Traslados - CN1792079160001"/>
    <m/>
    <m/>
    <n v="101060402"/>
    <s v="Inventario de prod. term. y mercad. en Bodega BULLSYPPLY Coca"/>
    <m/>
    <n v="4744.33"/>
    <n v="-4744.33"/>
    <x v="3"/>
    <n v="1327773.49"/>
    <s v="-4744.33"/>
    <s v="jcortiz"/>
    <n v="0"/>
    <m/>
    <m/>
    <m/>
    <m/>
    <m/>
  </r>
  <r>
    <x v="0"/>
    <x v="0"/>
    <d v="2022-11-08T00:00:00"/>
    <d v="2022-11-08T00:00:00"/>
    <s v="Primario"/>
    <s v="SM 567"/>
    <n v="108211"/>
    <s v="Salida de mercancías"/>
    <m/>
    <s v="QUITO"/>
    <n v="51010101"/>
    <s v="Costo de ventas Quito"/>
    <m/>
    <n v="1282.95"/>
    <n v="-1282.95"/>
    <x v="1"/>
    <n v="1326490.54"/>
    <s v="-1282.95"/>
    <s v="jcortiz"/>
    <n v="0"/>
    <m/>
    <s v="QUITO-PICHINCHA"/>
    <m/>
    <m/>
    <m/>
  </r>
  <r>
    <x v="0"/>
    <x v="0"/>
    <d v="2022-11-08T00:00:00"/>
    <d v="2022-11-08T00:00:00"/>
    <s v="Primario"/>
    <s v="EM 1718"/>
    <n v="108212"/>
    <s v="Entrada de mercancías"/>
    <m/>
    <s v="QUITO"/>
    <n v="401030105"/>
    <s v="Otros Ingresos"/>
    <n v="1485.34"/>
    <m/>
    <n v="1485.34"/>
    <x v="5"/>
    <n v="1327975.8799999999"/>
    <s v="1485.34"/>
    <s v="jcortiz"/>
    <n v="0"/>
    <m/>
    <s v="QUITO-PICHINCHA"/>
    <m/>
    <m/>
    <m/>
  </r>
  <r>
    <x v="0"/>
    <x v="0"/>
    <d v="2022-11-08T00:00:00"/>
    <d v="2022-11-08T00:00:00"/>
    <s v="FE001"/>
    <s v="NE 100015589"/>
    <n v="108213"/>
    <s v="Entregas - CN1791239245001"/>
    <m/>
    <s v="QUITO"/>
    <n v="51010101"/>
    <s v="Costo de ventas Quito"/>
    <m/>
    <n v="1953.91"/>
    <n v="-1953.91"/>
    <x v="1"/>
    <n v="1326021.97"/>
    <s v="-1953.91"/>
    <s v="jcortiz"/>
    <n v="0"/>
    <m/>
    <s v="QUITO-PICHINCHA"/>
    <m/>
    <m/>
    <m/>
  </r>
  <r>
    <x v="0"/>
    <x v="0"/>
    <d v="2022-11-08T00:00:00"/>
    <d v="2022-11-08T00:00:00"/>
    <s v="Primario"/>
    <s v="EM 1719"/>
    <n v="108214"/>
    <s v="Entrada de mercancías"/>
    <m/>
    <s v="QUITO"/>
    <n v="401030105"/>
    <s v="Otros Ingresos"/>
    <n v="26.2"/>
    <m/>
    <n v="26.2"/>
    <x v="5"/>
    <n v="1326048.17"/>
    <s v="26.20"/>
    <s v="jcortiz"/>
    <n v="0"/>
    <m/>
    <s v="QUITO-PICHINCHA"/>
    <m/>
    <m/>
    <m/>
  </r>
  <r>
    <x v="0"/>
    <x v="0"/>
    <d v="2022-11-08T00:00:00"/>
    <d v="2022-11-08T00:00:00"/>
    <s v="FE001"/>
    <s v="NE 100015590"/>
    <n v="108218"/>
    <s v="Entregas - CN1102853817001"/>
    <m/>
    <s v="QUITO"/>
    <n v="51010101"/>
    <s v="Costo de ventas Quito"/>
    <m/>
    <n v="26.2"/>
    <n v="-26.2"/>
    <x v="1"/>
    <n v="1326021.97"/>
    <s v="-26.20"/>
    <s v="jcortiz"/>
    <n v="0"/>
    <m/>
    <s v="QUITO-PICHINCHA"/>
    <m/>
    <m/>
    <m/>
  </r>
  <r>
    <x v="0"/>
    <x v="0"/>
    <d v="2022-11-08T00:00:00"/>
    <d v="2022-11-08T00:00:00"/>
    <s v="FE001"/>
    <s v="RC 100000670"/>
    <n v="108233"/>
    <s v="Notas de crédito clientes - CN1315662823001"/>
    <m/>
    <s v="QUITO"/>
    <s v="CN1315662823001"/>
    <s v="OLIVO ZAMBRANO DAVID DANIEL"/>
    <n v="88.19"/>
    <m/>
    <n v="88.19"/>
    <x v="4"/>
    <n v="1326110.1599999999"/>
    <s v="88.19"/>
    <s v="gcali"/>
    <n v="0"/>
    <m/>
    <s v="QUITO-PICHINCHA"/>
    <m/>
    <m/>
    <m/>
  </r>
  <r>
    <x v="0"/>
    <x v="0"/>
    <d v="2022-11-09T00:00:00"/>
    <d v="2022-11-09T00:00:00"/>
    <s v="FE001"/>
    <s v="NE 100015594"/>
    <n v="108237"/>
    <s v="Entregas - CN1791847776001"/>
    <m/>
    <s v="QUITO"/>
    <n v="51010101"/>
    <s v="Costo de ventas Quito"/>
    <m/>
    <n v="181.55"/>
    <n v="-181.55"/>
    <x v="1"/>
    <n v="1325928.6100000001"/>
    <s v="-181.55"/>
    <s v="jcortiz"/>
    <n v="0"/>
    <m/>
    <s v="QUITO-PICHINCHA"/>
    <m/>
    <m/>
    <m/>
  </r>
  <r>
    <x v="0"/>
    <x v="0"/>
    <d v="2022-11-09T00:00:00"/>
    <d v="2022-11-09T00:00:00"/>
    <s v="Primario"/>
    <s v="EP 6370"/>
    <n v="108239"/>
    <s v="Pedido de entrada de mercancías - PN1791834399001"/>
    <m/>
    <m/>
    <n v="201040506"/>
    <s v="Facturas por Confirmar"/>
    <n v="589.86"/>
    <m/>
    <n v="589.86"/>
    <x v="2"/>
    <n v="1326518.47"/>
    <s v="589.86"/>
    <s v="jcortiz"/>
    <n v="0"/>
    <m/>
    <m/>
    <m/>
    <m/>
    <m/>
  </r>
  <r>
    <x v="0"/>
    <x v="0"/>
    <d v="2022-11-09T00:00:00"/>
    <d v="2022-11-09T00:00:00"/>
    <s v="FE001"/>
    <s v="NE 100015596"/>
    <n v="108240"/>
    <s v="Entregas - CN1793008054001"/>
    <m/>
    <s v="QUITO"/>
    <n v="51010101"/>
    <s v="Costo de ventas Quito"/>
    <m/>
    <n v="210.25"/>
    <n v="-210.25"/>
    <x v="1"/>
    <n v="1326308.22"/>
    <s v="-210.25"/>
    <s v="jcortiz"/>
    <n v="0"/>
    <m/>
    <s v="QUITO-PICHINCHA"/>
    <m/>
    <m/>
    <m/>
  </r>
  <r>
    <x v="0"/>
    <x v="0"/>
    <d v="2022-11-09T00:00:00"/>
    <d v="2022-11-09T00:00:00"/>
    <s v="Primario"/>
    <s v="EP 6371"/>
    <n v="108244"/>
    <s v="Pedido de entrada de mercancías - PN1791834399001"/>
    <m/>
    <m/>
    <n v="201040506"/>
    <s v="Facturas por Confirmar"/>
    <n v="361.48"/>
    <m/>
    <n v="361.48"/>
    <x v="2"/>
    <n v="1326669.7"/>
    <s v="361.48"/>
    <s v="jcortiz"/>
    <n v="0"/>
    <m/>
    <m/>
    <m/>
    <m/>
    <m/>
  </r>
  <r>
    <x v="0"/>
    <x v="0"/>
    <d v="2022-11-09T00:00:00"/>
    <d v="2022-11-09T00:00:00"/>
    <s v="FE001"/>
    <s v="NE 100015599"/>
    <n v="108245"/>
    <s v="Entregas - CN1791847776001"/>
    <m/>
    <s v="QUITO"/>
    <n v="51010101"/>
    <s v="Costo de ventas Quito"/>
    <m/>
    <n v="741.77"/>
    <n v="-741.77"/>
    <x v="1"/>
    <n v="1325927.93"/>
    <s v="-741.77"/>
    <s v="jcortiz"/>
    <n v="0"/>
    <m/>
    <s v="QUITO-PICHINCHA"/>
    <m/>
    <m/>
    <m/>
  </r>
  <r>
    <x v="0"/>
    <x v="0"/>
    <d v="2022-11-09T00:00:00"/>
    <d v="2022-11-09T00:00:00"/>
    <s v="FE001"/>
    <s v="NE 100015600"/>
    <n v="108246"/>
    <s v="Entregas - CN1790801217001"/>
    <m/>
    <s v="QUITO"/>
    <n v="51010101"/>
    <s v="Costo de ventas Quito"/>
    <m/>
    <n v="252.62"/>
    <n v="-252.62"/>
    <x v="1"/>
    <n v="1325675.31"/>
    <s v="-252.62"/>
    <s v="jcortiz"/>
    <n v="0"/>
    <m/>
    <s v="QUITO-PICHINCHA"/>
    <m/>
    <m/>
    <m/>
  </r>
  <r>
    <x v="0"/>
    <x v="0"/>
    <d v="2022-11-09T00:00:00"/>
    <d v="2022-11-09T00:00:00"/>
    <s v="FE001"/>
    <s v="NE 100015601"/>
    <n v="108247"/>
    <s v="Entregas - CN1792367107001"/>
    <m/>
    <s v="QUITO"/>
    <n v="51010101"/>
    <s v="Costo de ventas Quito"/>
    <m/>
    <n v="91.84"/>
    <n v="-91.84"/>
    <x v="1"/>
    <n v="1325583.47"/>
    <s v="-91.84"/>
    <s v="jcortiz"/>
    <n v="0"/>
    <m/>
    <s v="QUITO-PICHINCHA"/>
    <m/>
    <m/>
    <m/>
  </r>
  <r>
    <x v="0"/>
    <x v="0"/>
    <d v="2022-11-09T00:00:00"/>
    <d v="2022-11-09T00:00:00"/>
    <s v="FE001"/>
    <s v="NE 100015602"/>
    <n v="108250"/>
    <s v="Entregas - CN1714787163001"/>
    <m/>
    <s v="QUITO"/>
    <n v="51010101"/>
    <s v="Costo de ventas Quito"/>
    <m/>
    <n v="654.25"/>
    <n v="-654.25"/>
    <x v="1"/>
    <n v="1324929.22"/>
    <s v="-654.25"/>
    <s v="jcortiz"/>
    <n v="0"/>
    <m/>
    <s v="QUITO-PICHINCHA"/>
    <m/>
    <m/>
    <m/>
  </r>
  <r>
    <x v="0"/>
    <x v="0"/>
    <d v="2022-11-09T00:00:00"/>
    <d v="2022-11-09T00:00:00"/>
    <s v="Primario"/>
    <s v="EP 6372"/>
    <n v="108259"/>
    <s v="Pedido de entrada de mercancías - PN0103669644001"/>
    <m/>
    <m/>
    <n v="201040506"/>
    <s v="Facturas por Confirmar"/>
    <n v="170"/>
    <m/>
    <n v="170"/>
    <x v="2"/>
    <n v="1325099.22"/>
    <s v="170.00"/>
    <s v="jcortiz"/>
    <n v="0"/>
    <m/>
    <m/>
    <m/>
    <m/>
    <m/>
  </r>
  <r>
    <x v="0"/>
    <x v="0"/>
    <d v="2022-11-09T00:00:00"/>
    <d v="2022-11-09T00:00:00"/>
    <s v="FE001"/>
    <s v="NE 100015603"/>
    <n v="108260"/>
    <s v="Entregas - CN1791263308001"/>
    <m/>
    <s v="QUITO"/>
    <n v="51010101"/>
    <s v="Costo de ventas Quito"/>
    <m/>
    <n v="170"/>
    <n v="-170"/>
    <x v="1"/>
    <n v="1324929.22"/>
    <s v="-170.00"/>
    <s v="jcortiz"/>
    <n v="0"/>
    <m/>
    <s v="QUITO-PICHINCHA"/>
    <m/>
    <m/>
    <m/>
  </r>
  <r>
    <x v="0"/>
    <x v="0"/>
    <d v="2022-11-09T00:00:00"/>
    <d v="2022-11-09T00:00:00"/>
    <s v="Primario"/>
    <s v="EP 6373"/>
    <n v="108264"/>
    <s v="Pedido de entrada de mercancías - PN1791834399001"/>
    <m/>
    <m/>
    <n v="201040506"/>
    <s v="Facturas por Confirmar"/>
    <n v="201.95"/>
    <m/>
    <n v="201.95"/>
    <x v="2"/>
    <n v="1325131.17"/>
    <s v="201.95"/>
    <s v="jcortiz"/>
    <n v="0"/>
    <m/>
    <m/>
    <m/>
    <m/>
    <m/>
  </r>
  <r>
    <x v="0"/>
    <x v="0"/>
    <d v="2022-11-09T00:00:00"/>
    <d v="2022-11-09T00:00:00"/>
    <s v="FE001"/>
    <s v="NE 100015604"/>
    <n v="108265"/>
    <s v="Entregas - CN1791847776001"/>
    <m/>
    <s v="QUITO"/>
    <n v="51010101"/>
    <s v="Costo de ventas Quito"/>
    <m/>
    <n v="201.95"/>
    <n v="-201.95"/>
    <x v="1"/>
    <n v="1324929.22"/>
    <s v="-201.95"/>
    <s v="jcortiz"/>
    <n v="0"/>
    <m/>
    <s v="QUITO-PICHINCHA"/>
    <m/>
    <m/>
    <m/>
  </r>
  <r>
    <x v="0"/>
    <x v="0"/>
    <d v="2022-11-09T00:00:00"/>
    <d v="2022-11-09T00:00:00"/>
    <s v="FE001"/>
    <s v="NE 100015605"/>
    <n v="108266"/>
    <s v="Entregas - CN1792417910001"/>
    <m/>
    <s v="QUITO"/>
    <n v="51010101"/>
    <s v="Costo de ventas Quito"/>
    <m/>
    <n v="84.08"/>
    <n v="-84.08"/>
    <x v="1"/>
    <n v="1324845.1399999999"/>
    <s v="-84.08"/>
    <s v="jcortiz"/>
    <n v="0"/>
    <m/>
    <s v="QUITO-PICHINCHA"/>
    <m/>
    <m/>
    <m/>
  </r>
  <r>
    <x v="0"/>
    <x v="0"/>
    <d v="2022-11-09T00:00:00"/>
    <d v="2022-11-09T00:00:00"/>
    <s v="FE001"/>
    <s v="NE 100015606"/>
    <n v="108268"/>
    <s v="Entregas - CN1716511926001"/>
    <m/>
    <s v="QUITO"/>
    <n v="51010101"/>
    <s v="Costo de ventas Quito"/>
    <m/>
    <n v="191.04"/>
    <n v="-191.04"/>
    <x v="1"/>
    <n v="1324654.1000000001"/>
    <s v="-191.04"/>
    <s v="jcortiz"/>
    <n v="0"/>
    <m/>
    <s v="QUITO-PICHINCHA"/>
    <m/>
    <m/>
    <m/>
  </r>
  <r>
    <x v="0"/>
    <x v="0"/>
    <d v="2022-11-09T00:00:00"/>
    <d v="2022-11-09T00:00:00"/>
    <s v="FE001"/>
    <s v="IM 100003381"/>
    <n v="108270"/>
    <s v="Traslados - CN1792079160001"/>
    <m/>
    <m/>
    <n v="101060402"/>
    <s v="Inventario de prod. term. y mercad. en Bodega BULLSYPPLY Coca"/>
    <m/>
    <n v="589.86"/>
    <n v="-589.86"/>
    <x v="3"/>
    <n v="1324064.24"/>
    <s v="-589.86"/>
    <s v="jcortiz"/>
    <n v="0"/>
    <m/>
    <m/>
    <m/>
    <m/>
    <m/>
  </r>
  <r>
    <x v="0"/>
    <x v="0"/>
    <d v="2022-11-09T00:00:00"/>
    <d v="2022-11-09T00:00:00"/>
    <s v="Primario"/>
    <s v="EP 6374"/>
    <n v="108277"/>
    <s v="Pedido de entrada de mercancías - PN0990626014001"/>
    <m/>
    <m/>
    <n v="201040506"/>
    <s v="Facturas por Confirmar"/>
    <n v="13140"/>
    <m/>
    <n v="13140"/>
    <x v="2"/>
    <n v="1337204.24"/>
    <s v="13140.00"/>
    <s v="jcortiz"/>
    <n v="0"/>
    <m/>
    <m/>
    <m/>
    <m/>
    <m/>
  </r>
  <r>
    <x v="0"/>
    <x v="0"/>
    <d v="2022-11-10T00:00:00"/>
    <d v="2022-11-10T00:00:00"/>
    <s v="FE001"/>
    <s v="NE 100015607"/>
    <n v="108281"/>
    <s v="Entregas - CN1722067616"/>
    <m/>
    <s v="QUITO"/>
    <n v="51010101"/>
    <s v="Costo de ventas Quito"/>
    <m/>
    <n v="19.36"/>
    <n v="-19.36"/>
    <x v="1"/>
    <n v="1337184.8799999999"/>
    <s v="-19.36"/>
    <s v="jcortiz"/>
    <n v="0"/>
    <m/>
    <s v="QUITO-PICHINCHA"/>
    <m/>
    <m/>
    <m/>
  </r>
  <r>
    <x v="0"/>
    <x v="0"/>
    <d v="2022-11-10T00:00:00"/>
    <d v="2022-11-10T00:00:00"/>
    <s v="FE001"/>
    <s v="NE 100015611"/>
    <n v="108289"/>
    <s v="Entregas - CN1102853817001"/>
    <m/>
    <s v="QUITO"/>
    <n v="51010101"/>
    <s v="Costo de ventas Quito"/>
    <m/>
    <n v="46.49"/>
    <n v="-46.49"/>
    <x v="1"/>
    <n v="1337138.3899999999"/>
    <s v="-46.49"/>
    <s v="jcortiz"/>
    <n v="0"/>
    <m/>
    <s v="QUITO-PICHINCHA"/>
    <m/>
    <m/>
    <m/>
  </r>
  <r>
    <x v="0"/>
    <x v="0"/>
    <d v="2022-11-10T00:00:00"/>
    <d v="2022-11-10T00:00:00"/>
    <s v="FE001"/>
    <s v="NE 100015614"/>
    <n v="108298"/>
    <s v="Entregas - CN1791263308001"/>
    <m/>
    <s v="QUITO"/>
    <n v="51010101"/>
    <s v="Costo de ventas Quito"/>
    <m/>
    <n v="16.53"/>
    <n v="-16.53"/>
    <x v="1"/>
    <n v="1337121.8600000001"/>
    <s v="-16.53"/>
    <s v="jcortiz"/>
    <n v="0"/>
    <m/>
    <s v="QUITO-PICHINCHA"/>
    <m/>
    <m/>
    <m/>
  </r>
  <r>
    <x v="0"/>
    <x v="0"/>
    <d v="2022-11-10T00:00:00"/>
    <d v="2022-11-10T00:00:00"/>
    <s v="FE001"/>
    <s v="NE 100015615"/>
    <n v="108299"/>
    <s v="Entregas - CN1791263308001"/>
    <m/>
    <s v="QUITO"/>
    <n v="51010101"/>
    <s v="Costo de ventas Quito"/>
    <m/>
    <n v="246.57"/>
    <n v="-246.57"/>
    <x v="1"/>
    <n v="1336875.29"/>
    <s v="-246.57"/>
    <s v="jcortiz"/>
    <n v="0"/>
    <m/>
    <s v="QUITO-PICHINCHA"/>
    <m/>
    <m/>
    <m/>
  </r>
  <r>
    <x v="0"/>
    <x v="0"/>
    <d v="2022-11-10T00:00:00"/>
    <d v="2022-11-10T00:00:00"/>
    <s v="FE001"/>
    <s v="NE 100015616"/>
    <n v="108300"/>
    <s v="Entregas - CN1791403916001"/>
    <m/>
    <s v="QUITO"/>
    <n v="51010101"/>
    <s v="Costo de ventas Quito"/>
    <m/>
    <n v="604.01"/>
    <n v="-604.01"/>
    <x v="1"/>
    <n v="1336271.28"/>
    <s v="-604.01"/>
    <s v="jcortiz"/>
    <n v="0"/>
    <m/>
    <s v="QUITO-PICHINCHA"/>
    <m/>
    <m/>
    <m/>
  </r>
  <r>
    <x v="0"/>
    <x v="0"/>
    <d v="2022-11-10T00:00:00"/>
    <d v="2022-11-10T00:00:00"/>
    <s v="Primario"/>
    <s v="EP 6375"/>
    <n v="108303"/>
    <s v="Pedido de entrada de mercancías - PN1791834399001"/>
    <m/>
    <m/>
    <n v="201040506"/>
    <s v="Facturas por Confirmar"/>
    <n v="1248.6500000000001"/>
    <m/>
    <n v="1248.6500000000001"/>
    <x v="2"/>
    <n v="1337519.93"/>
    <s v="1248.65"/>
    <s v="jcortiz"/>
    <n v="0"/>
    <m/>
    <m/>
    <m/>
    <m/>
    <m/>
  </r>
  <r>
    <x v="0"/>
    <x v="0"/>
    <d v="2022-11-10T00:00:00"/>
    <d v="2022-11-10T00:00:00"/>
    <s v="FE001"/>
    <s v="IM 100003382"/>
    <n v="108304"/>
    <s v="Traslados - CN1792079160001"/>
    <m/>
    <m/>
    <n v="101060402"/>
    <s v="Inventario de prod. term. y mercad. en Bodega BULLSYPPLY Coca"/>
    <m/>
    <n v="1585.82"/>
    <n v="-1585.82"/>
    <x v="3"/>
    <n v="1335934.1100000001"/>
    <s v="-1585.82"/>
    <s v="jcortiz"/>
    <n v="0"/>
    <m/>
    <m/>
    <m/>
    <m/>
    <m/>
  </r>
  <r>
    <x v="0"/>
    <x v="0"/>
    <d v="2022-11-10T00:00:00"/>
    <d v="2022-11-10T00:00:00"/>
    <s v="FE001"/>
    <s v="NE 100015617"/>
    <n v="108306"/>
    <s v="Entregas - CN1708725765001"/>
    <m/>
    <s v="QUITO"/>
    <n v="51010101"/>
    <s v="Costo de ventas Quito"/>
    <m/>
    <n v="140.35"/>
    <n v="-140.35"/>
    <x v="1"/>
    <n v="1335793.76"/>
    <s v="-140.35"/>
    <s v="jcortiz"/>
    <n v="0"/>
    <m/>
    <s v="QUITO-PICHINCHA"/>
    <m/>
    <m/>
    <m/>
  </r>
  <r>
    <x v="0"/>
    <x v="0"/>
    <d v="2022-11-10T00:00:00"/>
    <d v="2022-11-10T00:00:00"/>
    <s v="FE001"/>
    <s v="NE 100015618"/>
    <n v="108307"/>
    <s v="Entregas - CN1708725765001"/>
    <m/>
    <s v="QUITO"/>
    <n v="51010101"/>
    <s v="Costo de ventas Quito"/>
    <m/>
    <n v="346.54"/>
    <n v="-346.54"/>
    <x v="1"/>
    <n v="1335447.22"/>
    <s v="-346.54"/>
    <s v="jcortiz"/>
    <n v="0"/>
    <m/>
    <s v="QUITO-PICHINCHA"/>
    <m/>
    <m/>
    <m/>
  </r>
  <r>
    <x v="0"/>
    <x v="0"/>
    <d v="2022-11-10T00:00:00"/>
    <d v="2022-11-10T00:00:00"/>
    <s v="FE001"/>
    <s v="NE 100015619"/>
    <n v="108309"/>
    <s v="Entregas - CN0400986691001"/>
    <m/>
    <s v="QUITO"/>
    <n v="51010101"/>
    <s v="Costo de ventas Quito"/>
    <m/>
    <n v="2.71"/>
    <n v="-2.71"/>
    <x v="1"/>
    <n v="1335444.51"/>
    <s v="-2.71"/>
    <s v="jcortiz"/>
    <n v="0"/>
    <m/>
    <s v="QUITO-PICHINCHA"/>
    <m/>
    <m/>
    <m/>
  </r>
  <r>
    <x v="0"/>
    <x v="0"/>
    <d v="2022-11-10T00:00:00"/>
    <d v="2022-11-10T00:00:00"/>
    <s v="Primario"/>
    <s v="SM 568"/>
    <n v="108318"/>
    <s v="Salida de mercancías"/>
    <m/>
    <s v="QUITO"/>
    <n v="51010101"/>
    <s v="Costo de ventas Quito"/>
    <m/>
    <n v="22"/>
    <n v="-22"/>
    <x v="1"/>
    <n v="1335422.51"/>
    <s v="-22.00"/>
    <s v="jcortiz"/>
    <n v="0"/>
    <m/>
    <s v="QUITO-PICHINCHA"/>
    <m/>
    <m/>
    <m/>
  </r>
  <r>
    <x v="0"/>
    <x v="0"/>
    <d v="2022-11-10T00:00:00"/>
    <d v="2022-11-10T00:00:00"/>
    <s v="Primario"/>
    <s v="EM 1720"/>
    <n v="108319"/>
    <s v="Entrada de mercancías"/>
    <m/>
    <s v="QUITO"/>
    <n v="51010103"/>
    <s v="Costo por Revalorización de Inventario"/>
    <n v="27"/>
    <m/>
    <n v="27"/>
    <x v="7"/>
    <n v="1335449.51"/>
    <s v="27.00"/>
    <s v="jcortiz"/>
    <n v="0"/>
    <m/>
    <s v="QUITO-PICHINCHA"/>
    <m/>
    <m/>
    <m/>
  </r>
  <r>
    <x v="0"/>
    <x v="0"/>
    <d v="2022-11-10T00:00:00"/>
    <d v="2022-11-10T00:00:00"/>
    <s v="FE001"/>
    <s v="IM 100003383"/>
    <n v="108320"/>
    <s v="Traslados - CN1792079160001"/>
    <m/>
    <m/>
    <n v="101060402"/>
    <s v="Inventario de prod. term. y mercad. en Bodega BULLSYPPLY Coca"/>
    <m/>
    <n v="27"/>
    <n v="-27"/>
    <x v="3"/>
    <n v="1335422.51"/>
    <s v="-27.00"/>
    <s v="jcortiz"/>
    <n v="0"/>
    <m/>
    <m/>
    <m/>
    <m/>
    <m/>
  </r>
  <r>
    <x v="0"/>
    <x v="0"/>
    <d v="2022-11-10T00:00:00"/>
    <d v="2022-11-10T00:00:00"/>
    <s v="FE001"/>
    <s v="NE 100015620"/>
    <n v="108321"/>
    <s v="Entregas - CN1710196104001"/>
    <m/>
    <s v="QUITO"/>
    <n v="51010101"/>
    <s v="Costo de ventas Quito"/>
    <m/>
    <n v="23.17"/>
    <n v="-23.17"/>
    <x v="1"/>
    <n v="1335399.3400000001"/>
    <s v="-23.17"/>
    <s v="jcortiz"/>
    <n v="0"/>
    <m/>
    <s v="QUITO-PICHINCHA"/>
    <m/>
    <m/>
    <m/>
  </r>
  <r>
    <x v="0"/>
    <x v="0"/>
    <d v="2022-11-10T00:00:00"/>
    <d v="2022-11-10T00:00:00"/>
    <s v="FE001"/>
    <s v="NE 100015621"/>
    <n v="108322"/>
    <s v="Entregas - CN1708553464001"/>
    <m/>
    <s v="QUITO"/>
    <n v="51010101"/>
    <s v="Costo de ventas Quito"/>
    <m/>
    <n v="523.96"/>
    <n v="-523.96"/>
    <x v="1"/>
    <n v="1334875.3799999999"/>
    <s v="-523.96"/>
    <s v="jcortiz"/>
    <n v="0"/>
    <m/>
    <s v="QUITO-PICHINCHA"/>
    <m/>
    <m/>
    <m/>
  </r>
  <r>
    <x v="0"/>
    <x v="0"/>
    <d v="2022-11-11T00:00:00"/>
    <d v="2022-11-11T00:00:00"/>
    <s v="FE001"/>
    <s v="NE 100015625"/>
    <n v="108335"/>
    <s v="Entregas - CN1714787163001"/>
    <m/>
    <s v="QUITO"/>
    <n v="51010101"/>
    <s v="Costo de ventas Quito"/>
    <m/>
    <n v="49.39"/>
    <n v="-49.39"/>
    <x v="1"/>
    <n v="1334825.99"/>
    <s v="-49.39"/>
    <s v="jcortiz"/>
    <n v="0"/>
    <m/>
    <s v="QUITO-PICHINCHA"/>
    <m/>
    <m/>
    <m/>
  </r>
  <r>
    <x v="0"/>
    <x v="0"/>
    <d v="2022-11-11T00:00:00"/>
    <d v="2022-11-11T00:00:00"/>
    <s v="FE001"/>
    <s v="NE 100015626"/>
    <n v="108336"/>
    <s v="Entregas - CN1714787163001"/>
    <m/>
    <s v="QUITO"/>
    <n v="51010101"/>
    <s v="Costo de ventas Quito"/>
    <m/>
    <n v="133.54"/>
    <n v="-133.54"/>
    <x v="1"/>
    <n v="1334692.45"/>
    <s v="-133.54"/>
    <s v="jcortiz"/>
    <n v="0"/>
    <m/>
    <s v="QUITO-PICHINCHA"/>
    <m/>
    <m/>
    <m/>
  </r>
  <r>
    <x v="0"/>
    <x v="0"/>
    <d v="2022-11-11T00:00:00"/>
    <d v="2022-11-11T00:00:00"/>
    <s v="FE001"/>
    <s v="NE 100015627"/>
    <n v="108337"/>
    <s v="Entregas - CN1102853817001"/>
    <m/>
    <s v="QUITO"/>
    <n v="51010101"/>
    <s v="Costo de ventas Quito"/>
    <m/>
    <n v="190.09"/>
    <n v="-190.09"/>
    <x v="1"/>
    <n v="1334502.3600000001"/>
    <s v="-190.09"/>
    <s v="jcortiz"/>
    <n v="0"/>
    <m/>
    <s v="QUITO-PICHINCHA"/>
    <m/>
    <m/>
    <m/>
  </r>
  <r>
    <x v="0"/>
    <x v="0"/>
    <d v="2022-11-11T00:00:00"/>
    <d v="2022-11-11T00:00:00"/>
    <s v="Primario"/>
    <s v="EP 6376"/>
    <n v="108338"/>
    <s v="Pedido de entrada de mercancías - PN1791834399001"/>
    <m/>
    <m/>
    <n v="201040506"/>
    <s v="Facturas por Confirmar"/>
    <n v="22.61"/>
    <m/>
    <n v="22.61"/>
    <x v="2"/>
    <n v="1334524.97"/>
    <s v="22.61"/>
    <s v="jcortiz"/>
    <n v="0"/>
    <m/>
    <m/>
    <m/>
    <m/>
    <m/>
  </r>
  <r>
    <x v="0"/>
    <x v="0"/>
    <d v="2022-11-11T00:00:00"/>
    <d v="2022-11-11T00:00:00"/>
    <s v="Primario"/>
    <s v="EP 6377"/>
    <n v="108339"/>
    <s v="Pedido de entrada de mercancías - PN1791834399001"/>
    <m/>
    <m/>
    <n v="201040506"/>
    <s v="Facturas por Confirmar"/>
    <n v="3888.62"/>
    <m/>
    <n v="3888.62"/>
    <x v="2"/>
    <n v="1338413.5900000001"/>
    <s v="3888.62"/>
    <s v="jcortiz"/>
    <n v="0"/>
    <m/>
    <m/>
    <m/>
    <m/>
    <m/>
  </r>
  <r>
    <x v="0"/>
    <x v="0"/>
    <d v="2022-11-11T00:00:00"/>
    <d v="2022-11-11T00:00:00"/>
    <s v="FE001"/>
    <s v="NE 100015629"/>
    <n v="108342"/>
    <s v="Entregas - CN1791403916001"/>
    <m/>
    <s v="QUITO"/>
    <n v="51010101"/>
    <s v="Costo de ventas Quito"/>
    <m/>
    <n v="132.08000000000001"/>
    <n v="-132.08000000000001"/>
    <x v="1"/>
    <n v="1338281.51"/>
    <s v="-132.08"/>
    <s v="jcortiz"/>
    <n v="0"/>
    <m/>
    <s v="QUITO-PICHINCHA"/>
    <m/>
    <m/>
    <m/>
  </r>
  <r>
    <x v="0"/>
    <x v="0"/>
    <d v="2022-11-11T00:00:00"/>
    <d v="2022-11-11T00:00:00"/>
    <s v="Primario"/>
    <s v="SM 569"/>
    <n v="108345"/>
    <s v="Salida de mercancías"/>
    <m/>
    <s v="QUITO"/>
    <n v="51010101"/>
    <s v="Costo de ventas Quito"/>
    <m/>
    <n v="6.08"/>
    <n v="-6.08"/>
    <x v="1"/>
    <n v="1338275.43"/>
    <s v="-6.08"/>
    <s v="jcortiz"/>
    <n v="0"/>
    <m/>
    <s v="QUITO-PICHINCHA"/>
    <m/>
    <m/>
    <m/>
  </r>
  <r>
    <x v="0"/>
    <x v="0"/>
    <d v="2022-11-11T00:00:00"/>
    <d v="2022-11-11T00:00:00"/>
    <s v="FE001"/>
    <s v="NE 100015633"/>
    <n v="108348"/>
    <s v="Entregas - CN1791263308001"/>
    <m/>
    <s v="QUITO"/>
    <n v="51010101"/>
    <s v="Costo de ventas Quito"/>
    <m/>
    <n v="22.61"/>
    <n v="-22.61"/>
    <x v="1"/>
    <n v="1338252.82"/>
    <s v="-22.61"/>
    <s v="jcortiz"/>
    <n v="0"/>
    <m/>
    <s v="QUITO-PICHINCHA"/>
    <m/>
    <m/>
    <m/>
  </r>
  <r>
    <x v="0"/>
    <x v="0"/>
    <d v="2022-11-11T00:00:00"/>
    <d v="2022-11-11T00:00:00"/>
    <s v="FE001"/>
    <s v="NE 100015636"/>
    <n v="108352"/>
    <s v="Entregas - CN1791263308001"/>
    <m/>
    <s v="QUITO"/>
    <n v="51010101"/>
    <s v="Costo de ventas Quito"/>
    <m/>
    <n v="3933.13"/>
    <n v="-3933.13"/>
    <x v="1"/>
    <n v="1334319.69"/>
    <s v="-3933.13"/>
    <s v="jcortiz"/>
    <n v="0"/>
    <m/>
    <s v="QUITO-PICHINCHA"/>
    <m/>
    <m/>
    <m/>
  </r>
  <r>
    <x v="0"/>
    <x v="0"/>
    <d v="2022-11-11T00:00:00"/>
    <d v="2022-11-11T00:00:00"/>
    <s v="FE001"/>
    <s v="NE 100015637"/>
    <n v="108353"/>
    <s v="Entregas - CN1708553464001"/>
    <m/>
    <s v="QUITO"/>
    <n v="51010101"/>
    <s v="Costo de ventas Quito"/>
    <m/>
    <n v="175.02"/>
    <n v="-175.02"/>
    <x v="1"/>
    <n v="1334144.67"/>
    <s v="-175.02"/>
    <s v="jcortiz"/>
    <n v="0"/>
    <m/>
    <s v="QUITO-PICHINCHA"/>
    <m/>
    <m/>
    <m/>
  </r>
  <r>
    <x v="0"/>
    <x v="0"/>
    <d v="2022-11-11T00:00:00"/>
    <d v="2022-11-11T00:00:00"/>
    <s v="Primario"/>
    <s v="EM 1722"/>
    <n v="108357"/>
    <s v="Entrada de mercancías"/>
    <m/>
    <s v="QUITO"/>
    <n v="51010103"/>
    <s v="Costo por Revalorización de Inventario"/>
    <n v="49.54"/>
    <m/>
    <n v="49.54"/>
    <x v="7"/>
    <n v="1334194.21"/>
    <s v="49.54"/>
    <s v="jcortiz"/>
    <n v="0"/>
    <m/>
    <s v="QUITO-PICHINCHA"/>
    <m/>
    <m/>
    <m/>
  </r>
  <r>
    <x v="0"/>
    <x v="0"/>
    <d v="2022-11-11T00:00:00"/>
    <d v="2022-11-11T00:00:00"/>
    <s v="FE001"/>
    <s v="NE 100015639"/>
    <n v="108358"/>
    <s v="Entregas - CN1710196104001"/>
    <m/>
    <s v="QUITO"/>
    <n v="51010101"/>
    <s v="Costo de ventas Quito"/>
    <m/>
    <n v="194.15"/>
    <n v="-194.15"/>
    <x v="1"/>
    <n v="1334000.06"/>
    <s v="-194.15"/>
    <s v="jcortiz"/>
    <n v="0"/>
    <m/>
    <s v="QUITO-PICHINCHA"/>
    <m/>
    <m/>
    <m/>
  </r>
  <r>
    <x v="0"/>
    <x v="0"/>
    <d v="2022-11-14T00:00:00"/>
    <d v="2022-11-14T00:00:00"/>
    <s v="Primario"/>
    <s v="EP 6378"/>
    <n v="108411"/>
    <s v="Pedido de entrada de mercancías - PN1708725765001"/>
    <m/>
    <m/>
    <n v="201040506"/>
    <s v="Facturas por Confirmar"/>
    <n v="30.13"/>
    <m/>
    <n v="30.13"/>
    <x v="2"/>
    <n v="1334030.19"/>
    <s v="30.13"/>
    <s v="jcortiz"/>
    <n v="0"/>
    <m/>
    <m/>
    <m/>
    <m/>
    <m/>
  </r>
  <r>
    <x v="0"/>
    <x v="0"/>
    <d v="2022-11-14T00:00:00"/>
    <d v="2022-11-14T00:00:00"/>
    <s v="FE001"/>
    <s v="NE 100015643"/>
    <n v="108414"/>
    <s v="Entregas - CN0590060933001"/>
    <m/>
    <s v="QUITO"/>
    <n v="51010101"/>
    <s v="Costo de ventas Quito"/>
    <m/>
    <n v="948.38"/>
    <n v="-948.38"/>
    <x v="1"/>
    <n v="1333081.81"/>
    <s v="-948.38"/>
    <s v="jcortiz"/>
    <n v="0"/>
    <m/>
    <s v="QUITO-PICHINCHA"/>
    <m/>
    <m/>
    <m/>
  </r>
  <r>
    <x v="0"/>
    <x v="0"/>
    <d v="2022-11-14T00:00:00"/>
    <d v="2022-11-14T00:00:00"/>
    <s v="Primario"/>
    <s v="EP 6379"/>
    <n v="108416"/>
    <s v="Pedido de entrada de mercancías - PN1390060757001"/>
    <m/>
    <m/>
    <n v="201040506"/>
    <s v="Facturas por Confirmar"/>
    <n v="381.36"/>
    <m/>
    <n v="381.36"/>
    <x v="2"/>
    <n v="1333463.17"/>
    <s v="381.36"/>
    <s v="jcortiz"/>
    <n v="0"/>
    <m/>
    <m/>
    <m/>
    <m/>
    <m/>
  </r>
  <r>
    <x v="0"/>
    <x v="0"/>
    <d v="2022-11-14T00:00:00"/>
    <d v="2022-11-14T00:00:00"/>
    <s v="FE001"/>
    <s v="IM 100003385"/>
    <n v="108417"/>
    <s v="Traslados - CN1792079160001"/>
    <m/>
    <m/>
    <n v="101060402"/>
    <s v="Inventario de prod. term. y mercad. en Bodega BULLSYPPLY Coca"/>
    <m/>
    <n v="381.36"/>
    <n v="-381.36"/>
    <x v="3"/>
    <n v="1333081.81"/>
    <s v="-381.36"/>
    <s v="jcortiz"/>
    <n v="0"/>
    <m/>
    <m/>
    <m/>
    <m/>
    <m/>
  </r>
  <r>
    <x v="0"/>
    <x v="0"/>
    <d v="2022-11-14T00:00:00"/>
    <d v="2022-11-14T00:00:00"/>
    <s v="FE001"/>
    <s v="NE 100015646"/>
    <n v="108427"/>
    <s v="Entregas - CN1002297842001"/>
    <m/>
    <s v="QUITO"/>
    <n v="51010101"/>
    <s v="Costo de ventas Quito"/>
    <m/>
    <n v="58.35"/>
    <n v="-58.35"/>
    <x v="1"/>
    <n v="1333023.46"/>
    <s v="-58.35"/>
    <s v="jcortiz"/>
    <n v="0"/>
    <m/>
    <s v="QUITO-PICHINCHA"/>
    <m/>
    <m/>
    <m/>
  </r>
  <r>
    <x v="0"/>
    <x v="0"/>
    <d v="2022-11-14T00:00:00"/>
    <d v="2022-11-14T00:00:00"/>
    <s v="FE001"/>
    <s v="NE 100015647"/>
    <n v="108428"/>
    <s v="Entregas - CN1791263308001"/>
    <m/>
    <s v="QUITO"/>
    <n v="51010101"/>
    <s v="Costo de ventas Quito"/>
    <m/>
    <n v="146.44999999999999"/>
    <n v="-146.44999999999999"/>
    <x v="1"/>
    <n v="1332877.01"/>
    <s v="-146.45"/>
    <s v="jcortiz"/>
    <n v="0"/>
    <m/>
    <s v="QUITO-PICHINCHA"/>
    <m/>
    <m/>
    <m/>
  </r>
  <r>
    <x v="0"/>
    <x v="0"/>
    <d v="2022-11-14T00:00:00"/>
    <d v="2022-11-14T00:00:00"/>
    <s v="FE001"/>
    <s v="NE 100015650"/>
    <n v="108434"/>
    <s v="Entregas - CN1792367107001"/>
    <m/>
    <s v="QUITO"/>
    <n v="51010101"/>
    <s v="Costo de ventas Quito"/>
    <m/>
    <n v="157.44999999999999"/>
    <n v="-157.44999999999999"/>
    <x v="1"/>
    <n v="1332719.56"/>
    <s v="-157.45"/>
    <s v="jcortiz"/>
    <n v="0"/>
    <m/>
    <s v="QUITO-PICHINCHA"/>
    <m/>
    <m/>
    <m/>
  </r>
  <r>
    <x v="0"/>
    <x v="0"/>
    <d v="2022-11-14T00:00:00"/>
    <d v="2022-11-14T00:00:00"/>
    <s v="FE001"/>
    <s v="NE 100015651"/>
    <n v="108435"/>
    <s v="Entregas - CN1792367107001"/>
    <m/>
    <s v="QUITO"/>
    <n v="51010101"/>
    <s v="Costo de ventas Quito"/>
    <m/>
    <n v="14.15"/>
    <n v="-14.15"/>
    <x v="1"/>
    <n v="1332705.4099999999"/>
    <s v="-14.15"/>
    <s v="jcortiz"/>
    <n v="0"/>
    <m/>
    <s v="QUITO-PICHINCHA"/>
    <m/>
    <m/>
    <m/>
  </r>
  <r>
    <x v="0"/>
    <x v="0"/>
    <d v="2022-11-14T00:00:00"/>
    <d v="2022-11-14T00:00:00"/>
    <s v="FE001"/>
    <s v="NE 100015652"/>
    <n v="108439"/>
    <s v="Entregas - CN1801252170001"/>
    <m/>
    <s v="QUITO"/>
    <n v="51010101"/>
    <s v="Costo de ventas Quito"/>
    <m/>
    <n v="265.48"/>
    <n v="-265.48"/>
    <x v="1"/>
    <n v="1332439.93"/>
    <s v="-265.48"/>
    <s v="jcortiz"/>
    <n v="0"/>
    <m/>
    <s v="QUITO-PICHINCHA"/>
    <m/>
    <m/>
    <m/>
  </r>
  <r>
    <x v="0"/>
    <x v="0"/>
    <d v="2022-11-14T00:00:00"/>
    <d v="2022-11-14T00:00:00"/>
    <s v="FE001"/>
    <s v="NE 100015653"/>
    <n v="108440"/>
    <s v="Entregas - CN1710196104001"/>
    <m/>
    <s v="QUITO"/>
    <n v="51010101"/>
    <s v="Costo de ventas Quito"/>
    <m/>
    <n v="30.01"/>
    <n v="-30.01"/>
    <x v="1"/>
    <n v="1332409.92"/>
    <s v="-30.01"/>
    <s v="jcortiz"/>
    <n v="0"/>
    <m/>
    <s v="QUITO-PICHINCHA"/>
    <m/>
    <m/>
    <m/>
  </r>
  <r>
    <x v="0"/>
    <x v="0"/>
    <d v="2022-11-14T00:00:00"/>
    <d v="2022-11-14T00:00:00"/>
    <s v="FE001"/>
    <s v="NE 100015654"/>
    <n v="108441"/>
    <s v="Entregas - CN1714577937001"/>
    <m/>
    <s v="QUITO"/>
    <n v="51010101"/>
    <s v="Costo de ventas Quito"/>
    <m/>
    <n v="88.83"/>
    <n v="-88.83"/>
    <x v="1"/>
    <n v="1332321.0900000001"/>
    <s v="-88.83"/>
    <s v="jcortiz"/>
    <n v="0"/>
    <m/>
    <s v="QUITO-PICHINCHA"/>
    <m/>
    <m/>
    <m/>
  </r>
  <r>
    <x v="0"/>
    <x v="0"/>
    <d v="2022-11-14T00:00:00"/>
    <d v="2022-11-14T00:00:00"/>
    <s v="FE001"/>
    <s v="NE 100015655"/>
    <n v="108452"/>
    <s v="Entregas - CN1791403916001"/>
    <m/>
    <s v="QUITO"/>
    <n v="51010101"/>
    <s v="Costo de ventas Quito"/>
    <m/>
    <n v="75.959999999999994"/>
    <n v="-75.959999999999994"/>
    <x v="1"/>
    <n v="1332245.1299999999"/>
    <s v="-75.96"/>
    <s v="jcortiz"/>
    <n v="0"/>
    <m/>
    <s v="QUITO-PICHINCHA"/>
    <m/>
    <m/>
    <m/>
  </r>
  <r>
    <x v="0"/>
    <x v="0"/>
    <d v="2022-11-14T00:00:00"/>
    <d v="2022-11-14T00:00:00"/>
    <s v="FE001"/>
    <s v="NE 100015656"/>
    <n v="108455"/>
    <s v="Entregas - CN1791403916001"/>
    <m/>
    <s v="QUITO"/>
    <n v="51010101"/>
    <s v="Costo de ventas Quito"/>
    <m/>
    <n v="47.57"/>
    <n v="-47.57"/>
    <x v="1"/>
    <n v="1332197.56"/>
    <s v="-47.57"/>
    <s v="jcortiz"/>
    <n v="0"/>
    <m/>
    <s v="QUITO-PICHINCHA"/>
    <m/>
    <m/>
    <m/>
  </r>
  <r>
    <x v="0"/>
    <x v="0"/>
    <d v="2022-11-14T00:00:00"/>
    <d v="2022-11-14T00:00:00"/>
    <s v="FE001"/>
    <s v="NE 100015658"/>
    <n v="108457"/>
    <s v="Entregas - CN1102853817001"/>
    <m/>
    <s v="QUITO"/>
    <n v="51010101"/>
    <s v="Costo de ventas Quito"/>
    <m/>
    <n v="165.92"/>
    <n v="-165.92"/>
    <x v="1"/>
    <n v="1332031.6399999999"/>
    <s v="-165.92"/>
    <s v="jcortiz"/>
    <n v="0"/>
    <m/>
    <s v="QUITO-PICHINCHA"/>
    <m/>
    <m/>
    <m/>
  </r>
  <r>
    <x v="0"/>
    <x v="0"/>
    <d v="2022-11-14T00:00:00"/>
    <d v="2022-11-14T00:00:00"/>
    <s v="FE001"/>
    <s v="NE 100015661"/>
    <n v="108472"/>
    <s v="Entregas - CN1791263308001"/>
    <m/>
    <s v="QUITO"/>
    <n v="51010101"/>
    <s v="Costo de ventas Quito"/>
    <m/>
    <n v="689.3"/>
    <n v="-689.3"/>
    <x v="1"/>
    <n v="1331342.3400000001"/>
    <s v="-689.30"/>
    <s v="jcortiz"/>
    <n v="0"/>
    <m/>
    <s v="QUITO-PICHINCHA"/>
    <m/>
    <m/>
    <m/>
  </r>
  <r>
    <x v="0"/>
    <x v="0"/>
    <d v="2022-11-14T00:00:00"/>
    <d v="2022-11-14T00:00:00"/>
    <s v="Primario"/>
    <s v="DV 237"/>
    <n v="108474"/>
    <s v="Devoluciones - CN1791263308001"/>
    <m/>
    <s v="QUITO"/>
    <n v="51010101"/>
    <s v="Costo de ventas Quito"/>
    <n v="3.74"/>
    <m/>
    <n v="3.74"/>
    <x v="1"/>
    <n v="1331346.08"/>
    <s v="3.74"/>
    <s v="ancueva"/>
    <n v="0"/>
    <m/>
    <s v="QUITO-PICHINCHA"/>
    <m/>
    <m/>
    <m/>
  </r>
  <r>
    <x v="0"/>
    <x v="0"/>
    <d v="2022-11-14T00:00:00"/>
    <d v="2022-11-14T00:00:00"/>
    <s v="Primario"/>
    <s v="EP 6380"/>
    <n v="108484"/>
    <s v="Pedido de entrada de mercancías - PN1791834399001"/>
    <m/>
    <m/>
    <n v="201040506"/>
    <s v="Facturas por Confirmar"/>
    <n v="359.2"/>
    <m/>
    <n v="359.2"/>
    <x v="2"/>
    <n v="1331705.28"/>
    <s v="359.20"/>
    <s v="jcortiz"/>
    <n v="0"/>
    <m/>
    <m/>
    <m/>
    <m/>
    <m/>
  </r>
  <r>
    <x v="0"/>
    <x v="0"/>
    <d v="2022-11-14T00:00:00"/>
    <d v="2022-11-14T00:00:00"/>
    <s v="FE001"/>
    <s v="NE 100015662"/>
    <n v="108485"/>
    <s v="Entregas - CN1792876745001"/>
    <m/>
    <s v="QUITO"/>
    <n v="51010101"/>
    <s v="Costo de ventas Quito"/>
    <m/>
    <n v="442.75"/>
    <n v="-442.75"/>
    <x v="1"/>
    <n v="1331262.53"/>
    <s v="-442.75"/>
    <s v="jcortiz"/>
    <n v="0"/>
    <m/>
    <s v="QUITO-PICHINCHA"/>
    <m/>
    <m/>
    <m/>
  </r>
  <r>
    <x v="0"/>
    <x v="0"/>
    <d v="2022-11-14T00:00:00"/>
    <d v="2022-11-14T00:00:00"/>
    <s v="FE001"/>
    <s v="NE 100015663"/>
    <n v="108489"/>
    <s v="Entregas - CN0401777131001"/>
    <m/>
    <s v="QUITO"/>
    <n v="51010101"/>
    <s v="Costo de ventas Quito"/>
    <m/>
    <n v="7.02"/>
    <n v="-7.02"/>
    <x v="1"/>
    <n v="1331255.51"/>
    <s v="-7.02"/>
    <s v="jcortiz"/>
    <n v="0"/>
    <m/>
    <s v="QUITO-PICHINCHA"/>
    <m/>
    <m/>
    <m/>
  </r>
  <r>
    <x v="0"/>
    <x v="0"/>
    <d v="2022-11-15T00:00:00"/>
    <d v="2022-11-15T00:00:00"/>
    <s v="FE001"/>
    <s v="NE 100015664"/>
    <n v="108493"/>
    <s v="Entregas - CN1792417910001"/>
    <m/>
    <s v="QUITO"/>
    <n v="51010101"/>
    <s v="Costo de ventas Quito"/>
    <m/>
    <n v="21.36"/>
    <n v="-21.36"/>
    <x v="1"/>
    <n v="1331234.1499999999"/>
    <s v="-21.36"/>
    <s v="jcortiz"/>
    <n v="0"/>
    <m/>
    <s v="QUITO-PICHINCHA"/>
    <m/>
    <m/>
    <m/>
  </r>
  <r>
    <x v="0"/>
    <x v="0"/>
    <d v="2022-11-15T00:00:00"/>
    <d v="2022-11-15T00:00:00"/>
    <s v="Primario"/>
    <s v="EP 6381"/>
    <n v="108495"/>
    <s v="Pedido de entrada de mercancías - PN0990626014001"/>
    <m/>
    <m/>
    <n v="201040506"/>
    <s v="Facturas por Confirmar"/>
    <n v="4156.92"/>
    <m/>
    <n v="4156.92"/>
    <x v="2"/>
    <n v="1335391.07"/>
    <s v="4156.92"/>
    <s v="jcortiz"/>
    <n v="0"/>
    <m/>
    <m/>
    <m/>
    <m/>
    <m/>
  </r>
  <r>
    <x v="0"/>
    <x v="0"/>
    <d v="2022-11-15T00:00:00"/>
    <d v="2022-11-15T00:00:00"/>
    <s v="Primario"/>
    <s v="EM 1723"/>
    <n v="108511"/>
    <s v="Entrada de mercancías"/>
    <m/>
    <s v="QUITO"/>
    <n v="401030105"/>
    <s v="Otros Ingresos"/>
    <n v="79.83"/>
    <m/>
    <n v="79.83"/>
    <x v="5"/>
    <n v="1335470.8999999999"/>
    <s v="79.83"/>
    <s v="jcortiz"/>
    <n v="0"/>
    <m/>
    <s v="QUITO-PICHINCHA"/>
    <m/>
    <m/>
    <m/>
  </r>
  <r>
    <x v="0"/>
    <x v="0"/>
    <d v="2022-11-15T00:00:00"/>
    <d v="2022-11-15T00:00:00"/>
    <s v="FE001"/>
    <s v="NE 100015666"/>
    <n v="108514"/>
    <s v="Entregas - CN1718342270001"/>
    <m/>
    <s v="QUITO"/>
    <n v="51010101"/>
    <s v="Costo de ventas Quito"/>
    <m/>
    <n v="237.02"/>
    <n v="-237.02"/>
    <x v="1"/>
    <n v="1335233.8799999999"/>
    <s v="-237.02"/>
    <s v="jcortiz"/>
    <n v="0"/>
    <m/>
    <s v="QUITO-PICHINCHA"/>
    <m/>
    <m/>
    <m/>
  </r>
  <r>
    <x v="0"/>
    <x v="0"/>
    <d v="2022-11-15T00:00:00"/>
    <d v="2022-11-15T00:00:00"/>
    <s v="FE001"/>
    <s v="RC 100000671"/>
    <n v="108533"/>
    <s v="Notas de crédito clientes - CN1718342270001"/>
    <m/>
    <s v="QUITO"/>
    <s v="CN1718342270001"/>
    <s v="BEDON TROYA ALVARO EDUARDO"/>
    <n v="237.02"/>
    <m/>
    <n v="237.02"/>
    <x v="4"/>
    <n v="1335470.8999999999"/>
    <s v="237.02"/>
    <s v="gcali"/>
    <n v="0"/>
    <m/>
    <s v="QUITO-PICHINCHA"/>
    <m/>
    <m/>
    <m/>
  </r>
  <r>
    <x v="0"/>
    <x v="0"/>
    <d v="2022-11-15T00:00:00"/>
    <d v="2022-11-15T00:00:00"/>
    <s v="FE001"/>
    <s v="NE 100015668"/>
    <n v="108534"/>
    <s v="Entregas - CN1718342270001"/>
    <m/>
    <s v="QUITO"/>
    <n v="51010101"/>
    <s v="Costo de ventas Quito"/>
    <m/>
    <n v="237.02"/>
    <n v="-237.02"/>
    <x v="1"/>
    <n v="1335233.8799999999"/>
    <s v="-237.02"/>
    <s v="jcortiz"/>
    <n v="0"/>
    <m/>
    <s v="QUITO-PICHINCHA"/>
    <m/>
    <m/>
    <m/>
  </r>
  <r>
    <x v="0"/>
    <x v="0"/>
    <d v="2022-11-15T00:00:00"/>
    <d v="2022-11-15T00:00:00"/>
    <s v="Primario"/>
    <s v="EP 6382"/>
    <n v="108555"/>
    <s v="Pedido de entrada de mercancías - PN1792212251001"/>
    <m/>
    <m/>
    <n v="201040506"/>
    <s v="Facturas por Confirmar"/>
    <n v="174"/>
    <m/>
    <n v="174"/>
    <x v="2"/>
    <n v="1335407.8799999999"/>
    <s v="174.00"/>
    <s v="jcortiz"/>
    <n v="0"/>
    <m/>
    <m/>
    <m/>
    <m/>
    <m/>
  </r>
  <r>
    <x v="0"/>
    <x v="0"/>
    <d v="2022-11-15T00:00:00"/>
    <d v="2022-11-15T00:00:00"/>
    <s v="FE001"/>
    <s v="NE 100015671"/>
    <n v="108557"/>
    <s v="Entregas - CN0590060933001"/>
    <m/>
    <s v="QUITO"/>
    <n v="51010101"/>
    <s v="Costo de ventas Quito"/>
    <m/>
    <n v="174"/>
    <n v="-174"/>
    <x v="1"/>
    <n v="1335233.8799999999"/>
    <s v="-174.00"/>
    <s v="jcortiz"/>
    <n v="0"/>
    <m/>
    <s v="QUITO-PICHINCHA"/>
    <m/>
    <m/>
    <m/>
  </r>
  <r>
    <x v="0"/>
    <x v="0"/>
    <d v="2022-11-15T00:00:00"/>
    <d v="2022-11-15T00:00:00"/>
    <s v="FE001"/>
    <s v="IM 100003386"/>
    <n v="108558"/>
    <s v="Traslados - CN1792079160001"/>
    <m/>
    <m/>
    <n v="101060402"/>
    <s v="Inventario de prod. term. y mercad. en Bodega BULLSYPPLY Coca"/>
    <m/>
    <n v="18242.060000000001"/>
    <n v="-18242.060000000001"/>
    <x v="3"/>
    <n v="1316991.82"/>
    <s v="-18242.06"/>
    <s v="jcortiz"/>
    <n v="0"/>
    <m/>
    <m/>
    <m/>
    <m/>
    <m/>
  </r>
  <r>
    <x v="0"/>
    <x v="0"/>
    <d v="2022-11-15T00:00:00"/>
    <d v="2022-11-15T00:00:00"/>
    <s v="FE001"/>
    <s v="NE 100015672"/>
    <n v="108559"/>
    <s v="Entregas - CN1714787163001"/>
    <m/>
    <s v="QUITO"/>
    <n v="51010101"/>
    <s v="Costo de ventas Quito"/>
    <m/>
    <n v="93.34"/>
    <n v="-93.34"/>
    <x v="1"/>
    <n v="1316898.48"/>
    <s v="-93.34"/>
    <s v="jcortiz"/>
    <n v="0"/>
    <m/>
    <s v="QUITO-PICHINCHA"/>
    <m/>
    <m/>
    <m/>
  </r>
  <r>
    <x v="0"/>
    <x v="0"/>
    <d v="2022-11-15T00:00:00"/>
    <d v="2022-11-15T00:00:00"/>
    <s v="FE001"/>
    <s v="NE 100015673"/>
    <n v="108562"/>
    <s v="Entregas - CN1792367107001"/>
    <m/>
    <s v="QUITO"/>
    <n v="51010101"/>
    <s v="Costo de ventas Quito"/>
    <m/>
    <n v="1.9"/>
    <n v="-1.9"/>
    <x v="1"/>
    <n v="1316896.58"/>
    <s v="-1.90"/>
    <s v="jcortiz"/>
    <n v="0"/>
    <m/>
    <s v="QUITO-PICHINCHA"/>
    <m/>
    <m/>
    <m/>
  </r>
  <r>
    <x v="0"/>
    <x v="0"/>
    <d v="2022-11-15T00:00:00"/>
    <d v="2022-11-15T00:00:00"/>
    <s v="Primario"/>
    <s v="EP 6383"/>
    <n v="108567"/>
    <s v="Pedido de entrada de mercancías - PN1791834399001"/>
    <m/>
    <m/>
    <n v="201040506"/>
    <s v="Facturas por Confirmar"/>
    <n v="76.5"/>
    <m/>
    <n v="76.5"/>
    <x v="2"/>
    <n v="1316973.08"/>
    <s v="76.50"/>
    <s v="jcortiz"/>
    <n v="0"/>
    <m/>
    <m/>
    <m/>
    <m/>
    <m/>
  </r>
  <r>
    <x v="0"/>
    <x v="0"/>
    <d v="2022-11-15T00:00:00"/>
    <d v="2022-11-15T00:00:00"/>
    <s v="Primario"/>
    <s v="EP 6384"/>
    <n v="108568"/>
    <s v="Pedido de entrada de mercancías - PN1791834399001"/>
    <m/>
    <m/>
    <n v="201040506"/>
    <s v="Facturas por Confirmar"/>
    <n v="273.51"/>
    <m/>
    <n v="273.51"/>
    <x v="2"/>
    <n v="1317246.5900000001"/>
    <s v="273.51"/>
    <s v="jcortiz"/>
    <n v="0"/>
    <m/>
    <m/>
    <m/>
    <m/>
    <m/>
  </r>
  <r>
    <x v="0"/>
    <x v="0"/>
    <d v="2022-11-15T00:00:00"/>
    <d v="2022-11-15T00:00:00"/>
    <s v="Primario"/>
    <s v="EP 6385"/>
    <n v="108569"/>
    <s v="Pedido de entrada de mercancías - PN1791834399001"/>
    <m/>
    <m/>
    <n v="201040506"/>
    <s v="Facturas por Confirmar"/>
    <n v="1154.56"/>
    <m/>
    <n v="1154.56"/>
    <x v="2"/>
    <n v="1318401.1499999999"/>
    <s v="1154.56"/>
    <s v="jcortiz"/>
    <n v="0"/>
    <m/>
    <m/>
    <m/>
    <m/>
    <m/>
  </r>
  <r>
    <x v="0"/>
    <x v="0"/>
    <d v="2022-11-15T00:00:00"/>
    <d v="2022-11-15T00:00:00"/>
    <s v="FE001"/>
    <s v="NE 100015675"/>
    <n v="108571"/>
    <s v="Entregas - CN1791847776001"/>
    <m/>
    <s v="QUITO"/>
    <n v="51010101"/>
    <s v="Costo de ventas Quito"/>
    <m/>
    <n v="548.70000000000005"/>
    <n v="-548.70000000000005"/>
    <x v="1"/>
    <n v="1317852.45"/>
    <s v="-548.70"/>
    <s v="jcortiz"/>
    <n v="0"/>
    <m/>
    <s v="QUITO-PICHINCHA"/>
    <m/>
    <m/>
    <m/>
  </r>
  <r>
    <x v="0"/>
    <x v="0"/>
    <d v="2022-11-15T00:00:00"/>
    <d v="2022-11-15T00:00:00"/>
    <s v="FE001"/>
    <s v="NE 100015676"/>
    <n v="108575"/>
    <s v="Entregas - CN1791847776001"/>
    <m/>
    <s v="QUITO"/>
    <n v="51010101"/>
    <s v="Costo de ventas Quito"/>
    <m/>
    <n v="1271.4100000000001"/>
    <n v="-1271.4100000000001"/>
    <x v="1"/>
    <n v="1316581.04"/>
    <s v="-1271.41"/>
    <s v="jcortiz"/>
    <n v="0"/>
    <m/>
    <s v="QUITO-PICHINCHA"/>
    <m/>
    <m/>
    <m/>
  </r>
  <r>
    <x v="0"/>
    <x v="0"/>
    <d v="2022-11-15T00:00:00"/>
    <d v="2022-11-15T00:00:00"/>
    <s v="FE001"/>
    <s v="NE 100015677"/>
    <n v="108576"/>
    <s v="Entregas - CN1791263308001"/>
    <m/>
    <s v="QUITO"/>
    <n v="51010101"/>
    <s v="Costo de ventas Quito"/>
    <m/>
    <n v="59.86"/>
    <n v="-59.86"/>
    <x v="1"/>
    <n v="1316521.18"/>
    <s v="-59.86"/>
    <s v="jcortiz"/>
    <n v="0"/>
    <m/>
    <s v="QUITO-PICHINCHA"/>
    <m/>
    <m/>
    <m/>
  </r>
  <r>
    <x v="0"/>
    <x v="0"/>
    <d v="2022-11-15T00:00:00"/>
    <d v="2022-11-15T00:00:00"/>
    <s v="FE001"/>
    <s v="NE 100015679"/>
    <n v="108579"/>
    <s v="Entregas - CN1791263308001"/>
    <m/>
    <s v="QUITO"/>
    <n v="51010101"/>
    <s v="Costo de ventas Quito"/>
    <m/>
    <n v="76.5"/>
    <n v="-76.5"/>
    <x v="1"/>
    <n v="1316444.68"/>
    <s v="-76.50"/>
    <s v="jcortiz"/>
    <n v="0"/>
    <m/>
    <s v="QUITO-PICHINCHA"/>
    <m/>
    <m/>
    <m/>
  </r>
  <r>
    <x v="0"/>
    <x v="0"/>
    <d v="2022-11-15T00:00:00"/>
    <d v="2022-11-15T00:00:00"/>
    <s v="FE001"/>
    <s v="IM 100003387"/>
    <n v="108580"/>
    <s v="Traslados - CN1792079160001"/>
    <m/>
    <m/>
    <n v="101060402"/>
    <s v="Inventario de prod. term. y mercad. en Bodega BULLSYPPLY Coca"/>
    <n v="523.5"/>
    <m/>
    <n v="523.5"/>
    <x v="3"/>
    <n v="1316968.18"/>
    <s v="523.50"/>
    <s v="ancueva"/>
    <n v="0"/>
    <m/>
    <m/>
    <m/>
    <m/>
    <m/>
  </r>
  <r>
    <x v="0"/>
    <x v="0"/>
    <d v="2022-11-15T00:00:00"/>
    <d v="2022-11-15T00:00:00"/>
    <s v="FE001"/>
    <s v="NE 100015680"/>
    <n v="108583"/>
    <s v="Entregas - CN1792375029001"/>
    <m/>
    <s v="QUITO"/>
    <n v="51010101"/>
    <s v="Costo de ventas Quito"/>
    <m/>
    <n v="1121.1600000000001"/>
    <n v="-1121.1600000000001"/>
    <x v="1"/>
    <n v="1315847.02"/>
    <s v="-1121.16"/>
    <s v="jcortiz"/>
    <n v="0"/>
    <m/>
    <s v="QUITO-PICHINCHA"/>
    <m/>
    <m/>
    <m/>
  </r>
  <r>
    <x v="0"/>
    <x v="0"/>
    <d v="2022-11-15T00:00:00"/>
    <d v="2022-11-15T00:00:00"/>
    <s v="FE001"/>
    <s v="NE 100015681"/>
    <n v="108597"/>
    <s v="Entregas - CN1315662823001"/>
    <m/>
    <s v="QUITO"/>
    <n v="51010101"/>
    <s v="Costo de ventas Quito"/>
    <m/>
    <n v="48.43"/>
    <n v="-48.43"/>
    <x v="1"/>
    <n v="1315798.5900000001"/>
    <s v="-48.43"/>
    <s v="jcortiz"/>
    <n v="0"/>
    <m/>
    <s v="QUITO-PICHINCHA"/>
    <m/>
    <m/>
    <m/>
  </r>
  <r>
    <x v="0"/>
    <x v="0"/>
    <d v="2022-11-16T00:00:00"/>
    <d v="2022-11-16T00:00:00"/>
    <s v="Primario"/>
    <s v="EP 6386"/>
    <n v="108609"/>
    <s v="Pedido de entrada de mercancías - PN1791834399001"/>
    <m/>
    <m/>
    <n v="201040506"/>
    <s v="Facturas por Confirmar"/>
    <n v="421.01"/>
    <m/>
    <n v="421.01"/>
    <x v="2"/>
    <n v="1316219.6000000001"/>
    <s v="421.01"/>
    <s v="jcortiz"/>
    <n v="0"/>
    <m/>
    <m/>
    <m/>
    <m/>
    <m/>
  </r>
  <r>
    <x v="0"/>
    <x v="0"/>
    <d v="2022-11-16T00:00:00"/>
    <d v="2022-11-16T00:00:00"/>
    <s v="Primario"/>
    <s v="EP 6387"/>
    <n v="108610"/>
    <s v="Pedido de entrada de mercancías - PN1791834399001"/>
    <m/>
    <m/>
    <n v="201040506"/>
    <s v="Facturas por Confirmar"/>
    <n v="576.47"/>
    <m/>
    <n v="576.47"/>
    <x v="2"/>
    <n v="1316796.07"/>
    <s v="576.47"/>
    <s v="jcortiz"/>
    <n v="0"/>
    <m/>
    <m/>
    <m/>
    <m/>
    <m/>
  </r>
  <r>
    <x v="0"/>
    <x v="0"/>
    <d v="2022-11-16T00:00:00"/>
    <d v="2022-11-16T00:00:00"/>
    <s v="FE001"/>
    <s v="NE 100015683"/>
    <n v="108611"/>
    <s v="Entregas - CN1716004005001"/>
    <m/>
    <s v="QUITO"/>
    <n v="51010101"/>
    <s v="Costo de ventas Quito"/>
    <m/>
    <n v="1432.21"/>
    <n v="-1432.21"/>
    <x v="1"/>
    <n v="1315363.8600000001"/>
    <s v="-1432.21"/>
    <s v="jcortiz"/>
    <n v="0"/>
    <m/>
    <s v="QUITO-PICHINCHA"/>
    <m/>
    <m/>
    <m/>
  </r>
  <r>
    <x v="0"/>
    <x v="0"/>
    <d v="2022-11-16T00:00:00"/>
    <d v="2022-11-16T00:00:00"/>
    <s v="FE001"/>
    <s v="NE 100015684"/>
    <n v="108612"/>
    <s v="Entregas - CN1714787163001"/>
    <m/>
    <s v="QUITO"/>
    <n v="51010101"/>
    <s v="Costo de ventas Quito"/>
    <m/>
    <n v="137.86000000000001"/>
    <n v="-137.86000000000001"/>
    <x v="1"/>
    <n v="1315226"/>
    <s v="-137.86"/>
    <s v="jcortiz"/>
    <n v="0"/>
    <m/>
    <s v="QUITO-PICHINCHA"/>
    <m/>
    <m/>
    <m/>
  </r>
  <r>
    <x v="0"/>
    <x v="0"/>
    <d v="2022-11-16T00:00:00"/>
    <d v="2022-11-16T00:00:00"/>
    <s v="FE001"/>
    <s v="NE 100015685"/>
    <n v="108613"/>
    <s v="Entregas - CN1792876745001"/>
    <m/>
    <s v="QUITO"/>
    <n v="51010101"/>
    <s v="Costo de ventas Quito"/>
    <m/>
    <n v="42.04"/>
    <n v="-42.04"/>
    <x v="1"/>
    <n v="1315183.96"/>
    <s v="-42.04"/>
    <s v="jcortiz"/>
    <n v="0"/>
    <m/>
    <s v="QUITO-PICHINCHA"/>
    <m/>
    <m/>
    <m/>
  </r>
  <r>
    <x v="0"/>
    <x v="0"/>
    <d v="2022-11-16T00:00:00"/>
    <d v="2022-11-16T00:00:00"/>
    <s v="FE001"/>
    <s v="NE 100015686"/>
    <n v="108614"/>
    <s v="Entregas - CN1792876745001"/>
    <m/>
    <s v="QUITO"/>
    <n v="51010101"/>
    <s v="Costo de ventas Quito"/>
    <m/>
    <n v="12.35"/>
    <n v="-12.35"/>
    <x v="1"/>
    <n v="1315171.6100000001"/>
    <s v="-12.35"/>
    <s v="jcortiz"/>
    <n v="0"/>
    <m/>
    <s v="QUITO-PICHINCHA"/>
    <m/>
    <m/>
    <m/>
  </r>
  <r>
    <x v="0"/>
    <x v="0"/>
    <d v="2022-11-16T00:00:00"/>
    <d v="2022-11-16T00:00:00"/>
    <s v="FE001"/>
    <s v="NE 100015687"/>
    <n v="108615"/>
    <s v="Entregas - CN1718452558001"/>
    <m/>
    <s v="QUITO"/>
    <n v="51010101"/>
    <s v="Costo de ventas Quito"/>
    <m/>
    <n v="14.72"/>
    <n v="-14.72"/>
    <x v="1"/>
    <n v="1315156.8899999999"/>
    <s v="-14.72"/>
    <s v="jcortiz"/>
    <n v="0"/>
    <m/>
    <s v="QUITO-PICHINCHA"/>
    <m/>
    <m/>
    <m/>
  </r>
  <r>
    <x v="0"/>
    <x v="0"/>
    <d v="2022-11-16T00:00:00"/>
    <d v="2022-11-16T00:00:00"/>
    <s v="FE001"/>
    <s v="NE 100015688"/>
    <n v="108617"/>
    <s v="Entregas - CN1792055415001"/>
    <m/>
    <s v="QUITO"/>
    <n v="51010101"/>
    <s v="Costo de ventas Quito"/>
    <m/>
    <n v="22.07"/>
    <n v="-22.07"/>
    <x v="1"/>
    <n v="1315134.82"/>
    <s v="-22.07"/>
    <s v="jcortiz"/>
    <n v="0"/>
    <m/>
    <s v="QUITO-PICHINCHA"/>
    <m/>
    <m/>
    <m/>
  </r>
  <r>
    <x v="0"/>
    <x v="0"/>
    <d v="2022-11-16T00:00:00"/>
    <d v="2022-11-16T00:00:00"/>
    <s v="FE001"/>
    <s v="NE 100015689"/>
    <n v="108618"/>
    <s v="Entregas - CN1708553464001"/>
    <m/>
    <s v="QUITO"/>
    <n v="51010101"/>
    <s v="Costo de ventas Quito"/>
    <m/>
    <n v="23.51"/>
    <n v="-23.51"/>
    <x v="1"/>
    <n v="1315111.31"/>
    <s v="-23.51"/>
    <s v="jcortiz"/>
    <n v="0"/>
    <m/>
    <s v="QUITO-PICHINCHA"/>
    <m/>
    <m/>
    <m/>
  </r>
  <r>
    <x v="0"/>
    <x v="0"/>
    <d v="2022-11-16T00:00:00"/>
    <d v="2022-11-16T00:00:00"/>
    <s v="FE001"/>
    <s v="NE 100015690"/>
    <n v="108619"/>
    <s v="Entregas - CN1791263308001"/>
    <m/>
    <s v="QUITO"/>
    <n v="51010101"/>
    <s v="Costo de ventas Quito"/>
    <m/>
    <n v="2310.92"/>
    <n v="-2310.92"/>
    <x v="1"/>
    <n v="1312800.3899999999"/>
    <s v="-2310.92"/>
    <s v="jcortiz"/>
    <n v="0"/>
    <m/>
    <s v="QUITO-PICHINCHA"/>
    <m/>
    <m/>
    <m/>
  </r>
  <r>
    <x v="0"/>
    <x v="0"/>
    <d v="2022-11-16T00:00:00"/>
    <d v="2022-11-16T00:00:00"/>
    <s v="FE001"/>
    <s v="RC 100000672"/>
    <n v="108620"/>
    <s v="Notas de crédito clientes - CN1718452558001"/>
    <m/>
    <s v="QUITO"/>
    <s v="CN1718452558001"/>
    <s v="CATUCUAMBA ANDRANGO EDGAR PATRICIO"/>
    <n v="14.72"/>
    <m/>
    <n v="14.72"/>
    <x v="4"/>
    <n v="1312815.1100000001"/>
    <s v="14.72"/>
    <s v="gcali"/>
    <n v="0"/>
    <m/>
    <s v="QUITO-PICHINCHA"/>
    <m/>
    <m/>
    <m/>
  </r>
  <r>
    <x v="0"/>
    <x v="0"/>
    <d v="2022-11-16T00:00:00"/>
    <d v="2022-11-16T00:00:00"/>
    <s v="FE001"/>
    <s v="NE 100015691"/>
    <n v="108621"/>
    <s v="Entregas - CN1102853817001"/>
    <m/>
    <s v="QUITO"/>
    <n v="51010101"/>
    <s v="Costo de ventas Quito"/>
    <m/>
    <n v="79.34"/>
    <n v="-79.34"/>
    <x v="1"/>
    <n v="1312735.77"/>
    <s v="-79.34"/>
    <s v="jcortiz"/>
    <n v="0"/>
    <m/>
    <s v="QUITO-PICHINCHA"/>
    <m/>
    <m/>
    <m/>
  </r>
  <r>
    <x v="0"/>
    <x v="0"/>
    <d v="2022-11-16T00:00:00"/>
    <d v="2022-11-16T00:00:00"/>
    <s v="FE001"/>
    <s v="NE 100015692"/>
    <n v="108622"/>
    <s v="Entregas - CN1703862985001"/>
    <m/>
    <s v="QUITO"/>
    <n v="51010101"/>
    <s v="Costo de ventas Quito"/>
    <m/>
    <n v="171"/>
    <n v="-171"/>
    <x v="1"/>
    <n v="1312564.77"/>
    <s v="-171.00"/>
    <s v="jcortiz"/>
    <n v="0"/>
    <m/>
    <s v="QUITO-PICHINCHA"/>
    <m/>
    <m/>
    <m/>
  </r>
  <r>
    <x v="0"/>
    <x v="0"/>
    <d v="2022-11-16T00:00:00"/>
    <d v="2022-11-16T00:00:00"/>
    <s v="FE001"/>
    <s v="NE 100015693"/>
    <n v="108623"/>
    <s v="Entregas - CN1718452558001"/>
    <m/>
    <s v="QUITO"/>
    <n v="51010101"/>
    <s v="Costo de ventas Quito"/>
    <m/>
    <n v="14.72"/>
    <n v="-14.72"/>
    <x v="1"/>
    <n v="1312550.05"/>
    <s v="-14.72"/>
    <s v="jcortiz"/>
    <n v="0"/>
    <m/>
    <s v="QUITO-PICHINCHA"/>
    <m/>
    <m/>
    <m/>
  </r>
  <r>
    <x v="0"/>
    <x v="0"/>
    <d v="2022-11-16T00:00:00"/>
    <d v="2022-11-16T00:00:00"/>
    <s v="FE001"/>
    <s v="NE 100015694"/>
    <n v="108625"/>
    <s v="Entregas - CN1801252170001"/>
    <m/>
    <s v="QUITO"/>
    <n v="51010101"/>
    <s v="Costo de ventas Quito"/>
    <m/>
    <n v="737.08"/>
    <n v="-737.08"/>
    <x v="1"/>
    <n v="1311812.97"/>
    <s v="-737.08"/>
    <s v="jcortiz"/>
    <n v="0"/>
    <m/>
    <s v="QUITO-PICHINCHA"/>
    <m/>
    <m/>
    <m/>
  </r>
  <r>
    <x v="0"/>
    <x v="0"/>
    <d v="2022-11-16T00:00:00"/>
    <d v="2022-11-16T00:00:00"/>
    <s v="FE001"/>
    <s v="RC 100000673"/>
    <n v="108628"/>
    <s v="Notas de crédito clientes - CN0590038601001"/>
    <m/>
    <s v="QUITO"/>
    <s v="CN0590038601001"/>
    <s v="NOVACERO S.A."/>
    <n v="1679.19"/>
    <m/>
    <n v="1679.19"/>
    <x v="4"/>
    <n v="1313492.1599999999"/>
    <s v="1679.19"/>
    <s v="gcali"/>
    <n v="0"/>
    <m/>
    <s v="QUITO-PICHINCHA"/>
    <m/>
    <m/>
    <m/>
  </r>
  <r>
    <x v="0"/>
    <x v="0"/>
    <d v="2022-11-16T00:00:00"/>
    <d v="2022-11-16T00:00:00"/>
    <s v="Primario"/>
    <s v="EP 6388"/>
    <n v="108632"/>
    <s v="Pedido de entrada de mercancías - PN1791834399001"/>
    <m/>
    <m/>
    <n v="201040506"/>
    <s v="Facturas por Confirmar"/>
    <n v="514.71"/>
    <m/>
    <n v="514.71"/>
    <x v="2"/>
    <n v="1314006.8700000001"/>
    <s v="514.71"/>
    <s v="jcortiz"/>
    <n v="0"/>
    <m/>
    <m/>
    <m/>
    <m/>
    <m/>
  </r>
  <r>
    <x v="0"/>
    <x v="0"/>
    <d v="2022-11-16T00:00:00"/>
    <d v="2022-11-16T00:00:00"/>
    <s v="Primario"/>
    <s v="EP 6389"/>
    <n v="108633"/>
    <s v="Pedido de entrada de mercancías - PN1791834399001"/>
    <m/>
    <m/>
    <n v="201040506"/>
    <s v="Facturas por Confirmar"/>
    <n v="35.78"/>
    <m/>
    <n v="35.78"/>
    <x v="2"/>
    <n v="1314042.6499999999"/>
    <s v="35.78"/>
    <s v="jcortiz"/>
    <n v="0"/>
    <m/>
    <m/>
    <m/>
    <m/>
    <m/>
  </r>
  <r>
    <x v="0"/>
    <x v="0"/>
    <d v="2022-11-16T00:00:00"/>
    <d v="2022-11-16T00:00:00"/>
    <s v="FE001"/>
    <s v="NE 100015695"/>
    <n v="108634"/>
    <s v="Entregas - CN1791265416001"/>
    <m/>
    <s v="QUITO"/>
    <n v="51010101"/>
    <s v="Costo de ventas Quito"/>
    <m/>
    <n v="107.3"/>
    <n v="-107.3"/>
    <x v="1"/>
    <n v="1313935.3500000001"/>
    <s v="-107.30"/>
    <s v="jcortiz"/>
    <n v="0"/>
    <m/>
    <s v="QUITO-PICHINCHA"/>
    <m/>
    <m/>
    <m/>
  </r>
  <r>
    <x v="0"/>
    <x v="0"/>
    <d v="2022-11-16T00:00:00"/>
    <d v="2022-11-16T00:00:00"/>
    <s v="FE001"/>
    <s v="NE 100015696"/>
    <n v="108635"/>
    <s v="Entregas - CN1791265416001"/>
    <m/>
    <s v="QUITO"/>
    <n v="51010101"/>
    <s v="Costo de ventas Quito"/>
    <m/>
    <n v="948.14"/>
    <n v="-948.14"/>
    <x v="1"/>
    <n v="1312987.21"/>
    <s v="-948.14"/>
    <s v="jcortiz"/>
    <n v="0"/>
    <m/>
    <s v="QUITO-PICHINCHA"/>
    <m/>
    <m/>
    <m/>
  </r>
  <r>
    <x v="0"/>
    <x v="0"/>
    <d v="2022-11-16T00:00:00"/>
    <d v="2022-11-16T00:00:00"/>
    <s v="FE001"/>
    <s v="IM 100003388"/>
    <n v="108640"/>
    <s v="Traslados - CN1792079160001"/>
    <m/>
    <m/>
    <n v="101060402"/>
    <s v="Inventario de prod. term. y mercad. en Bodega BULLSYPPLY Coca"/>
    <m/>
    <n v="301.31"/>
    <n v="-301.31"/>
    <x v="3"/>
    <n v="1312685.8999999999"/>
    <s v="-301.31"/>
    <s v="jcortiz"/>
    <n v="0"/>
    <m/>
    <m/>
    <m/>
    <m/>
    <m/>
  </r>
  <r>
    <x v="0"/>
    <x v="0"/>
    <d v="2022-11-16T00:00:00"/>
    <d v="2022-11-16T00:00:00"/>
    <s v="Primario"/>
    <s v="EM 1724"/>
    <n v="108641"/>
    <s v="Entrada de mercancías"/>
    <m/>
    <s v="QUITO"/>
    <n v="401030105"/>
    <s v="Otros Ingresos"/>
    <n v="14.28"/>
    <m/>
    <n v="14.28"/>
    <x v="5"/>
    <n v="1312700.18"/>
    <s v="14.28"/>
    <s v="jcortiz"/>
    <n v="0"/>
    <m/>
    <s v="QUITO-PICHINCHA"/>
    <m/>
    <m/>
    <m/>
  </r>
  <r>
    <x v="0"/>
    <x v="0"/>
    <d v="2022-11-16T00:00:00"/>
    <d v="2022-11-16T00:00:00"/>
    <s v="FE001"/>
    <s v="NE 100015697"/>
    <n v="108642"/>
    <s v="Entregas - CN1714787163001"/>
    <m/>
    <s v="QUITO"/>
    <n v="51010101"/>
    <s v="Costo de ventas Quito"/>
    <m/>
    <n v="60.98"/>
    <n v="-60.98"/>
    <x v="1"/>
    <n v="1312639.2"/>
    <s v="-60.98"/>
    <s v="jcortiz"/>
    <n v="0"/>
    <m/>
    <s v="QUITO-PICHINCHA"/>
    <m/>
    <m/>
    <m/>
  </r>
  <r>
    <x v="0"/>
    <x v="0"/>
    <d v="2022-11-16T00:00:00"/>
    <d v="2022-11-16T00:00:00"/>
    <s v="FE001"/>
    <s v="NE 100015698"/>
    <n v="108650"/>
    <s v="Entregas - CN1722882634001"/>
    <m/>
    <s v="QUITO"/>
    <n v="51010101"/>
    <s v="Costo de ventas Quito"/>
    <m/>
    <n v="46.34"/>
    <n v="-46.34"/>
    <x v="1"/>
    <n v="1312592.8600000001"/>
    <s v="-46.34"/>
    <s v="jcortiz"/>
    <n v="0"/>
    <m/>
    <s v="QUITO-PICHINCHA"/>
    <m/>
    <m/>
    <m/>
  </r>
  <r>
    <x v="0"/>
    <x v="0"/>
    <d v="2022-11-16T00:00:00"/>
    <d v="2022-11-16T00:00:00"/>
    <s v="FE001"/>
    <s v="NE 100015699"/>
    <n v="108651"/>
    <s v="Entregas - CN1802461440001"/>
    <m/>
    <s v="QUITO"/>
    <n v="51010101"/>
    <s v="Costo de ventas Quito"/>
    <m/>
    <n v="421.11"/>
    <n v="-421.11"/>
    <x v="1"/>
    <n v="1312171.75"/>
    <s v="-421.11"/>
    <s v="jcortiz"/>
    <n v="0"/>
    <m/>
    <s v="QUITO-PICHINCHA"/>
    <m/>
    <m/>
    <m/>
  </r>
  <r>
    <x v="0"/>
    <x v="0"/>
    <d v="2022-11-16T00:00:00"/>
    <d v="2022-11-16T00:00:00"/>
    <s v="FE001"/>
    <s v="NE 100015700"/>
    <n v="108657"/>
    <s v="Entregas - CN1715848477001"/>
    <m/>
    <s v="QUITO"/>
    <n v="51010101"/>
    <s v="Costo de ventas Quito"/>
    <m/>
    <n v="41.1"/>
    <n v="-41.1"/>
    <x v="1"/>
    <n v="1312130.6499999999"/>
    <s v="-41.10"/>
    <s v="jcortiz"/>
    <n v="0"/>
    <m/>
    <s v="QUITO-PICHINCHA"/>
    <m/>
    <m/>
    <m/>
  </r>
  <r>
    <x v="0"/>
    <x v="0"/>
    <d v="2022-11-16T00:00:00"/>
    <d v="2022-11-16T00:00:00"/>
    <s v="FE001"/>
    <s v="IM 100003389"/>
    <n v="108666"/>
    <s v="Traslados - CN1792079160001"/>
    <m/>
    <m/>
    <n v="101060402"/>
    <s v="Inventario de prod. term. y mercad. en Bodega BULLSYPPLY Coca"/>
    <n v="3.64"/>
    <m/>
    <n v="3.64"/>
    <x v="3"/>
    <n v="1312134.29"/>
    <s v="3.64"/>
    <s v="ancueva"/>
    <n v="0"/>
    <m/>
    <m/>
    <m/>
    <m/>
    <m/>
  </r>
  <r>
    <x v="0"/>
    <x v="0"/>
    <d v="2022-11-16T00:00:00"/>
    <d v="2022-11-16T00:00:00"/>
    <s v="FE001"/>
    <s v="NE 100015968"/>
    <n v="109699"/>
    <s v="Entrega - Cancelación - CN1792055415001"/>
    <m/>
    <s v="QUITO"/>
    <n v="51010101"/>
    <s v="Costo de ventas Quito"/>
    <n v="22.07"/>
    <m/>
    <n v="22.07"/>
    <x v="1"/>
    <n v="1312156.3600000001"/>
    <s v="22.07"/>
    <s v="jcortiz"/>
    <n v="0"/>
    <m/>
    <s v="QUITO-PICHINCHA"/>
    <m/>
    <m/>
    <m/>
  </r>
  <r>
    <x v="0"/>
    <x v="0"/>
    <d v="2022-11-17T00:00:00"/>
    <d v="2022-11-17T00:00:00"/>
    <s v="FE001"/>
    <s v="NE 100015707"/>
    <n v="108691"/>
    <s v="Entregas - CN1707925168001"/>
    <m/>
    <s v="QUITO"/>
    <n v="51010101"/>
    <s v="Costo de ventas Quito"/>
    <m/>
    <n v="88"/>
    <n v="-88"/>
    <x v="1"/>
    <n v="1312068.3600000001"/>
    <s v="-88.00"/>
    <s v="jcortiz"/>
    <n v="0"/>
    <m/>
    <s v="QUITO-PICHINCHA"/>
    <m/>
    <m/>
    <m/>
  </r>
  <r>
    <x v="0"/>
    <x v="0"/>
    <d v="2022-11-17T00:00:00"/>
    <d v="2022-11-17T00:00:00"/>
    <s v="Primario"/>
    <s v="EP 6390"/>
    <n v="108692"/>
    <s v="Pedido de entrada de mercancías - PN1791834399001"/>
    <m/>
    <m/>
    <n v="201040506"/>
    <s v="Facturas por Confirmar"/>
    <n v="3.2"/>
    <m/>
    <n v="3.2"/>
    <x v="2"/>
    <n v="1312071.56"/>
    <s v="3.20"/>
    <s v="jcortiz"/>
    <n v="0"/>
    <m/>
    <m/>
    <m/>
    <m/>
    <m/>
  </r>
  <r>
    <x v="0"/>
    <x v="0"/>
    <d v="2022-11-17T00:00:00"/>
    <d v="2022-11-17T00:00:00"/>
    <s v="Primario"/>
    <s v="EP 6391"/>
    <n v="108693"/>
    <s v="Pedido de entrada de mercancías - PN1791834399001"/>
    <m/>
    <m/>
    <n v="201040506"/>
    <s v="Facturas por Confirmar"/>
    <n v="9.35"/>
    <m/>
    <n v="9.35"/>
    <x v="2"/>
    <n v="1312080.9099999999"/>
    <s v="9.35"/>
    <s v="jcortiz"/>
    <n v="0"/>
    <m/>
    <m/>
    <m/>
    <m/>
    <m/>
  </r>
  <r>
    <x v="0"/>
    <x v="0"/>
    <d v="2022-11-17T00:00:00"/>
    <d v="2022-11-17T00:00:00"/>
    <s v="Primario"/>
    <s v="EP 6392"/>
    <n v="108694"/>
    <s v="Pedido de entrada de mercancías - PN1791834399001"/>
    <m/>
    <m/>
    <n v="201040506"/>
    <s v="Facturas por Confirmar"/>
    <n v="21.12"/>
    <m/>
    <n v="21.12"/>
    <x v="2"/>
    <n v="1312102.03"/>
    <s v="21.12"/>
    <s v="jcortiz"/>
    <n v="0"/>
    <m/>
    <m/>
    <m/>
    <m/>
    <m/>
  </r>
  <r>
    <x v="0"/>
    <x v="0"/>
    <d v="2022-11-17T00:00:00"/>
    <d v="2022-11-17T00:00:00"/>
    <s v="Primario"/>
    <s v="EP 6393"/>
    <n v="108695"/>
    <s v="Pedido de entrada de mercancías - PN1791834399001"/>
    <m/>
    <m/>
    <n v="201040506"/>
    <s v="Facturas por Confirmar"/>
    <n v="79.56"/>
    <m/>
    <n v="79.56"/>
    <x v="2"/>
    <n v="1312181.5900000001"/>
    <s v="79.56"/>
    <s v="jcortiz"/>
    <n v="0"/>
    <m/>
    <m/>
    <m/>
    <m/>
    <m/>
  </r>
  <r>
    <x v="0"/>
    <x v="0"/>
    <d v="2022-11-17T00:00:00"/>
    <d v="2022-11-17T00:00:00"/>
    <s v="FE001"/>
    <s v="NE 100015708"/>
    <n v="108696"/>
    <s v="Entregas - CN1793186742001"/>
    <m/>
    <s v="QUITO"/>
    <n v="51010101"/>
    <s v="Costo de ventas Quito"/>
    <m/>
    <n v="10.27"/>
    <n v="-10.27"/>
    <x v="1"/>
    <n v="1312171.32"/>
    <s v="-10.27"/>
    <s v="jcortiz"/>
    <n v="0"/>
    <m/>
    <s v="QUITO-PICHINCHA"/>
    <m/>
    <m/>
    <m/>
  </r>
  <r>
    <x v="0"/>
    <x v="0"/>
    <d v="2022-11-17T00:00:00"/>
    <d v="2022-11-17T00:00:00"/>
    <s v="FE001"/>
    <s v="NE 100015709"/>
    <n v="108708"/>
    <s v="Entregas - CN1790801217001"/>
    <m/>
    <s v="QUITO"/>
    <n v="51010101"/>
    <s v="Costo de ventas Quito"/>
    <m/>
    <n v="83.03"/>
    <n v="-83.03"/>
    <x v="1"/>
    <n v="1312088.29"/>
    <s v="-83.03"/>
    <s v="jcortiz"/>
    <n v="0"/>
    <m/>
    <s v="QUITO-PICHINCHA"/>
    <m/>
    <m/>
    <m/>
  </r>
  <r>
    <x v="0"/>
    <x v="0"/>
    <d v="2022-11-17T00:00:00"/>
    <d v="2022-11-17T00:00:00"/>
    <s v="FE001"/>
    <s v="NE 100015710"/>
    <n v="108709"/>
    <s v="Entregas - CN1716004005001"/>
    <m/>
    <s v="QUITO"/>
    <n v="51010101"/>
    <s v="Costo de ventas Quito"/>
    <m/>
    <n v="83.55"/>
    <n v="-83.55"/>
    <x v="1"/>
    <n v="1312004.74"/>
    <s v="-83.55"/>
    <s v="jcortiz"/>
    <n v="0"/>
    <m/>
    <s v="QUITO-PICHINCHA"/>
    <m/>
    <m/>
    <m/>
  </r>
  <r>
    <x v="0"/>
    <x v="0"/>
    <d v="2022-11-17T00:00:00"/>
    <d v="2022-11-17T00:00:00"/>
    <s v="FE001"/>
    <s v="RC 100000674"/>
    <n v="108716"/>
    <s v="Notas de crédito clientes - CN1793186742001"/>
    <m/>
    <s v="QUITO"/>
    <s v="CN1793186742001"/>
    <s v="ARGUS TECHNOLOGY ARGUSTEC S.A.S."/>
    <n v="10.27"/>
    <m/>
    <n v="10.27"/>
    <x v="4"/>
    <n v="1312015.01"/>
    <s v="10.27"/>
    <s v="gcali"/>
    <n v="0"/>
    <m/>
    <s v="QUITO-PICHINCHA"/>
    <m/>
    <m/>
    <m/>
  </r>
  <r>
    <x v="0"/>
    <x v="0"/>
    <d v="2022-11-17T00:00:00"/>
    <d v="2022-11-17T00:00:00"/>
    <s v="FE001"/>
    <s v="NE 100015712"/>
    <n v="108718"/>
    <s v="Entregas - CN1720516440001"/>
    <m/>
    <s v="QUITO"/>
    <n v="51010101"/>
    <s v="Costo de ventas Quito"/>
    <m/>
    <n v="10.27"/>
    <n v="-10.27"/>
    <x v="1"/>
    <n v="1312004.74"/>
    <s v="-10.27"/>
    <s v="jcortiz"/>
    <n v="0"/>
    <m/>
    <s v="QUITO-PICHINCHA"/>
    <m/>
    <m/>
    <m/>
  </r>
  <r>
    <x v="0"/>
    <x v="0"/>
    <d v="2022-11-17T00:00:00"/>
    <d v="2022-11-17T00:00:00"/>
    <s v="Primario"/>
    <s v="EP 6394"/>
    <n v="108719"/>
    <s v="Pedido de entrada de mercancías - PN1792098254001"/>
    <m/>
    <m/>
    <n v="201040506"/>
    <s v="Facturas por Confirmar"/>
    <n v="34.520000000000003"/>
    <m/>
    <n v="34.520000000000003"/>
    <x v="2"/>
    <n v="1312039.26"/>
    <s v="34.52"/>
    <s v="jcortiz"/>
    <n v="0"/>
    <m/>
    <m/>
    <m/>
    <m/>
    <m/>
  </r>
  <r>
    <x v="0"/>
    <x v="0"/>
    <d v="2022-11-17T00:00:00"/>
    <d v="2022-11-17T00:00:00"/>
    <s v="FE001"/>
    <s v="NE 100015713"/>
    <n v="108720"/>
    <s v="Entregas - CN1791039688001"/>
    <m/>
    <s v="QUITO"/>
    <n v="51010101"/>
    <s v="Costo de ventas Quito"/>
    <m/>
    <n v="34.520000000000003"/>
    <n v="-34.520000000000003"/>
    <x v="1"/>
    <n v="1312004.74"/>
    <s v="-34.52"/>
    <s v="jcortiz"/>
    <n v="0"/>
    <m/>
    <s v="QUITO-PICHINCHA"/>
    <m/>
    <m/>
    <m/>
  </r>
  <r>
    <x v="0"/>
    <x v="0"/>
    <d v="2022-11-17T00:00:00"/>
    <d v="2022-11-17T00:00:00"/>
    <s v="FE001"/>
    <s v="NE 100015714"/>
    <n v="108727"/>
    <s v="Entregas - CN1708553464001"/>
    <m/>
    <s v="QUITO"/>
    <n v="51010101"/>
    <s v="Costo de ventas Quito"/>
    <m/>
    <n v="27.93"/>
    <n v="-27.93"/>
    <x v="1"/>
    <n v="1311976.81"/>
    <s v="-27.93"/>
    <s v="jcortiz"/>
    <n v="0"/>
    <m/>
    <s v="QUITO-PICHINCHA"/>
    <m/>
    <m/>
    <m/>
  </r>
  <r>
    <x v="0"/>
    <x v="0"/>
    <d v="2022-11-17T00:00:00"/>
    <d v="2022-11-17T00:00:00"/>
    <s v="FE001"/>
    <s v="NE 100015715"/>
    <n v="108737"/>
    <s v="Entregas - CN1791263308001"/>
    <m/>
    <s v="QUITO"/>
    <n v="51010101"/>
    <s v="Costo de ventas Quito"/>
    <m/>
    <n v="79.56"/>
    <n v="-79.56"/>
    <x v="1"/>
    <n v="1311897.25"/>
    <s v="-79.56"/>
    <s v="jcortiz"/>
    <n v="0"/>
    <m/>
    <s v="QUITO-PICHINCHA"/>
    <m/>
    <m/>
    <m/>
  </r>
  <r>
    <x v="0"/>
    <x v="0"/>
    <d v="2022-11-17T00:00:00"/>
    <d v="2022-11-17T00:00:00"/>
    <s v="FE001"/>
    <s v="IM 100003390"/>
    <n v="108740"/>
    <s v="Traslados - CN1792079160001"/>
    <m/>
    <m/>
    <n v="101060402"/>
    <s v="Inventario de prod. term. y mercad. en Bodega BULLSYPPLY Coca"/>
    <m/>
    <n v="40.68"/>
    <n v="-40.68"/>
    <x v="3"/>
    <n v="1311856.57"/>
    <s v="-40.68"/>
    <s v="jcortiz"/>
    <n v="0"/>
    <m/>
    <m/>
    <m/>
    <m/>
    <m/>
  </r>
  <r>
    <x v="0"/>
    <x v="0"/>
    <d v="2022-11-17T00:00:00"/>
    <d v="2022-11-17T00:00:00"/>
    <s v="FE001"/>
    <s v="NE 100015716"/>
    <n v="108741"/>
    <s v="Entregas - CN1791263308001"/>
    <m/>
    <s v="QUITO"/>
    <n v="51010101"/>
    <s v="Costo de ventas Quito"/>
    <m/>
    <n v="14.09"/>
    <n v="-14.09"/>
    <x v="1"/>
    <n v="1311842.48"/>
    <s v="-14.09"/>
    <s v="jcortiz"/>
    <n v="0"/>
    <m/>
    <s v="QUITO-PICHINCHA"/>
    <m/>
    <m/>
    <m/>
  </r>
  <r>
    <x v="0"/>
    <x v="0"/>
    <d v="2022-11-17T00:00:00"/>
    <d v="2022-11-17T00:00:00"/>
    <s v="FE001"/>
    <s v="IM 100003391"/>
    <n v="108755"/>
    <s v="Traslados - CN1792079160001"/>
    <m/>
    <m/>
    <n v="101060402"/>
    <s v="Inventario de prod. term. y mercad. en Bodega BULLSYPPLY Coca"/>
    <m/>
    <n v="157.44999999999999"/>
    <n v="-157.44999999999999"/>
    <x v="3"/>
    <n v="1311685.03"/>
    <s v="-157.45"/>
    <s v="jcortiz"/>
    <n v="0"/>
    <m/>
    <m/>
    <m/>
    <m/>
    <m/>
  </r>
  <r>
    <x v="0"/>
    <x v="0"/>
    <d v="2022-11-17T00:00:00"/>
    <d v="2022-11-17T00:00:00"/>
    <s v="FE001"/>
    <s v="NE 100015718"/>
    <n v="108758"/>
    <s v="Entregas - CN1791263308001"/>
    <m/>
    <s v="QUITO"/>
    <n v="51010101"/>
    <s v="Costo de ventas Quito"/>
    <m/>
    <n v="157.44"/>
    <n v="-157.44"/>
    <x v="1"/>
    <n v="1311527.5900000001"/>
    <s v="-157.44"/>
    <s v="jcortiz"/>
    <n v="0"/>
    <m/>
    <s v="QUITO-PICHINCHA"/>
    <m/>
    <m/>
    <m/>
  </r>
  <r>
    <x v="0"/>
    <x v="0"/>
    <d v="2022-11-17T00:00:00"/>
    <d v="2022-11-17T00:00:00"/>
    <s v="FE001"/>
    <s v="NE 100015719"/>
    <n v="108775"/>
    <s v="Entregas - CN1102853817001"/>
    <m/>
    <s v="QUITO"/>
    <n v="51010101"/>
    <s v="Costo de ventas Quito"/>
    <m/>
    <n v="69.12"/>
    <n v="-69.12"/>
    <x v="1"/>
    <n v="1311458.47"/>
    <s v="-69.12"/>
    <s v="jcortiz"/>
    <n v="0"/>
    <m/>
    <s v="QUITO-PICHINCHA"/>
    <m/>
    <m/>
    <m/>
  </r>
  <r>
    <x v="0"/>
    <x v="0"/>
    <d v="2022-11-18T00:00:00"/>
    <d v="2022-11-18T00:00:00"/>
    <s v="Primario"/>
    <s v="EP 6395"/>
    <n v="108777"/>
    <s v="Pedido de entrada de mercancías - PN0992860499001"/>
    <m/>
    <m/>
    <n v="201040506"/>
    <s v="Facturas por Confirmar"/>
    <n v="227.66"/>
    <m/>
    <n v="227.66"/>
    <x v="2"/>
    <n v="1311686.1299999999"/>
    <s v="227.66"/>
    <s v="jcortiz"/>
    <n v="0"/>
    <m/>
    <m/>
    <m/>
    <m/>
    <m/>
  </r>
  <r>
    <x v="0"/>
    <x v="0"/>
    <d v="2022-11-18T00:00:00"/>
    <d v="2022-11-18T00:00:00"/>
    <s v="Primario"/>
    <s v="EP 6396"/>
    <n v="108778"/>
    <s v="Pedido de entrada de mercancías - PN0992124628001"/>
    <m/>
    <m/>
    <n v="201040506"/>
    <s v="Facturas por Confirmar"/>
    <n v="15"/>
    <m/>
    <n v="15"/>
    <x v="2"/>
    <n v="1311701.1299999999"/>
    <s v="15.00"/>
    <s v="jcortiz"/>
    <n v="0"/>
    <m/>
    <m/>
    <m/>
    <m/>
    <m/>
  </r>
  <r>
    <x v="0"/>
    <x v="0"/>
    <d v="2022-11-18T00:00:00"/>
    <d v="2022-11-18T00:00:00"/>
    <s v="Primario"/>
    <s v="EP 6397"/>
    <n v="108779"/>
    <s v="Pedido de entrada de mercancías - PN0992124628001"/>
    <m/>
    <m/>
    <n v="201040506"/>
    <s v="Facturas por Confirmar"/>
    <n v="75.599999999999994"/>
    <m/>
    <n v="75.599999999999994"/>
    <x v="2"/>
    <n v="1311776.73"/>
    <s v="75.60"/>
    <s v="jcortiz"/>
    <n v="0"/>
    <m/>
    <m/>
    <m/>
    <m/>
    <m/>
  </r>
  <r>
    <x v="0"/>
    <x v="0"/>
    <d v="2022-11-18T00:00:00"/>
    <d v="2022-11-18T00:00:00"/>
    <s v="Primario"/>
    <s v="EP 6398"/>
    <n v="108780"/>
    <s v="Pedido de entrada de mercancías - PN0992124628001"/>
    <m/>
    <m/>
    <n v="201040506"/>
    <s v="Facturas por Confirmar"/>
    <n v="936"/>
    <m/>
    <n v="936"/>
    <x v="2"/>
    <n v="1312712.73"/>
    <s v="936.00"/>
    <s v="jcortiz"/>
    <n v="0"/>
    <m/>
    <m/>
    <m/>
    <m/>
    <m/>
  </r>
  <r>
    <x v="0"/>
    <x v="0"/>
    <d v="2022-11-18T00:00:00"/>
    <d v="2022-11-18T00:00:00"/>
    <s v="FE001"/>
    <s v="NE 100015721"/>
    <n v="108781"/>
    <s v="Entregas - CN1792368979001"/>
    <m/>
    <s v="QUITO"/>
    <n v="51010101"/>
    <s v="Costo de ventas Quito"/>
    <m/>
    <n v="303.26"/>
    <n v="-303.26"/>
    <x v="1"/>
    <n v="1312409.47"/>
    <s v="-303.26"/>
    <s v="jcortiz"/>
    <n v="0"/>
    <m/>
    <s v="QUITO-PICHINCHA"/>
    <m/>
    <m/>
    <m/>
  </r>
  <r>
    <x v="0"/>
    <x v="0"/>
    <d v="2022-11-18T00:00:00"/>
    <d v="2022-11-18T00:00:00"/>
    <s v="FE001"/>
    <s v="NE 100015722"/>
    <n v="108782"/>
    <s v="Entregas - CN1793121225001"/>
    <m/>
    <s v="QUITO"/>
    <n v="51010101"/>
    <s v="Costo de ventas Quito"/>
    <m/>
    <n v="15"/>
    <n v="-15"/>
    <x v="1"/>
    <n v="1312394.47"/>
    <s v="-15.00"/>
    <s v="jcortiz"/>
    <n v="0"/>
    <m/>
    <s v="QUITO-PICHINCHA"/>
    <m/>
    <m/>
    <m/>
  </r>
  <r>
    <x v="0"/>
    <x v="0"/>
    <d v="2022-11-18T00:00:00"/>
    <d v="2022-11-18T00:00:00"/>
    <s v="FE001"/>
    <s v="NE 100015723"/>
    <n v="108783"/>
    <s v="Entregas - CN1793121225001"/>
    <m/>
    <s v="QUITO"/>
    <n v="51010101"/>
    <s v="Costo de ventas Quito"/>
    <m/>
    <n v="936"/>
    <n v="-936"/>
    <x v="1"/>
    <n v="1311458.47"/>
    <s v="-936.00"/>
    <s v="jcortiz"/>
    <n v="0"/>
    <m/>
    <s v="QUITO-PICHINCHA"/>
    <m/>
    <m/>
    <m/>
  </r>
  <r>
    <x v="0"/>
    <x v="0"/>
    <d v="2022-11-18T00:00:00"/>
    <d v="2022-11-18T00:00:00"/>
    <s v="FE001"/>
    <s v="NE 100015724"/>
    <n v="108784"/>
    <s v="Entregas - CN2191731258001"/>
    <m/>
    <s v="QUITO"/>
    <n v="51010101"/>
    <s v="Costo de ventas Quito"/>
    <m/>
    <n v="47.58"/>
    <n v="-47.58"/>
    <x v="1"/>
    <n v="1311410.8899999999"/>
    <s v="-47.58"/>
    <s v="jcortiz"/>
    <n v="0"/>
    <m/>
    <s v="QUITO-PICHINCHA"/>
    <m/>
    <m/>
    <m/>
  </r>
  <r>
    <x v="0"/>
    <x v="0"/>
    <d v="2022-11-18T00:00:00"/>
    <d v="2022-11-18T00:00:00"/>
    <s v="FE001"/>
    <s v="NE 100015725"/>
    <n v="108785"/>
    <s v="Entregas - CN1725670986001"/>
    <m/>
    <s v="QUITO"/>
    <n v="51010101"/>
    <s v="Costo de ventas Quito"/>
    <m/>
    <n v="103.44"/>
    <n v="-103.44"/>
    <x v="1"/>
    <n v="1311307.45"/>
    <s v="-103.44"/>
    <s v="jcortiz"/>
    <n v="0"/>
    <m/>
    <s v="QUITO-PICHINCHA"/>
    <m/>
    <m/>
    <m/>
  </r>
  <r>
    <x v="0"/>
    <x v="0"/>
    <d v="2022-11-18T00:00:00"/>
    <d v="2022-11-18T00:00:00"/>
    <s v="FE001"/>
    <s v="NE 100015726"/>
    <n v="108786"/>
    <s v="Entregas - CN1792532469001"/>
    <m/>
    <s v="QUITO"/>
    <n v="51010101"/>
    <s v="Costo de ventas Quito"/>
    <m/>
    <n v="28.38"/>
    <n v="-28.38"/>
    <x v="1"/>
    <n v="1311279.07"/>
    <s v="-28.38"/>
    <s v="jcortiz"/>
    <n v="0"/>
    <m/>
    <s v="QUITO-PICHINCHA"/>
    <m/>
    <m/>
    <m/>
  </r>
  <r>
    <x v="0"/>
    <x v="0"/>
    <d v="2022-11-18T00:00:00"/>
    <d v="2022-11-18T00:00:00"/>
    <s v="Primario"/>
    <s v="EP 6400"/>
    <n v="108791"/>
    <s v="Pedido de entrada de mercancías - PN1791834399001"/>
    <m/>
    <m/>
    <n v="201040506"/>
    <s v="Facturas por Confirmar"/>
    <n v="24.44"/>
    <m/>
    <n v="24.44"/>
    <x v="2"/>
    <n v="1311303.51"/>
    <s v="24.44"/>
    <s v="jcortiz"/>
    <n v="0"/>
    <m/>
    <m/>
    <m/>
    <m/>
    <m/>
  </r>
  <r>
    <x v="0"/>
    <x v="0"/>
    <d v="2022-11-18T00:00:00"/>
    <d v="2022-11-18T00:00:00"/>
    <s v="FE001"/>
    <s v="NE 100015727"/>
    <n v="108792"/>
    <s v="Entregas - CN1792375029001"/>
    <m/>
    <s v="QUITO"/>
    <n v="51010101"/>
    <s v="Costo de ventas Quito"/>
    <m/>
    <n v="338.21"/>
    <n v="-338.21"/>
    <x v="1"/>
    <n v="1310965.3"/>
    <s v="-338.21"/>
    <s v="jcortiz"/>
    <n v="0"/>
    <m/>
    <s v="QUITO-PICHINCHA"/>
    <m/>
    <m/>
    <m/>
  </r>
  <r>
    <x v="0"/>
    <x v="0"/>
    <d v="2022-11-18T00:00:00"/>
    <d v="2022-11-18T00:00:00"/>
    <s v="FE001"/>
    <s v="NE 100015728"/>
    <n v="108793"/>
    <s v="Entrega - Cancelación - CN1792375029001"/>
    <m/>
    <s v="QUITO"/>
    <n v="51010101"/>
    <s v="Costo de ventas Quito"/>
    <n v="338.21"/>
    <m/>
    <n v="338.21"/>
    <x v="1"/>
    <n v="1311303.51"/>
    <s v="338.21"/>
    <s v="jcortiz"/>
    <n v="0"/>
    <m/>
    <s v="QUITO-PICHINCHA"/>
    <m/>
    <m/>
    <m/>
  </r>
  <r>
    <x v="0"/>
    <x v="0"/>
    <d v="2022-11-18T00:00:00"/>
    <d v="2022-11-18T00:00:00"/>
    <s v="FE001"/>
    <s v="NE 100015729"/>
    <n v="108794"/>
    <s v="Entregas - CN1792375029001"/>
    <m/>
    <s v="QUITO"/>
    <n v="51010101"/>
    <s v="Costo de ventas Quito"/>
    <m/>
    <n v="339.05"/>
    <n v="-339.05"/>
    <x v="1"/>
    <n v="1310964.46"/>
    <s v="-339.05"/>
    <s v="jcortiz"/>
    <n v="0"/>
    <m/>
    <s v="QUITO-PICHINCHA"/>
    <m/>
    <m/>
    <m/>
  </r>
  <r>
    <x v="0"/>
    <x v="0"/>
    <d v="2022-11-18T00:00:00"/>
    <d v="2022-11-18T00:00:00"/>
    <s v="FE001"/>
    <s v="NE 100015730"/>
    <n v="108795"/>
    <s v="Entregas - CN1722882634001"/>
    <m/>
    <s v="QUITO"/>
    <n v="51010101"/>
    <s v="Costo de ventas Quito"/>
    <m/>
    <n v="104.99"/>
    <n v="-104.99"/>
    <x v="1"/>
    <n v="1310859.47"/>
    <s v="-104.99"/>
    <s v="jcortiz"/>
    <n v="0"/>
    <m/>
    <s v="QUITO-PICHINCHA"/>
    <m/>
    <m/>
    <m/>
  </r>
  <r>
    <x v="0"/>
    <x v="0"/>
    <d v="2022-11-18T00:00:00"/>
    <d v="2022-11-18T00:00:00"/>
    <s v="FE001"/>
    <s v="NE 100015732"/>
    <n v="108797"/>
    <s v="Entregas - CN1711878445001"/>
    <m/>
    <s v="QUITO"/>
    <n v="51010101"/>
    <s v="Costo de ventas Quito"/>
    <m/>
    <n v="108.61"/>
    <n v="-108.61"/>
    <x v="1"/>
    <n v="1310750.8600000001"/>
    <s v="-108.61"/>
    <s v="jcortiz"/>
    <n v="0"/>
    <m/>
    <s v="QUITO-PICHINCHA"/>
    <m/>
    <m/>
    <m/>
  </r>
  <r>
    <x v="0"/>
    <x v="0"/>
    <d v="2022-11-18T00:00:00"/>
    <d v="2022-11-18T00:00:00"/>
    <s v="Primario"/>
    <s v="EM 1725"/>
    <n v="108798"/>
    <s v="Entrada de mercancías"/>
    <m/>
    <s v="QUITO"/>
    <n v="401030105"/>
    <s v="Otros Ingresos"/>
    <n v="74.67"/>
    <m/>
    <n v="74.67"/>
    <x v="5"/>
    <n v="1310825.53"/>
    <s v="74.67"/>
    <s v="jcortiz"/>
    <n v="0"/>
    <m/>
    <s v="QUITO-PICHINCHA"/>
    <m/>
    <m/>
    <m/>
  </r>
  <r>
    <x v="0"/>
    <x v="0"/>
    <d v="2022-11-18T00:00:00"/>
    <d v="2022-11-18T00:00:00"/>
    <s v="FE001"/>
    <s v="NE 100015733"/>
    <n v="108799"/>
    <s v="Entregas - CN1710196104001"/>
    <m/>
    <s v="QUITO"/>
    <n v="51010101"/>
    <s v="Costo de ventas Quito"/>
    <m/>
    <n v="74.67"/>
    <n v="-74.67"/>
    <x v="1"/>
    <n v="1310750.8600000001"/>
    <s v="-74.67"/>
    <s v="jcortiz"/>
    <n v="0"/>
    <m/>
    <s v="QUITO-PICHINCHA"/>
    <m/>
    <m/>
    <m/>
  </r>
  <r>
    <x v="0"/>
    <x v="0"/>
    <d v="2022-11-18T00:00:00"/>
    <d v="2022-11-18T00:00:00"/>
    <s v="FE001"/>
    <s v="IM 100003392"/>
    <n v="108800"/>
    <s v="Traslados - CN1792079160001"/>
    <m/>
    <m/>
    <n v="101060402"/>
    <s v="Inventario de prod. term. y mercad. en Bodega BULLSYPPLY Coca"/>
    <n v="17.239999999999998"/>
    <m/>
    <n v="17.239999999999998"/>
    <x v="3"/>
    <n v="1310768.1000000001"/>
    <s v="17.24"/>
    <s v="jcortiz"/>
    <n v="0"/>
    <m/>
    <m/>
    <m/>
    <m/>
    <m/>
  </r>
  <r>
    <x v="0"/>
    <x v="0"/>
    <d v="2022-11-18T00:00:00"/>
    <d v="2022-11-18T00:00:00"/>
    <s v="Primario"/>
    <s v="EP 6401"/>
    <n v="108804"/>
    <s v="Pedido de entrada de mercancías - PN1791834399001"/>
    <m/>
    <m/>
    <n v="201040506"/>
    <s v="Facturas por Confirmar"/>
    <n v="43.99"/>
    <m/>
    <n v="43.99"/>
    <x v="2"/>
    <n v="1310812.0900000001"/>
    <s v="43.99"/>
    <s v="jcortiz"/>
    <n v="0"/>
    <m/>
    <m/>
    <m/>
    <m/>
    <m/>
  </r>
  <r>
    <x v="0"/>
    <x v="0"/>
    <d v="2022-11-18T00:00:00"/>
    <d v="2022-11-18T00:00:00"/>
    <s v="FE001"/>
    <s v="NE 100015734"/>
    <n v="108805"/>
    <s v="Entregas - CN1716004005001"/>
    <m/>
    <s v="QUITO"/>
    <n v="51010101"/>
    <s v="Costo de ventas Quito"/>
    <m/>
    <n v="58.1"/>
    <n v="-58.1"/>
    <x v="1"/>
    <n v="1310753.99"/>
    <s v="-58.10"/>
    <s v="jcortiz"/>
    <n v="0"/>
    <m/>
    <s v="QUITO-PICHINCHA"/>
    <m/>
    <m/>
    <m/>
  </r>
  <r>
    <x v="0"/>
    <x v="0"/>
    <d v="2022-11-18T00:00:00"/>
    <d v="2022-11-18T00:00:00"/>
    <s v="FE001"/>
    <s v="NE 100015735"/>
    <n v="108806"/>
    <s v="Entregas - CN1003380936001"/>
    <m/>
    <s v="QUITO"/>
    <n v="51010101"/>
    <s v="Costo de ventas Quito"/>
    <m/>
    <n v="60.06"/>
    <n v="-60.06"/>
    <x v="1"/>
    <n v="1310693.93"/>
    <s v="-60.06"/>
    <s v="jcortiz"/>
    <n v="0"/>
    <m/>
    <s v="QUITO-PICHINCHA"/>
    <m/>
    <m/>
    <m/>
  </r>
  <r>
    <x v="0"/>
    <x v="0"/>
    <d v="2022-11-18T00:00:00"/>
    <d v="2022-11-18T00:00:00"/>
    <s v="FE001"/>
    <s v="NE 100015736"/>
    <n v="108811"/>
    <s v="Entregas - CN1792105331001"/>
    <m/>
    <s v="QUITO"/>
    <n v="51010101"/>
    <s v="Costo de ventas Quito"/>
    <m/>
    <n v="4.62"/>
    <n v="-4.62"/>
    <x v="1"/>
    <n v="1310689.31"/>
    <s v="-4.62"/>
    <s v="ancueva"/>
    <n v="0"/>
    <m/>
    <s v="QUITO-PICHINCHA"/>
    <m/>
    <m/>
    <m/>
  </r>
  <r>
    <x v="0"/>
    <x v="0"/>
    <d v="2022-11-18T00:00:00"/>
    <d v="2022-11-18T00:00:00"/>
    <s v="Primario"/>
    <s v="EP 6402"/>
    <n v="108813"/>
    <s v="Pedido de entrada de mercancías - PN0913319455001"/>
    <m/>
    <m/>
    <n v="201040506"/>
    <s v="Facturas por Confirmar"/>
    <n v="1405.92"/>
    <m/>
    <n v="1405.92"/>
    <x v="2"/>
    <n v="1312095.23"/>
    <s v="1405.92"/>
    <s v="jcortiz"/>
    <n v="0"/>
    <m/>
    <m/>
    <m/>
    <m/>
    <m/>
  </r>
  <r>
    <x v="0"/>
    <x v="0"/>
    <d v="2022-11-18T00:00:00"/>
    <d v="2022-11-18T00:00:00"/>
    <s v="Primario"/>
    <s v="EP 6403"/>
    <n v="108825"/>
    <s v="Pedido de entrada de mercancías - PN1791834399001"/>
    <m/>
    <m/>
    <n v="201040506"/>
    <s v="Facturas por Confirmar"/>
    <n v="3352.5"/>
    <m/>
    <n v="3352.5"/>
    <x v="2"/>
    <n v="1315447.73"/>
    <s v="3352.50"/>
    <s v="jcortiz"/>
    <n v="0"/>
    <m/>
    <m/>
    <m/>
    <m/>
    <m/>
  </r>
  <r>
    <x v="0"/>
    <x v="0"/>
    <d v="2022-11-18T00:00:00"/>
    <d v="2022-11-18T00:00:00"/>
    <s v="Primario"/>
    <s v="EP 6404"/>
    <n v="108826"/>
    <s v="Pedido de entrada de mercancías - PN1791834399001"/>
    <m/>
    <m/>
    <n v="201040506"/>
    <s v="Facturas por Confirmar"/>
    <n v="907.21"/>
    <m/>
    <n v="907.21"/>
    <x v="2"/>
    <n v="1316354.94"/>
    <s v="907.21"/>
    <s v="jcortiz"/>
    <n v="0"/>
    <m/>
    <m/>
    <m/>
    <m/>
    <m/>
  </r>
  <r>
    <x v="0"/>
    <x v="0"/>
    <d v="2022-11-18T00:00:00"/>
    <d v="2022-11-18T00:00:00"/>
    <s v="Primario"/>
    <s v="EP 6405"/>
    <n v="108830"/>
    <s v="Pedido de entrada de mercancías - PN1791834399001"/>
    <m/>
    <m/>
    <n v="201040506"/>
    <s v="Facturas por Confirmar"/>
    <n v="115.61"/>
    <m/>
    <n v="115.61"/>
    <x v="2"/>
    <n v="1316470.55"/>
    <s v="115.61"/>
    <s v="jcortiz"/>
    <n v="0"/>
    <m/>
    <m/>
    <m/>
    <m/>
    <m/>
  </r>
  <r>
    <x v="0"/>
    <x v="0"/>
    <d v="2022-11-18T00:00:00"/>
    <d v="2022-11-18T00:00:00"/>
    <s v="FE001"/>
    <s v="NE 100015742"/>
    <n v="108831"/>
    <s v="Entregas - CN1791847776001"/>
    <m/>
    <s v="QUITO"/>
    <n v="51010101"/>
    <s v="Costo de ventas Quito"/>
    <m/>
    <n v="143.1"/>
    <n v="-143.1"/>
    <x v="1"/>
    <n v="1316327.45"/>
    <s v="-143.10"/>
    <s v="jcortiz"/>
    <n v="0"/>
    <m/>
    <s v="QUITO-PICHINCHA"/>
    <m/>
    <m/>
    <m/>
  </r>
  <r>
    <x v="0"/>
    <x v="0"/>
    <d v="2022-11-18T00:00:00"/>
    <d v="2022-11-18T00:00:00"/>
    <s v="FE001"/>
    <s v="NE 100015743"/>
    <n v="108832"/>
    <s v="Entregas - CN0590060933001"/>
    <m/>
    <s v="QUITO"/>
    <n v="51010101"/>
    <s v="Costo de ventas Quito"/>
    <m/>
    <n v="3.17"/>
    <n v="-3.17"/>
    <x v="1"/>
    <n v="1316324.28"/>
    <s v="-3.17"/>
    <s v="jcortiz"/>
    <n v="0"/>
    <m/>
    <s v="QUITO-PICHINCHA"/>
    <m/>
    <m/>
    <m/>
  </r>
  <r>
    <x v="0"/>
    <x v="0"/>
    <d v="2022-11-18T00:00:00"/>
    <d v="2022-11-18T00:00:00"/>
    <s v="FE001"/>
    <s v="NE 100015744"/>
    <n v="108833"/>
    <s v="Entregas - CN1102853817001"/>
    <m/>
    <s v="QUITO"/>
    <n v="51010101"/>
    <s v="Costo de ventas Quito"/>
    <m/>
    <n v="241.78"/>
    <n v="-241.78"/>
    <x v="1"/>
    <n v="1316082.5"/>
    <s v="-241.78"/>
    <s v="jcortiz"/>
    <n v="0"/>
    <m/>
    <s v="QUITO-PICHINCHA"/>
    <m/>
    <m/>
    <m/>
  </r>
  <r>
    <x v="0"/>
    <x v="0"/>
    <d v="2022-11-18T00:00:00"/>
    <d v="2022-11-18T00:00:00"/>
    <s v="FE001"/>
    <s v="NE 100015745"/>
    <n v="108837"/>
    <s v="Entregas - CN1715512180001"/>
    <m/>
    <s v="QUITO"/>
    <n v="51010101"/>
    <s v="Costo de ventas Quito"/>
    <m/>
    <n v="15.7"/>
    <n v="-15.7"/>
    <x v="1"/>
    <n v="1316066.8"/>
    <s v="-15.70"/>
    <s v="jcortiz"/>
    <n v="0"/>
    <m/>
    <s v="QUITO-PICHINCHA"/>
    <m/>
    <m/>
    <m/>
  </r>
  <r>
    <x v="0"/>
    <x v="0"/>
    <d v="2022-11-18T00:00:00"/>
    <d v="2022-11-18T00:00:00"/>
    <s v="FE001"/>
    <s v="IM 100003393"/>
    <n v="108852"/>
    <s v="Traslados - CN1792079160001"/>
    <m/>
    <m/>
    <n v="101060402"/>
    <s v="Inventario de prod. term. y mercad. en Bodega BULLSYPPLY Coca"/>
    <n v="1444.52"/>
    <m/>
    <n v="1444.52"/>
    <x v="3"/>
    <n v="1317511.32"/>
    <s v="1444.52"/>
    <s v="ancueva"/>
    <n v="0"/>
    <m/>
    <m/>
    <m/>
    <m/>
    <m/>
  </r>
  <r>
    <x v="0"/>
    <x v="0"/>
    <d v="2022-11-18T00:00:00"/>
    <d v="2022-11-18T00:00:00"/>
    <s v="Anula"/>
    <s v="EP 200446"/>
    <n v="109282"/>
    <s v="Pedido de entrada de mercancías - Cancelación - PN"/>
    <m/>
    <m/>
    <n v="201040506"/>
    <s v="Facturas por Confirmar"/>
    <m/>
    <n v="3315.8"/>
    <n v="-3315.8"/>
    <x v="6"/>
    <n v="1314195.52"/>
    <s v="-3315.80"/>
    <s v="jcortiz"/>
    <n v="0"/>
    <m/>
    <m/>
    <m/>
    <m/>
    <m/>
  </r>
  <r>
    <x v="0"/>
    <x v="0"/>
    <d v="2022-11-18T00:00:00"/>
    <d v="2022-11-18T00:00:00"/>
    <s v="FE001"/>
    <s v="NE 100015844"/>
    <n v="109290"/>
    <s v="Entrega - Cancelación - CN1791847776001"/>
    <m/>
    <s v="QUITO"/>
    <n v="51010101"/>
    <s v="Costo de ventas Quito"/>
    <n v="143.1"/>
    <m/>
    <n v="143.1"/>
    <x v="1"/>
    <n v="1314338.6200000001"/>
    <s v="143.10"/>
    <s v="jcortiz"/>
    <n v="0"/>
    <m/>
    <s v="QUITO-PICHINCHA"/>
    <m/>
    <m/>
    <m/>
  </r>
  <r>
    <x v="0"/>
    <x v="0"/>
    <d v="2022-11-18T00:00:00"/>
    <d v="2022-11-18T00:00:00"/>
    <s v="Anula"/>
    <s v="EP 200447"/>
    <n v="109291"/>
    <s v="Pedido de entrada de mercancías - Cancelación - PN"/>
    <m/>
    <m/>
    <n v="201040506"/>
    <s v="Facturas por Confirmar"/>
    <m/>
    <n v="115.61"/>
    <n v="-115.61"/>
    <x v="2"/>
    <n v="1314223.01"/>
    <s v="-115.61"/>
    <s v="jcortiz"/>
    <n v="0"/>
    <m/>
    <m/>
    <m/>
    <m/>
    <m/>
  </r>
  <r>
    <x v="0"/>
    <x v="0"/>
    <d v="2022-11-21T00:00:00"/>
    <d v="2022-11-21T00:00:00"/>
    <s v="Primario"/>
    <s v="EM 1727"/>
    <n v="108853"/>
    <s v="Entrada de mercancías"/>
    <m/>
    <s v="QUITO"/>
    <n v="401030105"/>
    <s v="Otros Ingresos"/>
    <n v="103.39"/>
    <m/>
    <n v="103.39"/>
    <x v="5"/>
    <n v="1314326.3999999999"/>
    <s v="103.39"/>
    <s v="jcortiz"/>
    <n v="0"/>
    <m/>
    <s v="QUITO-PICHINCHA"/>
    <m/>
    <m/>
    <m/>
  </r>
  <r>
    <x v="0"/>
    <x v="0"/>
    <d v="2022-11-21T00:00:00"/>
    <d v="2022-11-21T00:00:00"/>
    <s v="FE001"/>
    <s v="NE 100015746"/>
    <n v="108854"/>
    <s v="Entregas - CN1710196104001"/>
    <m/>
    <s v="QUITO"/>
    <n v="51010101"/>
    <s v="Costo de ventas Quito"/>
    <m/>
    <n v="103.39"/>
    <n v="-103.39"/>
    <x v="1"/>
    <n v="1314223.01"/>
    <s v="-103.39"/>
    <s v="jcortiz"/>
    <n v="0"/>
    <m/>
    <s v="QUITO-PICHINCHA"/>
    <m/>
    <m/>
    <m/>
  </r>
  <r>
    <x v="0"/>
    <x v="0"/>
    <d v="2022-11-21T00:00:00"/>
    <d v="2022-11-21T00:00:00"/>
    <s v="FE001"/>
    <s v="IM 100003394"/>
    <n v="108859"/>
    <s v="Traslados - CN1792079160001"/>
    <m/>
    <m/>
    <n v="101060402"/>
    <s v="Inventario de prod. term. y mercad. en Bodega BULLSYPPLY Coca"/>
    <m/>
    <n v="3.64"/>
    <n v="-3.64"/>
    <x v="3"/>
    <n v="1314219.3700000001"/>
    <s v="-3.64"/>
    <s v="jcortiz"/>
    <n v="0"/>
    <m/>
    <m/>
    <m/>
    <m/>
    <m/>
  </r>
  <r>
    <x v="0"/>
    <x v="0"/>
    <d v="2022-11-21T00:00:00"/>
    <d v="2022-11-21T00:00:00"/>
    <s v="FE001"/>
    <s v="IM 100003395"/>
    <n v="108860"/>
    <s v="Traslados - CN1792079160001"/>
    <m/>
    <m/>
    <n v="101060402"/>
    <s v="Inventario de prod. term. y mercad. en Bodega BULLSYPPLY Coca"/>
    <n v="31.18"/>
    <m/>
    <n v="31.18"/>
    <x v="3"/>
    <n v="1314250.55"/>
    <s v="31.18"/>
    <s v="ancueva"/>
    <n v="0"/>
    <m/>
    <m/>
    <m/>
    <m/>
    <m/>
  </r>
  <r>
    <x v="0"/>
    <x v="0"/>
    <d v="2022-11-21T00:00:00"/>
    <d v="2022-11-21T00:00:00"/>
    <s v="Primario"/>
    <s v="EP 6406"/>
    <n v="108861"/>
    <s v="Pedido de entrada de mercancías - PN1790886824001"/>
    <m/>
    <m/>
    <n v="201040506"/>
    <s v="Facturas por Confirmar"/>
    <n v="1026"/>
    <m/>
    <n v="1026"/>
    <x v="2"/>
    <n v="1315276.55"/>
    <s v="1026.00"/>
    <s v="jcortiz"/>
    <n v="0"/>
    <m/>
    <m/>
    <m/>
    <m/>
    <m/>
  </r>
  <r>
    <x v="0"/>
    <x v="0"/>
    <d v="2022-11-21T00:00:00"/>
    <d v="2022-11-21T00:00:00"/>
    <s v="FE001"/>
    <s v="NE 100015749"/>
    <n v="108862"/>
    <s v="Entregas - CN0992388420001"/>
    <m/>
    <s v="QUITO"/>
    <n v="51010101"/>
    <s v="Costo de ventas Quito"/>
    <m/>
    <n v="4039.87"/>
    <n v="-4039.87"/>
    <x v="1"/>
    <n v="1311236.68"/>
    <s v="-4039.87"/>
    <s v="jcortiz"/>
    <n v="0"/>
    <m/>
    <s v="QUITO-PICHINCHA"/>
    <m/>
    <m/>
    <m/>
  </r>
  <r>
    <x v="0"/>
    <x v="0"/>
    <d v="2022-11-21T00:00:00"/>
    <d v="2022-11-21T00:00:00"/>
    <s v="FE001"/>
    <s v="NE 100015750"/>
    <n v="108863"/>
    <s v="Entregas - CN1791263308001"/>
    <m/>
    <s v="QUITO"/>
    <n v="51010101"/>
    <s v="Costo de ventas Quito"/>
    <m/>
    <n v="13.61"/>
    <n v="-13.61"/>
    <x v="1"/>
    <n v="1311223.07"/>
    <s v="-13.61"/>
    <s v="jcortiz"/>
    <n v="0"/>
    <m/>
    <s v="QUITO-PICHINCHA"/>
    <m/>
    <m/>
    <m/>
  </r>
  <r>
    <x v="0"/>
    <x v="0"/>
    <d v="2022-11-21T00:00:00"/>
    <d v="2022-11-21T00:00:00"/>
    <s v="FE001"/>
    <s v="NE 100015751"/>
    <n v="108864"/>
    <s v="Entregas - CN1713071197001"/>
    <m/>
    <s v="QUITO"/>
    <n v="51010101"/>
    <s v="Costo de ventas Quito"/>
    <m/>
    <n v="12.6"/>
    <n v="-12.6"/>
    <x v="1"/>
    <n v="1311210.47"/>
    <s v="-12.60"/>
    <s v="jcortiz"/>
    <n v="0"/>
    <m/>
    <s v="QUITO-PICHINCHA"/>
    <m/>
    <m/>
    <m/>
  </r>
  <r>
    <x v="0"/>
    <x v="0"/>
    <d v="2022-11-21T00:00:00"/>
    <d v="2022-11-21T00:00:00"/>
    <s v="FE001"/>
    <s v="RC 100000675"/>
    <n v="108866"/>
    <s v="Notas de crédito clientes - CN1713071197001"/>
    <m/>
    <s v="QUITO"/>
    <s v="CN1713071197001"/>
    <s v="SUQUILLO GUACOLLANTE RAUL GERARDO"/>
    <n v="12.6"/>
    <m/>
    <n v="12.6"/>
    <x v="4"/>
    <n v="1311223.07"/>
    <s v="12.60"/>
    <s v="gcali"/>
    <n v="0"/>
    <m/>
    <s v="QUITO-PICHINCHA"/>
    <m/>
    <m/>
    <m/>
  </r>
  <r>
    <x v="0"/>
    <x v="0"/>
    <d v="2022-11-21T00:00:00"/>
    <d v="2022-11-21T00:00:00"/>
    <s v="Primario"/>
    <s v="EP 6407"/>
    <n v="108867"/>
    <s v="Pedido de entrada de mercancías - PN1791834399001"/>
    <m/>
    <m/>
    <n v="201040506"/>
    <s v="Facturas por Confirmar"/>
    <n v="1200"/>
    <m/>
    <n v="1200"/>
    <x v="2"/>
    <n v="1312423.07"/>
    <s v="1200.00"/>
    <s v="jcortiz"/>
    <n v="0"/>
    <m/>
    <m/>
    <m/>
    <m/>
    <m/>
  </r>
  <r>
    <x v="0"/>
    <x v="0"/>
    <d v="2022-11-21T00:00:00"/>
    <d v="2022-11-21T00:00:00"/>
    <s v="FE001"/>
    <s v="IM 100003396"/>
    <n v="108868"/>
    <s v="Traslados - CN1792079160001"/>
    <m/>
    <m/>
    <n v="101060402"/>
    <s v="Inventario de prod. term. y mercad. en Bodega BULLSYPPLY Coca"/>
    <m/>
    <n v="17486.71"/>
    <n v="-17486.71"/>
    <x v="3"/>
    <n v="1294936.3600000001"/>
    <s v="-17486.71"/>
    <s v="jcortiz"/>
    <n v="0"/>
    <m/>
    <m/>
    <m/>
    <m/>
    <m/>
  </r>
  <r>
    <x v="0"/>
    <x v="0"/>
    <d v="2022-11-21T00:00:00"/>
    <d v="2022-11-21T00:00:00"/>
    <s v="FE001"/>
    <s v="NE 100015752"/>
    <n v="108869"/>
    <s v="Entregas - CN1802461440001"/>
    <m/>
    <s v="QUITO"/>
    <n v="51010101"/>
    <s v="Costo de ventas Quito"/>
    <m/>
    <n v="17.850000000000001"/>
    <n v="-17.850000000000001"/>
    <x v="1"/>
    <n v="1294918.51"/>
    <s v="-17.85"/>
    <s v="jcortiz"/>
    <n v="0"/>
    <m/>
    <s v="QUITO-PICHINCHA"/>
    <m/>
    <m/>
    <m/>
  </r>
  <r>
    <x v="0"/>
    <x v="0"/>
    <d v="2022-11-21T00:00:00"/>
    <d v="2022-11-21T00:00:00"/>
    <s v="Primario"/>
    <s v="EP 6408"/>
    <n v="108870"/>
    <s v="Pedido de entrada de mercancías - PN0913319455001"/>
    <m/>
    <m/>
    <n v="201040506"/>
    <s v="Facturas por Confirmar"/>
    <n v="1600"/>
    <m/>
    <n v="1600"/>
    <x v="2"/>
    <n v="1296518.51"/>
    <s v="1600.00"/>
    <s v="jcortiz"/>
    <n v="0"/>
    <m/>
    <m/>
    <m/>
    <m/>
    <m/>
  </r>
  <r>
    <x v="0"/>
    <x v="0"/>
    <d v="2022-11-21T00:00:00"/>
    <d v="2022-11-21T00:00:00"/>
    <s v="FE001"/>
    <s v="NE 100015753"/>
    <n v="108871"/>
    <s v="Entregas - CN1791263308001"/>
    <m/>
    <s v="QUITO"/>
    <n v="51010101"/>
    <s v="Costo de ventas Quito"/>
    <m/>
    <n v="1600"/>
    <n v="-1600"/>
    <x v="1"/>
    <n v="1294918.51"/>
    <s v="-1600.00"/>
    <s v="jcortiz"/>
    <n v="0"/>
    <m/>
    <s v="QUITO-PICHINCHA"/>
    <m/>
    <m/>
    <m/>
  </r>
  <r>
    <x v="0"/>
    <x v="0"/>
    <d v="2022-11-21T00:00:00"/>
    <d v="2022-11-21T00:00:00"/>
    <s v="FE001"/>
    <s v="NE 100015755"/>
    <n v="108878"/>
    <s v="Entregas - CN1707925168001"/>
    <m/>
    <s v="QUITO"/>
    <n v="51010101"/>
    <s v="Costo de ventas Quito"/>
    <m/>
    <n v="887.27"/>
    <n v="-887.27"/>
    <x v="1"/>
    <n v="1294031.24"/>
    <s v="-887.27"/>
    <s v="jcortiz"/>
    <n v="0"/>
    <m/>
    <s v="QUITO-PICHINCHA"/>
    <m/>
    <m/>
    <m/>
  </r>
  <r>
    <x v="0"/>
    <x v="0"/>
    <d v="2022-11-21T00:00:00"/>
    <d v="2022-11-21T00:00:00"/>
    <s v="Primario"/>
    <s v="SM 573"/>
    <n v="108882"/>
    <s v="Salida de mercancías"/>
    <m/>
    <s v="QUITO"/>
    <n v="51010101"/>
    <s v="Costo de ventas Quito"/>
    <m/>
    <n v="344.7"/>
    <n v="-344.7"/>
    <x v="1"/>
    <n v="1293686.54"/>
    <s v="-344.70"/>
    <s v="jcortiz"/>
    <n v="0"/>
    <m/>
    <s v="QUITO-PICHINCHA"/>
    <m/>
    <m/>
    <m/>
  </r>
  <r>
    <x v="0"/>
    <x v="0"/>
    <d v="2022-11-21T00:00:00"/>
    <d v="2022-11-21T00:00:00"/>
    <s v="FE001"/>
    <s v="NE 100015756"/>
    <n v="108885"/>
    <s v="Entregas - CN1791263308001"/>
    <m/>
    <s v="QUITO"/>
    <n v="51010101"/>
    <s v="Costo de ventas Quito"/>
    <m/>
    <n v="121.61"/>
    <n v="-121.61"/>
    <x v="1"/>
    <n v="1293564.93"/>
    <s v="-121.61"/>
    <s v="jcortiz"/>
    <n v="0"/>
    <m/>
    <s v="QUITO-PICHINCHA"/>
    <m/>
    <m/>
    <m/>
  </r>
  <r>
    <x v="0"/>
    <x v="0"/>
    <d v="2022-11-21T00:00:00"/>
    <d v="2022-11-21T00:00:00"/>
    <s v="Primario"/>
    <s v="EM 1728"/>
    <n v="108886"/>
    <s v="Entrada de mercancías"/>
    <m/>
    <s v="QUITO"/>
    <n v="401030105"/>
    <s v="Otros Ingresos"/>
    <n v="389.71"/>
    <m/>
    <n v="389.71"/>
    <x v="5"/>
    <n v="1293954.6399999999"/>
    <s v="389.71"/>
    <s v="jcortiz"/>
    <n v="0"/>
    <m/>
    <s v="QUITO-PICHINCHA"/>
    <m/>
    <m/>
    <m/>
  </r>
  <r>
    <x v="0"/>
    <x v="0"/>
    <d v="2022-11-21T00:00:00"/>
    <d v="2022-11-21T00:00:00"/>
    <s v="FE001"/>
    <s v="NE 100015757"/>
    <n v="108887"/>
    <s v="Entregas - CN1791847776001"/>
    <m/>
    <s v="QUITO"/>
    <n v="51010101"/>
    <s v="Costo de ventas Quito"/>
    <m/>
    <n v="389.71"/>
    <n v="-389.71"/>
    <x v="1"/>
    <n v="1293564.93"/>
    <s v="-389.71"/>
    <s v="jcortiz"/>
    <n v="0"/>
    <m/>
    <s v="QUITO-PICHINCHA"/>
    <m/>
    <m/>
    <m/>
  </r>
  <r>
    <x v="0"/>
    <x v="0"/>
    <d v="2022-11-21T00:00:00"/>
    <d v="2022-11-21T00:00:00"/>
    <s v="FE001"/>
    <s v="NE 100015758"/>
    <n v="108888"/>
    <s v="Entrega - Cancelación - CN1791263308001"/>
    <m/>
    <s v="QUITO"/>
    <n v="51010101"/>
    <s v="Costo de ventas Quito"/>
    <n v="121.61"/>
    <m/>
    <n v="121.61"/>
    <x v="1"/>
    <n v="1293686.54"/>
    <s v="121.61"/>
    <s v="jcortiz"/>
    <n v="0"/>
    <m/>
    <s v="QUITO-PICHINCHA"/>
    <m/>
    <m/>
    <m/>
  </r>
  <r>
    <x v="0"/>
    <x v="0"/>
    <d v="2022-11-21T00:00:00"/>
    <d v="2022-11-21T00:00:00"/>
    <s v="FE001"/>
    <s v="NE 100015759"/>
    <n v="108889"/>
    <s v="Entregas - CN1791263308001"/>
    <m/>
    <s v="QUITO"/>
    <n v="51010101"/>
    <s v="Costo de ventas Quito"/>
    <m/>
    <n v="96.66"/>
    <n v="-96.66"/>
    <x v="1"/>
    <n v="1293589.8799999999"/>
    <s v="-96.66"/>
    <s v="jcortiz"/>
    <n v="0"/>
    <m/>
    <s v="QUITO-PICHINCHA"/>
    <m/>
    <m/>
    <m/>
  </r>
  <r>
    <x v="0"/>
    <x v="0"/>
    <d v="2022-11-21T00:00:00"/>
    <d v="2022-11-21T00:00:00"/>
    <s v="FE001"/>
    <s v="NE 100015761"/>
    <n v="108893"/>
    <s v="Entregas - CN1791263308001"/>
    <m/>
    <s v="QUITO"/>
    <n v="51010101"/>
    <s v="Costo de ventas Quito"/>
    <m/>
    <n v="918.84"/>
    <n v="-918.84"/>
    <x v="1"/>
    <n v="1292671.04"/>
    <s v="-918.84"/>
    <s v="jcortiz"/>
    <n v="0"/>
    <m/>
    <s v="QUITO-PICHINCHA"/>
    <m/>
    <m/>
    <m/>
  </r>
  <r>
    <x v="0"/>
    <x v="0"/>
    <d v="2022-11-21T00:00:00"/>
    <d v="2022-11-21T00:00:00"/>
    <s v="FE001"/>
    <s v="NE 100015762"/>
    <n v="108894"/>
    <s v="Entregas - CN1791263308001"/>
    <m/>
    <s v="QUITO"/>
    <n v="51010101"/>
    <s v="Costo de ventas Quito"/>
    <m/>
    <n v="1200"/>
    <n v="-1200"/>
    <x v="1"/>
    <n v="1291471.04"/>
    <s v="-1200.00"/>
    <s v="jcortiz"/>
    <n v="0"/>
    <m/>
    <s v="QUITO-PICHINCHA"/>
    <m/>
    <m/>
    <m/>
  </r>
  <r>
    <x v="0"/>
    <x v="0"/>
    <d v="2022-11-21T00:00:00"/>
    <d v="2022-11-21T00:00:00"/>
    <s v="FE001"/>
    <s v="NE 100015764"/>
    <n v="108896"/>
    <s v="Entregas - CN1790342867001"/>
    <m/>
    <s v="QUITO"/>
    <n v="51010101"/>
    <s v="Costo de ventas Quito"/>
    <m/>
    <n v="106.05"/>
    <n v="-106.05"/>
    <x v="1"/>
    <n v="1291364.99"/>
    <s v="-106.05"/>
    <s v="jcortiz"/>
    <n v="0"/>
    <m/>
    <s v="QUITO-PICHINCHA"/>
    <m/>
    <m/>
    <m/>
  </r>
  <r>
    <x v="0"/>
    <x v="0"/>
    <d v="2022-11-21T00:00:00"/>
    <d v="2022-11-21T00:00:00"/>
    <s v="FE001"/>
    <s v="NE 100015765"/>
    <n v="108897"/>
    <s v="Entregas - CN1002297842001"/>
    <m/>
    <s v="QUITO"/>
    <n v="51010101"/>
    <s v="Costo de ventas Quito"/>
    <m/>
    <n v="262.45999999999998"/>
    <n v="-262.45999999999998"/>
    <x v="1"/>
    <n v="1291102.53"/>
    <s v="-262.46"/>
    <s v="jcortiz"/>
    <n v="0"/>
    <m/>
    <s v="QUITO-PICHINCHA"/>
    <m/>
    <m/>
    <m/>
  </r>
  <r>
    <x v="0"/>
    <x v="0"/>
    <d v="2022-11-21T00:00:00"/>
    <d v="2022-11-21T00:00:00"/>
    <s v="FE001"/>
    <s v="IM 100003397"/>
    <n v="108898"/>
    <s v="Traslados - CN1792079160001"/>
    <m/>
    <m/>
    <n v="101060402"/>
    <s v="Inventario de prod. term. y mercad. en Bodega BULLSYPPLY Coca"/>
    <n v="40.29"/>
    <m/>
    <n v="40.29"/>
    <x v="3"/>
    <n v="1291142.82"/>
    <s v="40.29"/>
    <s v="ancueva"/>
    <n v="0"/>
    <m/>
    <m/>
    <m/>
    <m/>
    <m/>
  </r>
  <r>
    <x v="0"/>
    <x v="0"/>
    <d v="2022-11-21T00:00:00"/>
    <d v="2022-11-21T00:00:00"/>
    <s v="FE001"/>
    <s v="NE 100015838"/>
    <n v="109273"/>
    <s v="Entrega - Cancelación - CN1791263308001"/>
    <m/>
    <s v="QUITO"/>
    <n v="51010101"/>
    <s v="Costo de ventas Quito"/>
    <n v="1200"/>
    <m/>
    <n v="1200"/>
    <x v="1"/>
    <n v="1292342.82"/>
    <s v="1200.00"/>
    <s v="jcortiz"/>
    <n v="0"/>
    <m/>
    <s v="QUITO-PICHINCHA"/>
    <m/>
    <m/>
    <m/>
  </r>
  <r>
    <x v="0"/>
    <x v="0"/>
    <d v="2022-11-21T00:00:00"/>
    <d v="2022-11-21T00:00:00"/>
    <s v="Anula"/>
    <s v="EP 200445"/>
    <n v="109274"/>
    <s v="Pedido de entrada de mercancías - Cancelación - PN"/>
    <m/>
    <m/>
    <n v="201040506"/>
    <s v="Facturas por Confirmar"/>
    <m/>
    <n v="1200"/>
    <n v="-1200"/>
    <x v="2"/>
    <n v="1291142.82"/>
    <s v="-1200.00"/>
    <s v="jcortiz"/>
    <n v="0"/>
    <m/>
    <m/>
    <m/>
    <m/>
    <m/>
  </r>
  <r>
    <x v="0"/>
    <x v="0"/>
    <d v="2022-11-21T00:00:00"/>
    <d v="2022-11-21T00:00:00"/>
    <s v="FE001"/>
    <s v="NE 100015847"/>
    <n v="109295"/>
    <s v="Entrega - Cancelación - CN1791263308001"/>
    <m/>
    <s v="QUITO"/>
    <n v="51010101"/>
    <s v="Costo de ventas Quito"/>
    <n v="1600"/>
    <m/>
    <n v="1600"/>
    <x v="1"/>
    <n v="1292742.82"/>
    <s v="1600.00"/>
    <s v="jcortiz"/>
    <n v="0"/>
    <m/>
    <s v="QUITO-PICHINCHA"/>
    <m/>
    <m/>
    <m/>
  </r>
  <r>
    <x v="0"/>
    <x v="0"/>
    <d v="2022-11-21T00:00:00"/>
    <d v="2022-11-21T00:00:00"/>
    <s v="Anula"/>
    <s v="EP 200448"/>
    <n v="109296"/>
    <s v="Pedido de entrada de mercancías - Cancelación - PN"/>
    <m/>
    <m/>
    <n v="201040506"/>
    <s v="Facturas por Confirmar"/>
    <m/>
    <n v="1600"/>
    <n v="-1600"/>
    <x v="2"/>
    <n v="1291142.82"/>
    <s v="-1600.00"/>
    <s v="jcortiz"/>
    <n v="0"/>
    <m/>
    <m/>
    <m/>
    <m/>
    <m/>
  </r>
  <r>
    <x v="0"/>
    <x v="0"/>
    <d v="2022-11-22T00:00:00"/>
    <d v="2022-11-22T00:00:00"/>
    <s v="FE001"/>
    <s v="IM 100003398"/>
    <n v="108914"/>
    <s v="Traslados - CN1792079160001"/>
    <m/>
    <m/>
    <n v="101060407"/>
    <s v="Inventario de prod. term. y mercad. en Bodega muestras"/>
    <m/>
    <n v="116.79"/>
    <n v="-116.79"/>
    <x v="3"/>
    <n v="1291026.03"/>
    <s v="-116.79"/>
    <s v="jcortiz"/>
    <n v="0"/>
    <m/>
    <m/>
    <m/>
    <m/>
    <m/>
  </r>
  <r>
    <x v="0"/>
    <x v="0"/>
    <d v="2022-11-22T00:00:00"/>
    <d v="2022-11-22T00:00:00"/>
    <s v="Primario"/>
    <s v="EM 1729"/>
    <n v="108918"/>
    <s v="INGRESO DE MATERIAL OC 5932 AUTO ALESSANDRO CARDIL"/>
    <m/>
    <s v="QUITO"/>
    <n v="401030105"/>
    <s v="Otros Ingresos"/>
    <n v="2"/>
    <m/>
    <n v="2"/>
    <x v="5"/>
    <n v="1291028.03"/>
    <s v="2.00"/>
    <s v="pquishpe"/>
    <n v="0"/>
    <m/>
    <s v="QUITO-PICHINCHA"/>
    <m/>
    <m/>
    <m/>
  </r>
  <r>
    <x v="0"/>
    <x v="0"/>
    <d v="2022-11-22T00:00:00"/>
    <d v="2022-11-22T00:00:00"/>
    <s v="FE001"/>
    <s v="IM 100003399"/>
    <n v="108925"/>
    <s v="Traslados - CN1792079160001"/>
    <m/>
    <m/>
    <n v="101060402"/>
    <s v="Inventario de prod. term. y mercad. en Bodega BULLSYPPLY Coca"/>
    <m/>
    <n v="12.27"/>
    <n v="-12.27"/>
    <x v="3"/>
    <n v="1291015.76"/>
    <s v="-12.27"/>
    <s v="jcortiz"/>
    <n v="0"/>
    <m/>
    <m/>
    <m/>
    <m/>
    <m/>
  </r>
  <r>
    <x v="0"/>
    <x v="0"/>
    <d v="2022-11-22T00:00:00"/>
    <d v="2022-11-22T00:00:00"/>
    <s v="FE001"/>
    <s v="NE 100015767"/>
    <n v="108926"/>
    <s v="Entregas - CN1792367107001"/>
    <m/>
    <s v="QUITO"/>
    <n v="51010101"/>
    <s v="Costo de ventas Quito"/>
    <m/>
    <n v="52.54"/>
    <n v="-52.54"/>
    <x v="1"/>
    <n v="1290963.22"/>
    <s v="-52.54"/>
    <s v="jcortiz"/>
    <n v="0"/>
    <m/>
    <s v="QUITO-PICHINCHA"/>
    <m/>
    <m/>
    <m/>
  </r>
  <r>
    <x v="0"/>
    <x v="0"/>
    <d v="2022-11-22T00:00:00"/>
    <d v="2022-11-22T00:00:00"/>
    <s v="FE001"/>
    <s v="NE 100015768"/>
    <n v="108927"/>
    <s v="Entregas - CN1792367107001"/>
    <m/>
    <s v="QUITO"/>
    <n v="51010101"/>
    <s v="Costo de ventas Quito"/>
    <m/>
    <n v="48.18"/>
    <n v="-48.18"/>
    <x v="1"/>
    <n v="1290915.04"/>
    <s v="-48.18"/>
    <s v="jcortiz"/>
    <n v="0"/>
    <m/>
    <s v="QUITO-PICHINCHA"/>
    <m/>
    <m/>
    <m/>
  </r>
  <r>
    <x v="0"/>
    <x v="0"/>
    <d v="2022-11-22T00:00:00"/>
    <d v="2022-11-22T00:00:00"/>
    <s v="FE001"/>
    <s v="NE 100015769"/>
    <n v="108928"/>
    <s v="Entregas - CN1792367107001"/>
    <m/>
    <s v="QUITO"/>
    <n v="51010101"/>
    <s v="Costo de ventas Quito"/>
    <m/>
    <n v="47.19"/>
    <n v="-47.19"/>
    <x v="1"/>
    <n v="1290867.8500000001"/>
    <s v="-47.19"/>
    <s v="jcortiz"/>
    <n v="0"/>
    <m/>
    <s v="QUITO-PICHINCHA"/>
    <m/>
    <m/>
    <m/>
  </r>
  <r>
    <x v="0"/>
    <x v="0"/>
    <d v="2022-11-22T00:00:00"/>
    <d v="2022-11-22T00:00:00"/>
    <s v="FE001"/>
    <s v="IM 100003400"/>
    <n v="108941"/>
    <s v="Traslados - CN1792079160001"/>
    <m/>
    <m/>
    <n v="101060402"/>
    <s v="Inventario de prod. term. y mercad. en Bodega BULLSYPPLY Coca"/>
    <m/>
    <n v="2"/>
    <n v="-2"/>
    <x v="3"/>
    <n v="1290865.8500000001"/>
    <s v="-2.00"/>
    <s v="jcortiz"/>
    <n v="0"/>
    <m/>
    <m/>
    <m/>
    <m/>
    <m/>
  </r>
  <r>
    <x v="0"/>
    <x v="0"/>
    <d v="2022-11-22T00:00:00"/>
    <d v="2022-11-22T00:00:00"/>
    <s v="FE001"/>
    <s v="IM 100003401"/>
    <n v="108946"/>
    <s v="Traslados - CN1792079160001"/>
    <m/>
    <m/>
    <n v="101060408"/>
    <s v="Inventario de prod. term. y mercad. en Bodega importaciones"/>
    <n v="87438.09"/>
    <m/>
    <n v="87438.09"/>
    <x v="3"/>
    <n v="1378303.94"/>
    <s v="87438.09"/>
    <s v="jcortiz"/>
    <n v="0"/>
    <m/>
    <m/>
    <m/>
    <m/>
    <m/>
  </r>
  <r>
    <x v="0"/>
    <x v="0"/>
    <d v="2022-11-22T00:00:00"/>
    <d v="2022-11-22T00:00:00"/>
    <s v="FE001"/>
    <s v="IM 100003402"/>
    <n v="108948"/>
    <s v="Traslados - CN1792079160001"/>
    <m/>
    <m/>
    <n v="101060408"/>
    <s v="Inventario de prod. term. y mercad. en Bodega importaciones"/>
    <n v="9802.48"/>
    <m/>
    <n v="9802.48"/>
    <x v="3"/>
    <n v="1388106.42"/>
    <s v="9802.48"/>
    <s v="jcortiz"/>
    <n v="0"/>
    <m/>
    <m/>
    <m/>
    <m/>
    <m/>
  </r>
  <r>
    <x v="0"/>
    <x v="0"/>
    <d v="2022-11-22T00:00:00"/>
    <d v="2022-11-22T00:00:00"/>
    <s v="FE001"/>
    <s v="IM 100003403"/>
    <n v="108956"/>
    <s v="Traslados - CN1792079160001"/>
    <m/>
    <m/>
    <n v="101060402"/>
    <s v="Inventario de prod. term. y mercad. en Bodega BULLSYPPLY Coca"/>
    <m/>
    <n v="100157.21"/>
    <n v="-100157.21"/>
    <x v="3"/>
    <n v="1287949.21"/>
    <s v="-100157.21"/>
    <s v="jcortiz"/>
    <n v="0"/>
    <m/>
    <m/>
    <m/>
    <m/>
    <m/>
  </r>
  <r>
    <x v="0"/>
    <x v="0"/>
    <d v="2022-11-22T00:00:00"/>
    <d v="2022-11-22T00:00:00"/>
    <s v="FE001"/>
    <s v="IM 100003404"/>
    <n v="108958"/>
    <s v="Traslados -"/>
    <m/>
    <m/>
    <n v="101060402"/>
    <s v="Inventario de prod. term. y mercad. en Bodega BULLSYPPLY Coca"/>
    <n v="100170.61"/>
    <m/>
    <n v="100170.61"/>
    <x v="3"/>
    <n v="1388119.82"/>
    <s v="100170.61"/>
    <s v="jcortiz"/>
    <n v="0"/>
    <m/>
    <m/>
    <m/>
    <m/>
    <m/>
  </r>
  <r>
    <x v="0"/>
    <x v="0"/>
    <d v="2022-11-22T00:00:00"/>
    <d v="2022-11-22T00:00:00"/>
    <s v="FE001"/>
    <s v="NE 100015772"/>
    <n v="108961"/>
    <s v="Entregas - CN1791263308001"/>
    <m/>
    <s v="QUITO"/>
    <n v="51010101"/>
    <s v="Costo de ventas Quito"/>
    <m/>
    <n v="55209.65"/>
    <n v="-55209.65"/>
    <x v="1"/>
    <n v="1332910.17"/>
    <s v="-55209.65"/>
    <s v="jcortiz"/>
    <n v="0"/>
    <m/>
    <s v="QUITO-PICHINCHA"/>
    <m/>
    <m/>
    <m/>
  </r>
  <r>
    <x v="0"/>
    <x v="0"/>
    <d v="2022-11-22T00:00:00"/>
    <d v="2022-11-22T00:00:00"/>
    <s v="FE001"/>
    <s v="NE 100015773"/>
    <n v="108963"/>
    <s v="Entregas - CN1791263308001"/>
    <m/>
    <s v="QUITO"/>
    <n v="51010101"/>
    <s v="Costo de ventas Quito"/>
    <m/>
    <n v="988.89"/>
    <n v="-988.89"/>
    <x v="1"/>
    <n v="1331921.28"/>
    <s v="-988.89"/>
    <s v="jcortiz"/>
    <n v="0"/>
    <m/>
    <s v="QUITO-PICHINCHA"/>
    <m/>
    <m/>
    <m/>
  </r>
  <r>
    <x v="0"/>
    <x v="0"/>
    <d v="2022-11-22T00:00:00"/>
    <d v="2022-11-22T00:00:00"/>
    <s v="FE001"/>
    <s v="IM 100003405"/>
    <n v="108966"/>
    <s v="Traslados - CN1792079160001"/>
    <m/>
    <m/>
    <n v="101060408"/>
    <s v="Inventario de prod. term. y mercad. en Bodega importaciones"/>
    <m/>
    <n v="278.79000000000002"/>
    <n v="-278.79000000000002"/>
    <x v="3"/>
    <n v="1331642.49"/>
    <s v="-278.79"/>
    <s v="jcortiz"/>
    <n v="0"/>
    <m/>
    <m/>
    <m/>
    <m/>
    <m/>
  </r>
  <r>
    <x v="0"/>
    <x v="0"/>
    <d v="2022-11-22T00:00:00"/>
    <d v="2022-11-22T00:00:00"/>
    <s v="FE001"/>
    <s v="IM 100003406"/>
    <n v="108969"/>
    <s v="Traslados - CN1792079160001"/>
    <m/>
    <m/>
    <n v="101060408"/>
    <s v="Inventario de prod. term. y mercad. en Bodega importaciones"/>
    <m/>
    <n v="106.67"/>
    <n v="-106.67"/>
    <x v="3"/>
    <n v="1331535.82"/>
    <s v="-106.67"/>
    <s v="jcortiz"/>
    <n v="0"/>
    <m/>
    <m/>
    <m/>
    <m/>
    <m/>
  </r>
  <r>
    <x v="0"/>
    <x v="0"/>
    <d v="2022-11-22T00:00:00"/>
    <d v="2022-11-22T00:00:00"/>
    <s v="FE001"/>
    <s v="IM 100003407"/>
    <n v="108972"/>
    <s v="Traslados - CN1792079160001"/>
    <m/>
    <m/>
    <n v="101060408"/>
    <s v="Inventario de prod. term. y mercad. en Bodega importaciones"/>
    <m/>
    <n v="796.12"/>
    <n v="-796.12"/>
    <x v="3"/>
    <n v="1330739.7"/>
    <s v="-796.12"/>
    <s v="jcortiz"/>
    <n v="0"/>
    <m/>
    <m/>
    <m/>
    <m/>
    <m/>
  </r>
  <r>
    <x v="0"/>
    <x v="0"/>
    <d v="2022-11-22T00:00:00"/>
    <d v="2022-11-22T00:00:00"/>
    <s v="FE001"/>
    <s v="IM 100003408"/>
    <n v="108974"/>
    <s v="Traslados - CN1792079160001"/>
    <m/>
    <m/>
    <n v="101060408"/>
    <s v="Inventario de prod. term. y mercad. en Bodega importaciones"/>
    <m/>
    <n v="240.32"/>
    <n v="-240.32"/>
    <x v="3"/>
    <n v="1330499.3799999999"/>
    <s v="-240.32"/>
    <s v="jcortiz"/>
    <n v="0"/>
    <m/>
    <m/>
    <m/>
    <m/>
    <m/>
  </r>
  <r>
    <x v="0"/>
    <x v="0"/>
    <d v="2022-11-22T00:00:00"/>
    <d v="2022-11-22T00:00:00"/>
    <s v="FE001"/>
    <s v="IM 100003409"/>
    <n v="108976"/>
    <s v="Traslados - CN1792079160001"/>
    <m/>
    <m/>
    <n v="101060408"/>
    <s v="Inventario de prod. term. y mercad. en Bodega importaciones"/>
    <m/>
    <n v="40.78"/>
    <n v="-40.78"/>
    <x v="3"/>
    <n v="1330458.6000000001"/>
    <s v="-40.78"/>
    <s v="jcortiz"/>
    <n v="0"/>
    <m/>
    <m/>
    <m/>
    <m/>
    <m/>
  </r>
  <r>
    <x v="0"/>
    <x v="0"/>
    <d v="2022-11-22T00:00:00"/>
    <d v="2022-11-22T00:00:00"/>
    <s v="FE001"/>
    <s v="NE 100015780"/>
    <n v="108978"/>
    <s v="Entregas - CN1801252170001"/>
    <m/>
    <s v="QUITO"/>
    <n v="51010101"/>
    <s v="Costo de ventas Quito"/>
    <m/>
    <n v="523.73"/>
    <n v="-523.73"/>
    <x v="1"/>
    <n v="1329934.8700000001"/>
    <s v="-523.73"/>
    <s v="jcortiz"/>
    <n v="0"/>
    <m/>
    <s v="QUITO-PICHINCHA"/>
    <m/>
    <m/>
    <m/>
  </r>
  <r>
    <x v="0"/>
    <x v="0"/>
    <d v="2022-11-22T00:00:00"/>
    <d v="2022-11-22T00:00:00"/>
    <s v="FE001"/>
    <s v="NE 100015781"/>
    <n v="108980"/>
    <s v="Entregas - CN1802461440001"/>
    <m/>
    <s v="QUITO"/>
    <n v="51010101"/>
    <s v="Costo de ventas Quito"/>
    <m/>
    <n v="316.89"/>
    <n v="-316.89"/>
    <x v="1"/>
    <n v="1329617.98"/>
    <s v="-316.89"/>
    <s v="jcortiz"/>
    <n v="0"/>
    <m/>
    <s v="QUITO-PICHINCHA"/>
    <m/>
    <m/>
    <m/>
  </r>
  <r>
    <x v="0"/>
    <x v="0"/>
    <d v="2022-11-22T00:00:00"/>
    <d v="2022-11-22T00:00:00"/>
    <s v="FE001"/>
    <s v="NE 100015782"/>
    <n v="108981"/>
    <s v="Entregas - CN1710196104001"/>
    <m/>
    <s v="QUITO"/>
    <n v="51010101"/>
    <s v="Costo de ventas Quito"/>
    <m/>
    <n v="281.64999999999998"/>
    <n v="-281.64999999999998"/>
    <x v="1"/>
    <n v="1329336.33"/>
    <s v="-281.65"/>
    <s v="jcortiz"/>
    <n v="0"/>
    <m/>
    <s v="QUITO-PICHINCHA"/>
    <m/>
    <m/>
    <m/>
  </r>
  <r>
    <x v="0"/>
    <x v="0"/>
    <d v="2022-11-22T00:00:00"/>
    <d v="2022-11-22T00:00:00"/>
    <s v="FE001"/>
    <s v="IM 100003410"/>
    <n v="108985"/>
    <s v="Traslados - CN1792079160001"/>
    <m/>
    <m/>
    <n v="101060408"/>
    <s v="Inventario de prod. term. y mercad. en Bodega importaciones"/>
    <m/>
    <n v="706.12"/>
    <n v="-706.12"/>
    <x v="3"/>
    <n v="1328630.21"/>
    <s v="-706.12"/>
    <s v="jcortiz"/>
    <n v="0"/>
    <m/>
    <m/>
    <m/>
    <m/>
    <m/>
  </r>
  <r>
    <x v="0"/>
    <x v="0"/>
    <d v="2022-11-22T00:00:00"/>
    <d v="2022-11-22T00:00:00"/>
    <s v="FE001"/>
    <s v="NE 100015784"/>
    <n v="108987"/>
    <s v="Entregas - CN1722882634001"/>
    <m/>
    <s v="QUITO"/>
    <n v="51010101"/>
    <s v="Costo de ventas Quito"/>
    <m/>
    <n v="7977.43"/>
    <n v="-7977.43"/>
    <x v="1"/>
    <n v="1320652.78"/>
    <s v="-7977.43"/>
    <s v="jcortiz"/>
    <n v="0"/>
    <m/>
    <s v="QUITO-PICHINCHA"/>
    <m/>
    <m/>
    <m/>
  </r>
  <r>
    <x v="0"/>
    <x v="0"/>
    <d v="2022-11-22T00:00:00"/>
    <d v="2022-11-22T00:00:00"/>
    <s v="FE001"/>
    <s v="NE 100015785"/>
    <n v="108988"/>
    <s v="Entregas - CN1722882634001"/>
    <m/>
    <s v="QUITO"/>
    <n v="51010101"/>
    <s v="Costo de ventas Quito"/>
    <m/>
    <n v="785.8"/>
    <n v="-785.8"/>
    <x v="1"/>
    <n v="1319866.98"/>
    <s v="-785.80"/>
    <s v="jcortiz"/>
    <n v="0"/>
    <m/>
    <s v="QUITO-PICHINCHA"/>
    <m/>
    <m/>
    <m/>
  </r>
  <r>
    <x v="0"/>
    <x v="0"/>
    <d v="2022-11-22T00:00:00"/>
    <d v="2022-11-22T00:00:00"/>
    <s v="FE001"/>
    <s v="NE 100015786"/>
    <n v="108989"/>
    <s v="Entregas - CN1722882634001"/>
    <m/>
    <s v="QUITO"/>
    <n v="51010101"/>
    <s v="Costo de ventas Quito"/>
    <m/>
    <n v="121.58"/>
    <n v="-121.58"/>
    <x v="1"/>
    <n v="1319745.3999999999"/>
    <s v="-121.58"/>
    <s v="jcortiz"/>
    <n v="0"/>
    <m/>
    <s v="QUITO-PICHINCHA"/>
    <m/>
    <m/>
    <m/>
  </r>
  <r>
    <x v="0"/>
    <x v="0"/>
    <d v="2022-11-22T00:00:00"/>
    <d v="2022-11-22T00:00:00"/>
    <s v="FE001"/>
    <s v="NE 100015788"/>
    <n v="108991"/>
    <s v="Entregas - CN1722882634001"/>
    <m/>
    <s v="QUITO"/>
    <n v="51010101"/>
    <s v="Costo de ventas Quito"/>
    <m/>
    <n v="2335.7800000000002"/>
    <n v="-2335.7800000000002"/>
    <x v="1"/>
    <n v="1317409.6200000001"/>
    <s v="-2335.78"/>
    <s v="jcortiz"/>
    <n v="0"/>
    <m/>
    <s v="QUITO-PICHINCHA"/>
    <m/>
    <m/>
    <m/>
  </r>
  <r>
    <x v="0"/>
    <x v="0"/>
    <d v="2022-11-22T00:00:00"/>
    <d v="2022-11-22T00:00:00"/>
    <s v="FE001"/>
    <s v="NE 100015789"/>
    <n v="108992"/>
    <s v="Entregas - CN1722882634001"/>
    <m/>
    <s v="QUITO"/>
    <n v="51010101"/>
    <s v="Costo de ventas Quito"/>
    <m/>
    <n v="119"/>
    <n v="-119"/>
    <x v="1"/>
    <n v="1317290.6200000001"/>
    <s v="-119.00"/>
    <s v="jcortiz"/>
    <n v="0"/>
    <m/>
    <s v="QUITO-PICHINCHA"/>
    <m/>
    <m/>
    <m/>
  </r>
  <r>
    <x v="0"/>
    <x v="0"/>
    <d v="2022-11-22T00:00:00"/>
    <d v="2022-11-22T00:00:00"/>
    <s v="FE001"/>
    <s v="NE 100015790"/>
    <n v="108993"/>
    <s v="Entregas - CN0101692655001"/>
    <m/>
    <s v="QUITO"/>
    <n v="51010101"/>
    <s v="Costo de ventas Quito"/>
    <m/>
    <n v="179.7"/>
    <n v="-179.7"/>
    <x v="1"/>
    <n v="1317110.92"/>
    <s v="-179.70"/>
    <s v="jcortiz"/>
    <n v="0"/>
    <m/>
    <s v="QUITO-PICHINCHA"/>
    <m/>
    <m/>
    <m/>
  </r>
  <r>
    <x v="0"/>
    <x v="0"/>
    <d v="2022-11-22T00:00:00"/>
    <d v="2022-11-22T00:00:00"/>
    <s v="FE001"/>
    <s v="IM 100003411"/>
    <n v="108994"/>
    <s v="Traslados - CN1792079160001"/>
    <m/>
    <m/>
    <n v="101060402"/>
    <s v="Inventario de prod. term. y mercad. en Bodega BULLSYPPLY Coca"/>
    <n v="1072.95"/>
    <m/>
    <n v="1072.95"/>
    <x v="3"/>
    <n v="1318183.8700000001"/>
    <s v="1072.95"/>
    <s v="ancueva"/>
    <n v="0"/>
    <m/>
    <m/>
    <m/>
    <m/>
    <m/>
  </r>
  <r>
    <x v="0"/>
    <x v="0"/>
    <d v="2022-11-22T00:00:00"/>
    <d v="2022-11-22T00:00:00"/>
    <s v="Primario"/>
    <s v="EP 6410"/>
    <n v="108995"/>
    <s v="Pedido de entrada de mercancías - PN1791834399001"/>
    <m/>
    <m/>
    <n v="201040506"/>
    <s v="Facturas por Confirmar"/>
    <n v="1839.23"/>
    <m/>
    <n v="1839.23"/>
    <x v="2"/>
    <n v="1320023.1000000001"/>
    <s v="1839.23"/>
    <s v="jcortiz"/>
    <n v="0"/>
    <m/>
    <m/>
    <m/>
    <m/>
    <m/>
  </r>
  <r>
    <x v="0"/>
    <x v="0"/>
    <d v="2022-11-22T00:00:00"/>
    <d v="2022-11-22T00:00:00"/>
    <s v="Primario"/>
    <s v="EP 6411"/>
    <n v="108996"/>
    <s v="Pedido de entrada de mercancías - PN1791834399001"/>
    <m/>
    <m/>
    <n v="201040506"/>
    <s v="Facturas por Confirmar"/>
    <n v="408"/>
    <m/>
    <n v="408"/>
    <x v="2"/>
    <n v="1320431.1000000001"/>
    <s v="408.00"/>
    <s v="jcortiz"/>
    <n v="0"/>
    <m/>
    <m/>
    <m/>
    <m/>
    <m/>
  </r>
  <r>
    <x v="0"/>
    <x v="0"/>
    <d v="2022-11-22T00:00:00"/>
    <d v="2022-11-22T00:00:00"/>
    <s v="Primario"/>
    <s v="EP 6412"/>
    <n v="108997"/>
    <s v="Pedido de entrada de mercancías - PN1791834399001"/>
    <m/>
    <m/>
    <n v="201040506"/>
    <s v="Facturas por Confirmar"/>
    <n v="497.25"/>
    <m/>
    <n v="497.25"/>
    <x v="2"/>
    <n v="1320928.3500000001"/>
    <s v="497.25"/>
    <s v="jcortiz"/>
    <n v="0"/>
    <m/>
    <m/>
    <m/>
    <m/>
    <m/>
  </r>
  <r>
    <x v="0"/>
    <x v="0"/>
    <d v="2022-11-22T00:00:00"/>
    <d v="2022-11-22T00:00:00"/>
    <s v="Primario"/>
    <s v="EP 6413"/>
    <n v="108998"/>
    <s v="Pedido de entrada de mercancías - PN1717177495001"/>
    <m/>
    <m/>
    <n v="201040506"/>
    <s v="Facturas por Confirmar"/>
    <n v="415.5"/>
    <m/>
    <n v="415.5"/>
    <x v="2"/>
    <n v="1321343.8500000001"/>
    <s v="415.50"/>
    <s v="jcortiz"/>
    <n v="0"/>
    <m/>
    <m/>
    <m/>
    <m/>
    <m/>
  </r>
  <r>
    <x v="0"/>
    <x v="0"/>
    <d v="2022-11-22T00:00:00"/>
    <d v="2022-11-22T00:00:00"/>
    <s v="FE001"/>
    <s v="NE 100015791"/>
    <n v="108999"/>
    <s v="Entregas - CN1791263308001"/>
    <m/>
    <s v="QUITO"/>
    <n v="51010101"/>
    <s v="Costo de ventas Quito"/>
    <m/>
    <n v="415.5"/>
    <n v="-415.5"/>
    <x v="1"/>
    <n v="1320928.3500000001"/>
    <s v="-415.50"/>
    <s v="jcortiz"/>
    <n v="0"/>
    <m/>
    <s v="QUITO-PICHINCHA"/>
    <m/>
    <m/>
    <m/>
  </r>
  <r>
    <x v="0"/>
    <x v="0"/>
    <d v="2022-11-22T00:00:00"/>
    <d v="2022-11-22T00:00:00"/>
    <s v="FE001"/>
    <s v="NE 100015792"/>
    <n v="109002"/>
    <s v="Entregas - CN1791263308001"/>
    <m/>
    <s v="QUITO"/>
    <n v="51010101"/>
    <s v="Costo de ventas Quito"/>
    <m/>
    <n v="2512.87"/>
    <n v="-2512.87"/>
    <x v="1"/>
    <n v="1318415.48"/>
    <s v="-2512.87"/>
    <s v="jcortiz"/>
    <n v="0"/>
    <m/>
    <s v="QUITO-PICHINCHA"/>
    <m/>
    <m/>
    <m/>
  </r>
  <r>
    <x v="0"/>
    <x v="0"/>
    <d v="2022-11-22T00:00:00"/>
    <d v="2022-11-22T00:00:00"/>
    <s v="Primario"/>
    <s v="EP 6414"/>
    <n v="109004"/>
    <s v="Pedido de entrada de mercancías - PN1390060757001"/>
    <m/>
    <m/>
    <n v="201040506"/>
    <s v="Facturas por Confirmar"/>
    <n v="1742.72"/>
    <m/>
    <n v="1742.72"/>
    <x v="2"/>
    <n v="1320158.2"/>
    <s v="1742.72"/>
    <s v="jcortiz"/>
    <n v="0"/>
    <m/>
    <m/>
    <m/>
    <m/>
    <m/>
  </r>
  <r>
    <x v="0"/>
    <x v="0"/>
    <d v="2022-11-22T00:00:00"/>
    <d v="2022-11-22T00:00:00"/>
    <s v="FE001"/>
    <s v="NE 100015793"/>
    <n v="109006"/>
    <s v="Entregas - CN1792064082001"/>
    <m/>
    <s v="QUITO"/>
    <n v="51010101"/>
    <s v="Costo de ventas Quito"/>
    <m/>
    <n v="650.98"/>
    <n v="-650.98"/>
    <x v="1"/>
    <n v="1319507.22"/>
    <s v="-650.98"/>
    <s v="ancueva"/>
    <n v="0"/>
    <m/>
    <s v="QUITO-PICHINCHA"/>
    <m/>
    <m/>
    <m/>
  </r>
  <r>
    <x v="0"/>
    <x v="0"/>
    <d v="2022-11-22T00:00:00"/>
    <d v="2022-11-22T00:00:00"/>
    <s v="FE001"/>
    <s v="NE 100015794"/>
    <n v="109015"/>
    <s v="Entregas - CN1707925168001"/>
    <m/>
    <s v="QUITO"/>
    <n v="51010101"/>
    <s v="Costo de ventas Quito"/>
    <m/>
    <n v="478.55"/>
    <n v="-478.55"/>
    <x v="1"/>
    <n v="1319028.67"/>
    <s v="-478.55"/>
    <s v="jcortiz"/>
    <n v="0"/>
    <m/>
    <s v="QUITO-PICHINCHA"/>
    <m/>
    <m/>
    <m/>
  </r>
  <r>
    <x v="0"/>
    <x v="0"/>
    <d v="2022-11-22T00:00:00"/>
    <d v="2022-11-22T00:00:00"/>
    <s v="FE001"/>
    <s v="NE 100015795"/>
    <n v="109017"/>
    <s v="Entregas - CN1707925168001"/>
    <m/>
    <s v="QUITO"/>
    <n v="51010101"/>
    <s v="Costo de ventas Quito"/>
    <m/>
    <n v="212.38"/>
    <n v="-212.38"/>
    <x v="1"/>
    <n v="1318816.29"/>
    <s v="-212.38"/>
    <s v="jcortiz"/>
    <n v="0"/>
    <m/>
    <s v="QUITO-PICHINCHA"/>
    <m/>
    <m/>
    <m/>
  </r>
  <r>
    <x v="0"/>
    <x v="0"/>
    <d v="2022-11-22T00:00:00"/>
    <d v="2022-11-22T00:00:00"/>
    <s v="FE001"/>
    <s v="NE 100015796"/>
    <n v="109021"/>
    <s v="Entregas - CN1790749509001"/>
    <m/>
    <s v="QUITO"/>
    <n v="51010101"/>
    <s v="Costo de ventas Quito"/>
    <m/>
    <n v="924.62"/>
    <n v="-924.62"/>
    <x v="1"/>
    <n v="1317891.67"/>
    <s v="-924.62"/>
    <s v="jcortiz"/>
    <n v="0"/>
    <m/>
    <s v="QUITO-PICHINCHA"/>
    <m/>
    <m/>
    <m/>
  </r>
  <r>
    <x v="0"/>
    <x v="0"/>
    <d v="2022-11-22T00:00:00"/>
    <d v="2022-11-22T00:00:00"/>
    <s v="FE001"/>
    <s v="NE 100015797"/>
    <n v="109023"/>
    <s v="Entregas - CN1792367107001"/>
    <m/>
    <s v="QUITO"/>
    <n v="51010101"/>
    <s v="Costo de ventas Quito"/>
    <m/>
    <n v="403.6"/>
    <n v="-403.6"/>
    <x v="1"/>
    <n v="1317488.07"/>
    <s v="-403.60"/>
    <s v="jcortiz"/>
    <n v="0"/>
    <m/>
    <s v="QUITO-PICHINCHA"/>
    <m/>
    <m/>
    <m/>
  </r>
  <r>
    <x v="0"/>
    <x v="0"/>
    <d v="2022-11-22T00:00:00"/>
    <d v="2022-11-22T00:00:00"/>
    <s v="Primario"/>
    <s v="EP 6416"/>
    <n v="109028"/>
    <s v="Pedido de entrada de mercancías - PN1791834399001"/>
    <m/>
    <m/>
    <n v="201040506"/>
    <s v="Facturas por Confirmar"/>
    <n v="10.54"/>
    <m/>
    <n v="10.54"/>
    <x v="2"/>
    <n v="1317498.6100000001"/>
    <s v="10.54"/>
    <s v="jcortiz"/>
    <n v="0"/>
    <m/>
    <m/>
    <m/>
    <m/>
    <m/>
  </r>
  <r>
    <x v="0"/>
    <x v="0"/>
    <d v="2022-11-22T00:00:00"/>
    <d v="2022-11-22T00:00:00"/>
    <s v="FE001"/>
    <s v="IM 100003412"/>
    <n v="109029"/>
    <s v="Traslados - CN1792079160001"/>
    <m/>
    <m/>
    <n v="101060402"/>
    <s v="Inventario de prod. term. y mercad. en Bodega BULLSYPPLY Coca"/>
    <m/>
    <n v="10.54"/>
    <n v="-10.54"/>
    <x v="3"/>
    <n v="1317488.07"/>
    <s v="-10.54"/>
    <s v="jcortiz"/>
    <n v="0"/>
    <m/>
    <m/>
    <m/>
    <m/>
    <m/>
  </r>
  <r>
    <x v="0"/>
    <x v="0"/>
    <d v="2022-11-22T00:00:00"/>
    <d v="2022-11-22T00:00:00"/>
    <s v="FE001"/>
    <s v="IM 100003413"/>
    <n v="109030"/>
    <s v="Traslados - CN1792079160001"/>
    <m/>
    <m/>
    <n v="101060408"/>
    <s v="Inventario de prod. term. y mercad. en Bodega importaciones"/>
    <n v="32397.759999999998"/>
    <m/>
    <n v="32397.759999999998"/>
    <x v="3"/>
    <n v="1349885.83"/>
    <s v="32397.76"/>
    <s v="jcortiz"/>
    <n v="0"/>
    <m/>
    <m/>
    <m/>
    <m/>
    <m/>
  </r>
  <r>
    <x v="0"/>
    <x v="0"/>
    <d v="2022-11-22T00:00:00"/>
    <d v="2022-11-22T00:00:00"/>
    <s v="FE001"/>
    <s v="IM 100003414"/>
    <n v="109031"/>
    <s v="Traslados -"/>
    <m/>
    <m/>
    <n v="101060402"/>
    <s v="Inventario de prod. term. y mercad. en Bodega BULLSYPPLY Coca"/>
    <m/>
    <n v="32397.759999999998"/>
    <n v="-32397.759999999998"/>
    <x v="3"/>
    <n v="1317488.07"/>
    <s v="-32397.76"/>
    <s v="jcortiz"/>
    <n v="0"/>
    <m/>
    <m/>
    <m/>
    <m/>
    <m/>
  </r>
  <r>
    <x v="0"/>
    <x v="0"/>
    <d v="2022-11-22T00:00:00"/>
    <d v="2022-11-22T00:00:00"/>
    <s v="FE001"/>
    <s v="RC 100000676"/>
    <n v="109035"/>
    <s v="Notas de crédito clientes - CN1791263308001"/>
    <m/>
    <s v="QUITO"/>
    <s v="CN1791263308001"/>
    <s v="SERTECPET S.A."/>
    <n v="22.61"/>
    <m/>
    <n v="22.61"/>
    <x v="4"/>
    <n v="1317510.68"/>
    <s v="22.61"/>
    <s v="gcali"/>
    <n v="0"/>
    <m/>
    <s v="QUITO-PICHINCHA"/>
    <m/>
    <m/>
    <m/>
  </r>
  <r>
    <x v="0"/>
    <x v="0"/>
    <d v="2022-11-23T00:00:00"/>
    <d v="2022-11-23T00:00:00"/>
    <s v="Primario"/>
    <s v="EM 1730"/>
    <n v="109037"/>
    <s v="Entrada de mercancías"/>
    <m/>
    <m/>
    <n v="51010103"/>
    <s v="Costo por Revalorización de Inventario"/>
    <n v="10.050000000000001"/>
    <m/>
    <n v="10.050000000000001"/>
    <x v="7"/>
    <n v="1317520.73"/>
    <s v="10.05"/>
    <s v="jcortiz"/>
    <n v="0"/>
    <m/>
    <m/>
    <m/>
    <m/>
    <m/>
  </r>
  <r>
    <x v="0"/>
    <x v="0"/>
    <d v="2022-11-23T00:00:00"/>
    <d v="2022-11-23T00:00:00"/>
    <s v="FE001"/>
    <s v="NE 100015798"/>
    <n v="109038"/>
    <s v="Entregas - CN1714787163001"/>
    <m/>
    <s v="QUITO"/>
    <n v="51010101"/>
    <s v="Costo de ventas Quito"/>
    <m/>
    <n v="11.39"/>
    <n v="-11.39"/>
    <x v="1"/>
    <n v="1317509.3400000001"/>
    <s v="-11.39"/>
    <s v="jcortiz"/>
    <n v="0"/>
    <m/>
    <s v="QUITO-PICHINCHA"/>
    <m/>
    <m/>
    <m/>
  </r>
  <r>
    <x v="0"/>
    <x v="0"/>
    <d v="2022-11-23T00:00:00"/>
    <d v="2022-11-23T00:00:00"/>
    <s v="FE001"/>
    <s v="NE 100015799"/>
    <n v="109039"/>
    <s v="Entregas - CN1714787163001"/>
    <m/>
    <s v="QUITO"/>
    <n v="51010101"/>
    <s v="Costo de ventas Quito"/>
    <m/>
    <n v="145.86000000000001"/>
    <n v="-145.86000000000001"/>
    <x v="1"/>
    <n v="1317363.48"/>
    <s v="-145.86"/>
    <s v="jcortiz"/>
    <n v="0"/>
    <m/>
    <s v="QUITO-PICHINCHA"/>
    <m/>
    <m/>
    <m/>
  </r>
  <r>
    <x v="0"/>
    <x v="0"/>
    <d v="2022-11-23T00:00:00"/>
    <d v="2022-11-23T00:00:00"/>
    <s v="FE001"/>
    <s v="IM 100003415"/>
    <n v="109047"/>
    <s v="Traslados - CN1792079160001"/>
    <m/>
    <m/>
    <n v="101060402"/>
    <s v="Inventario de prod. term. y mercad. en Bodega BULLSYPPLY Coca"/>
    <m/>
    <n v="1144.55"/>
    <n v="-1144.55"/>
    <x v="3"/>
    <n v="1316218.93"/>
    <s v="-1144.55"/>
    <s v="jcortiz"/>
    <n v="0"/>
    <m/>
    <m/>
    <m/>
    <m/>
    <m/>
  </r>
  <r>
    <x v="0"/>
    <x v="0"/>
    <d v="2022-11-23T00:00:00"/>
    <d v="2022-11-23T00:00:00"/>
    <s v="FE001"/>
    <s v="NE 100015801"/>
    <n v="109048"/>
    <s v="Entregas - CN1708725765001"/>
    <m/>
    <s v="QUITO"/>
    <n v="51010101"/>
    <s v="Costo de ventas Quito"/>
    <m/>
    <n v="40.99"/>
    <n v="-40.99"/>
    <x v="1"/>
    <n v="1316177.94"/>
    <s v="-40.99"/>
    <s v="jcortiz"/>
    <n v="0"/>
    <m/>
    <s v="QUITO-PICHINCHA"/>
    <m/>
    <m/>
    <m/>
  </r>
  <r>
    <x v="0"/>
    <x v="0"/>
    <d v="2022-11-23T00:00:00"/>
    <d v="2022-11-23T00:00:00"/>
    <s v="FE001"/>
    <s v="NE 100015803"/>
    <n v="109054"/>
    <s v="Entregas - CN1791263308001"/>
    <m/>
    <s v="QUITO"/>
    <n v="51010101"/>
    <s v="Costo de ventas Quito"/>
    <m/>
    <n v="313.69"/>
    <n v="-313.69"/>
    <x v="1"/>
    <n v="1315864.25"/>
    <s v="-313.69"/>
    <s v="jcortiz"/>
    <n v="0"/>
    <m/>
    <s v="QUITO-PICHINCHA"/>
    <m/>
    <m/>
    <m/>
  </r>
  <r>
    <x v="0"/>
    <x v="0"/>
    <d v="2022-11-23T00:00:00"/>
    <d v="2022-11-23T00:00:00"/>
    <s v="Primario"/>
    <s v="EP 6417"/>
    <n v="109055"/>
    <s v="Pedido de entrada de mercancías - PN1708725765001"/>
    <m/>
    <m/>
    <n v="201040506"/>
    <s v="Facturas por Confirmar"/>
    <n v="453.2"/>
    <m/>
    <n v="453.2"/>
    <x v="2"/>
    <n v="1316317.45"/>
    <s v="453.20"/>
    <s v="jcortiz"/>
    <n v="0"/>
    <m/>
    <m/>
    <m/>
    <m/>
    <m/>
  </r>
  <r>
    <x v="0"/>
    <x v="0"/>
    <d v="2022-11-23T00:00:00"/>
    <d v="2022-11-23T00:00:00"/>
    <s v="FE001"/>
    <s v="NE 100015804"/>
    <n v="109056"/>
    <s v="Entregas - CN1791749146001"/>
    <m/>
    <s v="QUITO"/>
    <n v="51010101"/>
    <s v="Costo de ventas Quito"/>
    <m/>
    <n v="1696.21"/>
    <n v="-1696.21"/>
    <x v="1"/>
    <n v="1314621.24"/>
    <s v="-1696.21"/>
    <s v="jcortiz"/>
    <n v="0"/>
    <m/>
    <s v="QUITO-PICHINCHA"/>
    <m/>
    <m/>
    <m/>
  </r>
  <r>
    <x v="0"/>
    <x v="0"/>
    <d v="2022-11-23T00:00:00"/>
    <d v="2022-11-23T00:00:00"/>
    <s v="Primario"/>
    <s v="EP 6418"/>
    <n v="109057"/>
    <s v="Pedido de entrada de mercancías - PN1792520371001"/>
    <m/>
    <m/>
    <n v="201040506"/>
    <s v="Facturas por Confirmar"/>
    <n v="10.4"/>
    <m/>
    <n v="10.4"/>
    <x v="2"/>
    <n v="1314631.6399999999"/>
    <s v="10.40"/>
    <s v="jcortiz"/>
    <n v="0"/>
    <m/>
    <m/>
    <m/>
    <m/>
    <m/>
  </r>
  <r>
    <x v="0"/>
    <x v="0"/>
    <d v="2022-11-23T00:00:00"/>
    <d v="2022-11-23T00:00:00"/>
    <s v="Primario"/>
    <s v="EP 6419"/>
    <n v="109058"/>
    <s v="Pedido de entrada de mercancías - PN1791834399001"/>
    <m/>
    <m/>
    <n v="201040506"/>
    <s v="Facturas por Confirmar"/>
    <n v="2394.1999999999998"/>
    <m/>
    <n v="2394.1999999999998"/>
    <x v="2"/>
    <n v="1317025.8400000001"/>
    <s v="2394.20"/>
    <s v="jcortiz"/>
    <n v="0"/>
    <m/>
    <m/>
    <m/>
    <m/>
    <m/>
  </r>
  <r>
    <x v="0"/>
    <x v="0"/>
    <d v="2022-11-23T00:00:00"/>
    <d v="2022-11-23T00:00:00"/>
    <s v="FE001"/>
    <s v="IM 100003416"/>
    <n v="109059"/>
    <s v="Traslados - CN1792079160001"/>
    <m/>
    <m/>
    <n v="101060402"/>
    <s v="Inventario de prod. term. y mercad. en Bodega BULLSYPPLY Coca"/>
    <m/>
    <n v="2847.4"/>
    <n v="-2847.4"/>
    <x v="3"/>
    <n v="1314178.44"/>
    <s v="-2847.40"/>
    <s v="jcortiz"/>
    <n v="0"/>
    <m/>
    <m/>
    <m/>
    <m/>
    <m/>
  </r>
  <r>
    <x v="0"/>
    <x v="0"/>
    <d v="2022-11-23T00:00:00"/>
    <d v="2022-11-23T00:00:00"/>
    <s v="Primario"/>
    <s v="EM 1731"/>
    <n v="109061"/>
    <s v="Entrada de mercancías"/>
    <m/>
    <s v="QUITO"/>
    <n v="401030105"/>
    <s v="Otros Ingresos"/>
    <n v="19.260000000000002"/>
    <m/>
    <n v="19.260000000000002"/>
    <x v="5"/>
    <n v="1314197.7"/>
    <s v="19.26"/>
    <s v="jcortiz"/>
    <n v="0"/>
    <m/>
    <s v="QUITO-PICHINCHA"/>
    <m/>
    <m/>
    <m/>
  </r>
  <r>
    <x v="0"/>
    <x v="0"/>
    <d v="2022-11-23T00:00:00"/>
    <d v="2022-11-23T00:00:00"/>
    <s v="FE001"/>
    <s v="NE 100015805"/>
    <n v="109062"/>
    <s v="Entregas - CN1722882634001"/>
    <m/>
    <s v="QUITO"/>
    <n v="51010101"/>
    <s v="Costo de ventas Quito"/>
    <m/>
    <n v="738.87"/>
    <n v="-738.87"/>
    <x v="1"/>
    <n v="1313458.83"/>
    <s v="-738.87"/>
    <s v="jcortiz"/>
    <n v="0"/>
    <m/>
    <s v="QUITO-PICHINCHA"/>
    <m/>
    <m/>
    <m/>
  </r>
  <r>
    <x v="0"/>
    <x v="0"/>
    <d v="2022-11-23T00:00:00"/>
    <d v="2022-11-23T00:00:00"/>
    <s v="FE001"/>
    <s v="NE 100015806"/>
    <n v="109063"/>
    <s v="Entregas - CN1714787163001"/>
    <m/>
    <s v="QUITO"/>
    <n v="51010101"/>
    <s v="Costo de ventas Quito"/>
    <m/>
    <n v="192.46"/>
    <n v="-192.46"/>
    <x v="1"/>
    <n v="1313266.3700000001"/>
    <s v="-192.46"/>
    <s v="jcortiz"/>
    <n v="0"/>
    <m/>
    <s v="QUITO-PICHINCHA"/>
    <m/>
    <m/>
    <m/>
  </r>
  <r>
    <x v="0"/>
    <x v="0"/>
    <d v="2022-11-23T00:00:00"/>
    <d v="2022-11-23T00:00:00"/>
    <s v="FE001"/>
    <s v="NE 100015807"/>
    <n v="109067"/>
    <s v="Entregas - CN1710196104001"/>
    <m/>
    <s v="QUITO"/>
    <n v="51010101"/>
    <s v="Costo de ventas Quito"/>
    <m/>
    <n v="251.68"/>
    <n v="-251.68"/>
    <x v="1"/>
    <n v="1313014.69"/>
    <s v="-251.68"/>
    <s v="jcortiz"/>
    <n v="0"/>
    <m/>
    <s v="QUITO-PICHINCHA"/>
    <m/>
    <m/>
    <m/>
  </r>
  <r>
    <x v="0"/>
    <x v="0"/>
    <d v="2022-11-23T00:00:00"/>
    <d v="2022-11-23T00:00:00"/>
    <s v="FE001"/>
    <s v="NE 100015808"/>
    <n v="109068"/>
    <s v="Entregas - CN0501974331001"/>
    <m/>
    <s v="QUITO"/>
    <n v="51010101"/>
    <s v="Costo de ventas Quito"/>
    <m/>
    <n v="98.22"/>
    <n v="-98.22"/>
    <x v="1"/>
    <n v="1312916.47"/>
    <s v="-98.22"/>
    <s v="jcortiz"/>
    <n v="0"/>
    <m/>
    <s v="QUITO-PICHINCHA"/>
    <m/>
    <m/>
    <m/>
  </r>
  <r>
    <x v="0"/>
    <x v="0"/>
    <d v="2022-11-23T00:00:00"/>
    <d v="2022-11-23T00:00:00"/>
    <s v="FE001"/>
    <s v="NE 100015809"/>
    <n v="109070"/>
    <s v="Entregas - CN1791263308001"/>
    <m/>
    <s v="QUITO"/>
    <n v="51010101"/>
    <s v="Costo de ventas Quito"/>
    <m/>
    <n v="22.61"/>
    <n v="-22.61"/>
    <x v="1"/>
    <n v="1312893.8600000001"/>
    <s v="-22.61"/>
    <s v="jcortiz"/>
    <n v="0"/>
    <m/>
    <s v="QUITO-PICHINCHA"/>
    <m/>
    <m/>
    <m/>
  </r>
  <r>
    <x v="0"/>
    <x v="0"/>
    <d v="2022-11-23T00:00:00"/>
    <d v="2022-11-23T00:00:00"/>
    <s v="Primario"/>
    <s v="EP 6420"/>
    <n v="109071"/>
    <s v="Pedido de entrada de mercancías - PN1711878445001"/>
    <m/>
    <m/>
    <n v="201040506"/>
    <s v="Facturas por Confirmar"/>
    <n v="197"/>
    <m/>
    <n v="197"/>
    <x v="2"/>
    <n v="1313090.8600000001"/>
    <s v="197.00"/>
    <s v="jcortiz"/>
    <n v="0"/>
    <m/>
    <m/>
    <m/>
    <m/>
    <m/>
  </r>
  <r>
    <x v="0"/>
    <x v="0"/>
    <d v="2022-11-23T00:00:00"/>
    <d v="2022-11-23T00:00:00"/>
    <s v="FE001"/>
    <s v="NE 100015810"/>
    <n v="109072"/>
    <s v="Entregas - CN1791263308001"/>
    <m/>
    <s v="QUITO"/>
    <n v="51010101"/>
    <s v="Costo de ventas Quito"/>
    <m/>
    <n v="98.5"/>
    <n v="-98.5"/>
    <x v="1"/>
    <n v="1312992.3600000001"/>
    <s v="-98.50"/>
    <s v="jcortiz"/>
    <n v="0"/>
    <m/>
    <s v="QUITO-PICHINCHA"/>
    <m/>
    <m/>
    <m/>
  </r>
  <r>
    <x v="0"/>
    <x v="0"/>
    <d v="2022-11-23T00:00:00"/>
    <d v="2022-11-23T00:00:00"/>
    <s v="FE001"/>
    <s v="NE 100015811"/>
    <n v="109073"/>
    <s v="Entregas - CN1791263308001"/>
    <m/>
    <s v="QUITO"/>
    <n v="51010101"/>
    <s v="Costo de ventas Quito"/>
    <m/>
    <n v="98.5"/>
    <n v="-98.5"/>
    <x v="1"/>
    <n v="1312893.8600000001"/>
    <s v="-98.50"/>
    <s v="jcortiz"/>
    <n v="0"/>
    <m/>
    <s v="QUITO-PICHINCHA"/>
    <m/>
    <m/>
    <m/>
  </r>
  <r>
    <x v="0"/>
    <x v="0"/>
    <d v="2022-11-23T00:00:00"/>
    <d v="2022-11-23T00:00:00"/>
    <s v="FE001"/>
    <s v="NE 100015812"/>
    <n v="109074"/>
    <s v="Entregas - CN1792375029001"/>
    <m/>
    <s v="QUITO"/>
    <n v="51010101"/>
    <s v="Costo de ventas Quito"/>
    <m/>
    <n v="23.66"/>
    <n v="-23.66"/>
    <x v="1"/>
    <n v="1312870.2"/>
    <s v="-23.66"/>
    <s v="jcortiz"/>
    <n v="0"/>
    <m/>
    <s v="QUITO-PICHINCHA"/>
    <m/>
    <m/>
    <m/>
  </r>
  <r>
    <x v="0"/>
    <x v="0"/>
    <d v="2022-11-23T00:00:00"/>
    <d v="2022-11-23T00:00:00"/>
    <s v="FE001"/>
    <s v="NE 100015813"/>
    <n v="109085"/>
    <s v="Entregas - CN1102853817001"/>
    <m/>
    <s v="QUITO"/>
    <n v="51010101"/>
    <s v="Costo de ventas Quito"/>
    <m/>
    <n v="92.78"/>
    <n v="-92.78"/>
    <x v="1"/>
    <n v="1312777.42"/>
    <s v="-92.78"/>
    <s v="jcortiz"/>
    <n v="0"/>
    <m/>
    <s v="QUITO-PICHINCHA"/>
    <m/>
    <m/>
    <m/>
  </r>
  <r>
    <x v="0"/>
    <x v="0"/>
    <d v="2022-11-23T00:00:00"/>
    <d v="2022-11-23T00:00:00"/>
    <s v="FE001"/>
    <s v="IM 100003417"/>
    <n v="109094"/>
    <s v="Traslados - CN1792079160001"/>
    <m/>
    <m/>
    <n v="101060402"/>
    <s v="Inventario de prod. term. y mercad. en Bodega BULLSYPPLY Coca"/>
    <n v="88.92"/>
    <m/>
    <n v="88.92"/>
    <x v="3"/>
    <n v="1312866.3400000001"/>
    <s v="88.92"/>
    <s v="ancueva"/>
    <n v="0"/>
    <m/>
    <m/>
    <m/>
    <m/>
    <m/>
  </r>
  <r>
    <x v="0"/>
    <x v="0"/>
    <d v="2022-11-23T00:00:00"/>
    <d v="2022-11-23T00:00:00"/>
    <s v="FE001"/>
    <s v="NE 100015817"/>
    <n v="109102"/>
    <s v="Entregas - CN1802461440001"/>
    <m/>
    <s v="QUITO"/>
    <n v="51010101"/>
    <s v="Costo de ventas Quito"/>
    <m/>
    <n v="226.89"/>
    <n v="-226.89"/>
    <x v="1"/>
    <n v="1312639.45"/>
    <s v="-226.89"/>
    <s v="jcortiz"/>
    <n v="0"/>
    <m/>
    <s v="QUITO-PICHINCHA"/>
    <m/>
    <m/>
    <m/>
  </r>
  <r>
    <x v="0"/>
    <x v="0"/>
    <d v="2022-11-23T00:00:00"/>
    <d v="2022-11-23T00:00:00"/>
    <s v="FE001"/>
    <s v="NE 100015818"/>
    <n v="109110"/>
    <s v="Entregas - CN1714787163001"/>
    <m/>
    <s v="QUITO"/>
    <n v="51010101"/>
    <s v="Costo de ventas Quito"/>
    <m/>
    <n v="16.760000000000002"/>
    <n v="-16.760000000000002"/>
    <x v="1"/>
    <n v="1312622.69"/>
    <s v="-16.76"/>
    <s v="jcortiz"/>
    <n v="0"/>
    <m/>
    <s v="QUITO-PICHINCHA"/>
    <m/>
    <m/>
    <m/>
  </r>
  <r>
    <x v="0"/>
    <x v="0"/>
    <d v="2022-11-24T00:00:00"/>
    <d v="2022-11-24T00:00:00"/>
    <s v="FE001"/>
    <s v="NE 100015820"/>
    <n v="109114"/>
    <s v="Entregas - CN1792367107001"/>
    <m/>
    <s v="QUITO"/>
    <n v="51010101"/>
    <s v="Costo de ventas Quito"/>
    <m/>
    <n v="61.05"/>
    <n v="-61.05"/>
    <x v="1"/>
    <n v="1312561.6399999999"/>
    <s v="-61.05"/>
    <s v="jcortiz"/>
    <n v="0"/>
    <m/>
    <s v="QUITO-PICHINCHA"/>
    <m/>
    <m/>
    <m/>
  </r>
  <r>
    <x v="0"/>
    <x v="0"/>
    <d v="2022-11-24T00:00:00"/>
    <d v="2022-11-24T00:00:00"/>
    <s v="FE001"/>
    <s v="NE 100015822"/>
    <n v="109134"/>
    <s v="Entregas - CN1791834399001"/>
    <m/>
    <s v="QUITO"/>
    <n v="51010101"/>
    <s v="Costo de ventas Quito"/>
    <m/>
    <n v="159.07"/>
    <n v="-159.07"/>
    <x v="1"/>
    <n v="1312402.57"/>
    <s v="-159.07"/>
    <s v="jcortiz"/>
    <n v="0"/>
    <m/>
    <s v="QUITO-PICHINCHA"/>
    <m/>
    <m/>
    <m/>
  </r>
  <r>
    <x v="0"/>
    <x v="0"/>
    <d v="2022-11-24T00:00:00"/>
    <d v="2022-11-24T00:00:00"/>
    <s v="FE001"/>
    <s v="NE 100015824"/>
    <n v="109140"/>
    <s v="Entregas - CN1791769937001"/>
    <m/>
    <s v="QUITO"/>
    <n v="51010101"/>
    <s v="Costo de ventas Quito"/>
    <m/>
    <n v="5.85"/>
    <n v="-5.85"/>
    <x v="1"/>
    <n v="1312396.72"/>
    <s v="-5.85"/>
    <s v="jcortiz"/>
    <n v="0"/>
    <m/>
    <s v="QUITO-PICHINCHA"/>
    <m/>
    <m/>
    <m/>
  </r>
  <r>
    <x v="0"/>
    <x v="0"/>
    <d v="2022-11-24T00:00:00"/>
    <d v="2022-11-24T00:00:00"/>
    <s v="FE001"/>
    <s v="NE 100015825"/>
    <n v="109146"/>
    <s v="Entregas - CN0992388420001"/>
    <m/>
    <s v="QUITO"/>
    <n v="51010101"/>
    <s v="Costo de ventas Quito"/>
    <m/>
    <n v="17.78"/>
    <n v="-17.78"/>
    <x v="1"/>
    <n v="1312378.94"/>
    <s v="-17.78"/>
    <s v="jcortiz"/>
    <n v="0"/>
    <m/>
    <s v="QUITO-PICHINCHA"/>
    <m/>
    <m/>
    <m/>
  </r>
  <r>
    <x v="0"/>
    <x v="0"/>
    <d v="2022-11-24T00:00:00"/>
    <d v="2022-11-24T00:00:00"/>
    <s v="FE001"/>
    <s v="NE 100015826"/>
    <n v="109156"/>
    <s v="Entregas - CN1714787163001"/>
    <m/>
    <s v="QUITO"/>
    <n v="51010101"/>
    <s v="Costo de ventas Quito"/>
    <m/>
    <n v="26.5"/>
    <n v="-26.5"/>
    <x v="1"/>
    <n v="1312352.44"/>
    <s v="-26.50"/>
    <s v="jcortiz"/>
    <n v="0"/>
    <m/>
    <s v="QUITO-PICHINCHA"/>
    <m/>
    <m/>
    <m/>
  </r>
  <r>
    <x v="0"/>
    <x v="0"/>
    <d v="2022-11-24T00:00:00"/>
    <d v="2022-11-24T00:00:00"/>
    <s v="FE001"/>
    <s v="NE 100015827"/>
    <n v="109160"/>
    <s v="Entregas - CN1708563752001"/>
    <m/>
    <s v="QUITO"/>
    <n v="51010101"/>
    <s v="Costo de ventas Quito"/>
    <m/>
    <n v="9.94"/>
    <n v="-9.94"/>
    <x v="1"/>
    <n v="1312342.5"/>
    <s v="-9.94"/>
    <s v="jcortiz"/>
    <n v="0"/>
    <m/>
    <s v="QUITO-PICHINCHA"/>
    <m/>
    <m/>
    <m/>
  </r>
  <r>
    <x v="0"/>
    <x v="0"/>
    <d v="2022-11-24T00:00:00"/>
    <d v="2022-11-24T00:00:00"/>
    <s v="Primario"/>
    <s v="EP 6421"/>
    <n v="109162"/>
    <s v="Pedido de entrada de mercancías - PN1791834399001"/>
    <m/>
    <m/>
    <n v="201040506"/>
    <s v="Facturas por Confirmar"/>
    <n v="14.79"/>
    <m/>
    <n v="14.79"/>
    <x v="2"/>
    <n v="1312357.29"/>
    <s v="14.79"/>
    <s v="jcortiz"/>
    <n v="0"/>
    <m/>
    <m/>
    <m/>
    <m/>
    <m/>
  </r>
  <r>
    <x v="0"/>
    <x v="0"/>
    <d v="2022-11-24T00:00:00"/>
    <d v="2022-11-24T00:00:00"/>
    <s v="FE001"/>
    <s v="NE 100015828"/>
    <n v="109164"/>
    <s v="Entregas - CN1791263308001"/>
    <m/>
    <s v="QUITO"/>
    <n v="51010101"/>
    <s v="Costo de ventas Quito"/>
    <m/>
    <n v="14.79"/>
    <n v="-14.79"/>
    <x v="1"/>
    <n v="1312342.5"/>
    <s v="-14.79"/>
    <s v="jcortiz"/>
    <n v="0"/>
    <m/>
    <s v="QUITO-PICHINCHA"/>
    <m/>
    <m/>
    <m/>
  </r>
  <r>
    <x v="0"/>
    <x v="0"/>
    <d v="2022-11-24T00:00:00"/>
    <d v="2022-11-24T00:00:00"/>
    <s v="FE001"/>
    <s v="RC 100000677"/>
    <n v="109171"/>
    <s v="Notas de crédito clientes - CN1722882634001"/>
    <m/>
    <s v="QUITO"/>
    <s v="CN1722882634001"/>
    <s v="FLORES LEON SONIA ELIZABETH"/>
    <n v="2335.7800000000002"/>
    <m/>
    <n v="2335.7800000000002"/>
    <x v="4"/>
    <n v="1314678.28"/>
    <s v="2335.78"/>
    <s v="gcali"/>
    <n v="0"/>
    <m/>
    <s v="QUITO-PICHINCHA"/>
    <m/>
    <m/>
    <m/>
  </r>
  <r>
    <x v="0"/>
    <x v="0"/>
    <d v="2022-11-24T00:00:00"/>
    <d v="2022-11-24T00:00:00"/>
    <s v="FE001"/>
    <s v="IM 100003418"/>
    <n v="109176"/>
    <s v="Traslados - CN1792079160001"/>
    <m/>
    <m/>
    <n v="101060402"/>
    <s v="Inventario de prod. term. y mercad. en Bodega BULLSYPPLY Coca"/>
    <m/>
    <n v="122.81"/>
    <n v="-122.81"/>
    <x v="3"/>
    <n v="1314555.47"/>
    <s v="-122.81"/>
    <s v="jcortiz"/>
    <n v="0"/>
    <m/>
    <m/>
    <m/>
    <m/>
    <m/>
  </r>
  <r>
    <x v="0"/>
    <x v="0"/>
    <d v="2022-11-24T00:00:00"/>
    <d v="2022-11-24T00:00:00"/>
    <s v="FE001"/>
    <s v="NE 100015829"/>
    <n v="109179"/>
    <s v="Entregas - CN1792021359001"/>
    <m/>
    <s v="QUITO"/>
    <n v="51010101"/>
    <s v="Costo de ventas Quito"/>
    <m/>
    <n v="2335.7800000000002"/>
    <n v="-2335.7800000000002"/>
    <x v="1"/>
    <n v="1312219.69"/>
    <s v="-2335.78"/>
    <s v="jcortiz"/>
    <n v="0"/>
    <m/>
    <s v="QUITO-PICHINCHA"/>
    <m/>
    <m/>
    <m/>
  </r>
  <r>
    <x v="0"/>
    <x v="0"/>
    <d v="2022-11-24T00:00:00"/>
    <d v="2022-11-24T00:00:00"/>
    <s v="FE001"/>
    <s v="NE 100015830"/>
    <n v="109189"/>
    <s v="Entregas - CN1802461440001"/>
    <m/>
    <s v="QUITO"/>
    <n v="51010101"/>
    <s v="Costo de ventas Quito"/>
    <m/>
    <n v="39.76"/>
    <n v="-39.76"/>
    <x v="1"/>
    <n v="1312179.93"/>
    <s v="-39.76"/>
    <s v="jcortiz"/>
    <n v="0"/>
    <m/>
    <s v="QUITO-PICHINCHA"/>
    <m/>
    <m/>
    <m/>
  </r>
  <r>
    <x v="0"/>
    <x v="0"/>
    <d v="2022-11-24T00:00:00"/>
    <d v="2022-11-24T00:00:00"/>
    <s v="FE001"/>
    <s v="NE 100015831"/>
    <n v="109202"/>
    <s v="Entregas - CN1801252170001"/>
    <m/>
    <s v="QUITO"/>
    <n v="51010101"/>
    <s v="Costo de ventas Quito"/>
    <m/>
    <n v="1660.7"/>
    <n v="-1660.7"/>
    <x v="1"/>
    <n v="1310519.23"/>
    <s v="-1660.70"/>
    <s v="jcortiz"/>
    <n v="0"/>
    <m/>
    <s v="QUITO-PICHINCHA"/>
    <m/>
    <m/>
    <m/>
  </r>
  <r>
    <x v="0"/>
    <x v="0"/>
    <d v="2022-11-24T00:00:00"/>
    <d v="2022-11-24T00:00:00"/>
    <s v="Primario"/>
    <s v="EP 6426"/>
    <n v="109227"/>
    <s v="Pedido de entrada de mercancías - PN1791834399001"/>
    <m/>
    <m/>
    <n v="201040506"/>
    <s v="Facturas por Confirmar"/>
    <n v="126.72"/>
    <m/>
    <n v="126.72"/>
    <x v="2"/>
    <n v="1310645.95"/>
    <s v="126.72"/>
    <s v="jcortiz"/>
    <n v="0"/>
    <m/>
    <m/>
    <m/>
    <m/>
    <m/>
  </r>
  <r>
    <x v="0"/>
    <x v="0"/>
    <d v="2022-11-24T00:00:00"/>
    <d v="2022-11-24T00:00:00"/>
    <s v="Primario"/>
    <s v="EP 6427"/>
    <n v="109228"/>
    <s v="Pedido de entrada de mercancías - PN1791834399001"/>
    <m/>
    <m/>
    <n v="201040506"/>
    <s v="Facturas por Confirmar"/>
    <n v="1200"/>
    <m/>
    <n v="1200"/>
    <x v="2"/>
    <n v="1311845.95"/>
    <s v="1200.00"/>
    <s v="jcortiz"/>
    <n v="0"/>
    <m/>
    <m/>
    <m/>
    <m/>
    <m/>
  </r>
  <r>
    <x v="0"/>
    <x v="0"/>
    <d v="2022-11-24T00:00:00"/>
    <d v="2022-11-24T00:00:00"/>
    <s v="FE001"/>
    <s v="NE 100015834"/>
    <n v="109230"/>
    <s v="Entregas - CN1791768825001"/>
    <m/>
    <s v="QUITO"/>
    <n v="51010101"/>
    <s v="Costo de ventas Quito"/>
    <m/>
    <n v="789.42"/>
    <n v="-789.42"/>
    <x v="1"/>
    <n v="1311056.53"/>
    <s v="-789.42"/>
    <s v="jcortiz"/>
    <n v="0"/>
    <m/>
    <s v="QUITO-PICHINCHA"/>
    <m/>
    <m/>
    <m/>
  </r>
  <r>
    <x v="0"/>
    <x v="0"/>
    <d v="2022-11-24T00:00:00"/>
    <d v="2022-11-24T00:00:00"/>
    <s v="FE001"/>
    <s v="IM 100003419"/>
    <n v="109242"/>
    <s v="Traslados - CN1792079160001"/>
    <m/>
    <m/>
    <n v="101060408"/>
    <s v="Inventario de prod. term. y mercad. en Bodega importaciones"/>
    <n v="50410.79"/>
    <m/>
    <n v="50410.79"/>
    <x v="3"/>
    <n v="1361467.32"/>
    <s v="50410.79"/>
    <s v="jcortiz"/>
    <n v="0"/>
    <m/>
    <m/>
    <m/>
    <m/>
    <m/>
  </r>
  <r>
    <x v="0"/>
    <x v="0"/>
    <d v="2022-11-24T00:00:00"/>
    <d v="2022-11-24T00:00:00"/>
    <s v="Primario"/>
    <s v="EP 6428"/>
    <n v="109243"/>
    <s v="Pedido de entrada de mercancías - PN1708725765001"/>
    <m/>
    <m/>
    <n v="201040506"/>
    <s v="Facturas por Confirmar"/>
    <n v="1942.4"/>
    <m/>
    <n v="1942.4"/>
    <x v="2"/>
    <n v="1363409.72"/>
    <s v="1942.40"/>
    <s v="jcortiz"/>
    <n v="0"/>
    <m/>
    <m/>
    <m/>
    <m/>
    <m/>
  </r>
  <r>
    <x v="0"/>
    <x v="0"/>
    <d v="2022-11-24T00:00:00"/>
    <d v="2022-11-24T00:00:00"/>
    <s v="FE001"/>
    <s v="NE 100015835"/>
    <n v="109246"/>
    <s v="Entregas - CN1791768205001"/>
    <m/>
    <s v="QUITO"/>
    <n v="51010101"/>
    <s v="Costo de ventas Quito"/>
    <m/>
    <n v="108.34"/>
    <n v="-108.34"/>
    <x v="1"/>
    <n v="1363301.38"/>
    <s v="-108.34"/>
    <s v="ancueva"/>
    <n v="0"/>
    <m/>
    <s v="QUITO-PICHINCHA"/>
    <m/>
    <m/>
    <m/>
  </r>
  <r>
    <x v="0"/>
    <x v="0"/>
    <d v="2022-11-24T00:00:00"/>
    <d v="2022-11-24T00:00:00"/>
    <s v="Primario"/>
    <s v="SM 574"/>
    <n v="109247"/>
    <s v="Salida de mercancías"/>
    <m/>
    <s v="QUITO"/>
    <n v="51010101"/>
    <s v="Costo de ventas Quito"/>
    <m/>
    <n v="258.94"/>
    <n v="-258.94"/>
    <x v="1"/>
    <n v="1363042.44"/>
    <s v="-258.94"/>
    <s v="jcortiz"/>
    <n v="0"/>
    <m/>
    <s v="QUITO-PICHINCHA"/>
    <m/>
    <m/>
    <m/>
  </r>
  <r>
    <x v="0"/>
    <x v="0"/>
    <d v="2022-11-24T00:00:00"/>
    <d v="2022-11-24T00:00:00"/>
    <s v="Primario"/>
    <s v="EM 1732"/>
    <n v="109248"/>
    <s v="Entrada de mercancías"/>
    <m/>
    <s v="QUITO"/>
    <n v="401030105"/>
    <s v="Otros Ingresos"/>
    <n v="293.99"/>
    <m/>
    <n v="293.99"/>
    <x v="5"/>
    <n v="1363336.43"/>
    <s v="293.99"/>
    <s v="jcortiz"/>
    <n v="0"/>
    <m/>
    <s v="QUITO-PICHINCHA"/>
    <m/>
    <m/>
    <m/>
  </r>
  <r>
    <x v="0"/>
    <x v="0"/>
    <d v="2022-11-24T00:00:00"/>
    <d v="2022-11-24T00:00:00"/>
    <s v="FE001"/>
    <s v="IM 100003420"/>
    <n v="109249"/>
    <s v="Traslados - CN1792079160001"/>
    <m/>
    <m/>
    <n v="101060402"/>
    <s v="Inventario de prod. term. y mercad. en Bodega BULLSYPPLY Coca"/>
    <m/>
    <n v="293.99"/>
    <n v="-293.99"/>
    <x v="3"/>
    <n v="1363042.44"/>
    <s v="-293.99"/>
    <s v="jcortiz"/>
    <n v="0"/>
    <m/>
    <m/>
    <m/>
    <m/>
    <m/>
  </r>
  <r>
    <x v="0"/>
    <x v="0"/>
    <d v="2022-11-24T00:00:00"/>
    <d v="2022-11-24T00:00:00"/>
    <s v="Anula"/>
    <s v="EP 200444"/>
    <n v="109251"/>
    <s v="Pedido de entrada de mercancías - Cancelación - PN"/>
    <m/>
    <m/>
    <n v="201040506"/>
    <s v="Facturas por Confirmar"/>
    <m/>
    <n v="1200"/>
    <n v="-1200"/>
    <x v="2"/>
    <n v="1361842.44"/>
    <s v="-1200.00"/>
    <s v="jcortiz"/>
    <n v="0"/>
    <m/>
    <m/>
    <m/>
    <m/>
    <m/>
  </r>
  <r>
    <x v="0"/>
    <x v="0"/>
    <d v="2022-11-24T00:00:00"/>
    <d v="2022-11-24T00:00:00"/>
    <s v="Primario"/>
    <s v="EP 6429"/>
    <n v="109255"/>
    <s v="Pedido de entrada de mercancías - PN1791834399001"/>
    <m/>
    <m/>
    <n v="201040506"/>
    <s v="Facturas por Confirmar"/>
    <n v="1200"/>
    <m/>
    <n v="1200"/>
    <x v="2"/>
    <n v="1363042.44"/>
    <s v="1200.00"/>
    <s v="jcortiz"/>
    <n v="0"/>
    <m/>
    <m/>
    <m/>
    <m/>
    <m/>
  </r>
  <r>
    <x v="0"/>
    <x v="0"/>
    <d v="2022-11-24T00:00:00"/>
    <d v="2022-11-24T00:00:00"/>
    <s v="FE001"/>
    <s v="NE 100015836"/>
    <n v="109258"/>
    <s v="Entregas - CN1716047186001"/>
    <m/>
    <s v="QUITO"/>
    <n v="51010101"/>
    <s v="Costo de ventas Quito"/>
    <m/>
    <n v="16.420000000000002"/>
    <n v="-16.420000000000002"/>
    <x v="1"/>
    <n v="1363026.02"/>
    <s v="-16.42"/>
    <s v="jcortiz"/>
    <n v="0"/>
    <m/>
    <s v="QUITO-PICHINCHA"/>
    <m/>
    <m/>
    <m/>
  </r>
  <r>
    <x v="0"/>
    <x v="0"/>
    <d v="2022-11-24T00:00:00"/>
    <d v="2022-11-24T00:00:00"/>
    <s v="FE001"/>
    <s v="IM 100003421"/>
    <n v="109267"/>
    <s v="Traslados - CN1792079160001"/>
    <m/>
    <m/>
    <n v="101060402"/>
    <s v="Inventario de prod. term. y mercad. en Bodega BULLSYPPLY Coca"/>
    <m/>
    <n v="1933.78"/>
    <n v="-1933.78"/>
    <x v="3"/>
    <n v="1361092.24"/>
    <s v="-1933.78"/>
    <s v="jcortiz"/>
    <n v="0"/>
    <m/>
    <m/>
    <m/>
    <m/>
    <m/>
  </r>
  <r>
    <x v="0"/>
    <x v="0"/>
    <d v="2022-11-24T00:00:00"/>
    <d v="2022-11-24T00:00:00"/>
    <s v="FE001"/>
    <s v="IM 100003422"/>
    <n v="109268"/>
    <s v="Traslados - CN1792079160001"/>
    <m/>
    <m/>
    <n v="101060402"/>
    <s v="Inventario de prod. term. y mercad. en Bodega BULLSYPPLY Coca"/>
    <m/>
    <n v="1208.6199999999999"/>
    <n v="-1208.6199999999999"/>
    <x v="3"/>
    <n v="1359883.62"/>
    <s v="-1208.62"/>
    <s v="jcortiz"/>
    <n v="0"/>
    <m/>
    <m/>
    <m/>
    <m/>
    <m/>
  </r>
  <r>
    <x v="0"/>
    <x v="0"/>
    <d v="2022-11-25T00:00:00"/>
    <d v="2022-11-25T00:00:00"/>
    <s v="Primario"/>
    <s v="EP 6430"/>
    <n v="109275"/>
    <s v="Pedido de entrada de mercancías - PN1791834399001"/>
    <m/>
    <m/>
    <n v="201040506"/>
    <s v="Facturas por Confirmar"/>
    <n v="856.8"/>
    <m/>
    <n v="856.8"/>
    <x v="2"/>
    <n v="1360740.42"/>
    <s v="856.80"/>
    <s v="jcortiz"/>
    <n v="0"/>
    <m/>
    <m/>
    <m/>
    <m/>
    <m/>
  </r>
  <r>
    <x v="0"/>
    <x v="0"/>
    <d v="2022-11-25T00:00:00"/>
    <d v="2022-11-25T00:00:00"/>
    <s v="FE001"/>
    <s v="NE 100015839"/>
    <n v="109276"/>
    <s v="Entregas - CN1791263308001"/>
    <m/>
    <s v="QUITO"/>
    <n v="51010101"/>
    <s v="Costo de ventas Quito"/>
    <m/>
    <n v="856.8"/>
    <n v="-856.8"/>
    <x v="1"/>
    <n v="1359883.62"/>
    <s v="-856.80"/>
    <s v="jcortiz"/>
    <n v="0"/>
    <m/>
    <s v="QUITO-PICHINCHA"/>
    <m/>
    <m/>
    <m/>
  </r>
  <r>
    <x v="0"/>
    <x v="0"/>
    <d v="2022-11-25T00:00:00"/>
    <d v="2022-11-25T00:00:00"/>
    <s v="FE001"/>
    <s v="NE 100015840"/>
    <n v="109277"/>
    <s v="Entregas - CN1716004005001"/>
    <m/>
    <s v="QUITO"/>
    <n v="51010101"/>
    <s v="Costo de ventas Quito"/>
    <m/>
    <n v="26.63"/>
    <n v="-26.63"/>
    <x v="1"/>
    <n v="1359856.99"/>
    <s v="-26.63"/>
    <s v="jcortiz"/>
    <n v="0"/>
    <m/>
    <s v="QUITO-PICHINCHA"/>
    <m/>
    <m/>
    <m/>
  </r>
  <r>
    <x v="0"/>
    <x v="0"/>
    <d v="2022-11-25T00:00:00"/>
    <d v="2022-11-25T00:00:00"/>
    <s v="FE001"/>
    <s v="IM 100003423"/>
    <n v="109278"/>
    <s v="Traslados - CN1792079160001"/>
    <m/>
    <m/>
    <n v="101060402"/>
    <s v="Inventario de prod. term. y mercad. en Bodega BULLSYPPLY Coca"/>
    <n v="30.34"/>
    <m/>
    <n v="30.34"/>
    <x v="3"/>
    <n v="1359887.33"/>
    <s v="30.34"/>
    <s v="jcortiz"/>
    <n v="0"/>
    <m/>
    <m/>
    <m/>
    <m/>
    <m/>
  </r>
  <r>
    <x v="0"/>
    <x v="0"/>
    <d v="2022-11-25T00:00:00"/>
    <d v="2022-11-25T00:00:00"/>
    <s v="FE001"/>
    <s v="IM 100003424"/>
    <n v="109279"/>
    <s v="Traslados - CN1792079160001"/>
    <m/>
    <m/>
    <n v="101060402"/>
    <s v="Inventario de prod. term. y mercad. en Bodega BULLSYPPLY Coca"/>
    <m/>
    <n v="30.34"/>
    <n v="-30.34"/>
    <x v="3"/>
    <n v="1359856.99"/>
    <s v="-30.34"/>
    <s v="jcortiz"/>
    <n v="0"/>
    <m/>
    <m/>
    <m/>
    <m/>
    <m/>
  </r>
  <r>
    <x v="0"/>
    <x v="0"/>
    <d v="2022-11-25T00:00:00"/>
    <d v="2022-11-25T00:00:00"/>
    <s v="FE001"/>
    <s v="IM 100003425"/>
    <n v="109280"/>
    <s v="Traslados - CN1792079160001"/>
    <m/>
    <m/>
    <n v="101060402"/>
    <s v="Inventario de prod. term. y mercad. en Bodega BULLSYPPLY Coca"/>
    <n v="3223.8"/>
    <m/>
    <n v="3223.8"/>
    <x v="3"/>
    <n v="1363080.79"/>
    <s v="3223.80"/>
    <s v="jcortiz"/>
    <n v="0"/>
    <m/>
    <m/>
    <m/>
    <m/>
    <m/>
  </r>
  <r>
    <x v="0"/>
    <x v="0"/>
    <d v="2022-11-25T00:00:00"/>
    <d v="2022-11-25T00:00:00"/>
    <s v="FE001"/>
    <s v="IM 100003426"/>
    <n v="109281"/>
    <s v="Traslados - CN1792079160001"/>
    <m/>
    <m/>
    <n v="101060402"/>
    <s v="Inventario de prod. term. y mercad. en Bodega BULLSYPPLY Coca"/>
    <n v="92"/>
    <m/>
    <n v="92"/>
    <x v="3"/>
    <n v="1363172.79"/>
    <s v="92.00"/>
    <s v="jcortiz"/>
    <n v="0"/>
    <m/>
    <m/>
    <m/>
    <m/>
    <m/>
  </r>
  <r>
    <x v="0"/>
    <x v="0"/>
    <d v="2022-11-25T00:00:00"/>
    <d v="2022-11-25T00:00:00"/>
    <s v="Primario"/>
    <s v="EP 6431"/>
    <n v="109283"/>
    <s v="Pedido de entrada de mercancías - PN1791834399001"/>
    <m/>
    <m/>
    <n v="201040506"/>
    <s v="Facturas por Confirmar"/>
    <n v="3364.12"/>
    <m/>
    <n v="3364.12"/>
    <x v="2"/>
    <n v="1366536.91"/>
    <s v="3364.12"/>
    <s v="jcortiz"/>
    <n v="0"/>
    <m/>
    <m/>
    <m/>
    <m/>
    <m/>
  </r>
  <r>
    <x v="0"/>
    <x v="0"/>
    <d v="2022-11-25T00:00:00"/>
    <d v="2022-11-25T00:00:00"/>
    <s v="FE001"/>
    <s v="IM 100003427"/>
    <n v="109285"/>
    <s v="Traslados -"/>
    <m/>
    <m/>
    <n v="101060402"/>
    <s v="Inventario de prod. term. y mercad. en Bodega BULLSYPPLY Coca"/>
    <m/>
    <n v="3312.37"/>
    <n v="-3312.37"/>
    <x v="3"/>
    <n v="1363224.54"/>
    <s v="-3312.37"/>
    <s v="jcortiz"/>
    <n v="0"/>
    <m/>
    <m/>
    <m/>
    <m/>
    <m/>
  </r>
  <r>
    <x v="0"/>
    <x v="0"/>
    <d v="2022-11-25T00:00:00"/>
    <d v="2022-11-25T00:00:00"/>
    <s v="FE001"/>
    <s v="IM 100003428"/>
    <n v="109286"/>
    <s v="Traslados - CN1792079160001"/>
    <m/>
    <m/>
    <n v="101060402"/>
    <s v="Inventario de prod. term. y mercad. en Bodega BULLSYPPLY Coca"/>
    <n v="40.25"/>
    <m/>
    <n v="40.25"/>
    <x v="3"/>
    <n v="1363264.79"/>
    <s v="40.25"/>
    <s v="jcortiz"/>
    <n v="0"/>
    <m/>
    <m/>
    <m/>
    <m/>
    <m/>
  </r>
  <r>
    <x v="0"/>
    <x v="0"/>
    <d v="2022-11-25T00:00:00"/>
    <d v="2022-11-25T00:00:00"/>
    <s v="Primario"/>
    <s v="DM 54"/>
    <n v="109287"/>
    <s v="Devolución de mercancías - PN1791834399001"/>
    <m/>
    <m/>
    <n v="201040506"/>
    <s v="Facturas por Confirmar"/>
    <m/>
    <n v="92"/>
    <n v="-92"/>
    <x v="6"/>
    <n v="1363172.79"/>
    <s v="-92.00"/>
    <s v="jcortiz"/>
    <n v="0"/>
    <m/>
    <m/>
    <m/>
    <m/>
    <m/>
  </r>
  <r>
    <x v="0"/>
    <x v="0"/>
    <d v="2022-11-25T00:00:00"/>
    <d v="2022-11-25T00:00:00"/>
    <s v="Primario"/>
    <s v="EP 6432"/>
    <n v="109292"/>
    <s v="Pedido de entrada de mercancías - PN1791834399001"/>
    <m/>
    <m/>
    <n v="201040506"/>
    <s v="Facturas por Confirmar"/>
    <n v="101.55"/>
    <m/>
    <n v="101.55"/>
    <x v="2"/>
    <n v="1363274.34"/>
    <s v="101.55"/>
    <s v="jcortiz"/>
    <n v="0"/>
    <m/>
    <m/>
    <m/>
    <m/>
    <m/>
  </r>
  <r>
    <x v="0"/>
    <x v="0"/>
    <d v="2022-11-25T00:00:00"/>
    <d v="2022-11-25T00:00:00"/>
    <s v="FE001"/>
    <s v="NE 100015845"/>
    <n v="109293"/>
    <s v="Entregas - CN1791847776001"/>
    <m/>
    <s v="QUITO"/>
    <n v="51010101"/>
    <s v="Costo de ventas Quito"/>
    <m/>
    <n v="129.04"/>
    <n v="-129.04"/>
    <x v="1"/>
    <n v="1363145.3"/>
    <s v="-129.04"/>
    <s v="jcortiz"/>
    <n v="0"/>
    <m/>
    <s v="QUITO-PICHINCHA"/>
    <m/>
    <m/>
    <m/>
  </r>
  <r>
    <x v="0"/>
    <x v="0"/>
    <d v="2022-11-25T00:00:00"/>
    <d v="2022-11-25T00:00:00"/>
    <s v="Primario"/>
    <s v="EP 6433"/>
    <n v="109297"/>
    <s v="Pedido de entrada de mercancías - PN0913319455001"/>
    <m/>
    <m/>
    <n v="201040506"/>
    <s v="Facturas por Confirmar"/>
    <n v="1640"/>
    <m/>
    <n v="1640"/>
    <x v="2"/>
    <n v="1364785.3"/>
    <s v="1640.00"/>
    <s v="jcortiz"/>
    <n v="0"/>
    <m/>
    <m/>
    <m/>
    <m/>
    <m/>
  </r>
  <r>
    <x v="0"/>
    <x v="0"/>
    <d v="2022-11-25T00:00:00"/>
    <d v="2022-11-25T00:00:00"/>
    <s v="FE001"/>
    <s v="NE 100015849"/>
    <n v="109299"/>
    <s v="Entregas - CN1791263308001"/>
    <m/>
    <s v="QUITO"/>
    <n v="51010101"/>
    <s v="Costo de ventas Quito"/>
    <m/>
    <n v="1640"/>
    <n v="-1640"/>
    <x v="1"/>
    <n v="1363145.3"/>
    <s v="-1640.00"/>
    <s v="jcortiz"/>
    <n v="0"/>
    <m/>
    <s v="QUITO-PICHINCHA"/>
    <m/>
    <m/>
    <m/>
  </r>
  <r>
    <x v="0"/>
    <x v="0"/>
    <d v="2022-11-25T00:00:00"/>
    <d v="2022-11-25T00:00:00"/>
    <s v="FE001"/>
    <s v="NE 100015850"/>
    <n v="109300"/>
    <s v="Entrega - Cancelación - CN1791263308001"/>
    <m/>
    <s v="QUITO"/>
    <n v="51010101"/>
    <s v="Costo de ventas Quito"/>
    <n v="1640"/>
    <m/>
    <n v="1640"/>
    <x v="1"/>
    <n v="1364785.3"/>
    <s v="1640.00"/>
    <s v="jcortiz"/>
    <n v="0"/>
    <m/>
    <s v="QUITO-PICHINCHA"/>
    <m/>
    <m/>
    <m/>
  </r>
  <r>
    <x v="0"/>
    <x v="0"/>
    <d v="2022-11-25T00:00:00"/>
    <d v="2022-11-25T00:00:00"/>
    <s v="Anula"/>
    <s v="EP 200449"/>
    <n v="109301"/>
    <s v="Pedido de entrada de mercancías - Cancelación - PN"/>
    <m/>
    <m/>
    <n v="201040506"/>
    <s v="Facturas por Confirmar"/>
    <m/>
    <n v="1640"/>
    <n v="-1640"/>
    <x v="2"/>
    <n v="1363145.3"/>
    <s v="-1640.00"/>
    <s v="jcortiz"/>
    <n v="0"/>
    <m/>
    <m/>
    <m/>
    <m/>
    <m/>
  </r>
  <r>
    <x v="0"/>
    <x v="0"/>
    <d v="2022-11-25T00:00:00"/>
    <d v="2022-11-25T00:00:00"/>
    <s v="Primario"/>
    <s v="EP 6434"/>
    <n v="109302"/>
    <s v="Pedido de entrada de mercancías - PN0913319455001"/>
    <m/>
    <m/>
    <n v="201040506"/>
    <s v="Facturas por Confirmar"/>
    <n v="1600"/>
    <m/>
    <n v="1600"/>
    <x v="2"/>
    <n v="1364745.3"/>
    <s v="1600.00"/>
    <s v="jcortiz"/>
    <n v="0"/>
    <m/>
    <m/>
    <m/>
    <m/>
    <m/>
  </r>
  <r>
    <x v="0"/>
    <x v="0"/>
    <d v="2022-11-25T00:00:00"/>
    <d v="2022-11-25T00:00:00"/>
    <s v="FE001"/>
    <s v="NE 100015851"/>
    <n v="109303"/>
    <s v="Entregas - CN1791263308001"/>
    <m/>
    <s v="QUITO"/>
    <n v="51010101"/>
    <s v="Costo de ventas Quito"/>
    <m/>
    <n v="1600"/>
    <n v="-1600"/>
    <x v="1"/>
    <n v="1363145.3"/>
    <s v="-1600.00"/>
    <s v="jcortiz"/>
    <n v="0"/>
    <m/>
    <s v="QUITO-PICHINCHA"/>
    <m/>
    <m/>
    <m/>
  </r>
  <r>
    <x v="0"/>
    <x v="0"/>
    <d v="2022-11-25T00:00:00"/>
    <d v="2022-11-25T00:00:00"/>
    <s v="FE001"/>
    <s v="NE 100015854"/>
    <n v="109306"/>
    <s v="Entregas - CN1791403916001"/>
    <m/>
    <s v="QUITO"/>
    <n v="51010101"/>
    <s v="Costo de ventas Quito"/>
    <m/>
    <n v="8.1999999999999993"/>
    <n v="-8.1999999999999993"/>
    <x v="1"/>
    <n v="1363137.1"/>
    <s v="-8.20"/>
    <s v="jcortiz"/>
    <n v="0"/>
    <m/>
    <s v="QUITO-PICHINCHA"/>
    <m/>
    <m/>
    <m/>
  </r>
  <r>
    <x v="0"/>
    <x v="0"/>
    <d v="2022-11-25T00:00:00"/>
    <d v="2022-11-25T00:00:00"/>
    <s v="FE001"/>
    <s v="IM 100003429"/>
    <n v="109307"/>
    <s v="Traslados - CN1792079160001"/>
    <m/>
    <m/>
    <n v="101060402"/>
    <s v="Inventario de prod. term. y mercad. en Bodega BULLSYPPLY Coca"/>
    <n v="74.98"/>
    <m/>
    <n v="74.98"/>
    <x v="3"/>
    <n v="1363212.08"/>
    <s v="74.98"/>
    <s v="ancueva"/>
    <n v="0"/>
    <m/>
    <m/>
    <m/>
    <m/>
    <m/>
  </r>
  <r>
    <x v="0"/>
    <x v="0"/>
    <d v="2022-11-25T00:00:00"/>
    <d v="2022-11-25T00:00:00"/>
    <s v="FE001"/>
    <s v="NE 100015855"/>
    <n v="109309"/>
    <s v="Entregas - CN1791263308001"/>
    <m/>
    <s v="QUITO"/>
    <n v="51010101"/>
    <s v="Costo de ventas Quito"/>
    <m/>
    <n v="26.51"/>
    <n v="-26.51"/>
    <x v="1"/>
    <n v="1363185.57"/>
    <s v="-26.51"/>
    <s v="jcortiz"/>
    <n v="0"/>
    <m/>
    <s v="QUITO-PICHINCHA"/>
    <m/>
    <m/>
    <m/>
  </r>
  <r>
    <x v="0"/>
    <x v="0"/>
    <d v="2022-11-25T00:00:00"/>
    <d v="2022-11-25T00:00:00"/>
    <s v="FE001"/>
    <s v="NE 100015856"/>
    <n v="109310"/>
    <s v="Entregas - CN1791263308001"/>
    <m/>
    <s v="QUITO"/>
    <n v="51010101"/>
    <s v="Costo de ventas Quito"/>
    <m/>
    <n v="52.43"/>
    <n v="-52.43"/>
    <x v="1"/>
    <n v="1363133.14"/>
    <s v="-52.43"/>
    <s v="jcortiz"/>
    <n v="0"/>
    <m/>
    <s v="QUITO-PICHINCHA"/>
    <m/>
    <m/>
    <m/>
  </r>
  <r>
    <x v="0"/>
    <x v="0"/>
    <d v="2022-11-25T00:00:00"/>
    <d v="2022-11-25T00:00:00"/>
    <s v="FE001"/>
    <s v="NE 100015857"/>
    <n v="109311"/>
    <s v="Entregas - CN0590060933001"/>
    <m/>
    <s v="QUITO"/>
    <n v="51010101"/>
    <s v="Costo de ventas Quito"/>
    <m/>
    <n v="87.8"/>
    <n v="-87.8"/>
    <x v="1"/>
    <n v="1363045.34"/>
    <s v="-87.80"/>
    <s v="jcortiz"/>
    <n v="0"/>
    <m/>
    <s v="QUITO-PICHINCHA"/>
    <m/>
    <m/>
    <m/>
  </r>
  <r>
    <x v="0"/>
    <x v="0"/>
    <d v="2022-11-25T00:00:00"/>
    <d v="2022-11-25T00:00:00"/>
    <s v="Primario"/>
    <s v="EP 6435"/>
    <n v="109313"/>
    <s v="Pedido de entrada de mercancías - PN0103669644001"/>
    <m/>
    <m/>
    <n v="201040506"/>
    <s v="Facturas por Confirmar"/>
    <n v="20"/>
    <m/>
    <n v="20"/>
    <x v="2"/>
    <n v="1363065.34"/>
    <s v="20.00"/>
    <s v="jcortiz"/>
    <n v="0"/>
    <m/>
    <m/>
    <m/>
    <m/>
    <m/>
  </r>
  <r>
    <x v="0"/>
    <x v="0"/>
    <d v="2022-11-25T00:00:00"/>
    <d v="2022-11-25T00:00:00"/>
    <s v="FE001"/>
    <s v="NE 100015858"/>
    <n v="109314"/>
    <s v="Entregas - CN1791263308001"/>
    <m/>
    <s v="QUITO"/>
    <n v="51010101"/>
    <s v="Costo de ventas Quito"/>
    <m/>
    <n v="20"/>
    <n v="-20"/>
    <x v="1"/>
    <n v="1363045.34"/>
    <s v="-20.00"/>
    <s v="jcortiz"/>
    <n v="0"/>
    <m/>
    <s v="QUITO-PICHINCHA"/>
    <m/>
    <m/>
    <m/>
  </r>
  <r>
    <x v="0"/>
    <x v="0"/>
    <d v="2022-11-25T00:00:00"/>
    <d v="2022-11-25T00:00:00"/>
    <s v="Primario"/>
    <s v="EP 6436"/>
    <n v="109315"/>
    <s v="Pedido de entrada de mercancías - PN1791834399001"/>
    <m/>
    <m/>
    <n v="201040506"/>
    <s v="Facturas por Confirmar"/>
    <n v="43.52"/>
    <m/>
    <n v="43.52"/>
    <x v="2"/>
    <n v="1363088.86"/>
    <s v="43.52"/>
    <s v="jcortiz"/>
    <n v="0"/>
    <m/>
    <m/>
    <m/>
    <m/>
    <m/>
  </r>
  <r>
    <x v="0"/>
    <x v="0"/>
    <d v="2022-11-25T00:00:00"/>
    <d v="2022-11-25T00:00:00"/>
    <s v="Primario"/>
    <s v="EP 6437"/>
    <n v="109316"/>
    <s v="Pedido de entrada de mercancías - PN1791834399001"/>
    <m/>
    <m/>
    <n v="201040506"/>
    <s v="Facturas por Confirmar"/>
    <n v="94.86"/>
    <m/>
    <n v="94.86"/>
    <x v="2"/>
    <n v="1363183.72"/>
    <s v="94.86"/>
    <s v="jcortiz"/>
    <n v="0"/>
    <m/>
    <m/>
    <m/>
    <m/>
    <m/>
  </r>
  <r>
    <x v="0"/>
    <x v="0"/>
    <d v="2022-11-25T00:00:00"/>
    <d v="2022-11-25T00:00:00"/>
    <s v="Primario"/>
    <s v="EP 6438"/>
    <n v="109317"/>
    <s v="Pedido de entrada de mercancías - PN1791834399001"/>
    <m/>
    <m/>
    <n v="201040506"/>
    <s v="Facturas por Confirmar"/>
    <n v="45.29"/>
    <m/>
    <n v="45.29"/>
    <x v="2"/>
    <n v="1363229.01"/>
    <s v="45.29"/>
    <s v="jcortiz"/>
    <n v="0"/>
    <m/>
    <m/>
    <m/>
    <m/>
    <m/>
  </r>
  <r>
    <x v="0"/>
    <x v="0"/>
    <d v="2022-11-25T00:00:00"/>
    <d v="2022-11-25T00:00:00"/>
    <s v="Primario"/>
    <s v="EP 6439"/>
    <n v="109318"/>
    <s v="Pedido de entrada de mercancías - PN1791834399001"/>
    <m/>
    <m/>
    <n v="201040506"/>
    <s v="Facturas por Confirmar"/>
    <n v="49.3"/>
    <m/>
    <n v="49.3"/>
    <x v="2"/>
    <n v="1363278.31"/>
    <s v="49.30"/>
    <s v="jcortiz"/>
    <n v="0"/>
    <m/>
    <m/>
    <m/>
    <m/>
    <m/>
  </r>
  <r>
    <x v="0"/>
    <x v="0"/>
    <d v="2022-11-25T00:00:00"/>
    <d v="2022-11-25T00:00:00"/>
    <s v="Primario"/>
    <s v="EP 6440"/>
    <n v="109319"/>
    <s v="Pedido de entrada de mercancías - PN1791834399001"/>
    <m/>
    <m/>
    <n v="201040506"/>
    <s v="Facturas por Confirmar"/>
    <n v="67.86"/>
    <m/>
    <n v="67.86"/>
    <x v="2"/>
    <n v="1363346.17"/>
    <s v="67.86"/>
    <s v="jcortiz"/>
    <n v="0"/>
    <m/>
    <m/>
    <m/>
    <m/>
    <m/>
  </r>
  <r>
    <x v="0"/>
    <x v="0"/>
    <d v="2022-11-25T00:00:00"/>
    <d v="2022-11-25T00:00:00"/>
    <s v="FE001"/>
    <s v="NE 100015859"/>
    <n v="109320"/>
    <s v="Entregas - CN1791263308001"/>
    <m/>
    <s v="QUITO"/>
    <n v="51010101"/>
    <s v="Costo de ventas Quito"/>
    <m/>
    <n v="43.52"/>
    <n v="-43.52"/>
    <x v="1"/>
    <n v="1363302.65"/>
    <s v="-43.52"/>
    <s v="jcortiz"/>
    <n v="0"/>
    <m/>
    <s v="QUITO-PICHINCHA"/>
    <m/>
    <m/>
    <m/>
  </r>
  <r>
    <x v="0"/>
    <x v="0"/>
    <d v="2022-11-25T00:00:00"/>
    <d v="2022-11-25T00:00:00"/>
    <s v="Primario"/>
    <s v="EP 6441"/>
    <n v="109321"/>
    <s v="Pedido de entrada de mercancías - PN1390060757001"/>
    <m/>
    <m/>
    <n v="201040506"/>
    <s v="Facturas por Confirmar"/>
    <n v="676.6"/>
    <m/>
    <n v="676.6"/>
    <x v="2"/>
    <n v="1363979.25"/>
    <s v="676.60"/>
    <s v="jcortiz"/>
    <n v="0"/>
    <m/>
    <m/>
    <m/>
    <m/>
    <m/>
  </r>
  <r>
    <x v="0"/>
    <x v="0"/>
    <d v="2022-11-25T00:00:00"/>
    <d v="2022-11-25T00:00:00"/>
    <s v="FE001"/>
    <s v="IM 100003430"/>
    <n v="109323"/>
    <s v="Traslados - CN1792079160001"/>
    <m/>
    <m/>
    <n v="101060402"/>
    <s v="Inventario de prod. term. y mercad. en Bodega BULLSYPPLY Coca"/>
    <m/>
    <n v="2068.1799999999998"/>
    <n v="-2068.1799999999998"/>
    <x v="3"/>
    <n v="1361911.07"/>
    <s v="-2068.18"/>
    <s v="jcortiz"/>
    <n v="0"/>
    <m/>
    <m/>
    <m/>
    <m/>
    <m/>
  </r>
  <r>
    <x v="0"/>
    <x v="0"/>
    <d v="2022-11-25T00:00:00"/>
    <d v="2022-11-25T00:00:00"/>
    <s v="FE001"/>
    <s v="IM 100003431"/>
    <n v="109324"/>
    <s v="Traslados - CN1792079160001"/>
    <m/>
    <m/>
    <n v="101060402"/>
    <s v="Inventario de prod. term. y mercad. en Bodega BULLSYPPLY Coca"/>
    <m/>
    <n v="1.38"/>
    <n v="-1.38"/>
    <x v="3"/>
    <n v="1361909.69"/>
    <s v="-1.38"/>
    <s v="jcortiz"/>
    <n v="0"/>
    <m/>
    <m/>
    <m/>
    <m/>
    <m/>
  </r>
  <r>
    <x v="0"/>
    <x v="0"/>
    <d v="2022-11-25T00:00:00"/>
    <d v="2022-11-25T00:00:00"/>
    <s v="FE001"/>
    <s v="NE 100015861"/>
    <n v="109325"/>
    <s v="Entregas - CN1002297842001"/>
    <m/>
    <s v="QUITO"/>
    <n v="51010101"/>
    <s v="Costo de ventas Quito"/>
    <m/>
    <n v="1.23"/>
    <n v="-1.23"/>
    <x v="1"/>
    <n v="1361908.46"/>
    <s v="-1.23"/>
    <s v="jcortiz"/>
    <n v="0"/>
    <m/>
    <s v="QUITO-PICHINCHA"/>
    <m/>
    <m/>
    <m/>
  </r>
  <r>
    <x v="0"/>
    <x v="0"/>
    <d v="2022-11-25T00:00:00"/>
    <d v="2022-11-25T00:00:00"/>
    <s v="Primario"/>
    <s v="EP 6442"/>
    <n v="109326"/>
    <s v="Pedido de entrada de mercancías - PN0103669644001"/>
    <m/>
    <m/>
    <n v="201040506"/>
    <s v="Facturas por Confirmar"/>
    <n v="25"/>
    <m/>
    <n v="25"/>
    <x v="2"/>
    <n v="1361933.46"/>
    <s v="25.00"/>
    <s v="jcortiz"/>
    <n v="0"/>
    <m/>
    <m/>
    <m/>
    <m/>
    <m/>
  </r>
  <r>
    <x v="0"/>
    <x v="0"/>
    <d v="2022-11-25T00:00:00"/>
    <d v="2022-11-25T00:00:00"/>
    <s v="FE001"/>
    <s v="IM 100003432"/>
    <n v="109327"/>
    <s v="Traslados - CN1792079160001"/>
    <m/>
    <m/>
    <n v="101060402"/>
    <s v="Inventario de prod. term. y mercad. en Bodega BULLSYPPLY Coca"/>
    <m/>
    <n v="25"/>
    <n v="-25"/>
    <x v="3"/>
    <n v="1361908.46"/>
    <s v="-25.00"/>
    <s v="jcortiz"/>
    <n v="0"/>
    <m/>
    <m/>
    <m/>
    <m/>
    <m/>
  </r>
  <r>
    <x v="0"/>
    <x v="0"/>
    <d v="2022-11-28T00:00:00"/>
    <d v="2022-11-28T00:00:00"/>
    <s v="FE001"/>
    <s v="NE 100015866"/>
    <n v="109332"/>
    <s v="Entregas - CN1793121225001"/>
    <m/>
    <s v="QUITO"/>
    <n v="51010101"/>
    <s v="Costo de ventas Quito"/>
    <m/>
    <n v="663.98"/>
    <n v="-663.98"/>
    <x v="1"/>
    <n v="1361244.48"/>
    <s v="-663.98"/>
    <s v="jcortiz"/>
    <n v="0"/>
    <m/>
    <s v="QUITO-PICHINCHA"/>
    <m/>
    <m/>
    <m/>
  </r>
  <r>
    <x v="0"/>
    <x v="0"/>
    <d v="2022-11-28T00:00:00"/>
    <d v="2022-11-28T00:00:00"/>
    <s v="FE001"/>
    <s v="NE 100015867"/>
    <n v="109333"/>
    <s v="Entregas - CN1790342867001"/>
    <m/>
    <s v="QUITO"/>
    <n v="51010101"/>
    <s v="Costo de ventas Quito"/>
    <m/>
    <n v="95.29"/>
    <n v="-95.29"/>
    <x v="1"/>
    <n v="1361149.19"/>
    <s v="-95.29"/>
    <s v="jcortiz"/>
    <n v="0"/>
    <m/>
    <s v="QUITO-PICHINCHA"/>
    <m/>
    <m/>
    <m/>
  </r>
  <r>
    <x v="0"/>
    <x v="0"/>
    <d v="2022-11-28T00:00:00"/>
    <d v="2022-11-28T00:00:00"/>
    <s v="Primario"/>
    <s v="DV 238"/>
    <n v="109334"/>
    <s v="Devoluciones - CN1790342867001"/>
    <m/>
    <s v="QUITO"/>
    <n v="51010101"/>
    <s v="Costo de ventas Quito"/>
    <n v="62.07"/>
    <m/>
    <n v="62.07"/>
    <x v="1"/>
    <n v="1361211.26"/>
    <s v="62.07"/>
    <s v="jcortiz"/>
    <n v="0"/>
    <m/>
    <s v="QUITO-PICHINCHA"/>
    <m/>
    <m/>
    <m/>
  </r>
  <r>
    <x v="0"/>
    <x v="0"/>
    <d v="2022-11-28T00:00:00"/>
    <d v="2022-11-28T00:00:00"/>
    <s v="Primario"/>
    <s v="EP 6443"/>
    <n v="109335"/>
    <s v="Pedido de entrada de mercancías - PN0990281866001"/>
    <m/>
    <m/>
    <n v="201040506"/>
    <s v="Facturas por Confirmar"/>
    <n v="2743.98"/>
    <m/>
    <n v="2743.98"/>
    <x v="2"/>
    <n v="1363955.24"/>
    <s v="2743.98"/>
    <s v="jcortiz"/>
    <n v="0"/>
    <m/>
    <m/>
    <m/>
    <m/>
    <m/>
  </r>
  <r>
    <x v="0"/>
    <x v="0"/>
    <d v="2022-11-28T00:00:00"/>
    <d v="2022-11-28T00:00:00"/>
    <s v="FE001"/>
    <s v="NE 100015869"/>
    <n v="109351"/>
    <s v="Entregas - CN1793121225001"/>
    <m/>
    <s v="QUITO"/>
    <n v="51010101"/>
    <s v="Costo de ventas Quito"/>
    <m/>
    <n v="31.12"/>
    <n v="-31.12"/>
    <x v="1"/>
    <n v="1363924.12"/>
    <s v="-31.12"/>
    <s v="jcortiz"/>
    <n v="0"/>
    <m/>
    <s v="QUITO-PICHINCHA"/>
    <m/>
    <m/>
    <m/>
  </r>
  <r>
    <x v="0"/>
    <x v="0"/>
    <d v="2022-11-28T00:00:00"/>
    <d v="2022-11-28T00:00:00"/>
    <s v="FE001"/>
    <s v="NE 100015870"/>
    <n v="109354"/>
    <s v="Entregas - CN1725410037001"/>
    <m/>
    <s v="QUITO"/>
    <n v="51010101"/>
    <s v="Costo de ventas Quito"/>
    <m/>
    <n v="6.6"/>
    <n v="-6.6"/>
    <x v="1"/>
    <n v="1363917.52"/>
    <s v="-6.60"/>
    <s v="jcortiz"/>
    <n v="0"/>
    <m/>
    <s v="QUITO-PICHINCHA"/>
    <m/>
    <m/>
    <m/>
  </r>
  <r>
    <x v="0"/>
    <x v="0"/>
    <d v="2022-11-28T00:00:00"/>
    <d v="2022-11-28T00:00:00"/>
    <s v="FE001"/>
    <s v="NE 100015871"/>
    <n v="109372"/>
    <s v="Entregas - CN1801610476001"/>
    <m/>
    <s v="QUITO"/>
    <n v="51010101"/>
    <s v="Costo de ventas Quito"/>
    <m/>
    <n v="16.739999999999998"/>
    <n v="-16.739999999999998"/>
    <x v="1"/>
    <n v="1363900.78"/>
    <s v="-16.74"/>
    <s v="ancueva"/>
    <n v="0"/>
    <m/>
    <s v="QUITO-PICHINCHA"/>
    <m/>
    <m/>
    <m/>
  </r>
  <r>
    <x v="0"/>
    <x v="0"/>
    <d v="2022-11-28T00:00:00"/>
    <d v="2022-11-28T00:00:00"/>
    <s v="FE001"/>
    <s v="NE 100015872"/>
    <n v="109373"/>
    <s v="Entregas - CN1801610476001"/>
    <m/>
    <s v="QUITO"/>
    <n v="51010101"/>
    <s v="Costo de ventas Quito"/>
    <m/>
    <n v="1.38"/>
    <n v="-1.38"/>
    <x v="1"/>
    <n v="1363899.4"/>
    <s v="-1.38"/>
    <s v="ancueva"/>
    <n v="0"/>
    <m/>
    <s v="QUITO-PICHINCHA"/>
    <m/>
    <m/>
    <m/>
  </r>
  <r>
    <x v="0"/>
    <x v="0"/>
    <d v="2022-11-28T00:00:00"/>
    <d v="2022-11-28T00:00:00"/>
    <s v="FE001"/>
    <s v="IM 100003433"/>
    <n v="109376"/>
    <s v="Traslados - CN1792079160001"/>
    <m/>
    <m/>
    <n v="101060402"/>
    <s v="Inventario de prod. term. y mercad. en Bodega BULLSYPPLY Coca"/>
    <m/>
    <n v="7.68"/>
    <n v="-7.68"/>
    <x v="3"/>
    <n v="1363891.72"/>
    <s v="-7.68"/>
    <s v="jcortiz"/>
    <n v="0"/>
    <m/>
    <m/>
    <m/>
    <m/>
    <m/>
  </r>
  <r>
    <x v="0"/>
    <x v="0"/>
    <d v="2022-11-28T00:00:00"/>
    <d v="2022-11-28T00:00:00"/>
    <s v="FE001"/>
    <s v="NE 100015873"/>
    <n v="109378"/>
    <s v="Entregas - CN1792874939001"/>
    <m/>
    <s v="QUITO"/>
    <n v="51010101"/>
    <s v="Costo de ventas Quito"/>
    <m/>
    <n v="119.28"/>
    <n v="-119.28"/>
    <x v="1"/>
    <n v="1363772.44"/>
    <s v="-119.28"/>
    <s v="jcortiz"/>
    <n v="0"/>
    <m/>
    <s v="QUITO-PICHINCHA"/>
    <m/>
    <m/>
    <m/>
  </r>
  <r>
    <x v="0"/>
    <x v="0"/>
    <d v="2022-11-28T00:00:00"/>
    <d v="2022-11-28T00:00:00"/>
    <s v="FE001"/>
    <s v="NE 100015874"/>
    <n v="109379"/>
    <s v="Entrega - Cancelación - CN1792874939001"/>
    <m/>
    <s v="QUITO"/>
    <n v="51010101"/>
    <s v="Costo de ventas Quito"/>
    <n v="119.28"/>
    <m/>
    <n v="119.28"/>
    <x v="1"/>
    <n v="1363891.72"/>
    <s v="119.28"/>
    <s v="jcortiz"/>
    <n v="0"/>
    <m/>
    <s v="QUITO-PICHINCHA"/>
    <m/>
    <m/>
    <m/>
  </r>
  <r>
    <x v="0"/>
    <x v="0"/>
    <d v="2022-11-28T00:00:00"/>
    <d v="2022-11-28T00:00:00"/>
    <s v="FE001"/>
    <s v="NE 100015875"/>
    <n v="109381"/>
    <s v="Entregas - CN1792874939001"/>
    <m/>
    <s v="QUITO"/>
    <n v="51010101"/>
    <s v="Costo de ventas Quito"/>
    <m/>
    <n v="194.26"/>
    <n v="-194.26"/>
    <x v="1"/>
    <n v="1363697.46"/>
    <s v="-194.26"/>
    <s v="jcortiz"/>
    <n v="0"/>
    <m/>
    <s v="QUITO-PICHINCHA"/>
    <m/>
    <m/>
    <m/>
  </r>
  <r>
    <x v="0"/>
    <x v="0"/>
    <d v="2022-11-28T00:00:00"/>
    <d v="2022-11-28T00:00:00"/>
    <s v="FE001"/>
    <s v="IM 100003434"/>
    <n v="109408"/>
    <s v="Traslados - CN1792079160001"/>
    <m/>
    <m/>
    <n v="101060402"/>
    <s v="Inventario de prod. term. y mercad. en Bodega BULLSYPPLY Coca"/>
    <m/>
    <n v="13.8"/>
    <n v="-13.8"/>
    <x v="3"/>
    <n v="1363683.66"/>
    <s v="-13.80"/>
    <s v="jcortiz"/>
    <n v="0"/>
    <m/>
    <m/>
    <m/>
    <m/>
    <m/>
  </r>
  <r>
    <x v="0"/>
    <x v="0"/>
    <d v="2022-11-28T00:00:00"/>
    <d v="2022-11-28T00:00:00"/>
    <s v="Primario"/>
    <s v="EP 6444"/>
    <n v="109409"/>
    <s v="Pedido de entrada de mercancías - PN1791834399001"/>
    <m/>
    <m/>
    <n v="201040506"/>
    <s v="Facturas por Confirmar"/>
    <n v="39.44"/>
    <m/>
    <n v="39.44"/>
    <x v="2"/>
    <n v="1363723.1"/>
    <s v="39.44"/>
    <s v="jcortiz"/>
    <n v="0"/>
    <m/>
    <m/>
    <m/>
    <m/>
    <m/>
  </r>
  <r>
    <x v="0"/>
    <x v="0"/>
    <d v="2022-11-28T00:00:00"/>
    <d v="2022-11-28T00:00:00"/>
    <s v="Primario"/>
    <s v="EP 6445"/>
    <n v="109411"/>
    <s v="Pedido de entrada de mercancías - PN1791834399001"/>
    <m/>
    <m/>
    <n v="201040506"/>
    <s v="Facturas por Confirmar"/>
    <n v="130.37"/>
    <m/>
    <n v="130.37"/>
    <x v="2"/>
    <n v="1363853.47"/>
    <s v="130.37"/>
    <s v="jcortiz"/>
    <n v="0"/>
    <m/>
    <m/>
    <m/>
    <m/>
    <m/>
  </r>
  <r>
    <x v="0"/>
    <x v="0"/>
    <d v="2022-11-28T00:00:00"/>
    <d v="2022-11-28T00:00:00"/>
    <s v="Primario"/>
    <s v="EP 6446"/>
    <n v="109412"/>
    <s v="Pedido de entrada de mercancías - PN1791834399001"/>
    <m/>
    <m/>
    <n v="201040506"/>
    <s v="Facturas por Confirmar"/>
    <n v="9.15"/>
    <m/>
    <n v="9.15"/>
    <x v="2"/>
    <n v="1363862.62"/>
    <s v="9.15"/>
    <s v="jcortiz"/>
    <n v="0"/>
    <m/>
    <m/>
    <m/>
    <m/>
    <m/>
  </r>
  <r>
    <x v="0"/>
    <x v="0"/>
    <d v="2022-11-28T00:00:00"/>
    <d v="2022-11-28T00:00:00"/>
    <s v="Primario"/>
    <s v="EP 6447"/>
    <n v="109413"/>
    <s v="Pedido de entrada de mercancías - PN1791834399001"/>
    <m/>
    <m/>
    <n v="201040506"/>
    <s v="Facturas por Confirmar"/>
    <n v="9.15"/>
    <m/>
    <n v="9.15"/>
    <x v="2"/>
    <n v="1363871.77"/>
    <s v="9.15"/>
    <s v="jcortiz"/>
    <n v="0"/>
    <m/>
    <m/>
    <m/>
    <m/>
    <m/>
  </r>
  <r>
    <x v="0"/>
    <x v="0"/>
    <d v="2022-11-28T00:00:00"/>
    <d v="2022-11-28T00:00:00"/>
    <s v="FE001"/>
    <s v="IM 100003435"/>
    <n v="109415"/>
    <s v="Traslados - CN1792079160001"/>
    <m/>
    <m/>
    <n v="101060402"/>
    <s v="Inventario de prod. term. y mercad. en Bodega BULLSYPPLY Coca"/>
    <m/>
    <n v="9.15"/>
    <n v="-9.15"/>
    <x v="3"/>
    <n v="1363862.62"/>
    <s v="-9.15"/>
    <s v="jcortiz"/>
    <n v="0"/>
    <m/>
    <m/>
    <m/>
    <m/>
    <m/>
  </r>
  <r>
    <x v="0"/>
    <x v="0"/>
    <d v="2022-11-28T00:00:00"/>
    <d v="2022-11-28T00:00:00"/>
    <s v="FE001"/>
    <s v="NE 100015877"/>
    <n v="109416"/>
    <s v="Entregas - CN1790150569001"/>
    <m/>
    <s v="QUITO"/>
    <n v="51010101"/>
    <s v="Costo de ventas Quito"/>
    <m/>
    <n v="9.15"/>
    <n v="-9.15"/>
    <x v="1"/>
    <n v="1363853.47"/>
    <s v="-9.15"/>
    <s v="jcortiz"/>
    <n v="0"/>
    <m/>
    <s v="QUITO-PICHINCHA"/>
    <m/>
    <m/>
    <m/>
  </r>
  <r>
    <x v="0"/>
    <x v="0"/>
    <d v="2022-11-28T00:00:00"/>
    <d v="2022-11-28T00:00:00"/>
    <s v="FE001"/>
    <s v="NE 100015878"/>
    <n v="109417"/>
    <s v="Entregas - CN1791847776001"/>
    <m/>
    <s v="QUITO"/>
    <n v="51010101"/>
    <s v="Costo de ventas Quito"/>
    <m/>
    <n v="39.44"/>
    <n v="-39.44"/>
    <x v="1"/>
    <n v="1363814.03"/>
    <s v="-39.44"/>
    <s v="jcortiz"/>
    <n v="0"/>
    <m/>
    <s v="QUITO-PICHINCHA"/>
    <m/>
    <m/>
    <m/>
  </r>
  <r>
    <x v="0"/>
    <x v="0"/>
    <d v="2022-11-28T00:00:00"/>
    <d v="2022-11-28T00:00:00"/>
    <s v="FE001"/>
    <s v="NE 100015879"/>
    <n v="109421"/>
    <s v="Entregas - CN1708563752001"/>
    <m/>
    <s v="QUITO"/>
    <n v="51010101"/>
    <s v="Costo de ventas Quito"/>
    <m/>
    <n v="48.43"/>
    <n v="-48.43"/>
    <x v="1"/>
    <n v="1363765.6"/>
    <s v="-48.43"/>
    <s v="jcortiz"/>
    <n v="0"/>
    <m/>
    <s v="QUITO-PICHINCHA"/>
    <m/>
    <m/>
    <m/>
  </r>
  <r>
    <x v="0"/>
    <x v="0"/>
    <d v="2022-11-28T00:00:00"/>
    <d v="2022-11-28T00:00:00"/>
    <s v="FE001"/>
    <s v="IM 100003436"/>
    <n v="109423"/>
    <s v="Traslados - CN1792079160001"/>
    <m/>
    <m/>
    <n v="101060402"/>
    <s v="Inventario de prod. term. y mercad. en Bodega BULLSYPPLY Coca"/>
    <n v="54.28"/>
    <m/>
    <n v="54.28"/>
    <x v="3"/>
    <n v="1363819.88"/>
    <s v="54.28"/>
    <s v="ancueva"/>
    <n v="0"/>
    <m/>
    <m/>
    <m/>
    <m/>
    <m/>
  </r>
  <r>
    <x v="0"/>
    <x v="0"/>
    <d v="2022-11-28T00:00:00"/>
    <d v="2022-11-28T00:00:00"/>
    <s v="Primario"/>
    <s v="EP 6448"/>
    <n v="109427"/>
    <s v="Pedido de entrada de mercancías - PN0992124628001"/>
    <m/>
    <m/>
    <n v="201040506"/>
    <s v="Facturas por Confirmar"/>
    <n v="90"/>
    <m/>
    <n v="90"/>
    <x v="2"/>
    <n v="1363909.88"/>
    <s v="90.00"/>
    <s v="jcortiz"/>
    <n v="0"/>
    <m/>
    <m/>
    <m/>
    <m/>
    <m/>
  </r>
  <r>
    <x v="0"/>
    <x v="0"/>
    <d v="2022-11-28T00:00:00"/>
    <d v="2022-11-28T00:00:00"/>
    <s v="FE001"/>
    <s v="NE 100015881"/>
    <n v="109428"/>
    <s v="Entregas - CN1793121225001"/>
    <m/>
    <s v="QUITO"/>
    <n v="51010101"/>
    <s v="Costo de ventas Quito"/>
    <m/>
    <n v="90"/>
    <n v="-90"/>
    <x v="1"/>
    <n v="1363819.88"/>
    <s v="-90.00"/>
    <s v="jcortiz"/>
    <n v="0"/>
    <m/>
    <s v="QUITO-PICHINCHA"/>
    <m/>
    <m/>
    <m/>
  </r>
  <r>
    <x v="0"/>
    <x v="0"/>
    <d v="2022-11-28T00:00:00"/>
    <d v="2022-11-28T00:00:00"/>
    <s v="FE001"/>
    <s v="NE 100015882"/>
    <n v="109429"/>
    <s v="Entregas - CN1315662823001"/>
    <m/>
    <s v="QUITO"/>
    <n v="51010101"/>
    <s v="Costo de ventas Quito"/>
    <m/>
    <n v="24.21"/>
    <n v="-24.21"/>
    <x v="1"/>
    <n v="1363795.67"/>
    <s v="-24.21"/>
    <s v="jcortiz"/>
    <n v="0"/>
    <m/>
    <s v="QUITO-PICHINCHA"/>
    <m/>
    <m/>
    <m/>
  </r>
  <r>
    <x v="0"/>
    <x v="0"/>
    <d v="2022-11-28T00:00:00"/>
    <d v="2022-11-28T00:00:00"/>
    <s v="Anula"/>
    <s v="EP 200450"/>
    <n v="109432"/>
    <s v="Pedido de entrada de mercancías - Cancelación - PN"/>
    <m/>
    <m/>
    <n v="201040506"/>
    <s v="Facturas por Confirmar"/>
    <m/>
    <n v="130.37"/>
    <n v="-130.37"/>
    <x v="2"/>
    <n v="1363665.3"/>
    <s v="-130.37"/>
    <s v="jcortiz"/>
    <n v="0"/>
    <m/>
    <m/>
    <m/>
    <m/>
    <m/>
  </r>
  <r>
    <x v="0"/>
    <x v="0"/>
    <d v="2022-11-28T00:00:00"/>
    <d v="2022-11-28T00:00:00"/>
    <s v="FE001"/>
    <s v="IM 100003437"/>
    <n v="109439"/>
    <s v="Traslados - CN1792079160001"/>
    <m/>
    <m/>
    <n v="101060402"/>
    <s v="Inventario de prod. term. y mercad. en Bodega BULLSYPPLY Coca"/>
    <m/>
    <n v="2743.98"/>
    <n v="-2743.98"/>
    <x v="3"/>
    <n v="1360921.32"/>
    <s v="-2743.98"/>
    <s v="jcortiz"/>
    <n v="0"/>
    <m/>
    <m/>
    <m/>
    <m/>
    <m/>
  </r>
  <r>
    <x v="0"/>
    <x v="0"/>
    <d v="2022-11-29T00:00:00"/>
    <d v="2022-11-29T00:00:00"/>
    <s v="FE001"/>
    <s v="NE 100015885"/>
    <n v="109458"/>
    <s v="Entregas - CN1802461440001"/>
    <m/>
    <s v="QUITO"/>
    <n v="51010101"/>
    <s v="Costo de ventas Quito"/>
    <m/>
    <n v="161.96"/>
    <n v="-161.96"/>
    <x v="1"/>
    <n v="1360759.36"/>
    <s v="-161.96"/>
    <s v="jcortiz"/>
    <n v="0"/>
    <m/>
    <s v="QUITO-PICHINCHA"/>
    <m/>
    <m/>
    <m/>
  </r>
  <r>
    <x v="0"/>
    <x v="0"/>
    <d v="2022-11-29T00:00:00"/>
    <d v="2022-11-29T00:00:00"/>
    <s v="FE001"/>
    <s v="NE 100015886"/>
    <n v="109461"/>
    <s v="Entregas - CN1708553464001"/>
    <m/>
    <s v="QUITO"/>
    <n v="51010101"/>
    <s v="Costo de ventas Quito"/>
    <m/>
    <n v="91.79"/>
    <n v="-91.79"/>
    <x v="1"/>
    <n v="1360667.57"/>
    <s v="-91.79"/>
    <s v="jcortiz"/>
    <n v="0"/>
    <m/>
    <s v="QUITO-PICHINCHA"/>
    <m/>
    <m/>
    <m/>
  </r>
  <r>
    <x v="0"/>
    <x v="0"/>
    <d v="2022-11-29T00:00:00"/>
    <d v="2022-11-29T00:00:00"/>
    <s v="FE001"/>
    <s v="NE 100015887"/>
    <n v="109466"/>
    <s v="Entregas - CN1714787163001"/>
    <m/>
    <s v="QUITO"/>
    <n v="51010101"/>
    <s v="Costo de ventas Quito"/>
    <m/>
    <n v="14.21"/>
    <n v="-14.21"/>
    <x v="1"/>
    <n v="1360653.36"/>
    <s v="-14.21"/>
    <s v="jcortiz"/>
    <n v="0"/>
    <m/>
    <s v="QUITO-PICHINCHA"/>
    <m/>
    <m/>
    <m/>
  </r>
  <r>
    <x v="0"/>
    <x v="0"/>
    <d v="2022-11-29T00:00:00"/>
    <d v="2022-11-29T00:00:00"/>
    <s v="FE001"/>
    <s v="NE 100015888"/>
    <n v="109467"/>
    <s v="Entregas - CN1801252170001"/>
    <m/>
    <s v="QUITO"/>
    <n v="51010101"/>
    <s v="Costo de ventas Quito"/>
    <m/>
    <n v="94.63"/>
    <n v="-94.63"/>
    <x v="1"/>
    <n v="1360558.73"/>
    <s v="-94.63"/>
    <s v="jcortiz"/>
    <n v="0"/>
    <m/>
    <s v="QUITO-PICHINCHA"/>
    <m/>
    <m/>
    <m/>
  </r>
  <r>
    <x v="0"/>
    <x v="0"/>
    <d v="2022-11-29T00:00:00"/>
    <d v="2022-11-29T00:00:00"/>
    <s v="Primario"/>
    <s v="EP 6449"/>
    <n v="109494"/>
    <s v="Pedido de entrada de mercancías - PN0990281866001"/>
    <m/>
    <m/>
    <n v="201040506"/>
    <s v="Facturas por Confirmar"/>
    <n v="3117.72"/>
    <m/>
    <n v="3117.72"/>
    <x v="2"/>
    <n v="1363676.45"/>
    <s v="3117.72"/>
    <s v="jcortiz"/>
    <n v="0"/>
    <m/>
    <m/>
    <m/>
    <m/>
    <m/>
  </r>
  <r>
    <x v="0"/>
    <x v="0"/>
    <d v="2022-11-29T00:00:00"/>
    <d v="2022-11-29T00:00:00"/>
    <s v="FE001"/>
    <s v="IM 100003438"/>
    <n v="109496"/>
    <s v="Traslados - CN1792079160001"/>
    <m/>
    <m/>
    <n v="101060402"/>
    <s v="Inventario de prod. term. y mercad. en Bodega BULLSYPPLY Coca"/>
    <m/>
    <n v="3117.72"/>
    <n v="-3117.72"/>
    <x v="3"/>
    <n v="1360558.73"/>
    <s v="-3117.72"/>
    <s v="jcortiz"/>
    <n v="0"/>
    <m/>
    <m/>
    <m/>
    <m/>
    <m/>
  </r>
  <r>
    <x v="0"/>
    <x v="0"/>
    <d v="2022-11-29T00:00:00"/>
    <d v="2022-11-29T00:00:00"/>
    <s v="FE001"/>
    <s v="NE 100015893"/>
    <n v="109499"/>
    <s v="Entregas - CN1791263308001"/>
    <m/>
    <s v="QUITO"/>
    <n v="51010101"/>
    <s v="Costo de ventas Quito"/>
    <m/>
    <n v="2305.39"/>
    <n v="-2305.39"/>
    <x v="1"/>
    <n v="1358253.34"/>
    <s v="-2305.39"/>
    <s v="jcortiz"/>
    <n v="0"/>
    <m/>
    <s v="QUITO-PICHINCHA"/>
    <m/>
    <m/>
    <m/>
  </r>
  <r>
    <x v="0"/>
    <x v="0"/>
    <d v="2022-11-29T00:00:00"/>
    <d v="2022-11-29T00:00:00"/>
    <s v="Primario"/>
    <s v="EP 6450"/>
    <n v="109500"/>
    <s v="Pedido de entrada de mercancías - PN1791834399001"/>
    <m/>
    <m/>
    <n v="201040506"/>
    <s v="Facturas por Confirmar"/>
    <n v="886.04"/>
    <m/>
    <n v="886.04"/>
    <x v="2"/>
    <n v="1359139.38"/>
    <s v="886.04"/>
    <s v="jcortiz"/>
    <n v="0"/>
    <m/>
    <m/>
    <m/>
    <m/>
    <m/>
  </r>
  <r>
    <x v="0"/>
    <x v="0"/>
    <d v="2022-11-29T00:00:00"/>
    <d v="2022-11-29T00:00:00"/>
    <s v="Primario"/>
    <s v="EP 6451"/>
    <n v="109501"/>
    <s v="Pedido de entrada de mercancías - PN1791834399001"/>
    <m/>
    <m/>
    <n v="201040506"/>
    <s v="Facturas por Confirmar"/>
    <n v="64.400000000000006"/>
    <m/>
    <n v="64.400000000000006"/>
    <x v="2"/>
    <n v="1359203.78"/>
    <s v="64.40"/>
    <s v="jcortiz"/>
    <n v="0"/>
    <m/>
    <m/>
    <m/>
    <m/>
    <m/>
  </r>
  <r>
    <x v="0"/>
    <x v="0"/>
    <d v="2022-11-29T00:00:00"/>
    <d v="2022-11-29T00:00:00"/>
    <s v="Primario"/>
    <s v="EP 6452"/>
    <n v="109502"/>
    <s v="Pedido de entrada de mercancías - PN1791834399001"/>
    <m/>
    <m/>
    <n v="201040506"/>
    <s v="Facturas por Confirmar"/>
    <n v="326.39999999999998"/>
    <m/>
    <n v="326.39999999999998"/>
    <x v="2"/>
    <n v="1359530.18"/>
    <s v="326.40"/>
    <s v="jcortiz"/>
    <n v="0"/>
    <m/>
    <m/>
    <m/>
    <m/>
    <m/>
  </r>
  <r>
    <x v="0"/>
    <x v="0"/>
    <d v="2022-11-29T00:00:00"/>
    <d v="2022-11-29T00:00:00"/>
    <s v="FE001"/>
    <s v="NE 100015894"/>
    <n v="109503"/>
    <s v="Entregas - CN1791263308001"/>
    <m/>
    <s v="QUITO"/>
    <n v="51010101"/>
    <s v="Costo de ventas Quito"/>
    <m/>
    <n v="2812.53"/>
    <n v="-2812.53"/>
    <x v="1"/>
    <n v="1356717.65"/>
    <s v="-2812.53"/>
    <s v="jcortiz"/>
    <n v="0"/>
    <m/>
    <s v="QUITO-PICHINCHA"/>
    <m/>
    <m/>
    <m/>
  </r>
  <r>
    <x v="0"/>
    <x v="0"/>
    <d v="2022-11-29T00:00:00"/>
    <d v="2022-11-29T00:00:00"/>
    <s v="FE001"/>
    <s v="NE 100015896"/>
    <n v="109505"/>
    <s v="Entregas - CN1791263308001"/>
    <m/>
    <s v="QUITO"/>
    <n v="51010101"/>
    <s v="Costo de ventas Quito"/>
    <m/>
    <n v="759.18"/>
    <n v="-759.18"/>
    <x v="1"/>
    <n v="1355958.47"/>
    <s v="-759.18"/>
    <s v="jcortiz"/>
    <n v="0"/>
    <m/>
    <s v="QUITO-PICHINCHA"/>
    <m/>
    <m/>
    <m/>
  </r>
  <r>
    <x v="0"/>
    <x v="0"/>
    <d v="2022-11-29T00:00:00"/>
    <d v="2022-11-29T00:00:00"/>
    <s v="FE001"/>
    <s v="IM 100003439"/>
    <n v="109506"/>
    <s v="Traslados - CN1792079160001"/>
    <m/>
    <m/>
    <n v="101060402"/>
    <s v="Inventario de prod. term. y mercad. en Bodega BULLSYPPLY Coca"/>
    <n v="457.58"/>
    <m/>
    <n v="457.58"/>
    <x v="3"/>
    <n v="1356416.05"/>
    <s v="457.58"/>
    <s v="ancueva"/>
    <n v="0"/>
    <m/>
    <m/>
    <m/>
    <m/>
    <m/>
  </r>
  <r>
    <x v="0"/>
    <x v="0"/>
    <d v="2022-11-29T00:00:00"/>
    <d v="2022-11-29T00:00:00"/>
    <s v="FE001"/>
    <s v="NE 100015898"/>
    <n v="109508"/>
    <s v="Entregas - CN1791263308001"/>
    <m/>
    <s v="QUITO"/>
    <n v="51010101"/>
    <s v="Costo de ventas Quito"/>
    <m/>
    <n v="46737.440000000002"/>
    <n v="-46737.440000000002"/>
    <x v="1"/>
    <n v="1309678.6100000001"/>
    <s v="-46737.44"/>
    <s v="jcortiz"/>
    <n v="0"/>
    <m/>
    <s v="QUITO-PICHINCHA"/>
    <m/>
    <m/>
    <m/>
  </r>
  <r>
    <x v="0"/>
    <x v="0"/>
    <d v="2022-11-29T00:00:00"/>
    <d v="2022-11-29T00:00:00"/>
    <s v="FE001"/>
    <s v="NE 100015899"/>
    <n v="109509"/>
    <s v="Entregas - CN1714787163001"/>
    <m/>
    <s v="QUITO"/>
    <n v="51010101"/>
    <s v="Costo de ventas Quito"/>
    <m/>
    <n v="31.63"/>
    <n v="-31.63"/>
    <x v="1"/>
    <n v="1309646.98"/>
    <s v="-31.63"/>
    <s v="jcortiz"/>
    <n v="0"/>
    <m/>
    <s v="QUITO-PICHINCHA"/>
    <m/>
    <m/>
    <m/>
  </r>
  <r>
    <x v="0"/>
    <x v="0"/>
    <d v="2022-11-29T00:00:00"/>
    <d v="2022-11-29T00:00:00"/>
    <s v="FE001"/>
    <s v="NE 100015900"/>
    <n v="109510"/>
    <s v="Entregas - CN1703862985001"/>
    <m/>
    <s v="QUITO"/>
    <n v="51010101"/>
    <s v="Costo de ventas Quito"/>
    <m/>
    <n v="11.22"/>
    <n v="-11.22"/>
    <x v="1"/>
    <n v="1309635.76"/>
    <s v="-11.22"/>
    <s v="jcortiz"/>
    <n v="0"/>
    <m/>
    <s v="QUITO-PICHINCHA"/>
    <m/>
    <m/>
    <m/>
  </r>
  <r>
    <x v="0"/>
    <x v="0"/>
    <d v="2022-11-29T00:00:00"/>
    <d v="2022-11-29T00:00:00"/>
    <s v="FE001"/>
    <s v="NE 100015901"/>
    <n v="109514"/>
    <s v="Entregas - CN1790150569001"/>
    <m/>
    <s v="QUITO"/>
    <n v="51010101"/>
    <s v="Costo de ventas Quito"/>
    <m/>
    <n v="457.58"/>
    <n v="-457.58"/>
    <x v="1"/>
    <n v="1309178.18"/>
    <s v="-457.58"/>
    <s v="jcortiz"/>
    <n v="0"/>
    <m/>
    <s v="QUITO-PICHINCHA"/>
    <m/>
    <m/>
    <m/>
  </r>
  <r>
    <x v="0"/>
    <x v="0"/>
    <d v="2022-11-29T00:00:00"/>
    <d v="2022-11-29T00:00:00"/>
    <s v="FE001"/>
    <s v="NE 100015902"/>
    <n v="109516"/>
    <s v="Entregas - CN1707925168001"/>
    <m/>
    <s v="QUITO"/>
    <n v="51010101"/>
    <s v="Costo de ventas Quito"/>
    <m/>
    <n v="100.56"/>
    <n v="-100.56"/>
    <x v="1"/>
    <n v="1309077.6200000001"/>
    <s v="-100.56"/>
    <s v="jcortiz"/>
    <n v="0"/>
    <m/>
    <s v="QUITO-PICHINCHA"/>
    <m/>
    <m/>
    <m/>
  </r>
  <r>
    <x v="0"/>
    <x v="0"/>
    <d v="2022-11-30T00:00:00"/>
    <d v="2022-11-30T00:00:00"/>
    <s v="FE001"/>
    <s v="NE 100015910"/>
    <n v="109532"/>
    <s v="Entregas - CN1715188270001"/>
    <m/>
    <s v="QUITO"/>
    <n v="51010101"/>
    <s v="Costo de ventas Quito"/>
    <m/>
    <n v="710.68"/>
    <n v="-710.68"/>
    <x v="1"/>
    <n v="1308366.94"/>
    <s v="-710.68"/>
    <s v="jcortiz"/>
    <n v="0"/>
    <m/>
    <s v="QUITO-PICHINCHA"/>
    <m/>
    <m/>
    <m/>
  </r>
  <r>
    <x v="0"/>
    <x v="0"/>
    <d v="2022-11-30T00:00:00"/>
    <d v="2022-11-30T00:00:00"/>
    <s v="FE001"/>
    <s v="NE 100015911"/>
    <n v="109533"/>
    <s v="Entregas - CN1792073898001"/>
    <m/>
    <s v="QUITO"/>
    <n v="51010101"/>
    <s v="Costo de ventas Quito"/>
    <m/>
    <n v="19.850000000000001"/>
    <n v="-19.850000000000001"/>
    <x v="1"/>
    <n v="1308347.0900000001"/>
    <s v="-19.85"/>
    <s v="jcortiz"/>
    <n v="0"/>
    <m/>
    <s v="QUITO-PICHINCHA"/>
    <m/>
    <m/>
    <m/>
  </r>
  <r>
    <x v="0"/>
    <x v="0"/>
    <d v="2022-11-30T00:00:00"/>
    <d v="2022-11-30T00:00:00"/>
    <s v="Primario"/>
    <s v="EP 6453"/>
    <n v="109534"/>
    <s v="Pedido de entrada de mercancías - PN1791834399001"/>
    <m/>
    <m/>
    <n v="201040506"/>
    <s v="Facturas por Confirmar"/>
    <n v="788.73"/>
    <m/>
    <n v="788.73"/>
    <x v="2"/>
    <n v="1309135.82"/>
    <s v="788.73"/>
    <s v="jcortiz"/>
    <n v="0"/>
    <m/>
    <m/>
    <m/>
    <m/>
    <m/>
  </r>
  <r>
    <x v="0"/>
    <x v="0"/>
    <d v="2022-11-30T00:00:00"/>
    <d v="2022-11-30T00:00:00"/>
    <s v="Primario"/>
    <s v="EP 6454"/>
    <n v="109535"/>
    <s v="Pedido de entrada de mercancías - PN1791834399001"/>
    <m/>
    <m/>
    <n v="201040506"/>
    <s v="Facturas por Confirmar"/>
    <n v="157.49"/>
    <m/>
    <n v="157.49"/>
    <x v="2"/>
    <n v="1309293.31"/>
    <s v="157.49"/>
    <s v="jcortiz"/>
    <n v="0"/>
    <m/>
    <m/>
    <m/>
    <m/>
    <m/>
  </r>
  <r>
    <x v="0"/>
    <x v="0"/>
    <d v="2022-11-30T00:00:00"/>
    <d v="2022-11-30T00:00:00"/>
    <s v="Primario"/>
    <s v="EP 6455"/>
    <n v="109536"/>
    <s v="Pedido de entrada de mercancías - PN1791834399001"/>
    <m/>
    <m/>
    <n v="201040506"/>
    <s v="Facturas por Confirmar"/>
    <n v="363.88"/>
    <m/>
    <n v="363.88"/>
    <x v="2"/>
    <n v="1309657.19"/>
    <s v="363.88"/>
    <s v="jcortiz"/>
    <n v="0"/>
    <m/>
    <m/>
    <m/>
    <m/>
    <m/>
  </r>
  <r>
    <x v="0"/>
    <x v="0"/>
    <d v="2022-11-30T00:00:00"/>
    <d v="2022-11-30T00:00:00"/>
    <s v="FE001"/>
    <s v="NE 100015912"/>
    <n v="109537"/>
    <s v="Entregas - CN1792073898001"/>
    <m/>
    <s v="QUITO"/>
    <n v="51010101"/>
    <s v="Costo de ventas Quito"/>
    <m/>
    <n v="18.64"/>
    <n v="-18.64"/>
    <x v="1"/>
    <n v="1309638.55"/>
    <s v="-18.64"/>
    <s v="jcortiz"/>
    <n v="0"/>
    <m/>
    <s v="QUITO-PICHINCHA"/>
    <m/>
    <m/>
    <m/>
  </r>
  <r>
    <x v="0"/>
    <x v="0"/>
    <d v="2022-11-30T00:00:00"/>
    <d v="2022-11-30T00:00:00"/>
    <s v="FE001"/>
    <s v="NE 100015913"/>
    <n v="109538"/>
    <s v="Entrega - Cancelación - CN1792073898001"/>
    <m/>
    <s v="QUITO"/>
    <n v="51010101"/>
    <s v="Costo de ventas Quito"/>
    <n v="18.64"/>
    <m/>
    <n v="18.64"/>
    <x v="1"/>
    <n v="1309657.19"/>
    <s v="18.64"/>
    <s v="jcortiz"/>
    <n v="0"/>
    <m/>
    <s v="QUITO-PICHINCHA"/>
    <m/>
    <m/>
    <m/>
  </r>
  <r>
    <x v="0"/>
    <x v="0"/>
    <d v="2022-11-30T00:00:00"/>
    <d v="2022-11-30T00:00:00"/>
    <s v="FE001"/>
    <s v="NE 100015914"/>
    <n v="109539"/>
    <s v="Entregas - CN1792073898001"/>
    <m/>
    <s v="QUITO"/>
    <n v="51010101"/>
    <s v="Costo de ventas Quito"/>
    <m/>
    <n v="20.69"/>
    <n v="-20.69"/>
    <x v="1"/>
    <n v="1309636.5"/>
    <s v="-20.69"/>
    <s v="jcortiz"/>
    <n v="0"/>
    <m/>
    <s v="QUITO-PICHINCHA"/>
    <m/>
    <m/>
    <m/>
  </r>
  <r>
    <x v="0"/>
    <x v="0"/>
    <d v="2022-11-30T00:00:00"/>
    <d v="2022-11-30T00:00:00"/>
    <s v="FE001"/>
    <s v="NE 100015915"/>
    <n v="109541"/>
    <s v="Entregas - CN1791263308001"/>
    <m/>
    <s v="QUITO"/>
    <n v="51010101"/>
    <s v="Costo de ventas Quito"/>
    <m/>
    <n v="8303.2000000000007"/>
    <n v="-8303.2000000000007"/>
    <x v="1"/>
    <n v="1301333.3"/>
    <s v="-8303.20"/>
    <s v="jcortiz"/>
    <n v="0"/>
    <m/>
    <s v="QUITO-PICHINCHA"/>
    <m/>
    <m/>
    <m/>
  </r>
  <r>
    <x v="0"/>
    <x v="0"/>
    <d v="2022-11-30T00:00:00"/>
    <d v="2022-11-30T00:00:00"/>
    <s v="FE001"/>
    <s v="NE 100015916"/>
    <n v="109542"/>
    <s v="Entregas - CN1791263308001"/>
    <m/>
    <s v="QUITO"/>
    <n v="51010101"/>
    <s v="Costo de ventas Quito"/>
    <m/>
    <n v="2.85"/>
    <n v="-2.85"/>
    <x v="1"/>
    <n v="1301330.45"/>
    <s v="-2.85"/>
    <s v="jcortiz"/>
    <n v="0"/>
    <m/>
    <s v="QUITO-PICHINCHA"/>
    <m/>
    <m/>
    <m/>
  </r>
  <r>
    <x v="0"/>
    <x v="0"/>
    <d v="2022-11-30T00:00:00"/>
    <d v="2022-11-30T00:00:00"/>
    <s v="FE001"/>
    <s v="NE 100015917"/>
    <n v="109543"/>
    <s v="Entregas - CN1791263308001"/>
    <m/>
    <s v="QUITO"/>
    <n v="51010101"/>
    <s v="Costo de ventas Quito"/>
    <m/>
    <n v="157.49"/>
    <n v="-157.49"/>
    <x v="1"/>
    <n v="1301172.96"/>
    <s v="-157.49"/>
    <s v="jcortiz"/>
    <n v="0"/>
    <m/>
    <s v="QUITO-PICHINCHA"/>
    <m/>
    <m/>
    <m/>
  </r>
  <r>
    <x v="0"/>
    <x v="0"/>
    <d v="2022-11-30T00:00:00"/>
    <d v="2022-11-30T00:00:00"/>
    <s v="Primario"/>
    <s v="EP 6456"/>
    <n v="109547"/>
    <s v="Pedido de entrada de mercancías - PN1717177495001"/>
    <m/>
    <m/>
    <n v="201040506"/>
    <s v="Facturas por Confirmar"/>
    <n v="210"/>
    <m/>
    <n v="210"/>
    <x v="2"/>
    <n v="1301382.96"/>
    <s v="210.00"/>
    <s v="jcortiz"/>
    <n v="0"/>
    <m/>
    <m/>
    <m/>
    <m/>
    <m/>
  </r>
  <r>
    <x v="0"/>
    <x v="0"/>
    <d v="2022-11-30T00:00:00"/>
    <d v="2022-11-30T00:00:00"/>
    <s v="Primario"/>
    <s v="EP 6457"/>
    <n v="109548"/>
    <s v="Pedido de entrada de mercancías - PN1717177495001"/>
    <m/>
    <m/>
    <n v="201040506"/>
    <s v="Facturas por Confirmar"/>
    <n v="891"/>
    <m/>
    <n v="891"/>
    <x v="2"/>
    <n v="1302273.96"/>
    <s v="891.00"/>
    <s v="jcortiz"/>
    <n v="0"/>
    <m/>
    <m/>
    <m/>
    <m/>
    <m/>
  </r>
  <r>
    <x v="0"/>
    <x v="0"/>
    <d v="2022-11-30T00:00:00"/>
    <d v="2022-11-30T00:00:00"/>
    <s v="FE001"/>
    <s v="NE 100015920"/>
    <n v="109549"/>
    <s v="Entregas - CN1791263308001"/>
    <m/>
    <s v="QUITO"/>
    <n v="51010101"/>
    <s v="Costo de ventas Quito"/>
    <m/>
    <n v="210"/>
    <n v="-210"/>
    <x v="1"/>
    <n v="1302063.96"/>
    <s v="-210.00"/>
    <s v="jcortiz"/>
    <n v="0"/>
    <m/>
    <s v="QUITO-PICHINCHA"/>
    <m/>
    <m/>
    <m/>
  </r>
  <r>
    <x v="0"/>
    <x v="0"/>
    <d v="2022-11-30T00:00:00"/>
    <d v="2022-11-30T00:00:00"/>
    <s v="FE001"/>
    <s v="NE 100015921"/>
    <n v="109550"/>
    <s v="Entregas - CN1804437497001"/>
    <m/>
    <s v="QUITO"/>
    <n v="51010101"/>
    <s v="Costo de ventas Quito"/>
    <m/>
    <n v="593.12"/>
    <n v="-593.12"/>
    <x v="1"/>
    <n v="1301470.8400000001"/>
    <s v="-593.12"/>
    <s v="jcortiz"/>
    <n v="0"/>
    <m/>
    <s v="QUITO-PICHINCHA"/>
    <m/>
    <m/>
    <m/>
  </r>
  <r>
    <x v="0"/>
    <x v="0"/>
    <d v="2022-11-30T00:00:00"/>
    <d v="2022-11-30T00:00:00"/>
    <s v="FE001"/>
    <s v="NE 100015922"/>
    <n v="109551"/>
    <s v="Entregas - CN1791263308001"/>
    <m/>
    <s v="QUITO"/>
    <n v="51010101"/>
    <s v="Costo de ventas Quito"/>
    <m/>
    <n v="742.5"/>
    <n v="-742.5"/>
    <x v="1"/>
    <n v="1300728.3400000001"/>
    <s v="-742.50"/>
    <s v="jcortiz"/>
    <n v="0"/>
    <m/>
    <s v="QUITO-PICHINCHA"/>
    <m/>
    <m/>
    <m/>
  </r>
  <r>
    <x v="0"/>
    <x v="0"/>
    <d v="2022-11-30T00:00:00"/>
    <d v="2022-11-30T00:00:00"/>
    <s v="FE001"/>
    <s v="NE 100015923"/>
    <n v="109552"/>
    <s v="Entregas - CN1791263308001"/>
    <m/>
    <s v="QUITO"/>
    <n v="51010101"/>
    <s v="Costo de ventas Quito"/>
    <m/>
    <n v="148.5"/>
    <n v="-148.5"/>
    <x v="1"/>
    <n v="1300579.8400000001"/>
    <s v="-148.50"/>
    <s v="jcortiz"/>
    <n v="0"/>
    <m/>
    <s v="QUITO-PICHINCHA"/>
    <m/>
    <m/>
    <m/>
  </r>
  <r>
    <x v="0"/>
    <x v="0"/>
    <d v="2022-11-30T00:00:00"/>
    <d v="2022-11-30T00:00:00"/>
    <s v="FE001"/>
    <s v="IM 100003440"/>
    <n v="109555"/>
    <s v="Traslados - CN1792079160001"/>
    <m/>
    <m/>
    <n v="101060409"/>
    <s v="Inventario de prod. term. y mercad. en Bodega de materiales defectuosos"/>
    <n v="41.76"/>
    <m/>
    <n v="41.76"/>
    <x v="3"/>
    <n v="1300621.6000000001"/>
    <s v="41.76"/>
    <s v="ancueva"/>
    <n v="0"/>
    <m/>
    <m/>
    <m/>
    <m/>
    <m/>
  </r>
  <r>
    <x v="0"/>
    <x v="0"/>
    <d v="2022-11-30T00:00:00"/>
    <d v="2022-11-30T00:00:00"/>
    <s v="FE001"/>
    <s v="NE 100015924"/>
    <n v="109556"/>
    <s v="Entregas - CN1714787163001"/>
    <m/>
    <s v="QUITO"/>
    <n v="51010101"/>
    <s v="Costo de ventas Quito"/>
    <m/>
    <n v="106.91"/>
    <n v="-106.91"/>
    <x v="1"/>
    <n v="1300514.69"/>
    <s v="-106.91"/>
    <s v="jcortiz"/>
    <n v="0"/>
    <m/>
    <s v="QUITO-PICHINCHA"/>
    <m/>
    <m/>
    <m/>
  </r>
  <r>
    <x v="0"/>
    <x v="0"/>
    <d v="2022-11-30T00:00:00"/>
    <d v="2022-11-30T00:00:00"/>
    <s v="FE001"/>
    <s v="NE 100015925"/>
    <n v="109557"/>
    <s v="Entregas - CN1792226864001"/>
    <m/>
    <s v="QUITO"/>
    <n v="51010101"/>
    <s v="Costo de ventas Quito"/>
    <m/>
    <n v="315.33999999999997"/>
    <n v="-315.33999999999997"/>
    <x v="1"/>
    <n v="1300199.3500000001"/>
    <s v="-315.34"/>
    <s v="jcortiz"/>
    <n v="0"/>
    <m/>
    <s v="QUITO-PICHINCHA"/>
    <m/>
    <m/>
    <m/>
  </r>
  <r>
    <x v="0"/>
    <x v="0"/>
    <d v="2022-11-30T00:00:00"/>
    <d v="2022-11-30T00:00:00"/>
    <s v="FE001"/>
    <s v="NE 100015926"/>
    <n v="109559"/>
    <s v="Entregas - CN1792226864001"/>
    <m/>
    <s v="QUITO"/>
    <n v="51010101"/>
    <s v="Costo de ventas Quito"/>
    <m/>
    <n v="137.88999999999999"/>
    <n v="-137.88999999999999"/>
    <x v="1"/>
    <n v="1300061.46"/>
    <s v="-137.89"/>
    <s v="jcortiz"/>
    <n v="0"/>
    <m/>
    <s v="QUITO-PICHINCHA"/>
    <m/>
    <m/>
    <m/>
  </r>
  <r>
    <x v="0"/>
    <x v="0"/>
    <d v="2022-11-30T00:00:00"/>
    <d v="2022-11-30T00:00:00"/>
    <s v="FE001"/>
    <s v="NE 100016106"/>
    <n v="110427"/>
    <s v="Entrega - Cancelación - CN1715188270001"/>
    <m/>
    <s v="QUITO"/>
    <n v="51010101"/>
    <s v="Costo de ventas Quito"/>
    <n v="710.68"/>
    <m/>
    <n v="710.68"/>
    <x v="1"/>
    <n v="1300772.1399999999"/>
    <s v="710.68"/>
    <s v="jcortiz"/>
    <n v="0"/>
    <m/>
    <s v="QUITO-PICHINCHA"/>
    <m/>
    <m/>
    <m/>
  </r>
  <r>
    <x v="0"/>
    <x v="0"/>
    <d v="2022-12-01T00:00:00"/>
    <d v="2022-12-01T00:00:00"/>
    <s v="FE001"/>
    <s v="NE 100015927"/>
    <n v="109564"/>
    <s v="Entregas - CN1715188270001"/>
    <m/>
    <s v="QUITO"/>
    <n v="51010101"/>
    <s v="Costo de ventas Quito"/>
    <m/>
    <n v="363.88"/>
    <n v="-363.88"/>
    <x v="1"/>
    <n v="1300408.26"/>
    <s v="-363.88"/>
    <s v="jcortiz"/>
    <n v="0"/>
    <m/>
    <s v="QUITO-PICHINCHA"/>
    <m/>
    <m/>
    <m/>
  </r>
  <r>
    <x v="0"/>
    <x v="0"/>
    <d v="2022-12-01T00:00:00"/>
    <d v="2022-12-01T00:00:00"/>
    <s v="FE001"/>
    <s v="NE 100015928"/>
    <n v="109566"/>
    <s v="Entregas - CN1102853817001"/>
    <m/>
    <s v="QUITO"/>
    <n v="51010101"/>
    <s v="Costo de ventas Quito"/>
    <m/>
    <n v="690.13"/>
    <n v="-690.13"/>
    <x v="1"/>
    <n v="1299718.1299999999"/>
    <s v="-690.13"/>
    <s v="jcortiz"/>
    <n v="0"/>
    <m/>
    <s v="QUITO-PICHINCHA"/>
    <m/>
    <m/>
    <m/>
  </r>
  <r>
    <x v="0"/>
    <x v="0"/>
    <d v="2022-12-01T00:00:00"/>
    <d v="2022-12-01T00:00:00"/>
    <s v="Primario"/>
    <s v="EP 6458"/>
    <n v="109568"/>
    <s v="Pedido de entrada de mercancías - PN1390060757001"/>
    <m/>
    <m/>
    <n v="201040506"/>
    <s v="Facturas por Confirmar"/>
    <n v="4456.08"/>
    <m/>
    <n v="4456.08"/>
    <x v="2"/>
    <n v="1304174.21"/>
    <s v="4456.08"/>
    <s v="jcortiz"/>
    <n v="0"/>
    <m/>
    <m/>
    <m/>
    <m/>
    <m/>
  </r>
  <r>
    <x v="0"/>
    <x v="0"/>
    <d v="2022-12-01T00:00:00"/>
    <d v="2022-12-01T00:00:00"/>
    <s v="FE001"/>
    <s v="NE 100015929"/>
    <n v="109572"/>
    <s v="Entregas - CN1793070272001"/>
    <m/>
    <s v="QUITO"/>
    <n v="51010101"/>
    <s v="Costo de ventas Quito"/>
    <m/>
    <n v="34.799999999999997"/>
    <n v="-34.799999999999997"/>
    <x v="1"/>
    <n v="1304139.4099999999"/>
    <s v="-34.80"/>
    <s v="jcortiz"/>
    <n v="0"/>
    <m/>
    <s v="QUITO-PICHINCHA"/>
    <m/>
    <m/>
    <m/>
  </r>
  <r>
    <x v="0"/>
    <x v="0"/>
    <d v="2022-12-01T00:00:00"/>
    <d v="2022-12-01T00:00:00"/>
    <s v="FE001"/>
    <s v="RC 100000678"/>
    <n v="109575"/>
    <s v="Notas de crédito clientes - CN1792514541001"/>
    <m/>
    <s v="COCA"/>
    <s v="CN1792514541001"/>
    <s v="SERVICIOS INTEGRADOS PAÑATURI S.A."/>
    <n v="42.4"/>
    <m/>
    <n v="42.4"/>
    <x v="4"/>
    <n v="1304181.81"/>
    <s v="42.40"/>
    <s v="gcali"/>
    <n v="0"/>
    <m/>
    <s v="COCA-ORELLANA"/>
    <m/>
    <m/>
    <m/>
  </r>
  <r>
    <x v="0"/>
    <x v="0"/>
    <d v="2022-12-01T00:00:00"/>
    <d v="2022-12-01T00:00:00"/>
    <s v="FE001"/>
    <s v="NE 100015933"/>
    <n v="109581"/>
    <s v="Entregas - CN1715188270001"/>
    <m/>
    <s v="QUITO"/>
    <n v="51010101"/>
    <s v="Costo de ventas Quito"/>
    <m/>
    <n v="579.65"/>
    <n v="-579.65"/>
    <x v="1"/>
    <n v="1303602.1599999999"/>
    <s v="-579.65"/>
    <s v="jcortiz"/>
    <n v="0"/>
    <m/>
    <s v="QUITO-PICHINCHA"/>
    <m/>
    <m/>
    <m/>
  </r>
  <r>
    <x v="0"/>
    <x v="0"/>
    <d v="2022-12-01T00:00:00"/>
    <d v="2022-12-01T00:00:00"/>
    <s v="FE001"/>
    <s v="NE 100015934"/>
    <n v="109584"/>
    <s v="Entregas - CN1715188270001"/>
    <m/>
    <s v="QUITO"/>
    <n v="51010101"/>
    <s v="Costo de ventas Quito"/>
    <m/>
    <n v="41.76"/>
    <n v="-41.76"/>
    <x v="1"/>
    <n v="1303560.3999999999"/>
    <s v="-41.76"/>
    <s v="jcortiz"/>
    <n v="0"/>
    <m/>
    <s v="QUITO-PICHINCHA"/>
    <m/>
    <m/>
    <m/>
  </r>
  <r>
    <x v="0"/>
    <x v="0"/>
    <d v="2022-12-01T00:00:00"/>
    <d v="2022-12-01T00:00:00"/>
    <s v="FE001"/>
    <s v="NE 100015937"/>
    <n v="109606"/>
    <s v="Entregas - CN1791403916001"/>
    <m/>
    <s v="QUITO"/>
    <n v="51010101"/>
    <s v="Costo de ventas Quito"/>
    <m/>
    <n v="31.09"/>
    <n v="-31.09"/>
    <x v="1"/>
    <n v="1303529.31"/>
    <s v="-31.09"/>
    <s v="jcortiz"/>
    <n v="0"/>
    <m/>
    <s v="QUITO-PICHINCHA"/>
    <m/>
    <m/>
    <m/>
  </r>
  <r>
    <x v="0"/>
    <x v="0"/>
    <d v="2022-12-01T00:00:00"/>
    <d v="2022-12-01T00:00:00"/>
    <s v="FE001"/>
    <s v="IM 100003441"/>
    <n v="109607"/>
    <s v="Traslados - CN1792079160001"/>
    <m/>
    <m/>
    <n v="101060402"/>
    <s v="Inventario de prod. term. y mercad. en Bodega BULLSYPPLY Coca"/>
    <m/>
    <n v="330.92"/>
    <n v="-330.92"/>
    <x v="3"/>
    <n v="1303198.3899999999"/>
    <s v="-330.92"/>
    <s v="jcortiz"/>
    <n v="0"/>
    <m/>
    <m/>
    <m/>
    <m/>
    <m/>
  </r>
  <r>
    <x v="0"/>
    <x v="0"/>
    <d v="2022-12-01T00:00:00"/>
    <d v="2022-12-01T00:00:00"/>
    <s v="FE001"/>
    <s v="NE 100015939"/>
    <n v="109609"/>
    <s v="Entregas - CN1714787163001"/>
    <m/>
    <s v="QUITO"/>
    <n v="51010101"/>
    <s v="Costo de ventas Quito"/>
    <m/>
    <n v="97.52"/>
    <n v="-97.52"/>
    <x v="1"/>
    <n v="1303100.8700000001"/>
    <s v="-97.52"/>
    <s v="jcortiz"/>
    <n v="0"/>
    <m/>
    <s v="QUITO-PICHINCHA"/>
    <m/>
    <m/>
    <m/>
  </r>
  <r>
    <x v="0"/>
    <x v="0"/>
    <d v="2022-12-01T00:00:00"/>
    <d v="2022-12-01T00:00:00"/>
    <s v="FE001"/>
    <s v="IM 100003442"/>
    <n v="109616"/>
    <s v="Traslados - CN1792079160001"/>
    <m/>
    <m/>
    <n v="101060408"/>
    <s v="Inventario de prod. term. y mercad. en Bodega importaciones"/>
    <n v="171273.89"/>
    <m/>
    <n v="171273.89"/>
    <x v="3"/>
    <n v="1474374.76"/>
    <s v="171273.89"/>
    <s v="jcortiz"/>
    <n v="0"/>
    <m/>
    <m/>
    <m/>
    <m/>
    <m/>
  </r>
  <r>
    <x v="0"/>
    <x v="0"/>
    <d v="2022-12-01T00:00:00"/>
    <d v="2022-12-01T00:00:00"/>
    <s v="FE001"/>
    <s v="IM 100003443"/>
    <n v="109619"/>
    <s v="Traslados - CN1792079160001"/>
    <m/>
    <m/>
    <n v="101060402"/>
    <s v="Inventario de prod. term. y mercad. en Bodega BULLSYPPLY Coca"/>
    <m/>
    <n v="284196.21000000002"/>
    <n v="-284196.21000000002"/>
    <x v="3"/>
    <n v="1190178.55"/>
    <s v="-284196.21"/>
    <s v="jcortiz"/>
    <n v="0"/>
    <m/>
    <m/>
    <m/>
    <m/>
    <m/>
  </r>
  <r>
    <x v="0"/>
    <x v="0"/>
    <d v="2022-12-01T00:00:00"/>
    <d v="2022-12-01T00:00:00"/>
    <s v="FE001"/>
    <s v="IM 100003444"/>
    <n v="109620"/>
    <s v="Traslados -"/>
    <m/>
    <m/>
    <n v="101060402"/>
    <s v="Inventario de prod. term. y mercad. en Bodega BULLSYPPLY Coca"/>
    <n v="283426.08"/>
    <m/>
    <n v="283426.08"/>
    <x v="3"/>
    <n v="1473604.63"/>
    <s v="283426.08"/>
    <s v="jcortiz"/>
    <n v="0"/>
    <m/>
    <m/>
    <m/>
    <m/>
    <m/>
  </r>
  <r>
    <x v="0"/>
    <x v="0"/>
    <d v="2022-12-01T00:00:00"/>
    <d v="2022-12-01T00:00:00"/>
    <s v="Primario"/>
    <s v="EP 6460"/>
    <n v="109622"/>
    <s v="Pedido de entrada de mercancías - PN1791834399001"/>
    <m/>
    <m/>
    <n v="201040506"/>
    <s v="Facturas por Confirmar"/>
    <n v="43.52"/>
    <m/>
    <n v="43.52"/>
    <x v="2"/>
    <n v="1473648.15"/>
    <s v="43.52"/>
    <s v="jcortiz"/>
    <n v="0"/>
    <m/>
    <m/>
    <m/>
    <m/>
    <m/>
  </r>
  <r>
    <x v="0"/>
    <x v="0"/>
    <d v="2022-12-01T00:00:00"/>
    <d v="2022-12-01T00:00:00"/>
    <s v="Primario"/>
    <s v="EP 6461"/>
    <n v="109623"/>
    <s v="Pedido de entrada de mercancías - PN1791834399001"/>
    <m/>
    <m/>
    <n v="201040506"/>
    <s v="Facturas por Confirmar"/>
    <n v="226.1"/>
    <m/>
    <n v="226.1"/>
    <x v="2"/>
    <n v="1473874.25"/>
    <s v="226.10"/>
    <s v="jcortiz"/>
    <n v="0"/>
    <m/>
    <m/>
    <m/>
    <m/>
    <m/>
  </r>
  <r>
    <x v="0"/>
    <x v="0"/>
    <d v="2022-12-01T00:00:00"/>
    <d v="2022-12-01T00:00:00"/>
    <s v="Primario"/>
    <s v="EP 6462"/>
    <n v="109624"/>
    <s v="Pedido de entrada de mercancías - PN1791834399001"/>
    <m/>
    <m/>
    <n v="201040506"/>
    <s v="Facturas por Confirmar"/>
    <n v="109.56"/>
    <m/>
    <n v="109.56"/>
    <x v="2"/>
    <n v="1473983.81"/>
    <s v="109.56"/>
    <s v="jcortiz"/>
    <n v="0"/>
    <m/>
    <m/>
    <m/>
    <m/>
    <m/>
  </r>
  <r>
    <x v="0"/>
    <x v="0"/>
    <d v="2022-12-01T00:00:00"/>
    <d v="2022-12-01T00:00:00"/>
    <s v="FE001"/>
    <s v="IM 100003445"/>
    <n v="109625"/>
    <s v="Traslados - CN1792079160001"/>
    <m/>
    <m/>
    <n v="101060402"/>
    <s v="Inventario de prod. term. y mercad. en Bodega BULLSYPPLY Coca"/>
    <m/>
    <n v="218.35"/>
    <n v="-218.35"/>
    <x v="3"/>
    <n v="1473765.46"/>
    <s v="-218.35"/>
    <s v="jcortiz"/>
    <n v="0"/>
    <m/>
    <m/>
    <m/>
    <m/>
    <m/>
  </r>
  <r>
    <x v="0"/>
    <x v="0"/>
    <d v="2022-12-01T00:00:00"/>
    <d v="2022-12-01T00:00:00"/>
    <s v="FE001"/>
    <s v="NE 100015940"/>
    <n v="109627"/>
    <s v="Entregas - CN1791263308001"/>
    <m/>
    <s v="QUITO"/>
    <n v="51010101"/>
    <s v="Costo de ventas Quito"/>
    <m/>
    <n v="43.52"/>
    <n v="-43.52"/>
    <x v="1"/>
    <n v="1473721.94"/>
    <s v="-43.52"/>
    <s v="jcortiz"/>
    <n v="0"/>
    <m/>
    <s v="QUITO-PICHINCHA"/>
    <m/>
    <m/>
    <m/>
  </r>
  <r>
    <x v="0"/>
    <x v="0"/>
    <d v="2022-12-01T00:00:00"/>
    <d v="2022-12-01T00:00:00"/>
    <s v="FE001"/>
    <s v="NE 100015941"/>
    <n v="109630"/>
    <s v="Entregas - CN1791263308001"/>
    <m/>
    <s v="QUITO"/>
    <n v="51010101"/>
    <s v="Costo de ventas Quito"/>
    <m/>
    <n v="1093.82"/>
    <n v="-1093.82"/>
    <x v="1"/>
    <n v="1472628.12"/>
    <s v="-1093.82"/>
    <s v="jcortiz"/>
    <n v="0"/>
    <m/>
    <s v="QUITO-PICHINCHA"/>
    <m/>
    <m/>
    <m/>
  </r>
  <r>
    <x v="0"/>
    <x v="0"/>
    <d v="2022-12-01T00:00:00"/>
    <d v="2022-12-01T00:00:00"/>
    <s v="FE001"/>
    <s v="NE 100015942"/>
    <n v="109632"/>
    <s v="Entregas - CN1791768825001"/>
    <m/>
    <s v="QUITO"/>
    <n v="51010101"/>
    <s v="Costo de ventas Quito"/>
    <m/>
    <n v="282.18"/>
    <n v="-282.18"/>
    <x v="1"/>
    <n v="1472345.94"/>
    <s v="-282.18"/>
    <s v="jcortiz"/>
    <n v="0"/>
    <m/>
    <s v="QUITO-PICHINCHA"/>
    <m/>
    <m/>
    <m/>
  </r>
  <r>
    <x v="0"/>
    <x v="0"/>
    <d v="2022-12-01T00:00:00"/>
    <d v="2022-12-01T00:00:00"/>
    <s v="FE001"/>
    <s v="NE 100016078"/>
    <n v="110353"/>
    <s v="Entrega - Cancelación - CN1715188270001"/>
    <m/>
    <s v="QUITO"/>
    <n v="51010101"/>
    <s v="Costo de ventas Quito"/>
    <n v="41.76"/>
    <m/>
    <n v="41.76"/>
    <x v="1"/>
    <n v="1472387.7"/>
    <s v="41.76"/>
    <s v="jcortiz"/>
    <n v="0"/>
    <m/>
    <s v="QUITO-PICHINCHA"/>
    <m/>
    <m/>
    <m/>
  </r>
  <r>
    <x v="0"/>
    <x v="0"/>
    <d v="2022-12-01T00:00:00"/>
    <d v="2022-12-01T00:00:00"/>
    <s v="FE001"/>
    <s v="NE 100016108"/>
    <n v="110430"/>
    <s v="Entrega - Cancelación - CN1715188270001"/>
    <m/>
    <s v="QUITO"/>
    <n v="51010101"/>
    <s v="Costo de ventas Quito"/>
    <n v="363.88"/>
    <m/>
    <n v="363.88"/>
    <x v="1"/>
    <n v="1472751.58"/>
    <s v="363.88"/>
    <s v="jcortiz"/>
    <n v="0"/>
    <m/>
    <s v="QUITO-PICHINCHA"/>
    <m/>
    <m/>
    <m/>
  </r>
  <r>
    <x v="0"/>
    <x v="0"/>
    <d v="2022-12-01T00:00:00"/>
    <d v="2022-12-01T00:00:00"/>
    <s v="FE001"/>
    <s v="NE 100016110"/>
    <n v="110432"/>
    <s v="Entrega - Cancelación - CN1715188270001"/>
    <m/>
    <s v="QUITO"/>
    <n v="51010101"/>
    <s v="Costo de ventas Quito"/>
    <n v="579.65"/>
    <m/>
    <n v="579.65"/>
    <x v="1"/>
    <n v="1473331.23"/>
    <s v="579.65"/>
    <s v="jcortiz"/>
    <n v="0"/>
    <m/>
    <s v="QUITO-PICHINCHA"/>
    <m/>
    <m/>
    <m/>
  </r>
  <r>
    <x v="0"/>
    <x v="0"/>
    <d v="2022-12-02T00:00:00"/>
    <d v="2022-12-02T00:00:00"/>
    <s v="Primario"/>
    <s v="EP 6463"/>
    <n v="109642"/>
    <s v="Pedido de entrada de mercancías - PN1708725765001"/>
    <m/>
    <m/>
    <n v="201040506"/>
    <s v="Facturas por Confirmar"/>
    <n v="40"/>
    <m/>
    <n v="40"/>
    <x v="2"/>
    <n v="1473371.23"/>
    <s v="40.00"/>
    <s v="jcortiz"/>
    <n v="0"/>
    <m/>
    <m/>
    <m/>
    <m/>
    <m/>
  </r>
  <r>
    <x v="0"/>
    <x v="0"/>
    <d v="2022-12-02T00:00:00"/>
    <d v="2022-12-02T00:00:00"/>
    <s v="FE001"/>
    <s v="NE 100015943"/>
    <n v="109646"/>
    <s v="Entregas - CN1714787163001"/>
    <m/>
    <s v="QUITO"/>
    <n v="51010101"/>
    <s v="Costo de ventas Quito"/>
    <m/>
    <n v="26.81"/>
    <n v="-26.81"/>
    <x v="1"/>
    <n v="1473344.42"/>
    <s v="-26.81"/>
    <s v="jcortiz"/>
    <n v="0"/>
    <m/>
    <s v="QUITO-PICHINCHA"/>
    <m/>
    <m/>
    <m/>
  </r>
  <r>
    <x v="0"/>
    <x v="0"/>
    <d v="2022-12-02T00:00:00"/>
    <d v="2022-12-02T00:00:00"/>
    <s v="FE001"/>
    <s v="NE 100015944"/>
    <n v="109647"/>
    <s v="Entregas - CN1714787163001"/>
    <m/>
    <s v="QUITO"/>
    <n v="51010101"/>
    <s v="Costo de ventas Quito"/>
    <m/>
    <n v="26.68"/>
    <n v="-26.68"/>
    <x v="1"/>
    <n v="1473317.74"/>
    <s v="-26.68"/>
    <s v="jcortiz"/>
    <n v="0"/>
    <m/>
    <s v="QUITO-PICHINCHA"/>
    <m/>
    <m/>
    <m/>
  </r>
  <r>
    <x v="0"/>
    <x v="0"/>
    <d v="2022-12-02T00:00:00"/>
    <d v="2022-12-02T00:00:00"/>
    <s v="FE001"/>
    <s v="NE 100015945"/>
    <n v="109648"/>
    <s v="Entregas - CN1002297842001"/>
    <m/>
    <s v="QUITO"/>
    <n v="51010101"/>
    <s v="Costo de ventas Quito"/>
    <m/>
    <n v="262.47000000000003"/>
    <n v="-262.47000000000003"/>
    <x v="1"/>
    <n v="1473055.27"/>
    <s v="-262.47"/>
    <s v="jcortiz"/>
    <n v="0"/>
    <m/>
    <s v="QUITO-PICHINCHA"/>
    <m/>
    <m/>
    <m/>
  </r>
  <r>
    <x v="0"/>
    <x v="0"/>
    <d v="2022-12-02T00:00:00"/>
    <d v="2022-12-02T00:00:00"/>
    <s v="FE001"/>
    <s v="NE 100015946"/>
    <n v="109652"/>
    <s v="Entregas - CN1792212251001"/>
    <m/>
    <s v="QUITO"/>
    <n v="51010101"/>
    <s v="Costo de ventas Quito"/>
    <m/>
    <n v="732.84"/>
    <n v="-732.84"/>
    <x v="1"/>
    <n v="1472322.43"/>
    <s v="-732.84"/>
    <s v="jcortiz"/>
    <n v="0"/>
    <m/>
    <s v="QUITO-PICHINCHA"/>
    <m/>
    <m/>
    <m/>
  </r>
  <r>
    <x v="0"/>
    <x v="0"/>
    <d v="2022-12-02T00:00:00"/>
    <d v="2022-12-02T00:00:00"/>
    <s v="FE001"/>
    <s v="NE 100015947"/>
    <n v="109654"/>
    <s v="Entregas - CN1791265416001"/>
    <m/>
    <s v="QUITO"/>
    <n v="51010101"/>
    <s v="Costo de ventas Quito"/>
    <m/>
    <n v="477.21"/>
    <n v="-477.21"/>
    <x v="1"/>
    <n v="1471845.22"/>
    <s v="-477.21"/>
    <s v="jcortiz"/>
    <n v="0"/>
    <m/>
    <s v="QUITO-PICHINCHA"/>
    <m/>
    <m/>
    <m/>
  </r>
  <r>
    <x v="0"/>
    <x v="0"/>
    <d v="2022-12-02T00:00:00"/>
    <d v="2022-12-02T00:00:00"/>
    <s v="FE001"/>
    <s v="NE 100015948"/>
    <n v="109655"/>
    <s v="Entregas - CN1791265416001"/>
    <m/>
    <s v="QUITO"/>
    <n v="51010101"/>
    <s v="Costo de ventas Quito"/>
    <m/>
    <n v="2537.41"/>
    <n v="-2537.41"/>
    <x v="1"/>
    <n v="1469307.81"/>
    <s v="-2537.41"/>
    <s v="jcortiz"/>
    <n v="0"/>
    <m/>
    <s v="QUITO-PICHINCHA"/>
    <m/>
    <m/>
    <m/>
  </r>
  <r>
    <x v="0"/>
    <x v="0"/>
    <d v="2022-12-02T00:00:00"/>
    <d v="2022-12-02T00:00:00"/>
    <s v="FE001"/>
    <s v="NE 100015949"/>
    <n v="109656"/>
    <s v="Entregas - CN1791265416001"/>
    <m/>
    <s v="QUITO"/>
    <n v="51010101"/>
    <s v="Costo de ventas Quito"/>
    <m/>
    <n v="433.37"/>
    <n v="-433.37"/>
    <x v="1"/>
    <n v="1468874.44"/>
    <s v="-433.37"/>
    <s v="jcortiz"/>
    <n v="0"/>
    <m/>
    <s v="QUITO-PICHINCHA"/>
    <m/>
    <m/>
    <m/>
  </r>
  <r>
    <x v="0"/>
    <x v="0"/>
    <d v="2022-12-02T00:00:00"/>
    <d v="2022-12-02T00:00:00"/>
    <s v="FE001"/>
    <s v="RC 100000679"/>
    <n v="109660"/>
    <s v="Notas de crédito clientes - CN1708553464001"/>
    <m/>
    <s v="QUITO"/>
    <s v="CN1708553464001"/>
    <s v="ESQUIVEL ANDINO LUIS BAYARDO"/>
    <n v="698.98"/>
    <m/>
    <n v="698.98"/>
    <x v="4"/>
    <n v="1469573.42"/>
    <s v="698.98"/>
    <s v="gcali"/>
    <n v="0"/>
    <m/>
    <s v="QUITO-PICHINCHA"/>
    <m/>
    <m/>
    <m/>
  </r>
  <r>
    <x v="0"/>
    <x v="0"/>
    <d v="2022-12-02T00:00:00"/>
    <d v="2022-12-02T00:00:00"/>
    <s v="FE001"/>
    <s v="RC 100000680"/>
    <n v="109661"/>
    <s v="Notas de crédito clientes - CN1708553464001"/>
    <m/>
    <s v="QUITO"/>
    <s v="CN1708553464001"/>
    <s v="ESQUIVEL ANDINO LUIS BAYARDO"/>
    <n v="27.93"/>
    <m/>
    <n v="27.93"/>
    <x v="4"/>
    <n v="1469601.35"/>
    <s v="27.93"/>
    <s v="gcali"/>
    <n v="0"/>
    <m/>
    <s v="QUITO-PICHINCHA"/>
    <m/>
    <m/>
    <m/>
  </r>
  <r>
    <x v="0"/>
    <x v="0"/>
    <d v="2022-12-02T00:00:00"/>
    <d v="2022-12-02T00:00:00"/>
    <s v="FE001"/>
    <s v="NE 100015953"/>
    <n v="109663"/>
    <s v="Entregas - CN1708553464001"/>
    <m/>
    <s v="QUITO"/>
    <n v="51010101"/>
    <s v="Costo de ventas Quito"/>
    <m/>
    <n v="698.38"/>
    <n v="-698.38"/>
    <x v="1"/>
    <n v="1468902.97"/>
    <s v="-698.38"/>
    <s v="jcortiz"/>
    <n v="0"/>
    <m/>
    <s v="QUITO-PICHINCHA"/>
    <m/>
    <m/>
    <m/>
  </r>
  <r>
    <x v="0"/>
    <x v="0"/>
    <d v="2022-12-02T00:00:00"/>
    <d v="2022-12-02T00:00:00"/>
    <s v="FE001"/>
    <s v="NE 100015954"/>
    <n v="109664"/>
    <s v="Entregas - CN1708553464001"/>
    <m/>
    <s v="QUITO"/>
    <n v="51010101"/>
    <s v="Costo de ventas Quito"/>
    <m/>
    <n v="27.93"/>
    <n v="-27.93"/>
    <x v="1"/>
    <n v="1468875.04"/>
    <s v="-27.93"/>
    <s v="jcortiz"/>
    <n v="0"/>
    <m/>
    <s v="QUITO-PICHINCHA"/>
    <m/>
    <m/>
    <m/>
  </r>
  <r>
    <x v="0"/>
    <x v="0"/>
    <d v="2022-12-02T00:00:00"/>
    <d v="2022-12-02T00:00:00"/>
    <s v="FE001"/>
    <s v="NE 100015955"/>
    <n v="109667"/>
    <s v="Entregas - CN1721849147001"/>
    <m/>
    <s v="QUITO"/>
    <n v="51010101"/>
    <s v="Costo de ventas Quito"/>
    <m/>
    <n v="178.37"/>
    <n v="-178.37"/>
    <x v="1"/>
    <n v="1468696.67"/>
    <s v="-178.37"/>
    <s v="jcortiz"/>
    <n v="0"/>
    <m/>
    <s v="QUITO-PICHINCHA"/>
    <m/>
    <m/>
    <m/>
  </r>
  <r>
    <x v="0"/>
    <x v="0"/>
    <d v="2022-12-02T00:00:00"/>
    <d v="2022-12-02T00:00:00"/>
    <s v="FE001"/>
    <s v="NE 100015956"/>
    <n v="109669"/>
    <s v="Entregas - CN1792874939001"/>
    <m/>
    <s v="QUITO"/>
    <n v="51010101"/>
    <s v="Costo de ventas Quito"/>
    <m/>
    <n v="72.900000000000006"/>
    <n v="-72.900000000000006"/>
    <x v="1"/>
    <n v="1468623.77"/>
    <s v="-72.90"/>
    <s v="jcortiz"/>
    <n v="0"/>
    <m/>
    <s v="QUITO-PICHINCHA"/>
    <m/>
    <m/>
    <m/>
  </r>
  <r>
    <x v="0"/>
    <x v="0"/>
    <d v="2022-12-02T00:00:00"/>
    <d v="2022-12-02T00:00:00"/>
    <s v="FE001"/>
    <s v="NE 100015957"/>
    <n v="109670"/>
    <s v="Entregas - CN1792874939001"/>
    <m/>
    <s v="QUITO"/>
    <n v="51010101"/>
    <s v="Costo de ventas Quito"/>
    <m/>
    <n v="47.56"/>
    <n v="-47.56"/>
    <x v="1"/>
    <n v="1468576.21"/>
    <s v="-47.56"/>
    <s v="jcortiz"/>
    <n v="0"/>
    <m/>
    <s v="QUITO-PICHINCHA"/>
    <m/>
    <m/>
    <m/>
  </r>
  <r>
    <x v="0"/>
    <x v="0"/>
    <d v="2022-12-02T00:00:00"/>
    <d v="2022-12-02T00:00:00"/>
    <s v="FE001"/>
    <s v="NE 100015959"/>
    <n v="109672"/>
    <s v="Entregas - CN1708725765001"/>
    <m/>
    <s v="QUITO"/>
    <n v="51010101"/>
    <s v="Costo de ventas Quito"/>
    <m/>
    <n v="175.44"/>
    <n v="-175.44"/>
    <x v="1"/>
    <n v="1468400.77"/>
    <s v="-175.44"/>
    <s v="jcortiz"/>
    <n v="0"/>
    <m/>
    <s v="QUITO-PICHINCHA"/>
    <m/>
    <m/>
    <m/>
  </r>
  <r>
    <x v="0"/>
    <x v="0"/>
    <d v="2022-12-02T00:00:00"/>
    <d v="2022-12-02T00:00:00"/>
    <s v="FE001"/>
    <s v="NE 100015961"/>
    <n v="109674"/>
    <s v="Entregas - CN1802461440001"/>
    <m/>
    <s v="QUITO"/>
    <n v="51010101"/>
    <s v="Costo de ventas Quito"/>
    <m/>
    <n v="53.01"/>
    <n v="-53.01"/>
    <x v="1"/>
    <n v="1468347.76"/>
    <s v="-53.01"/>
    <s v="jcortiz"/>
    <n v="0"/>
    <m/>
    <s v="QUITO-PICHINCHA"/>
    <m/>
    <m/>
    <m/>
  </r>
  <r>
    <x v="0"/>
    <x v="0"/>
    <d v="2022-12-02T00:00:00"/>
    <d v="2022-12-02T00:00:00"/>
    <s v="FE001"/>
    <s v="IM 100003446"/>
    <n v="109676"/>
    <s v="Traslados - CN1792079160001"/>
    <m/>
    <m/>
    <n v="101060402"/>
    <s v="Inventario de prod. term. y mercad. en Bodega BULLSYPPLY Coca"/>
    <n v="297.83999999999997"/>
    <m/>
    <n v="297.83999999999997"/>
    <x v="3"/>
    <n v="1468645.6"/>
    <s v="297.84"/>
    <s v="ancueva"/>
    <n v="0"/>
    <m/>
    <m/>
    <m/>
    <m/>
    <m/>
  </r>
  <r>
    <x v="0"/>
    <x v="0"/>
    <d v="2022-12-06T00:00:00"/>
    <d v="2022-12-06T00:00:00"/>
    <s v="FE001"/>
    <s v="NE 100015966"/>
    <n v="109694"/>
    <s v="Entregas - CN1715188270001"/>
    <m/>
    <s v="QUITO"/>
    <n v="51010101"/>
    <s v="Costo de ventas Quito"/>
    <m/>
    <n v="282.18"/>
    <n v="-282.18"/>
    <x v="1"/>
    <n v="1468363.42"/>
    <s v="-282.18"/>
    <s v="jcortiz"/>
    <n v="0"/>
    <m/>
    <s v="QUITO-PICHINCHA"/>
    <m/>
    <m/>
    <m/>
  </r>
  <r>
    <x v="0"/>
    <x v="0"/>
    <d v="2022-12-06T00:00:00"/>
    <d v="2022-12-06T00:00:00"/>
    <s v="Primario"/>
    <s v="EP 6464"/>
    <n v="109695"/>
    <s v="Pedido de entrada de mercancías - PN1390060757001"/>
    <m/>
    <m/>
    <n v="201040506"/>
    <s v="Facturas por Confirmar"/>
    <n v="1923.8"/>
    <m/>
    <n v="1923.8"/>
    <x v="2"/>
    <n v="1470287.22"/>
    <s v="1923.80"/>
    <s v="jcortiz"/>
    <n v="0"/>
    <m/>
    <m/>
    <m/>
    <m/>
    <m/>
  </r>
  <r>
    <x v="0"/>
    <x v="0"/>
    <d v="2022-12-06T00:00:00"/>
    <d v="2022-12-06T00:00:00"/>
    <s v="FE001"/>
    <s v="NE 100015967"/>
    <n v="109698"/>
    <s v="Entregas - CN1801252170001"/>
    <m/>
    <s v="QUITO"/>
    <n v="51010101"/>
    <s v="Costo de ventas Quito"/>
    <m/>
    <n v="320.12"/>
    <n v="-320.12"/>
    <x v="1"/>
    <n v="1469967.1"/>
    <s v="-320.12"/>
    <s v="jcortiz"/>
    <n v="0"/>
    <m/>
    <s v="QUITO-PICHINCHA"/>
    <m/>
    <m/>
    <m/>
  </r>
  <r>
    <x v="0"/>
    <x v="0"/>
    <d v="2022-12-06T00:00:00"/>
    <d v="2022-12-06T00:00:00"/>
    <s v="FE001"/>
    <s v="IM 100003447"/>
    <n v="109703"/>
    <s v="Traslados - CN1792079160001"/>
    <m/>
    <m/>
    <n v="101060402"/>
    <s v="Inventario de prod. term. y mercad. en Bodega BULLSYPPLY Coca"/>
    <m/>
    <n v="4121.6000000000004"/>
    <n v="-4121.6000000000004"/>
    <x v="3"/>
    <n v="1465845.5"/>
    <s v="-4121.60"/>
    <s v="jcortiz"/>
    <n v="0"/>
    <m/>
    <m/>
    <m/>
    <m/>
    <m/>
  </r>
  <r>
    <x v="0"/>
    <x v="0"/>
    <d v="2022-12-06T00:00:00"/>
    <d v="2022-12-06T00:00:00"/>
    <s v="FE001"/>
    <s v="IM 100003448"/>
    <n v="109708"/>
    <s v="Traslados - CN1792079160001"/>
    <m/>
    <m/>
    <n v="101060402"/>
    <s v="Inventario de prod. term. y mercad. en Bodega BULLSYPPLY Coca"/>
    <m/>
    <n v="107010.95"/>
    <n v="-107010.95"/>
    <x v="3"/>
    <n v="1358834.55"/>
    <s v="-107010.95"/>
    <s v="jcortiz"/>
    <n v="0"/>
    <m/>
    <m/>
    <m/>
    <m/>
    <m/>
  </r>
  <r>
    <x v="0"/>
    <x v="0"/>
    <d v="2022-12-06T00:00:00"/>
    <d v="2022-12-06T00:00:00"/>
    <s v="FE001"/>
    <s v="NE 100015969"/>
    <n v="109729"/>
    <s v="Entregas - CN1714787163001"/>
    <m/>
    <s v="QUITO"/>
    <n v="51010101"/>
    <s v="Costo de ventas Quito"/>
    <m/>
    <n v="66.959999999999994"/>
    <n v="-66.959999999999994"/>
    <x v="1"/>
    <n v="1358767.59"/>
    <s v="-66.96"/>
    <s v="jcortiz"/>
    <n v="0"/>
    <m/>
    <s v="QUITO-PICHINCHA"/>
    <m/>
    <m/>
    <m/>
  </r>
  <r>
    <x v="0"/>
    <x v="0"/>
    <d v="2022-12-06T00:00:00"/>
    <d v="2022-12-06T00:00:00"/>
    <s v="FE001"/>
    <s v="NE 100015970"/>
    <n v="109730"/>
    <s v="Entregas - CN0101692655001"/>
    <m/>
    <s v="QUITO"/>
    <n v="51010101"/>
    <s v="Costo de ventas Quito"/>
    <m/>
    <n v="83.35"/>
    <n v="-83.35"/>
    <x v="1"/>
    <n v="1358684.24"/>
    <s v="-83.35"/>
    <s v="jcortiz"/>
    <n v="0"/>
    <m/>
    <s v="QUITO-PICHINCHA"/>
    <m/>
    <m/>
    <m/>
  </r>
  <r>
    <x v="0"/>
    <x v="0"/>
    <d v="2022-12-06T00:00:00"/>
    <d v="2022-12-06T00:00:00"/>
    <s v="FE001"/>
    <s v="NE 100015971"/>
    <n v="109731"/>
    <s v="Entregas - CN1791263308001"/>
    <m/>
    <s v="QUITO"/>
    <n v="51010101"/>
    <s v="Costo de ventas Quito"/>
    <m/>
    <n v="15.72"/>
    <n v="-15.72"/>
    <x v="1"/>
    <n v="1358668.52"/>
    <s v="-15.72"/>
    <s v="jcortiz"/>
    <n v="0"/>
    <m/>
    <s v="QUITO-PICHINCHA"/>
    <m/>
    <m/>
    <m/>
  </r>
  <r>
    <x v="0"/>
    <x v="0"/>
    <d v="2022-12-06T00:00:00"/>
    <d v="2022-12-06T00:00:00"/>
    <s v="FE001"/>
    <s v="NE 100015972"/>
    <n v="109734"/>
    <s v="Entregas - CN1717939720001"/>
    <m/>
    <s v="QUITO"/>
    <n v="51010101"/>
    <s v="Costo de ventas Quito"/>
    <m/>
    <n v="166.63"/>
    <n v="-166.63"/>
    <x v="1"/>
    <n v="1358501.89"/>
    <s v="-166.63"/>
    <s v="jcortiz"/>
    <n v="0"/>
    <m/>
    <s v="QUITO-PICHINCHA"/>
    <m/>
    <m/>
    <m/>
  </r>
  <r>
    <x v="0"/>
    <x v="0"/>
    <d v="2022-12-06T00:00:00"/>
    <d v="2022-12-06T00:00:00"/>
    <s v="FE001"/>
    <s v="IM 100003449"/>
    <n v="109735"/>
    <s v="Traslados - CN1792079160001"/>
    <m/>
    <m/>
    <n v="101060402"/>
    <s v="Inventario de prod. term. y mercad. en Bodega BULLSYPPLY Coca"/>
    <m/>
    <n v="1923.8"/>
    <n v="-1923.8"/>
    <x v="3"/>
    <n v="1356578.09"/>
    <s v="-1923.80"/>
    <s v="jcortiz"/>
    <n v="0"/>
    <m/>
    <m/>
    <m/>
    <m/>
    <m/>
  </r>
  <r>
    <x v="0"/>
    <x v="0"/>
    <d v="2022-12-06T00:00:00"/>
    <d v="2022-12-06T00:00:00"/>
    <s v="FE001"/>
    <s v="NE 100015974"/>
    <n v="109747"/>
    <s v="Entregas - CN1792874939001"/>
    <m/>
    <s v="QUITO"/>
    <n v="51010101"/>
    <s v="Costo de ventas Quito"/>
    <m/>
    <n v="224.94"/>
    <n v="-224.94"/>
    <x v="1"/>
    <n v="1356353.15"/>
    <s v="-224.94"/>
    <s v="jcortiz"/>
    <n v="0"/>
    <m/>
    <s v="QUITO-PICHINCHA"/>
    <m/>
    <m/>
    <m/>
  </r>
  <r>
    <x v="0"/>
    <x v="0"/>
    <d v="2022-12-06T00:00:00"/>
    <d v="2022-12-06T00:00:00"/>
    <s v="FE001"/>
    <s v="NE 100015975"/>
    <n v="109749"/>
    <s v="Entregas - CN1791265416001"/>
    <m/>
    <s v="QUITO"/>
    <n v="51010101"/>
    <s v="Costo de ventas Quito"/>
    <m/>
    <n v="2244.34"/>
    <n v="-2244.34"/>
    <x v="1"/>
    <n v="1354108.81"/>
    <s v="-2244.34"/>
    <s v="jcortiz"/>
    <n v="0"/>
    <m/>
    <s v="QUITO-PICHINCHA"/>
    <m/>
    <m/>
    <m/>
  </r>
  <r>
    <x v="0"/>
    <x v="0"/>
    <d v="2022-12-06T00:00:00"/>
    <d v="2022-12-06T00:00:00"/>
    <s v="Primario"/>
    <s v="EP 6465"/>
    <n v="109751"/>
    <s v="Pedido de entrada de mercancías - PN1791834399001"/>
    <m/>
    <m/>
    <n v="201040506"/>
    <s v="Facturas por Confirmar"/>
    <n v="10.72"/>
    <m/>
    <n v="10.72"/>
    <x v="2"/>
    <n v="1354119.53"/>
    <s v="10.72"/>
    <s v="jcortiz"/>
    <n v="0"/>
    <m/>
    <m/>
    <m/>
    <m/>
    <m/>
  </r>
  <r>
    <x v="0"/>
    <x v="0"/>
    <d v="2022-12-06T00:00:00"/>
    <d v="2022-12-06T00:00:00"/>
    <s v="Primario"/>
    <s v="EP 6466"/>
    <n v="109752"/>
    <s v="Pedido de entrada de mercancías - PN1791834399001"/>
    <m/>
    <m/>
    <n v="201040506"/>
    <s v="Facturas por Confirmar"/>
    <n v="294.83999999999997"/>
    <m/>
    <n v="294.83999999999997"/>
    <x v="2"/>
    <n v="1354414.37"/>
    <s v="294.84"/>
    <s v="jcortiz"/>
    <n v="0"/>
    <m/>
    <m/>
    <m/>
    <m/>
    <m/>
  </r>
  <r>
    <x v="0"/>
    <x v="0"/>
    <d v="2022-12-06T00:00:00"/>
    <d v="2022-12-06T00:00:00"/>
    <s v="FE001"/>
    <s v="NE 100015976"/>
    <n v="109753"/>
    <s v="Entregas - CN1791847776001"/>
    <m/>
    <s v="QUITO"/>
    <n v="51010101"/>
    <s v="Costo de ventas Quito"/>
    <m/>
    <n v="10.72"/>
    <n v="-10.72"/>
    <x v="1"/>
    <n v="1354403.65"/>
    <s v="-10.72"/>
    <s v="jcortiz"/>
    <n v="0"/>
    <m/>
    <s v="QUITO-PICHINCHA"/>
    <m/>
    <m/>
    <m/>
  </r>
  <r>
    <x v="0"/>
    <x v="0"/>
    <d v="2022-12-06T00:00:00"/>
    <d v="2022-12-06T00:00:00"/>
    <s v="FE001"/>
    <s v="NE 100015977"/>
    <n v="109754"/>
    <s v="Entregas - CN1791847776001"/>
    <m/>
    <s v="QUITO"/>
    <n v="51010101"/>
    <s v="Costo de ventas Quito"/>
    <m/>
    <n v="294.83999999999997"/>
    <n v="-294.83999999999997"/>
    <x v="1"/>
    <n v="1354108.81"/>
    <s v="-294.84"/>
    <s v="jcortiz"/>
    <n v="0"/>
    <m/>
    <s v="QUITO-PICHINCHA"/>
    <m/>
    <m/>
    <m/>
  </r>
  <r>
    <x v="0"/>
    <x v="0"/>
    <d v="2022-12-06T00:00:00"/>
    <d v="2022-12-06T00:00:00"/>
    <s v="FE001"/>
    <s v="NE 100015978"/>
    <n v="109755"/>
    <s v="Entregas - CN1802461440001"/>
    <m/>
    <s v="QUITO"/>
    <n v="51010101"/>
    <s v="Costo de ventas Quito"/>
    <m/>
    <n v="22.01"/>
    <n v="-22.01"/>
    <x v="1"/>
    <n v="1354086.8"/>
    <s v="-22.01"/>
    <s v="jcortiz"/>
    <n v="0"/>
    <m/>
    <s v="QUITO-PICHINCHA"/>
    <m/>
    <m/>
    <m/>
  </r>
  <r>
    <x v="0"/>
    <x v="0"/>
    <d v="2022-12-06T00:00:00"/>
    <d v="2022-12-06T00:00:00"/>
    <s v="Primario"/>
    <s v="SM 576"/>
    <n v="109757"/>
    <s v="Salida de mercancías"/>
    <m/>
    <s v="QUITO"/>
    <n v="51010101"/>
    <s v="Costo de ventas Quito"/>
    <m/>
    <n v="41.54"/>
    <n v="-41.54"/>
    <x v="1"/>
    <n v="1354045.26"/>
    <s v="-41.54"/>
    <s v="jcortiz"/>
    <n v="0"/>
    <m/>
    <s v="QUITO-PICHINCHA"/>
    <m/>
    <m/>
    <m/>
  </r>
  <r>
    <x v="0"/>
    <x v="0"/>
    <d v="2022-12-06T00:00:00"/>
    <d v="2022-12-06T00:00:00"/>
    <s v="Primario"/>
    <s v="EM 1734"/>
    <n v="109758"/>
    <s v="Entrada de mercancías"/>
    <m/>
    <m/>
    <n v="401030105"/>
    <s v="Otros Ingresos"/>
    <n v="31.31"/>
    <m/>
    <n v="31.31"/>
    <x v="5"/>
    <n v="1354076.57"/>
    <s v="31.31"/>
    <s v="jcortiz"/>
    <n v="0"/>
    <m/>
    <m/>
    <m/>
    <m/>
    <m/>
  </r>
  <r>
    <x v="0"/>
    <x v="0"/>
    <d v="2022-12-06T00:00:00"/>
    <d v="2022-12-06T00:00:00"/>
    <s v="FE001"/>
    <s v="IM 100003451"/>
    <n v="109760"/>
    <s v="Traslados - CN1792079160001"/>
    <m/>
    <m/>
    <n v="101060402"/>
    <s v="Inventario de prod. term. y mercad. en Bodega BULLSYPPLY Coca"/>
    <m/>
    <n v="20.23"/>
    <n v="-20.23"/>
    <x v="3"/>
    <n v="1354056.34"/>
    <s v="-20.23"/>
    <s v="jcortiz"/>
    <n v="0"/>
    <m/>
    <m/>
    <m/>
    <m/>
    <m/>
  </r>
  <r>
    <x v="0"/>
    <x v="0"/>
    <d v="2022-12-06T00:00:00"/>
    <d v="2022-12-06T00:00:00"/>
    <s v="Primario"/>
    <s v="SM 577"/>
    <n v="109761"/>
    <s v="Salida de mercancías"/>
    <m/>
    <s v="QUITO"/>
    <n v="51010101"/>
    <s v="Costo de ventas Quito"/>
    <m/>
    <n v="11.08"/>
    <n v="-11.08"/>
    <x v="1"/>
    <n v="1354045.26"/>
    <s v="-11.08"/>
    <s v="jcortiz"/>
    <n v="0"/>
    <m/>
    <s v="QUITO-PICHINCHA"/>
    <m/>
    <m/>
    <m/>
  </r>
  <r>
    <x v="0"/>
    <x v="0"/>
    <d v="2022-12-06T00:00:00"/>
    <d v="2022-12-06T00:00:00"/>
    <s v="FE001"/>
    <s v="RC 100000681"/>
    <n v="109763"/>
    <s v="Notas de crédito clientes - CN1792874939001"/>
    <m/>
    <s v="QUITO"/>
    <s v="CN1792874939001"/>
    <s v="IMPORTADORA JUAN CEVALLOS IJC S.A."/>
    <n v="194.26"/>
    <m/>
    <n v="194.26"/>
    <x v="4"/>
    <n v="1354239.52"/>
    <s v="194.26"/>
    <s v="gcali"/>
    <n v="0"/>
    <m/>
    <s v="QUITO-PICHINCHA"/>
    <m/>
    <m/>
    <m/>
  </r>
  <r>
    <x v="0"/>
    <x v="0"/>
    <d v="2022-12-06T00:00:00"/>
    <d v="2022-12-06T00:00:00"/>
    <s v="Primario"/>
    <s v="EP 6467"/>
    <n v="109766"/>
    <s v="Pedido de entrada de mercancías - PN1791834399001"/>
    <m/>
    <m/>
    <n v="201040506"/>
    <s v="Facturas por Confirmar"/>
    <n v="989.45"/>
    <m/>
    <n v="989.45"/>
    <x v="2"/>
    <n v="1355228.97"/>
    <s v="989.45"/>
    <s v="jcortiz"/>
    <n v="0"/>
    <m/>
    <m/>
    <m/>
    <m/>
    <m/>
  </r>
  <r>
    <x v="0"/>
    <x v="0"/>
    <d v="2022-12-06T00:00:00"/>
    <d v="2022-12-06T00:00:00"/>
    <s v="FE001"/>
    <s v="NE 100015980"/>
    <n v="109768"/>
    <s v="Entregas - CN1791774345001"/>
    <m/>
    <s v="QUITO"/>
    <n v="51010101"/>
    <s v="Costo de ventas Quito"/>
    <m/>
    <n v="989.45"/>
    <n v="-989.45"/>
    <x v="1"/>
    <n v="1354239.52"/>
    <s v="-989.45"/>
    <s v="jcortiz"/>
    <n v="0"/>
    <m/>
    <s v="QUITO-PICHINCHA"/>
    <m/>
    <m/>
    <m/>
  </r>
  <r>
    <x v="0"/>
    <x v="0"/>
    <d v="2022-12-06T00:00:00"/>
    <d v="2022-12-06T00:00:00"/>
    <s v="Primario"/>
    <s v="EP 6468"/>
    <n v="109771"/>
    <s v="Pedido de entrada de mercancías - PN1791834399001"/>
    <m/>
    <m/>
    <n v="201040506"/>
    <s v="Facturas por Confirmar"/>
    <n v="91.8"/>
    <m/>
    <n v="91.8"/>
    <x v="2"/>
    <n v="1354331.32"/>
    <s v="91.80"/>
    <s v="jcortiz"/>
    <n v="0"/>
    <m/>
    <m/>
    <m/>
    <m/>
    <m/>
  </r>
  <r>
    <x v="0"/>
    <x v="0"/>
    <d v="2022-12-06T00:00:00"/>
    <d v="2022-12-06T00:00:00"/>
    <s v="FE001"/>
    <s v="NE 100015981"/>
    <n v="109772"/>
    <s v="Entregas - CN1791265416001"/>
    <m/>
    <s v="QUITO"/>
    <n v="51010101"/>
    <s v="Costo de ventas Quito"/>
    <m/>
    <n v="91.8"/>
    <n v="-91.8"/>
    <x v="1"/>
    <n v="1354239.52"/>
    <s v="-91.80"/>
    <s v="jcortiz"/>
    <n v="0"/>
    <m/>
    <s v="QUITO-PICHINCHA"/>
    <m/>
    <m/>
    <m/>
  </r>
  <r>
    <x v="0"/>
    <x v="0"/>
    <d v="2022-12-06T00:00:00"/>
    <d v="2022-12-06T00:00:00"/>
    <s v="Primario"/>
    <s v="EP 6469"/>
    <n v="109776"/>
    <s v="Pedido de entrada de mercancías - PN0992860499001"/>
    <m/>
    <m/>
    <n v="201040506"/>
    <s v="Facturas por Confirmar"/>
    <n v="227.66"/>
    <m/>
    <n v="227.66"/>
    <x v="2"/>
    <n v="1354467.18"/>
    <s v="227.66"/>
    <s v="jcortiz"/>
    <n v="0"/>
    <m/>
    <m/>
    <m/>
    <m/>
    <m/>
  </r>
  <r>
    <x v="0"/>
    <x v="0"/>
    <d v="2022-12-06T00:00:00"/>
    <d v="2022-12-06T00:00:00"/>
    <s v="Primario"/>
    <s v="EP 6470"/>
    <n v="109777"/>
    <s v="Pedido de entrada de mercancías - PN0992860499001"/>
    <m/>
    <m/>
    <n v="201040506"/>
    <s v="Facturas por Confirmar"/>
    <n v="263.91000000000003"/>
    <m/>
    <n v="263.91000000000003"/>
    <x v="2"/>
    <n v="1354731.09"/>
    <s v="263.91"/>
    <s v="jcortiz"/>
    <n v="0"/>
    <m/>
    <m/>
    <m/>
    <m/>
    <m/>
  </r>
  <r>
    <x v="0"/>
    <x v="0"/>
    <d v="2022-12-06T00:00:00"/>
    <d v="2022-12-06T00:00:00"/>
    <s v="FE001"/>
    <s v="NE 100015983"/>
    <n v="109779"/>
    <s v="Entregas - CN1792368979001"/>
    <m/>
    <s v="QUITO"/>
    <n v="51010101"/>
    <s v="Costo de ventas Quito"/>
    <m/>
    <n v="491.57"/>
    <n v="-491.57"/>
    <x v="1"/>
    <n v="1354239.52"/>
    <s v="-491.57"/>
    <s v="jcortiz"/>
    <n v="0"/>
    <m/>
    <s v="QUITO-PICHINCHA"/>
    <m/>
    <m/>
    <m/>
  </r>
  <r>
    <x v="0"/>
    <x v="0"/>
    <d v="2022-12-06T00:00:00"/>
    <d v="2022-12-06T00:00:00"/>
    <s v="FE001"/>
    <s v="NE 100015984"/>
    <n v="109781"/>
    <s v="Entregas - CN1708294978001"/>
    <m/>
    <s v="QUITO"/>
    <n v="51010101"/>
    <s v="Costo de ventas Quito"/>
    <m/>
    <n v="57.27"/>
    <n v="-57.27"/>
    <x v="1"/>
    <n v="1354182.25"/>
    <s v="-57.27"/>
    <s v="jcortiz"/>
    <n v="0"/>
    <m/>
    <s v="QUITO-PICHINCHA"/>
    <m/>
    <m/>
    <m/>
  </r>
  <r>
    <x v="0"/>
    <x v="0"/>
    <d v="2022-12-06T00:00:00"/>
    <d v="2022-12-06T00:00:00"/>
    <s v="FE001"/>
    <s v="NE 100015985"/>
    <n v="109782"/>
    <s v="Entrega - Cancelación - CN1792368979001"/>
    <m/>
    <s v="QUITO"/>
    <n v="51010101"/>
    <s v="Costo de ventas Quito"/>
    <n v="491.57"/>
    <m/>
    <n v="491.57"/>
    <x v="1"/>
    <n v="1354673.82"/>
    <s v="491.57"/>
    <s v="jcortiz"/>
    <n v="0"/>
    <m/>
    <s v="QUITO-PICHINCHA"/>
    <m/>
    <m/>
    <m/>
  </r>
  <r>
    <x v="0"/>
    <x v="0"/>
    <d v="2022-12-06T00:00:00"/>
    <d v="2022-12-06T00:00:00"/>
    <s v="Anula"/>
    <s v="EP 200451"/>
    <n v="109783"/>
    <s v="Pedido de entrada de mercancías - Cancelación - PN"/>
    <m/>
    <m/>
    <n v="201040506"/>
    <s v="Facturas por Confirmar"/>
    <m/>
    <n v="263.91000000000003"/>
    <n v="-263.91000000000003"/>
    <x v="2"/>
    <n v="1354409.91"/>
    <s v="-263.91"/>
    <s v="jcortiz"/>
    <n v="0"/>
    <m/>
    <m/>
    <m/>
    <m/>
    <m/>
  </r>
  <r>
    <x v="0"/>
    <x v="0"/>
    <d v="2022-12-06T00:00:00"/>
    <d v="2022-12-06T00:00:00"/>
    <s v="Primario"/>
    <s v="EP 6471"/>
    <n v="109784"/>
    <s v="Pedido de entrada de mercancías - PN0992860499001"/>
    <m/>
    <m/>
    <n v="201040506"/>
    <s v="Facturas por Confirmar"/>
    <n v="230.89"/>
    <m/>
    <n v="230.89"/>
    <x v="2"/>
    <n v="1354640.8"/>
    <s v="230.89"/>
    <s v="jcortiz"/>
    <n v="0"/>
    <m/>
    <m/>
    <m/>
    <m/>
    <m/>
  </r>
  <r>
    <x v="0"/>
    <x v="0"/>
    <d v="2022-12-06T00:00:00"/>
    <d v="2022-12-06T00:00:00"/>
    <s v="FE001"/>
    <s v="NE 100015986"/>
    <n v="109785"/>
    <s v="Entregas - CN1792368979001"/>
    <m/>
    <s v="QUITO"/>
    <n v="51010101"/>
    <s v="Costo de ventas Quito"/>
    <m/>
    <n v="458.55"/>
    <n v="-458.55"/>
    <x v="1"/>
    <n v="1354182.25"/>
    <s v="-458.55"/>
    <s v="jcortiz"/>
    <n v="0"/>
    <m/>
    <s v="QUITO-PICHINCHA"/>
    <m/>
    <m/>
    <m/>
  </r>
  <r>
    <x v="0"/>
    <x v="0"/>
    <d v="2022-12-06T00:00:00"/>
    <d v="2022-12-06T00:00:00"/>
    <s v="FE001"/>
    <s v="NE 100016035"/>
    <n v="110151"/>
    <s v="Entrega - Cancelación - CN1717939720001"/>
    <m/>
    <s v="QUITO"/>
    <n v="51010101"/>
    <s v="Costo de ventas Quito"/>
    <n v="166.63"/>
    <m/>
    <n v="166.63"/>
    <x v="1"/>
    <n v="1354348.88"/>
    <s v="166.63"/>
    <s v="jcortiz"/>
    <n v="0"/>
    <m/>
    <s v="QUITO-PICHINCHA"/>
    <m/>
    <m/>
    <m/>
  </r>
  <r>
    <x v="0"/>
    <x v="0"/>
    <d v="2022-12-06T00:00:00"/>
    <d v="2022-12-06T00:00:00"/>
    <s v="FE001"/>
    <s v="NE 100016109"/>
    <n v="110431"/>
    <s v="Entrega - Cancelación - CN1715188270001"/>
    <m/>
    <s v="QUITO"/>
    <n v="51010101"/>
    <s v="Costo de ventas Quito"/>
    <n v="282.18"/>
    <m/>
    <n v="282.18"/>
    <x v="1"/>
    <n v="1354631.06"/>
    <s v="282.18"/>
    <s v="jcortiz"/>
    <n v="0"/>
    <m/>
    <s v="QUITO-PICHINCHA"/>
    <m/>
    <m/>
    <m/>
  </r>
  <r>
    <x v="0"/>
    <x v="0"/>
    <d v="2022-12-09T00:00:00"/>
    <d v="2022-12-09T00:00:00"/>
    <s v="Primario"/>
    <s v="EM 1735"/>
    <n v="109956"/>
    <s v="INGRESO DE MATERIAL OC 5983 AUTO ALESSANDRO CARDIL"/>
    <m/>
    <s v="QUITO"/>
    <n v="401030105"/>
    <s v="Otros Ingresos"/>
    <n v="64"/>
    <m/>
    <n v="64"/>
    <x v="5"/>
    <n v="1354695.06"/>
    <s v="64.00"/>
    <s v="pquishpe"/>
    <n v="0"/>
    <m/>
    <s v="QUITO-PICHINCHA"/>
    <m/>
    <m/>
    <m/>
  </r>
  <r>
    <x v="0"/>
    <x v="0"/>
    <d v="2022-12-09T00:00:00"/>
    <d v="2022-12-09T00:00:00"/>
    <s v="FE001"/>
    <s v="RC 100000682"/>
    <n v="109977"/>
    <s v="Notas de crédito clientes - CN1793121225001"/>
    <m/>
    <s v="QUITO"/>
    <s v="CN1793121225001"/>
    <s v="COMERCIALIZACION Y SERVICIOS IPSCE S.C.C."/>
    <n v="3695.63"/>
    <m/>
    <n v="3695.63"/>
    <x v="4"/>
    <n v="1358390.69"/>
    <s v="3695.63"/>
    <s v="gcali"/>
    <n v="0"/>
    <m/>
    <s v="QUITO-PICHINCHA"/>
    <m/>
    <m/>
    <m/>
  </r>
  <r>
    <x v="0"/>
    <x v="0"/>
    <d v="2022-12-12T00:00:00"/>
    <d v="2022-12-12T00:00:00"/>
    <s v="FE001"/>
    <s v="NE 100015988"/>
    <n v="109978"/>
    <s v="Entregas - CN1790749509001"/>
    <m/>
    <s v="QUITO"/>
    <n v="51010101"/>
    <s v="Costo de ventas Quito"/>
    <m/>
    <n v="658.68"/>
    <n v="-658.68"/>
    <x v="1"/>
    <n v="1357732.01"/>
    <s v="-658.68"/>
    <s v="jcortiz"/>
    <n v="0"/>
    <m/>
    <s v="QUITO-PICHINCHA"/>
    <m/>
    <m/>
    <m/>
  </r>
  <r>
    <x v="0"/>
    <x v="0"/>
    <d v="2022-12-12T00:00:00"/>
    <d v="2022-12-12T00:00:00"/>
    <s v="FE001"/>
    <s v="NE 100015989"/>
    <n v="109979"/>
    <s v="Entregas - CN1792874939001"/>
    <m/>
    <s v="QUITO"/>
    <n v="51010101"/>
    <s v="Costo de ventas Quito"/>
    <m/>
    <n v="490.62"/>
    <n v="-490.62"/>
    <x v="1"/>
    <n v="1357241.39"/>
    <s v="-490.62"/>
    <s v="jcortiz"/>
    <n v="0"/>
    <m/>
    <s v="QUITO-PICHINCHA"/>
    <m/>
    <m/>
    <m/>
  </r>
  <r>
    <x v="0"/>
    <x v="0"/>
    <d v="2022-12-12T00:00:00"/>
    <d v="2022-12-12T00:00:00"/>
    <s v="FE001"/>
    <s v="NE 100015990"/>
    <n v="109980"/>
    <s v="Entregas - CN1792226864001"/>
    <m/>
    <s v="QUITO"/>
    <n v="51010101"/>
    <s v="Costo de ventas Quito"/>
    <m/>
    <n v="427.77"/>
    <n v="-427.77"/>
    <x v="1"/>
    <n v="1356813.62"/>
    <s v="-427.77"/>
    <s v="jcortiz"/>
    <n v="0"/>
    <m/>
    <s v="QUITO-PICHINCHA"/>
    <m/>
    <m/>
    <m/>
  </r>
  <r>
    <x v="0"/>
    <x v="0"/>
    <d v="2022-12-12T00:00:00"/>
    <d v="2022-12-12T00:00:00"/>
    <s v="FE001"/>
    <s v="NE 100015991"/>
    <n v="109981"/>
    <s v="Entregas - CN1708563752001"/>
    <m/>
    <s v="QUITO"/>
    <n v="51010101"/>
    <s v="Costo de ventas Quito"/>
    <m/>
    <n v="23.27"/>
    <n v="-23.27"/>
    <x v="1"/>
    <n v="1356790.35"/>
    <s v="-23.27"/>
    <s v="jcortiz"/>
    <n v="0"/>
    <m/>
    <s v="QUITO-PICHINCHA"/>
    <m/>
    <m/>
    <m/>
  </r>
  <r>
    <x v="0"/>
    <x v="0"/>
    <d v="2022-12-12T00:00:00"/>
    <d v="2022-12-12T00:00:00"/>
    <s v="FE001"/>
    <s v="NE 100015992"/>
    <n v="109982"/>
    <s v="Entregas - CN1002297842001"/>
    <m/>
    <s v="QUITO"/>
    <n v="51010101"/>
    <s v="Costo de ventas Quito"/>
    <m/>
    <n v="574.75"/>
    <n v="-574.75"/>
    <x v="1"/>
    <n v="1356215.6"/>
    <s v="-574.75"/>
    <s v="jcortiz"/>
    <n v="0"/>
    <m/>
    <s v="QUITO-PICHINCHA"/>
    <m/>
    <m/>
    <m/>
  </r>
  <r>
    <x v="0"/>
    <x v="0"/>
    <d v="2022-12-12T00:00:00"/>
    <d v="2022-12-12T00:00:00"/>
    <s v="Primario"/>
    <s v="EP 6472"/>
    <n v="109983"/>
    <s v="Pedido de entrada de mercancías - PN1791834399001"/>
    <m/>
    <m/>
    <n v="201040506"/>
    <s v="Facturas por Confirmar"/>
    <n v="400.37"/>
    <m/>
    <n v="400.37"/>
    <x v="2"/>
    <n v="1356615.97"/>
    <s v="400.37"/>
    <s v="jcortiz"/>
    <n v="0"/>
    <m/>
    <m/>
    <m/>
    <m/>
    <m/>
  </r>
  <r>
    <x v="0"/>
    <x v="0"/>
    <d v="2022-12-12T00:00:00"/>
    <d v="2022-12-12T00:00:00"/>
    <s v="Primario"/>
    <s v="EP 6473"/>
    <n v="109984"/>
    <s v="Pedido de entrada de mercancías - PN1791834399001"/>
    <m/>
    <m/>
    <n v="201040506"/>
    <s v="Facturas por Confirmar"/>
    <n v="217.67"/>
    <m/>
    <n v="217.67"/>
    <x v="2"/>
    <n v="1356833.64"/>
    <s v="217.67"/>
    <s v="jcortiz"/>
    <n v="0"/>
    <m/>
    <m/>
    <m/>
    <m/>
    <m/>
  </r>
  <r>
    <x v="0"/>
    <x v="0"/>
    <d v="2022-12-12T00:00:00"/>
    <d v="2022-12-12T00:00:00"/>
    <s v="Primario"/>
    <s v="EP 6474"/>
    <n v="109985"/>
    <s v="Pedido de entrada de mercancías - PN1791834399001"/>
    <m/>
    <m/>
    <n v="201040506"/>
    <s v="Facturas por Confirmar"/>
    <n v="70.72"/>
    <m/>
    <n v="70.72"/>
    <x v="2"/>
    <n v="1356904.36"/>
    <s v="70.72"/>
    <s v="jcortiz"/>
    <n v="0"/>
    <m/>
    <m/>
    <m/>
    <m/>
    <m/>
  </r>
  <r>
    <x v="0"/>
    <x v="0"/>
    <d v="2022-12-12T00:00:00"/>
    <d v="2022-12-12T00:00:00"/>
    <s v="Primario"/>
    <s v="EP 6475"/>
    <n v="109986"/>
    <s v="Pedido de entrada de mercancías - PN1791834399001"/>
    <m/>
    <m/>
    <n v="201040506"/>
    <s v="Facturas por Confirmar"/>
    <n v="89.59"/>
    <m/>
    <n v="89.59"/>
    <x v="2"/>
    <n v="1356993.95"/>
    <s v="89.59"/>
    <s v="jcortiz"/>
    <n v="0"/>
    <m/>
    <m/>
    <m/>
    <m/>
    <m/>
  </r>
  <r>
    <x v="0"/>
    <x v="0"/>
    <d v="2022-12-12T00:00:00"/>
    <d v="2022-12-12T00:00:00"/>
    <s v="Primario"/>
    <s v="EP 6476"/>
    <n v="109987"/>
    <s v="Pedido de entrada de mercancías - PN1791834399001"/>
    <m/>
    <m/>
    <n v="201040506"/>
    <s v="Facturas por Confirmar"/>
    <n v="2948.32"/>
    <m/>
    <n v="2948.32"/>
    <x v="2"/>
    <n v="1359942.27"/>
    <s v="2948.32"/>
    <s v="jcortiz"/>
    <n v="0"/>
    <m/>
    <m/>
    <m/>
    <m/>
    <m/>
  </r>
  <r>
    <x v="0"/>
    <x v="0"/>
    <d v="2022-12-12T00:00:00"/>
    <d v="2022-12-12T00:00:00"/>
    <s v="Primario"/>
    <s v="EP 6477"/>
    <n v="109988"/>
    <s v="Pedido de entrada de mercancías - PN1792360250001"/>
    <m/>
    <m/>
    <n v="201040506"/>
    <s v="Facturas por Confirmar"/>
    <n v="426.08"/>
    <m/>
    <n v="426.08"/>
    <x v="2"/>
    <n v="1360368.35"/>
    <s v="426.08"/>
    <s v="jcortiz"/>
    <n v="0"/>
    <m/>
    <m/>
    <m/>
    <m/>
    <m/>
  </r>
  <r>
    <x v="0"/>
    <x v="0"/>
    <d v="2022-12-12T00:00:00"/>
    <d v="2022-12-12T00:00:00"/>
    <s v="Primario"/>
    <s v="EP 6478"/>
    <n v="109989"/>
    <s v="Pedido de entrada de mercancías - PN0992697571001"/>
    <m/>
    <m/>
    <n v="201040506"/>
    <s v="Facturas por Confirmar"/>
    <n v="2725"/>
    <m/>
    <n v="2725"/>
    <x v="2"/>
    <n v="1363093.35"/>
    <s v="2725.00"/>
    <s v="jcortiz"/>
    <n v="0"/>
    <m/>
    <m/>
    <m/>
    <m/>
    <m/>
  </r>
  <r>
    <x v="0"/>
    <x v="0"/>
    <d v="2022-12-12T00:00:00"/>
    <d v="2022-12-12T00:00:00"/>
    <s v="FE001"/>
    <s v="NE 100015993"/>
    <n v="109990"/>
    <s v="Entregas - CN1791263308001"/>
    <m/>
    <s v="QUITO"/>
    <n v="51010101"/>
    <s v="Costo de ventas Quito"/>
    <m/>
    <n v="246.22"/>
    <n v="-246.22"/>
    <x v="1"/>
    <n v="1362847.13"/>
    <s v="-246.22"/>
    <s v="jcortiz"/>
    <n v="0"/>
    <m/>
    <s v="QUITO-PICHINCHA"/>
    <m/>
    <m/>
    <m/>
  </r>
  <r>
    <x v="0"/>
    <x v="0"/>
    <d v="2022-12-12T00:00:00"/>
    <d v="2022-12-12T00:00:00"/>
    <s v="FE001"/>
    <s v="NE 100015994"/>
    <n v="109991"/>
    <s v="Entregas - CN1791263308001"/>
    <m/>
    <s v="QUITO"/>
    <n v="51010101"/>
    <s v="Costo de ventas Quito"/>
    <m/>
    <n v="248.01"/>
    <n v="-248.01"/>
    <x v="1"/>
    <n v="1362599.12"/>
    <s v="-248.01"/>
    <s v="jcortiz"/>
    <n v="0"/>
    <m/>
    <s v="QUITO-PICHINCHA"/>
    <m/>
    <m/>
    <m/>
  </r>
  <r>
    <x v="0"/>
    <x v="0"/>
    <d v="2022-12-12T00:00:00"/>
    <d v="2022-12-12T00:00:00"/>
    <s v="FE001"/>
    <s v="NE 100015995"/>
    <n v="109992"/>
    <s v="Entregas - CN1715188270001"/>
    <m/>
    <s v="QUITO"/>
    <n v="51010101"/>
    <s v="Costo de ventas Quito"/>
    <m/>
    <n v="84.01"/>
    <n v="-84.01"/>
    <x v="1"/>
    <n v="1362515.11"/>
    <s v="-84.01"/>
    <s v="jcortiz"/>
    <n v="0"/>
    <m/>
    <s v="QUITO-PICHINCHA"/>
    <m/>
    <m/>
    <m/>
  </r>
  <r>
    <x v="0"/>
    <x v="0"/>
    <d v="2022-12-12T00:00:00"/>
    <d v="2022-12-12T00:00:00"/>
    <s v="FE001"/>
    <s v="NE 100015996"/>
    <n v="109993"/>
    <s v="Entregas - CN1791263308001"/>
    <m/>
    <s v="QUITO"/>
    <n v="51010101"/>
    <s v="Costo de ventas Quito"/>
    <m/>
    <n v="1683.46"/>
    <n v="-1683.46"/>
    <x v="1"/>
    <n v="1360831.65"/>
    <s v="-1683.46"/>
    <s v="jcortiz"/>
    <n v="0"/>
    <m/>
    <s v="QUITO-PICHINCHA"/>
    <m/>
    <m/>
    <m/>
  </r>
  <r>
    <x v="0"/>
    <x v="0"/>
    <d v="2022-12-12T00:00:00"/>
    <d v="2022-12-12T00:00:00"/>
    <s v="FE001"/>
    <s v="NE 100015997"/>
    <n v="109994"/>
    <s v="Entregas - CN1708553464001"/>
    <m/>
    <s v="QUITO"/>
    <n v="51010101"/>
    <s v="Costo de ventas Quito"/>
    <m/>
    <n v="428.83"/>
    <n v="-428.83"/>
    <x v="1"/>
    <n v="1360402.82"/>
    <s v="-428.83"/>
    <s v="jcortiz"/>
    <n v="0"/>
    <m/>
    <s v="QUITO-PICHINCHA"/>
    <m/>
    <m/>
    <m/>
  </r>
  <r>
    <x v="0"/>
    <x v="0"/>
    <d v="2022-12-12T00:00:00"/>
    <d v="2022-12-12T00:00:00"/>
    <s v="FE001"/>
    <s v="NE 100015998"/>
    <n v="109995"/>
    <s v="Entregas - CN1792055415001"/>
    <m/>
    <s v="QUITO"/>
    <n v="51010101"/>
    <s v="Costo de ventas Quito"/>
    <m/>
    <n v="276.57"/>
    <n v="-276.57"/>
    <x v="1"/>
    <n v="1360126.25"/>
    <s v="-276.57"/>
    <s v="jcortiz"/>
    <n v="0"/>
    <m/>
    <s v="QUITO-PICHINCHA"/>
    <m/>
    <m/>
    <m/>
  </r>
  <r>
    <x v="0"/>
    <x v="0"/>
    <d v="2022-12-12T00:00:00"/>
    <d v="2022-12-12T00:00:00"/>
    <s v="FE001"/>
    <s v="NE 100015999"/>
    <n v="109999"/>
    <s v="Entregas - CN1791039688001"/>
    <m/>
    <s v="QUITO"/>
    <n v="51010101"/>
    <s v="Costo de ventas Quito"/>
    <m/>
    <n v="6.44"/>
    <n v="-6.44"/>
    <x v="1"/>
    <n v="1360119.81"/>
    <s v="-6.44"/>
    <s v="jcortiz"/>
    <n v="0"/>
    <m/>
    <s v="QUITO-PICHINCHA"/>
    <m/>
    <m/>
    <m/>
  </r>
  <r>
    <x v="0"/>
    <x v="0"/>
    <d v="2022-12-12T00:00:00"/>
    <d v="2022-12-12T00:00:00"/>
    <s v="Primario"/>
    <s v="EP 6479"/>
    <n v="110000"/>
    <s v="Pedido de entrada de mercancías - PN0990129185001"/>
    <m/>
    <m/>
    <n v="201040506"/>
    <s v="Facturas por Confirmar"/>
    <n v="832.14"/>
    <m/>
    <n v="832.14"/>
    <x v="2"/>
    <n v="1360951.95"/>
    <s v="832.14"/>
    <s v="jcortiz"/>
    <n v="0"/>
    <m/>
    <m/>
    <m/>
    <m/>
    <m/>
  </r>
  <r>
    <x v="0"/>
    <x v="0"/>
    <d v="2022-12-12T00:00:00"/>
    <d v="2022-12-12T00:00:00"/>
    <s v="FE001"/>
    <s v="NE 100016000"/>
    <n v="110001"/>
    <s v="Entregas - CN1792145244001"/>
    <m/>
    <s v="QUITO"/>
    <n v="51010101"/>
    <s v="Costo de ventas Quito"/>
    <m/>
    <n v="85.61"/>
    <n v="-85.61"/>
    <x v="1"/>
    <n v="1360866.34"/>
    <s v="-85.61"/>
    <s v="jcortiz"/>
    <n v="0"/>
    <m/>
    <s v="QUITO-PICHINCHA"/>
    <m/>
    <m/>
    <m/>
  </r>
  <r>
    <x v="0"/>
    <x v="0"/>
    <d v="2022-12-12T00:00:00"/>
    <d v="2022-12-12T00:00:00"/>
    <s v="FE001"/>
    <s v="NE 100016002"/>
    <n v="110005"/>
    <s v="Entregas - CN1793121225001"/>
    <m/>
    <s v="QUITO"/>
    <n v="51010101"/>
    <s v="Costo de ventas Quito"/>
    <m/>
    <n v="3695.63"/>
    <n v="-3695.63"/>
    <x v="1"/>
    <n v="1357170.71"/>
    <s v="-3695.63"/>
    <s v="jcortiz"/>
    <n v="0"/>
    <m/>
    <s v="QUITO-PICHINCHA"/>
    <m/>
    <m/>
    <m/>
  </r>
  <r>
    <x v="0"/>
    <x v="0"/>
    <d v="2022-12-12T00:00:00"/>
    <d v="2022-12-12T00:00:00"/>
    <s v="Primario"/>
    <s v="SM 578"/>
    <n v="110008"/>
    <s v="Salida de mercancías"/>
    <m/>
    <s v="QUITO"/>
    <n v="51010101"/>
    <s v="Costo de ventas Quito"/>
    <m/>
    <n v="54.28"/>
    <n v="-54.28"/>
    <x v="1"/>
    <n v="1357116.43"/>
    <s v="-54.28"/>
    <s v="jcortiz"/>
    <n v="0"/>
    <m/>
    <s v="QUITO-PICHINCHA"/>
    <m/>
    <m/>
    <m/>
  </r>
  <r>
    <x v="0"/>
    <x v="0"/>
    <d v="2022-12-12T00:00:00"/>
    <d v="2022-12-12T00:00:00"/>
    <s v="Primario"/>
    <s v="EM 1736"/>
    <n v="110009"/>
    <s v="Entrada de mercancías"/>
    <m/>
    <s v="QUITO"/>
    <n v="401030105"/>
    <s v="Otros Ingresos"/>
    <n v="60.88"/>
    <m/>
    <n v="60.88"/>
    <x v="5"/>
    <n v="1357177.31"/>
    <s v="60.88"/>
    <s v="jcortiz"/>
    <n v="0"/>
    <m/>
    <s v="QUITO-PICHINCHA"/>
    <m/>
    <m/>
    <m/>
  </r>
  <r>
    <x v="0"/>
    <x v="0"/>
    <d v="2022-12-12T00:00:00"/>
    <d v="2022-12-12T00:00:00"/>
    <s v="FE001"/>
    <s v="IM 100003452"/>
    <n v="110011"/>
    <s v="Traslados - CN1792079160001"/>
    <m/>
    <m/>
    <n v="101060402"/>
    <s v="Inventario de prod. term. y mercad. en Bodega BULLSYPPLY Coca"/>
    <m/>
    <n v="4658.7"/>
    <n v="-4658.7"/>
    <x v="3"/>
    <n v="1352518.61"/>
    <s v="-4658.70"/>
    <s v="jcortiz"/>
    <n v="0"/>
    <m/>
    <m/>
    <m/>
    <m/>
    <m/>
  </r>
  <r>
    <x v="0"/>
    <x v="0"/>
    <d v="2022-12-12T00:00:00"/>
    <d v="2022-12-12T00:00:00"/>
    <s v="FE001"/>
    <s v="IM 100003453"/>
    <n v="110013"/>
    <s v="Traslados -"/>
    <m/>
    <m/>
    <n v="101060402"/>
    <s v="Inventario de prod. term. y mercad. en Bodega BULLSYPPLY Coca"/>
    <m/>
    <n v="650.39"/>
    <n v="-650.39"/>
    <x v="3"/>
    <n v="1351868.22"/>
    <s v="-650.39"/>
    <s v="jcortiz"/>
    <n v="0"/>
    <m/>
    <m/>
    <m/>
    <m/>
    <m/>
  </r>
  <r>
    <x v="0"/>
    <x v="0"/>
    <d v="2022-12-12T00:00:00"/>
    <d v="2022-12-12T00:00:00"/>
    <s v="Primario"/>
    <s v="EP 6480"/>
    <n v="110014"/>
    <s v="Pedido de entrada de mercancías - PN1717177495001"/>
    <m/>
    <m/>
    <n v="201040506"/>
    <s v="Facturas por Confirmar"/>
    <n v="1188"/>
    <m/>
    <n v="1188"/>
    <x v="2"/>
    <n v="1353056.22"/>
    <s v="1188.00"/>
    <s v="jcortiz"/>
    <n v="0"/>
    <m/>
    <m/>
    <m/>
    <m/>
    <m/>
  </r>
  <r>
    <x v="0"/>
    <x v="0"/>
    <d v="2022-12-12T00:00:00"/>
    <d v="2022-12-12T00:00:00"/>
    <s v="FE001"/>
    <s v="NE 100016004"/>
    <n v="110015"/>
    <s v="Entregas - CN1791263308001"/>
    <m/>
    <s v="QUITO"/>
    <n v="51010101"/>
    <s v="Costo de ventas Quito"/>
    <m/>
    <n v="1188"/>
    <n v="-1188"/>
    <x v="1"/>
    <n v="1351868.22"/>
    <s v="-1188.00"/>
    <s v="jcortiz"/>
    <n v="0"/>
    <m/>
    <s v="QUITO-PICHINCHA"/>
    <m/>
    <m/>
    <m/>
  </r>
  <r>
    <x v="0"/>
    <x v="0"/>
    <d v="2022-12-12T00:00:00"/>
    <d v="2022-12-12T00:00:00"/>
    <s v="FE001"/>
    <s v="NE 100016008"/>
    <n v="110020"/>
    <s v="Entregas - CN1791263308001"/>
    <m/>
    <s v="QUITO"/>
    <n v="51010101"/>
    <s v="Costo de ventas Quito"/>
    <m/>
    <n v="56.4"/>
    <n v="-56.4"/>
    <x v="1"/>
    <n v="1351811.82"/>
    <s v="-56.40"/>
    <s v="jcortiz"/>
    <n v="0"/>
    <m/>
    <s v="QUITO-PICHINCHA"/>
    <m/>
    <m/>
    <m/>
  </r>
  <r>
    <x v="0"/>
    <x v="0"/>
    <d v="2022-12-12T00:00:00"/>
    <d v="2022-12-12T00:00:00"/>
    <s v="Primario"/>
    <s v="EP 6481"/>
    <n v="110027"/>
    <s v="Pedido de entrada de mercancías - PN1390060757001"/>
    <m/>
    <m/>
    <n v="201040506"/>
    <s v="Facturas por Confirmar"/>
    <n v="1745.53"/>
    <m/>
    <n v="1745.53"/>
    <x v="2"/>
    <n v="1353557.35"/>
    <s v="1745.53"/>
    <s v="jcortiz"/>
    <n v="0"/>
    <m/>
    <m/>
    <m/>
    <m/>
    <m/>
  </r>
  <r>
    <x v="0"/>
    <x v="0"/>
    <d v="2022-12-12T00:00:00"/>
    <d v="2022-12-12T00:00:00"/>
    <s v="FE001"/>
    <s v="IM 100003454"/>
    <n v="110028"/>
    <s v="Traslados - CN1792079160001"/>
    <m/>
    <m/>
    <n v="101060402"/>
    <s v="Inventario de prod. term. y mercad. en Bodega BULLSYPPLY Coca"/>
    <m/>
    <n v="211.77"/>
    <n v="-211.77"/>
    <x v="3"/>
    <n v="1353345.58"/>
    <s v="-211.77"/>
    <s v="jcortiz"/>
    <n v="0"/>
    <m/>
    <m/>
    <m/>
    <m/>
    <m/>
  </r>
  <r>
    <x v="0"/>
    <x v="0"/>
    <d v="2022-12-12T00:00:00"/>
    <d v="2022-12-12T00:00:00"/>
    <s v="Primario"/>
    <s v="EP 6482"/>
    <n v="110029"/>
    <s v="Pedido de entrada de mercancías - PN1791834399001"/>
    <m/>
    <m/>
    <n v="201040506"/>
    <s v="Facturas por Confirmar"/>
    <n v="828.92"/>
    <m/>
    <n v="828.92"/>
    <x v="2"/>
    <n v="1354174.5"/>
    <s v="828.92"/>
    <s v="jcortiz"/>
    <n v="0"/>
    <m/>
    <m/>
    <m/>
    <m/>
    <m/>
  </r>
  <r>
    <x v="0"/>
    <x v="0"/>
    <d v="2022-12-12T00:00:00"/>
    <d v="2022-12-12T00:00:00"/>
    <s v="FE001"/>
    <s v="NE 100016010"/>
    <n v="110031"/>
    <s v="Entregas - CN1791263308001"/>
    <m/>
    <s v="QUITO"/>
    <n v="51010101"/>
    <s v="Costo de ventas Quito"/>
    <m/>
    <n v="828.92"/>
    <n v="-828.92"/>
    <x v="1"/>
    <n v="1353345.58"/>
    <s v="-828.92"/>
    <s v="jcortiz"/>
    <n v="0"/>
    <m/>
    <s v="QUITO-PICHINCHA"/>
    <m/>
    <m/>
    <m/>
  </r>
  <r>
    <x v="0"/>
    <x v="0"/>
    <d v="2022-12-12T00:00:00"/>
    <d v="2022-12-12T00:00:00"/>
    <s v="FE001"/>
    <s v="IM 100003455"/>
    <n v="110043"/>
    <s v="Traslados - CN1792079160001"/>
    <m/>
    <m/>
    <n v="101060402"/>
    <s v="Inventario de prod. term. y mercad. en Bodega BULLSYPPLY Coca"/>
    <m/>
    <n v="102.41"/>
    <n v="-102.41"/>
    <x v="3"/>
    <n v="1353243.17"/>
    <s v="-102.41"/>
    <s v="jcortiz"/>
    <n v="0"/>
    <m/>
    <m/>
    <m/>
    <m/>
    <m/>
  </r>
  <r>
    <x v="0"/>
    <x v="0"/>
    <d v="2022-12-12T00:00:00"/>
    <d v="2022-12-12T00:00:00"/>
    <s v="Primario"/>
    <s v="EP 6483"/>
    <n v="110046"/>
    <s v="Pedido de entrada de mercancías - PN1717177495001"/>
    <m/>
    <m/>
    <n v="201040506"/>
    <s v="Facturas por Confirmar"/>
    <n v="2079"/>
    <m/>
    <n v="2079"/>
    <x v="2"/>
    <n v="1355322.17"/>
    <s v="2079.00"/>
    <s v="jcortiz"/>
    <n v="0"/>
    <m/>
    <m/>
    <m/>
    <m/>
    <m/>
  </r>
  <r>
    <x v="0"/>
    <x v="0"/>
    <d v="2022-12-12T00:00:00"/>
    <d v="2022-12-12T00:00:00"/>
    <s v="FE001"/>
    <s v="NE 100016012"/>
    <n v="110047"/>
    <s v="Entregas - CN1791263308001"/>
    <m/>
    <s v="QUITO"/>
    <n v="51010101"/>
    <s v="Costo de ventas Quito"/>
    <m/>
    <n v="2079"/>
    <n v="-2079"/>
    <x v="1"/>
    <n v="1353243.17"/>
    <s v="-2079.00"/>
    <s v="jcortiz"/>
    <n v="0"/>
    <m/>
    <s v="QUITO-PICHINCHA"/>
    <m/>
    <m/>
    <m/>
  </r>
  <r>
    <x v="0"/>
    <x v="0"/>
    <d v="2022-12-12T00:00:00"/>
    <d v="2022-12-12T00:00:00"/>
    <s v="FE001"/>
    <s v="NE 100016092"/>
    <n v="110391"/>
    <s v="Entrega - Cancelación - CN1715188270001"/>
    <m/>
    <s v="QUITO"/>
    <n v="51010101"/>
    <s v="Costo de ventas Quito"/>
    <n v="84.01"/>
    <m/>
    <n v="84.01"/>
    <x v="1"/>
    <n v="1353327.18"/>
    <s v="84.01"/>
    <s v="jcortiz"/>
    <n v="0"/>
    <m/>
    <s v="QUITO-PICHINCHA"/>
    <m/>
    <m/>
    <m/>
  </r>
  <r>
    <x v="0"/>
    <x v="0"/>
    <d v="2022-12-12T00:00:00"/>
    <d v="2022-12-12T00:00:00"/>
    <s v="FE001"/>
    <s v="NE 100016134"/>
    <n v="110523"/>
    <s v="Entrega - Cancelación - CN1791263308001"/>
    <m/>
    <s v="QUITO"/>
    <n v="51010101"/>
    <s v="Costo de ventas Quito"/>
    <n v="828.92"/>
    <m/>
    <n v="828.92"/>
    <x v="1"/>
    <n v="1354156.1"/>
    <s v="828.92"/>
    <s v="jcortiz"/>
    <n v="0"/>
    <m/>
    <s v="QUITO-PICHINCHA"/>
    <m/>
    <m/>
    <m/>
  </r>
  <r>
    <x v="0"/>
    <x v="0"/>
    <d v="2022-12-12T00:00:00"/>
    <d v="2022-12-12T00:00:00"/>
    <s v="Anula"/>
    <s v="EP 200453"/>
    <n v="110524"/>
    <s v="Pedido de entrada de mercancías - Cancelación - PN"/>
    <m/>
    <m/>
    <n v="201040506"/>
    <s v="Facturas por Confirmar"/>
    <m/>
    <n v="828.92"/>
    <n v="-828.92"/>
    <x v="2"/>
    <n v="1353327.18"/>
    <s v="-828.92"/>
    <s v="jcortiz"/>
    <n v="0"/>
    <m/>
    <m/>
    <m/>
    <m/>
    <m/>
  </r>
  <r>
    <x v="0"/>
    <x v="0"/>
    <d v="2022-12-13T00:00:00"/>
    <d v="2022-12-13T00:00:00"/>
    <s v="FE001"/>
    <s v="NE 100016013"/>
    <n v="110058"/>
    <s v="Entregas - CN1715188270001"/>
    <m/>
    <s v="QUITO"/>
    <n v="51010101"/>
    <s v="Costo de ventas Quito"/>
    <m/>
    <n v="20.86"/>
    <n v="-20.86"/>
    <x v="1"/>
    <n v="1353306.32"/>
    <s v="-20.86"/>
    <s v="jcortiz"/>
    <n v="0"/>
    <m/>
    <s v="QUITO-PICHINCHA"/>
    <m/>
    <m/>
    <m/>
  </r>
  <r>
    <x v="0"/>
    <x v="0"/>
    <d v="2022-12-13T00:00:00"/>
    <d v="2022-12-13T00:00:00"/>
    <s v="FE001"/>
    <s v="NE 100016014"/>
    <n v="110065"/>
    <s v="Entregas - CN1002297842001"/>
    <m/>
    <s v="QUITO"/>
    <n v="51010101"/>
    <s v="Costo de ventas Quito"/>
    <m/>
    <n v="409.52"/>
    <n v="-409.52"/>
    <x v="1"/>
    <n v="1352896.8"/>
    <s v="-409.52"/>
    <s v="jcortiz"/>
    <n v="0"/>
    <m/>
    <s v="QUITO-PICHINCHA"/>
    <m/>
    <m/>
    <m/>
  </r>
  <r>
    <x v="0"/>
    <x v="0"/>
    <d v="2022-12-13T00:00:00"/>
    <d v="2022-12-13T00:00:00"/>
    <s v="FE001"/>
    <s v="NE 100016015"/>
    <n v="110066"/>
    <s v="Entregas - CN1790749509001"/>
    <m/>
    <s v="QUITO"/>
    <n v="51010101"/>
    <s v="Costo de ventas Quito"/>
    <m/>
    <n v="4600.5"/>
    <n v="-4600.5"/>
    <x v="1"/>
    <n v="1348296.3"/>
    <s v="-4600.50"/>
    <s v="jcortiz"/>
    <n v="0"/>
    <m/>
    <s v="QUITO-PICHINCHA"/>
    <m/>
    <m/>
    <m/>
  </r>
  <r>
    <x v="0"/>
    <x v="0"/>
    <d v="2022-12-13T00:00:00"/>
    <d v="2022-12-13T00:00:00"/>
    <s v="Primario"/>
    <s v="EP 6484"/>
    <n v="110070"/>
    <s v="Pedido de entrada de mercancías - PN1791834399001"/>
    <m/>
    <m/>
    <n v="201040506"/>
    <s v="Facturas por Confirmar"/>
    <n v="642.55999999999995"/>
    <m/>
    <n v="642.55999999999995"/>
    <x v="2"/>
    <n v="1348938.86"/>
    <s v="642.56"/>
    <s v="jcortiz"/>
    <n v="0"/>
    <m/>
    <m/>
    <m/>
    <m/>
    <m/>
  </r>
  <r>
    <x v="0"/>
    <x v="0"/>
    <d v="2022-12-13T00:00:00"/>
    <d v="2022-12-13T00:00:00"/>
    <s v="FE001"/>
    <s v="NE 100016017"/>
    <n v="110071"/>
    <s v="Entregas - CN1792064082001"/>
    <m/>
    <s v="QUITO"/>
    <n v="51010101"/>
    <s v="Costo de ventas Quito"/>
    <m/>
    <n v="1533.76"/>
    <n v="-1533.76"/>
    <x v="1"/>
    <n v="1347405.1"/>
    <s v="-1533.76"/>
    <s v="ancueva"/>
    <n v="0"/>
    <m/>
    <s v="QUITO-PICHINCHA"/>
    <m/>
    <m/>
    <m/>
  </r>
  <r>
    <x v="0"/>
    <x v="0"/>
    <d v="2022-12-13T00:00:00"/>
    <d v="2022-12-13T00:00:00"/>
    <s v="FE001"/>
    <s v="IM 100003456"/>
    <n v="110072"/>
    <s v="Traslados - CN1792079160001"/>
    <m/>
    <m/>
    <n v="101060402"/>
    <s v="Inventario de prod. term. y mercad. en Bodega BULLSYPPLY Coca"/>
    <m/>
    <n v="642.55999999999995"/>
    <n v="-642.55999999999995"/>
    <x v="3"/>
    <n v="1346762.54"/>
    <s v="-642.56"/>
    <s v="jcortiz"/>
    <n v="0"/>
    <m/>
    <m/>
    <m/>
    <m/>
    <m/>
  </r>
  <r>
    <x v="0"/>
    <x v="0"/>
    <d v="2022-12-13T00:00:00"/>
    <d v="2022-12-13T00:00:00"/>
    <s v="FE001"/>
    <s v="NE 100016019"/>
    <n v="110074"/>
    <s v="Entregas - CN1791403916001"/>
    <m/>
    <s v="QUITO"/>
    <n v="51010101"/>
    <s v="Costo de ventas Quito"/>
    <m/>
    <n v="51.67"/>
    <n v="-51.67"/>
    <x v="1"/>
    <n v="1346710.87"/>
    <s v="-51.67"/>
    <s v="jcortiz"/>
    <n v="0"/>
    <m/>
    <s v="QUITO-PICHINCHA"/>
    <m/>
    <m/>
    <m/>
  </r>
  <r>
    <x v="0"/>
    <x v="0"/>
    <d v="2022-12-13T00:00:00"/>
    <d v="2022-12-13T00:00:00"/>
    <s v="FE001"/>
    <s v="NE 100016020"/>
    <n v="110076"/>
    <s v="Entregas - CN1792417910001"/>
    <m/>
    <s v="QUITO"/>
    <n v="51010101"/>
    <s v="Costo de ventas Quito"/>
    <m/>
    <n v="1701.53"/>
    <n v="-1701.53"/>
    <x v="1"/>
    <n v="1345009.34"/>
    <s v="-1701.53"/>
    <s v="jcortiz"/>
    <n v="0"/>
    <m/>
    <s v="QUITO-PICHINCHA"/>
    <m/>
    <m/>
    <m/>
  </r>
  <r>
    <x v="0"/>
    <x v="0"/>
    <d v="2022-12-13T00:00:00"/>
    <d v="2022-12-13T00:00:00"/>
    <s v="Primario"/>
    <s v="EM 1737"/>
    <n v="110077"/>
    <s v="Entrada de mercancías"/>
    <m/>
    <s v="QUITO"/>
    <n v="401030105"/>
    <s v="Otros Ingresos"/>
    <n v="30.13"/>
    <m/>
    <n v="30.13"/>
    <x v="5"/>
    <n v="1345039.47"/>
    <s v="30.13"/>
    <s v="jcortiz"/>
    <n v="0"/>
    <m/>
    <s v="QUITO-PICHINCHA"/>
    <m/>
    <m/>
    <m/>
  </r>
  <r>
    <x v="0"/>
    <x v="0"/>
    <d v="2022-12-13T00:00:00"/>
    <d v="2022-12-13T00:00:00"/>
    <s v="FE001"/>
    <s v="NE 100016021"/>
    <n v="110078"/>
    <s v="Entregas - CN1102853817001"/>
    <m/>
    <s v="QUITO"/>
    <n v="51010101"/>
    <s v="Costo de ventas Quito"/>
    <m/>
    <n v="89.69"/>
    <n v="-89.69"/>
    <x v="1"/>
    <n v="1344949.78"/>
    <s v="-89.69"/>
    <s v="jcortiz"/>
    <n v="0"/>
    <m/>
    <s v="QUITO-PICHINCHA"/>
    <m/>
    <m/>
    <m/>
  </r>
  <r>
    <x v="0"/>
    <x v="0"/>
    <d v="2022-12-13T00:00:00"/>
    <d v="2022-12-13T00:00:00"/>
    <s v="FE001"/>
    <s v="NE 100016022"/>
    <n v="110079"/>
    <s v="Entregas - CN1102853817001"/>
    <m/>
    <s v="QUITO"/>
    <n v="51010101"/>
    <s v="Costo de ventas Quito"/>
    <m/>
    <n v="21.72"/>
    <n v="-21.72"/>
    <x v="1"/>
    <n v="1344928.06"/>
    <s v="-21.72"/>
    <s v="jcortiz"/>
    <n v="0"/>
    <m/>
    <s v="QUITO-PICHINCHA"/>
    <m/>
    <m/>
    <m/>
  </r>
  <r>
    <x v="0"/>
    <x v="0"/>
    <d v="2022-12-13T00:00:00"/>
    <d v="2022-12-13T00:00:00"/>
    <s v="FE001"/>
    <s v="NE 100016024"/>
    <n v="110081"/>
    <s v="Entregas - CN1716004005001"/>
    <m/>
    <s v="QUITO"/>
    <n v="51010101"/>
    <s v="Costo de ventas Quito"/>
    <m/>
    <n v="23.88"/>
    <n v="-23.88"/>
    <x v="1"/>
    <n v="1344904.18"/>
    <s v="-23.88"/>
    <s v="jcortiz"/>
    <n v="0"/>
    <m/>
    <s v="QUITO-PICHINCHA"/>
    <m/>
    <m/>
    <m/>
  </r>
  <r>
    <x v="0"/>
    <x v="0"/>
    <d v="2022-12-13T00:00:00"/>
    <d v="2022-12-13T00:00:00"/>
    <s v="FE001"/>
    <s v="NE 100016025"/>
    <n v="110084"/>
    <s v="Entregas - CN1714787163001"/>
    <m/>
    <s v="QUITO"/>
    <n v="51010101"/>
    <s v="Costo de ventas Quito"/>
    <m/>
    <n v="44.12"/>
    <n v="-44.12"/>
    <x v="1"/>
    <n v="1344860.06"/>
    <s v="-44.12"/>
    <s v="jcortiz"/>
    <n v="0"/>
    <m/>
    <s v="QUITO-PICHINCHA"/>
    <m/>
    <m/>
    <m/>
  </r>
  <r>
    <x v="0"/>
    <x v="0"/>
    <d v="2022-12-13T00:00:00"/>
    <d v="2022-12-13T00:00:00"/>
    <s v="Primario"/>
    <s v="EP 6485"/>
    <n v="110086"/>
    <s v="Pedido de entrada de mercancías - PN0990281866001"/>
    <m/>
    <m/>
    <n v="201040506"/>
    <s v="Facturas por Confirmar"/>
    <n v="390"/>
    <m/>
    <n v="390"/>
    <x v="2"/>
    <n v="1345250.06"/>
    <s v="390.00"/>
    <s v="jcortiz"/>
    <n v="0"/>
    <m/>
    <m/>
    <m/>
    <m/>
    <m/>
  </r>
  <r>
    <x v="0"/>
    <x v="0"/>
    <d v="2022-12-13T00:00:00"/>
    <d v="2022-12-13T00:00:00"/>
    <s v="Primario"/>
    <s v="EP 6486"/>
    <n v="110087"/>
    <s v="Pedido de entrada de mercancías - PN1390060757001"/>
    <m/>
    <m/>
    <n v="201040506"/>
    <s v="Facturas por Confirmar"/>
    <n v="487.05"/>
    <m/>
    <n v="487.05"/>
    <x v="2"/>
    <n v="1345737.11"/>
    <s v="487.05"/>
    <s v="jcortiz"/>
    <n v="0"/>
    <m/>
    <m/>
    <m/>
    <m/>
    <m/>
  </r>
  <r>
    <x v="0"/>
    <x v="0"/>
    <d v="2022-12-13T00:00:00"/>
    <d v="2022-12-13T00:00:00"/>
    <s v="FE001"/>
    <s v="NE 100016026"/>
    <n v="110091"/>
    <s v="Entregas - CN1792298539001"/>
    <m/>
    <s v="QUITO"/>
    <n v="51010101"/>
    <s v="Costo de ventas Quito"/>
    <m/>
    <n v="390"/>
    <n v="-390"/>
    <x v="1"/>
    <n v="1345347.11"/>
    <s v="-390.00"/>
    <s v="jcortiz"/>
    <n v="0"/>
    <m/>
    <s v="QUITO-PICHINCHA"/>
    <m/>
    <m/>
    <m/>
  </r>
  <r>
    <x v="0"/>
    <x v="0"/>
    <d v="2022-12-13T00:00:00"/>
    <d v="2022-12-13T00:00:00"/>
    <s v="FE001"/>
    <s v="NE 100016027"/>
    <n v="110094"/>
    <s v="Entregas - CN1793121225001"/>
    <m/>
    <s v="QUITO"/>
    <n v="51010101"/>
    <s v="Costo de ventas Quito"/>
    <m/>
    <n v="663.98"/>
    <n v="-663.98"/>
    <x v="1"/>
    <n v="1344683.13"/>
    <s v="-663.98"/>
    <s v="jcortiz"/>
    <n v="0"/>
    <m/>
    <s v="QUITO-PICHINCHA"/>
    <m/>
    <m/>
    <m/>
  </r>
  <r>
    <x v="0"/>
    <x v="0"/>
    <d v="2022-12-13T00:00:00"/>
    <d v="2022-12-13T00:00:00"/>
    <s v="FE001"/>
    <s v="NE 100016028"/>
    <n v="110100"/>
    <s v="Entregas - CN1793121225001"/>
    <m/>
    <s v="QUITO"/>
    <n v="51010101"/>
    <s v="Costo de ventas Quito"/>
    <m/>
    <n v="663.98"/>
    <n v="-663.98"/>
    <x v="1"/>
    <n v="1344019.15"/>
    <s v="-663.98"/>
    <s v="jcortiz"/>
    <n v="0"/>
    <m/>
    <s v="QUITO-PICHINCHA"/>
    <m/>
    <m/>
    <m/>
  </r>
  <r>
    <x v="0"/>
    <x v="0"/>
    <d v="2022-12-13T00:00:00"/>
    <d v="2022-12-13T00:00:00"/>
    <s v="FE001"/>
    <s v="NE 100016029"/>
    <n v="110107"/>
    <s v="Entregas - CN1716047186001"/>
    <m/>
    <s v="QUITO"/>
    <n v="51010101"/>
    <s v="Costo de ventas Quito"/>
    <m/>
    <n v="16.420000000000002"/>
    <n v="-16.420000000000002"/>
    <x v="1"/>
    <n v="1344002.73"/>
    <s v="-16.42"/>
    <s v="jcortiz"/>
    <n v="0"/>
    <m/>
    <s v="QUITO-PICHINCHA"/>
    <m/>
    <m/>
    <m/>
  </r>
  <r>
    <x v="0"/>
    <x v="0"/>
    <d v="2022-12-13T00:00:00"/>
    <d v="2022-12-13T00:00:00"/>
    <s v="FE001"/>
    <s v="IM 100003457"/>
    <n v="110112"/>
    <s v="Traslados - CN1792079160001"/>
    <m/>
    <m/>
    <n v="101060406"/>
    <s v="Inventario de prod. term. y mercad. en Bodega a consignación"/>
    <m/>
    <n v="222.71"/>
    <n v="-222.71"/>
    <x v="3"/>
    <n v="1343780.02"/>
    <s v="-222.71"/>
    <s v="jcortiz"/>
    <n v="0"/>
    <m/>
    <m/>
    <m/>
    <m/>
    <m/>
  </r>
  <r>
    <x v="0"/>
    <x v="0"/>
    <d v="2022-12-13T00:00:00"/>
    <d v="2022-12-13T00:00:00"/>
    <s v="FE001"/>
    <s v="NE 100016034"/>
    <n v="110139"/>
    <s v="Entregas - CN1708553464001"/>
    <m/>
    <s v="QUITO"/>
    <n v="51010101"/>
    <s v="Costo de ventas Quito"/>
    <m/>
    <n v="429.73"/>
    <n v="-429.73"/>
    <x v="1"/>
    <n v="1343350.29"/>
    <s v="-429.73"/>
    <s v="jcortiz"/>
    <n v="0"/>
    <m/>
    <s v="QUITO-PICHINCHA"/>
    <m/>
    <m/>
    <m/>
  </r>
  <r>
    <x v="0"/>
    <x v="0"/>
    <d v="2022-12-13T00:00:00"/>
    <d v="2022-12-13T00:00:00"/>
    <s v="FE001"/>
    <s v="IM 100003458"/>
    <n v="110150"/>
    <s v="Traslados - CN1792079160001"/>
    <m/>
    <m/>
    <n v="101060402"/>
    <s v="Inventario de prod. term. y mercad. en Bodega BULLSYPPLY Coca"/>
    <m/>
    <n v="487.05"/>
    <n v="-487.05"/>
    <x v="3"/>
    <n v="1342863.24"/>
    <s v="-487.05"/>
    <s v="jcortiz"/>
    <n v="0"/>
    <m/>
    <m/>
    <m/>
    <m/>
    <m/>
  </r>
  <r>
    <x v="0"/>
    <x v="0"/>
    <d v="2022-12-13T00:00:00"/>
    <d v="2022-12-13T00:00:00"/>
    <s v="FE001"/>
    <s v="IM 100003459"/>
    <n v="110154"/>
    <s v="Traslados - CN1792079160001"/>
    <m/>
    <m/>
    <n v="101060402"/>
    <s v="Inventario de prod. term. y mercad. en Bodega BULLSYPPLY Coca"/>
    <n v="99.7"/>
    <m/>
    <n v="99.7"/>
    <x v="3"/>
    <n v="1342962.94"/>
    <s v="99.70"/>
    <s v="ancueva"/>
    <n v="0"/>
    <m/>
    <m/>
    <m/>
    <m/>
    <m/>
  </r>
  <r>
    <x v="0"/>
    <x v="0"/>
    <d v="2022-12-13T00:00:00"/>
    <d v="2022-12-13T00:00:00"/>
    <s v="Primario"/>
    <s v="SM 579"/>
    <n v="110159"/>
    <s v="Salida de mercancías"/>
    <m/>
    <s v="QUITO"/>
    <n v="51010101"/>
    <s v="Costo de ventas Quito"/>
    <m/>
    <n v="2.5099999999999998"/>
    <n v="-2.5099999999999998"/>
    <x v="1"/>
    <n v="1342960.43"/>
    <s v="-2.51"/>
    <s v="jcortiz"/>
    <n v="0"/>
    <m/>
    <s v="QUITO-PICHINCHA"/>
    <m/>
    <m/>
    <m/>
  </r>
  <r>
    <x v="0"/>
    <x v="0"/>
    <d v="2022-12-13T00:00:00"/>
    <d v="2022-12-13T00:00:00"/>
    <s v="Primario"/>
    <s v="EM 1738"/>
    <n v="110161"/>
    <s v="Entrada de mercancías"/>
    <m/>
    <s v="QUITO"/>
    <n v="401030105"/>
    <s v="Otros Ingresos"/>
    <n v="7.33"/>
    <m/>
    <n v="7.33"/>
    <x v="5"/>
    <n v="1342967.76"/>
    <s v="7.33"/>
    <s v="jcortiz"/>
    <n v="0"/>
    <m/>
    <s v="QUITO-PICHINCHA"/>
    <m/>
    <m/>
    <m/>
  </r>
  <r>
    <x v="0"/>
    <x v="0"/>
    <d v="2022-12-13T00:00:00"/>
    <d v="2022-12-13T00:00:00"/>
    <s v="FE001"/>
    <s v="IM 100003460"/>
    <n v="110162"/>
    <s v="Traslados - CN1792079160001"/>
    <m/>
    <m/>
    <n v="101060402"/>
    <s v="Inventario de prod. term. y mercad. en Bodega BULLSYPPLY Coca"/>
    <m/>
    <n v="7.33"/>
    <n v="-7.33"/>
    <x v="3"/>
    <n v="1342960.43"/>
    <s v="-7.33"/>
    <s v="jcortiz"/>
    <n v="0"/>
    <m/>
    <m/>
    <m/>
    <m/>
    <m/>
  </r>
  <r>
    <x v="0"/>
    <x v="0"/>
    <d v="2022-12-13T00:00:00"/>
    <d v="2022-12-13T00:00:00"/>
    <s v="FE001"/>
    <s v="NE 100016036"/>
    <n v="110165"/>
    <s v="Entregas - CN1804437497001"/>
    <m/>
    <s v="QUITO"/>
    <n v="51010101"/>
    <s v="Costo de ventas Quito"/>
    <m/>
    <n v="152.97999999999999"/>
    <n v="-152.97999999999999"/>
    <x v="1"/>
    <n v="1342807.45"/>
    <s v="-152.98"/>
    <s v="jcortiz"/>
    <n v="0"/>
    <m/>
    <s v="QUITO-PICHINCHA"/>
    <m/>
    <m/>
    <m/>
  </r>
  <r>
    <x v="0"/>
    <x v="0"/>
    <d v="2022-12-13T00:00:00"/>
    <d v="2022-12-13T00:00:00"/>
    <s v="FE001"/>
    <s v="NE 100016037"/>
    <n v="110166"/>
    <s v="Entregas - CN1804437497001"/>
    <m/>
    <s v="QUITO"/>
    <n v="51010101"/>
    <s v="Costo de ventas Quito"/>
    <m/>
    <n v="70.459999999999994"/>
    <n v="-70.459999999999994"/>
    <x v="1"/>
    <n v="1342736.99"/>
    <s v="-70.46"/>
    <s v="jcortiz"/>
    <n v="0"/>
    <m/>
    <s v="QUITO-PICHINCHA"/>
    <m/>
    <m/>
    <m/>
  </r>
  <r>
    <x v="0"/>
    <x v="0"/>
    <d v="2022-12-13T00:00:00"/>
    <d v="2022-12-13T00:00:00"/>
    <s v="FE001"/>
    <s v="NE 100016038"/>
    <n v="110167"/>
    <s v="Entregas - CN1792417910001"/>
    <m/>
    <s v="QUITO"/>
    <n v="51010101"/>
    <s v="Costo de ventas Quito"/>
    <m/>
    <n v="99.7"/>
    <n v="-99.7"/>
    <x v="1"/>
    <n v="1342637.29"/>
    <s v="-99.70"/>
    <s v="jcortiz"/>
    <n v="0"/>
    <m/>
    <s v="QUITO-PICHINCHA"/>
    <m/>
    <m/>
    <m/>
  </r>
  <r>
    <x v="0"/>
    <x v="0"/>
    <d v="2022-12-13T00:00:00"/>
    <d v="2022-12-13T00:00:00"/>
    <s v="FE001"/>
    <s v="RC 100000683"/>
    <n v="110172"/>
    <s v="Notas de crédito clientes - CN0590060933001"/>
    <m/>
    <s v="QUITO"/>
    <s v="CN0590060933001"/>
    <s v="INDUACERO INDUSTRIA DE ACERO DEL ECUADOR CIA. LTDA."/>
    <n v="87.8"/>
    <m/>
    <n v="87.8"/>
    <x v="4"/>
    <n v="1342725.09"/>
    <s v="87.80"/>
    <s v="gcali"/>
    <n v="0"/>
    <m/>
    <s v="QUITO-PICHINCHA"/>
    <m/>
    <m/>
    <m/>
  </r>
  <r>
    <x v="0"/>
    <x v="0"/>
    <d v="2022-12-13T00:00:00"/>
    <d v="2022-12-13T00:00:00"/>
    <s v="FE001"/>
    <s v="NE 100016093"/>
    <n v="110392"/>
    <s v="Entrega - Cancelación - CN1715188270001"/>
    <m/>
    <s v="QUITO"/>
    <n v="51010101"/>
    <s v="Costo de ventas Quito"/>
    <n v="20.86"/>
    <m/>
    <n v="20.86"/>
    <x v="1"/>
    <n v="1342745.95"/>
    <s v="20.86"/>
    <s v="jcortiz"/>
    <n v="0"/>
    <m/>
    <s v="QUITO-PICHINCHA"/>
    <m/>
    <m/>
    <m/>
  </r>
  <r>
    <x v="0"/>
    <x v="0"/>
    <d v="2022-12-14T00:00:00"/>
    <d v="2022-12-14T00:00:00"/>
    <s v="FE001"/>
    <s v="NE 100016042"/>
    <n v="110184"/>
    <s v="Entregas - CN1792417910001"/>
    <m/>
    <s v="QUITO"/>
    <n v="51010101"/>
    <s v="Costo de ventas Quito"/>
    <m/>
    <n v="1694.85"/>
    <n v="-1694.85"/>
    <x v="1"/>
    <n v="1341051.1000000001"/>
    <s v="-1694.85"/>
    <s v="jcortiz"/>
    <n v="0"/>
    <m/>
    <s v="QUITO-PICHINCHA"/>
    <m/>
    <m/>
    <m/>
  </r>
  <r>
    <x v="0"/>
    <x v="0"/>
    <d v="2022-12-14T00:00:00"/>
    <d v="2022-12-14T00:00:00"/>
    <s v="Primario"/>
    <s v="EP 6487"/>
    <n v="110202"/>
    <s v="Pedido de entrada de mercancías - PN0992124628001"/>
    <m/>
    <m/>
    <n v="201040506"/>
    <s v="Facturas por Confirmar"/>
    <n v="113.92"/>
    <m/>
    <n v="113.92"/>
    <x v="2"/>
    <n v="1341165.02"/>
    <s v="113.92"/>
    <s v="jcortiz"/>
    <n v="0"/>
    <m/>
    <m/>
    <m/>
    <m/>
    <m/>
  </r>
  <r>
    <x v="0"/>
    <x v="0"/>
    <d v="2022-12-14T00:00:00"/>
    <d v="2022-12-14T00:00:00"/>
    <s v="FE001"/>
    <s v="NE 100016044"/>
    <n v="110205"/>
    <s v="Entregas - CN1768153530001"/>
    <m/>
    <s v="QUITO"/>
    <n v="51010101"/>
    <s v="Costo de ventas Quito"/>
    <m/>
    <n v="164.19"/>
    <n v="-164.19"/>
    <x v="1"/>
    <n v="1341000.83"/>
    <s v="-164.19"/>
    <s v="jcortiz"/>
    <n v="0"/>
    <m/>
    <s v="QUITO-PICHINCHA"/>
    <m/>
    <m/>
    <m/>
  </r>
  <r>
    <x v="0"/>
    <x v="0"/>
    <d v="2022-12-14T00:00:00"/>
    <d v="2022-12-14T00:00:00"/>
    <s v="FE001"/>
    <s v="NE 100016047"/>
    <n v="110213"/>
    <s v="Entregas - CN1792360250001"/>
    <m/>
    <s v="QUITO"/>
    <n v="51010101"/>
    <s v="Costo de ventas Quito"/>
    <m/>
    <n v="76.78"/>
    <n v="-76.78"/>
    <x v="1"/>
    <n v="1340924.05"/>
    <s v="-76.78"/>
    <s v="jcortiz"/>
    <n v="0"/>
    <m/>
    <s v="QUITO-PICHINCHA"/>
    <m/>
    <m/>
    <m/>
  </r>
  <r>
    <x v="0"/>
    <x v="0"/>
    <d v="2022-12-14T00:00:00"/>
    <d v="2022-12-14T00:00:00"/>
    <s v="FE001"/>
    <s v="IM 100003461"/>
    <n v="110214"/>
    <s v="Traslados - CN1792079160001"/>
    <m/>
    <m/>
    <n v="101060402"/>
    <s v="Inventario de prod. term. y mercad. en Bodega BULLSYPPLY Coca"/>
    <n v="189.82"/>
    <m/>
    <n v="189.82"/>
    <x v="3"/>
    <n v="1341113.8700000001"/>
    <s v="189.82"/>
    <s v="ancueva"/>
    <n v="0"/>
    <m/>
    <m/>
    <m/>
    <m/>
    <m/>
  </r>
  <r>
    <x v="0"/>
    <x v="0"/>
    <d v="2022-12-14T00:00:00"/>
    <d v="2022-12-14T00:00:00"/>
    <s v="Primario"/>
    <s v="EP 6488"/>
    <n v="110215"/>
    <s v="Pedido de entrada de mercancías - PN1791834399001"/>
    <m/>
    <m/>
    <n v="201040506"/>
    <s v="Facturas por Confirmar"/>
    <n v="156.96"/>
    <m/>
    <n v="156.96"/>
    <x v="2"/>
    <n v="1341270.83"/>
    <s v="156.96"/>
    <s v="jcortiz"/>
    <n v="0"/>
    <m/>
    <m/>
    <m/>
    <m/>
    <m/>
  </r>
  <r>
    <x v="0"/>
    <x v="0"/>
    <d v="2022-12-14T00:00:00"/>
    <d v="2022-12-14T00:00:00"/>
    <s v="Primario"/>
    <s v="EP 6489"/>
    <n v="110216"/>
    <s v="Pedido de entrada de mercancías - PN1791834399001"/>
    <m/>
    <m/>
    <n v="201040506"/>
    <s v="Facturas por Confirmar"/>
    <n v="226.1"/>
    <m/>
    <n v="226.1"/>
    <x v="2"/>
    <n v="1341496.93"/>
    <s v="226.10"/>
    <s v="jcortiz"/>
    <n v="0"/>
    <m/>
    <m/>
    <m/>
    <m/>
    <m/>
  </r>
  <r>
    <x v="0"/>
    <x v="0"/>
    <d v="2022-12-14T00:00:00"/>
    <d v="2022-12-14T00:00:00"/>
    <s v="FE001"/>
    <s v="NE 100016048"/>
    <n v="110217"/>
    <s v="Entregas - CN1791263308001"/>
    <m/>
    <s v="QUITO"/>
    <n v="51010101"/>
    <s v="Costo de ventas Quito"/>
    <m/>
    <n v="156.96"/>
    <n v="-156.96"/>
    <x v="1"/>
    <n v="1341339.97"/>
    <s v="-156.96"/>
    <s v="jcortiz"/>
    <n v="0"/>
    <m/>
    <s v="QUITO-PICHINCHA"/>
    <m/>
    <m/>
    <m/>
  </r>
  <r>
    <x v="0"/>
    <x v="0"/>
    <d v="2022-12-14T00:00:00"/>
    <d v="2022-12-14T00:00:00"/>
    <s v="FE001"/>
    <s v="NE 100016049"/>
    <n v="110218"/>
    <s v="Entregas - CN1791263308001"/>
    <m/>
    <s v="QUITO"/>
    <n v="51010101"/>
    <s v="Costo de ventas Quito"/>
    <m/>
    <n v="226.1"/>
    <n v="-226.1"/>
    <x v="1"/>
    <n v="1341113.8700000001"/>
    <s v="-226.10"/>
    <s v="jcortiz"/>
    <n v="0"/>
    <m/>
    <s v="QUITO-PICHINCHA"/>
    <m/>
    <m/>
    <m/>
  </r>
  <r>
    <x v="0"/>
    <x v="0"/>
    <d v="2022-12-14T00:00:00"/>
    <d v="2022-12-14T00:00:00"/>
    <s v="FE001"/>
    <s v="NE 100016050"/>
    <n v="110219"/>
    <s v="Entregas - CN1708553464001"/>
    <m/>
    <s v="QUITO"/>
    <n v="51010101"/>
    <s v="Costo de ventas Quito"/>
    <m/>
    <n v="1106.19"/>
    <n v="-1106.19"/>
    <x v="1"/>
    <n v="1340007.68"/>
    <s v="-1106.19"/>
    <s v="jcortiz"/>
    <n v="0"/>
    <m/>
    <s v="QUITO-PICHINCHA"/>
    <m/>
    <m/>
    <m/>
  </r>
  <r>
    <x v="0"/>
    <x v="0"/>
    <d v="2022-12-14T00:00:00"/>
    <d v="2022-12-14T00:00:00"/>
    <s v="FE001"/>
    <s v="NE 100016051"/>
    <n v="110221"/>
    <s v="Entregas - CN1804437497001"/>
    <m/>
    <s v="QUITO"/>
    <n v="51010101"/>
    <s v="Costo de ventas Quito"/>
    <m/>
    <n v="25.24"/>
    <n v="-25.24"/>
    <x v="1"/>
    <n v="1339982.44"/>
    <s v="-25.24"/>
    <s v="jcortiz"/>
    <n v="0"/>
    <m/>
    <s v="QUITO-PICHINCHA"/>
    <m/>
    <m/>
    <m/>
  </r>
  <r>
    <x v="0"/>
    <x v="0"/>
    <d v="2022-12-14T00:00:00"/>
    <d v="2022-12-14T00:00:00"/>
    <s v="FE001"/>
    <s v="RC 100000684"/>
    <n v="110223"/>
    <s v="Notas de crédito clientes - CN1791847776001"/>
    <m/>
    <s v="QUITO"/>
    <s v="CN1791847776001"/>
    <s v="PROYECTOS INTEGRALES DEL ECUADOR PIL S.A"/>
    <n v="129.04"/>
    <m/>
    <n v="129.04"/>
    <x v="4"/>
    <n v="1340111.48"/>
    <s v="129.04"/>
    <s v="gcali"/>
    <n v="0"/>
    <m/>
    <s v="QUITO-PICHINCHA"/>
    <m/>
    <m/>
    <m/>
  </r>
  <r>
    <x v="0"/>
    <x v="0"/>
    <d v="2022-12-15T00:00:00"/>
    <d v="2022-12-15T00:00:00"/>
    <s v="FE001"/>
    <s v="NE 100016054"/>
    <n v="110230"/>
    <s v="Entregas - CN1791051955001"/>
    <m/>
    <s v="QUITO"/>
    <n v="51010101"/>
    <s v="Costo de ventas Quito"/>
    <m/>
    <n v="963.79"/>
    <n v="-963.79"/>
    <x v="1"/>
    <n v="1339147.69"/>
    <s v="-963.79"/>
    <s v="jcortiz"/>
    <n v="0"/>
    <m/>
    <s v="QUITO-PICHINCHA"/>
    <m/>
    <m/>
    <m/>
  </r>
  <r>
    <x v="0"/>
    <x v="0"/>
    <d v="2022-12-15T00:00:00"/>
    <d v="2022-12-15T00:00:00"/>
    <s v="FE001"/>
    <s v="NE 100016055"/>
    <n v="110236"/>
    <s v="Entregas - CN1102853817001"/>
    <m/>
    <s v="QUITO"/>
    <n v="51010101"/>
    <s v="Costo de ventas Quito"/>
    <m/>
    <n v="12.28"/>
    <n v="-12.28"/>
    <x v="1"/>
    <n v="1339135.4099999999"/>
    <s v="-12.28"/>
    <s v="jcortiz"/>
    <n v="0"/>
    <m/>
    <s v="QUITO-PICHINCHA"/>
    <m/>
    <m/>
    <m/>
  </r>
  <r>
    <x v="0"/>
    <x v="0"/>
    <d v="2022-12-15T00:00:00"/>
    <d v="2022-12-15T00:00:00"/>
    <s v="FE001"/>
    <s v="NE 100016056"/>
    <n v="110237"/>
    <s v="Entregas - CN1792055415001"/>
    <m/>
    <s v="QUITO"/>
    <n v="51010101"/>
    <s v="Costo de ventas Quito"/>
    <m/>
    <n v="12.95"/>
    <n v="-12.95"/>
    <x v="1"/>
    <n v="1339122.46"/>
    <s v="-12.95"/>
    <s v="jcortiz"/>
    <n v="0"/>
    <m/>
    <s v="QUITO-PICHINCHA"/>
    <m/>
    <m/>
    <m/>
  </r>
  <r>
    <x v="0"/>
    <x v="0"/>
    <d v="2022-12-15T00:00:00"/>
    <d v="2022-12-15T00:00:00"/>
    <s v="FE001"/>
    <s v="NE 100016057"/>
    <n v="110247"/>
    <s v="Entregas - CN1793070272001"/>
    <m/>
    <s v="QUITO"/>
    <n v="51010101"/>
    <s v="Costo de ventas Quito"/>
    <m/>
    <n v="2.21"/>
    <n v="-2.21"/>
    <x v="1"/>
    <n v="1339120.25"/>
    <s v="-2.21"/>
    <s v="jcortiz"/>
    <n v="0"/>
    <m/>
    <s v="QUITO-PICHINCHA"/>
    <m/>
    <m/>
    <m/>
  </r>
  <r>
    <x v="0"/>
    <x v="0"/>
    <d v="2022-12-15T00:00:00"/>
    <d v="2022-12-15T00:00:00"/>
    <s v="FE001"/>
    <s v="NE 100016059"/>
    <n v="110255"/>
    <s v="Entregas - CN1791263308001"/>
    <m/>
    <s v="QUITO"/>
    <n v="51010101"/>
    <s v="Costo de ventas Quito"/>
    <m/>
    <n v="142.75"/>
    <n v="-142.75"/>
    <x v="1"/>
    <n v="1338977.5"/>
    <s v="-142.75"/>
    <s v="jcortiz"/>
    <n v="0"/>
    <m/>
    <s v="QUITO-PICHINCHA"/>
    <m/>
    <m/>
    <m/>
  </r>
  <r>
    <x v="0"/>
    <x v="0"/>
    <d v="2022-12-15T00:00:00"/>
    <d v="2022-12-15T00:00:00"/>
    <s v="FE001"/>
    <s v="IM 100003462"/>
    <n v="110257"/>
    <s v="Traslados - CN1792079160001"/>
    <m/>
    <m/>
    <n v="101060406"/>
    <s v="Inventario de prod. term. y mercad. en Bodega a consignación"/>
    <m/>
    <n v="148.47"/>
    <n v="-148.47"/>
    <x v="3"/>
    <n v="1338829.03"/>
    <s v="-148.47"/>
    <s v="jcortiz"/>
    <n v="0"/>
    <m/>
    <m/>
    <m/>
    <m/>
    <m/>
  </r>
  <r>
    <x v="0"/>
    <x v="0"/>
    <d v="2022-12-15T00:00:00"/>
    <d v="2022-12-15T00:00:00"/>
    <s v="FE001"/>
    <s v="IM 100003463"/>
    <n v="110276"/>
    <s v="Traslados - CN1792079160001"/>
    <m/>
    <m/>
    <n v="101060402"/>
    <s v="Inventario de prod. term. y mercad. en Bodega BULLSYPPLY Coca"/>
    <n v="1520.22"/>
    <m/>
    <n v="1520.22"/>
    <x v="3"/>
    <n v="1340349.25"/>
    <s v="1520.22"/>
    <s v="ancueva"/>
    <n v="0"/>
    <m/>
    <m/>
    <m/>
    <m/>
    <m/>
  </r>
  <r>
    <x v="0"/>
    <x v="0"/>
    <d v="2022-12-15T00:00:00"/>
    <d v="2022-12-15T00:00:00"/>
    <s v="FE001"/>
    <s v="IM 100003464"/>
    <n v="110283"/>
    <s v="Traslados - CN1792079160001"/>
    <m/>
    <m/>
    <n v="101060402"/>
    <s v="Inventario de prod. term. y mercad. en Bodega BULLSYPPLY Coca"/>
    <n v="29.38"/>
    <m/>
    <n v="29.38"/>
    <x v="3"/>
    <n v="1340378.6299999999"/>
    <s v="29.38"/>
    <s v="ancueva"/>
    <n v="0"/>
    <m/>
    <m/>
    <m/>
    <m/>
    <m/>
  </r>
  <r>
    <x v="0"/>
    <x v="0"/>
    <d v="2022-12-15T00:00:00"/>
    <d v="2022-12-15T00:00:00"/>
    <s v="FE001"/>
    <s v="NE 100016060"/>
    <n v="110284"/>
    <s v="Entregas - CN1791847776001"/>
    <m/>
    <s v="QUITO"/>
    <n v="51010101"/>
    <s v="Costo de ventas Quito"/>
    <m/>
    <n v="129.04"/>
    <n v="-129.04"/>
    <x v="1"/>
    <n v="1340249.5900000001"/>
    <s v="-129.04"/>
    <s v="jcortiz"/>
    <n v="0"/>
    <m/>
    <s v="QUITO-PICHINCHA"/>
    <m/>
    <m/>
    <m/>
  </r>
  <r>
    <x v="0"/>
    <x v="0"/>
    <d v="2022-12-15T00:00:00"/>
    <d v="2022-12-15T00:00:00"/>
    <s v="FE001"/>
    <s v="IM 100003465"/>
    <n v="110285"/>
    <s v="Traslados - CN1792079160001"/>
    <m/>
    <m/>
    <n v="101060402"/>
    <s v="Inventario de prod. term. y mercad. en Bodega BULLSYPPLY Coca"/>
    <m/>
    <n v="733.64"/>
    <n v="-733.64"/>
    <x v="3"/>
    <n v="1339515.95"/>
    <s v="-733.64"/>
    <s v="jcortiz"/>
    <n v="0"/>
    <m/>
    <m/>
    <m/>
    <m/>
    <m/>
  </r>
  <r>
    <x v="0"/>
    <x v="0"/>
    <d v="2022-12-15T00:00:00"/>
    <d v="2022-12-15T00:00:00"/>
    <s v="FE001"/>
    <s v="NE 100016061"/>
    <n v="110292"/>
    <s v="Entregas - CN1791734920001"/>
    <m/>
    <s v="QUITO"/>
    <n v="51010101"/>
    <s v="Costo de ventas Quito"/>
    <m/>
    <n v="1359.48"/>
    <n v="-1359.48"/>
    <x v="1"/>
    <n v="1338156.47"/>
    <s v="-1359.48"/>
    <s v="jcortiz"/>
    <n v="0"/>
    <m/>
    <s v="QUITO-PICHINCHA"/>
    <m/>
    <m/>
    <m/>
  </r>
  <r>
    <x v="0"/>
    <x v="0"/>
    <d v="2022-12-15T00:00:00"/>
    <d v="2022-12-15T00:00:00"/>
    <s v="FE001"/>
    <s v="NE 100016062"/>
    <n v="110294"/>
    <s v="Entregas - CN1708553464001"/>
    <m/>
    <s v="QUITO"/>
    <n v="51010101"/>
    <s v="Costo de ventas Quito"/>
    <m/>
    <n v="184.79"/>
    <n v="-184.79"/>
    <x v="1"/>
    <n v="1337971.68"/>
    <s v="-184.79"/>
    <s v="jcortiz"/>
    <n v="0"/>
    <m/>
    <s v="QUITO-PICHINCHA"/>
    <m/>
    <m/>
    <m/>
  </r>
  <r>
    <x v="0"/>
    <x v="0"/>
    <d v="2022-12-15T00:00:00"/>
    <d v="2022-12-15T00:00:00"/>
    <s v="Primario"/>
    <s v="EP 6490"/>
    <n v="110295"/>
    <s v="Pedido de entrada de mercancías - PN1791834399001"/>
    <m/>
    <m/>
    <n v="201040506"/>
    <s v="Facturas por Confirmar"/>
    <n v="46.75"/>
    <m/>
    <n v="46.75"/>
    <x v="2"/>
    <n v="1338018.43"/>
    <s v="46.75"/>
    <s v="jcortiz"/>
    <n v="0"/>
    <m/>
    <m/>
    <m/>
    <m/>
    <m/>
  </r>
  <r>
    <x v="0"/>
    <x v="0"/>
    <d v="2022-12-15T00:00:00"/>
    <d v="2022-12-15T00:00:00"/>
    <s v="FE001"/>
    <s v="NE 100016063"/>
    <n v="110296"/>
    <s v="Entregas - CN1791263308001"/>
    <m/>
    <s v="QUITO"/>
    <n v="51010101"/>
    <s v="Costo de ventas Quito"/>
    <m/>
    <n v="46.75"/>
    <n v="-46.75"/>
    <x v="1"/>
    <n v="1337971.68"/>
    <s v="-46.75"/>
    <s v="jcortiz"/>
    <n v="0"/>
    <m/>
    <s v="QUITO-PICHINCHA"/>
    <m/>
    <m/>
    <m/>
  </r>
  <r>
    <x v="0"/>
    <x v="0"/>
    <d v="2022-12-15T00:00:00"/>
    <d v="2022-12-15T00:00:00"/>
    <s v="FE001"/>
    <s v="NE 100016064"/>
    <n v="110299"/>
    <s v="Entregas - CN1792260787001"/>
    <m/>
    <s v="QUITO"/>
    <n v="51010101"/>
    <s v="Costo de ventas Quito"/>
    <m/>
    <n v="2505.34"/>
    <n v="-2505.34"/>
    <x v="1"/>
    <n v="1335466.3400000001"/>
    <s v="-2505.34"/>
    <s v="jcortiz"/>
    <n v="0"/>
    <m/>
    <s v="QUITO-PICHINCHA"/>
    <m/>
    <m/>
    <m/>
  </r>
  <r>
    <x v="0"/>
    <x v="0"/>
    <d v="2022-12-15T00:00:00"/>
    <d v="2022-12-15T00:00:00"/>
    <s v="FE001"/>
    <s v="NE 100016065"/>
    <n v="110300"/>
    <s v="Entregas - CN1792260787001"/>
    <m/>
    <s v="QUITO"/>
    <n v="51010101"/>
    <s v="Costo de ventas Quito"/>
    <m/>
    <n v="59.71"/>
    <n v="-59.71"/>
    <x v="1"/>
    <n v="1335406.6299999999"/>
    <s v="-59.71"/>
    <s v="jcortiz"/>
    <n v="0"/>
    <m/>
    <s v="QUITO-PICHINCHA"/>
    <m/>
    <m/>
    <m/>
  </r>
  <r>
    <x v="0"/>
    <x v="0"/>
    <d v="2022-12-15T00:00:00"/>
    <d v="2022-12-15T00:00:00"/>
    <s v="FE001"/>
    <s v="RC 100000685"/>
    <n v="110307"/>
    <s v="Notas de crédito clientes - CN1793121225001"/>
    <m/>
    <s v="QUITO"/>
    <s v="CN1793121225001"/>
    <s v="COMERCIALIZACION Y SERVICIOS IPSCE S.C.C."/>
    <n v="136.5"/>
    <m/>
    <n v="136.5"/>
    <x v="4"/>
    <n v="1335543.1299999999"/>
    <s v="136.50"/>
    <s v="gcali"/>
    <n v="0"/>
    <m/>
    <s v="QUITO-PICHINCHA"/>
    <m/>
    <m/>
    <m/>
  </r>
  <r>
    <x v="0"/>
    <x v="0"/>
    <d v="2022-12-15T00:00:00"/>
    <d v="2022-12-15T00:00:00"/>
    <s v="FE001"/>
    <s v="RC 100000686"/>
    <n v="110308"/>
    <s v="Notas de crédito clientes - CN1793121225001"/>
    <m/>
    <s v="QUITO"/>
    <s v="CN1793121225001"/>
    <s v="COMERCIALIZACION Y SERVICIOS IPSCE S.C.C."/>
    <n v="31.12"/>
    <m/>
    <n v="31.12"/>
    <x v="4"/>
    <n v="1335574.25"/>
    <s v="31.12"/>
    <s v="gcali"/>
    <n v="0"/>
    <m/>
    <s v="QUITO-PICHINCHA"/>
    <m/>
    <m/>
    <m/>
  </r>
  <r>
    <x v="0"/>
    <x v="0"/>
    <d v="2022-12-15T00:00:00"/>
    <d v="2022-12-15T00:00:00"/>
    <s v="FE001"/>
    <s v="NE 100016067"/>
    <n v="110312"/>
    <s v="Entregas - CN1792368979001"/>
    <m/>
    <s v="QUITO"/>
    <n v="51010101"/>
    <s v="Costo de ventas Quito"/>
    <m/>
    <n v="136.5"/>
    <n v="-136.5"/>
    <x v="1"/>
    <n v="1335437.75"/>
    <s v="-136.50"/>
    <s v="jcortiz"/>
    <n v="0"/>
    <m/>
    <s v="QUITO-PICHINCHA"/>
    <m/>
    <m/>
    <m/>
  </r>
  <r>
    <x v="0"/>
    <x v="0"/>
    <d v="2022-12-15T00:00:00"/>
    <d v="2022-12-15T00:00:00"/>
    <s v="FE001"/>
    <s v="NE 100016068"/>
    <n v="110313"/>
    <s v="Entregas - CN1792368979001"/>
    <m/>
    <s v="QUITO"/>
    <n v="51010101"/>
    <s v="Costo de ventas Quito"/>
    <m/>
    <n v="31.12"/>
    <n v="-31.12"/>
    <x v="1"/>
    <n v="1335406.6299999999"/>
    <s v="-31.12"/>
    <s v="jcortiz"/>
    <n v="0"/>
    <m/>
    <s v="QUITO-PICHINCHA"/>
    <m/>
    <m/>
    <m/>
  </r>
  <r>
    <x v="0"/>
    <x v="0"/>
    <d v="2022-12-16T00:00:00"/>
    <d v="2022-12-16T00:00:00"/>
    <s v="FE001"/>
    <s v="IM 100003466"/>
    <n v="110330"/>
    <s v="Traslados - CN1792079160001"/>
    <m/>
    <m/>
    <n v="101060407"/>
    <s v="Inventario de prod. term. y mercad. en Bodega muestras"/>
    <m/>
    <n v="1.26"/>
    <n v="-1.26"/>
    <x v="3"/>
    <n v="1335405.3700000001"/>
    <s v="-1.26"/>
    <s v="jcortiz"/>
    <n v="0"/>
    <m/>
    <m/>
    <m/>
    <m/>
    <m/>
  </r>
  <r>
    <x v="0"/>
    <x v="0"/>
    <d v="2022-12-16T00:00:00"/>
    <d v="2022-12-16T00:00:00"/>
    <s v="Primario"/>
    <s v="EP 6491"/>
    <n v="110338"/>
    <s v="Pedido de entrada de mercancías - PN0992697571001"/>
    <m/>
    <m/>
    <n v="201040506"/>
    <s v="Facturas por Confirmar"/>
    <n v="288"/>
    <m/>
    <n v="288"/>
    <x v="2"/>
    <n v="1335693.3700000001"/>
    <s v="288.00"/>
    <s v="jcortiz"/>
    <n v="0"/>
    <m/>
    <m/>
    <m/>
    <m/>
    <m/>
  </r>
  <r>
    <x v="0"/>
    <x v="0"/>
    <d v="2022-12-16T00:00:00"/>
    <d v="2022-12-16T00:00:00"/>
    <s v="FE001"/>
    <s v="NE 100016069"/>
    <n v="110339"/>
    <s v="Entregas - CN1791263308001"/>
    <m/>
    <s v="QUITO"/>
    <n v="51010101"/>
    <s v="Costo de ventas Quito"/>
    <m/>
    <n v="288"/>
    <n v="-288"/>
    <x v="1"/>
    <n v="1335405.3700000001"/>
    <s v="-288.00"/>
    <s v="jcortiz"/>
    <n v="0"/>
    <m/>
    <s v="QUITO-PICHINCHA"/>
    <m/>
    <m/>
    <m/>
  </r>
  <r>
    <x v="0"/>
    <x v="0"/>
    <d v="2022-12-16T00:00:00"/>
    <d v="2022-12-16T00:00:00"/>
    <s v="FE001"/>
    <s v="NE 100016070"/>
    <n v="110340"/>
    <s v="Entregas - CN1791263308001"/>
    <m/>
    <s v="QUITO"/>
    <n v="51010101"/>
    <s v="Costo de ventas Quito"/>
    <m/>
    <n v="527.94000000000005"/>
    <n v="-527.94000000000005"/>
    <x v="1"/>
    <n v="1334877.43"/>
    <s v="-527.94"/>
    <s v="jcortiz"/>
    <n v="0"/>
    <m/>
    <s v="QUITO-PICHINCHA"/>
    <m/>
    <m/>
    <m/>
  </r>
  <r>
    <x v="0"/>
    <x v="0"/>
    <d v="2022-12-16T00:00:00"/>
    <d v="2022-12-16T00:00:00"/>
    <s v="FE001"/>
    <s v="NE 100016071"/>
    <n v="110341"/>
    <s v="Entrega - Cancelación - CN1791263308001"/>
    <m/>
    <s v="QUITO"/>
    <n v="51010101"/>
    <s v="Costo de ventas Quito"/>
    <n v="288"/>
    <m/>
    <n v="288"/>
    <x v="1"/>
    <n v="1335165.43"/>
    <s v="288.00"/>
    <s v="jcortiz"/>
    <n v="0"/>
    <m/>
    <s v="QUITO-PICHINCHA"/>
    <m/>
    <m/>
    <m/>
  </r>
  <r>
    <x v="0"/>
    <x v="0"/>
    <d v="2022-12-16T00:00:00"/>
    <d v="2022-12-16T00:00:00"/>
    <s v="FE001"/>
    <s v="RC 100000687"/>
    <n v="110342"/>
    <s v="Notas de crédito clientes - CN1792874939001"/>
    <m/>
    <s v="QUITO"/>
    <s v="CN1792874939001"/>
    <s v="IMPORTADORA JUAN CEVALLOS IJC S.A."/>
    <n v="490.62"/>
    <m/>
    <n v="490.62"/>
    <x v="4"/>
    <n v="1335656.05"/>
    <s v="490.62"/>
    <s v="gcali"/>
    <n v="0"/>
    <m/>
    <s v="QUITO-PICHINCHA"/>
    <m/>
    <m/>
    <m/>
  </r>
  <r>
    <x v="0"/>
    <x v="0"/>
    <d v="2022-12-16T00:00:00"/>
    <d v="2022-12-16T00:00:00"/>
    <s v="FE001"/>
    <s v="NE 100016072"/>
    <n v="110343"/>
    <s v="Entregas - CN1791263308001"/>
    <m/>
    <s v="QUITO"/>
    <n v="51010101"/>
    <s v="Costo de ventas Quito"/>
    <m/>
    <n v="144"/>
    <n v="-144"/>
    <x v="1"/>
    <n v="1335512.05"/>
    <s v="-144.00"/>
    <s v="jcortiz"/>
    <n v="0"/>
    <m/>
    <s v="QUITO-PICHINCHA"/>
    <m/>
    <m/>
    <m/>
  </r>
  <r>
    <x v="0"/>
    <x v="0"/>
    <d v="2022-12-16T00:00:00"/>
    <d v="2022-12-16T00:00:00"/>
    <s v="FE001"/>
    <s v="NE 100016075"/>
    <n v="110350"/>
    <s v="Entregas - CN1791847776001"/>
    <m/>
    <s v="QUITO"/>
    <n v="51010101"/>
    <s v="Costo de ventas Quito"/>
    <m/>
    <n v="549.71"/>
    <n v="-549.71"/>
    <x v="1"/>
    <n v="1334962.3400000001"/>
    <s v="-549.71"/>
    <s v="jcortiz"/>
    <n v="0"/>
    <m/>
    <s v="QUITO-PICHINCHA"/>
    <m/>
    <m/>
    <m/>
  </r>
  <r>
    <x v="0"/>
    <x v="0"/>
    <d v="2022-12-16T00:00:00"/>
    <d v="2022-12-16T00:00:00"/>
    <s v="Primario"/>
    <s v="EP 6492"/>
    <n v="110354"/>
    <s v="Pedido de entrada de mercancías - PN1802461440001"/>
    <m/>
    <m/>
    <n v="201040506"/>
    <s v="Facturas por Confirmar"/>
    <n v="4225"/>
    <m/>
    <n v="4225"/>
    <x v="2"/>
    <n v="1339187.3400000001"/>
    <s v="4225.00"/>
    <s v="jcortiz"/>
    <n v="0"/>
    <m/>
    <m/>
    <m/>
    <m/>
    <m/>
  </r>
  <r>
    <x v="0"/>
    <x v="0"/>
    <d v="2022-12-16T00:00:00"/>
    <d v="2022-12-16T00:00:00"/>
    <s v="FE001"/>
    <s v="NE 100016079"/>
    <n v="110355"/>
    <s v="Entregas - CN1791263308001"/>
    <m/>
    <s v="QUITO"/>
    <n v="51010101"/>
    <s v="Costo de ventas Quito"/>
    <m/>
    <n v="4225"/>
    <n v="-4225"/>
    <x v="1"/>
    <n v="1334962.3400000001"/>
    <s v="-4225.00"/>
    <s v="jcortiz"/>
    <n v="0"/>
    <m/>
    <s v="QUITO-PICHINCHA"/>
    <m/>
    <m/>
    <m/>
  </r>
  <r>
    <x v="0"/>
    <x v="0"/>
    <d v="2022-12-16T00:00:00"/>
    <d v="2022-12-16T00:00:00"/>
    <s v="FE001"/>
    <s v="NE 100016080"/>
    <n v="110356"/>
    <s v="Entregas - CN1792874939001"/>
    <m/>
    <s v="QUITO"/>
    <n v="51010101"/>
    <s v="Costo de ventas Quito"/>
    <m/>
    <n v="490.62"/>
    <n v="-490.62"/>
    <x v="1"/>
    <n v="1334471.72"/>
    <s v="-490.62"/>
    <s v="jcortiz"/>
    <n v="0"/>
    <m/>
    <s v="QUITO-PICHINCHA"/>
    <m/>
    <m/>
    <m/>
  </r>
  <r>
    <x v="0"/>
    <x v="0"/>
    <d v="2022-12-16T00:00:00"/>
    <d v="2022-12-16T00:00:00"/>
    <s v="FE001"/>
    <s v="NE 100016081"/>
    <n v="110357"/>
    <s v="Entregas - CN1791804619001"/>
    <m/>
    <s v="QUITO"/>
    <n v="51010101"/>
    <s v="Costo de ventas Quito"/>
    <m/>
    <n v="12.37"/>
    <n v="-12.37"/>
    <x v="1"/>
    <n v="1334459.3500000001"/>
    <s v="-12.37"/>
    <s v="jcortiz"/>
    <n v="0"/>
    <m/>
    <s v="QUITO-PICHINCHA"/>
    <m/>
    <m/>
    <m/>
  </r>
  <r>
    <x v="0"/>
    <x v="0"/>
    <d v="2022-12-16T00:00:00"/>
    <d v="2022-12-16T00:00:00"/>
    <s v="FE001"/>
    <s v="RC 100000688"/>
    <n v="110360"/>
    <s v="Notas de crédito clientes - CN1792874939001"/>
    <m/>
    <s v="QUITO"/>
    <s v="CN1792874939001"/>
    <s v="IMPORTADORA JUAN CEVALLOS IJC S.A."/>
    <n v="490.62"/>
    <m/>
    <n v="490.62"/>
    <x v="4"/>
    <n v="1334949.97"/>
    <s v="490.62"/>
    <s v="gcali"/>
    <n v="0"/>
    <m/>
    <s v="QUITO-PICHINCHA"/>
    <m/>
    <m/>
    <m/>
  </r>
  <r>
    <x v="0"/>
    <x v="0"/>
    <d v="2022-12-16T00:00:00"/>
    <d v="2022-12-16T00:00:00"/>
    <s v="FE001"/>
    <s v="RC 100000689"/>
    <n v="110361"/>
    <s v="Notas de crédito clientes - CN1792145244001"/>
    <m/>
    <s v="QUITO"/>
    <s v="CN1792145244001"/>
    <s v="SIDERTECH S. A."/>
    <n v="85.61"/>
    <m/>
    <n v="85.61"/>
    <x v="4"/>
    <n v="1335035.58"/>
    <s v="85.61"/>
    <s v="gcali"/>
    <n v="0"/>
    <m/>
    <s v="QUITO-PICHINCHA"/>
    <m/>
    <m/>
    <m/>
  </r>
  <r>
    <x v="0"/>
    <x v="0"/>
    <d v="2022-12-16T00:00:00"/>
    <d v="2022-12-16T00:00:00"/>
    <s v="Primario"/>
    <s v="EP 6493"/>
    <n v="110362"/>
    <s v="Pedido de entrada de mercancías - PN0103669644001"/>
    <m/>
    <m/>
    <n v="201040506"/>
    <s v="Facturas por Confirmar"/>
    <n v="126"/>
    <m/>
    <n v="126"/>
    <x v="2"/>
    <n v="1335161.58"/>
    <s v="126.00"/>
    <s v="jcortiz"/>
    <n v="0"/>
    <m/>
    <m/>
    <m/>
    <m/>
    <m/>
  </r>
  <r>
    <x v="0"/>
    <x v="0"/>
    <d v="2022-12-16T00:00:00"/>
    <d v="2022-12-16T00:00:00"/>
    <s v="FE001"/>
    <s v="RC 100000690"/>
    <n v="110363"/>
    <s v="Notas de crédito clientes - CN1791734920001"/>
    <m/>
    <s v="QUITO"/>
    <s v="CN1791734920001"/>
    <s v="SEDEMI SERVICIOS DE MECANICA INDUSTRIAL DISENO CONSTRUCCION Y MONTAJE S.C.C"/>
    <n v="1359.48"/>
    <m/>
    <n v="1359.48"/>
    <x v="4"/>
    <n v="1336521.06"/>
    <s v="1359.48"/>
    <s v="gcali"/>
    <n v="0"/>
    <m/>
    <s v="QUITO-PICHINCHA"/>
    <m/>
    <m/>
    <m/>
  </r>
  <r>
    <x v="0"/>
    <x v="0"/>
    <d v="2022-12-16T00:00:00"/>
    <d v="2022-12-16T00:00:00"/>
    <s v="FE001"/>
    <s v="NE 100016083"/>
    <n v="110364"/>
    <s v="Entregas - CN1791263308001"/>
    <m/>
    <s v="QUITO"/>
    <n v="51010101"/>
    <s v="Costo de ventas Quito"/>
    <m/>
    <n v="126"/>
    <n v="-126"/>
    <x v="1"/>
    <n v="1336395.06"/>
    <s v="-126.00"/>
    <s v="jcortiz"/>
    <n v="0"/>
    <m/>
    <s v="QUITO-PICHINCHA"/>
    <m/>
    <m/>
    <m/>
  </r>
  <r>
    <x v="0"/>
    <x v="0"/>
    <d v="2022-12-16T00:00:00"/>
    <d v="2022-12-16T00:00:00"/>
    <s v="Primario"/>
    <s v="EP 6494"/>
    <n v="110365"/>
    <s v="Pedido de entrada de mercancías - PN1791834399001"/>
    <m/>
    <m/>
    <n v="201040506"/>
    <s v="Facturas por Confirmar"/>
    <n v="73.78"/>
    <m/>
    <n v="73.78"/>
    <x v="2"/>
    <n v="1336468.8400000001"/>
    <s v="73.78"/>
    <s v="jcortiz"/>
    <n v="0"/>
    <m/>
    <m/>
    <m/>
    <m/>
    <m/>
  </r>
  <r>
    <x v="0"/>
    <x v="0"/>
    <d v="2022-12-16T00:00:00"/>
    <d v="2022-12-16T00:00:00"/>
    <s v="Primario"/>
    <s v="EP 6495"/>
    <n v="110366"/>
    <s v="Pedido de entrada de mercancías - PN1791834399001"/>
    <m/>
    <m/>
    <n v="201040506"/>
    <s v="Facturas por Confirmar"/>
    <n v="544.51"/>
    <m/>
    <n v="544.51"/>
    <x v="2"/>
    <n v="1337013.3500000001"/>
    <s v="544.51"/>
    <s v="jcortiz"/>
    <n v="0"/>
    <m/>
    <m/>
    <m/>
    <m/>
    <m/>
  </r>
  <r>
    <x v="0"/>
    <x v="0"/>
    <d v="2022-12-16T00:00:00"/>
    <d v="2022-12-16T00:00:00"/>
    <s v="FE001"/>
    <s v="IM 100003467"/>
    <n v="110367"/>
    <s v="Traslados - CN1792079160001"/>
    <m/>
    <m/>
    <n v="101060402"/>
    <s v="Inventario de prod. term. y mercad. en Bodega BULLSYPPLY Coca"/>
    <m/>
    <n v="544.51"/>
    <n v="-544.51"/>
    <x v="3"/>
    <n v="1336468.8400000001"/>
    <s v="-544.51"/>
    <s v="jcortiz"/>
    <n v="0"/>
    <m/>
    <m/>
    <m/>
    <m/>
    <m/>
  </r>
  <r>
    <x v="0"/>
    <x v="0"/>
    <d v="2022-12-16T00:00:00"/>
    <d v="2022-12-16T00:00:00"/>
    <s v="FE001"/>
    <s v="NE 100016085"/>
    <n v="110369"/>
    <s v="Entregas - CN1792874939001"/>
    <m/>
    <s v="QUITO"/>
    <n v="51010101"/>
    <s v="Costo de ventas Quito"/>
    <m/>
    <n v="490.62"/>
    <n v="-490.62"/>
    <x v="1"/>
    <n v="1335978.22"/>
    <s v="-490.62"/>
    <s v="jcortiz"/>
    <n v="0"/>
    <m/>
    <s v="QUITO-PICHINCHA"/>
    <m/>
    <m/>
    <m/>
  </r>
  <r>
    <x v="0"/>
    <x v="0"/>
    <d v="2022-12-19T00:00:00"/>
    <d v="2022-12-19T00:00:00"/>
    <s v="FE001"/>
    <s v="NE 100016087"/>
    <n v="110373"/>
    <s v="Entregas - CN1791734920001"/>
    <m/>
    <s v="QUITO"/>
    <n v="51010101"/>
    <s v="Costo de ventas Quito"/>
    <m/>
    <n v="1336.63"/>
    <n v="-1336.63"/>
    <x v="1"/>
    <n v="1334641.5900000001"/>
    <s v="-1336.63"/>
    <s v="jcortiz"/>
    <n v="0"/>
    <m/>
    <s v="QUITO-PICHINCHA"/>
    <m/>
    <m/>
    <m/>
  </r>
  <r>
    <x v="0"/>
    <x v="0"/>
    <d v="2022-12-19T00:00:00"/>
    <d v="2022-12-19T00:00:00"/>
    <s v="FE001"/>
    <s v="NE 100016088"/>
    <n v="110374"/>
    <s v="Entregas - CN1791847776001"/>
    <m/>
    <s v="QUITO"/>
    <n v="51010101"/>
    <s v="Costo de ventas Quito"/>
    <m/>
    <n v="73.78"/>
    <n v="-73.78"/>
    <x v="1"/>
    <n v="1334567.81"/>
    <s v="-73.78"/>
    <s v="jcortiz"/>
    <n v="0"/>
    <m/>
    <s v="QUITO-PICHINCHA"/>
    <m/>
    <m/>
    <m/>
  </r>
  <r>
    <x v="0"/>
    <x v="0"/>
    <d v="2022-12-19T00:00:00"/>
    <d v="2022-12-19T00:00:00"/>
    <s v="Primario"/>
    <s v="EP 6496"/>
    <n v="110375"/>
    <s v="Pedido de entrada de mercancías - PN1802461440001"/>
    <m/>
    <m/>
    <n v="201040506"/>
    <s v="Facturas por Confirmar"/>
    <n v="27"/>
    <m/>
    <n v="27"/>
    <x v="2"/>
    <n v="1334594.81"/>
    <s v="27.00"/>
    <s v="jcortiz"/>
    <n v="0"/>
    <m/>
    <m/>
    <m/>
    <m/>
    <m/>
  </r>
  <r>
    <x v="0"/>
    <x v="0"/>
    <d v="2022-12-19T00:00:00"/>
    <d v="2022-12-19T00:00:00"/>
    <s v="FE001"/>
    <s v="NE 100016089"/>
    <n v="110376"/>
    <s v="Entregas - CN2290316882001"/>
    <m/>
    <s v="QUITO"/>
    <n v="51010101"/>
    <s v="Costo de ventas Quito"/>
    <m/>
    <n v="27"/>
    <n v="-27"/>
    <x v="1"/>
    <n v="1334567.81"/>
    <s v="-27.00"/>
    <s v="jcortiz"/>
    <n v="0"/>
    <m/>
    <s v="QUITO-PICHINCHA"/>
    <m/>
    <m/>
    <m/>
  </r>
  <r>
    <x v="0"/>
    <x v="0"/>
    <d v="2022-12-19T00:00:00"/>
    <d v="2022-12-19T00:00:00"/>
    <s v="FE001"/>
    <s v="IM 100003468"/>
    <n v="110387"/>
    <s v="Traslados - CN1792079160001"/>
    <m/>
    <m/>
    <n v="101060406"/>
    <s v="Inventario de prod. term. y mercad. en Bodega a consignación"/>
    <m/>
    <n v="148.47"/>
    <n v="-148.47"/>
    <x v="3"/>
    <n v="1334419.3400000001"/>
    <s v="-148.47"/>
    <s v="jcortiz"/>
    <n v="0"/>
    <m/>
    <m/>
    <m/>
    <m/>
    <m/>
  </r>
  <r>
    <x v="0"/>
    <x v="0"/>
    <d v="2022-12-19T00:00:00"/>
    <d v="2022-12-19T00:00:00"/>
    <s v="FE001"/>
    <s v="IM 100003469"/>
    <n v="110388"/>
    <s v="Traslados - CN1792079160001"/>
    <m/>
    <m/>
    <n v="101060407"/>
    <s v="Inventario de prod. term. y mercad. en Bodega muestras"/>
    <m/>
    <n v="74.239999999999995"/>
    <n v="-74.239999999999995"/>
    <x v="3"/>
    <n v="1334345.1000000001"/>
    <s v="-74.24"/>
    <s v="jcortiz"/>
    <n v="0"/>
    <m/>
    <m/>
    <m/>
    <m/>
    <m/>
  </r>
  <r>
    <x v="0"/>
    <x v="0"/>
    <d v="2022-12-19T00:00:00"/>
    <d v="2022-12-19T00:00:00"/>
    <s v="FE001"/>
    <s v="NE 100016090"/>
    <n v="110389"/>
    <s v="Entregas - CN1791847776001"/>
    <m/>
    <s v="QUITO"/>
    <n v="51010101"/>
    <s v="Costo de ventas Quito"/>
    <m/>
    <n v="84.01"/>
    <n v="-84.01"/>
    <x v="1"/>
    <n v="1334261.0900000001"/>
    <s v="-84.01"/>
    <s v="jcortiz"/>
    <n v="0"/>
    <m/>
    <s v="QUITO-PICHINCHA"/>
    <m/>
    <m/>
    <m/>
  </r>
  <r>
    <x v="0"/>
    <x v="0"/>
    <d v="2022-12-19T00:00:00"/>
    <d v="2022-12-19T00:00:00"/>
    <s v="FE001"/>
    <s v="NE 100016091"/>
    <n v="110390"/>
    <s v="Entregas - CN1791847776001"/>
    <m/>
    <s v="QUITO"/>
    <n v="51010101"/>
    <s v="Costo de ventas Quito"/>
    <m/>
    <n v="20.86"/>
    <n v="-20.86"/>
    <x v="1"/>
    <n v="1334240.23"/>
    <s v="-20.86"/>
    <s v="jcortiz"/>
    <n v="0"/>
    <m/>
    <s v="QUITO-PICHINCHA"/>
    <m/>
    <m/>
    <m/>
  </r>
  <r>
    <x v="0"/>
    <x v="0"/>
    <d v="2022-12-19T00:00:00"/>
    <d v="2022-12-19T00:00:00"/>
    <s v="Primario"/>
    <s v="EP 6499"/>
    <n v="110393"/>
    <s v="Pedido de entrada de mercancías - PN1390060757001"/>
    <m/>
    <m/>
    <n v="201040506"/>
    <s v="Facturas por Confirmar"/>
    <n v="1349.19"/>
    <m/>
    <n v="1349.19"/>
    <x v="2"/>
    <n v="1335589.42"/>
    <s v="1349.19"/>
    <s v="jcortiz"/>
    <n v="0"/>
    <m/>
    <m/>
    <m/>
    <m/>
    <m/>
  </r>
  <r>
    <x v="0"/>
    <x v="0"/>
    <d v="2022-12-19T00:00:00"/>
    <d v="2022-12-19T00:00:00"/>
    <s v="FE001"/>
    <s v="IM 100003470"/>
    <n v="110394"/>
    <s v="Traslados - CN1792079160001"/>
    <m/>
    <m/>
    <n v="101060402"/>
    <s v="Inventario de prod. term. y mercad. en Bodega BULLSYPPLY Coca"/>
    <m/>
    <n v="1349.19"/>
    <n v="-1349.19"/>
    <x v="3"/>
    <n v="1334240.23"/>
    <s v="-1349.19"/>
    <s v="jcortiz"/>
    <n v="0"/>
    <m/>
    <m/>
    <m/>
    <m/>
    <m/>
  </r>
  <r>
    <x v="0"/>
    <x v="0"/>
    <d v="2022-12-19T00:00:00"/>
    <d v="2022-12-19T00:00:00"/>
    <s v="FE001"/>
    <s v="NE 100016095"/>
    <n v="110396"/>
    <s v="Entregas - CN1791734920001"/>
    <m/>
    <s v="QUITO"/>
    <n v="51010101"/>
    <s v="Costo de ventas Quito"/>
    <m/>
    <n v="1359.48"/>
    <n v="-1359.48"/>
    <x v="1"/>
    <n v="1332880.75"/>
    <s v="-1359.48"/>
    <s v="jcortiz"/>
    <n v="0"/>
    <m/>
    <s v="QUITO-PICHINCHA"/>
    <m/>
    <m/>
    <m/>
  </r>
  <r>
    <x v="0"/>
    <x v="0"/>
    <d v="2022-12-19T00:00:00"/>
    <d v="2022-12-19T00:00:00"/>
    <s v="Primario"/>
    <s v="EP 6500"/>
    <n v="110398"/>
    <s v="Pedido de entrada de mercancías - PN1791834399001"/>
    <m/>
    <m/>
    <n v="201040506"/>
    <s v="Facturas por Confirmar"/>
    <n v="41.07"/>
    <m/>
    <n v="41.07"/>
    <x v="2"/>
    <n v="1332921.82"/>
    <s v="41.07"/>
    <s v="jcortiz"/>
    <n v="0"/>
    <m/>
    <m/>
    <m/>
    <m/>
    <m/>
  </r>
  <r>
    <x v="0"/>
    <x v="0"/>
    <d v="2022-12-19T00:00:00"/>
    <d v="2022-12-19T00:00:00"/>
    <s v="Primario"/>
    <s v="EP 6501"/>
    <n v="110399"/>
    <s v="Pedido de entrada de mercancías - PN1791834399001"/>
    <m/>
    <m/>
    <n v="201040506"/>
    <s v="Facturas por Confirmar"/>
    <n v="359.04"/>
    <m/>
    <n v="359.04"/>
    <x v="2"/>
    <n v="1333280.8600000001"/>
    <s v="359.04"/>
    <s v="jcortiz"/>
    <n v="0"/>
    <m/>
    <m/>
    <m/>
    <m/>
    <m/>
  </r>
  <r>
    <x v="0"/>
    <x v="0"/>
    <d v="2022-12-19T00:00:00"/>
    <d v="2022-12-19T00:00:00"/>
    <s v="Primario"/>
    <s v="EP 6502"/>
    <n v="110400"/>
    <s v="Pedido de entrada de mercancías - PN1791834399001"/>
    <m/>
    <m/>
    <n v="201040506"/>
    <s v="Facturas por Confirmar"/>
    <n v="58.8"/>
    <m/>
    <n v="58.8"/>
    <x v="2"/>
    <n v="1333339.6599999999"/>
    <s v="58.80"/>
    <s v="jcortiz"/>
    <n v="0"/>
    <m/>
    <m/>
    <m/>
    <m/>
    <m/>
  </r>
  <r>
    <x v="0"/>
    <x v="0"/>
    <d v="2022-12-19T00:00:00"/>
    <d v="2022-12-19T00:00:00"/>
    <s v="Primario"/>
    <s v="EP 6503"/>
    <n v="110401"/>
    <s v="Pedido de entrada de mercancías - PN1791834399001"/>
    <m/>
    <m/>
    <n v="201040506"/>
    <s v="Facturas por Confirmar"/>
    <n v="1002.32"/>
    <m/>
    <n v="1002.32"/>
    <x v="2"/>
    <n v="1334341.98"/>
    <s v="1002.32"/>
    <s v="jcortiz"/>
    <n v="0"/>
    <m/>
    <m/>
    <m/>
    <m/>
    <m/>
  </r>
  <r>
    <x v="0"/>
    <x v="0"/>
    <d v="2022-12-19T00:00:00"/>
    <d v="2022-12-19T00:00:00"/>
    <s v="Primario"/>
    <s v="EP 6504"/>
    <n v="110402"/>
    <s v="Pedido de entrada de mercancías - PN1791834399001"/>
    <m/>
    <m/>
    <n v="201040506"/>
    <s v="Facturas por Confirmar"/>
    <n v="75.680000000000007"/>
    <m/>
    <n v="75.680000000000007"/>
    <x v="2"/>
    <n v="1334417.6599999999"/>
    <s v="75.68"/>
    <s v="jcortiz"/>
    <n v="0"/>
    <m/>
    <m/>
    <m/>
    <m/>
    <m/>
  </r>
  <r>
    <x v="0"/>
    <x v="0"/>
    <d v="2022-12-19T00:00:00"/>
    <d v="2022-12-19T00:00:00"/>
    <s v="FE001"/>
    <s v="NE 100016096"/>
    <n v="110403"/>
    <s v="Entregas - CN1714787163001"/>
    <m/>
    <s v="QUITO"/>
    <n v="51010101"/>
    <s v="Costo de ventas Quito"/>
    <m/>
    <n v="86.3"/>
    <n v="-86.3"/>
    <x v="1"/>
    <n v="1334331.3600000001"/>
    <s v="-86.30"/>
    <s v="jcortiz"/>
    <n v="0"/>
    <m/>
    <s v="QUITO-PICHINCHA"/>
    <m/>
    <m/>
    <m/>
  </r>
  <r>
    <x v="0"/>
    <x v="0"/>
    <d v="2022-12-19T00:00:00"/>
    <d v="2022-12-19T00:00:00"/>
    <s v="FE001"/>
    <s v="NE 100016098"/>
    <n v="110405"/>
    <s v="Entregas - CN1790342867001"/>
    <m/>
    <s v="QUITO"/>
    <n v="51010101"/>
    <s v="Costo de ventas Quito"/>
    <m/>
    <n v="91.38"/>
    <n v="-91.38"/>
    <x v="1"/>
    <n v="1334239.98"/>
    <s v="-91.38"/>
    <s v="jcortiz"/>
    <n v="0"/>
    <m/>
    <s v="QUITO-PICHINCHA"/>
    <m/>
    <m/>
    <m/>
  </r>
  <r>
    <x v="0"/>
    <x v="0"/>
    <d v="2022-12-19T00:00:00"/>
    <d v="2022-12-19T00:00:00"/>
    <s v="FE001"/>
    <s v="IM 100003471"/>
    <n v="110406"/>
    <s v="Traslados - CN1792079160001"/>
    <m/>
    <m/>
    <n v="101060402"/>
    <s v="Inventario de prod. term. y mercad. en Bodega BULLSYPPLY Coca"/>
    <m/>
    <n v="534.59"/>
    <n v="-534.59"/>
    <x v="3"/>
    <n v="1333705.3899999999"/>
    <s v="-534.59"/>
    <s v="jcortiz"/>
    <n v="0"/>
    <m/>
    <m/>
    <m/>
    <m/>
    <m/>
  </r>
  <r>
    <x v="0"/>
    <x v="0"/>
    <d v="2022-12-19T00:00:00"/>
    <d v="2022-12-19T00:00:00"/>
    <s v="FE001"/>
    <s v="NE 100016099"/>
    <n v="110408"/>
    <s v="Entregas - CN1708725765001"/>
    <m/>
    <s v="QUITO"/>
    <n v="51010101"/>
    <s v="Costo de ventas Quito"/>
    <m/>
    <n v="773.45"/>
    <n v="-773.45"/>
    <x v="1"/>
    <n v="1332931.94"/>
    <s v="-773.45"/>
    <s v="jcortiz"/>
    <n v="0"/>
    <m/>
    <s v="QUITO-PICHINCHA"/>
    <m/>
    <m/>
    <m/>
  </r>
  <r>
    <x v="0"/>
    <x v="0"/>
    <d v="2022-12-19T00:00:00"/>
    <d v="2022-12-19T00:00:00"/>
    <s v="Primario"/>
    <s v="EP 6505"/>
    <n v="110409"/>
    <s v="Pedido de entrada de mercancías - PN1717177495001"/>
    <m/>
    <m/>
    <n v="201040506"/>
    <s v="Facturas por Confirmar"/>
    <n v="448"/>
    <m/>
    <n v="448"/>
    <x v="2"/>
    <n v="1333379.94"/>
    <s v="448.00"/>
    <s v="jcortiz"/>
    <n v="0"/>
    <m/>
    <m/>
    <m/>
    <m/>
    <m/>
  </r>
  <r>
    <x v="0"/>
    <x v="0"/>
    <d v="2022-12-19T00:00:00"/>
    <d v="2022-12-19T00:00:00"/>
    <s v="FE001"/>
    <s v="NE 100016100"/>
    <n v="110410"/>
    <s v="Entregas - CN1791768205001"/>
    <m/>
    <s v="QUITO"/>
    <n v="51010101"/>
    <s v="Costo de ventas Quito"/>
    <m/>
    <n v="448"/>
    <n v="-448"/>
    <x v="1"/>
    <n v="1332931.94"/>
    <s v="-448.00"/>
    <s v="jcortiz"/>
    <n v="0"/>
    <m/>
    <s v="QUITO-PICHINCHA"/>
    <m/>
    <m/>
    <m/>
  </r>
  <r>
    <x v="0"/>
    <x v="0"/>
    <d v="2022-12-19T00:00:00"/>
    <d v="2022-12-19T00:00:00"/>
    <s v="Primario"/>
    <s v="EP 6506"/>
    <n v="110411"/>
    <s v="Pedido de entrada de mercancías - PN1791834399001"/>
    <m/>
    <m/>
    <n v="201040506"/>
    <s v="Facturas por Confirmar"/>
    <n v="59.6"/>
    <m/>
    <n v="59.6"/>
    <x v="2"/>
    <n v="1332991.54"/>
    <s v="59.60"/>
    <s v="jcortiz"/>
    <n v="0"/>
    <m/>
    <m/>
    <m/>
    <m/>
    <m/>
  </r>
  <r>
    <x v="0"/>
    <x v="0"/>
    <d v="2022-12-19T00:00:00"/>
    <d v="2022-12-19T00:00:00"/>
    <s v="FE001"/>
    <s v="NE 100016101"/>
    <n v="110412"/>
    <s v="Entregas - CN1791768205001"/>
    <m/>
    <s v="QUITO"/>
    <n v="51010101"/>
    <s v="Costo de ventas Quito"/>
    <m/>
    <n v="59.6"/>
    <n v="-59.6"/>
    <x v="1"/>
    <n v="1332931.94"/>
    <s v="-59.60"/>
    <s v="jcortiz"/>
    <n v="0"/>
    <m/>
    <s v="QUITO-PICHINCHA"/>
    <m/>
    <m/>
    <m/>
  </r>
  <r>
    <x v="0"/>
    <x v="0"/>
    <d v="2022-12-19T00:00:00"/>
    <d v="2022-12-19T00:00:00"/>
    <s v="FE001"/>
    <s v="NE 100016102"/>
    <n v="110413"/>
    <s v="Entregas - CN1714787163001"/>
    <m/>
    <s v="QUITO"/>
    <n v="51010101"/>
    <s v="Costo de ventas Quito"/>
    <m/>
    <n v="34.07"/>
    <n v="-34.07"/>
    <x v="1"/>
    <n v="1332897.8700000001"/>
    <s v="-34.07"/>
    <s v="jcortiz"/>
    <n v="0"/>
    <m/>
    <s v="QUITO-PICHINCHA"/>
    <m/>
    <m/>
    <m/>
  </r>
  <r>
    <x v="0"/>
    <x v="0"/>
    <d v="2022-12-19T00:00:00"/>
    <d v="2022-12-19T00:00:00"/>
    <s v="Primario"/>
    <s v="EP 6507"/>
    <n v="110416"/>
    <s v="Pedido de entrada de mercancías - PN0103669644001"/>
    <m/>
    <m/>
    <n v="201040506"/>
    <s v="Facturas por Confirmar"/>
    <n v="182"/>
    <m/>
    <n v="182"/>
    <x v="2"/>
    <n v="1333079.8700000001"/>
    <s v="182.00"/>
    <s v="jcortiz"/>
    <n v="0"/>
    <m/>
    <m/>
    <m/>
    <m/>
    <m/>
  </r>
  <r>
    <x v="0"/>
    <x v="0"/>
    <d v="2022-12-19T00:00:00"/>
    <d v="2022-12-19T00:00:00"/>
    <s v="FE001"/>
    <s v="NE 100016104"/>
    <n v="110418"/>
    <s v="Entregas - CN1791263308001"/>
    <m/>
    <s v="QUITO"/>
    <n v="51010101"/>
    <s v="Costo de ventas Quito"/>
    <m/>
    <n v="182"/>
    <n v="-182"/>
    <x v="1"/>
    <n v="1332897.8700000001"/>
    <s v="-182.00"/>
    <s v="jcortiz"/>
    <n v="0"/>
    <m/>
    <s v="QUITO-PICHINCHA"/>
    <m/>
    <m/>
    <m/>
  </r>
  <r>
    <x v="0"/>
    <x v="0"/>
    <d v="2022-12-19T00:00:00"/>
    <d v="2022-12-19T00:00:00"/>
    <s v="Primario"/>
    <s v="EP 6508"/>
    <n v="110419"/>
    <s v="Pedido de entrada de mercancías - PN1792628431001"/>
    <m/>
    <m/>
    <n v="201040506"/>
    <s v="Facturas por Confirmar"/>
    <n v="310.38"/>
    <m/>
    <n v="310.38"/>
    <x v="2"/>
    <n v="1333208.25"/>
    <s v="310.38"/>
    <s v="jcortiz"/>
    <n v="0"/>
    <m/>
    <m/>
    <m/>
    <m/>
    <m/>
  </r>
  <r>
    <x v="0"/>
    <x v="0"/>
    <d v="2022-12-19T00:00:00"/>
    <d v="2022-12-19T00:00:00"/>
    <s v="Anula"/>
    <s v="EP 200452"/>
    <n v="110521"/>
    <s v="Pedido de entrada de mercancías - Cancelación - PN"/>
    <m/>
    <m/>
    <n v="201040506"/>
    <s v="Facturas por Confirmar"/>
    <m/>
    <n v="75.680000000000007"/>
    <n v="-75.680000000000007"/>
    <x v="2"/>
    <n v="1333132.57"/>
    <s v="-75.68"/>
    <s v="jcortiz"/>
    <n v="0"/>
    <m/>
    <m/>
    <m/>
    <m/>
    <m/>
  </r>
  <r>
    <x v="0"/>
    <x v="0"/>
    <d v="2022-12-20T00:00:00"/>
    <d v="2022-12-20T00:00:00"/>
    <s v="FE001"/>
    <s v="RC 100000691"/>
    <n v="110421"/>
    <s v="Notas de crédito clientes - CN1791734920001"/>
    <m/>
    <s v="QUITO"/>
    <s v="CN1791734920001"/>
    <s v="SEDEMI SERVICIOS DE MECANICA INDUSTRIAL DISENO CONSTRUCCION Y MONTAJE S.C.C"/>
    <n v="2696.11"/>
    <m/>
    <n v="2696.11"/>
    <x v="4"/>
    <n v="1335828.68"/>
    <s v="2696.11"/>
    <s v="gcali"/>
    <n v="0"/>
    <m/>
    <s v="QUITO-PICHINCHA"/>
    <m/>
    <m/>
    <m/>
  </r>
  <r>
    <x v="0"/>
    <x v="0"/>
    <d v="2022-12-20T00:00:00"/>
    <d v="2022-12-20T00:00:00"/>
    <s v="FE001"/>
    <s v="NE 100016105"/>
    <n v="110425"/>
    <s v="Entregas - CN1717226193001"/>
    <m/>
    <s v="QUITO"/>
    <n v="51010101"/>
    <s v="Costo de ventas Quito"/>
    <m/>
    <n v="4.21"/>
    <n v="-4.21"/>
    <x v="1"/>
    <n v="1335824.47"/>
    <s v="-4.21"/>
    <s v="jcortiz"/>
    <n v="0"/>
    <m/>
    <s v="QUITO-PICHINCHA"/>
    <m/>
    <m/>
    <m/>
  </r>
  <r>
    <x v="0"/>
    <x v="0"/>
    <d v="2022-12-20T00:00:00"/>
    <d v="2022-12-20T00:00:00"/>
    <s v="FE001"/>
    <s v="NE 100016111"/>
    <n v="110434"/>
    <s v="Entregas - CN1791847776001"/>
    <m/>
    <s v="QUITO"/>
    <n v="51010101"/>
    <s v="Costo de ventas Quito"/>
    <m/>
    <n v="1074.57"/>
    <n v="-1074.57"/>
    <x v="1"/>
    <n v="1334749.8999999999"/>
    <s v="-1074.57"/>
    <s v="jcortiz"/>
    <n v="0"/>
    <m/>
    <s v="QUITO-PICHINCHA"/>
    <m/>
    <m/>
    <m/>
  </r>
  <r>
    <x v="0"/>
    <x v="0"/>
    <d v="2022-12-20T00:00:00"/>
    <d v="2022-12-20T00:00:00"/>
    <s v="FE001"/>
    <s v="NE 100016112"/>
    <n v="110435"/>
    <s v="Entregas - CN1791847776001"/>
    <m/>
    <s v="QUITO"/>
    <n v="51010101"/>
    <s v="Costo de ventas Quito"/>
    <m/>
    <n v="861.83"/>
    <n v="-861.83"/>
    <x v="1"/>
    <n v="1333888.07"/>
    <s v="-861.83"/>
    <s v="jcortiz"/>
    <n v="0"/>
    <m/>
    <s v="QUITO-PICHINCHA"/>
    <m/>
    <m/>
    <m/>
  </r>
  <r>
    <x v="0"/>
    <x v="0"/>
    <d v="2022-12-20T00:00:00"/>
    <d v="2022-12-20T00:00:00"/>
    <s v="FE001"/>
    <s v="NE 100016114"/>
    <n v="110438"/>
    <s v="Entregas - CN1791734920001"/>
    <m/>
    <s v="QUITO"/>
    <n v="51010101"/>
    <s v="Costo de ventas Quito"/>
    <m/>
    <n v="25.93"/>
    <n v="-25.93"/>
    <x v="1"/>
    <n v="1333862.1399999999"/>
    <s v="-25.93"/>
    <s v="jcortiz"/>
    <n v="0"/>
    <m/>
    <s v="QUITO-PICHINCHA"/>
    <m/>
    <m/>
    <m/>
  </r>
  <r>
    <x v="0"/>
    <x v="0"/>
    <d v="2022-12-20T00:00:00"/>
    <d v="2022-12-20T00:00:00"/>
    <s v="FE001"/>
    <s v="NE 100016115"/>
    <n v="110439"/>
    <s v="Entregas - CN1793191987001"/>
    <m/>
    <s v="QUITO"/>
    <n v="51010101"/>
    <s v="Costo de ventas Quito"/>
    <m/>
    <n v="704.71"/>
    <n v="-704.71"/>
    <x v="1"/>
    <n v="1333157.43"/>
    <s v="-704.71"/>
    <s v="jcortiz"/>
    <n v="0"/>
    <m/>
    <s v="QUITO-PICHINCHA"/>
    <m/>
    <m/>
    <m/>
  </r>
  <r>
    <x v="0"/>
    <x v="0"/>
    <d v="2022-12-20T00:00:00"/>
    <d v="2022-12-20T00:00:00"/>
    <s v="FE001"/>
    <s v="IM 100003472"/>
    <n v="110441"/>
    <s v="Traslados - CN1792079160001"/>
    <m/>
    <m/>
    <n v="101060408"/>
    <s v="Inventario de prod. term. y mercad. en Bodega importaciones"/>
    <n v="84526.7"/>
    <m/>
    <n v="84526.7"/>
    <x v="3"/>
    <n v="1417684.13"/>
    <s v="84526.70"/>
    <s v="jcortiz"/>
    <n v="0"/>
    <m/>
    <m/>
    <m/>
    <m/>
    <m/>
  </r>
  <r>
    <x v="0"/>
    <x v="0"/>
    <d v="2022-12-20T00:00:00"/>
    <d v="2022-12-20T00:00:00"/>
    <s v="FE001"/>
    <s v="IM 100003473"/>
    <n v="110444"/>
    <s v="Traslados - CN1792079160001"/>
    <m/>
    <m/>
    <n v="101060402"/>
    <s v="Inventario de prod. term. y mercad. en Bodega BULLSYPPLY Coca"/>
    <m/>
    <n v="89047.07"/>
    <n v="-89047.07"/>
    <x v="3"/>
    <n v="1328637.06"/>
    <s v="-89047.07"/>
    <s v="jcortiz"/>
    <n v="0"/>
    <m/>
    <m/>
    <m/>
    <m/>
    <m/>
  </r>
  <r>
    <x v="0"/>
    <x v="0"/>
    <d v="2022-12-20T00:00:00"/>
    <d v="2022-12-20T00:00:00"/>
    <s v="FE001"/>
    <s v="IM 100003474"/>
    <n v="110446"/>
    <s v="Traslados -"/>
    <m/>
    <m/>
    <n v="101060402"/>
    <s v="Inventario de prod. term. y mercad. en Bodega BULLSYPPLY Coca"/>
    <n v="88299.23"/>
    <m/>
    <n v="88299.23"/>
    <x v="3"/>
    <n v="1416936.29"/>
    <s v="88299.23"/>
    <s v="jcortiz"/>
    <n v="0"/>
    <m/>
    <m/>
    <m/>
    <m/>
    <m/>
  </r>
  <r>
    <x v="0"/>
    <x v="0"/>
    <d v="2022-12-20T00:00:00"/>
    <d v="2022-12-20T00:00:00"/>
    <s v="FE001"/>
    <s v="NE 100016116"/>
    <n v="110448"/>
    <s v="Entregas - CN1891800084001"/>
    <m/>
    <s v="QUITO"/>
    <n v="51010101"/>
    <s v="Costo de ventas Quito"/>
    <m/>
    <n v="67.02"/>
    <n v="-67.02"/>
    <x v="1"/>
    <n v="1416869.27"/>
    <s v="-67.02"/>
    <s v="jcortiz"/>
    <n v="0"/>
    <m/>
    <s v="QUITO-PICHINCHA"/>
    <m/>
    <m/>
    <m/>
  </r>
  <r>
    <x v="0"/>
    <x v="0"/>
    <d v="2022-12-20T00:00:00"/>
    <d v="2022-12-20T00:00:00"/>
    <s v="FE001"/>
    <s v="NE 100016117"/>
    <n v="110451"/>
    <s v="Entregas - CN1791847776001"/>
    <m/>
    <s v="QUITO"/>
    <n v="51010101"/>
    <s v="Costo de ventas Quito"/>
    <m/>
    <n v="486.33"/>
    <n v="-486.33"/>
    <x v="1"/>
    <n v="1416382.94"/>
    <s v="-486.33"/>
    <s v="jcortiz"/>
    <n v="0"/>
    <m/>
    <s v="QUITO-PICHINCHA"/>
    <m/>
    <m/>
    <m/>
  </r>
  <r>
    <x v="0"/>
    <x v="0"/>
    <d v="2022-12-20T00:00:00"/>
    <d v="2022-12-20T00:00:00"/>
    <s v="FE001"/>
    <s v="NE 100016118"/>
    <n v="110453"/>
    <s v="Entregas - CN1792014980001"/>
    <m/>
    <s v="QUITO"/>
    <n v="51010101"/>
    <s v="Costo de ventas Quito"/>
    <m/>
    <n v="69.95"/>
    <n v="-69.95"/>
    <x v="1"/>
    <n v="1416312.99"/>
    <s v="-69.95"/>
    <s v="jcortiz"/>
    <n v="0"/>
    <m/>
    <s v="QUITO-PICHINCHA"/>
    <m/>
    <m/>
    <m/>
  </r>
  <r>
    <x v="0"/>
    <x v="0"/>
    <d v="2022-12-20T00:00:00"/>
    <d v="2022-12-20T00:00:00"/>
    <s v="FE001"/>
    <s v="NE 100016119"/>
    <n v="110454"/>
    <s v="Entregas - CN1791263308001"/>
    <m/>
    <s v="QUITO"/>
    <n v="51010101"/>
    <s v="Costo de ventas Quito"/>
    <m/>
    <n v="35.340000000000003"/>
    <n v="-35.340000000000003"/>
    <x v="1"/>
    <n v="1416277.65"/>
    <s v="-35.34"/>
    <s v="jcortiz"/>
    <n v="0"/>
    <m/>
    <s v="QUITO-PICHINCHA"/>
    <m/>
    <m/>
    <m/>
  </r>
  <r>
    <x v="0"/>
    <x v="0"/>
    <d v="2022-12-20T00:00:00"/>
    <d v="2022-12-20T00:00:00"/>
    <s v="FE001"/>
    <s v="IM 100003475"/>
    <n v="110455"/>
    <s v="Traslados - CN1792079160001"/>
    <m/>
    <m/>
    <n v="101060402"/>
    <s v="Inventario de prod. term. y mercad. en Bodega BULLSYPPLY Coca"/>
    <m/>
    <n v="42044.34"/>
    <n v="-42044.34"/>
    <x v="3"/>
    <n v="1374233.31"/>
    <s v="-42044.34"/>
    <s v="jcortiz"/>
    <n v="0"/>
    <m/>
    <m/>
    <m/>
    <m/>
    <m/>
  </r>
  <r>
    <x v="0"/>
    <x v="0"/>
    <d v="2022-12-20T00:00:00"/>
    <d v="2022-12-20T00:00:00"/>
    <s v="FE001"/>
    <s v="IM 100003476"/>
    <n v="110471"/>
    <s v="Traslados - CN1792079160001"/>
    <m/>
    <m/>
    <n v="101060402"/>
    <s v="Inventario de prod. term. y mercad. en Bodega BULLSYPPLY Coca"/>
    <n v="99.6"/>
    <m/>
    <n v="99.6"/>
    <x v="3"/>
    <n v="1374332.91"/>
    <s v="99.60"/>
    <s v="ancueva"/>
    <n v="0"/>
    <m/>
    <m/>
    <m/>
    <m/>
    <m/>
  </r>
  <r>
    <x v="0"/>
    <x v="0"/>
    <d v="2022-12-20T00:00:00"/>
    <d v="2022-12-20T00:00:00"/>
    <s v="FE001"/>
    <s v="NE 100016120"/>
    <n v="110473"/>
    <s v="Entregas - CN0400986691001"/>
    <m/>
    <s v="QUITO"/>
    <n v="51010101"/>
    <s v="Costo de ventas Quito"/>
    <m/>
    <n v="29.92"/>
    <n v="-29.92"/>
    <x v="1"/>
    <n v="1374302.99"/>
    <s v="-29.92"/>
    <s v="jcortiz"/>
    <n v="0"/>
    <m/>
    <s v="QUITO-PICHINCHA"/>
    <m/>
    <m/>
    <m/>
  </r>
  <r>
    <x v="0"/>
    <x v="0"/>
    <d v="2022-12-20T00:00:00"/>
    <d v="2022-12-20T00:00:00"/>
    <s v="FE001"/>
    <s v="NE 100016121"/>
    <n v="110474"/>
    <s v="Entregas - CN0400986691001"/>
    <m/>
    <s v="QUITO"/>
    <n v="51010101"/>
    <s v="Costo de ventas Quito"/>
    <m/>
    <n v="42.95"/>
    <n v="-42.95"/>
    <x v="1"/>
    <n v="1374260.04"/>
    <s v="-42.95"/>
    <s v="jcortiz"/>
    <n v="0"/>
    <m/>
    <s v="QUITO-PICHINCHA"/>
    <m/>
    <m/>
    <m/>
  </r>
  <r>
    <x v="0"/>
    <x v="0"/>
    <d v="2022-12-20T00:00:00"/>
    <d v="2022-12-20T00:00:00"/>
    <s v="FE001"/>
    <s v="NE 100016122"/>
    <n v="110476"/>
    <s v="Entregas - CN1791847776001"/>
    <m/>
    <s v="QUITO"/>
    <n v="51010101"/>
    <s v="Costo de ventas Quito"/>
    <m/>
    <n v="310.38"/>
    <n v="-310.38"/>
    <x v="1"/>
    <n v="1373949.66"/>
    <s v="-310.38"/>
    <s v="jcortiz"/>
    <n v="0"/>
    <m/>
    <s v="QUITO-PICHINCHA"/>
    <m/>
    <m/>
    <m/>
  </r>
  <r>
    <x v="0"/>
    <x v="0"/>
    <d v="2022-12-20T00:00:00"/>
    <d v="2022-12-20T00:00:00"/>
    <s v="FE001"/>
    <s v="NE 100016124"/>
    <n v="110487"/>
    <s v="Entregas - CN1718452558001"/>
    <m/>
    <s v="QUITO"/>
    <n v="51010101"/>
    <s v="Costo de ventas Quito"/>
    <m/>
    <n v="46.38"/>
    <n v="-46.38"/>
    <x v="1"/>
    <n v="1373903.28"/>
    <s v="-46.38"/>
    <s v="jcortiz"/>
    <n v="0"/>
    <m/>
    <s v="QUITO-PICHINCHA"/>
    <m/>
    <m/>
    <m/>
  </r>
  <r>
    <x v="0"/>
    <x v="0"/>
    <d v="2022-12-20T00:00:00"/>
    <d v="2022-12-20T00:00:00"/>
    <s v="Primario"/>
    <s v="EP 6510"/>
    <n v="110488"/>
    <s v="Pedido de entrada de mercancías - PN1791834399001"/>
    <m/>
    <m/>
    <n v="201040506"/>
    <s v="Facturas por Confirmar"/>
    <n v="229.19"/>
    <m/>
    <n v="229.19"/>
    <x v="2"/>
    <n v="1374132.47"/>
    <s v="229.19"/>
    <s v="jcortiz"/>
    <n v="0"/>
    <m/>
    <m/>
    <m/>
    <m/>
    <m/>
  </r>
  <r>
    <x v="0"/>
    <x v="0"/>
    <d v="2022-12-20T00:00:00"/>
    <d v="2022-12-20T00:00:00"/>
    <s v="Primario"/>
    <s v="EP 6511"/>
    <n v="110489"/>
    <s v="Pedido de entrada de mercancías - PN1791834399001"/>
    <m/>
    <m/>
    <n v="201040506"/>
    <s v="Facturas por Confirmar"/>
    <n v="2009.41"/>
    <m/>
    <n v="2009.41"/>
    <x v="2"/>
    <n v="1376141.88"/>
    <s v="2009.41"/>
    <s v="jcortiz"/>
    <n v="0"/>
    <m/>
    <m/>
    <m/>
    <m/>
    <m/>
  </r>
  <r>
    <x v="0"/>
    <x v="0"/>
    <d v="2022-12-20T00:00:00"/>
    <d v="2022-12-20T00:00:00"/>
    <s v="Primario"/>
    <s v="EP 6512"/>
    <n v="110490"/>
    <s v="Pedido de entrada de mercancías - PN1791834399001"/>
    <m/>
    <m/>
    <n v="201040506"/>
    <s v="Facturas por Confirmar"/>
    <n v="41.28"/>
    <m/>
    <n v="41.28"/>
    <x v="2"/>
    <n v="1376183.16"/>
    <s v="41.28"/>
    <s v="jcortiz"/>
    <n v="0"/>
    <m/>
    <m/>
    <m/>
    <m/>
    <m/>
  </r>
  <r>
    <x v="0"/>
    <x v="0"/>
    <d v="2022-12-20T00:00:00"/>
    <d v="2022-12-20T00:00:00"/>
    <s v="Primario"/>
    <s v="EP 6513"/>
    <n v="110491"/>
    <s v="Pedido de entrada de mercancías - PN1791834399001"/>
    <m/>
    <m/>
    <n v="201040506"/>
    <s v="Facturas por Confirmar"/>
    <n v="326.39999999999998"/>
    <m/>
    <n v="326.39999999999998"/>
    <x v="2"/>
    <n v="1376509.56"/>
    <s v="326.40"/>
    <s v="jcortiz"/>
    <n v="0"/>
    <m/>
    <m/>
    <m/>
    <m/>
    <m/>
  </r>
  <r>
    <x v="0"/>
    <x v="0"/>
    <d v="2022-12-20T00:00:00"/>
    <d v="2022-12-20T00:00:00"/>
    <s v="FE001"/>
    <s v="NE 100016125"/>
    <n v="110492"/>
    <s v="Entregas - CN1791263308001"/>
    <m/>
    <s v="QUITO"/>
    <n v="51010101"/>
    <s v="Costo de ventas Quito"/>
    <m/>
    <n v="334.46"/>
    <n v="-334.46"/>
    <x v="1"/>
    <n v="1376175.1"/>
    <s v="-334.46"/>
    <s v="jcortiz"/>
    <n v="0"/>
    <m/>
    <s v="QUITO-PICHINCHA"/>
    <m/>
    <m/>
    <m/>
  </r>
  <r>
    <x v="0"/>
    <x v="0"/>
    <d v="2022-12-20T00:00:00"/>
    <d v="2022-12-20T00:00:00"/>
    <s v="FE001"/>
    <s v="NE 100016126"/>
    <n v="110493"/>
    <s v="Entregas - CN1791768205001"/>
    <m/>
    <s v="QUITO"/>
    <n v="51010101"/>
    <s v="Costo de ventas Quito"/>
    <m/>
    <n v="2184.0300000000002"/>
    <n v="-2184.0300000000002"/>
    <x v="1"/>
    <n v="1373991.07"/>
    <s v="-2184.03"/>
    <s v="jcortiz"/>
    <n v="0"/>
    <m/>
    <s v="QUITO-PICHINCHA"/>
    <m/>
    <m/>
    <m/>
  </r>
  <r>
    <x v="0"/>
    <x v="0"/>
    <d v="2022-12-20T00:00:00"/>
    <d v="2022-12-20T00:00:00"/>
    <s v="FE001"/>
    <s v="NE 100016127"/>
    <n v="110497"/>
    <s v="Entregas - CN1715369474001"/>
    <m/>
    <s v="QUITO"/>
    <n v="51010101"/>
    <s v="Costo de ventas Quito"/>
    <m/>
    <n v="76.42"/>
    <n v="-76.42"/>
    <x v="1"/>
    <n v="1373914.65"/>
    <s v="-76.42"/>
    <s v="jcortiz"/>
    <n v="0"/>
    <m/>
    <s v="QUITO-PICHINCHA"/>
    <m/>
    <m/>
    <m/>
  </r>
  <r>
    <x v="0"/>
    <x v="0"/>
    <d v="2022-12-20T00:00:00"/>
    <d v="2022-12-20T00:00:00"/>
    <s v="FE001"/>
    <s v="NE 100016128"/>
    <n v="110499"/>
    <s v="Entregas - CN1791768205001"/>
    <m/>
    <s v="QUITO"/>
    <n v="51010101"/>
    <s v="Costo de ventas Quito"/>
    <m/>
    <n v="15.81"/>
    <n v="-15.81"/>
    <x v="1"/>
    <n v="1373898.84"/>
    <s v="-15.81"/>
    <s v="jcortiz"/>
    <n v="0"/>
    <m/>
    <s v="QUITO-PICHINCHA"/>
    <m/>
    <m/>
    <m/>
  </r>
  <r>
    <x v="0"/>
    <x v="0"/>
    <d v="2022-12-20T00:00:00"/>
    <d v="2022-12-20T00:00:00"/>
    <s v="FE001"/>
    <s v="IM 100003477"/>
    <n v="110500"/>
    <s v="Traslados - CN1792079160001"/>
    <m/>
    <m/>
    <n v="101060402"/>
    <s v="Inventario de prod. term. y mercad. en Bodega BULLSYPPLY Coca"/>
    <n v="35.18"/>
    <m/>
    <n v="35.18"/>
    <x v="3"/>
    <n v="1373934.02"/>
    <s v="35.18"/>
    <s v="ancueva"/>
    <n v="0"/>
    <m/>
    <m/>
    <m/>
    <m/>
    <m/>
  </r>
  <r>
    <x v="0"/>
    <x v="0"/>
    <d v="2022-12-20T00:00:00"/>
    <d v="2022-12-20T00:00:00"/>
    <s v="Primario"/>
    <s v="EP 6514"/>
    <n v="110505"/>
    <s v="Pedido de entrada de mercancías - PN1717177495001"/>
    <m/>
    <m/>
    <n v="201040506"/>
    <s v="Facturas por Confirmar"/>
    <n v="566"/>
    <m/>
    <n v="566"/>
    <x v="2"/>
    <n v="1374500.02"/>
    <s v="566.00"/>
    <s v="jcortiz"/>
    <n v="0"/>
    <m/>
    <m/>
    <m/>
    <m/>
    <m/>
  </r>
  <r>
    <x v="0"/>
    <x v="0"/>
    <d v="2022-12-20T00:00:00"/>
    <d v="2022-12-20T00:00:00"/>
    <s v="FE001"/>
    <s v="NE 100016129"/>
    <n v="110506"/>
    <s v="Entregas - CN1791768205001"/>
    <m/>
    <s v="QUITO"/>
    <n v="51010101"/>
    <s v="Costo de ventas Quito"/>
    <m/>
    <n v="566"/>
    <n v="-566"/>
    <x v="1"/>
    <n v="1373934.02"/>
    <s v="-566.00"/>
    <s v="jcortiz"/>
    <n v="0"/>
    <m/>
    <s v="QUITO-PICHINCHA"/>
    <m/>
    <m/>
    <m/>
  </r>
  <r>
    <x v="0"/>
    <x v="0"/>
    <d v="2022-12-20T00:00:00"/>
    <d v="2022-12-20T00:00:00"/>
    <s v="FE001"/>
    <s v="NE 100016130"/>
    <n v="110508"/>
    <s v="Entregas - CN1791263308001"/>
    <m/>
    <s v="QUITO"/>
    <n v="51010101"/>
    <s v="Costo de ventas Quito"/>
    <m/>
    <n v="326.39999999999998"/>
    <n v="-326.39999999999998"/>
    <x v="1"/>
    <n v="1373607.62"/>
    <s v="-326.40"/>
    <s v="jcortiz"/>
    <n v="0"/>
    <m/>
    <s v="QUITO-PICHINCHA"/>
    <m/>
    <m/>
    <m/>
  </r>
  <r>
    <x v="0"/>
    <x v="0"/>
    <d v="2022-12-20T00:00:00"/>
    <d v="2022-12-20T00:00:00"/>
    <s v="FE001"/>
    <s v="NE 100016133"/>
    <n v="110516"/>
    <s v="Entregas - CN1791263308001"/>
    <m/>
    <s v="QUITO"/>
    <n v="51010101"/>
    <s v="Costo de ventas Quito"/>
    <m/>
    <n v="41.28"/>
    <n v="-41.28"/>
    <x v="1"/>
    <n v="1373566.34"/>
    <s v="-41.28"/>
    <s v="jcortiz"/>
    <n v="0"/>
    <m/>
    <s v="QUITO-PICHINCHA"/>
    <m/>
    <m/>
    <m/>
  </r>
  <r>
    <x v="0"/>
    <x v="0"/>
    <d v="2022-12-20T00:00:00"/>
    <d v="2022-12-20T00:00:00"/>
    <s v="FE001"/>
    <s v="NE 100016158"/>
    <n v="110586"/>
    <s v="Entrega - Cancelación - CN1791768205001"/>
    <m/>
    <s v="QUITO"/>
    <n v="51010101"/>
    <s v="Costo de ventas Quito"/>
    <n v="2184.0300000000002"/>
    <m/>
    <n v="2184.0300000000002"/>
    <x v="1"/>
    <n v="1375750.37"/>
    <s v="2184.03"/>
    <s v="jcortiz"/>
    <n v="0"/>
    <m/>
    <s v="QUITO-PICHINCHA"/>
    <m/>
    <m/>
    <m/>
  </r>
  <r>
    <x v="0"/>
    <x v="0"/>
    <d v="2022-12-20T00:00:00"/>
    <d v="2022-12-20T00:00:00"/>
    <s v="Anula"/>
    <s v="EP 200455"/>
    <n v="110587"/>
    <s v="Pedido de entrada de mercancías - Cancelación - PN"/>
    <m/>
    <m/>
    <n v="201040506"/>
    <s v="Facturas por Confirmar"/>
    <m/>
    <n v="2009.41"/>
    <n v="-2009.41"/>
    <x v="2"/>
    <n v="1373740.96"/>
    <s v="-2009.41"/>
    <s v="jcortiz"/>
    <n v="0"/>
    <m/>
    <m/>
    <m/>
    <m/>
    <m/>
  </r>
  <r>
    <x v="0"/>
    <x v="0"/>
    <d v="2022-12-21T00:00:00"/>
    <d v="2022-12-21T00:00:00"/>
    <s v="FE001"/>
    <s v="IM 100003478"/>
    <n v="110520"/>
    <s v="Traslados - CN1792079160001"/>
    <m/>
    <m/>
    <n v="101060402"/>
    <s v="Inventario de prod. term. y mercad. en Bodega BULLSYPPLY Coca"/>
    <n v="75.680000000000007"/>
    <m/>
    <n v="75.680000000000007"/>
    <x v="3"/>
    <n v="1373816.64"/>
    <s v="75.68"/>
    <s v="jcortiz"/>
    <n v="0"/>
    <m/>
    <m/>
    <m/>
    <m/>
    <m/>
  </r>
  <r>
    <x v="0"/>
    <x v="0"/>
    <d v="2022-12-21T00:00:00"/>
    <d v="2022-12-21T00:00:00"/>
    <s v="Primario"/>
    <s v="EP 6515"/>
    <n v="110522"/>
    <s v="Pedido de entrada de mercancías - PN1791834399001"/>
    <m/>
    <m/>
    <n v="201040506"/>
    <s v="Facturas por Confirmar"/>
    <n v="92"/>
    <m/>
    <n v="92"/>
    <x v="2"/>
    <n v="1373908.64"/>
    <s v="92.00"/>
    <s v="jcortiz"/>
    <n v="0"/>
    <m/>
    <m/>
    <m/>
    <m/>
    <m/>
  </r>
  <r>
    <x v="0"/>
    <x v="0"/>
    <d v="2022-12-21T00:00:00"/>
    <d v="2022-12-21T00:00:00"/>
    <s v="Primario"/>
    <s v="EP 6516"/>
    <n v="110525"/>
    <s v="Pedido de entrada de mercancías - PN1791834399001"/>
    <m/>
    <m/>
    <n v="201040506"/>
    <s v="Facturas por Confirmar"/>
    <n v="830.11"/>
    <m/>
    <n v="830.11"/>
    <x v="2"/>
    <n v="1374738.75"/>
    <s v="830.11"/>
    <s v="jcortiz"/>
    <n v="0"/>
    <m/>
    <m/>
    <m/>
    <m/>
    <m/>
  </r>
  <r>
    <x v="0"/>
    <x v="0"/>
    <d v="2022-12-21T00:00:00"/>
    <d v="2022-12-21T00:00:00"/>
    <s v="FE001"/>
    <s v="NE 100016135"/>
    <n v="110526"/>
    <s v="Entregas - CN1791263308001"/>
    <m/>
    <s v="QUITO"/>
    <n v="51010101"/>
    <s v="Costo de ventas Quito"/>
    <m/>
    <n v="830.11"/>
    <n v="-830.11"/>
    <x v="1"/>
    <n v="1373908.64"/>
    <s v="-830.11"/>
    <s v="jcortiz"/>
    <n v="0"/>
    <m/>
    <s v="QUITO-PICHINCHA"/>
    <m/>
    <m/>
    <m/>
  </r>
  <r>
    <x v="0"/>
    <x v="0"/>
    <d v="2022-12-21T00:00:00"/>
    <d v="2022-12-21T00:00:00"/>
    <s v="FE001"/>
    <s v="NE 100016136"/>
    <n v="110528"/>
    <s v="Entregas - CN1710196104001"/>
    <m/>
    <s v="QUITO"/>
    <n v="51010101"/>
    <s v="Costo de ventas Quito"/>
    <m/>
    <n v="211.68"/>
    <n v="-211.68"/>
    <x v="1"/>
    <n v="1373696.96"/>
    <s v="-211.68"/>
    <s v="jcortiz"/>
    <n v="0"/>
    <m/>
    <s v="QUITO-PICHINCHA"/>
    <m/>
    <m/>
    <m/>
  </r>
  <r>
    <x v="0"/>
    <x v="0"/>
    <d v="2022-12-21T00:00:00"/>
    <d v="2022-12-21T00:00:00"/>
    <s v="FE001"/>
    <s v="NE 100016137"/>
    <n v="110529"/>
    <s v="Entregas - CN1791259505001"/>
    <m/>
    <s v="QUITO"/>
    <n v="51010101"/>
    <s v="Costo de ventas Quito"/>
    <m/>
    <n v="163.57"/>
    <n v="-163.57"/>
    <x v="1"/>
    <n v="1373533.39"/>
    <s v="-163.57"/>
    <s v="jcortiz"/>
    <n v="0"/>
    <m/>
    <s v="QUITO-PICHINCHA"/>
    <m/>
    <m/>
    <m/>
  </r>
  <r>
    <x v="0"/>
    <x v="0"/>
    <d v="2022-12-21T00:00:00"/>
    <d v="2022-12-21T00:00:00"/>
    <s v="FE001"/>
    <s v="NE 100016139"/>
    <n v="110531"/>
    <s v="Entregas - CN1104857253001"/>
    <m/>
    <s v="QUITO"/>
    <n v="51010101"/>
    <s v="Costo de ventas Quito"/>
    <m/>
    <n v="99.6"/>
    <n v="-99.6"/>
    <x v="1"/>
    <n v="1373433.79"/>
    <s v="-99.60"/>
    <s v="jcortiz"/>
    <n v="0"/>
    <m/>
    <s v="QUITO-PICHINCHA"/>
    <m/>
    <m/>
    <m/>
  </r>
  <r>
    <x v="0"/>
    <x v="0"/>
    <d v="2022-12-21T00:00:00"/>
    <d v="2022-12-21T00:00:00"/>
    <s v="FE001"/>
    <s v="NE 100016140"/>
    <n v="110534"/>
    <s v="Entregas - CN1315662823001"/>
    <m/>
    <s v="QUITO"/>
    <n v="51010101"/>
    <s v="Costo de ventas Quito"/>
    <m/>
    <n v="54.86"/>
    <n v="-54.86"/>
    <x v="1"/>
    <n v="1373378.93"/>
    <s v="-54.86"/>
    <s v="jcortiz"/>
    <n v="0"/>
    <m/>
    <s v="QUITO-PICHINCHA"/>
    <m/>
    <m/>
    <m/>
  </r>
  <r>
    <x v="0"/>
    <x v="0"/>
    <d v="2022-12-21T00:00:00"/>
    <d v="2022-12-21T00:00:00"/>
    <s v="Primario"/>
    <s v="DV 240"/>
    <n v="110541"/>
    <s v="Devoluciones - CN1791768205001"/>
    <m/>
    <s v="QUITO"/>
    <n v="51010101"/>
    <s v="Costo de ventas Quito"/>
    <n v="58.71"/>
    <m/>
    <n v="58.71"/>
    <x v="1"/>
    <n v="1373437.64"/>
    <s v="58.71"/>
    <s v="jcortiz"/>
    <n v="0"/>
    <m/>
    <s v="QUITO-PICHINCHA"/>
    <m/>
    <m/>
    <m/>
  </r>
  <r>
    <x v="0"/>
    <x v="0"/>
    <d v="2022-12-21T00:00:00"/>
    <d v="2022-12-21T00:00:00"/>
    <s v="FE001"/>
    <s v="NE 100016142"/>
    <n v="110543"/>
    <s v="Entregas - CN1714787163001"/>
    <m/>
    <s v="QUITO"/>
    <n v="51010101"/>
    <s v="Costo de ventas Quito"/>
    <m/>
    <n v="20.36"/>
    <n v="-20.36"/>
    <x v="1"/>
    <n v="1373417.28"/>
    <s v="-20.36"/>
    <s v="jcortiz"/>
    <n v="0"/>
    <m/>
    <s v="QUITO-PICHINCHA"/>
    <m/>
    <m/>
    <m/>
  </r>
  <r>
    <x v="0"/>
    <x v="0"/>
    <d v="2022-12-21T00:00:00"/>
    <d v="2022-12-21T00:00:00"/>
    <s v="FE001"/>
    <s v="NE 100016143"/>
    <n v="110544"/>
    <s v="Entregas - CN1714787163001"/>
    <m/>
    <s v="QUITO"/>
    <n v="51010101"/>
    <s v="Costo de ventas Quito"/>
    <m/>
    <n v="438.37"/>
    <n v="-438.37"/>
    <x v="1"/>
    <n v="1372978.91"/>
    <s v="-438.37"/>
    <s v="jcortiz"/>
    <n v="0"/>
    <m/>
    <s v="QUITO-PICHINCHA"/>
    <m/>
    <m/>
    <m/>
  </r>
  <r>
    <x v="0"/>
    <x v="0"/>
    <d v="2022-12-21T00:00:00"/>
    <d v="2022-12-21T00:00:00"/>
    <s v="FE001"/>
    <s v="NE 100016144"/>
    <n v="110547"/>
    <s v="Entregas - CN1791734920001"/>
    <m/>
    <s v="QUITO"/>
    <n v="51010101"/>
    <s v="Costo de ventas Quito"/>
    <m/>
    <n v="2696.1"/>
    <n v="-2696.1"/>
    <x v="1"/>
    <n v="1370282.81"/>
    <s v="-2696.10"/>
    <s v="jcortiz"/>
    <n v="0"/>
    <m/>
    <s v="QUITO-PICHINCHA"/>
    <m/>
    <m/>
    <m/>
  </r>
  <r>
    <x v="0"/>
    <x v="0"/>
    <d v="2022-12-21T00:00:00"/>
    <d v="2022-12-21T00:00:00"/>
    <s v="FE001"/>
    <s v="NE 100016145"/>
    <n v="110549"/>
    <s v="Entregas - CN1792714184001"/>
    <m/>
    <s v="QUITO"/>
    <n v="51010101"/>
    <s v="Costo de ventas Quito"/>
    <m/>
    <n v="33.76"/>
    <n v="-33.76"/>
    <x v="1"/>
    <n v="1370249.05"/>
    <s v="-33.76"/>
    <s v="jcortiz"/>
    <n v="0"/>
    <m/>
    <s v="QUITO-PICHINCHA"/>
    <m/>
    <m/>
    <m/>
  </r>
  <r>
    <x v="0"/>
    <x v="0"/>
    <d v="2022-12-21T00:00:00"/>
    <d v="2022-12-21T00:00:00"/>
    <s v="FE001"/>
    <s v="NE 100016146"/>
    <n v="110551"/>
    <s v="Entregas - CN1792874939001"/>
    <m/>
    <s v="QUITO"/>
    <n v="51010101"/>
    <s v="Costo de ventas Quito"/>
    <m/>
    <n v="194.26"/>
    <n v="-194.26"/>
    <x v="1"/>
    <n v="1370054.79"/>
    <s v="-194.26"/>
    <s v="jcortiz"/>
    <n v="0"/>
    <m/>
    <s v="QUITO-PICHINCHA"/>
    <m/>
    <m/>
    <m/>
  </r>
  <r>
    <x v="0"/>
    <x v="0"/>
    <d v="2022-12-21T00:00:00"/>
    <d v="2022-12-21T00:00:00"/>
    <s v="Primario"/>
    <s v="EP 6519"/>
    <n v="110554"/>
    <s v="Pedido de entrada de mercancías - PN1791834399001"/>
    <m/>
    <m/>
    <n v="201040506"/>
    <s v="Facturas por Confirmar"/>
    <n v="4.08"/>
    <m/>
    <n v="4.08"/>
    <x v="2"/>
    <n v="1370058.87"/>
    <s v="4.08"/>
    <s v="jcortiz"/>
    <n v="0"/>
    <m/>
    <m/>
    <m/>
    <m/>
    <m/>
  </r>
  <r>
    <x v="0"/>
    <x v="0"/>
    <d v="2022-12-21T00:00:00"/>
    <d v="2022-12-21T00:00:00"/>
    <s v="FE001"/>
    <s v="NE 100016148"/>
    <n v="110556"/>
    <s v="Entregas - CN0590060933001"/>
    <m/>
    <s v="QUITO"/>
    <n v="51010101"/>
    <s v="Costo de ventas Quito"/>
    <m/>
    <n v="111.09"/>
    <n v="-111.09"/>
    <x v="1"/>
    <n v="1369947.78"/>
    <s v="-111.09"/>
    <s v="jcortiz"/>
    <n v="0"/>
    <m/>
    <s v="QUITO-PICHINCHA"/>
    <m/>
    <m/>
    <m/>
  </r>
  <r>
    <x v="0"/>
    <x v="0"/>
    <d v="2022-12-21T00:00:00"/>
    <d v="2022-12-21T00:00:00"/>
    <s v="FE001"/>
    <s v="NE 100016149"/>
    <n v="110559"/>
    <s v="Entregas - CN1791847776001"/>
    <m/>
    <s v="QUITO"/>
    <n v="51010101"/>
    <s v="Costo de ventas Quito"/>
    <m/>
    <n v="25.83"/>
    <n v="-25.83"/>
    <x v="1"/>
    <n v="1369921.95"/>
    <s v="-25.83"/>
    <s v="jcortiz"/>
    <n v="0"/>
    <m/>
    <s v="QUITO-PICHINCHA"/>
    <m/>
    <m/>
    <m/>
  </r>
  <r>
    <x v="0"/>
    <x v="0"/>
    <d v="2022-12-21T00:00:00"/>
    <d v="2022-12-21T00:00:00"/>
    <s v="FE001"/>
    <s v="NE 100016150"/>
    <n v="110561"/>
    <s v="Entregas - CN1791403916001"/>
    <m/>
    <s v="QUITO"/>
    <n v="51010101"/>
    <s v="Costo de ventas Quito"/>
    <m/>
    <n v="137.65"/>
    <n v="-137.65"/>
    <x v="1"/>
    <n v="1369784.3"/>
    <s v="-137.65"/>
    <s v="jcortiz"/>
    <n v="0"/>
    <m/>
    <s v="QUITO-PICHINCHA"/>
    <m/>
    <m/>
    <m/>
  </r>
  <r>
    <x v="0"/>
    <x v="0"/>
    <d v="2022-12-21T00:00:00"/>
    <d v="2022-12-21T00:00:00"/>
    <s v="FE001"/>
    <s v="NE 100016151"/>
    <n v="110566"/>
    <s v="Entregas - CN1793121225001"/>
    <m/>
    <s v="QUITO"/>
    <n v="51010101"/>
    <s v="Costo de ventas Quito"/>
    <m/>
    <n v="673.79"/>
    <n v="-673.79"/>
    <x v="1"/>
    <n v="1369110.51"/>
    <s v="-673.79"/>
    <s v="jcortiz"/>
    <n v="0"/>
    <m/>
    <s v="QUITO-PICHINCHA"/>
    <m/>
    <m/>
    <m/>
  </r>
  <r>
    <x v="0"/>
    <x v="0"/>
    <d v="2022-12-21T00:00:00"/>
    <d v="2022-12-21T00:00:00"/>
    <s v="FE001"/>
    <s v="NE 100016152"/>
    <n v="110575"/>
    <s v="Entregas - CN1791265416001"/>
    <m/>
    <s v="QUITO"/>
    <n v="51010101"/>
    <s v="Costo de ventas Quito"/>
    <m/>
    <n v="79.7"/>
    <n v="-79.7"/>
    <x v="1"/>
    <n v="1369030.81"/>
    <s v="-79.70"/>
    <s v="jcortiz"/>
    <n v="0"/>
    <m/>
    <s v="QUITO-PICHINCHA"/>
    <m/>
    <m/>
    <m/>
  </r>
  <r>
    <x v="0"/>
    <x v="0"/>
    <d v="2022-12-21T00:00:00"/>
    <d v="2022-12-21T00:00:00"/>
    <s v="Primario"/>
    <s v="EP 6520"/>
    <n v="110577"/>
    <s v="Pedido de entrada de mercancías - PN1791834399001"/>
    <m/>
    <m/>
    <n v="201040506"/>
    <s v="Facturas por Confirmar"/>
    <n v="1897.2"/>
    <m/>
    <n v="1897.2"/>
    <x v="2"/>
    <n v="1370928.01"/>
    <s v="1897.20"/>
    <s v="jcortiz"/>
    <n v="0"/>
    <m/>
    <m/>
    <m/>
    <m/>
    <m/>
  </r>
  <r>
    <x v="0"/>
    <x v="0"/>
    <d v="2022-12-21T00:00:00"/>
    <d v="2022-12-21T00:00:00"/>
    <s v="FE001"/>
    <s v="NE 100016154"/>
    <n v="110578"/>
    <s v="Entregas - CN1791263308001"/>
    <m/>
    <s v="QUITO"/>
    <n v="51010101"/>
    <s v="Costo de ventas Quito"/>
    <m/>
    <n v="1897.2"/>
    <n v="-1897.2"/>
    <x v="1"/>
    <n v="1369030.81"/>
    <s v="-1897.20"/>
    <s v="jcortiz"/>
    <n v="0"/>
    <m/>
    <s v="QUITO-PICHINCHA"/>
    <m/>
    <m/>
    <m/>
  </r>
  <r>
    <x v="0"/>
    <x v="0"/>
    <d v="2022-12-21T00:00:00"/>
    <d v="2022-12-21T00:00:00"/>
    <s v="FE001"/>
    <s v="NE 100016155"/>
    <n v="110579"/>
    <s v="Entregas - CN1715369474001"/>
    <m/>
    <s v="QUITO"/>
    <n v="51010101"/>
    <s v="Costo de ventas Quito"/>
    <m/>
    <n v="25.59"/>
    <n v="-25.59"/>
    <x v="1"/>
    <n v="1369005.22"/>
    <s v="-25.59"/>
    <s v="jcortiz"/>
    <n v="0"/>
    <m/>
    <s v="QUITO-PICHINCHA"/>
    <m/>
    <m/>
    <m/>
  </r>
  <r>
    <x v="0"/>
    <x v="0"/>
    <d v="2022-12-21T00:00:00"/>
    <d v="2022-12-21T00:00:00"/>
    <s v="FE001"/>
    <s v="IM 100003479"/>
    <n v="110580"/>
    <s v="Traslados - CN1792079160001"/>
    <m/>
    <m/>
    <n v="101060402"/>
    <s v="Inventario de prod. term. y mercad. en Bodega BULLSYPPLY Coca"/>
    <n v="63.83"/>
    <m/>
    <n v="63.83"/>
    <x v="3"/>
    <n v="1369069.05"/>
    <s v="63.83"/>
    <s v="ancueva"/>
    <n v="0"/>
    <m/>
    <m/>
    <m/>
    <m/>
    <m/>
  </r>
  <r>
    <x v="0"/>
    <x v="0"/>
    <d v="2022-12-21T00:00:00"/>
    <d v="2022-12-21T00:00:00"/>
    <s v="FE001"/>
    <s v="NE 100016156"/>
    <n v="110581"/>
    <s v="Entrega - Cancelación - CN1791263308001"/>
    <m/>
    <s v="QUITO"/>
    <n v="51010101"/>
    <s v="Costo de ventas Quito"/>
    <n v="1897.2"/>
    <m/>
    <n v="1897.2"/>
    <x v="1"/>
    <n v="1370966.25"/>
    <s v="1897.20"/>
    <s v="jcortiz"/>
    <n v="0"/>
    <m/>
    <s v="QUITO-PICHINCHA"/>
    <m/>
    <m/>
    <m/>
  </r>
  <r>
    <x v="0"/>
    <x v="0"/>
    <d v="2022-12-21T00:00:00"/>
    <d v="2022-12-21T00:00:00"/>
    <s v="Anula"/>
    <s v="EP 200454"/>
    <n v="110582"/>
    <s v="Pedido de entrada de mercancías - Cancelación - PN"/>
    <m/>
    <m/>
    <n v="201040506"/>
    <s v="Facturas por Confirmar"/>
    <m/>
    <n v="1897.2"/>
    <n v="-1897.2"/>
    <x v="2"/>
    <n v="1369069.05"/>
    <s v="-1897.20"/>
    <s v="jcortiz"/>
    <n v="0"/>
    <m/>
    <m/>
    <m/>
    <m/>
    <m/>
  </r>
  <r>
    <x v="0"/>
    <x v="0"/>
    <d v="2022-12-21T00:00:00"/>
    <d v="2022-12-21T00:00:00"/>
    <s v="Primario"/>
    <s v="EP 6521"/>
    <n v="110583"/>
    <s v="Pedido de entrada de mercancías - PN1791834399001"/>
    <m/>
    <m/>
    <n v="201040506"/>
    <s v="Facturas por Confirmar"/>
    <n v="1570.8"/>
    <m/>
    <n v="1570.8"/>
    <x v="2"/>
    <n v="1370639.85"/>
    <s v="1570.80"/>
    <s v="jcortiz"/>
    <n v="0"/>
    <m/>
    <m/>
    <m/>
    <m/>
    <m/>
  </r>
  <r>
    <x v="0"/>
    <x v="0"/>
    <d v="2022-12-21T00:00:00"/>
    <d v="2022-12-21T00:00:00"/>
    <s v="FE001"/>
    <s v="NE 100016157"/>
    <n v="110584"/>
    <s v="Entregas - CN1791263308001"/>
    <m/>
    <s v="QUITO"/>
    <n v="51010101"/>
    <s v="Costo de ventas Quito"/>
    <m/>
    <n v="1570.8"/>
    <n v="-1570.8"/>
    <x v="1"/>
    <n v="1369069.05"/>
    <s v="-1570.80"/>
    <s v="jcortiz"/>
    <n v="0"/>
    <m/>
    <s v="QUITO-PICHINCHA"/>
    <m/>
    <m/>
    <m/>
  </r>
  <r>
    <x v="0"/>
    <x v="0"/>
    <d v="2022-12-21T00:00:00"/>
    <d v="2022-12-21T00:00:00"/>
    <s v="Primario"/>
    <s v="DV 241"/>
    <n v="110585"/>
    <s v="Devolución - Cancelación - CN1791768205001"/>
    <m/>
    <s v="QUITO"/>
    <n v="51010101"/>
    <s v="Costo de ventas Quito"/>
    <m/>
    <n v="58.71"/>
    <n v="-58.71"/>
    <x v="1"/>
    <n v="1369010.34"/>
    <s v="-58.71"/>
    <s v="jcortiz"/>
    <n v="0"/>
    <m/>
    <s v="QUITO-PICHINCHA"/>
    <m/>
    <m/>
    <m/>
  </r>
  <r>
    <x v="0"/>
    <x v="0"/>
    <d v="2022-12-21T00:00:00"/>
    <d v="2022-12-21T00:00:00"/>
    <s v="Primario"/>
    <s v="EP 6522"/>
    <n v="110588"/>
    <s v="Pedido de entrada de mercancías - PN1791834399001"/>
    <m/>
    <m/>
    <n v="201040506"/>
    <s v="Facturas por Confirmar"/>
    <n v="1658.1"/>
    <m/>
    <n v="1658.1"/>
    <x v="2"/>
    <n v="1370668.44"/>
    <s v="1658.10"/>
    <s v="jcortiz"/>
    <n v="0"/>
    <m/>
    <m/>
    <m/>
    <m/>
    <m/>
  </r>
  <r>
    <x v="0"/>
    <x v="0"/>
    <d v="2022-12-21T00:00:00"/>
    <d v="2022-12-21T00:00:00"/>
    <s v="FE001"/>
    <s v="NE 100016159"/>
    <n v="110589"/>
    <s v="Entregas - CN1791768205001"/>
    <m/>
    <s v="QUITO"/>
    <n v="51010101"/>
    <s v="Costo de ventas Quito"/>
    <m/>
    <n v="1832.87"/>
    <n v="-1832.87"/>
    <x v="1"/>
    <n v="1368835.57"/>
    <s v="-1832.87"/>
    <s v="jcortiz"/>
    <n v="0"/>
    <m/>
    <s v="QUITO-PICHINCHA"/>
    <m/>
    <m/>
    <m/>
  </r>
  <r>
    <x v="0"/>
    <x v="0"/>
    <d v="2022-12-21T00:00:00"/>
    <d v="2022-12-21T00:00:00"/>
    <s v="FE001"/>
    <s v="IM 100003480"/>
    <n v="110590"/>
    <s v="Traslados - CN1792079160001"/>
    <m/>
    <m/>
    <n v="101060408"/>
    <s v="Inventario de prod. term. y mercad. en Bodega importaciones"/>
    <n v="20078.560000000001"/>
    <m/>
    <n v="20078.560000000001"/>
    <x v="3"/>
    <n v="1388914.13"/>
    <s v="20078.56"/>
    <s v="jcortiz"/>
    <n v="0"/>
    <m/>
    <m/>
    <m/>
    <m/>
    <m/>
  </r>
  <r>
    <x v="0"/>
    <x v="0"/>
    <d v="2022-12-21T00:00:00"/>
    <d v="2022-12-21T00:00:00"/>
    <s v="FE001"/>
    <s v="IM 100003481"/>
    <n v="110591"/>
    <s v="Traslados - CN1792079160001"/>
    <m/>
    <m/>
    <n v="101060402"/>
    <s v="Inventario de prod. term. y mercad. en Bodega BULLSYPPLY Coca"/>
    <m/>
    <n v="20266.14"/>
    <n v="-20266.14"/>
    <x v="3"/>
    <n v="1368647.99"/>
    <s v="-20266.14"/>
    <s v="jcortiz"/>
    <n v="0"/>
    <m/>
    <m/>
    <m/>
    <m/>
    <m/>
  </r>
  <r>
    <x v="0"/>
    <x v="0"/>
    <d v="2022-12-21T00:00:00"/>
    <d v="2022-12-21T00:00:00"/>
    <s v="FE001"/>
    <s v="IM 100003482"/>
    <n v="110592"/>
    <s v="Traslados -"/>
    <m/>
    <m/>
    <n v="101060402"/>
    <s v="Inventario de prod. term. y mercad. en Bodega BULLSYPPLY Coca"/>
    <n v="20249.89"/>
    <m/>
    <n v="20249.89"/>
    <x v="3"/>
    <n v="1388897.88"/>
    <s v="20249.89"/>
    <s v="jcortiz"/>
    <n v="0"/>
    <m/>
    <m/>
    <m/>
    <m/>
    <m/>
  </r>
  <r>
    <x v="0"/>
    <x v="0"/>
    <d v="2022-12-22T00:00:00"/>
    <d v="2022-12-22T00:00:00"/>
    <s v="Primario"/>
    <s v="EP 6523"/>
    <n v="110593"/>
    <s v="Pedido de entrada de mercancías - PN1802461440001"/>
    <m/>
    <m/>
    <n v="201040506"/>
    <s v="Facturas por Confirmar"/>
    <n v="27"/>
    <m/>
    <n v="27"/>
    <x v="2"/>
    <n v="1388924.88"/>
    <s v="27.00"/>
    <s v="jcortiz"/>
    <n v="0"/>
    <m/>
    <m/>
    <m/>
    <m/>
    <m/>
  </r>
  <r>
    <x v="0"/>
    <x v="0"/>
    <d v="2022-12-22T00:00:00"/>
    <d v="2022-12-22T00:00:00"/>
    <s v="FE001"/>
    <s v="NE 100016160"/>
    <n v="110594"/>
    <s v="Entregas - CN2290316882001"/>
    <m/>
    <s v="QUITO"/>
    <n v="51010101"/>
    <s v="Costo de ventas Quito"/>
    <m/>
    <n v="27"/>
    <n v="-27"/>
    <x v="1"/>
    <n v="1388897.88"/>
    <s v="-27.00"/>
    <s v="jcortiz"/>
    <n v="0"/>
    <m/>
    <s v="QUITO-PICHINCHA"/>
    <m/>
    <m/>
    <m/>
  </r>
  <r>
    <x v="0"/>
    <x v="0"/>
    <d v="2022-12-22T00:00:00"/>
    <d v="2022-12-22T00:00:00"/>
    <s v="FE001"/>
    <s v="IM 100003483"/>
    <n v="110605"/>
    <s v="Traslados - CN1792079160001"/>
    <m/>
    <m/>
    <n v="101060408"/>
    <s v="Inventario de prod. term. y mercad. en Bodega importaciones"/>
    <n v="14849.79"/>
    <m/>
    <n v="14849.79"/>
    <x v="3"/>
    <n v="1403747.67"/>
    <s v="14849.79"/>
    <s v="jcortiz"/>
    <n v="0"/>
    <m/>
    <m/>
    <m/>
    <m/>
    <m/>
  </r>
  <r>
    <x v="0"/>
    <x v="0"/>
    <d v="2022-12-22T00:00:00"/>
    <d v="2022-12-22T00:00:00"/>
    <s v="FE001"/>
    <s v="IM 100003484"/>
    <n v="110606"/>
    <s v="Traslados - CN1792079160001"/>
    <m/>
    <m/>
    <n v="101060408"/>
    <s v="Inventario de prod. term. y mercad. en Bodega importaciones"/>
    <n v="19700.330000000002"/>
    <m/>
    <n v="19700.330000000002"/>
    <x v="3"/>
    <n v="1423448"/>
    <s v="19700.33"/>
    <s v="jcortiz"/>
    <n v="0"/>
    <m/>
    <m/>
    <m/>
    <m/>
    <m/>
  </r>
  <r>
    <x v="0"/>
    <x v="0"/>
    <d v="2022-12-22T00:00:00"/>
    <d v="2022-12-22T00:00:00"/>
    <s v="FE001"/>
    <s v="IM 100003485"/>
    <n v="110607"/>
    <s v="Traslados - CN1792079160001"/>
    <m/>
    <m/>
    <n v="101060402"/>
    <s v="Inventario de prod. term. y mercad. en Bodega BULLSYPPLY Coca"/>
    <m/>
    <n v="34550.120000000003"/>
    <n v="-34550.120000000003"/>
    <x v="3"/>
    <n v="1388897.88"/>
    <s v="-34550.12"/>
    <s v="jcortiz"/>
    <n v="0"/>
    <m/>
    <m/>
    <m/>
    <m/>
    <m/>
  </r>
  <r>
    <x v="0"/>
    <x v="0"/>
    <d v="2022-12-22T00:00:00"/>
    <d v="2022-12-22T00:00:00"/>
    <s v="FE001"/>
    <s v="IM 100003486"/>
    <n v="110608"/>
    <s v="Traslados -"/>
    <m/>
    <m/>
    <n v="101060402"/>
    <s v="Inventario de prod. term. y mercad. en Bodega BULLSYPPLY Coca"/>
    <n v="34550.120000000003"/>
    <m/>
    <n v="34550.120000000003"/>
    <x v="3"/>
    <n v="1423448"/>
    <s v="34550.12"/>
    <s v="jcortiz"/>
    <n v="0"/>
    <m/>
    <m/>
    <m/>
    <m/>
    <m/>
  </r>
  <r>
    <x v="0"/>
    <x v="0"/>
    <d v="2022-12-22T00:00:00"/>
    <d v="2022-12-22T00:00:00"/>
    <s v="Primario"/>
    <s v="SM 581"/>
    <n v="110610"/>
    <s v="Salida de mercancías"/>
    <m/>
    <s v="QUITO"/>
    <n v="51010101"/>
    <s v="Costo de ventas Quito"/>
    <m/>
    <n v="10995.77"/>
    <n v="-10995.77"/>
    <x v="1"/>
    <n v="1412452.23"/>
    <s v="-10995.77"/>
    <s v="jcortiz"/>
    <n v="0"/>
    <m/>
    <s v="QUITO-PICHINCHA"/>
    <m/>
    <m/>
    <m/>
  </r>
  <r>
    <x v="0"/>
    <x v="0"/>
    <d v="2022-12-22T00:00:00"/>
    <d v="2022-12-22T00:00:00"/>
    <s v="Primario"/>
    <s v="EM 1739"/>
    <n v="110611"/>
    <s v="Entrada de mercancías"/>
    <m/>
    <s v="QUITO"/>
    <n v="401030105"/>
    <s v="Otros Ingresos"/>
    <n v="11020"/>
    <m/>
    <n v="11020"/>
    <x v="5"/>
    <n v="1423472.23"/>
    <s v="11020.00"/>
    <s v="jcortiz"/>
    <n v="0"/>
    <m/>
    <s v="QUITO-PICHINCHA"/>
    <m/>
    <m/>
    <m/>
  </r>
  <r>
    <x v="0"/>
    <x v="0"/>
    <d v="2022-12-22T00:00:00"/>
    <d v="2022-12-22T00:00:00"/>
    <s v="FE001"/>
    <s v="IM 100003487"/>
    <n v="110618"/>
    <s v="Traslados - CN1792079160001"/>
    <m/>
    <m/>
    <n v="101060402"/>
    <s v="Inventario de prod. term. y mercad. en Bodega BULLSYPPLY Coca"/>
    <m/>
    <n v="9608.99"/>
    <n v="-9608.99"/>
    <x v="3"/>
    <n v="1413863.24"/>
    <s v="-9608.99"/>
    <s v="jcortiz"/>
    <n v="0"/>
    <m/>
    <m/>
    <m/>
    <m/>
    <m/>
  </r>
  <r>
    <x v="0"/>
    <x v="0"/>
    <d v="2022-12-22T00:00:00"/>
    <d v="2022-12-22T00:00:00"/>
    <s v="FE001"/>
    <s v="NE 100016164"/>
    <n v="110625"/>
    <s v="Entregas - CN0590060933001"/>
    <m/>
    <s v="QUITO"/>
    <n v="51010101"/>
    <s v="Costo de ventas Quito"/>
    <m/>
    <n v="75.17"/>
    <n v="-75.17"/>
    <x v="1"/>
    <n v="1413788.07"/>
    <s v="-75.17"/>
    <s v="jcortiz"/>
    <n v="0"/>
    <m/>
    <s v="QUITO-PICHINCHA"/>
    <m/>
    <m/>
    <m/>
  </r>
  <r>
    <x v="0"/>
    <x v="0"/>
    <d v="2022-12-22T00:00:00"/>
    <d v="2022-12-22T00:00:00"/>
    <s v="FE001"/>
    <s v="NE 100016165"/>
    <n v="110627"/>
    <s v="Entregas - CN1792260787001"/>
    <m/>
    <s v="QUITO"/>
    <n v="51010101"/>
    <s v="Costo de ventas Quito"/>
    <m/>
    <n v="30.61"/>
    <n v="-30.61"/>
    <x v="1"/>
    <n v="1413757.46"/>
    <s v="-30.61"/>
    <s v="jcortiz"/>
    <n v="0"/>
    <m/>
    <s v="QUITO-PICHINCHA"/>
    <m/>
    <m/>
    <m/>
  </r>
  <r>
    <x v="0"/>
    <x v="0"/>
    <d v="2022-12-22T00:00:00"/>
    <d v="2022-12-22T00:00:00"/>
    <s v="FE001"/>
    <s v="NE 100016166"/>
    <n v="110628"/>
    <s v="Entregas - CN1792260787001"/>
    <m/>
    <s v="QUITO"/>
    <n v="51010101"/>
    <s v="Costo de ventas Quito"/>
    <m/>
    <n v="1002.32"/>
    <n v="-1002.32"/>
    <x v="1"/>
    <n v="1412755.14"/>
    <s v="-1002.32"/>
    <s v="jcortiz"/>
    <n v="0"/>
    <m/>
    <s v="QUITO-PICHINCHA"/>
    <m/>
    <m/>
    <m/>
  </r>
  <r>
    <x v="0"/>
    <x v="0"/>
    <d v="2022-12-22T00:00:00"/>
    <d v="2022-12-22T00:00:00"/>
    <s v="FE001"/>
    <s v="NE 100016167"/>
    <n v="110629"/>
    <s v="Entregas - CN1791749146001"/>
    <m/>
    <s v="QUITO"/>
    <n v="51010101"/>
    <s v="Costo de ventas Quito"/>
    <m/>
    <n v="3267.39"/>
    <n v="-3267.39"/>
    <x v="1"/>
    <n v="1409487.75"/>
    <s v="-3267.39"/>
    <s v="jcortiz"/>
    <n v="0"/>
    <m/>
    <s v="QUITO-PICHINCHA"/>
    <m/>
    <m/>
    <m/>
  </r>
  <r>
    <x v="0"/>
    <x v="0"/>
    <d v="2022-12-22T00:00:00"/>
    <d v="2022-12-22T00:00:00"/>
    <s v="Primario"/>
    <s v="EP 6524"/>
    <n v="110631"/>
    <s v="Pedido de entrada de mercancías - PN1791834399001"/>
    <m/>
    <m/>
    <n v="201040506"/>
    <s v="Facturas por Confirmar"/>
    <n v="844.52"/>
    <m/>
    <n v="844.52"/>
    <x v="2"/>
    <n v="1410332.27"/>
    <s v="844.52"/>
    <s v="jcortiz"/>
    <n v="0"/>
    <m/>
    <m/>
    <m/>
    <m/>
    <m/>
  </r>
  <r>
    <x v="0"/>
    <x v="0"/>
    <d v="2022-12-22T00:00:00"/>
    <d v="2022-12-22T00:00:00"/>
    <s v="Primario"/>
    <s v="EP 6525"/>
    <n v="110632"/>
    <s v="Pedido de entrada de mercancías - PN1791834399001"/>
    <m/>
    <m/>
    <n v="201040506"/>
    <s v="Facturas por Confirmar"/>
    <n v="695.71"/>
    <m/>
    <n v="695.71"/>
    <x v="2"/>
    <n v="1411027.98"/>
    <s v="695.71"/>
    <s v="jcortiz"/>
    <n v="0"/>
    <m/>
    <m/>
    <m/>
    <m/>
    <m/>
  </r>
  <r>
    <x v="0"/>
    <x v="0"/>
    <d v="2022-12-22T00:00:00"/>
    <d v="2022-12-22T00:00:00"/>
    <s v="FE001"/>
    <s v="NE 100016168"/>
    <n v="110633"/>
    <s v="Entregas - CN1791263308001"/>
    <m/>
    <s v="QUITO"/>
    <n v="51010101"/>
    <s v="Costo de ventas Quito"/>
    <m/>
    <n v="845.24"/>
    <n v="-845.24"/>
    <x v="1"/>
    <n v="1410182.74"/>
    <s v="-845.24"/>
    <s v="jcortiz"/>
    <n v="0"/>
    <m/>
    <s v="QUITO-PICHINCHA"/>
    <m/>
    <m/>
    <m/>
  </r>
  <r>
    <x v="0"/>
    <x v="0"/>
    <d v="2022-12-22T00:00:00"/>
    <d v="2022-12-22T00:00:00"/>
    <s v="FE001"/>
    <s v="NE 100016169"/>
    <n v="110635"/>
    <s v="Entregas - CN1791263308001"/>
    <m/>
    <s v="QUITO"/>
    <n v="51010101"/>
    <s v="Costo de ventas Quito"/>
    <m/>
    <n v="727.11"/>
    <n v="-727.11"/>
    <x v="1"/>
    <n v="1409455.63"/>
    <s v="-727.11"/>
    <s v="jcortiz"/>
    <n v="0"/>
    <m/>
    <s v="QUITO-PICHINCHA"/>
    <m/>
    <m/>
    <m/>
  </r>
  <r>
    <x v="0"/>
    <x v="0"/>
    <d v="2022-12-22T00:00:00"/>
    <d v="2022-12-22T00:00:00"/>
    <s v="FE001"/>
    <s v="NE 100016170"/>
    <n v="110638"/>
    <s v="Entregas - CN1791263308001"/>
    <m/>
    <s v="QUITO"/>
    <n v="51010101"/>
    <s v="Costo de ventas Quito"/>
    <m/>
    <n v="177.78"/>
    <n v="-177.78"/>
    <x v="1"/>
    <n v="1409277.85"/>
    <s v="-177.78"/>
    <s v="jcortiz"/>
    <n v="0"/>
    <m/>
    <s v="QUITO-PICHINCHA"/>
    <m/>
    <m/>
    <m/>
  </r>
  <r>
    <x v="0"/>
    <x v="0"/>
    <d v="2022-12-22T00:00:00"/>
    <d v="2022-12-22T00:00:00"/>
    <s v="Primario"/>
    <s v="EP 6526"/>
    <n v="110649"/>
    <s v="Pedido de entrada de mercancías - PN1717177495001"/>
    <m/>
    <m/>
    <n v="201040506"/>
    <s v="Facturas por Confirmar"/>
    <n v="472"/>
    <m/>
    <n v="472"/>
    <x v="2"/>
    <n v="1409749.85"/>
    <s v="472.00"/>
    <s v="jcortiz"/>
    <n v="0"/>
    <m/>
    <m/>
    <m/>
    <m/>
    <m/>
  </r>
  <r>
    <x v="0"/>
    <x v="0"/>
    <d v="2022-12-22T00:00:00"/>
    <d v="2022-12-22T00:00:00"/>
    <s v="Primario"/>
    <s v="EP 6527"/>
    <n v="110651"/>
    <s v="Pedido de entrada de mercancías - PN0990129185001"/>
    <m/>
    <m/>
    <n v="201040506"/>
    <s v="Facturas por Confirmar"/>
    <n v="860"/>
    <m/>
    <n v="860"/>
    <x v="2"/>
    <n v="1410609.85"/>
    <s v="860.00"/>
    <s v="jcortiz"/>
    <n v="0"/>
    <m/>
    <m/>
    <m/>
    <m/>
    <m/>
  </r>
  <r>
    <x v="0"/>
    <x v="0"/>
    <d v="2022-12-22T00:00:00"/>
    <d v="2022-12-22T00:00:00"/>
    <s v="FE001"/>
    <s v="NE 100016171"/>
    <n v="110652"/>
    <s v="Entregas - CN1791263308001"/>
    <m/>
    <s v="QUITO"/>
    <n v="51010101"/>
    <s v="Costo de ventas Quito"/>
    <m/>
    <n v="860"/>
    <n v="-860"/>
    <x v="1"/>
    <n v="1409749.85"/>
    <s v="-860.00"/>
    <s v="jcortiz"/>
    <n v="0"/>
    <m/>
    <s v="QUITO-PICHINCHA"/>
    <m/>
    <m/>
    <m/>
  </r>
  <r>
    <x v="0"/>
    <x v="0"/>
    <d v="2022-12-22T00:00:00"/>
    <d v="2022-12-22T00:00:00"/>
    <s v="FE001"/>
    <s v="NE 100016172"/>
    <n v="110653"/>
    <s v="Entregas - CN1791263308001"/>
    <m/>
    <s v="QUITO"/>
    <n v="51010101"/>
    <s v="Costo de ventas Quito"/>
    <m/>
    <n v="472"/>
    <n v="-472"/>
    <x v="1"/>
    <n v="1409277.85"/>
    <s v="-472.00"/>
    <s v="jcortiz"/>
    <n v="0"/>
    <m/>
    <s v="QUITO-PICHINCHA"/>
    <m/>
    <m/>
    <m/>
  </r>
  <r>
    <x v="0"/>
    <x v="0"/>
    <d v="2022-12-22T00:00:00"/>
    <d v="2022-12-22T00:00:00"/>
    <s v="FE001"/>
    <s v="NE 100016174"/>
    <n v="110658"/>
    <s v="Entregas - CN1791834399001"/>
    <m/>
    <s v="QUITO"/>
    <n v="51010101"/>
    <s v="Costo de ventas Quito"/>
    <m/>
    <n v="226.71"/>
    <n v="-226.71"/>
    <x v="1"/>
    <n v="1409051.14"/>
    <s v="-226.71"/>
    <s v="jcortiz"/>
    <n v="0"/>
    <m/>
    <s v="QUITO-PICHINCHA"/>
    <m/>
    <m/>
    <m/>
  </r>
  <r>
    <x v="0"/>
    <x v="0"/>
    <d v="2022-12-22T00:00:00"/>
    <d v="2022-12-22T00:00:00"/>
    <s v="Primario"/>
    <s v="EP 6529"/>
    <n v="110660"/>
    <s v="Pedido de entrada de mercancías - PN1802461440001"/>
    <m/>
    <m/>
    <n v="201040506"/>
    <s v="Facturas por Confirmar"/>
    <n v="3100"/>
    <m/>
    <n v="3100"/>
    <x v="2"/>
    <n v="1412151.14"/>
    <s v="3100.00"/>
    <s v="jcortiz"/>
    <n v="0"/>
    <m/>
    <m/>
    <m/>
    <m/>
    <m/>
  </r>
  <r>
    <x v="0"/>
    <x v="0"/>
    <d v="2022-12-22T00:00:00"/>
    <d v="2022-12-22T00:00:00"/>
    <s v="FE001"/>
    <s v="NE 100016175"/>
    <n v="110661"/>
    <s v="Entregas - CN1791263308001"/>
    <m/>
    <s v="QUITO"/>
    <n v="51010101"/>
    <s v="Costo de ventas Quito"/>
    <m/>
    <n v="3100"/>
    <n v="-3100"/>
    <x v="1"/>
    <n v="1409051.14"/>
    <s v="-3100.00"/>
    <s v="jcortiz"/>
    <n v="0"/>
    <m/>
    <s v="QUITO-PICHINCHA"/>
    <m/>
    <m/>
    <m/>
  </r>
  <r>
    <x v="0"/>
    <x v="0"/>
    <d v="2022-12-22T00:00:00"/>
    <d v="2022-12-22T00:00:00"/>
    <s v="Primario"/>
    <s v="EP 6530"/>
    <n v="110666"/>
    <s v="Pedido de entrada de mercancías - PN0992124628001"/>
    <m/>
    <m/>
    <n v="201040506"/>
    <s v="Facturas por Confirmar"/>
    <n v="216"/>
    <m/>
    <n v="216"/>
    <x v="2"/>
    <n v="1409267.14"/>
    <s v="216.00"/>
    <s v="jcortiz"/>
    <n v="0"/>
    <m/>
    <m/>
    <m/>
    <m/>
    <m/>
  </r>
  <r>
    <x v="0"/>
    <x v="0"/>
    <d v="2022-12-22T00:00:00"/>
    <d v="2022-12-22T00:00:00"/>
    <s v="FE001"/>
    <s v="NE 100016176"/>
    <n v="110667"/>
    <s v="Entregas - CN1793121225001"/>
    <m/>
    <s v="QUITO"/>
    <n v="51010101"/>
    <s v="Costo de ventas Quito"/>
    <m/>
    <n v="216"/>
    <n v="-216"/>
    <x v="1"/>
    <n v="1409051.14"/>
    <s v="-216.00"/>
    <s v="jcortiz"/>
    <n v="0"/>
    <m/>
    <s v="QUITO-PICHINCHA"/>
    <m/>
    <m/>
    <m/>
  </r>
  <r>
    <x v="0"/>
    <x v="0"/>
    <d v="2022-12-23T00:00:00"/>
    <d v="2022-12-23T00:00:00"/>
    <s v="FE001"/>
    <s v="NE 100016177"/>
    <n v="110668"/>
    <s v="Entregas - CN0590060933001"/>
    <m/>
    <s v="QUITO"/>
    <n v="51010101"/>
    <s v="Costo de ventas Quito"/>
    <m/>
    <n v="14.2"/>
    <n v="-14.2"/>
    <x v="1"/>
    <n v="1409036.94"/>
    <s v="-14.20"/>
    <s v="jcortiz"/>
    <n v="0"/>
    <m/>
    <s v="QUITO-PICHINCHA"/>
    <m/>
    <m/>
    <m/>
  </r>
  <r>
    <x v="0"/>
    <x v="0"/>
    <d v="2022-12-23T00:00:00"/>
    <d v="2022-12-23T00:00:00"/>
    <s v="FE001"/>
    <s v="NE 100016178"/>
    <n v="110675"/>
    <s v="Entregas - CN2101187900001"/>
    <m/>
    <s v="QUITO"/>
    <n v="51010101"/>
    <s v="Costo de ventas Quito"/>
    <m/>
    <n v="303.31"/>
    <n v="-303.31"/>
    <x v="1"/>
    <n v="1408733.63"/>
    <s v="-303.31"/>
    <s v="jcortiz"/>
    <n v="0"/>
    <m/>
    <s v="QUITO-PICHINCHA"/>
    <m/>
    <m/>
    <m/>
  </r>
  <r>
    <x v="0"/>
    <x v="0"/>
    <d v="2022-12-27T00:00:00"/>
    <d v="2022-12-27T00:00:00"/>
    <s v="FE001"/>
    <s v="NE 100016179"/>
    <n v="110685"/>
    <s v="Entregas - CN1793121225001"/>
    <m/>
    <s v="QUITO"/>
    <n v="51010101"/>
    <s v="Costo de ventas Quito"/>
    <m/>
    <n v="27.77"/>
    <n v="-27.77"/>
    <x v="1"/>
    <n v="1408705.86"/>
    <s v="-27.77"/>
    <s v="jcortiz"/>
    <n v="0"/>
    <m/>
    <s v="QUITO-PICHINCHA"/>
    <m/>
    <m/>
    <m/>
  </r>
  <r>
    <x v="0"/>
    <x v="0"/>
    <d v="2022-12-27T00:00:00"/>
    <d v="2022-12-27T00:00:00"/>
    <s v="FE001"/>
    <s v="NE 100016183"/>
    <n v="110728"/>
    <s v="Entregas - CN1792005760001"/>
    <m/>
    <s v="QUITO"/>
    <n v="51010101"/>
    <s v="Costo de ventas Quito"/>
    <m/>
    <n v="62.79"/>
    <n v="-62.79"/>
    <x v="1"/>
    <n v="1408643.07"/>
    <s v="-62.79"/>
    <s v="jcortiz"/>
    <n v="0"/>
    <m/>
    <s v="QUITO-PICHINCHA"/>
    <m/>
    <m/>
    <m/>
  </r>
  <r>
    <x v="0"/>
    <x v="0"/>
    <d v="2022-12-27T00:00:00"/>
    <d v="2022-12-27T00:00:00"/>
    <s v="FE001"/>
    <s v="IM 100003488"/>
    <n v="110734"/>
    <s v="Traslados - CN1792079160001"/>
    <m/>
    <m/>
    <n v="101060408"/>
    <s v="Inventario de prod. term. y mercad. en Bodega importaciones"/>
    <n v="19901.849999999999"/>
    <m/>
    <n v="19901.849999999999"/>
    <x v="3"/>
    <n v="1428544.92"/>
    <s v="19901.85"/>
    <s v="jcortiz"/>
    <n v="0"/>
    <m/>
    <m/>
    <m/>
    <m/>
    <m/>
  </r>
  <r>
    <x v="0"/>
    <x v="0"/>
    <d v="2022-12-27T00:00:00"/>
    <d v="2022-12-27T00:00:00"/>
    <s v="FE001"/>
    <s v="IM 100003489"/>
    <n v="110736"/>
    <s v="Traslados - CN1792079160001"/>
    <m/>
    <m/>
    <n v="101060402"/>
    <s v="Inventario de prod. term. y mercad. en Bodega BULLSYPPLY Coca"/>
    <m/>
    <n v="31344.080000000002"/>
    <n v="-31344.080000000002"/>
    <x v="3"/>
    <n v="1397200.84"/>
    <s v="-31344.08"/>
    <s v="jcortiz"/>
    <n v="0"/>
    <m/>
    <m/>
    <m/>
    <m/>
    <m/>
  </r>
  <r>
    <x v="0"/>
    <x v="0"/>
    <d v="2022-12-27T00:00:00"/>
    <d v="2022-12-27T00:00:00"/>
    <s v="FE001"/>
    <s v="IM 100003490"/>
    <n v="110737"/>
    <s v="Traslados -"/>
    <m/>
    <m/>
    <n v="101060402"/>
    <s v="Inventario de prod. term. y mercad. en Bodega BULLSYPPLY Coca"/>
    <n v="31344.080000000002"/>
    <m/>
    <n v="31344.080000000002"/>
    <x v="3"/>
    <n v="1428544.92"/>
    <s v="31344.08"/>
    <s v="jcortiz"/>
    <n v="0"/>
    <m/>
    <m/>
    <m/>
    <m/>
    <m/>
  </r>
  <r>
    <x v="0"/>
    <x v="0"/>
    <d v="2022-12-27T00:00:00"/>
    <d v="2022-12-27T00:00:00"/>
    <s v="Primario"/>
    <s v="EP 6534"/>
    <n v="110757"/>
    <s v="Pedido de entrada de mercancías - PN1721795670001"/>
    <m/>
    <m/>
    <n v="201040506"/>
    <s v="Facturas por Confirmar"/>
    <n v="16240"/>
    <m/>
    <n v="16240"/>
    <x v="2"/>
    <n v="1444784.92"/>
    <s v="16240.00"/>
    <s v="jcortiz"/>
    <n v="0"/>
    <m/>
    <m/>
    <m/>
    <m/>
    <m/>
  </r>
  <r>
    <x v="0"/>
    <x v="0"/>
    <d v="2022-12-27T00:00:00"/>
    <d v="2022-12-27T00:00:00"/>
    <s v="Primario"/>
    <s v="EP 6535"/>
    <n v="110760"/>
    <s v="Pedido de entrada de mercancías - PN1708725765001"/>
    <m/>
    <m/>
    <n v="201040506"/>
    <s v="Facturas por Confirmar"/>
    <n v="357.72"/>
    <m/>
    <n v="357.72"/>
    <x v="2"/>
    <n v="1445142.64"/>
    <s v="357.72"/>
    <s v="jcortiz"/>
    <n v="0"/>
    <m/>
    <m/>
    <m/>
    <m/>
    <m/>
  </r>
  <r>
    <x v="0"/>
    <x v="0"/>
    <d v="2022-12-27T00:00:00"/>
    <d v="2022-12-27T00:00:00"/>
    <s v="FE001"/>
    <s v="NE 100016185"/>
    <n v="110761"/>
    <s v="Entregas - CN1791263308001"/>
    <m/>
    <s v="QUITO"/>
    <n v="51010101"/>
    <s v="Costo de ventas Quito"/>
    <m/>
    <n v="357.72"/>
    <n v="-357.72"/>
    <x v="1"/>
    <n v="1444784.92"/>
    <s v="-357.72"/>
    <s v="jcortiz"/>
    <n v="0"/>
    <m/>
    <s v="QUITO-PICHINCHA"/>
    <m/>
    <m/>
    <m/>
  </r>
  <r>
    <x v="0"/>
    <x v="0"/>
    <d v="2022-12-27T00:00:00"/>
    <d v="2022-12-27T00:00:00"/>
    <s v="FE001"/>
    <s v="NE 100016186"/>
    <n v="110763"/>
    <s v="Entregas - CN1791263308001"/>
    <m/>
    <s v="QUITO"/>
    <n v="51010101"/>
    <s v="Costo de ventas Quito"/>
    <m/>
    <n v="70"/>
    <n v="-70"/>
    <x v="1"/>
    <n v="1444714.92"/>
    <s v="-70.00"/>
    <s v="jcortiz"/>
    <n v="0"/>
    <m/>
    <s v="QUITO-PICHINCHA"/>
    <m/>
    <m/>
    <m/>
  </r>
  <r>
    <x v="0"/>
    <x v="0"/>
    <d v="2022-12-27T00:00:00"/>
    <d v="2022-12-27T00:00:00"/>
    <s v="Primario"/>
    <s v="EP 6536"/>
    <n v="110769"/>
    <s v="Pedido de entrada de mercancías - PN1102853817001"/>
    <m/>
    <m/>
    <n v="201040506"/>
    <s v="Facturas por Confirmar"/>
    <n v="44741.5"/>
    <m/>
    <n v="44741.5"/>
    <x v="2"/>
    <n v="1489456.42"/>
    <s v="44741.50"/>
    <s v="jcortiz"/>
    <n v="0"/>
    <m/>
    <m/>
    <m/>
    <m/>
    <m/>
  </r>
  <r>
    <x v="0"/>
    <x v="0"/>
    <d v="2022-12-27T00:00:00"/>
    <d v="2022-12-27T00:00:00"/>
    <s v="FE001"/>
    <s v="NE 100016188"/>
    <n v="110772"/>
    <s v="Entregas - CN1791403916001"/>
    <m/>
    <s v="QUITO"/>
    <n v="51010101"/>
    <s v="Costo de ventas Quito"/>
    <m/>
    <n v="104.93"/>
    <n v="-104.93"/>
    <x v="1"/>
    <n v="1489351.49"/>
    <s v="-104.93"/>
    <s v="jcortiz"/>
    <n v="0"/>
    <m/>
    <s v="QUITO-PICHINCHA"/>
    <m/>
    <m/>
    <m/>
  </r>
  <r>
    <x v="0"/>
    <x v="0"/>
    <d v="2022-12-27T00:00:00"/>
    <d v="2022-12-27T00:00:00"/>
    <s v="Primario"/>
    <s v="DV 242"/>
    <n v="110777"/>
    <s v="Devoluciones - CN1791263308001"/>
    <m/>
    <s v="QUITO"/>
    <n v="51010101"/>
    <s v="Costo de ventas Quito"/>
    <n v="285.60000000000002"/>
    <m/>
    <n v="285.60000000000002"/>
    <x v="1"/>
    <n v="1489637.09"/>
    <s v="285.60"/>
    <s v="ancueva"/>
    <n v="0"/>
    <m/>
    <s v="QUITO-PICHINCHA"/>
    <m/>
    <m/>
    <m/>
  </r>
  <r>
    <x v="0"/>
    <x v="0"/>
    <d v="2022-12-27T00:00:00"/>
    <d v="2022-12-27T00:00:00"/>
    <s v="FE001"/>
    <s v="IM 100003491"/>
    <n v="110782"/>
    <s v="Traslados - CN1792079160001"/>
    <m/>
    <m/>
    <n v="101060408"/>
    <s v="Inventario de prod. term. y mercad. en Bodega importaciones"/>
    <n v="87431.93"/>
    <m/>
    <n v="87431.93"/>
    <x v="3"/>
    <n v="1577069.02"/>
    <s v="87431.93"/>
    <s v="jcortiz"/>
    <n v="0"/>
    <m/>
    <m/>
    <m/>
    <m/>
    <m/>
  </r>
  <r>
    <x v="0"/>
    <x v="0"/>
    <d v="2022-12-27T00:00:00"/>
    <d v="2022-12-27T00:00:00"/>
    <s v="FE001"/>
    <s v="IM 100003492"/>
    <n v="110784"/>
    <s v="Traslados - CN1792079160001"/>
    <m/>
    <m/>
    <n v="101060402"/>
    <s v="Inventario de prod. term. y mercad. en Bodega BULLSYPPLY Coca"/>
    <m/>
    <n v="87431.93"/>
    <n v="-87431.93"/>
    <x v="3"/>
    <n v="1489637.09"/>
    <s v="-87431.93"/>
    <s v="jcortiz"/>
    <n v="0"/>
    <m/>
    <m/>
    <m/>
    <m/>
    <m/>
  </r>
  <r>
    <x v="0"/>
    <x v="0"/>
    <d v="2022-12-27T00:00:00"/>
    <d v="2022-12-27T00:00:00"/>
    <s v="Primario"/>
    <s v="EP 6537"/>
    <n v="110788"/>
    <s v="Pedido de entrada de mercancías - PN1390060757001"/>
    <m/>
    <m/>
    <n v="201040506"/>
    <s v="Facturas por Confirmar"/>
    <n v="889.92"/>
    <m/>
    <n v="889.92"/>
    <x v="2"/>
    <n v="1490527.01"/>
    <s v="889.92"/>
    <s v="jcortiz"/>
    <n v="0"/>
    <m/>
    <m/>
    <m/>
    <m/>
    <m/>
  </r>
  <r>
    <x v="0"/>
    <x v="0"/>
    <d v="2022-12-27T00:00:00"/>
    <d v="2022-12-27T00:00:00"/>
    <s v="FE001"/>
    <s v="NE 100016189"/>
    <n v="110789"/>
    <s v="Entregas - CN1791263308001"/>
    <m/>
    <s v="QUITO"/>
    <n v="51010101"/>
    <s v="Costo de ventas Quito"/>
    <m/>
    <n v="889.92"/>
    <n v="-889.92"/>
    <x v="1"/>
    <n v="1489637.09"/>
    <s v="-889.92"/>
    <s v="jcortiz"/>
    <n v="0"/>
    <m/>
    <s v="QUITO-PICHINCHA"/>
    <m/>
    <m/>
    <m/>
  </r>
  <r>
    <x v="0"/>
    <x v="0"/>
    <d v="2022-12-27T00:00:00"/>
    <d v="2022-12-27T00:00:00"/>
    <s v="FE001"/>
    <s v="NE 100016190"/>
    <n v="110791"/>
    <s v="Entregas - CN1722882634001"/>
    <m/>
    <s v="QUITO"/>
    <n v="51010101"/>
    <s v="Costo de ventas Quito"/>
    <m/>
    <n v="1130.5899999999999"/>
    <n v="-1130.5899999999999"/>
    <x v="1"/>
    <n v="1488506.5"/>
    <s v="-1130.59"/>
    <s v="jcortiz"/>
    <n v="0"/>
    <m/>
    <s v="QUITO-PICHINCHA"/>
    <m/>
    <m/>
    <m/>
  </r>
  <r>
    <x v="0"/>
    <x v="0"/>
    <d v="2022-12-27T00:00:00"/>
    <d v="2022-12-27T00:00:00"/>
    <s v="Primario"/>
    <s v="SM 582"/>
    <n v="110792"/>
    <s v="Salida de mercancías"/>
    <m/>
    <s v="QUITO"/>
    <n v="51010101"/>
    <s v="Costo de ventas Quito"/>
    <m/>
    <n v="545.5"/>
    <n v="-545.5"/>
    <x v="1"/>
    <n v="1487961"/>
    <s v="-545.50"/>
    <s v="atayupa"/>
    <n v="0"/>
    <m/>
    <s v="QUITO-PICHINCHA"/>
    <m/>
    <m/>
    <m/>
  </r>
  <r>
    <x v="0"/>
    <x v="0"/>
    <d v="2022-12-27T00:00:00"/>
    <d v="2022-12-27T00:00:00"/>
    <s v="Anula"/>
    <s v="EP 200457"/>
    <n v="111116"/>
    <s v="Pedido de entrada de mercancías - Cancelación - PN"/>
    <m/>
    <m/>
    <n v="201040506"/>
    <s v="Facturas por Confirmar"/>
    <m/>
    <n v="44741.5"/>
    <n v="-44741.5"/>
    <x v="2"/>
    <n v="1443219.5"/>
    <s v="-44741.50"/>
    <s v="jcortiz"/>
    <n v="0"/>
    <m/>
    <m/>
    <m/>
    <m/>
    <m/>
  </r>
  <r>
    <x v="0"/>
    <x v="0"/>
    <d v="2022-12-28T00:00:00"/>
    <d v="2022-12-28T00:00:00"/>
    <s v="FE001"/>
    <s v="NE 100016192"/>
    <n v="110794"/>
    <s v="Entregas - CN1790790967001"/>
    <m/>
    <s v="QUITO"/>
    <n v="51010101"/>
    <s v="Costo de ventas Quito"/>
    <m/>
    <n v="16240"/>
    <n v="-16240"/>
    <x v="1"/>
    <n v="1426979.5"/>
    <s v="-16240.00"/>
    <s v="jcortiz"/>
    <n v="0"/>
    <m/>
    <s v="QUITO-PICHINCHA"/>
    <m/>
    <m/>
    <m/>
  </r>
  <r>
    <x v="0"/>
    <x v="0"/>
    <d v="2022-12-28T00:00:00"/>
    <d v="2022-12-28T00:00:00"/>
    <s v="FE001"/>
    <s v="NE 100016193"/>
    <n v="110795"/>
    <s v="Entregas - CN1791847776001"/>
    <m/>
    <s v="QUITO"/>
    <n v="51010101"/>
    <s v="Costo de ventas Quito"/>
    <m/>
    <n v="995.4"/>
    <n v="-995.4"/>
    <x v="1"/>
    <n v="1425984.1"/>
    <s v="-995.40"/>
    <s v="jcortiz"/>
    <n v="0"/>
    <m/>
    <s v="QUITO-PICHINCHA"/>
    <m/>
    <m/>
    <m/>
  </r>
  <r>
    <x v="0"/>
    <x v="0"/>
    <d v="2022-12-28T00:00:00"/>
    <d v="2022-12-28T00:00:00"/>
    <s v="FE001"/>
    <s v="NE 100016194"/>
    <n v="110799"/>
    <s v="Entregas - CN1791259505001"/>
    <m/>
    <s v="QUITO"/>
    <n v="51010101"/>
    <s v="Costo de ventas Quito"/>
    <m/>
    <n v="431.36"/>
    <n v="-431.36"/>
    <x v="1"/>
    <n v="1425552.74"/>
    <s v="-431.36"/>
    <s v="jcortiz"/>
    <n v="0"/>
    <m/>
    <s v="QUITO-PICHINCHA"/>
    <m/>
    <m/>
    <m/>
  </r>
  <r>
    <x v="0"/>
    <x v="0"/>
    <d v="2022-12-28T00:00:00"/>
    <d v="2022-12-28T00:00:00"/>
    <s v="FE001"/>
    <s v="NE 100016195"/>
    <n v="110802"/>
    <s v="Entregas - CN1791263308001"/>
    <m/>
    <s v="QUITO"/>
    <n v="51010101"/>
    <s v="Costo de ventas Quito"/>
    <m/>
    <n v="127.13"/>
    <n v="-127.13"/>
    <x v="1"/>
    <n v="1425425.61"/>
    <s v="-127.13"/>
    <s v="jcortiz"/>
    <n v="0"/>
    <m/>
    <s v="QUITO-PICHINCHA"/>
    <m/>
    <m/>
    <m/>
  </r>
  <r>
    <x v="0"/>
    <x v="0"/>
    <d v="2022-12-28T00:00:00"/>
    <d v="2022-12-28T00:00:00"/>
    <s v="FE001"/>
    <s v="NE 100016197"/>
    <n v="110804"/>
    <s v="Entregas - CN1793121225001"/>
    <m/>
    <s v="QUITO"/>
    <n v="51010101"/>
    <s v="Costo de ventas Quito"/>
    <m/>
    <n v="1921.48"/>
    <n v="-1921.48"/>
    <x v="1"/>
    <n v="1423504.13"/>
    <s v="-1921.48"/>
    <s v="jcortiz"/>
    <n v="0"/>
    <m/>
    <s v="QUITO-PICHINCHA"/>
    <m/>
    <m/>
    <m/>
  </r>
  <r>
    <x v="0"/>
    <x v="0"/>
    <d v="2022-12-28T00:00:00"/>
    <d v="2022-12-28T00:00:00"/>
    <s v="FE001"/>
    <s v="IM 100003493"/>
    <n v="110805"/>
    <s v="Traslados - CN1792079160001"/>
    <m/>
    <m/>
    <n v="101060402"/>
    <s v="Inventario de prod. term. y mercad. en Bodega BULLSYPPLY Coca"/>
    <m/>
    <n v="6216.7"/>
    <n v="-6216.7"/>
    <x v="3"/>
    <n v="1417287.43"/>
    <s v="-6216.70"/>
    <s v="jcortiz"/>
    <n v="0"/>
    <m/>
    <m/>
    <m/>
    <m/>
    <m/>
  </r>
  <r>
    <x v="0"/>
    <x v="0"/>
    <d v="2022-12-28T00:00:00"/>
    <d v="2022-12-28T00:00:00"/>
    <s v="FE001"/>
    <s v="NE 100016199"/>
    <n v="110808"/>
    <s v="Entregas - CN1792417910001"/>
    <m/>
    <s v="QUITO"/>
    <n v="51010101"/>
    <s v="Costo de ventas Quito"/>
    <m/>
    <n v="1092.43"/>
    <n v="-1092.43"/>
    <x v="1"/>
    <n v="1416195"/>
    <s v="-1092.43"/>
    <s v="jcortiz"/>
    <n v="0"/>
    <m/>
    <s v="QUITO-PICHINCHA"/>
    <m/>
    <m/>
    <m/>
  </r>
  <r>
    <x v="0"/>
    <x v="0"/>
    <d v="2022-12-28T00:00:00"/>
    <d v="2022-12-28T00:00:00"/>
    <s v="FE001"/>
    <s v="NE 100016200"/>
    <n v="110809"/>
    <s v="Entregas - CN1792970717001"/>
    <m/>
    <s v="QUITO"/>
    <n v="51010101"/>
    <s v="Costo de ventas Quito"/>
    <m/>
    <n v="49.05"/>
    <n v="-49.05"/>
    <x v="1"/>
    <n v="1416145.95"/>
    <s v="-49.05"/>
    <s v="jcortiz"/>
    <n v="0"/>
    <m/>
    <s v="QUITO-PICHINCHA"/>
    <m/>
    <m/>
    <m/>
  </r>
  <r>
    <x v="0"/>
    <x v="0"/>
    <d v="2022-12-28T00:00:00"/>
    <d v="2022-12-28T00:00:00"/>
    <s v="FE001"/>
    <s v="IM 100003494"/>
    <n v="110838"/>
    <s v="Traslados - CN1792079160001"/>
    <m/>
    <m/>
    <n v="101060402"/>
    <s v="Inventario de prod. term. y mercad. en Bodega BULLSYPPLY Coca"/>
    <n v="223.47"/>
    <m/>
    <n v="223.47"/>
    <x v="3"/>
    <n v="1416369.42"/>
    <s v="223.47"/>
    <s v="ancueva"/>
    <n v="0"/>
    <m/>
    <m/>
    <m/>
    <m/>
    <m/>
  </r>
  <r>
    <x v="0"/>
    <x v="0"/>
    <d v="2022-12-28T00:00:00"/>
    <d v="2022-12-28T00:00:00"/>
    <s v="FE001"/>
    <s v="NE 100016202"/>
    <n v="110845"/>
    <s v="Entregas - CN0502309487001"/>
    <m/>
    <s v="QUITO"/>
    <n v="51010101"/>
    <s v="Costo de ventas Quito"/>
    <m/>
    <n v="7.65"/>
    <n v="-7.65"/>
    <x v="1"/>
    <n v="1416361.77"/>
    <s v="-7.65"/>
    <s v="jcortiz"/>
    <n v="0"/>
    <m/>
    <s v="QUITO-PICHINCHA"/>
    <m/>
    <m/>
    <m/>
  </r>
  <r>
    <x v="0"/>
    <x v="0"/>
    <d v="2022-12-28T00:00:00"/>
    <d v="2022-12-28T00:00:00"/>
    <s v="FE001"/>
    <s v="NE 100016203"/>
    <n v="110847"/>
    <s v="Entregas - CN1791263308001"/>
    <m/>
    <s v="QUITO"/>
    <n v="51010101"/>
    <s v="Costo de ventas Quito"/>
    <m/>
    <n v="29674.3"/>
    <n v="-29674.3"/>
    <x v="1"/>
    <n v="1386687.47"/>
    <s v="-29674.30"/>
    <s v="jcortiz"/>
    <n v="0"/>
    <m/>
    <s v="QUITO-PICHINCHA"/>
    <m/>
    <m/>
    <m/>
  </r>
  <r>
    <x v="0"/>
    <x v="0"/>
    <d v="2022-12-28T00:00:00"/>
    <d v="2022-12-28T00:00:00"/>
    <s v="FE001"/>
    <s v="NE 100016204"/>
    <n v="110848"/>
    <s v="Entregas - CN1791263308001"/>
    <m/>
    <s v="QUITO"/>
    <n v="51010101"/>
    <s v="Costo de ventas Quito"/>
    <m/>
    <n v="14615.7"/>
    <n v="-14615.7"/>
    <x v="1"/>
    <n v="1372071.77"/>
    <s v="-14615.70"/>
    <s v="jcortiz"/>
    <n v="0"/>
    <m/>
    <s v="QUITO-PICHINCHA"/>
    <m/>
    <m/>
    <m/>
  </r>
  <r>
    <x v="0"/>
    <x v="0"/>
    <d v="2022-12-28T00:00:00"/>
    <d v="2022-12-28T00:00:00"/>
    <s v="Primario"/>
    <s v="EP 6538"/>
    <n v="110859"/>
    <s v="Pedido de entrada de mercancías - PN1790886824001"/>
    <m/>
    <m/>
    <n v="201040506"/>
    <s v="Facturas por Confirmar"/>
    <n v="2268"/>
    <m/>
    <n v="2268"/>
    <x v="2"/>
    <n v="1374339.77"/>
    <s v="2268.00"/>
    <s v="jcortiz"/>
    <n v="0"/>
    <m/>
    <m/>
    <m/>
    <m/>
    <m/>
  </r>
  <r>
    <x v="0"/>
    <x v="0"/>
    <d v="2022-12-28T00:00:00"/>
    <d v="2022-12-28T00:00:00"/>
    <s v="FE001"/>
    <s v="NE 100016207"/>
    <n v="110861"/>
    <s v="Entregas - CN1791847776001"/>
    <m/>
    <s v="QUITO"/>
    <n v="51010101"/>
    <s v="Costo de ventas Quito"/>
    <m/>
    <n v="2268"/>
    <n v="-2268"/>
    <x v="1"/>
    <n v="1372071.77"/>
    <s v="-2268.00"/>
    <s v="jcortiz"/>
    <n v="0"/>
    <m/>
    <s v="QUITO-PICHINCHA"/>
    <m/>
    <m/>
    <m/>
  </r>
  <r>
    <x v="0"/>
    <x v="0"/>
    <d v="2022-12-28T00:00:00"/>
    <d v="2022-12-28T00:00:00"/>
    <s v="FE001"/>
    <s v="NE 100016208"/>
    <n v="110865"/>
    <s v="Entregas - CN1102853817001"/>
    <m/>
    <s v="QUITO"/>
    <n v="51010101"/>
    <s v="Costo de ventas Quito"/>
    <m/>
    <n v="22.27"/>
    <n v="-22.27"/>
    <x v="1"/>
    <n v="1372049.5"/>
    <s v="-22.27"/>
    <s v="jcortiz"/>
    <n v="0"/>
    <m/>
    <s v="QUITO-PICHINCHA"/>
    <m/>
    <m/>
    <m/>
  </r>
  <r>
    <x v="0"/>
    <x v="0"/>
    <d v="2022-12-28T00:00:00"/>
    <d v="2022-12-28T00:00:00"/>
    <s v="FE001"/>
    <s v="IM 100003495"/>
    <n v="110878"/>
    <s v="Traslados - CN1792079160001"/>
    <m/>
    <m/>
    <n v="101060408"/>
    <s v="Inventario de prod. term. y mercad. en Bodega importaciones"/>
    <n v="3424.71"/>
    <m/>
    <n v="3424.71"/>
    <x v="3"/>
    <n v="1375474.21"/>
    <s v="3424.71"/>
    <s v="jcortiz"/>
    <n v="0"/>
    <m/>
    <m/>
    <m/>
    <m/>
    <m/>
  </r>
  <r>
    <x v="0"/>
    <x v="0"/>
    <d v="2022-12-28T00:00:00"/>
    <d v="2022-12-28T00:00:00"/>
    <s v="FE001"/>
    <s v="RC 100000692"/>
    <n v="110879"/>
    <s v="Notas de crédito clientes - CN1792417910001"/>
    <m/>
    <s v="QUITO"/>
    <s v="CN1792417910001"/>
    <s v="SANCHEZ CABRERA INGENIERIA &amp; CONSTRUCCION CIA .LTDA"/>
    <n v="1092.43"/>
    <m/>
    <n v="1092.43"/>
    <x v="4"/>
    <n v="1376566.64"/>
    <s v="1092.43"/>
    <s v="gcali"/>
    <n v="0"/>
    <m/>
    <s v="QUITO-PICHINCHA"/>
    <m/>
    <m/>
    <m/>
  </r>
  <r>
    <x v="0"/>
    <x v="0"/>
    <d v="2022-12-28T00:00:00"/>
    <d v="2022-12-28T00:00:00"/>
    <s v="FE001"/>
    <s v="IM 100003496"/>
    <n v="110880"/>
    <s v="Traslados - CN1792079160001"/>
    <m/>
    <m/>
    <n v="101060402"/>
    <s v="Inventario de prod. term. y mercad. en Bodega BULLSYPPLY Coca"/>
    <m/>
    <n v="3591.22"/>
    <n v="-3591.22"/>
    <x v="3"/>
    <n v="1372975.42"/>
    <s v="-3591.22"/>
    <s v="jcortiz"/>
    <n v="0"/>
    <m/>
    <m/>
    <m/>
    <m/>
    <m/>
  </r>
  <r>
    <x v="0"/>
    <x v="0"/>
    <d v="2022-12-28T00:00:00"/>
    <d v="2022-12-28T00:00:00"/>
    <s v="FE001"/>
    <s v="IM 100003497"/>
    <n v="110881"/>
    <s v="Traslados -"/>
    <m/>
    <m/>
    <n v="101060402"/>
    <s v="Inventario de prod. term. y mercad. en Bodega BULLSYPPLY Coca"/>
    <n v="3591.22"/>
    <m/>
    <n v="3591.22"/>
    <x v="3"/>
    <n v="1376566.64"/>
    <s v="3591.22"/>
    <s v="jcortiz"/>
    <n v="0"/>
    <m/>
    <m/>
    <m/>
    <m/>
    <m/>
  </r>
  <r>
    <x v="0"/>
    <x v="0"/>
    <d v="2022-12-28T00:00:00"/>
    <d v="2022-12-28T00:00:00"/>
    <s v="FE001"/>
    <s v="NE 100016257"/>
    <n v="111114"/>
    <s v="Entrega - Cancelación - CN1791263308001"/>
    <m/>
    <s v="QUITO"/>
    <n v="51010101"/>
    <s v="Costo de ventas Quito"/>
    <n v="29674.3"/>
    <m/>
    <n v="29674.3"/>
    <x v="1"/>
    <n v="1406240.94"/>
    <s v="29674.30"/>
    <s v="jcortiz"/>
    <n v="0"/>
    <m/>
    <s v="QUITO-PICHINCHA"/>
    <m/>
    <m/>
    <m/>
  </r>
  <r>
    <x v="0"/>
    <x v="0"/>
    <d v="2022-12-28T00:00:00"/>
    <d v="2022-12-28T00:00:00"/>
    <s v="FE001"/>
    <s v="NE 100016258"/>
    <n v="111115"/>
    <s v="Entrega - Cancelación - CN1791263308001"/>
    <m/>
    <s v="QUITO"/>
    <n v="51010101"/>
    <s v="Costo de ventas Quito"/>
    <n v="14615.7"/>
    <m/>
    <n v="14615.7"/>
    <x v="1"/>
    <n v="1420856.64"/>
    <s v="14615.70"/>
    <s v="jcortiz"/>
    <n v="0"/>
    <m/>
    <s v="QUITO-PICHINCHA"/>
    <m/>
    <m/>
    <m/>
  </r>
  <r>
    <x v="0"/>
    <x v="0"/>
    <d v="2022-12-29T00:00:00"/>
    <d v="2022-12-29T00:00:00"/>
    <s v="FE001"/>
    <s v="NE 100016210"/>
    <n v="110899"/>
    <s v="Entregas - CN1705637997001"/>
    <m/>
    <s v="QUITO"/>
    <n v="51010101"/>
    <s v="Costo de ventas Quito"/>
    <m/>
    <n v="134.69"/>
    <n v="-134.69"/>
    <x v="1"/>
    <n v="1420721.95"/>
    <s v="-134.69"/>
    <s v="jcortiz"/>
    <n v="0"/>
    <m/>
    <s v="QUITO-PICHINCHA"/>
    <m/>
    <m/>
    <m/>
  </r>
  <r>
    <x v="0"/>
    <x v="0"/>
    <d v="2022-12-29T00:00:00"/>
    <d v="2022-12-29T00:00:00"/>
    <s v="FE001"/>
    <s v="NE 100016211"/>
    <n v="110906"/>
    <s v="Entregas - CN1791259505001"/>
    <m/>
    <s v="QUITO"/>
    <n v="51010101"/>
    <s v="Costo de ventas Quito"/>
    <m/>
    <n v="539.58000000000004"/>
    <n v="-539.58000000000004"/>
    <x v="1"/>
    <n v="1420182.37"/>
    <s v="-539.58"/>
    <s v="jcortiz"/>
    <n v="0"/>
    <m/>
    <s v="QUITO-PICHINCHA"/>
    <m/>
    <m/>
    <m/>
  </r>
  <r>
    <x v="0"/>
    <x v="0"/>
    <d v="2022-12-29T00:00:00"/>
    <d v="2022-12-29T00:00:00"/>
    <s v="FE001"/>
    <s v="NE 100016212"/>
    <n v="110907"/>
    <s v="Entregas - CN1724177991"/>
    <m/>
    <s v="QUITO"/>
    <n v="51010101"/>
    <s v="Costo de ventas Quito"/>
    <m/>
    <n v="13.8"/>
    <n v="-13.8"/>
    <x v="1"/>
    <n v="1420168.57"/>
    <s v="-13.80"/>
    <s v="jcortiz"/>
    <n v="0"/>
    <m/>
    <s v="QUITO-PICHINCHA"/>
    <m/>
    <m/>
    <m/>
  </r>
  <r>
    <x v="0"/>
    <x v="0"/>
    <d v="2022-12-29T00:00:00"/>
    <d v="2022-12-29T00:00:00"/>
    <s v="FE001"/>
    <s v="NE 100016213"/>
    <n v="110909"/>
    <s v="Entregas - CN1792067111001"/>
    <m/>
    <s v="QUITO"/>
    <n v="51010101"/>
    <s v="Costo de ventas Quito"/>
    <m/>
    <n v="321.73"/>
    <n v="-321.73"/>
    <x v="1"/>
    <n v="1419846.84"/>
    <s v="-321.73"/>
    <s v="jcortiz"/>
    <n v="0"/>
    <m/>
    <s v="QUITO-PICHINCHA"/>
    <m/>
    <m/>
    <m/>
  </r>
  <r>
    <x v="0"/>
    <x v="0"/>
    <d v="2022-12-29T00:00:00"/>
    <d v="2022-12-29T00:00:00"/>
    <s v="FE001"/>
    <s v="NE 100016214"/>
    <n v="110926"/>
    <s v="Entregas - CN1793121225001"/>
    <m/>
    <s v="QUITO"/>
    <n v="51010101"/>
    <s v="Costo de ventas Quito"/>
    <m/>
    <n v="280.14999999999998"/>
    <n v="-280.14999999999998"/>
    <x v="1"/>
    <n v="1419566.69"/>
    <s v="-280.15"/>
    <s v="jcortiz"/>
    <n v="0"/>
    <m/>
    <s v="QUITO-PICHINCHA"/>
    <m/>
    <m/>
    <m/>
  </r>
  <r>
    <x v="0"/>
    <x v="0"/>
    <d v="2022-12-29T00:00:00"/>
    <d v="2022-12-29T00:00:00"/>
    <s v="FE001"/>
    <s v="IM 100003498"/>
    <n v="110947"/>
    <s v="Traslados - CN1792079160001"/>
    <m/>
    <m/>
    <n v="101060402"/>
    <s v="Inventario de prod. term. y mercad. en Bodega BULLSYPPLY Coca"/>
    <m/>
    <n v="1621.94"/>
    <n v="-1621.94"/>
    <x v="3"/>
    <n v="1417944.75"/>
    <s v="-1621.94"/>
    <s v="jcortiz"/>
    <n v="0"/>
    <m/>
    <m/>
    <m/>
    <m/>
    <m/>
  </r>
  <r>
    <x v="0"/>
    <x v="0"/>
    <d v="2022-12-29T00:00:00"/>
    <d v="2022-12-29T00:00:00"/>
    <s v="FE001"/>
    <s v="NE 100016217"/>
    <n v="110951"/>
    <s v="Entregas - CN1791847776001"/>
    <m/>
    <s v="QUITO"/>
    <n v="51010101"/>
    <s v="Costo de ventas Quito"/>
    <m/>
    <n v="223.47"/>
    <n v="-223.47"/>
    <x v="1"/>
    <n v="1417721.28"/>
    <s v="-223.47"/>
    <s v="jcortiz"/>
    <n v="0"/>
    <m/>
    <s v="QUITO-PICHINCHA"/>
    <m/>
    <m/>
    <m/>
  </r>
  <r>
    <x v="0"/>
    <x v="0"/>
    <d v="2022-12-29T00:00:00"/>
    <d v="2022-12-29T00:00:00"/>
    <s v="FE001"/>
    <s v="NE 100016218"/>
    <n v="110953"/>
    <s v="Entregas - CN1792417910001"/>
    <m/>
    <s v="QUITO"/>
    <n v="51010101"/>
    <s v="Costo de ventas Quito"/>
    <m/>
    <n v="1092.43"/>
    <n v="-1092.43"/>
    <x v="1"/>
    <n v="1416628.85"/>
    <s v="-1092.43"/>
    <s v="jcortiz"/>
    <n v="0"/>
    <m/>
    <s v="QUITO-PICHINCHA"/>
    <m/>
    <m/>
    <m/>
  </r>
  <r>
    <x v="0"/>
    <x v="0"/>
    <d v="2022-12-29T00:00:00"/>
    <d v="2022-12-29T00:00:00"/>
    <s v="FE001"/>
    <s v="NE 100016219"/>
    <n v="110959"/>
    <s v="Entregas - CN1725410037001"/>
    <m/>
    <s v="QUITO"/>
    <n v="51010101"/>
    <s v="Costo de ventas Quito"/>
    <m/>
    <n v="2.71"/>
    <n v="-2.71"/>
    <x v="1"/>
    <n v="1416626.14"/>
    <s v="-2.71"/>
    <s v="jcortiz"/>
    <n v="0"/>
    <m/>
    <s v="QUITO-PICHINCHA"/>
    <m/>
    <m/>
    <m/>
  </r>
  <r>
    <x v="0"/>
    <x v="0"/>
    <d v="2022-12-29T00:00:00"/>
    <d v="2022-12-29T00:00:00"/>
    <s v="FE001"/>
    <s v="NE 100016220"/>
    <n v="110960"/>
    <s v="Entregas - CN1711878445001"/>
    <m/>
    <s v="QUITO"/>
    <n v="51010101"/>
    <s v="Costo de ventas Quito"/>
    <m/>
    <n v="22.31"/>
    <n v="-22.31"/>
    <x v="1"/>
    <n v="1416603.83"/>
    <s v="-22.31"/>
    <s v="jcortiz"/>
    <n v="0"/>
    <m/>
    <s v="QUITO-PICHINCHA"/>
    <m/>
    <m/>
    <m/>
  </r>
  <r>
    <x v="0"/>
    <x v="0"/>
    <d v="2022-12-29T00:00:00"/>
    <d v="2022-12-29T00:00:00"/>
    <s v="FE001"/>
    <s v="IM 100003499"/>
    <n v="110967"/>
    <s v="Traslados - CN1792079160001"/>
    <m/>
    <m/>
    <n v="101060402"/>
    <s v="Inventario de prod. term. y mercad. en Bodega BULLSYPPLY Coca"/>
    <n v="1908.28"/>
    <m/>
    <n v="1908.28"/>
    <x v="3"/>
    <n v="1418512.11"/>
    <s v="1908.28"/>
    <s v="ancueva"/>
    <n v="0"/>
    <m/>
    <m/>
    <m/>
    <m/>
    <m/>
  </r>
  <r>
    <x v="0"/>
    <x v="0"/>
    <d v="2022-12-29T00:00:00"/>
    <d v="2022-12-29T00:00:00"/>
    <s v="FE001"/>
    <s v="NE 100016222"/>
    <n v="110972"/>
    <s v="Entregas - CN1793121225001"/>
    <m/>
    <s v="QUITO"/>
    <n v="51010101"/>
    <s v="Costo de ventas Quito"/>
    <m/>
    <n v="673.79"/>
    <n v="-673.79"/>
    <x v="1"/>
    <n v="1417838.32"/>
    <s v="-673.79"/>
    <s v="jcortiz"/>
    <n v="0"/>
    <m/>
    <s v="QUITO-PICHINCHA"/>
    <m/>
    <m/>
    <m/>
  </r>
  <r>
    <x v="0"/>
    <x v="0"/>
    <d v="2022-12-29T00:00:00"/>
    <d v="2022-12-29T00:00:00"/>
    <s v="FE001"/>
    <s v="NE 100016223"/>
    <n v="110974"/>
    <s v="Entregas - CN1793121225001"/>
    <m/>
    <s v="QUITO"/>
    <n v="51010101"/>
    <s v="Costo de ventas Quito"/>
    <m/>
    <n v="700.71"/>
    <n v="-700.71"/>
    <x v="1"/>
    <n v="1417137.61"/>
    <s v="-700.71"/>
    <s v="jcortiz"/>
    <n v="0"/>
    <m/>
    <s v="QUITO-PICHINCHA"/>
    <m/>
    <m/>
    <m/>
  </r>
  <r>
    <x v="0"/>
    <x v="0"/>
    <d v="2022-12-29T00:00:00"/>
    <d v="2022-12-29T00:00:00"/>
    <s v="FE001"/>
    <s v="NE 100016233"/>
    <n v="111011"/>
    <s v="Entrega - Cancelación - CN1791259505001"/>
    <m/>
    <s v="QUITO"/>
    <n v="51010101"/>
    <s v="Costo de ventas Quito"/>
    <n v="539.58000000000004"/>
    <m/>
    <n v="539.58000000000004"/>
    <x v="1"/>
    <n v="1417677.19"/>
    <s v="539.58"/>
    <s v="jcortiz"/>
    <n v="0"/>
    <m/>
    <s v="QUITO-PICHINCHA"/>
    <m/>
    <m/>
    <m/>
  </r>
  <r>
    <x v="0"/>
    <x v="0"/>
    <d v="2022-12-30T00:00:00"/>
    <d v="2022-12-30T00:00:00"/>
    <s v="FE001"/>
    <s v="NE 100016225"/>
    <n v="110998"/>
    <s v="Entregas - CN1804437497001"/>
    <m/>
    <s v="QUITO"/>
    <n v="51010101"/>
    <s v="Costo de ventas Quito"/>
    <m/>
    <n v="109.16"/>
    <n v="-109.16"/>
    <x v="1"/>
    <n v="1417568.03"/>
    <s v="-109.16"/>
    <s v="jcortiz"/>
    <n v="0"/>
    <m/>
    <s v="QUITO-PICHINCHA"/>
    <m/>
    <m/>
    <m/>
  </r>
  <r>
    <x v="0"/>
    <x v="0"/>
    <d v="2022-12-30T00:00:00"/>
    <d v="2022-12-30T00:00:00"/>
    <s v="Primario"/>
    <s v="EP 6541"/>
    <n v="111000"/>
    <s v="Pedido de entrada de mercancías - PN1711878445001"/>
    <m/>
    <m/>
    <n v="201040506"/>
    <s v="Facturas por Confirmar"/>
    <n v="430"/>
    <m/>
    <n v="430"/>
    <x v="2"/>
    <n v="1417998.03"/>
    <s v="430.00"/>
    <s v="jcortiz"/>
    <n v="0"/>
    <m/>
    <m/>
    <m/>
    <m/>
    <m/>
  </r>
  <r>
    <x v="0"/>
    <x v="0"/>
    <d v="2022-12-30T00:00:00"/>
    <d v="2022-12-30T00:00:00"/>
    <s v="FE001"/>
    <s v="IM 100003500"/>
    <n v="111001"/>
    <s v="Traslados - CN1792079160001"/>
    <m/>
    <m/>
    <n v="101060402"/>
    <s v="Inventario de prod. term. y mercad. en Bodega BULLSYPPLY Coca"/>
    <m/>
    <n v="430"/>
    <n v="-430"/>
    <x v="3"/>
    <n v="1417568.03"/>
    <s v="-430.00"/>
    <s v="jcortiz"/>
    <n v="0"/>
    <m/>
    <m/>
    <m/>
    <m/>
    <m/>
  </r>
  <r>
    <x v="0"/>
    <x v="0"/>
    <d v="2022-12-30T00:00:00"/>
    <d v="2022-12-30T00:00:00"/>
    <s v="FE001"/>
    <s v="NE 100016229"/>
    <n v="111004"/>
    <s v="Entregas - CN1791403916001"/>
    <m/>
    <s v="QUITO"/>
    <n v="51010101"/>
    <s v="Costo de ventas Quito"/>
    <m/>
    <n v="88.44"/>
    <n v="-88.44"/>
    <x v="1"/>
    <n v="1417479.59"/>
    <s v="-88.44"/>
    <s v="jcortiz"/>
    <n v="0"/>
    <m/>
    <s v="QUITO-PICHINCHA"/>
    <m/>
    <m/>
    <m/>
  </r>
  <r>
    <x v="0"/>
    <x v="0"/>
    <d v="2022-12-30T00:00:00"/>
    <d v="2022-12-30T00:00:00"/>
    <s v="Primario"/>
    <s v="SM 586"/>
    <n v="111205"/>
    <s v="BAJA DE INVENTARIO CON DECLARACION JURAMENTADA 30/"/>
    <m/>
    <s v="QUITO"/>
    <n v="51010104"/>
    <s v="Costo baja de inventario"/>
    <m/>
    <n v="55286.42"/>
    <n v="-55286.42"/>
    <x v="8"/>
    <n v="1362193.17"/>
    <s v="-55286.42"/>
    <s v="ptipant"/>
    <n v="0"/>
    <m/>
    <s v="QUITO-PICHINCHA"/>
    <m/>
    <m/>
    <m/>
  </r>
  <r>
    <x v="0"/>
    <x v="0"/>
    <d v="2022-12-30T00:00:00"/>
    <d v="2022-12-30T00:00:00"/>
    <s v="Primario"/>
    <s v="EM 1754"/>
    <n v="112009"/>
    <s v="AJUSTE INV. FISICO QUITO AUT. ALESANDRO CARDILO"/>
    <m/>
    <s v="QUITO"/>
    <n v="51010101"/>
    <s v="Costo de ventas Quito"/>
    <n v="2235.83"/>
    <m/>
    <n v="2235.83"/>
    <x v="1"/>
    <n v="1364429"/>
    <s v="2235.83"/>
    <s v="ptipant"/>
    <n v="0"/>
    <m/>
    <s v="QUITO-PICHINCHA"/>
    <m/>
    <m/>
    <m/>
  </r>
  <r>
    <x v="0"/>
    <x v="0"/>
    <d v="2022-12-30T00:00:00"/>
    <d v="2022-12-30T00:00:00"/>
    <s v="Primario"/>
    <s v="SM 593"/>
    <n v="112011"/>
    <s v="AJUSTE INV. FISICO QUITO AUT. ALESANDRO CARDILLO"/>
    <m/>
    <s v="QUITO"/>
    <n v="51010101"/>
    <s v="Costo de ventas Quito"/>
    <m/>
    <n v="3845.28"/>
    <n v="-3845.28"/>
    <x v="1"/>
    <n v="1360583.72"/>
    <s v="-3845.28"/>
    <s v="ptipant"/>
    <n v="0"/>
    <m/>
    <s v="QUITO-PICHINCHA"/>
    <m/>
    <m/>
    <m/>
  </r>
  <r>
    <x v="0"/>
    <x v="0"/>
    <d v="2022-12-30T00:00:00"/>
    <d v="2022-12-30T00:00:00"/>
    <s v="Primario"/>
    <s v="EM 1756"/>
    <n v="112094"/>
    <s v="AJUSTE INV. FISICO QUITO AUT. ALESANDRO CARDILLO"/>
    <m/>
    <s v="COCA"/>
    <n v="51010103"/>
    <s v="Costo por Revalorización de Inventario"/>
    <n v="1.26"/>
    <m/>
    <n v="1.26"/>
    <x v="7"/>
    <n v="1360584.98"/>
    <s v="1.26"/>
    <s v="ptipant"/>
    <n v="0"/>
    <m/>
    <s v="COCA-ORELLANA"/>
    <m/>
    <m/>
    <m/>
  </r>
  <r>
    <x v="0"/>
    <x v="0"/>
    <d v="2022-12-30T00:00:00"/>
    <d v="2022-12-30T00:00:00"/>
    <s v="Primario"/>
    <s v="SM 594"/>
    <n v="112095"/>
    <s v="MATERIAL DADO DE BAJA/NO SUMA EN ACTA"/>
    <m/>
    <s v="QUITO"/>
    <n v="51010101"/>
    <s v="Costo de ventas Quito"/>
    <m/>
    <n v="17.510000000000002"/>
    <n v="-17.510000000000002"/>
    <x v="1"/>
    <n v="1360567.47"/>
    <s v="-17.51"/>
    <s v="ptipant"/>
    <n v="0"/>
    <m/>
    <s v="QUITO-PICHINCHA"/>
    <m/>
    <m/>
    <m/>
  </r>
  <r>
    <x v="0"/>
    <x v="0"/>
    <d v="2022-12-31T00:00:00"/>
    <d v="2022-12-31T00:00:00"/>
    <s v="FE001"/>
    <s v="IM 100003520"/>
    <n v="111520"/>
    <s v="Traslados - CN1792079160001"/>
    <m/>
    <m/>
    <n v="101060402"/>
    <s v="Inventario de prod. term. y mercad. en Bodega BULLSYPPLY Coca"/>
    <m/>
    <n v="28233.8"/>
    <n v="-28233.8"/>
    <x v="3"/>
    <n v="1332333.67"/>
    <s v="-28233.80"/>
    <s v="jcortiz"/>
    <n v="0"/>
    <m/>
    <m/>
    <m/>
    <m/>
    <m/>
  </r>
  <r>
    <x v="0"/>
    <x v="0"/>
    <d v="2022-12-31T00:00:00"/>
    <d v="2022-12-31T00:00:00"/>
    <s v="FE001"/>
    <s v="IM 100003520"/>
    <n v="111520"/>
    <s v="Traslados - CN1792079160001"/>
    <m/>
    <m/>
    <n v="101060402"/>
    <s v="Inventario de prod. term. y mercad. en Bodega BULLSYPPLY Coca"/>
    <n v="6586.37"/>
    <m/>
    <n v="6586.37"/>
    <x v="3"/>
    <n v="1338920.04"/>
    <s v="6586.37"/>
    <s v="jcortiz"/>
    <n v="0"/>
    <m/>
    <m/>
    <m/>
    <m/>
    <m/>
  </r>
  <r>
    <x v="1"/>
    <x v="1"/>
    <s v="Activos"/>
    <n v="101060402"/>
    <m/>
    <m/>
    <m/>
    <s v="Saldo Inicial"/>
    <m/>
    <m/>
    <m/>
    <m/>
    <n v="1274570.99"/>
    <m/>
    <n v="1274570.99"/>
    <x v="0"/>
    <n v="1274570.99"/>
    <m/>
    <m/>
    <m/>
    <m/>
    <m/>
    <m/>
    <m/>
    <m/>
  </r>
  <r>
    <x v="1"/>
    <x v="1"/>
    <d v="2022-10-01T00:00:00"/>
    <d v="2022-10-01T00:00:00"/>
    <s v="FE001"/>
    <s v="NE 100015202"/>
    <n v="106369"/>
    <s v="Entregas - CN1792903890001"/>
    <m/>
    <s v="COCA"/>
    <n v="51010102"/>
    <s v="Costo de Ventas Coca"/>
    <m/>
    <n v="170.6"/>
    <n v="-170.6"/>
    <x v="1"/>
    <n v="669069.05000000005"/>
    <s v="-170.60"/>
    <s v="ancueva"/>
    <n v="0"/>
    <m/>
    <s v="COCA-ORELLANA"/>
    <m/>
    <m/>
    <m/>
  </r>
  <r>
    <x v="1"/>
    <x v="1"/>
    <d v="2022-10-01T00:00:00"/>
    <d v="2022-10-01T00:00:00"/>
    <s v="FE001"/>
    <s v="NE 100015203"/>
    <n v="106370"/>
    <s v="Entregas - CN1792464781001"/>
    <m/>
    <s v="QUITO"/>
    <n v="51010102"/>
    <s v="Costo de Ventas Coca"/>
    <m/>
    <n v="27.05"/>
    <n v="-27.05"/>
    <x v="1"/>
    <n v="669042"/>
    <s v="-27.05"/>
    <s v="ancueva"/>
    <n v="0"/>
    <m/>
    <s v="QUITO-PICHINCHA"/>
    <m/>
    <m/>
    <m/>
  </r>
  <r>
    <x v="1"/>
    <x v="1"/>
    <d v="2022-10-01T00:00:00"/>
    <d v="2022-10-01T00:00:00"/>
    <s v="FE001"/>
    <s v="NE 100015203"/>
    <n v="106370"/>
    <s v="Entregas - CN1792464781001"/>
    <m/>
    <s v="COCA"/>
    <n v="51010102"/>
    <s v="Costo de Ventas Coca"/>
    <m/>
    <n v="28.9"/>
    <n v="-28.9"/>
    <x v="1"/>
    <n v="669013.1"/>
    <s v="-28.90"/>
    <s v="ancueva"/>
    <n v="0"/>
    <m/>
    <s v="COCA-ORELLANA"/>
    <m/>
    <m/>
    <m/>
  </r>
  <r>
    <x v="1"/>
    <x v="1"/>
    <d v="2022-10-01T00:00:00"/>
    <d v="2022-10-01T00:00:00"/>
    <s v="FE001"/>
    <s v="NE 100015204"/>
    <n v="106371"/>
    <s v="Entregas - CN1792464161001"/>
    <m/>
    <s v="COCA"/>
    <n v="51010102"/>
    <s v="Costo de Ventas Coca"/>
    <m/>
    <n v="22.39"/>
    <n v="-22.39"/>
    <x v="1"/>
    <n v="668990.71"/>
    <s v="-22.39"/>
    <s v="ancueva"/>
    <n v="0"/>
    <m/>
    <s v="COCA-ORELLANA"/>
    <m/>
    <m/>
    <m/>
  </r>
  <r>
    <x v="1"/>
    <x v="1"/>
    <d v="2022-10-03T00:00:00"/>
    <d v="2022-10-03T00:00:00"/>
    <s v="FE001"/>
    <s v="NE 100015205"/>
    <n v="106372"/>
    <s v="Entregas - CN1791749146001"/>
    <m/>
    <s v="COCA"/>
    <n v="51010102"/>
    <s v="Costo de Ventas Coca"/>
    <m/>
    <n v="815.4"/>
    <n v="-815.4"/>
    <x v="1"/>
    <n v="668175.31000000006"/>
    <s v="-815.40"/>
    <s v="ancueva"/>
    <n v="0"/>
    <m/>
    <s v="COCA-ORELLANA"/>
    <m/>
    <m/>
    <m/>
  </r>
  <r>
    <x v="1"/>
    <x v="1"/>
    <d v="2022-10-03T00:00:00"/>
    <d v="2022-10-03T00:00:00"/>
    <s v="FE001"/>
    <s v="IM 100003279"/>
    <n v="106375"/>
    <s v="Traslados - CN1792079160001"/>
    <m/>
    <m/>
    <n v="101060409"/>
    <s v="Inventario de prod. term. y mercad. en Bodega de materiales defectuosos"/>
    <n v="83.46"/>
    <m/>
    <n v="83.46"/>
    <x v="3"/>
    <n v="668258.77"/>
    <s v="83.46"/>
    <s v="jcortiz"/>
    <n v="0"/>
    <m/>
    <m/>
    <m/>
    <m/>
    <m/>
  </r>
  <r>
    <x v="1"/>
    <x v="1"/>
    <d v="2022-10-03T00:00:00"/>
    <d v="2022-10-03T00:00:00"/>
    <s v="FE001"/>
    <s v="NE 100015208"/>
    <n v="106378"/>
    <s v="Entregas - CN1791768825001"/>
    <m/>
    <s v="COCA"/>
    <n v="51010102"/>
    <s v="Costo de Ventas Coca"/>
    <m/>
    <n v="841.13"/>
    <n v="-841.13"/>
    <x v="1"/>
    <n v="667417.64"/>
    <s v="-841.13"/>
    <s v="ancueva"/>
    <n v="0"/>
    <m/>
    <s v="COCA-ORELLANA"/>
    <m/>
    <m/>
    <m/>
  </r>
  <r>
    <x v="1"/>
    <x v="1"/>
    <d v="2022-10-03T00:00:00"/>
    <d v="2022-10-03T00:00:00"/>
    <s v="FE001"/>
    <s v="NE 100015213"/>
    <n v="106383"/>
    <s v="Entregas - CN2290316882001"/>
    <m/>
    <s v="COCA"/>
    <n v="51010102"/>
    <s v="Costo de Ventas Coca"/>
    <m/>
    <n v="56"/>
    <n v="-56"/>
    <x v="1"/>
    <n v="667361.64"/>
    <s v="-56.00"/>
    <s v="ancueva"/>
    <n v="0"/>
    <m/>
    <s v="COCA-ORELLANA"/>
    <m/>
    <m/>
    <m/>
  </r>
  <r>
    <x v="1"/>
    <x v="1"/>
    <d v="2022-10-03T00:00:00"/>
    <d v="2022-10-03T00:00:00"/>
    <s v="FE001"/>
    <s v="IM 100003280"/>
    <n v="106394"/>
    <s v="Traslados - CN1792079160001"/>
    <m/>
    <m/>
    <n v="101060401"/>
    <s v="Inventario de prod. term. y mercad. en Bodega BULLSYPPLY  Quito"/>
    <n v="246.57"/>
    <m/>
    <n v="246.57"/>
    <x v="3"/>
    <n v="667608.21"/>
    <s v="246.57"/>
    <s v="jcortiz"/>
    <n v="0"/>
    <m/>
    <m/>
    <m/>
    <m/>
    <m/>
  </r>
  <r>
    <x v="1"/>
    <x v="1"/>
    <d v="2022-10-03T00:00:00"/>
    <d v="2022-10-03T00:00:00"/>
    <s v="FE001"/>
    <s v="NE 100015218"/>
    <n v="106398"/>
    <s v="Entregas - CN1791263308001"/>
    <m/>
    <s v="COCA"/>
    <n v="51010102"/>
    <s v="Costo de Ventas Coca"/>
    <m/>
    <n v="92.93"/>
    <n v="-92.93"/>
    <x v="1"/>
    <n v="667515.28"/>
    <s v="-92.93"/>
    <s v="ancueva"/>
    <n v="0"/>
    <m/>
    <s v="COCA-ORELLANA"/>
    <m/>
    <m/>
    <m/>
  </r>
  <r>
    <x v="1"/>
    <x v="1"/>
    <d v="2022-10-03T00:00:00"/>
    <d v="2022-10-03T00:00:00"/>
    <s v="FE001"/>
    <s v="NE 100015747"/>
    <n v="108855"/>
    <s v="Entrega - Cancelación - CN1791749146001"/>
    <m/>
    <s v="COCA"/>
    <n v="51010102"/>
    <s v="Costo de Ventas Coca"/>
    <n v="815.4"/>
    <m/>
    <n v="815.4"/>
    <x v="1"/>
    <n v="668330.68000000005"/>
    <s v="815.40"/>
    <s v="jcortiz"/>
    <n v="0"/>
    <m/>
    <s v="COCA-ORELLANA"/>
    <m/>
    <m/>
    <m/>
  </r>
  <r>
    <x v="1"/>
    <x v="1"/>
    <d v="2022-10-04T00:00:00"/>
    <d v="2022-10-04T00:00:00"/>
    <s v="FE001"/>
    <s v="IM 100003281"/>
    <n v="106463"/>
    <s v="Traslados - CN1792079160001"/>
    <m/>
    <m/>
    <n v="101060401"/>
    <s v="Inventario de prod. term. y mercad. en Bodega BULLSYPPLY  Quito"/>
    <n v="123.19"/>
    <m/>
    <n v="123.19"/>
    <x v="3"/>
    <n v="668453.87"/>
    <s v="123.19"/>
    <s v="jcortiz"/>
    <n v="0"/>
    <m/>
    <m/>
    <m/>
    <m/>
    <m/>
  </r>
  <r>
    <x v="1"/>
    <x v="1"/>
    <d v="2022-10-04T00:00:00"/>
    <d v="2022-10-04T00:00:00"/>
    <s v="Primario"/>
    <s v="EM 1705"/>
    <n v="106544"/>
    <s v="Entrada de mercancías"/>
    <m/>
    <m/>
    <n v="401030105"/>
    <s v="Otros Ingresos"/>
    <n v="102.04"/>
    <m/>
    <n v="102.04"/>
    <x v="5"/>
    <n v="668555.91"/>
    <s v="102.04"/>
    <s v="jcortiz"/>
    <n v="0"/>
    <m/>
    <m/>
    <m/>
    <m/>
    <m/>
  </r>
  <r>
    <x v="1"/>
    <x v="1"/>
    <d v="2022-10-04T00:00:00"/>
    <d v="2022-10-04T00:00:00"/>
    <s v="FE001"/>
    <s v="IM 100003282"/>
    <n v="106546"/>
    <s v="Traslados - CN1792079160001"/>
    <m/>
    <m/>
    <n v="101060401"/>
    <s v="Inventario de prod. term. y mercad. en Bodega BULLSYPPLY  Quito"/>
    <n v="781.03"/>
    <m/>
    <n v="781.03"/>
    <x v="3"/>
    <n v="669336.93999999994"/>
    <s v="781.03"/>
    <s v="jcortiz"/>
    <n v="0"/>
    <m/>
    <m/>
    <m/>
    <m/>
    <m/>
  </r>
  <r>
    <x v="1"/>
    <x v="1"/>
    <d v="2022-10-05T00:00:00"/>
    <d v="2022-10-05T00:00:00"/>
    <s v="FE001"/>
    <s v="NE 100015228"/>
    <n v="106547"/>
    <s v="Entregas - CN1792371694001"/>
    <m/>
    <s v="COCA"/>
    <n v="51010102"/>
    <s v="Costo de Ventas Coca"/>
    <m/>
    <n v="15.27"/>
    <n v="-15.27"/>
    <x v="1"/>
    <n v="669321.67000000004"/>
    <s v="-15.27"/>
    <s v="ancueva"/>
    <n v="0"/>
    <m/>
    <s v="COCA-ORELLANA"/>
    <m/>
    <m/>
    <m/>
  </r>
  <r>
    <x v="1"/>
    <x v="1"/>
    <d v="2022-10-05T00:00:00"/>
    <d v="2022-10-05T00:00:00"/>
    <s v="FE001"/>
    <s v="NE 100015228"/>
    <n v="106547"/>
    <s v="Entregas - CN1792371694001"/>
    <m/>
    <s v="COCA"/>
    <n v="51010102"/>
    <s v="Costo de Ventas Coca"/>
    <m/>
    <n v="352.06"/>
    <n v="-352.06"/>
    <x v="1"/>
    <n v="668969.61"/>
    <s v="-352.06"/>
    <s v="ancueva"/>
    <n v="0"/>
    <m/>
    <s v="COCA-ORELLANA"/>
    <m/>
    <m/>
    <m/>
  </r>
  <r>
    <x v="1"/>
    <x v="1"/>
    <d v="2022-10-05T00:00:00"/>
    <d v="2022-10-05T00:00:00"/>
    <s v="FE001"/>
    <s v="IM 100003283"/>
    <n v="106548"/>
    <s v="Traslados - CN1792079160001"/>
    <m/>
    <m/>
    <n v="101060401"/>
    <s v="Inventario de prod. term. y mercad. en Bodega BULLSYPPLY  Quito"/>
    <m/>
    <n v="144.96"/>
    <n v="-144.96"/>
    <x v="3"/>
    <n v="668824.65"/>
    <s v="-144.96"/>
    <s v="ancueva"/>
    <n v="0"/>
    <m/>
    <m/>
    <m/>
    <m/>
    <m/>
  </r>
  <r>
    <x v="1"/>
    <x v="1"/>
    <d v="2022-10-05T00:00:00"/>
    <d v="2022-10-05T00:00:00"/>
    <s v="FE001"/>
    <s v="IM 100003284"/>
    <n v="106558"/>
    <s v="Traslados - CN1792079160001"/>
    <m/>
    <m/>
    <n v="101060401"/>
    <s v="Inventario de prod. term. y mercad. en Bodega BULLSYPPLY  Quito"/>
    <n v="234.7"/>
    <m/>
    <n v="234.7"/>
    <x v="3"/>
    <n v="669059.35"/>
    <s v="234.70"/>
    <s v="jcortiz"/>
    <n v="0"/>
    <m/>
    <m/>
    <m/>
    <m/>
    <m/>
  </r>
  <r>
    <x v="1"/>
    <x v="1"/>
    <d v="2022-10-05T00:00:00"/>
    <d v="2022-10-05T00:00:00"/>
    <s v="FE001"/>
    <s v="NE 100015230"/>
    <n v="106565"/>
    <s v="Entregas - CN1791263308001"/>
    <m/>
    <s v="COCA"/>
    <n v="51010102"/>
    <s v="Costo de Ventas Coca"/>
    <m/>
    <n v="12.9"/>
    <n v="-12.9"/>
    <x v="1"/>
    <n v="669046.44999999995"/>
    <s v="-12.90"/>
    <s v="ancueva"/>
    <n v="0"/>
    <m/>
    <s v="COCA-ORELLANA"/>
    <m/>
    <m/>
    <m/>
  </r>
  <r>
    <x v="1"/>
    <x v="1"/>
    <d v="2022-10-05T00:00:00"/>
    <d v="2022-10-05T00:00:00"/>
    <s v="FE001"/>
    <s v="IM 100003285"/>
    <n v="106566"/>
    <s v="Traslados - CN1792079160001"/>
    <m/>
    <m/>
    <n v="101060401"/>
    <s v="Inventario de prod. term. y mercad. en Bodega BULLSYPPLY  Quito"/>
    <n v="7922.1"/>
    <m/>
    <n v="7922.1"/>
    <x v="3"/>
    <n v="676968.55"/>
    <s v="7922.10"/>
    <s v="ancueva"/>
    <n v="0"/>
    <m/>
    <m/>
    <m/>
    <m/>
    <m/>
  </r>
  <r>
    <x v="1"/>
    <x v="1"/>
    <d v="2022-10-05T00:00:00"/>
    <d v="2022-10-05T00:00:00"/>
    <s v="FE001"/>
    <s v="IM 100003285"/>
    <n v="106566"/>
    <s v="Traslados - CN1792079160001"/>
    <m/>
    <m/>
    <n v="101060401"/>
    <s v="Inventario de prod. term. y mercad. en Bodega BULLSYPPLY  Quito"/>
    <m/>
    <n v="1958.13"/>
    <n v="-1958.13"/>
    <x v="3"/>
    <n v="675010.42"/>
    <s v="-1958.13"/>
    <s v="ancueva"/>
    <n v="0"/>
    <m/>
    <m/>
    <m/>
    <m/>
    <m/>
  </r>
  <r>
    <x v="1"/>
    <x v="1"/>
    <d v="2022-10-05T00:00:00"/>
    <d v="2022-10-05T00:00:00"/>
    <s v="FE001"/>
    <s v="NE 100015232"/>
    <n v="106568"/>
    <s v="Entregas - CN2290316882001"/>
    <m/>
    <s v="COCA"/>
    <n v="51010102"/>
    <s v="Costo de Ventas Coca"/>
    <m/>
    <n v="123.19"/>
    <n v="-123.19"/>
    <x v="1"/>
    <n v="674887.23"/>
    <s v="-123.19"/>
    <s v="ancueva"/>
    <n v="0"/>
    <m/>
    <s v="COCA-ORELLANA"/>
    <m/>
    <m/>
    <m/>
  </r>
  <r>
    <x v="1"/>
    <x v="1"/>
    <d v="2022-10-05T00:00:00"/>
    <d v="2022-10-05T00:00:00"/>
    <s v="FE001"/>
    <s v="NE 100015233"/>
    <n v="106569"/>
    <s v="Entregas - CN2100115803001"/>
    <m/>
    <s v="COCA"/>
    <n v="51010102"/>
    <s v="Costo de Ventas Coca"/>
    <m/>
    <n v="17.420000000000002"/>
    <n v="-17.420000000000002"/>
    <x v="1"/>
    <n v="674869.81"/>
    <s v="-17.42"/>
    <s v="ancueva"/>
    <n v="0"/>
    <m/>
    <s v="COCA-ORELLANA"/>
    <m/>
    <m/>
    <m/>
  </r>
  <r>
    <x v="1"/>
    <x v="1"/>
    <d v="2022-10-05T00:00:00"/>
    <d v="2022-10-05T00:00:00"/>
    <s v="FE001"/>
    <s v="IM 100003286"/>
    <n v="106577"/>
    <s v="Traslados - CN1792079160001"/>
    <m/>
    <m/>
    <n v="101060401"/>
    <s v="Inventario de prod. term. y mercad. en Bodega BULLSYPPLY  Quito"/>
    <m/>
    <n v="1548.09"/>
    <n v="-1548.09"/>
    <x v="3"/>
    <n v="673321.72"/>
    <s v="-1548.09"/>
    <s v="ancueva"/>
    <n v="0"/>
    <m/>
    <m/>
    <m/>
    <m/>
    <m/>
  </r>
  <r>
    <x v="1"/>
    <x v="1"/>
    <d v="2022-10-05T00:00:00"/>
    <d v="2022-10-05T00:00:00"/>
    <s v="FE001"/>
    <s v="IM 100003287"/>
    <n v="106580"/>
    <s v="Traslados - CN1792079160001"/>
    <m/>
    <m/>
    <n v="101060401"/>
    <s v="Inventario de prod. term. y mercad. en Bodega BULLSYPPLY  Quito"/>
    <n v="815.4"/>
    <m/>
    <n v="815.4"/>
    <x v="3"/>
    <n v="674137.12"/>
    <s v="815.40"/>
    <s v="ancueva"/>
    <n v="0"/>
    <m/>
    <m/>
    <m/>
    <m/>
    <m/>
  </r>
  <r>
    <x v="1"/>
    <x v="1"/>
    <d v="2022-10-05T00:00:00"/>
    <d v="2022-10-05T00:00:00"/>
    <s v="FE001"/>
    <s v="IM 100003288"/>
    <n v="106590"/>
    <s v="Traslados - CN1792079160001"/>
    <m/>
    <m/>
    <n v="101060401"/>
    <s v="Inventario de prod. term. y mercad. en Bodega BULLSYPPLY  Quito"/>
    <n v="3415.86"/>
    <m/>
    <n v="3415.86"/>
    <x v="3"/>
    <n v="677552.98"/>
    <s v="3415.86"/>
    <s v="jcortiz"/>
    <n v="0"/>
    <m/>
    <m/>
    <m/>
    <m/>
    <m/>
  </r>
  <r>
    <x v="1"/>
    <x v="1"/>
    <d v="2022-10-05T00:00:00"/>
    <d v="2022-10-05T00:00:00"/>
    <s v="FE001"/>
    <s v="IM 100003289"/>
    <n v="106591"/>
    <s v="Traslados - CN1792079160001"/>
    <m/>
    <m/>
    <n v="101060401"/>
    <s v="Inventario de prod. term. y mercad. en Bodega BULLSYPPLY  Quito"/>
    <m/>
    <n v="89.9"/>
    <n v="-89.9"/>
    <x v="3"/>
    <n v="677463.08"/>
    <s v="-89.90"/>
    <s v="ancueva"/>
    <n v="0"/>
    <m/>
    <m/>
    <m/>
    <m/>
    <m/>
  </r>
  <r>
    <x v="1"/>
    <x v="1"/>
    <d v="2022-10-05T00:00:00"/>
    <d v="2022-10-05T00:00:00"/>
    <s v="FE001"/>
    <s v="IM 100003289"/>
    <n v="106591"/>
    <s v="Traslados - CN1792079160001"/>
    <m/>
    <m/>
    <n v="101060401"/>
    <s v="Inventario de prod. term. y mercad. en Bodega BULLSYPPLY  Quito"/>
    <n v="32.54"/>
    <m/>
    <n v="32.54"/>
    <x v="3"/>
    <n v="677495.62"/>
    <s v="32.54"/>
    <s v="ancueva"/>
    <n v="0"/>
    <m/>
    <m/>
    <m/>
    <m/>
    <m/>
  </r>
  <r>
    <x v="1"/>
    <x v="1"/>
    <d v="2022-10-05T00:00:00"/>
    <d v="2022-10-05T00:00:00"/>
    <s v="FE001"/>
    <s v="IM 100003290"/>
    <n v="106592"/>
    <s v="Traslados - CN1792079160001"/>
    <m/>
    <m/>
    <n v="101060401"/>
    <s v="Inventario de prod. term. y mercad. en Bodega BULLSYPPLY  Quito"/>
    <n v="89.9"/>
    <m/>
    <n v="89.9"/>
    <x v="3"/>
    <n v="677585.52"/>
    <s v="89.90"/>
    <s v="ancueva"/>
    <n v="0"/>
    <m/>
    <m/>
    <m/>
    <m/>
    <m/>
  </r>
  <r>
    <x v="1"/>
    <x v="1"/>
    <d v="2022-10-05T00:00:00"/>
    <d v="2022-10-05T00:00:00"/>
    <s v="FE001"/>
    <s v="IM 100003290"/>
    <n v="106592"/>
    <s v="Traslados - CN1792079160001"/>
    <m/>
    <m/>
    <n v="101060401"/>
    <s v="Inventario de prod. term. y mercad. en Bodega BULLSYPPLY  Quito"/>
    <m/>
    <n v="32.54"/>
    <n v="-32.54"/>
    <x v="3"/>
    <n v="677552.98"/>
    <s v="-32.54"/>
    <s v="ancueva"/>
    <n v="0"/>
    <m/>
    <m/>
    <m/>
    <m/>
    <m/>
  </r>
  <r>
    <x v="1"/>
    <x v="1"/>
    <d v="2022-10-05T00:00:00"/>
    <d v="2022-10-05T00:00:00"/>
    <s v="FE001"/>
    <s v="IM 100003291"/>
    <n v="106596"/>
    <s v="Traslados - CN1792079160001"/>
    <m/>
    <m/>
    <n v="101060401"/>
    <s v="Inventario de prod. term. y mercad. en Bodega BULLSYPPLY  Quito"/>
    <n v="100.32"/>
    <m/>
    <n v="100.32"/>
    <x v="3"/>
    <n v="677653.3"/>
    <s v="100.32"/>
    <s v="ancueva"/>
    <n v="0"/>
    <m/>
    <m/>
    <m/>
    <m/>
    <m/>
  </r>
  <r>
    <x v="1"/>
    <x v="1"/>
    <d v="2022-10-05T00:00:00"/>
    <d v="2022-10-05T00:00:00"/>
    <s v="FE001"/>
    <s v="IM 100003291"/>
    <n v="106596"/>
    <s v="Traslados - CN1792079160001"/>
    <m/>
    <m/>
    <n v="101060401"/>
    <s v="Inventario de prod. term. y mercad. en Bodega BULLSYPPLY  Quito"/>
    <m/>
    <n v="7.69"/>
    <n v="-7.69"/>
    <x v="3"/>
    <n v="677645.61"/>
    <s v="-7.69"/>
    <s v="ancueva"/>
    <n v="0"/>
    <m/>
    <m/>
    <m/>
    <m/>
    <m/>
  </r>
  <r>
    <x v="1"/>
    <x v="1"/>
    <d v="2022-10-06T00:00:00"/>
    <d v="2022-10-06T00:00:00"/>
    <s v="FE001"/>
    <s v="NE 100015241"/>
    <n v="106599"/>
    <s v="Entregas - CN1791051955001"/>
    <m/>
    <s v="COCA"/>
    <n v="51010102"/>
    <s v="Costo de Ventas Coca"/>
    <m/>
    <n v="35.6"/>
    <n v="-35.6"/>
    <x v="1"/>
    <n v="677610.01"/>
    <s v="-35.60"/>
    <s v="jcortiz"/>
    <n v="0"/>
    <m/>
    <s v="COCA-ORELLANA"/>
    <m/>
    <m/>
    <m/>
  </r>
  <r>
    <x v="1"/>
    <x v="1"/>
    <d v="2022-10-06T00:00:00"/>
    <d v="2022-10-06T00:00:00"/>
    <s v="FE001"/>
    <s v="IM 100003292"/>
    <n v="106650"/>
    <s v="Traslados - CN1792079160001"/>
    <m/>
    <m/>
    <n v="101060401"/>
    <s v="Inventario de prod. term. y mercad. en Bodega BULLSYPPLY  Quito"/>
    <n v="451.12"/>
    <m/>
    <n v="451.12"/>
    <x v="3"/>
    <n v="678061.13"/>
    <s v="451.12"/>
    <s v="jcortiz"/>
    <n v="0"/>
    <m/>
    <m/>
    <m/>
    <m/>
    <m/>
  </r>
  <r>
    <x v="1"/>
    <x v="1"/>
    <d v="2022-10-06T00:00:00"/>
    <d v="2022-10-06T00:00:00"/>
    <s v="FE001"/>
    <s v="NE 100015250"/>
    <n v="106651"/>
    <s v="Entregas - CN1792464161001"/>
    <m/>
    <s v="COCA"/>
    <n v="51010102"/>
    <s v="Costo de Ventas Coca"/>
    <m/>
    <n v="456.64"/>
    <n v="-456.64"/>
    <x v="1"/>
    <n v="677604.49"/>
    <s v="-456.64"/>
    <s v="ancueva"/>
    <n v="0"/>
    <m/>
    <s v="COCA-ORELLANA"/>
    <m/>
    <m/>
    <m/>
  </r>
  <r>
    <x v="1"/>
    <x v="1"/>
    <d v="2022-10-06T00:00:00"/>
    <d v="2022-10-06T00:00:00"/>
    <s v="FE001"/>
    <s v="NE 100015250"/>
    <n v="106651"/>
    <s v="Entregas - CN1792464161001"/>
    <m/>
    <s v="COCA"/>
    <n v="51010102"/>
    <s v="Costo de Ventas Coca"/>
    <m/>
    <n v="39.81"/>
    <n v="-39.81"/>
    <x v="1"/>
    <n v="677564.68"/>
    <s v="-39.81"/>
    <s v="ancueva"/>
    <n v="0"/>
    <m/>
    <s v="COCA-ORELLANA"/>
    <m/>
    <m/>
    <m/>
  </r>
  <r>
    <x v="1"/>
    <x v="1"/>
    <d v="2022-10-06T00:00:00"/>
    <d v="2022-10-06T00:00:00"/>
    <s v="FE001"/>
    <s v="NE 100015254"/>
    <n v="106672"/>
    <s v="Entregas - CN1792369428001"/>
    <m/>
    <s v="COCA"/>
    <n v="51010102"/>
    <s v="Costo de Ventas Coca"/>
    <m/>
    <n v="1233.1199999999999"/>
    <n v="-1233.1199999999999"/>
    <x v="1"/>
    <n v="676331.56"/>
    <s v="-1233.12"/>
    <s v="jcortiz"/>
    <n v="0"/>
    <m/>
    <s v="COCA-ORELLANA"/>
    <m/>
    <m/>
    <m/>
  </r>
  <r>
    <x v="1"/>
    <x v="1"/>
    <d v="2022-10-06T00:00:00"/>
    <d v="2022-10-06T00:00:00"/>
    <s v="FE001"/>
    <s v="IM 100003293"/>
    <n v="106678"/>
    <s v="Traslados - CN1792079160001"/>
    <m/>
    <m/>
    <n v="101060401"/>
    <s v="Inventario de prod. term. y mercad. en Bodega BULLSYPPLY  Quito"/>
    <n v="73.099999999999994"/>
    <m/>
    <n v="73.099999999999994"/>
    <x v="3"/>
    <n v="676404.66"/>
    <s v="73.10"/>
    <s v="jcortiz"/>
    <n v="0"/>
    <m/>
    <m/>
    <m/>
    <m/>
    <m/>
  </r>
  <r>
    <x v="1"/>
    <x v="1"/>
    <d v="2022-10-06T00:00:00"/>
    <d v="2022-10-06T00:00:00"/>
    <s v="FE001"/>
    <s v="IM 100003294"/>
    <n v="106679"/>
    <s v="Traslados - CN1792079160001"/>
    <m/>
    <m/>
    <n v="101060401"/>
    <s v="Inventario de prod. term. y mercad. en Bodega BULLSYPPLY  Quito"/>
    <m/>
    <n v="291.27"/>
    <n v="-291.27"/>
    <x v="3"/>
    <n v="676113.39"/>
    <s v="-291.27"/>
    <s v="ancueva"/>
    <n v="0"/>
    <m/>
    <m/>
    <m/>
    <m/>
    <m/>
  </r>
  <r>
    <x v="1"/>
    <x v="1"/>
    <d v="2022-10-07T00:00:00"/>
    <d v="2022-10-07T00:00:00"/>
    <s v="FE001"/>
    <s v="IM 100003295"/>
    <n v="106687"/>
    <s v="Traslados -"/>
    <m/>
    <m/>
    <n v="101060401"/>
    <s v="Inventario de prod. term. y mercad. en Bodega BULLSYPPLY  Quito"/>
    <m/>
    <n v="35.36"/>
    <n v="-35.36"/>
    <x v="3"/>
    <n v="676078.03"/>
    <s v="-35.36"/>
    <s v="jcortiz"/>
    <n v="0"/>
    <m/>
    <m/>
    <m/>
    <m/>
    <m/>
  </r>
  <r>
    <x v="1"/>
    <x v="1"/>
    <d v="2022-10-07T00:00:00"/>
    <d v="2022-10-07T00:00:00"/>
    <s v="FE001"/>
    <s v="IM 100003296"/>
    <n v="106690"/>
    <s v="Traslados -"/>
    <m/>
    <m/>
    <n v="101060401"/>
    <s v="Inventario de prod. term. y mercad. en Bodega BULLSYPPLY  Quito"/>
    <n v="34.96"/>
    <m/>
    <n v="34.96"/>
    <x v="3"/>
    <n v="676112.99"/>
    <s v="34.96"/>
    <s v="jcortiz"/>
    <n v="0"/>
    <m/>
    <m/>
    <m/>
    <m/>
    <m/>
  </r>
  <r>
    <x v="1"/>
    <x v="1"/>
    <d v="2022-10-07T00:00:00"/>
    <d v="2022-10-07T00:00:00"/>
    <s v="FE001"/>
    <s v="NE 100015257"/>
    <n v="106691"/>
    <s v="Entregas - CN1791847776001"/>
    <m/>
    <s v="COCA"/>
    <n v="51010102"/>
    <s v="Costo de Ventas Coca"/>
    <m/>
    <n v="371.53"/>
    <n v="-371.53"/>
    <x v="1"/>
    <n v="675741.46"/>
    <s v="-371.53"/>
    <s v="ancueva"/>
    <n v="0"/>
    <m/>
    <s v="COCA-ORELLANA"/>
    <m/>
    <m/>
    <m/>
  </r>
  <r>
    <x v="1"/>
    <x v="1"/>
    <d v="2022-10-07T00:00:00"/>
    <d v="2022-10-07T00:00:00"/>
    <s v="FE001"/>
    <s v="IM 100003297"/>
    <n v="106694"/>
    <s v="Traslados - CN1792079160001"/>
    <m/>
    <m/>
    <n v="101060409"/>
    <s v="Inventario de prod. term. y mercad. en Bodega de materiales defectuosos"/>
    <m/>
    <n v="34.97"/>
    <n v="-34.97"/>
    <x v="3"/>
    <n v="675706.49"/>
    <s v="-34.97"/>
    <s v="ancueva"/>
    <n v="0"/>
    <m/>
    <m/>
    <m/>
    <m/>
    <m/>
  </r>
  <r>
    <x v="1"/>
    <x v="1"/>
    <d v="2022-10-07T00:00:00"/>
    <d v="2022-10-07T00:00:00"/>
    <s v="FE001"/>
    <s v="NE 100015259"/>
    <n v="106702"/>
    <s v="Entregas - CN1791847776001"/>
    <m/>
    <s v="COCA"/>
    <n v="51010102"/>
    <s v="Costo de Ventas Coca"/>
    <m/>
    <n v="364.96"/>
    <n v="-364.96"/>
    <x v="1"/>
    <n v="675341.53"/>
    <s v="-364.96"/>
    <s v="ancueva"/>
    <n v="0"/>
    <m/>
    <s v="COCA-ORELLANA"/>
    <m/>
    <m/>
    <m/>
  </r>
  <r>
    <x v="1"/>
    <x v="1"/>
    <d v="2022-10-07T00:00:00"/>
    <d v="2022-10-07T00:00:00"/>
    <s v="FE001"/>
    <s v="NE 100015259"/>
    <n v="106702"/>
    <s v="Entregas - CN1791847776001"/>
    <m/>
    <s v="COCA"/>
    <n v="51010102"/>
    <s v="Costo de Ventas Coca"/>
    <m/>
    <n v="1595.07"/>
    <n v="-1595.07"/>
    <x v="1"/>
    <n v="673746.46"/>
    <s v="-1595.07"/>
    <s v="ancueva"/>
    <n v="0"/>
    <m/>
    <s v="COCA-ORELLANA"/>
    <m/>
    <m/>
    <m/>
  </r>
  <r>
    <x v="1"/>
    <x v="1"/>
    <d v="2022-10-07T00:00:00"/>
    <d v="2022-10-07T00:00:00"/>
    <s v="FE001"/>
    <s v="NE 100015263"/>
    <n v="106714"/>
    <s v="Entregas - CN1791263308001"/>
    <m/>
    <s v="COCA"/>
    <n v="51010102"/>
    <s v="Costo de Ventas Coca"/>
    <m/>
    <n v="425.36"/>
    <n v="-425.36"/>
    <x v="1"/>
    <n v="673321.1"/>
    <s v="-425.36"/>
    <s v="ancueva"/>
    <n v="0"/>
    <m/>
    <s v="COCA-ORELLANA"/>
    <m/>
    <m/>
    <m/>
  </r>
  <r>
    <x v="1"/>
    <x v="1"/>
    <d v="2022-10-07T00:00:00"/>
    <d v="2022-10-07T00:00:00"/>
    <s v="FE001"/>
    <s v="NE 100015264"/>
    <n v="106721"/>
    <s v="Entregas - CN1791847776001"/>
    <m/>
    <s v="COCA"/>
    <n v="51010102"/>
    <s v="Costo de Ventas Coca"/>
    <m/>
    <n v="52.53"/>
    <n v="-52.53"/>
    <x v="1"/>
    <n v="673268.57"/>
    <s v="-52.53"/>
    <s v="ancueva"/>
    <n v="0"/>
    <m/>
    <s v="COCA-ORELLANA"/>
    <m/>
    <m/>
    <m/>
  </r>
  <r>
    <x v="1"/>
    <x v="1"/>
    <d v="2022-10-07T00:00:00"/>
    <d v="2022-10-07T00:00:00"/>
    <s v="FE001"/>
    <s v="RC 100000663"/>
    <n v="106724"/>
    <s v="Notas de crédito clientes - CN1791263308001"/>
    <m/>
    <s v="COCA"/>
    <s v="CN1791263308001"/>
    <s v="SERTECPET S.A."/>
    <n v="4033.82"/>
    <m/>
    <n v="4033.82"/>
    <x v="4"/>
    <n v="677302.39"/>
    <s v="4033.82"/>
    <s v="gcali"/>
    <n v="0"/>
    <m/>
    <s v="COCA-ORELLANA"/>
    <m/>
    <m/>
    <m/>
  </r>
  <r>
    <x v="1"/>
    <x v="1"/>
    <d v="2022-10-07T00:00:00"/>
    <d v="2022-10-07T00:00:00"/>
    <s v="FE001"/>
    <s v="NE 100015266"/>
    <n v="106725"/>
    <s v="Entregas - CN1791263308001"/>
    <m/>
    <s v="COCA"/>
    <n v="51010102"/>
    <s v="Costo de Ventas Coca"/>
    <m/>
    <n v="4033.82"/>
    <n v="-4033.82"/>
    <x v="1"/>
    <n v="673268.57"/>
    <s v="-4033.82"/>
    <s v="jcortiz"/>
    <n v="0"/>
    <m/>
    <s v="COCA-ORELLANA"/>
    <m/>
    <m/>
    <m/>
  </r>
  <r>
    <x v="1"/>
    <x v="1"/>
    <d v="2022-10-07T00:00:00"/>
    <d v="2022-10-07T00:00:00"/>
    <s v="FE001"/>
    <s v="IM 100003299"/>
    <n v="106728"/>
    <s v="Traslados - CN1792079160001"/>
    <m/>
    <m/>
    <n v="101060401"/>
    <s v="Inventario de prod. term. y mercad. en Bodega BULLSYPPLY  Quito"/>
    <n v="4844.82"/>
    <m/>
    <n v="4844.82"/>
    <x v="3"/>
    <n v="678113.39"/>
    <s v="4844.82"/>
    <s v="ancueva"/>
    <n v="0"/>
    <m/>
    <m/>
    <m/>
    <m/>
    <m/>
  </r>
  <r>
    <x v="1"/>
    <x v="1"/>
    <d v="2022-10-07T00:00:00"/>
    <d v="2022-10-07T00:00:00"/>
    <s v="FE001"/>
    <s v="IM 100003300"/>
    <n v="106731"/>
    <s v="Traslados - CN1792079160001"/>
    <m/>
    <m/>
    <n v="101060401"/>
    <s v="Inventario de prod. term. y mercad. en Bodega BULLSYPPLY  Quito"/>
    <n v="3411.35"/>
    <m/>
    <n v="3411.35"/>
    <x v="3"/>
    <n v="681524.74"/>
    <s v="3411.35"/>
    <s v="jcortiz"/>
    <n v="0"/>
    <m/>
    <m/>
    <m/>
    <m/>
    <m/>
  </r>
  <r>
    <x v="1"/>
    <x v="1"/>
    <d v="2022-10-07T00:00:00"/>
    <d v="2022-10-07T00:00:00"/>
    <s v="FE001"/>
    <s v="IM 100003301"/>
    <n v="106741"/>
    <s v="Traslados - CN1792079160001"/>
    <m/>
    <m/>
    <n v="101060401"/>
    <s v="Inventario de prod. term. y mercad. en Bodega BULLSYPPLY  Quito"/>
    <n v="157.44"/>
    <m/>
    <n v="157.44"/>
    <x v="3"/>
    <n v="681682.18"/>
    <s v="157.44"/>
    <s v="ancueva"/>
    <n v="0"/>
    <m/>
    <m/>
    <m/>
    <m/>
    <m/>
  </r>
  <r>
    <x v="1"/>
    <x v="1"/>
    <d v="2022-10-07T00:00:00"/>
    <d v="2022-10-07T00:00:00"/>
    <s v="FE001"/>
    <s v="IM 100003302"/>
    <n v="106743"/>
    <s v="Traslados - CN1792079160001"/>
    <m/>
    <m/>
    <n v="101060401"/>
    <s v="Inventario de prod. term. y mercad. en Bodega BULLSYPPLY  Quito"/>
    <m/>
    <n v="4235.28"/>
    <n v="-4235.28"/>
    <x v="3"/>
    <n v="677446.9"/>
    <s v="-4235.28"/>
    <s v="ancueva"/>
    <n v="0"/>
    <m/>
    <m/>
    <m/>
    <m/>
    <m/>
  </r>
  <r>
    <x v="1"/>
    <x v="1"/>
    <d v="2022-10-11T00:00:00"/>
    <d v="2022-10-11T00:00:00"/>
    <s v="Primario"/>
    <s v="DV 228"/>
    <n v="106770"/>
    <s v="Devoluciones - CN1792876745001"/>
    <m/>
    <s v="COCA"/>
    <n v="51010102"/>
    <s v="Costo de Ventas Coca"/>
    <n v="111.82"/>
    <m/>
    <n v="111.82"/>
    <x v="1"/>
    <n v="677558.72"/>
    <s v="111.82"/>
    <s v="jcortiz"/>
    <n v="0"/>
    <m/>
    <s v="COCA-ORELLANA"/>
    <m/>
    <m/>
    <m/>
  </r>
  <r>
    <x v="1"/>
    <x v="1"/>
    <d v="2022-10-11T00:00:00"/>
    <d v="2022-10-11T00:00:00"/>
    <s v="FE001"/>
    <s v="NE 100015274"/>
    <n v="106792"/>
    <s v="Entregas - CN1792322537001"/>
    <m/>
    <s v="COCA"/>
    <n v="51010102"/>
    <s v="Costo de Ventas Coca"/>
    <m/>
    <n v="337.67"/>
    <n v="-337.67"/>
    <x v="1"/>
    <n v="677221.05"/>
    <s v="-337.67"/>
    <s v="ancueva"/>
    <n v="0"/>
    <m/>
    <s v="COCA-ORELLANA"/>
    <m/>
    <m/>
    <m/>
  </r>
  <r>
    <x v="1"/>
    <x v="1"/>
    <d v="2022-10-11T00:00:00"/>
    <d v="2022-10-11T00:00:00"/>
    <s v="FE001"/>
    <s v="IM 100003303"/>
    <n v="106794"/>
    <s v="Traslados - CN1792079160001"/>
    <m/>
    <m/>
    <n v="101060409"/>
    <s v="Inventario de prod. term. y mercad. en Bodega de materiales defectuosos"/>
    <m/>
    <n v="3835.71"/>
    <n v="-3835.71"/>
    <x v="3"/>
    <n v="673385.34"/>
    <s v="-3835.71"/>
    <s v="jcortiz"/>
    <n v="0"/>
    <m/>
    <m/>
    <m/>
    <m/>
    <m/>
  </r>
  <r>
    <x v="1"/>
    <x v="1"/>
    <d v="2022-10-11T00:00:00"/>
    <d v="2022-10-11T00:00:00"/>
    <s v="FE001"/>
    <s v="NE 100015278"/>
    <n v="106821"/>
    <s v="Entregas - CN1791263308001"/>
    <m/>
    <s v="COCA"/>
    <n v="51010102"/>
    <s v="Costo de Ventas Coca"/>
    <m/>
    <n v="389.15"/>
    <n v="-389.15"/>
    <x v="1"/>
    <n v="672996.19"/>
    <s v="-389.15"/>
    <s v="ancueva"/>
    <n v="0"/>
    <m/>
    <s v="COCA-ORELLANA"/>
    <m/>
    <m/>
    <m/>
  </r>
  <r>
    <x v="1"/>
    <x v="1"/>
    <d v="2022-10-12T00:00:00"/>
    <d v="2022-10-12T00:00:00"/>
    <s v="FE001"/>
    <s v="NE 100015280"/>
    <n v="106843"/>
    <s v="Entregas - CN1792464161001"/>
    <m/>
    <s v="COCA"/>
    <n v="51010102"/>
    <s v="Costo de Ventas Coca"/>
    <m/>
    <n v="73.099999999999994"/>
    <n v="-73.099999999999994"/>
    <x v="1"/>
    <n v="672923.09"/>
    <s v="-73.10"/>
    <s v="ancueva"/>
    <n v="0"/>
    <m/>
    <s v="COCA-ORELLANA"/>
    <m/>
    <m/>
    <m/>
  </r>
  <r>
    <x v="1"/>
    <x v="1"/>
    <d v="2022-10-12T00:00:00"/>
    <d v="2022-10-12T00:00:00"/>
    <s v="FE001"/>
    <s v="NE 100015287"/>
    <n v="106882"/>
    <s v="Entregas - CN1791239245001"/>
    <m/>
    <s v="COCA"/>
    <n v="51010102"/>
    <s v="Costo de Ventas Coca"/>
    <m/>
    <n v="1069.3699999999999"/>
    <n v="-1069.3699999999999"/>
    <x v="1"/>
    <n v="671853.72"/>
    <s v="-1069.37"/>
    <s v="ancueva"/>
    <n v="0"/>
    <m/>
    <s v="COCA-ORELLANA"/>
    <m/>
    <m/>
    <m/>
  </r>
  <r>
    <x v="1"/>
    <x v="1"/>
    <d v="2022-10-12T00:00:00"/>
    <d v="2022-10-12T00:00:00"/>
    <s v="FE001"/>
    <s v="NE 100015288"/>
    <n v="106883"/>
    <s v="Entregas - CN1791265416001"/>
    <m/>
    <s v="COCA"/>
    <n v="51010102"/>
    <s v="Costo de Ventas Coca"/>
    <m/>
    <n v="21.02"/>
    <n v="-21.02"/>
    <x v="1"/>
    <n v="671832.7"/>
    <s v="-21.02"/>
    <s v="ancueva"/>
    <n v="0"/>
    <m/>
    <s v="COCA-ORELLANA"/>
    <m/>
    <m/>
    <m/>
  </r>
  <r>
    <x v="1"/>
    <x v="1"/>
    <d v="2022-10-12T00:00:00"/>
    <d v="2022-10-12T00:00:00"/>
    <s v="FE001"/>
    <s v="NE 100015289"/>
    <n v="106884"/>
    <s v="Entregas - CN1791265416001"/>
    <m/>
    <s v="COCA"/>
    <n v="51010102"/>
    <s v="Costo de Ventas Coca"/>
    <m/>
    <n v="14.83"/>
    <n v="-14.83"/>
    <x v="1"/>
    <n v="671817.87"/>
    <s v="-14.83"/>
    <s v="ancueva"/>
    <n v="0"/>
    <m/>
    <s v="COCA-ORELLANA"/>
    <m/>
    <m/>
    <m/>
  </r>
  <r>
    <x v="1"/>
    <x v="1"/>
    <d v="2022-10-12T00:00:00"/>
    <d v="2022-10-12T00:00:00"/>
    <s v="FE001"/>
    <s v="IM 100003306"/>
    <n v="106899"/>
    <s v="Traslados - CN1792079160001"/>
    <m/>
    <m/>
    <n v="101060401"/>
    <s v="Inventario de prod. term. y mercad. en Bodega BULLSYPPLY  Quito"/>
    <m/>
    <n v="4487.71"/>
    <n v="-4487.71"/>
    <x v="3"/>
    <n v="667330.16"/>
    <s v="-4487.71"/>
    <s v="ancueva"/>
    <n v="0"/>
    <m/>
    <m/>
    <m/>
    <m/>
    <m/>
  </r>
  <r>
    <x v="1"/>
    <x v="1"/>
    <d v="2022-10-12T00:00:00"/>
    <d v="2022-10-12T00:00:00"/>
    <s v="FE001"/>
    <s v="IM 100003306"/>
    <n v="106899"/>
    <s v="Traslados - CN1792079160001"/>
    <m/>
    <m/>
    <n v="101060401"/>
    <s v="Inventario de prod. term. y mercad. en Bodega BULLSYPPLY  Quito"/>
    <n v="486.92"/>
    <m/>
    <n v="486.92"/>
    <x v="3"/>
    <n v="667817.07999999996"/>
    <s v="486.92"/>
    <s v="ancueva"/>
    <n v="0"/>
    <m/>
    <m/>
    <m/>
    <m/>
    <m/>
  </r>
  <r>
    <x v="1"/>
    <x v="1"/>
    <d v="2022-10-12T00:00:00"/>
    <d v="2022-10-12T00:00:00"/>
    <s v="Primario"/>
    <s v="SM 560"/>
    <n v="106900"/>
    <s v="Salida de mercancías"/>
    <m/>
    <s v="COCA"/>
    <n v="51010102"/>
    <s v="Costo de Ventas Coca"/>
    <m/>
    <n v="242.94"/>
    <n v="-242.94"/>
    <x v="1"/>
    <n v="667574.14"/>
    <s v="-242.94"/>
    <s v="jcortiz"/>
    <n v="0"/>
    <m/>
    <s v="COCA-ORELLANA"/>
    <m/>
    <m/>
    <m/>
  </r>
  <r>
    <x v="1"/>
    <x v="1"/>
    <d v="2022-10-12T00:00:00"/>
    <d v="2022-10-12T00:00:00"/>
    <s v="Primario"/>
    <s v="EM 1707"/>
    <n v="106901"/>
    <s v="Entrada de mercancías"/>
    <m/>
    <m/>
    <n v="401030105"/>
    <s v="Otros Ingresos"/>
    <n v="251.68"/>
    <m/>
    <n v="251.68"/>
    <x v="5"/>
    <n v="667825.81999999995"/>
    <s v="251.68"/>
    <s v="jcortiz"/>
    <n v="0"/>
    <m/>
    <m/>
    <m/>
    <m/>
    <m/>
  </r>
  <r>
    <x v="1"/>
    <x v="1"/>
    <d v="2022-10-12T00:00:00"/>
    <d v="2022-10-12T00:00:00"/>
    <s v="FE001"/>
    <s v="NE 100015748"/>
    <n v="108857"/>
    <s v="Entrega - Cancelación - CN1791265416001"/>
    <m/>
    <s v="COCA"/>
    <n v="51010102"/>
    <s v="Costo de Ventas Coca"/>
    <n v="21.02"/>
    <m/>
    <n v="21.02"/>
    <x v="1"/>
    <n v="667846.84"/>
    <s v="21.02"/>
    <s v="jcortiz"/>
    <n v="0"/>
    <m/>
    <s v="COCA-ORELLANA"/>
    <m/>
    <m/>
    <m/>
  </r>
  <r>
    <x v="1"/>
    <x v="1"/>
    <d v="2022-10-13T00:00:00"/>
    <d v="2022-10-13T00:00:00"/>
    <s v="FE001"/>
    <s v="NE 100015291"/>
    <n v="106903"/>
    <s v="Entregas - CN1792371694001"/>
    <m/>
    <s v="COCA"/>
    <n v="51010102"/>
    <s v="Costo de Ventas Coca"/>
    <m/>
    <n v="246.57"/>
    <n v="-246.57"/>
    <x v="1"/>
    <n v="667600.27"/>
    <s v="-246.57"/>
    <s v="ancueva"/>
    <n v="0"/>
    <m/>
    <s v="COCA-ORELLANA"/>
    <m/>
    <m/>
    <m/>
  </r>
  <r>
    <x v="1"/>
    <x v="1"/>
    <d v="2022-10-13T00:00:00"/>
    <d v="2022-10-13T00:00:00"/>
    <s v="FE001"/>
    <s v="NE 100015292"/>
    <n v="106904"/>
    <s v="Entregas - CN1792371694001"/>
    <m/>
    <s v="COCA"/>
    <n v="51010102"/>
    <s v="Costo de Ventas Coca"/>
    <m/>
    <n v="431.5"/>
    <n v="-431.5"/>
    <x v="1"/>
    <n v="667168.77"/>
    <s v="-431.50"/>
    <s v="ancueva"/>
    <n v="0"/>
    <m/>
    <s v="COCA-ORELLANA"/>
    <m/>
    <m/>
    <m/>
  </r>
  <r>
    <x v="1"/>
    <x v="1"/>
    <d v="2022-10-13T00:00:00"/>
    <d v="2022-10-13T00:00:00"/>
    <s v="Primario"/>
    <s v="DV 230"/>
    <n v="106924"/>
    <s v="Devoluciones - CN1791263308001"/>
    <m/>
    <s v="COCA"/>
    <n v="51010102"/>
    <s v="Costo de Ventas Coca"/>
    <n v="349.7"/>
    <m/>
    <n v="349.7"/>
    <x v="1"/>
    <n v="667518.47"/>
    <s v="349.70"/>
    <s v="ancueva"/>
    <n v="0"/>
    <m/>
    <s v="COCA-ORELLANA"/>
    <m/>
    <m/>
    <m/>
  </r>
  <r>
    <x v="1"/>
    <x v="1"/>
    <d v="2022-10-13T00:00:00"/>
    <d v="2022-10-13T00:00:00"/>
    <s v="FE001"/>
    <s v="NE 100015296"/>
    <n v="106935"/>
    <s v="Entregas - CN1791239245001"/>
    <m/>
    <s v="COCA"/>
    <n v="51010102"/>
    <s v="Costo de Ventas Coca"/>
    <m/>
    <n v="1186.79"/>
    <n v="-1186.79"/>
    <x v="1"/>
    <n v="666331.68000000005"/>
    <s v="-1186.79"/>
    <s v="ancueva"/>
    <n v="0"/>
    <m/>
    <s v="COCA-ORELLANA"/>
    <m/>
    <m/>
    <m/>
  </r>
  <r>
    <x v="1"/>
    <x v="1"/>
    <d v="2022-10-13T00:00:00"/>
    <d v="2022-10-13T00:00:00"/>
    <s v="FE001"/>
    <s v="NE 100015297"/>
    <n v="106937"/>
    <s v="Entrega - Cancelación - CN1791239245001"/>
    <m/>
    <s v="COCA"/>
    <n v="51010102"/>
    <s v="Costo de Ventas Coca"/>
    <n v="1186.79"/>
    <m/>
    <n v="1186.79"/>
    <x v="1"/>
    <n v="667518.47"/>
    <s v="1186.79"/>
    <s v="ancueva"/>
    <n v="0"/>
    <m/>
    <s v="COCA-ORELLANA"/>
    <m/>
    <m/>
    <m/>
  </r>
  <r>
    <x v="1"/>
    <x v="1"/>
    <d v="2022-10-13T00:00:00"/>
    <d v="2022-10-13T00:00:00"/>
    <s v="FE001"/>
    <s v="NE 100015299"/>
    <n v="106941"/>
    <s v="Entregas - CN1791239245001"/>
    <m/>
    <s v="COCA"/>
    <n v="51010102"/>
    <s v="Costo de Ventas Coca"/>
    <m/>
    <n v="1186.79"/>
    <n v="-1186.79"/>
    <x v="1"/>
    <n v="666331.68000000005"/>
    <s v="-1186.79"/>
    <s v="ancueva"/>
    <n v="0"/>
    <m/>
    <s v="COCA-ORELLANA"/>
    <m/>
    <m/>
    <m/>
  </r>
  <r>
    <x v="1"/>
    <x v="1"/>
    <d v="2022-10-13T00:00:00"/>
    <d v="2022-10-13T00:00:00"/>
    <s v="FE001"/>
    <s v="NE 100015303"/>
    <n v="106950"/>
    <s v="Entregas - CN1715188270001"/>
    <m/>
    <s v="COCA"/>
    <n v="51010102"/>
    <s v="Costo de Ventas Coca"/>
    <m/>
    <n v="11.72"/>
    <n v="-11.72"/>
    <x v="1"/>
    <n v="666319.96"/>
    <s v="-11.72"/>
    <s v="ancueva"/>
    <n v="0"/>
    <m/>
    <s v="COCA-ORELLANA"/>
    <m/>
    <m/>
    <m/>
  </r>
  <r>
    <x v="1"/>
    <x v="1"/>
    <d v="2022-10-13T00:00:00"/>
    <d v="2022-10-13T00:00:00"/>
    <s v="FE001"/>
    <s v="IM 100003308"/>
    <n v="106953"/>
    <s v="Traslados - CN1792079160001"/>
    <m/>
    <m/>
    <n v="101060401"/>
    <s v="Inventario de prod. term. y mercad. en Bodega BULLSYPPLY  Quito"/>
    <n v="139240"/>
    <m/>
    <n v="139240"/>
    <x v="3"/>
    <n v="805559.96"/>
    <s v="139240.00"/>
    <s v="jcortiz"/>
    <n v="0"/>
    <m/>
    <m/>
    <m/>
    <m/>
    <m/>
  </r>
  <r>
    <x v="1"/>
    <x v="1"/>
    <d v="2022-10-13T00:00:00"/>
    <d v="2022-10-13T00:00:00"/>
    <s v="FE001"/>
    <s v="IM 100003309"/>
    <n v="106956"/>
    <s v="Traslados -"/>
    <m/>
    <m/>
    <n v="101060401"/>
    <s v="Inventario de prod. term. y mercad. en Bodega BULLSYPPLY  Quito"/>
    <m/>
    <n v="139233.51"/>
    <n v="-139233.51"/>
    <x v="3"/>
    <n v="666326.44999999995"/>
    <s v="-139233.51"/>
    <s v="jcortiz"/>
    <n v="0"/>
    <m/>
    <m/>
    <m/>
    <m/>
    <m/>
  </r>
  <r>
    <x v="1"/>
    <x v="1"/>
    <d v="2022-10-13T00:00:00"/>
    <d v="2022-10-13T00:00:00"/>
    <s v="FE001"/>
    <s v="IM 100003310"/>
    <n v="106957"/>
    <s v="Traslados - CN1792079160001"/>
    <m/>
    <m/>
    <n v="101060401"/>
    <s v="Inventario de prod. term. y mercad. en Bodega BULLSYPPLY  Quito"/>
    <m/>
    <n v="251.68"/>
    <n v="-251.68"/>
    <x v="3"/>
    <n v="666074.77"/>
    <s v="-251.68"/>
    <s v="jcortiz"/>
    <n v="0"/>
    <m/>
    <m/>
    <m/>
    <m/>
    <m/>
  </r>
  <r>
    <x v="1"/>
    <x v="1"/>
    <d v="2022-10-13T00:00:00"/>
    <d v="2022-10-13T00:00:00"/>
    <s v="FE001"/>
    <s v="IM 100003311"/>
    <n v="106958"/>
    <s v="Traslados -"/>
    <m/>
    <m/>
    <n v="101060401"/>
    <s v="Inventario de prod. term. y mercad. en Bodega BULLSYPPLY  Quito"/>
    <n v="251.68"/>
    <m/>
    <n v="251.68"/>
    <x v="3"/>
    <n v="666326.44999999995"/>
    <s v="251.68"/>
    <s v="jcortiz"/>
    <n v="0"/>
    <m/>
    <m/>
    <m/>
    <m/>
    <m/>
  </r>
  <r>
    <x v="1"/>
    <x v="1"/>
    <d v="2022-10-13T00:00:00"/>
    <d v="2022-10-13T00:00:00"/>
    <s v="FE001"/>
    <s v="IM 100003312"/>
    <n v="106964"/>
    <s v="Traslados - CN1792079160001"/>
    <m/>
    <m/>
    <n v="101060401"/>
    <s v="Inventario de prod. term. y mercad. en Bodega BULLSYPPLY  Quito"/>
    <n v="774.54"/>
    <m/>
    <n v="774.54"/>
    <x v="3"/>
    <n v="667100.99"/>
    <s v="774.54"/>
    <s v="jcortiz"/>
    <n v="0"/>
    <m/>
    <m/>
    <m/>
    <m/>
    <m/>
  </r>
  <r>
    <x v="1"/>
    <x v="1"/>
    <d v="2022-10-13T00:00:00"/>
    <d v="2022-10-13T00:00:00"/>
    <s v="FE001"/>
    <s v="NE 100015305"/>
    <n v="106973"/>
    <s v="Entregas - CN1791847776001"/>
    <m/>
    <s v="COCA"/>
    <n v="51010102"/>
    <s v="Costo de Ventas Coca"/>
    <m/>
    <n v="102.04"/>
    <n v="-102.04"/>
    <x v="1"/>
    <n v="666998.94999999995"/>
    <s v="-102.04"/>
    <s v="ancueva"/>
    <n v="0"/>
    <m/>
    <s v="COCA-ORELLANA"/>
    <m/>
    <m/>
    <m/>
  </r>
  <r>
    <x v="1"/>
    <x v="1"/>
    <d v="2022-10-13T00:00:00"/>
    <d v="2022-10-13T00:00:00"/>
    <s v="FE001"/>
    <s v="IM 100003313"/>
    <n v="106979"/>
    <s v="Traslados - CN1792079160001"/>
    <m/>
    <m/>
    <n v="101060401"/>
    <s v="Inventario de prod. term. y mercad. en Bodega BULLSYPPLY  Quito"/>
    <m/>
    <n v="73.099999999999994"/>
    <n v="-73.099999999999994"/>
    <x v="3"/>
    <n v="666925.85"/>
    <s v="-73.10"/>
    <s v="ancueva"/>
    <n v="0"/>
    <m/>
    <m/>
    <m/>
    <m/>
    <m/>
  </r>
  <r>
    <x v="1"/>
    <x v="1"/>
    <d v="2022-10-13T00:00:00"/>
    <d v="2022-10-13T00:00:00"/>
    <s v="FE001"/>
    <s v="NE 100015309"/>
    <n v="106990"/>
    <s v="Entregas - CN1791263308001"/>
    <m/>
    <s v="COCA"/>
    <n v="51010102"/>
    <s v="Costo de Ventas Coca"/>
    <m/>
    <n v="224.09"/>
    <n v="-224.09"/>
    <x v="1"/>
    <n v="666701.76"/>
    <s v="-224.09"/>
    <s v="jcortiz"/>
    <n v="0"/>
    <m/>
    <s v="COCA-ORELLANA"/>
    <m/>
    <m/>
    <m/>
  </r>
  <r>
    <x v="1"/>
    <x v="1"/>
    <d v="2022-10-13T00:00:00"/>
    <d v="2022-10-13T00:00:00"/>
    <s v="FE001"/>
    <s v="IM 100003315"/>
    <n v="107009"/>
    <s v="Traslados - CN1792079160001"/>
    <m/>
    <m/>
    <n v="101060401"/>
    <s v="Inventario de prod. term. y mercad. en Bodega BULLSYPPLY  Quito"/>
    <n v="264.25"/>
    <m/>
    <n v="264.25"/>
    <x v="3"/>
    <n v="666966.01"/>
    <s v="264.25"/>
    <s v="jcortiz"/>
    <n v="0"/>
    <m/>
    <m/>
    <m/>
    <m/>
    <m/>
  </r>
  <r>
    <x v="1"/>
    <x v="1"/>
    <d v="2022-10-14T00:00:00"/>
    <d v="2022-10-14T00:00:00"/>
    <s v="FE001"/>
    <s v="NE 100015314"/>
    <n v="107010"/>
    <s v="Entregas - CN2290316882001"/>
    <m/>
    <s v="COCA"/>
    <n v="51010102"/>
    <s v="Costo de Ventas Coca"/>
    <m/>
    <n v="264.25"/>
    <n v="-264.25"/>
    <x v="1"/>
    <n v="666701.76"/>
    <s v="-264.25"/>
    <s v="ancueva"/>
    <n v="0"/>
    <m/>
    <s v="COCA-ORELLANA"/>
    <m/>
    <m/>
    <m/>
  </r>
  <r>
    <x v="1"/>
    <x v="1"/>
    <d v="2022-10-14T00:00:00"/>
    <d v="2022-10-14T00:00:00"/>
    <s v="FE001"/>
    <s v="IM 100003316"/>
    <n v="107013"/>
    <s v="Traslados - CN1792079160001"/>
    <m/>
    <m/>
    <n v="101060401"/>
    <s v="Inventario de prod. term. y mercad. en Bodega BULLSYPPLY  Quito"/>
    <m/>
    <n v="399.56"/>
    <n v="-399.56"/>
    <x v="3"/>
    <n v="666302.19999999995"/>
    <s v="-399.56"/>
    <s v="ancueva"/>
    <n v="0"/>
    <m/>
    <m/>
    <m/>
    <m/>
    <m/>
  </r>
  <r>
    <x v="1"/>
    <x v="1"/>
    <d v="2022-10-14T00:00:00"/>
    <d v="2022-10-14T00:00:00"/>
    <s v="FE001"/>
    <s v="IM 100003317"/>
    <n v="107014"/>
    <s v="Traslados - CN1792079160001"/>
    <m/>
    <m/>
    <n v="101060401"/>
    <s v="Inventario de prod. term. y mercad. en Bodega BULLSYPPLY  Quito"/>
    <n v="133.19"/>
    <m/>
    <n v="133.19"/>
    <x v="3"/>
    <n v="666435.39"/>
    <s v="133.19"/>
    <s v="jcortiz"/>
    <n v="0"/>
    <m/>
    <m/>
    <m/>
    <m/>
    <m/>
  </r>
  <r>
    <x v="1"/>
    <x v="1"/>
    <d v="2022-10-14T00:00:00"/>
    <d v="2022-10-14T00:00:00"/>
    <s v="FE001"/>
    <s v="NE 100015315"/>
    <n v="107015"/>
    <s v="Entregas - CN1791259505001"/>
    <m/>
    <s v="COCA"/>
    <n v="51010102"/>
    <s v="Costo de Ventas Coca"/>
    <m/>
    <n v="399.56"/>
    <n v="-399.56"/>
    <x v="1"/>
    <n v="666035.82999999996"/>
    <s v="-399.56"/>
    <s v="jcortiz"/>
    <n v="0"/>
    <m/>
    <s v="COCA-ORELLANA"/>
    <m/>
    <m/>
    <m/>
  </r>
  <r>
    <x v="1"/>
    <x v="1"/>
    <d v="2022-10-14T00:00:00"/>
    <d v="2022-10-14T00:00:00"/>
    <s v="FE001"/>
    <s v="IM 100003319"/>
    <n v="107018"/>
    <s v="Traslados -"/>
    <m/>
    <m/>
    <n v="101060401"/>
    <s v="Inventario de prod. term. y mercad. en Bodega BULLSYPPLY  Quito"/>
    <n v="146896.03"/>
    <m/>
    <n v="146896.03"/>
    <x v="3"/>
    <n v="812931.86"/>
    <s v="146896.03"/>
    <s v="jcortiz"/>
    <n v="0"/>
    <m/>
    <m/>
    <m/>
    <m/>
    <m/>
  </r>
  <r>
    <x v="1"/>
    <x v="1"/>
    <d v="2022-10-14T00:00:00"/>
    <d v="2022-10-14T00:00:00"/>
    <s v="FE001"/>
    <s v="IM 100003320"/>
    <n v="107019"/>
    <s v="Traslados - CN1792079160001"/>
    <m/>
    <m/>
    <n v="101060401"/>
    <s v="Inventario de prod. term. y mercad. en Bodega BULLSYPPLY  Quito"/>
    <n v="73.099999999999994"/>
    <m/>
    <n v="73.099999999999994"/>
    <x v="3"/>
    <n v="813004.96"/>
    <s v="73.10"/>
    <s v="jcortiz"/>
    <n v="0"/>
    <m/>
    <m/>
    <m/>
    <m/>
    <m/>
  </r>
  <r>
    <x v="1"/>
    <x v="1"/>
    <d v="2022-10-14T00:00:00"/>
    <d v="2022-10-14T00:00:00"/>
    <s v="FE001"/>
    <s v="IM 100003321"/>
    <n v="107020"/>
    <s v="Traslados -"/>
    <m/>
    <m/>
    <n v="101060401"/>
    <s v="Inventario de prod. term. y mercad. en Bodega BULLSYPPLY  Quito"/>
    <m/>
    <n v="73.099999999999994"/>
    <n v="-73.099999999999994"/>
    <x v="3"/>
    <n v="812931.86"/>
    <s v="-73.10"/>
    <s v="jcortiz"/>
    <n v="0"/>
    <m/>
    <m/>
    <m/>
    <m/>
    <m/>
  </r>
  <r>
    <x v="1"/>
    <x v="1"/>
    <d v="2022-10-14T00:00:00"/>
    <d v="2022-10-14T00:00:00"/>
    <s v="FE001"/>
    <s v="NE 100015324"/>
    <n v="107039"/>
    <s v="Entregas - CN1792371694001"/>
    <m/>
    <s v="COCA"/>
    <n v="51010102"/>
    <s v="Costo de Ventas Coca"/>
    <m/>
    <n v="69.06"/>
    <n v="-69.06"/>
    <x v="1"/>
    <n v="812862.8"/>
    <s v="-69.06"/>
    <s v="ancueva"/>
    <n v="0"/>
    <m/>
    <s v="COCA-ORELLANA"/>
    <m/>
    <m/>
    <m/>
  </r>
  <r>
    <x v="1"/>
    <x v="1"/>
    <d v="2022-10-17T00:00:00"/>
    <d v="2022-10-17T00:00:00"/>
    <s v="FE001"/>
    <s v="NE 100015327"/>
    <n v="107060"/>
    <s v="Entregas - CN1792371694001"/>
    <m/>
    <s v="COCA"/>
    <n v="51010102"/>
    <s v="Costo de Ventas Coca"/>
    <m/>
    <n v="774.54"/>
    <n v="-774.54"/>
    <x v="1"/>
    <n v="812088.26"/>
    <s v="-774.54"/>
    <s v="ancueva"/>
    <n v="0"/>
    <m/>
    <s v="COCA-ORELLANA"/>
    <m/>
    <m/>
    <m/>
  </r>
  <r>
    <x v="1"/>
    <x v="1"/>
    <d v="2022-10-17T00:00:00"/>
    <d v="2022-10-17T00:00:00"/>
    <s v="FE001"/>
    <s v="NE 100015332"/>
    <n v="107065"/>
    <s v="Entregas - CN1791804619001"/>
    <m/>
    <s v="COCA"/>
    <n v="51010102"/>
    <s v="Costo de Ventas Coca"/>
    <m/>
    <n v="2876.84"/>
    <n v="-2876.84"/>
    <x v="1"/>
    <n v="809211.42"/>
    <s v="-2876.84"/>
    <s v="ancueva"/>
    <n v="0"/>
    <m/>
    <s v="COCA-ORELLANA"/>
    <m/>
    <m/>
    <m/>
  </r>
  <r>
    <x v="1"/>
    <x v="1"/>
    <d v="2022-10-17T00:00:00"/>
    <d v="2022-10-17T00:00:00"/>
    <s v="Primario"/>
    <s v="EM 1708"/>
    <n v="107067"/>
    <s v="Entrada de mercancías"/>
    <m/>
    <m/>
    <n v="401030105"/>
    <s v="Otros Ingresos"/>
    <n v="101.52"/>
    <m/>
    <n v="101.52"/>
    <x v="5"/>
    <n v="809312.94"/>
    <s v="101.52"/>
    <s v="jcortiz"/>
    <n v="0"/>
    <m/>
    <m/>
    <m/>
    <m/>
    <m/>
  </r>
  <r>
    <x v="1"/>
    <x v="1"/>
    <d v="2022-10-17T00:00:00"/>
    <d v="2022-10-17T00:00:00"/>
    <s v="FE001"/>
    <s v="IM 100003322"/>
    <n v="107071"/>
    <s v="Traslados - CN1792079160001"/>
    <m/>
    <m/>
    <n v="101060401"/>
    <s v="Inventario de prod. term. y mercad. en Bodega BULLSYPPLY  Quito"/>
    <m/>
    <n v="520"/>
    <n v="-520"/>
    <x v="3"/>
    <n v="808792.94"/>
    <s v="-520.00"/>
    <s v="jcortiz"/>
    <n v="0"/>
    <m/>
    <m/>
    <m/>
    <m/>
    <m/>
  </r>
  <r>
    <x v="1"/>
    <x v="1"/>
    <d v="2022-10-17T00:00:00"/>
    <d v="2022-10-17T00:00:00"/>
    <s v="FE001"/>
    <s v="NE 100015333"/>
    <n v="107072"/>
    <s v="Entregas - CN1792013585001"/>
    <m/>
    <s v="COCA"/>
    <n v="51010102"/>
    <s v="Costo de Ventas Coca"/>
    <m/>
    <n v="123.77"/>
    <n v="-123.77"/>
    <x v="1"/>
    <n v="808669.17"/>
    <s v="-123.77"/>
    <s v="ancueva"/>
    <n v="0"/>
    <m/>
    <s v="COCA-ORELLANA"/>
    <m/>
    <m/>
    <m/>
  </r>
  <r>
    <x v="1"/>
    <x v="1"/>
    <d v="2022-10-17T00:00:00"/>
    <d v="2022-10-17T00:00:00"/>
    <s v="FE001"/>
    <s v="NE 100015336"/>
    <n v="107078"/>
    <s v="Entregas - CN1791263308001"/>
    <m/>
    <s v="COCA"/>
    <n v="51010102"/>
    <s v="Costo de Ventas Coca"/>
    <m/>
    <n v="875.25"/>
    <n v="-875.25"/>
    <x v="1"/>
    <n v="807793.92"/>
    <s v="-875.25"/>
    <s v="ancueva"/>
    <n v="0"/>
    <m/>
    <s v="COCA-ORELLANA"/>
    <m/>
    <m/>
    <m/>
  </r>
  <r>
    <x v="1"/>
    <x v="1"/>
    <d v="2022-10-17T00:00:00"/>
    <d v="2022-10-17T00:00:00"/>
    <s v="FE001"/>
    <s v="NE 100015337"/>
    <n v="107079"/>
    <s v="Entregas - CN1791263308001"/>
    <m/>
    <s v="COCA"/>
    <n v="51010102"/>
    <s v="Costo de Ventas Coca"/>
    <m/>
    <n v="262.77"/>
    <n v="-262.77"/>
    <x v="1"/>
    <n v="807531.15"/>
    <s v="-262.77"/>
    <s v="ancueva"/>
    <n v="0"/>
    <m/>
    <s v="COCA-ORELLANA"/>
    <m/>
    <m/>
    <m/>
  </r>
  <r>
    <x v="1"/>
    <x v="1"/>
    <d v="2022-10-17T00:00:00"/>
    <d v="2022-10-17T00:00:00"/>
    <s v="FE001"/>
    <s v="NE 100015338"/>
    <n v="107080"/>
    <s v="Entregas - CN1791263308001"/>
    <m/>
    <s v="COCA"/>
    <n v="51010102"/>
    <s v="Costo de Ventas Coca"/>
    <m/>
    <n v="90.82"/>
    <n v="-90.82"/>
    <x v="1"/>
    <n v="807440.33"/>
    <s v="-90.82"/>
    <s v="ancueva"/>
    <n v="0"/>
    <m/>
    <s v="COCA-ORELLANA"/>
    <m/>
    <m/>
    <m/>
  </r>
  <r>
    <x v="1"/>
    <x v="1"/>
    <d v="2022-10-17T00:00:00"/>
    <d v="2022-10-17T00:00:00"/>
    <s v="FE001"/>
    <s v="IM 100003323"/>
    <n v="107084"/>
    <s v="Traslados - CN1792079160001"/>
    <m/>
    <m/>
    <n v="101060401"/>
    <s v="Inventario de prod. term. y mercad. en Bodega BULLSYPPLY  Quito"/>
    <n v="57178.87"/>
    <m/>
    <n v="57178.87"/>
    <x v="3"/>
    <n v="864619.2"/>
    <s v="57178.87"/>
    <s v="jcortiz"/>
    <n v="0"/>
    <m/>
    <m/>
    <m/>
    <m/>
    <m/>
  </r>
  <r>
    <x v="1"/>
    <x v="1"/>
    <d v="2022-10-18T00:00:00"/>
    <d v="2022-10-18T00:00:00"/>
    <s v="FE001"/>
    <s v="IM 100003324"/>
    <n v="107107"/>
    <s v="Traslados - CN1792079160001"/>
    <m/>
    <m/>
    <n v="101060409"/>
    <s v="Inventario de prod. term. y mercad. en Bodega de materiales defectuosos"/>
    <m/>
    <n v="196.54"/>
    <n v="-196.54"/>
    <x v="3"/>
    <n v="864422.66"/>
    <s v="-196.54"/>
    <s v="ancueva"/>
    <n v="0"/>
    <m/>
    <m/>
    <m/>
    <m/>
    <m/>
  </r>
  <r>
    <x v="1"/>
    <x v="1"/>
    <d v="2022-10-18T00:00:00"/>
    <d v="2022-10-18T00:00:00"/>
    <s v="FE001"/>
    <s v="NE 100015348"/>
    <n v="107108"/>
    <s v="Entregas - CN1791263308001"/>
    <m/>
    <s v="COCA"/>
    <n v="51010102"/>
    <s v="Costo de Ventas Coca"/>
    <m/>
    <n v="37.54"/>
    <n v="-37.54"/>
    <x v="1"/>
    <n v="864385.12"/>
    <s v="-37.54"/>
    <s v="ancueva"/>
    <n v="0"/>
    <m/>
    <s v="COCA-ORELLANA"/>
    <m/>
    <m/>
    <m/>
  </r>
  <r>
    <x v="1"/>
    <x v="1"/>
    <d v="2022-10-18T00:00:00"/>
    <d v="2022-10-18T00:00:00"/>
    <s v="FE001"/>
    <s v="IM 100003325"/>
    <n v="107130"/>
    <s v="Traslados - CN1792079160001"/>
    <m/>
    <m/>
    <n v="101060409"/>
    <s v="Inventario de prod. term. y mercad. en Bodega de materiales defectuosos"/>
    <n v="2651.4"/>
    <m/>
    <n v="2651.4"/>
    <x v="3"/>
    <n v="867036.52"/>
    <s v="2651.40"/>
    <s v="jcortiz"/>
    <n v="0"/>
    <m/>
    <m/>
    <m/>
    <m/>
    <m/>
  </r>
  <r>
    <x v="1"/>
    <x v="1"/>
    <d v="2022-10-18T00:00:00"/>
    <d v="2022-10-18T00:00:00"/>
    <s v="FE001"/>
    <s v="IM 100003325"/>
    <n v="107130"/>
    <s v="Traslados - CN1792079160001"/>
    <m/>
    <m/>
    <n v="101060409"/>
    <s v="Inventario de prod. term. y mercad. en Bodega de materiales defectuosos"/>
    <m/>
    <n v="390.83"/>
    <n v="-390.83"/>
    <x v="3"/>
    <n v="866645.69"/>
    <s v="-390.83"/>
    <s v="jcortiz"/>
    <n v="0"/>
    <m/>
    <m/>
    <m/>
    <m/>
    <m/>
  </r>
  <r>
    <x v="1"/>
    <x v="1"/>
    <d v="2022-10-18T00:00:00"/>
    <d v="2022-10-18T00:00:00"/>
    <s v="FE001"/>
    <s v="NE 100015356"/>
    <n v="107181"/>
    <s v="Entregas - CN1791263308001"/>
    <m/>
    <s v="COCA"/>
    <n v="51010102"/>
    <s v="Costo de Ventas Coca"/>
    <m/>
    <n v="433.55"/>
    <n v="-433.55"/>
    <x v="1"/>
    <n v="866212.14"/>
    <s v="-433.55"/>
    <s v="jcortiz"/>
    <n v="0"/>
    <m/>
    <s v="COCA-ORELLANA"/>
    <m/>
    <m/>
    <m/>
  </r>
  <r>
    <x v="1"/>
    <x v="1"/>
    <d v="2022-10-18T00:00:00"/>
    <d v="2022-10-18T00:00:00"/>
    <s v="FE001"/>
    <s v="NE 100015357"/>
    <n v="107182"/>
    <s v="Entrega - Cancelación - CN1791263308001"/>
    <m/>
    <s v="COCA"/>
    <n v="51010102"/>
    <s v="Costo de Ventas Coca"/>
    <n v="433.55"/>
    <m/>
    <n v="433.55"/>
    <x v="1"/>
    <n v="866645.69"/>
    <s v="433.55"/>
    <s v="jcortiz"/>
    <n v="0"/>
    <m/>
    <s v="COCA-ORELLANA"/>
    <m/>
    <m/>
    <m/>
  </r>
  <r>
    <x v="1"/>
    <x v="1"/>
    <d v="2022-10-18T00:00:00"/>
    <d v="2022-10-18T00:00:00"/>
    <s v="FE001"/>
    <s v="NE 100015359"/>
    <n v="107187"/>
    <s v="Entregas - CN1791263308001"/>
    <m/>
    <s v="COCA"/>
    <n v="51010102"/>
    <s v="Costo de Ventas Coca"/>
    <m/>
    <n v="433.55"/>
    <n v="-433.55"/>
    <x v="1"/>
    <n v="866212.14"/>
    <s v="-433.55"/>
    <s v="ancueva"/>
    <n v="0"/>
    <m/>
    <s v="COCA-ORELLANA"/>
    <m/>
    <m/>
    <m/>
  </r>
  <r>
    <x v="1"/>
    <x v="1"/>
    <d v="2022-10-18T00:00:00"/>
    <d v="2022-10-18T00:00:00"/>
    <s v="FE001"/>
    <s v="IM 100003327"/>
    <n v="107190"/>
    <s v="Traslados - CN1792079160001"/>
    <m/>
    <m/>
    <n v="101060401"/>
    <s v="Inventario de prod. term. y mercad. en Bodega BULLSYPPLY  Quito"/>
    <n v="351.52"/>
    <m/>
    <n v="351.52"/>
    <x v="3"/>
    <n v="866563.66"/>
    <s v="351.52"/>
    <s v="jcortiz"/>
    <n v="0"/>
    <m/>
    <m/>
    <m/>
    <m/>
    <m/>
  </r>
  <r>
    <x v="1"/>
    <x v="1"/>
    <d v="2022-10-18T00:00:00"/>
    <d v="2022-10-18T00:00:00"/>
    <s v="FE001"/>
    <s v="NE 100015360"/>
    <n v="107196"/>
    <s v="Entregas - CN1791263308001"/>
    <m/>
    <s v="COCA"/>
    <n v="51010102"/>
    <s v="Costo de Ventas Coca"/>
    <m/>
    <n v="37.54"/>
    <n v="-37.54"/>
    <x v="1"/>
    <n v="866526.12"/>
    <s v="-37.54"/>
    <s v="ancueva"/>
    <n v="0"/>
    <m/>
    <s v="COCA-ORELLANA"/>
    <m/>
    <m/>
    <m/>
  </r>
  <r>
    <x v="1"/>
    <x v="1"/>
    <d v="2022-10-18T00:00:00"/>
    <d v="2022-10-18T00:00:00"/>
    <s v="FE001"/>
    <s v="NE 100015361"/>
    <n v="107200"/>
    <s v="Entregas - CN2100329800001"/>
    <m/>
    <s v="COCA"/>
    <n v="51010102"/>
    <s v="Costo de Ventas Coca"/>
    <m/>
    <n v="703.04"/>
    <n v="-703.04"/>
    <x v="1"/>
    <n v="865823.08"/>
    <s v="-703.04"/>
    <s v="ancueva"/>
    <n v="0"/>
    <m/>
    <s v="COCA-ORELLANA"/>
    <m/>
    <m/>
    <m/>
  </r>
  <r>
    <x v="1"/>
    <x v="1"/>
    <d v="2022-10-18T00:00:00"/>
    <d v="2022-10-18T00:00:00"/>
    <s v="FE001"/>
    <s v="NE 100015362"/>
    <n v="107204"/>
    <s v="Entregas - CN2100329800001"/>
    <m/>
    <s v="COCA"/>
    <n v="51010102"/>
    <s v="Costo de Ventas Coca"/>
    <m/>
    <n v="856.07"/>
    <n v="-856.07"/>
    <x v="1"/>
    <n v="864967.01"/>
    <s v="-856.07"/>
    <s v="ancueva"/>
    <n v="0"/>
    <m/>
    <s v="COCA-ORELLANA"/>
    <m/>
    <m/>
    <m/>
  </r>
  <r>
    <x v="1"/>
    <x v="1"/>
    <d v="2022-10-19T00:00:00"/>
    <d v="2022-10-19T00:00:00"/>
    <s v="FE001"/>
    <s v="NE 100015363"/>
    <n v="107209"/>
    <s v="Entregas - CN1791768825001"/>
    <m/>
    <s v="COCA"/>
    <n v="51010102"/>
    <s v="Costo de Ventas Coca"/>
    <m/>
    <n v="1854.03"/>
    <n v="-1854.03"/>
    <x v="1"/>
    <n v="863112.98"/>
    <s v="-1854.03"/>
    <s v="ancueva"/>
    <n v="0"/>
    <m/>
    <s v="COCA-ORELLANA"/>
    <m/>
    <m/>
    <m/>
  </r>
  <r>
    <x v="1"/>
    <x v="1"/>
    <d v="2022-10-19T00:00:00"/>
    <d v="2022-10-19T00:00:00"/>
    <s v="FE001"/>
    <s v="NE 100015364"/>
    <n v="107212"/>
    <s v="Entregas - CN2100329800001"/>
    <m/>
    <s v="COCA"/>
    <n v="51010102"/>
    <s v="Costo de Ventas Coca"/>
    <m/>
    <n v="351.52"/>
    <n v="-351.52"/>
    <x v="1"/>
    <n v="862761.46"/>
    <s v="-351.52"/>
    <s v="ancueva"/>
    <n v="0"/>
    <m/>
    <s v="COCA-ORELLANA"/>
    <m/>
    <m/>
    <m/>
  </r>
  <r>
    <x v="1"/>
    <x v="1"/>
    <d v="2022-10-19T00:00:00"/>
    <d v="2022-10-19T00:00:00"/>
    <s v="FE001"/>
    <s v="NE 100015365"/>
    <n v="107215"/>
    <s v="Entregas - CN1791263308001"/>
    <m/>
    <s v="COCA"/>
    <n v="51010102"/>
    <s v="Costo de Ventas Coca"/>
    <m/>
    <n v="4461.8599999999997"/>
    <n v="-4461.8599999999997"/>
    <x v="1"/>
    <n v="858299.6"/>
    <s v="-4461.86"/>
    <s v="ancueva"/>
    <n v="0"/>
    <m/>
    <s v="COCA-ORELLANA"/>
    <m/>
    <m/>
    <m/>
  </r>
  <r>
    <x v="1"/>
    <x v="1"/>
    <d v="2022-10-19T00:00:00"/>
    <d v="2022-10-19T00:00:00"/>
    <s v="FE001"/>
    <s v="NE 100015368"/>
    <n v="107220"/>
    <s v="Entregas - CN1791263308001"/>
    <m/>
    <s v="COCA"/>
    <n v="51010102"/>
    <s v="Costo de Ventas Coca"/>
    <m/>
    <n v="815.4"/>
    <n v="-815.4"/>
    <x v="1"/>
    <n v="857484.2"/>
    <s v="-815.40"/>
    <s v="ancueva"/>
    <n v="0"/>
    <m/>
    <s v="COCA-ORELLANA"/>
    <m/>
    <m/>
    <m/>
  </r>
  <r>
    <x v="1"/>
    <x v="1"/>
    <d v="2022-10-19T00:00:00"/>
    <d v="2022-10-19T00:00:00"/>
    <s v="FE001"/>
    <s v="NE 100015370"/>
    <n v="107229"/>
    <s v="Entregas - CN1791263308001"/>
    <m/>
    <s v="COCA"/>
    <n v="51010102"/>
    <s v="Costo de Ventas Coca"/>
    <m/>
    <n v="141.01"/>
    <n v="-141.01"/>
    <x v="1"/>
    <n v="857343.19"/>
    <s v="-141.01"/>
    <s v="ancueva"/>
    <n v="0"/>
    <m/>
    <s v="COCA-ORELLANA"/>
    <m/>
    <m/>
    <m/>
  </r>
  <r>
    <x v="1"/>
    <x v="1"/>
    <d v="2022-10-19T00:00:00"/>
    <d v="2022-10-19T00:00:00"/>
    <s v="FE001"/>
    <s v="NE 100015371"/>
    <n v="107230"/>
    <s v="Entregas - CN1791263308001"/>
    <m/>
    <s v="COCA"/>
    <n v="51010102"/>
    <s v="Costo de Ventas Coca"/>
    <m/>
    <n v="1701.03"/>
    <n v="-1701.03"/>
    <x v="1"/>
    <n v="855642.16"/>
    <s v="-1701.03"/>
    <s v="ancueva"/>
    <n v="0"/>
    <m/>
    <s v="COCA-ORELLANA"/>
    <m/>
    <m/>
    <m/>
  </r>
  <r>
    <x v="1"/>
    <x v="1"/>
    <d v="2022-10-19T00:00:00"/>
    <d v="2022-10-19T00:00:00"/>
    <s v="FE001"/>
    <s v="NE 100015372"/>
    <n v="107239"/>
    <s v="Entregas - CN1791263308001"/>
    <m/>
    <s v="COCA"/>
    <n v="51010102"/>
    <s v="Costo de Ventas Coca"/>
    <m/>
    <n v="1520.11"/>
    <n v="-1520.11"/>
    <x v="1"/>
    <n v="854122.05"/>
    <s v="-1520.11"/>
    <s v="ancueva"/>
    <n v="0"/>
    <m/>
    <s v="COCA-ORELLANA"/>
    <m/>
    <m/>
    <m/>
  </r>
  <r>
    <x v="1"/>
    <x v="1"/>
    <d v="2022-10-19T00:00:00"/>
    <d v="2022-10-19T00:00:00"/>
    <s v="FE001"/>
    <s v="IM 100003331"/>
    <n v="107246"/>
    <s v="Traslados - CN1792079160001"/>
    <m/>
    <m/>
    <n v="101060401"/>
    <s v="Inventario de prod. term. y mercad. en Bodega BULLSYPPLY  Quito"/>
    <m/>
    <n v="33.44"/>
    <n v="-33.44"/>
    <x v="3"/>
    <n v="854088.61"/>
    <s v="-33.44"/>
    <s v="ancueva"/>
    <n v="0"/>
    <m/>
    <m/>
    <m/>
    <m/>
    <m/>
  </r>
  <r>
    <x v="1"/>
    <x v="1"/>
    <d v="2022-10-19T00:00:00"/>
    <d v="2022-10-19T00:00:00"/>
    <s v="FE001"/>
    <s v="IM 100003332"/>
    <n v="107247"/>
    <s v="Traslados - CN1792079160001"/>
    <m/>
    <m/>
    <n v="101060401"/>
    <s v="Inventario de prod. term. y mercad. en Bodega BULLSYPPLY  Quito"/>
    <n v="87887.08"/>
    <m/>
    <n v="87887.08"/>
    <x v="3"/>
    <n v="941975.69"/>
    <s v="87887.08"/>
    <s v="jcortiz"/>
    <n v="0"/>
    <m/>
    <m/>
    <m/>
    <m/>
    <m/>
  </r>
  <r>
    <x v="1"/>
    <x v="1"/>
    <d v="2022-10-19T00:00:00"/>
    <d v="2022-10-19T00:00:00"/>
    <s v="FE001"/>
    <s v="IM 100003333"/>
    <n v="107248"/>
    <s v="Traslados -"/>
    <m/>
    <m/>
    <n v="101060401"/>
    <s v="Inventario de prod. term. y mercad. en Bodega BULLSYPPLY  Quito"/>
    <m/>
    <n v="88083.98"/>
    <n v="-88083.98"/>
    <x v="3"/>
    <n v="853891.71"/>
    <s v="-88083.98"/>
    <s v="jcortiz"/>
    <n v="0"/>
    <m/>
    <m/>
    <m/>
    <m/>
    <m/>
  </r>
  <r>
    <x v="1"/>
    <x v="1"/>
    <d v="2022-10-19T00:00:00"/>
    <d v="2022-10-19T00:00:00"/>
    <s v="FE001"/>
    <s v="IM 100003334"/>
    <n v="107249"/>
    <s v="Traslados - CN1792079160001"/>
    <m/>
    <m/>
    <n v="101060401"/>
    <s v="Inventario de prod. term. y mercad. en Bodega BULLSYPPLY  Quito"/>
    <m/>
    <n v="77880.73"/>
    <n v="-77880.73"/>
    <x v="3"/>
    <n v="776010.98"/>
    <s v="-77880.73"/>
    <s v="jcortiz"/>
    <n v="0"/>
    <m/>
    <m/>
    <m/>
    <m/>
    <m/>
  </r>
  <r>
    <x v="1"/>
    <x v="1"/>
    <d v="2022-10-19T00:00:00"/>
    <d v="2022-10-19T00:00:00"/>
    <s v="FE001"/>
    <s v="IM 100003335"/>
    <n v="107250"/>
    <s v="Traslados -"/>
    <m/>
    <m/>
    <n v="101060401"/>
    <s v="Inventario de prod. term. y mercad. en Bodega BULLSYPPLY  Quito"/>
    <n v="77880.73"/>
    <m/>
    <n v="77880.73"/>
    <x v="3"/>
    <n v="853891.71"/>
    <s v="77880.73"/>
    <s v="jcortiz"/>
    <n v="0"/>
    <m/>
    <m/>
    <m/>
    <m/>
    <m/>
  </r>
  <r>
    <x v="1"/>
    <x v="1"/>
    <d v="2022-10-19T00:00:00"/>
    <d v="2022-10-19T00:00:00"/>
    <s v="FE001"/>
    <s v="IM 100003337"/>
    <n v="107252"/>
    <s v="Traslados -"/>
    <m/>
    <m/>
    <n v="101060401"/>
    <s v="Inventario de prod. term. y mercad. en Bodega BULLSYPPLY  Quito"/>
    <n v="58725.97"/>
    <m/>
    <n v="58725.97"/>
    <x v="3"/>
    <n v="912617.68"/>
    <s v="58725.97"/>
    <s v="jcortiz"/>
    <n v="0"/>
    <m/>
    <m/>
    <m/>
    <m/>
    <m/>
  </r>
  <r>
    <x v="1"/>
    <x v="1"/>
    <d v="2022-10-19T00:00:00"/>
    <d v="2022-10-19T00:00:00"/>
    <s v="FE001"/>
    <s v="IM 100003338"/>
    <n v="107253"/>
    <s v="Traslados -"/>
    <m/>
    <m/>
    <n v="101060401"/>
    <s v="Inventario de prod. term. y mercad. en Bodega BULLSYPPLY  Quito"/>
    <m/>
    <n v="58725.97"/>
    <n v="-58725.97"/>
    <x v="3"/>
    <n v="853891.71"/>
    <s v="-58725.97"/>
    <s v="jcortiz"/>
    <n v="0"/>
    <m/>
    <m/>
    <m/>
    <m/>
    <m/>
  </r>
  <r>
    <x v="1"/>
    <x v="1"/>
    <d v="2022-10-19T00:00:00"/>
    <d v="2022-10-19T00:00:00"/>
    <s v="FE001"/>
    <s v="IM 100003339"/>
    <n v="107255"/>
    <s v="Traslados - CN1792079160001"/>
    <m/>
    <m/>
    <n v="101060401"/>
    <s v="Inventario de prod. term. y mercad. en Bodega BULLSYPPLY  Quito"/>
    <n v="2289.21"/>
    <m/>
    <n v="2289.21"/>
    <x v="3"/>
    <n v="856180.92"/>
    <s v="2289.21"/>
    <s v="jcortiz"/>
    <n v="0"/>
    <m/>
    <m/>
    <m/>
    <m/>
    <m/>
  </r>
  <r>
    <x v="1"/>
    <x v="1"/>
    <d v="2022-10-20T00:00:00"/>
    <d v="2022-10-20T00:00:00"/>
    <s v="FE001"/>
    <s v="NE 100015375"/>
    <n v="107258"/>
    <s v="Entregas - CN1792514541001"/>
    <m/>
    <s v="COCA"/>
    <n v="51010102"/>
    <s v="Costo de Ventas Coca"/>
    <m/>
    <n v="421.06"/>
    <n v="-421.06"/>
    <x v="1"/>
    <n v="855759.86"/>
    <s v="-421.06"/>
    <s v="ancueva"/>
    <n v="0"/>
    <m/>
    <s v="COCA-ORELLANA"/>
    <m/>
    <m/>
    <m/>
  </r>
  <r>
    <x v="1"/>
    <x v="1"/>
    <d v="2022-10-20T00:00:00"/>
    <d v="2022-10-20T00:00:00"/>
    <s v="FE001"/>
    <s v="NE 100015376"/>
    <n v="107259"/>
    <s v="Entregas - CN1792371694001"/>
    <m/>
    <s v="COCA"/>
    <n v="51010102"/>
    <s v="Costo de Ventas Coca"/>
    <m/>
    <n v="344"/>
    <n v="-344"/>
    <x v="1"/>
    <n v="855415.86"/>
    <s v="-344.00"/>
    <s v="ancueva"/>
    <n v="0"/>
    <m/>
    <s v="COCA-ORELLANA"/>
    <m/>
    <m/>
    <m/>
  </r>
  <r>
    <x v="1"/>
    <x v="1"/>
    <d v="2022-10-20T00:00:00"/>
    <d v="2022-10-20T00:00:00"/>
    <s v="FE001"/>
    <s v="NE 100015376"/>
    <n v="107259"/>
    <s v="Entregas - CN1792371694001"/>
    <m/>
    <s v="QUITO"/>
    <n v="51010102"/>
    <s v="Costo de Ventas Coca"/>
    <m/>
    <n v="1520.7"/>
    <n v="-1520.7"/>
    <x v="1"/>
    <n v="853895.16"/>
    <s v="-1520.70"/>
    <s v="ancueva"/>
    <n v="0"/>
    <m/>
    <s v="QUITO-PICHINCHA"/>
    <m/>
    <m/>
    <m/>
  </r>
  <r>
    <x v="1"/>
    <x v="1"/>
    <d v="2022-10-20T00:00:00"/>
    <d v="2022-10-20T00:00:00"/>
    <s v="FE001"/>
    <s v="IM 100003340"/>
    <n v="107260"/>
    <s v="Traslados - CN1792079160001"/>
    <m/>
    <m/>
    <n v="101060401"/>
    <s v="Inventario de prod. term. y mercad. en Bodega BULLSYPPLY  Quito"/>
    <n v="399.56"/>
    <m/>
    <n v="399.56"/>
    <x v="3"/>
    <n v="854294.72"/>
    <s v="399.56"/>
    <s v="jcortiz"/>
    <n v="0"/>
    <m/>
    <m/>
    <m/>
    <m/>
    <m/>
  </r>
  <r>
    <x v="1"/>
    <x v="1"/>
    <d v="2022-10-20T00:00:00"/>
    <d v="2022-10-20T00:00:00"/>
    <s v="FE001"/>
    <s v="NE 100015377"/>
    <n v="107261"/>
    <s v="Entregas - CN1791263308001"/>
    <m/>
    <s v="COCA"/>
    <n v="51010102"/>
    <s v="Costo de Ventas Coca"/>
    <m/>
    <n v="24.99"/>
    <n v="-24.99"/>
    <x v="1"/>
    <n v="854269.73"/>
    <s v="-24.99"/>
    <s v="ancueva"/>
    <n v="0"/>
    <m/>
    <s v="COCA-ORELLANA"/>
    <m/>
    <m/>
    <m/>
  </r>
  <r>
    <x v="1"/>
    <x v="1"/>
    <d v="2022-10-20T00:00:00"/>
    <d v="2022-10-20T00:00:00"/>
    <s v="FE001"/>
    <s v="NE 100015379"/>
    <n v="107263"/>
    <s v="Entregas - CN1791263308001"/>
    <m/>
    <s v="COCA"/>
    <n v="51010102"/>
    <s v="Costo de Ventas Coca"/>
    <m/>
    <n v="338.79"/>
    <n v="-338.79"/>
    <x v="1"/>
    <n v="853930.94"/>
    <s v="-338.79"/>
    <s v="ancueva"/>
    <n v="0"/>
    <m/>
    <s v="COCA-ORELLANA"/>
    <m/>
    <m/>
    <m/>
  </r>
  <r>
    <x v="1"/>
    <x v="1"/>
    <d v="2022-10-20T00:00:00"/>
    <d v="2022-10-20T00:00:00"/>
    <s v="FE001"/>
    <s v="IM 100003341"/>
    <n v="107269"/>
    <s v="Traslados -"/>
    <m/>
    <m/>
    <n v="101060401"/>
    <s v="Inventario de prod. term. y mercad. en Bodega BULLSYPPLY  Quito"/>
    <m/>
    <n v="2289.21"/>
    <n v="-2289.21"/>
    <x v="3"/>
    <n v="851641.73"/>
    <s v="-2289.21"/>
    <s v="jcortiz"/>
    <n v="0"/>
    <m/>
    <m/>
    <m/>
    <m/>
    <m/>
  </r>
  <r>
    <x v="1"/>
    <x v="1"/>
    <d v="2022-10-20T00:00:00"/>
    <d v="2022-10-20T00:00:00"/>
    <s v="FE001"/>
    <s v="IM 100003342"/>
    <n v="107272"/>
    <s v="Traslados -"/>
    <m/>
    <m/>
    <n v="101060401"/>
    <s v="Inventario de prod. term. y mercad. en Bodega BULLSYPPLY  Quito"/>
    <n v="2289.21"/>
    <m/>
    <n v="2289.21"/>
    <x v="3"/>
    <n v="853930.94"/>
    <s v="2289.21"/>
    <s v="jcortiz"/>
    <n v="0"/>
    <m/>
    <m/>
    <m/>
    <m/>
    <m/>
  </r>
  <r>
    <x v="1"/>
    <x v="1"/>
    <d v="2022-10-20T00:00:00"/>
    <d v="2022-10-20T00:00:00"/>
    <s v="FE001"/>
    <s v="NE 100015382"/>
    <n v="107274"/>
    <s v="Entregas - CN2100115803001"/>
    <m/>
    <s v="COCA"/>
    <n v="51010102"/>
    <s v="Costo de Ventas Coca"/>
    <m/>
    <n v="54.68"/>
    <n v="-54.68"/>
    <x v="1"/>
    <n v="853876.26"/>
    <s v="-54.68"/>
    <s v="ancueva"/>
    <n v="0"/>
    <m/>
    <s v="COCA-ORELLANA"/>
    <m/>
    <m/>
    <m/>
  </r>
  <r>
    <x v="1"/>
    <x v="1"/>
    <d v="2022-10-20T00:00:00"/>
    <d v="2022-10-20T00:00:00"/>
    <s v="FE001"/>
    <s v="IM 100003343"/>
    <n v="107278"/>
    <s v="Traslados - CN1792079160001"/>
    <m/>
    <m/>
    <n v="101060401"/>
    <s v="Inventario de prod. term. y mercad. en Bodega BULLSYPPLY  Quito"/>
    <m/>
    <n v="2772.75"/>
    <n v="-2772.75"/>
    <x v="3"/>
    <n v="851103.51"/>
    <s v="-2772.75"/>
    <s v="ancueva"/>
    <n v="0"/>
    <m/>
    <m/>
    <m/>
    <m/>
    <m/>
  </r>
  <r>
    <x v="1"/>
    <x v="1"/>
    <d v="2022-10-20T00:00:00"/>
    <d v="2022-10-20T00:00:00"/>
    <s v="FE001"/>
    <s v="IM 100003344"/>
    <n v="107279"/>
    <s v="Traslados - CN1792079160001"/>
    <m/>
    <m/>
    <n v="101060401"/>
    <s v="Inventario de prod. term. y mercad. en Bodega BULLSYPPLY  Quito"/>
    <n v="10536.18"/>
    <m/>
    <n v="10536.18"/>
    <x v="3"/>
    <n v="861639.69"/>
    <s v="10536.18"/>
    <s v="jcortiz"/>
    <n v="0"/>
    <m/>
    <m/>
    <m/>
    <m/>
    <m/>
  </r>
  <r>
    <x v="1"/>
    <x v="1"/>
    <d v="2022-10-20T00:00:00"/>
    <d v="2022-10-20T00:00:00"/>
    <s v="FE001"/>
    <s v="IM 100003345"/>
    <n v="107280"/>
    <s v="Traslados - CN1792079160001"/>
    <m/>
    <m/>
    <n v="101060401"/>
    <s v="Inventario de prod. term. y mercad. en Bodega BULLSYPPLY  Quito"/>
    <n v="23045.16"/>
    <m/>
    <n v="23045.16"/>
    <x v="3"/>
    <n v="884684.85"/>
    <s v="23045.16"/>
    <s v="jcortiz"/>
    <n v="0"/>
    <m/>
    <m/>
    <m/>
    <m/>
    <m/>
  </r>
  <r>
    <x v="1"/>
    <x v="1"/>
    <d v="2022-10-20T00:00:00"/>
    <d v="2022-10-20T00:00:00"/>
    <s v="FE001"/>
    <s v="NE 100015384"/>
    <n v="107282"/>
    <s v="Entregas - CN2290316882001"/>
    <m/>
    <s v="COCA"/>
    <n v="51010102"/>
    <s v="Costo de Ventas Coca"/>
    <m/>
    <n v="36.44"/>
    <n v="-36.44"/>
    <x v="1"/>
    <n v="884648.41"/>
    <s v="-36.44"/>
    <s v="ancueva"/>
    <n v="0"/>
    <m/>
    <s v="COCA-ORELLANA"/>
    <m/>
    <m/>
    <m/>
  </r>
  <r>
    <x v="1"/>
    <x v="1"/>
    <d v="2022-10-20T00:00:00"/>
    <d v="2022-10-20T00:00:00"/>
    <s v="FE001"/>
    <s v="NE 100015385"/>
    <n v="107283"/>
    <s v="Entregas - CN1711878445001"/>
    <m/>
    <s v="COCA"/>
    <n v="51010102"/>
    <s v="Costo de Ventas Coca"/>
    <m/>
    <n v="13.38"/>
    <n v="-13.38"/>
    <x v="1"/>
    <n v="884635.03"/>
    <s v="-13.38"/>
    <s v="jcortiz"/>
    <n v="0"/>
    <m/>
    <s v="COCA-ORELLANA"/>
    <m/>
    <m/>
    <m/>
  </r>
  <r>
    <x v="1"/>
    <x v="1"/>
    <d v="2022-10-20T00:00:00"/>
    <d v="2022-10-20T00:00:00"/>
    <s v="FE001"/>
    <s v="IM 100003346"/>
    <n v="107284"/>
    <s v="Traslados - CN1792079160001"/>
    <m/>
    <m/>
    <n v="101060401"/>
    <s v="Inventario de prod. term. y mercad. en Bodega BULLSYPPLY  Quito"/>
    <m/>
    <n v="5.86"/>
    <n v="-5.86"/>
    <x v="3"/>
    <n v="884629.17"/>
    <s v="-5.86"/>
    <s v="ancueva"/>
    <n v="0"/>
    <m/>
    <m/>
    <m/>
    <m/>
    <m/>
  </r>
  <r>
    <x v="1"/>
    <x v="1"/>
    <d v="2022-10-20T00:00:00"/>
    <d v="2022-10-20T00:00:00"/>
    <s v="FE001"/>
    <s v="IM 100003347"/>
    <n v="107290"/>
    <s v="Traslados - CN1792079160001"/>
    <m/>
    <m/>
    <n v="101060401"/>
    <s v="Inventario de prod. term. y mercad. en Bodega BULLSYPPLY  Quito"/>
    <n v="292.68"/>
    <m/>
    <n v="292.68"/>
    <x v="3"/>
    <n v="884921.85"/>
    <s v="292.68"/>
    <s v="jcortiz"/>
    <n v="0"/>
    <m/>
    <m/>
    <m/>
    <m/>
    <m/>
  </r>
  <r>
    <x v="1"/>
    <x v="1"/>
    <d v="2022-10-20T00:00:00"/>
    <d v="2022-10-20T00:00:00"/>
    <s v="FE001"/>
    <s v="NE 100015387"/>
    <n v="107295"/>
    <s v="Entregas - CN2290313034001"/>
    <m/>
    <s v="COCA"/>
    <n v="51010102"/>
    <s v="Costo de Ventas Coca"/>
    <m/>
    <n v="6.42"/>
    <n v="-6.42"/>
    <x v="1"/>
    <n v="884915.43"/>
    <s v="-6.42"/>
    <s v="ancueva"/>
    <n v="0"/>
    <m/>
    <s v="COCA-ORELLANA"/>
    <m/>
    <m/>
    <m/>
  </r>
  <r>
    <x v="1"/>
    <x v="1"/>
    <d v="2022-10-21T00:00:00"/>
    <d v="2022-10-21T00:00:00"/>
    <s v="FE001"/>
    <s v="IM 100003348"/>
    <n v="107318"/>
    <s v="Traslados -"/>
    <m/>
    <m/>
    <n v="101060401"/>
    <s v="Inventario de prod. term. y mercad. en Bodega BULLSYPPLY  Quito"/>
    <m/>
    <n v="292.68"/>
    <n v="-292.68"/>
    <x v="3"/>
    <n v="884622.75"/>
    <s v="-292.68"/>
    <s v="jcortiz"/>
    <n v="0"/>
    <m/>
    <m/>
    <m/>
    <m/>
    <m/>
  </r>
  <r>
    <x v="1"/>
    <x v="1"/>
    <d v="2022-10-21T00:00:00"/>
    <d v="2022-10-21T00:00:00"/>
    <s v="FE001"/>
    <s v="IM 100003349"/>
    <n v="107321"/>
    <s v="Traslados -"/>
    <m/>
    <m/>
    <n v="101060401"/>
    <s v="Inventario de prod. term. y mercad. en Bodega BULLSYPPLY  Quito"/>
    <n v="234.14"/>
    <m/>
    <n v="234.14"/>
    <x v="3"/>
    <n v="884856.89"/>
    <s v="234.14"/>
    <s v="jcortiz"/>
    <n v="0"/>
    <m/>
    <m/>
    <m/>
    <m/>
    <m/>
  </r>
  <r>
    <x v="1"/>
    <x v="1"/>
    <d v="2022-10-21T00:00:00"/>
    <d v="2022-10-21T00:00:00"/>
    <s v="FE001"/>
    <s v="NE 100015391"/>
    <n v="107323"/>
    <s v="Entregas - CN1723930275001"/>
    <m/>
    <s v="COCA"/>
    <n v="51010102"/>
    <s v="Costo de Ventas Coca"/>
    <m/>
    <n v="33.06"/>
    <n v="-33.06"/>
    <x v="1"/>
    <n v="884823.83"/>
    <s v="-33.06"/>
    <s v="ancueva"/>
    <n v="0"/>
    <m/>
    <s v="COCA-ORELLANA"/>
    <m/>
    <m/>
    <m/>
  </r>
  <r>
    <x v="1"/>
    <x v="1"/>
    <d v="2022-10-21T00:00:00"/>
    <d v="2022-10-21T00:00:00"/>
    <s v="FE001"/>
    <s v="NE 100015392"/>
    <n v="107324"/>
    <s v="Entregas - CN2290316882001"/>
    <m/>
    <s v="COCA"/>
    <n v="51010102"/>
    <s v="Costo de Ventas Coca"/>
    <m/>
    <n v="234.14"/>
    <n v="-234.14"/>
    <x v="1"/>
    <n v="884589.69"/>
    <s v="-234.14"/>
    <s v="ancueva"/>
    <n v="0"/>
    <m/>
    <s v="COCA-ORELLANA"/>
    <m/>
    <m/>
    <m/>
  </r>
  <r>
    <x v="1"/>
    <x v="1"/>
    <d v="2022-10-21T00:00:00"/>
    <d v="2022-10-21T00:00:00"/>
    <s v="FE001"/>
    <s v="IM 100003350"/>
    <n v="107344"/>
    <s v="Traslados - CN1792079160001"/>
    <m/>
    <m/>
    <n v="101060401"/>
    <s v="Inventario de prod. term. y mercad. en Bodega BULLSYPPLY  Quito"/>
    <n v="871.3"/>
    <m/>
    <n v="871.3"/>
    <x v="3"/>
    <n v="885460.99"/>
    <s v="871.30"/>
    <s v="jcortiz"/>
    <n v="0"/>
    <m/>
    <m/>
    <m/>
    <m/>
    <m/>
  </r>
  <r>
    <x v="1"/>
    <x v="1"/>
    <d v="2022-10-21T00:00:00"/>
    <d v="2022-10-21T00:00:00"/>
    <s v="FE001"/>
    <s v="NE 100015398"/>
    <n v="107347"/>
    <s v="Entregas - CN1791263308001"/>
    <m/>
    <s v="COCA"/>
    <n v="51010102"/>
    <s v="Costo de Ventas Coca"/>
    <m/>
    <n v="1299.73"/>
    <n v="-1299.73"/>
    <x v="1"/>
    <n v="884161.26"/>
    <s v="-1299.73"/>
    <s v="ancueva"/>
    <n v="0"/>
    <m/>
    <s v="COCA-ORELLANA"/>
    <m/>
    <m/>
    <m/>
  </r>
  <r>
    <x v="1"/>
    <x v="1"/>
    <d v="2022-10-21T00:00:00"/>
    <d v="2022-10-21T00:00:00"/>
    <s v="FE001"/>
    <s v="IM 100003351"/>
    <n v="107348"/>
    <s v="Traslados - CN1792079160001"/>
    <m/>
    <m/>
    <n v="101060401"/>
    <s v="Inventario de prod. term. y mercad. en Bodega BULLSYPPLY  Quito"/>
    <m/>
    <n v="11.85"/>
    <n v="-11.85"/>
    <x v="3"/>
    <n v="884149.41"/>
    <s v="-11.85"/>
    <s v="ancueva"/>
    <n v="0"/>
    <m/>
    <m/>
    <m/>
    <m/>
    <m/>
  </r>
  <r>
    <x v="1"/>
    <x v="1"/>
    <d v="2022-10-21T00:00:00"/>
    <d v="2022-10-21T00:00:00"/>
    <s v="FE001"/>
    <s v="NE 100015399"/>
    <n v="107349"/>
    <s v="Entregas - CN1791263308001"/>
    <m/>
    <s v="COCA"/>
    <n v="51010102"/>
    <s v="Costo de Ventas Coca"/>
    <m/>
    <n v="1186.3399999999999"/>
    <n v="-1186.3399999999999"/>
    <x v="1"/>
    <n v="882963.07"/>
    <s v="-1186.34"/>
    <s v="ancueva"/>
    <n v="0"/>
    <m/>
    <s v="COCA-ORELLANA"/>
    <m/>
    <m/>
    <m/>
  </r>
  <r>
    <x v="1"/>
    <x v="1"/>
    <d v="2022-10-21T00:00:00"/>
    <d v="2022-10-21T00:00:00"/>
    <s v="FE001"/>
    <s v="NE 100015400"/>
    <n v="107350"/>
    <s v="Entregas - CN1791263308001"/>
    <m/>
    <s v="COCA"/>
    <n v="51010102"/>
    <s v="Costo de Ventas Coca"/>
    <m/>
    <n v="29.67"/>
    <n v="-29.67"/>
    <x v="1"/>
    <n v="882933.4"/>
    <s v="-29.67"/>
    <s v="ancueva"/>
    <n v="0"/>
    <m/>
    <s v="COCA-ORELLANA"/>
    <m/>
    <m/>
    <m/>
  </r>
  <r>
    <x v="1"/>
    <x v="1"/>
    <d v="2022-10-21T00:00:00"/>
    <d v="2022-10-21T00:00:00"/>
    <s v="FE001"/>
    <s v="NE 100015401"/>
    <n v="107351"/>
    <s v="Entregas - CN1791847776001"/>
    <m/>
    <s v="COCA"/>
    <n v="51010102"/>
    <s v="Costo de Ventas Coca"/>
    <m/>
    <n v="2727.32"/>
    <n v="-2727.32"/>
    <x v="1"/>
    <n v="880206.08"/>
    <s v="-2727.32"/>
    <s v="ancueva"/>
    <n v="0"/>
    <m/>
    <s v="COCA-ORELLANA"/>
    <m/>
    <m/>
    <m/>
  </r>
  <r>
    <x v="1"/>
    <x v="1"/>
    <d v="2022-10-21T00:00:00"/>
    <d v="2022-10-21T00:00:00"/>
    <s v="FE001"/>
    <s v="IM 100003352"/>
    <n v="107375"/>
    <s v="Traslados - CN1792079160001"/>
    <m/>
    <m/>
    <n v="101060401"/>
    <s v="Inventario de prod. term. y mercad. en Bodega BULLSYPPLY  Quito"/>
    <n v="289"/>
    <m/>
    <n v="289"/>
    <x v="3"/>
    <n v="880495.08"/>
    <s v="289.00"/>
    <s v="jcortiz"/>
    <n v="0"/>
    <m/>
    <m/>
    <m/>
    <m/>
    <m/>
  </r>
  <r>
    <x v="1"/>
    <x v="1"/>
    <d v="2022-10-22T00:00:00"/>
    <d v="2022-10-22T00:00:00"/>
    <s v="FE001"/>
    <s v="IM 100003353"/>
    <n v="107387"/>
    <s v="Traslados - CN1792079160001"/>
    <m/>
    <m/>
    <n v="101060401"/>
    <s v="Inventario de prod. term. y mercad. en Bodega BULLSYPPLY  Quito"/>
    <m/>
    <n v="214.86"/>
    <n v="-214.86"/>
    <x v="3"/>
    <n v="880280.22"/>
    <s v="-214.86"/>
    <s v="ancueva"/>
    <n v="0"/>
    <m/>
    <m/>
    <m/>
    <m/>
    <m/>
  </r>
  <r>
    <x v="1"/>
    <x v="1"/>
    <d v="2022-10-22T00:00:00"/>
    <d v="2022-10-22T00:00:00"/>
    <s v="FE001"/>
    <s v="NE 100015403"/>
    <n v="107388"/>
    <s v="Entregas - CN1791847776001"/>
    <m/>
    <s v="COCA"/>
    <n v="51010102"/>
    <s v="Costo de Ventas Coca"/>
    <m/>
    <n v="379.42"/>
    <n v="-379.42"/>
    <x v="1"/>
    <n v="879900.8"/>
    <s v="-379.42"/>
    <s v="ancueva"/>
    <n v="0"/>
    <m/>
    <s v="COCA-ORELLANA"/>
    <m/>
    <m/>
    <m/>
  </r>
  <r>
    <x v="1"/>
    <x v="1"/>
    <d v="2022-10-22T00:00:00"/>
    <d v="2022-10-22T00:00:00"/>
    <s v="FE001"/>
    <s v="NE 100015404"/>
    <n v="107389"/>
    <s v="Entregas - CN1791847776001"/>
    <m/>
    <s v="COCA"/>
    <n v="51010102"/>
    <s v="Costo de Ventas Coca"/>
    <m/>
    <n v="871.3"/>
    <n v="-871.3"/>
    <x v="1"/>
    <n v="879029.5"/>
    <s v="-871.30"/>
    <s v="ancueva"/>
    <n v="0"/>
    <m/>
    <s v="COCA-ORELLANA"/>
    <m/>
    <m/>
    <m/>
  </r>
  <r>
    <x v="1"/>
    <x v="1"/>
    <d v="2022-10-22T00:00:00"/>
    <d v="2022-10-22T00:00:00"/>
    <s v="FE001"/>
    <s v="NE 100015405"/>
    <n v="107390"/>
    <s v="Entregas - CN1791263308001"/>
    <m/>
    <s v="COCA"/>
    <n v="51010102"/>
    <s v="Costo de Ventas Coca"/>
    <m/>
    <n v="415.26"/>
    <n v="-415.26"/>
    <x v="1"/>
    <n v="878614.24"/>
    <s v="-415.26"/>
    <s v="ancueva"/>
    <n v="0"/>
    <m/>
    <s v="COCA-ORELLANA"/>
    <m/>
    <m/>
    <m/>
  </r>
  <r>
    <x v="1"/>
    <x v="1"/>
    <d v="2022-10-24T00:00:00"/>
    <d v="2022-10-24T00:00:00"/>
    <s v="FE001"/>
    <s v="NE 100015406"/>
    <n v="107391"/>
    <s v="Entregas - CN1791263308001"/>
    <m/>
    <s v="COCA"/>
    <n v="51010102"/>
    <s v="Costo de Ventas Coca"/>
    <m/>
    <n v="1968.04"/>
    <n v="-1968.04"/>
    <x v="1"/>
    <n v="876646.2"/>
    <s v="-1968.04"/>
    <s v="ancueva"/>
    <n v="0"/>
    <m/>
    <s v="COCA-ORELLANA"/>
    <m/>
    <m/>
    <m/>
  </r>
  <r>
    <x v="1"/>
    <x v="1"/>
    <d v="2022-10-24T00:00:00"/>
    <d v="2022-10-24T00:00:00"/>
    <s v="Primario"/>
    <s v="EM 1711"/>
    <n v="107420"/>
    <s v="Entrada de mercancías"/>
    <m/>
    <m/>
    <n v="401030105"/>
    <s v="Otros Ingresos"/>
    <n v="2"/>
    <m/>
    <n v="2"/>
    <x v="5"/>
    <n v="876648.2"/>
    <s v="2.00"/>
    <s v="jcortiz"/>
    <n v="0"/>
    <m/>
    <m/>
    <m/>
    <m/>
    <m/>
  </r>
  <r>
    <x v="1"/>
    <x v="1"/>
    <d v="2022-10-24T00:00:00"/>
    <d v="2022-10-24T00:00:00"/>
    <s v="FE001"/>
    <s v="IM 100003354"/>
    <n v="107421"/>
    <s v="Traslados - CN1792079160001"/>
    <m/>
    <m/>
    <n v="101060401"/>
    <s v="Inventario de prod. term. y mercad. en Bodega BULLSYPPLY  Quito"/>
    <n v="17.239999999999998"/>
    <m/>
    <n v="17.239999999999998"/>
    <x v="3"/>
    <n v="876665.44"/>
    <s v="17.24"/>
    <s v="jcortiz"/>
    <n v="0"/>
    <m/>
    <m/>
    <m/>
    <m/>
    <m/>
  </r>
  <r>
    <x v="1"/>
    <x v="1"/>
    <d v="2022-10-24T00:00:00"/>
    <d v="2022-10-24T00:00:00"/>
    <s v="Primario"/>
    <s v="SM 561"/>
    <n v="107422"/>
    <s v="Salida de mercancías"/>
    <m/>
    <s v="COCA"/>
    <n v="51010103"/>
    <s v="Costo por Revalorización de Inventario"/>
    <m/>
    <n v="2"/>
    <n v="-2"/>
    <x v="7"/>
    <n v="876663.44"/>
    <s v="-2.00"/>
    <s v="jcortiz"/>
    <n v="0"/>
    <m/>
    <s v="COCA-ORELLANA"/>
    <m/>
    <m/>
    <m/>
  </r>
  <r>
    <x v="1"/>
    <x v="1"/>
    <d v="2022-10-24T00:00:00"/>
    <d v="2022-10-24T00:00:00"/>
    <s v="FE001"/>
    <s v="IM 100003355"/>
    <n v="107423"/>
    <s v="Traslados - CN1792079160001"/>
    <m/>
    <m/>
    <n v="101060401"/>
    <s v="Inventario de prod. term. y mercad. en Bodega BULLSYPPLY  Quito"/>
    <n v="2"/>
    <m/>
    <n v="2"/>
    <x v="3"/>
    <n v="876665.44"/>
    <s v="2.00"/>
    <s v="jcortiz"/>
    <n v="0"/>
    <m/>
    <m/>
    <m/>
    <m/>
    <m/>
  </r>
  <r>
    <x v="1"/>
    <x v="1"/>
    <d v="2022-10-24T00:00:00"/>
    <d v="2022-10-24T00:00:00"/>
    <s v="FE001"/>
    <s v="NE 100015409"/>
    <n v="107424"/>
    <s v="Entregas - CN1791263308001"/>
    <m/>
    <s v="COCA"/>
    <n v="51010102"/>
    <s v="Costo de Ventas Coca"/>
    <m/>
    <n v="2028.37"/>
    <n v="-2028.37"/>
    <x v="1"/>
    <n v="874637.07"/>
    <s v="-2028.37"/>
    <s v="ancueva"/>
    <n v="0"/>
    <m/>
    <s v="COCA-ORELLANA"/>
    <m/>
    <m/>
    <m/>
  </r>
  <r>
    <x v="1"/>
    <x v="1"/>
    <d v="2022-10-24T00:00:00"/>
    <d v="2022-10-24T00:00:00"/>
    <s v="FE001"/>
    <s v="NE 100015410"/>
    <n v="107425"/>
    <s v="Entregas - CN1792300347001"/>
    <m/>
    <s v="COCA"/>
    <n v="51010102"/>
    <s v="Costo de Ventas Coca"/>
    <m/>
    <n v="149"/>
    <n v="-149"/>
    <x v="1"/>
    <n v="874488.07"/>
    <s v="-149.00"/>
    <s v="ancueva"/>
    <n v="0"/>
    <m/>
    <s v="COCA-ORELLANA"/>
    <m/>
    <m/>
    <m/>
  </r>
  <r>
    <x v="1"/>
    <x v="1"/>
    <d v="2022-10-24T00:00:00"/>
    <d v="2022-10-24T00:00:00"/>
    <s v="FE001"/>
    <s v="NE 100015410"/>
    <n v="107425"/>
    <s v="Entregas - CN1792300347001"/>
    <m/>
    <s v="QUITO"/>
    <n v="51010102"/>
    <s v="Costo de Ventas Coca"/>
    <m/>
    <n v="19.239999999999998"/>
    <n v="-19.239999999999998"/>
    <x v="1"/>
    <n v="874468.83"/>
    <s v="-19.24"/>
    <s v="ancueva"/>
    <n v="0"/>
    <m/>
    <s v="QUITO-PICHINCHA"/>
    <m/>
    <m/>
    <m/>
  </r>
  <r>
    <x v="1"/>
    <x v="1"/>
    <d v="2022-10-24T00:00:00"/>
    <d v="2022-10-24T00:00:00"/>
    <s v="FE001"/>
    <s v="NE 100015414"/>
    <n v="107440"/>
    <s v="Entregas - CN1792371694001"/>
    <m/>
    <s v="COCA"/>
    <n v="51010102"/>
    <s v="Costo de Ventas Coca"/>
    <m/>
    <n v="5253.98"/>
    <n v="-5253.98"/>
    <x v="1"/>
    <n v="869214.85"/>
    <s v="-5253.98"/>
    <s v="ancueva"/>
    <n v="0"/>
    <m/>
    <s v="COCA-ORELLANA"/>
    <m/>
    <m/>
    <m/>
  </r>
  <r>
    <x v="1"/>
    <x v="1"/>
    <d v="2022-10-24T00:00:00"/>
    <d v="2022-10-24T00:00:00"/>
    <s v="FE001"/>
    <s v="IM 100003356"/>
    <n v="107459"/>
    <s v="Traslados - CN1792079160001"/>
    <m/>
    <m/>
    <n v="101060401"/>
    <s v="Inventario de prod. term. y mercad. en Bodega BULLSYPPLY  Quito"/>
    <n v="10701.24"/>
    <m/>
    <n v="10701.24"/>
    <x v="3"/>
    <n v="879916.09"/>
    <s v="10701.24"/>
    <s v="jcortiz"/>
    <n v="0"/>
    <m/>
    <m/>
    <m/>
    <m/>
    <m/>
  </r>
  <r>
    <x v="1"/>
    <x v="1"/>
    <d v="2022-10-25T00:00:00"/>
    <d v="2022-10-25T00:00:00"/>
    <s v="FE001"/>
    <s v="IM 100003357"/>
    <n v="107482"/>
    <s v="Traslados - CN1792079160001"/>
    <m/>
    <m/>
    <n v="101060401"/>
    <s v="Inventario de prod. term. y mercad. en Bodega BULLSYPPLY  Quito"/>
    <n v="3544.26"/>
    <m/>
    <n v="3544.26"/>
    <x v="3"/>
    <n v="883460.35"/>
    <s v="3544.26"/>
    <s v="jcortiz"/>
    <n v="0"/>
    <m/>
    <m/>
    <m/>
    <m/>
    <m/>
  </r>
  <r>
    <x v="1"/>
    <x v="1"/>
    <d v="2022-10-25T00:00:00"/>
    <d v="2022-10-25T00:00:00"/>
    <s v="FE001"/>
    <s v="NE 100015420"/>
    <n v="107483"/>
    <s v="Entregas - CN1792371694001"/>
    <m/>
    <s v="COCA"/>
    <n v="51010102"/>
    <s v="Costo de Ventas Coca"/>
    <m/>
    <n v="3544.26"/>
    <n v="-3544.26"/>
    <x v="1"/>
    <n v="879916.09"/>
    <s v="-3544.26"/>
    <s v="ancueva"/>
    <n v="0"/>
    <m/>
    <s v="COCA-ORELLANA"/>
    <m/>
    <m/>
    <m/>
  </r>
  <r>
    <x v="1"/>
    <x v="1"/>
    <d v="2022-10-25T00:00:00"/>
    <d v="2022-10-25T00:00:00"/>
    <s v="FE001"/>
    <s v="NE 100015422"/>
    <n v="107493"/>
    <s v="Entregas - CN1791263308001"/>
    <m/>
    <s v="COCA"/>
    <n v="51010102"/>
    <s v="Costo de Ventas Coca"/>
    <m/>
    <n v="19.22"/>
    <n v="-19.22"/>
    <x v="1"/>
    <n v="879896.87"/>
    <s v="-19.22"/>
    <s v="ancueva"/>
    <n v="0"/>
    <m/>
    <s v="COCA-ORELLANA"/>
    <m/>
    <m/>
    <m/>
  </r>
  <r>
    <x v="1"/>
    <x v="1"/>
    <d v="2022-10-25T00:00:00"/>
    <d v="2022-10-25T00:00:00"/>
    <s v="FE001"/>
    <s v="NE 100015424"/>
    <n v="107523"/>
    <s v="Entregas - CN1792198747001"/>
    <m/>
    <s v="COCA"/>
    <n v="51010102"/>
    <s v="Costo de Ventas Coca"/>
    <m/>
    <n v="23.11"/>
    <n v="-23.11"/>
    <x v="1"/>
    <n v="879873.76"/>
    <s v="-23.11"/>
    <s v="ancueva"/>
    <n v="0"/>
    <m/>
    <s v="COCA-ORELLANA"/>
    <m/>
    <m/>
    <m/>
  </r>
  <r>
    <x v="1"/>
    <x v="1"/>
    <d v="2022-10-25T00:00:00"/>
    <d v="2022-10-25T00:00:00"/>
    <s v="FE001"/>
    <s v="NE 100015426"/>
    <n v="107526"/>
    <s v="Entregas - CN1792903890001"/>
    <m/>
    <s v="COCA"/>
    <n v="51010102"/>
    <s v="Costo de Ventas Coca"/>
    <m/>
    <n v="48.31"/>
    <n v="-48.31"/>
    <x v="1"/>
    <n v="879825.45"/>
    <s v="-48.31"/>
    <s v="ancueva"/>
    <n v="0"/>
    <m/>
    <s v="COCA-ORELLANA"/>
    <m/>
    <m/>
    <m/>
  </r>
  <r>
    <x v="1"/>
    <x v="1"/>
    <d v="2022-10-25T00:00:00"/>
    <d v="2022-10-25T00:00:00"/>
    <s v="FE001"/>
    <s v="IM 100003358"/>
    <n v="107558"/>
    <s v="Traslados - CN1792079160001"/>
    <m/>
    <m/>
    <n v="101060401"/>
    <s v="Inventario de prod. term. y mercad. en Bodega BULLSYPPLY  Quito"/>
    <m/>
    <n v="1657.74"/>
    <n v="-1657.74"/>
    <x v="3"/>
    <n v="878167.71"/>
    <s v="-1657.74"/>
    <s v="jcortiz"/>
    <n v="0"/>
    <m/>
    <m/>
    <m/>
    <m/>
    <m/>
  </r>
  <r>
    <x v="1"/>
    <x v="1"/>
    <d v="2022-10-26T00:00:00"/>
    <d v="2022-10-26T00:00:00"/>
    <s v="FE001"/>
    <s v="NE 100015437"/>
    <n v="107614"/>
    <s v="Entregas - CN1792013585001"/>
    <m/>
    <s v="COCA"/>
    <n v="51010102"/>
    <s v="Costo de Ventas Coca"/>
    <m/>
    <n v="68.22"/>
    <n v="-68.22"/>
    <x v="1"/>
    <n v="878099.49"/>
    <s v="-68.22"/>
    <s v="ancueva"/>
    <n v="0"/>
    <m/>
    <s v="COCA-ORELLANA"/>
    <m/>
    <m/>
    <m/>
  </r>
  <r>
    <x v="1"/>
    <x v="1"/>
    <d v="2022-10-26T00:00:00"/>
    <d v="2022-10-26T00:00:00"/>
    <s v="FE001"/>
    <s v="IM 100003359"/>
    <n v="107621"/>
    <s v="Traslados - CN1792079160001"/>
    <m/>
    <m/>
    <n v="101060401"/>
    <s v="Inventario de prod. term. y mercad. en Bodega BULLSYPPLY  Quito"/>
    <m/>
    <n v="72.2"/>
    <n v="-72.2"/>
    <x v="3"/>
    <n v="878027.29"/>
    <s v="-72.20"/>
    <s v="ancueva"/>
    <n v="0"/>
    <m/>
    <m/>
    <m/>
    <m/>
    <m/>
  </r>
  <r>
    <x v="1"/>
    <x v="1"/>
    <d v="2022-10-26T00:00:00"/>
    <d v="2022-10-26T00:00:00"/>
    <s v="FE001"/>
    <s v="NE 100015439"/>
    <n v="107624"/>
    <s v="Entregas - CN1792371694001"/>
    <m/>
    <s v="COCA"/>
    <n v="51010102"/>
    <s v="Costo de Ventas Coca"/>
    <m/>
    <n v="166.5"/>
    <n v="-166.5"/>
    <x v="1"/>
    <n v="877860.79"/>
    <s v="-166.50"/>
    <s v="ancueva"/>
    <n v="0"/>
    <m/>
    <s v="COCA-ORELLANA"/>
    <m/>
    <m/>
    <m/>
  </r>
  <r>
    <x v="1"/>
    <x v="1"/>
    <d v="2022-10-26T00:00:00"/>
    <d v="2022-10-26T00:00:00"/>
    <s v="FE001"/>
    <s v="IM 100003361"/>
    <n v="107640"/>
    <s v="Traslados - CN1792079160001"/>
    <m/>
    <m/>
    <n v="101060401"/>
    <s v="Inventario de prod. term. y mercad. en Bodega BULLSYPPLY  Quito"/>
    <n v="14.29"/>
    <m/>
    <n v="14.29"/>
    <x v="3"/>
    <n v="877875.08"/>
    <s v="14.29"/>
    <s v="jcortiz"/>
    <n v="0"/>
    <m/>
    <m/>
    <m/>
    <m/>
    <m/>
  </r>
  <r>
    <x v="1"/>
    <x v="1"/>
    <d v="2022-10-27T00:00:00"/>
    <d v="2022-10-27T00:00:00"/>
    <s v="FE001"/>
    <s v="NE 100015449"/>
    <n v="107660"/>
    <s v="Entregas - CN1792064082001"/>
    <m/>
    <s v="COCA"/>
    <n v="51010102"/>
    <s v="Costo de Ventas Coca"/>
    <m/>
    <n v="810.94"/>
    <n v="-810.94"/>
    <x v="1"/>
    <n v="877064.14"/>
    <s v="-810.94"/>
    <s v="ancueva"/>
    <n v="0"/>
    <m/>
    <s v="COCA-ORELLANA"/>
    <m/>
    <m/>
    <m/>
  </r>
  <r>
    <x v="1"/>
    <x v="1"/>
    <d v="2022-10-27T00:00:00"/>
    <d v="2022-10-27T00:00:00"/>
    <s v="FE001"/>
    <s v="IM 100003363"/>
    <n v="107719"/>
    <s v="Traslados - CN1792079160001"/>
    <m/>
    <m/>
    <n v="101060401"/>
    <s v="Inventario de prod. term. y mercad. en Bodega BULLSYPPLY  Quito"/>
    <n v="411"/>
    <m/>
    <n v="411"/>
    <x v="3"/>
    <n v="877475.14"/>
    <s v="411.00"/>
    <s v="jcortiz"/>
    <n v="0"/>
    <m/>
    <m/>
    <m/>
    <m/>
    <m/>
  </r>
  <r>
    <x v="1"/>
    <x v="1"/>
    <d v="2022-10-27T00:00:00"/>
    <d v="2022-10-27T00:00:00"/>
    <s v="FE001"/>
    <s v="IM 100003364"/>
    <n v="107732"/>
    <s v="Traslados - CN1792079160001"/>
    <m/>
    <m/>
    <n v="101060401"/>
    <s v="Inventario de prod. term. y mercad. en Bodega BULLSYPPLY  Quito"/>
    <n v="270.54000000000002"/>
    <m/>
    <n v="270.54000000000002"/>
    <x v="3"/>
    <n v="877745.68"/>
    <s v="270.54"/>
    <s v="jcortiz"/>
    <n v="0"/>
    <m/>
    <m/>
    <m/>
    <m/>
    <m/>
  </r>
  <r>
    <x v="1"/>
    <x v="1"/>
    <d v="2022-10-27T00:00:00"/>
    <d v="2022-10-27T00:00:00"/>
    <s v="FE001"/>
    <s v="IM 100003365"/>
    <n v="107736"/>
    <s v="Traslados - CN1792079160001"/>
    <m/>
    <m/>
    <n v="101060401"/>
    <s v="Inventario de prod. term. y mercad. en Bodega BULLSYPPLY  Quito"/>
    <n v="458.41"/>
    <m/>
    <n v="458.41"/>
    <x v="3"/>
    <n v="878204.09"/>
    <s v="458.41"/>
    <s v="jcortiz"/>
    <n v="0"/>
    <m/>
    <m/>
    <m/>
    <m/>
    <m/>
  </r>
  <r>
    <x v="1"/>
    <x v="1"/>
    <d v="2022-10-27T00:00:00"/>
    <d v="2022-10-27T00:00:00"/>
    <s v="FE001"/>
    <s v="IM 100003366"/>
    <n v="107745"/>
    <s v="Traslados - CN1792079160001"/>
    <m/>
    <m/>
    <n v="101060409"/>
    <s v="Inventario de prod. term. y mercad. en Bodega de materiales defectuosos"/>
    <m/>
    <n v="299.02"/>
    <n v="-299.02"/>
    <x v="3"/>
    <n v="877905.07"/>
    <s v="-299.02"/>
    <s v="ancueva"/>
    <n v="0"/>
    <m/>
    <m/>
    <m/>
    <m/>
    <m/>
  </r>
  <r>
    <x v="1"/>
    <x v="1"/>
    <d v="2022-10-28T00:00:00"/>
    <d v="2022-10-28T00:00:00"/>
    <s v="FE001"/>
    <s v="NE 100015465"/>
    <n v="107779"/>
    <s v="Entregas - CN1792064082001"/>
    <m/>
    <s v="COCA"/>
    <n v="51010102"/>
    <s v="Costo de Ventas Coca"/>
    <m/>
    <n v="411"/>
    <n v="-411"/>
    <x v="1"/>
    <n v="877494.07"/>
    <s v="-411.00"/>
    <s v="ancueva"/>
    <n v="0"/>
    <m/>
    <s v="COCA-ORELLANA"/>
    <m/>
    <m/>
    <m/>
  </r>
  <r>
    <x v="1"/>
    <x v="1"/>
    <d v="2022-10-28T00:00:00"/>
    <d v="2022-10-28T00:00:00"/>
    <s v="FE001"/>
    <s v="NE 100015467"/>
    <n v="107781"/>
    <s v="Entregas - CN1791263308001"/>
    <m/>
    <s v="COCA"/>
    <n v="51010102"/>
    <s v="Costo de Ventas Coca"/>
    <m/>
    <n v="1132.69"/>
    <n v="-1132.69"/>
    <x v="1"/>
    <n v="876361.38"/>
    <s v="-1132.69"/>
    <s v="ancueva"/>
    <n v="0"/>
    <m/>
    <s v="COCA-ORELLANA"/>
    <m/>
    <m/>
    <m/>
  </r>
  <r>
    <x v="1"/>
    <x v="1"/>
    <d v="2022-10-28T00:00:00"/>
    <d v="2022-10-28T00:00:00"/>
    <s v="FE001"/>
    <s v="NE 100015468"/>
    <n v="107782"/>
    <s v="Entregas - CN1791263308001"/>
    <m/>
    <s v="COCA"/>
    <n v="51010102"/>
    <s v="Costo de Ventas Coca"/>
    <m/>
    <n v="619.99"/>
    <n v="-619.99"/>
    <x v="1"/>
    <n v="875741.39"/>
    <s v="-619.99"/>
    <s v="ancueva"/>
    <n v="0"/>
    <m/>
    <s v="COCA-ORELLANA"/>
    <m/>
    <m/>
    <m/>
  </r>
  <r>
    <x v="1"/>
    <x v="1"/>
    <d v="2022-10-28T00:00:00"/>
    <d v="2022-10-28T00:00:00"/>
    <s v="FE001"/>
    <s v="NE 100015469"/>
    <n v="107783"/>
    <s v="Entregas - CN1791847776001"/>
    <m/>
    <s v="COCA"/>
    <n v="51010102"/>
    <s v="Costo de Ventas Coca"/>
    <m/>
    <n v="3011.2"/>
    <n v="-3011.2"/>
    <x v="1"/>
    <n v="872730.19"/>
    <s v="-3011.20"/>
    <s v="ancueva"/>
    <n v="0"/>
    <m/>
    <s v="COCA-ORELLANA"/>
    <m/>
    <m/>
    <m/>
  </r>
  <r>
    <x v="1"/>
    <x v="1"/>
    <d v="2022-10-28T00:00:00"/>
    <d v="2022-10-28T00:00:00"/>
    <s v="FE001"/>
    <s v="IM 100003367"/>
    <n v="107784"/>
    <s v="Traslados - CN1792079160001"/>
    <m/>
    <m/>
    <n v="101060401"/>
    <s v="Inventario de prod. term. y mercad. en Bodega BULLSYPPLY  Quito"/>
    <n v="416.42"/>
    <m/>
    <n v="416.42"/>
    <x v="3"/>
    <n v="873146.61"/>
    <s v="416.42"/>
    <s v="jcortiz"/>
    <n v="0"/>
    <m/>
    <m/>
    <m/>
    <m/>
    <m/>
  </r>
  <r>
    <x v="1"/>
    <x v="1"/>
    <d v="2022-10-28T00:00:00"/>
    <d v="2022-10-28T00:00:00"/>
    <s v="FE001"/>
    <s v="NE 100015472"/>
    <n v="107797"/>
    <s v="Entregas - CN1791263308001"/>
    <m/>
    <s v="COCA"/>
    <n v="51010102"/>
    <s v="Costo de Ventas Coca"/>
    <m/>
    <n v="5229.21"/>
    <n v="-5229.21"/>
    <x v="1"/>
    <n v="867917.4"/>
    <s v="-5229.21"/>
    <s v="ancueva"/>
    <n v="0"/>
    <m/>
    <s v="COCA-ORELLANA"/>
    <m/>
    <m/>
    <m/>
  </r>
  <r>
    <x v="1"/>
    <x v="1"/>
    <d v="2022-10-28T00:00:00"/>
    <d v="2022-10-28T00:00:00"/>
    <s v="FE001"/>
    <s v="IM 100003368"/>
    <n v="107807"/>
    <s v="Traslados - CN1792079160001"/>
    <m/>
    <m/>
    <n v="101060401"/>
    <s v="Inventario de prod. term. y mercad. en Bodega BULLSYPPLY  Quito"/>
    <m/>
    <n v="392.34"/>
    <n v="-392.34"/>
    <x v="3"/>
    <n v="867525.06"/>
    <s v="-392.34"/>
    <s v="ancueva"/>
    <n v="0"/>
    <m/>
    <m/>
    <m/>
    <m/>
    <m/>
  </r>
  <r>
    <x v="1"/>
    <x v="1"/>
    <d v="2022-10-31T00:00:00"/>
    <d v="2022-10-31T00:00:00"/>
    <s v="FE001"/>
    <s v="NE 100015475"/>
    <n v="107809"/>
    <s v="Entregas - CN1792371694001"/>
    <m/>
    <s v="COCA"/>
    <n v="51010102"/>
    <s v="Costo de Ventas Coca"/>
    <m/>
    <n v="411.4"/>
    <n v="-411.4"/>
    <x v="1"/>
    <n v="867113.66"/>
    <s v="-411.40"/>
    <s v="ancueva"/>
    <n v="0"/>
    <m/>
    <s v="COCA-ORELLANA"/>
    <m/>
    <m/>
    <m/>
  </r>
  <r>
    <x v="1"/>
    <x v="1"/>
    <d v="2022-10-31T00:00:00"/>
    <d v="2022-10-31T00:00:00"/>
    <s v="FE001"/>
    <s v="NE 100015476"/>
    <n v="107811"/>
    <s v="Entregas - CN1791263308001"/>
    <m/>
    <s v="COCA"/>
    <n v="51010102"/>
    <s v="Costo de Ventas Coca"/>
    <m/>
    <n v="2317.87"/>
    <n v="-2317.87"/>
    <x v="1"/>
    <n v="864795.79"/>
    <s v="-2317.87"/>
    <s v="ancueva"/>
    <n v="0"/>
    <m/>
    <s v="COCA-ORELLANA"/>
    <m/>
    <m/>
    <m/>
  </r>
  <r>
    <x v="1"/>
    <x v="1"/>
    <d v="2022-10-31T00:00:00"/>
    <d v="2022-10-31T00:00:00"/>
    <s v="FE001"/>
    <s v="NE 100015482"/>
    <n v="107824"/>
    <s v="Entregas - CN1791263308001"/>
    <m/>
    <s v="COCA"/>
    <n v="51010102"/>
    <s v="Costo de Ventas Coca"/>
    <m/>
    <n v="51.5"/>
    <n v="-51.5"/>
    <x v="1"/>
    <n v="864744.29"/>
    <s v="-51.50"/>
    <s v="ancueva"/>
    <n v="0"/>
    <m/>
    <s v="COCA-ORELLANA"/>
    <m/>
    <m/>
    <m/>
  </r>
  <r>
    <x v="1"/>
    <x v="1"/>
    <d v="2022-10-31T00:00:00"/>
    <d v="2022-10-31T00:00:00"/>
    <s v="FE001"/>
    <s v="NE 100015483"/>
    <n v="107825"/>
    <s v="Entregas - CN1791263308001"/>
    <m/>
    <s v="COCA"/>
    <n v="51010102"/>
    <s v="Costo de Ventas Coca"/>
    <m/>
    <n v="1527.15"/>
    <n v="-1527.15"/>
    <x v="1"/>
    <n v="863217.14"/>
    <s v="-1527.15"/>
    <s v="ancueva"/>
    <n v="0"/>
    <m/>
    <s v="COCA-ORELLANA"/>
    <m/>
    <m/>
    <m/>
  </r>
  <r>
    <x v="1"/>
    <x v="1"/>
    <d v="2022-10-31T00:00:00"/>
    <d v="2022-10-31T00:00:00"/>
    <s v="FE001"/>
    <s v="NE 100015484"/>
    <n v="107826"/>
    <s v="Entrega - Cancelación - CN1791263308001"/>
    <m/>
    <s v="COCA"/>
    <n v="51010102"/>
    <s v="Costo de Ventas Coca"/>
    <n v="1527.15"/>
    <m/>
    <n v="1527.15"/>
    <x v="1"/>
    <n v="864744.29"/>
    <s v="1527.15"/>
    <s v="ancueva"/>
    <n v="0"/>
    <m/>
    <s v="COCA-ORELLANA"/>
    <m/>
    <m/>
    <m/>
  </r>
  <r>
    <x v="1"/>
    <x v="1"/>
    <d v="2022-10-31T00:00:00"/>
    <d v="2022-10-31T00:00:00"/>
    <s v="FE001"/>
    <s v="NE 100015485"/>
    <n v="107827"/>
    <s v="Entregas - CN1791263308001"/>
    <m/>
    <s v="COCA"/>
    <n v="51010102"/>
    <s v="Costo de Ventas Coca"/>
    <m/>
    <n v="1542.71"/>
    <n v="-1542.71"/>
    <x v="1"/>
    <n v="863201.58"/>
    <s v="-1542.71"/>
    <s v="ancueva"/>
    <n v="0"/>
    <m/>
    <s v="COCA-ORELLANA"/>
    <m/>
    <m/>
    <m/>
  </r>
  <r>
    <x v="1"/>
    <x v="1"/>
    <d v="2022-10-31T00:00:00"/>
    <d v="2022-10-31T00:00:00"/>
    <s v="FE001"/>
    <s v="NE 100015492"/>
    <n v="107843"/>
    <s v="Entregas - CN1791263308001"/>
    <m/>
    <s v="COCA"/>
    <n v="51010102"/>
    <s v="Costo de Ventas Coca"/>
    <m/>
    <n v="20.62"/>
    <n v="-20.62"/>
    <x v="1"/>
    <n v="863180.96"/>
    <s v="-20.62"/>
    <s v="ancueva"/>
    <n v="0"/>
    <m/>
    <s v="COCA-ORELLANA"/>
    <m/>
    <m/>
    <m/>
  </r>
  <r>
    <x v="1"/>
    <x v="1"/>
    <d v="2022-10-31T00:00:00"/>
    <d v="2022-10-31T00:00:00"/>
    <s v="FE001"/>
    <s v="NE 100015493"/>
    <n v="107844"/>
    <s v="Entregas - CN1791263308001"/>
    <m/>
    <s v="COCA"/>
    <n v="51010102"/>
    <s v="Costo de Ventas Coca"/>
    <m/>
    <n v="214.95"/>
    <n v="-214.95"/>
    <x v="1"/>
    <n v="862966.01"/>
    <s v="-214.95"/>
    <s v="ancueva"/>
    <n v="0"/>
    <m/>
    <s v="COCA-ORELLANA"/>
    <m/>
    <m/>
    <m/>
  </r>
  <r>
    <x v="1"/>
    <x v="1"/>
    <d v="2022-10-31T00:00:00"/>
    <d v="2022-10-31T00:00:00"/>
    <s v="FE001"/>
    <s v="NE 100015494"/>
    <n v="107845"/>
    <s v="Entregas - CN1791263308001"/>
    <m/>
    <s v="COCA"/>
    <n v="51010102"/>
    <s v="Costo de Ventas Coca"/>
    <m/>
    <n v="51.5"/>
    <n v="-51.5"/>
    <x v="1"/>
    <n v="862914.51"/>
    <s v="-51.50"/>
    <s v="ancueva"/>
    <n v="0"/>
    <m/>
    <s v="COCA-ORELLANA"/>
    <m/>
    <m/>
    <m/>
  </r>
  <r>
    <x v="1"/>
    <x v="1"/>
    <d v="2022-10-31T00:00:00"/>
    <d v="2022-10-31T00:00:00"/>
    <s v="FE001"/>
    <s v="NE 100015495"/>
    <n v="107846"/>
    <s v="Entregas - CN1791263308001"/>
    <m/>
    <s v="COCA"/>
    <n v="51010102"/>
    <s v="Costo de Ventas Coca"/>
    <m/>
    <n v="378.7"/>
    <n v="-378.7"/>
    <x v="1"/>
    <n v="862535.81"/>
    <s v="-378.70"/>
    <s v="ancueva"/>
    <n v="0"/>
    <m/>
    <s v="COCA-ORELLANA"/>
    <m/>
    <m/>
    <m/>
  </r>
  <r>
    <x v="1"/>
    <x v="1"/>
    <d v="2022-10-31T00:00:00"/>
    <d v="2022-10-31T00:00:00"/>
    <s v="FE001"/>
    <s v="NE 100015497"/>
    <n v="107851"/>
    <s v="Entregas - CN1315662823001"/>
    <m/>
    <s v="COCA"/>
    <n v="51010102"/>
    <s v="Costo de Ventas Coca"/>
    <m/>
    <n v="39.76"/>
    <n v="-39.76"/>
    <x v="1"/>
    <n v="862496.05"/>
    <s v="-39.76"/>
    <s v="jcortiz"/>
    <n v="0"/>
    <m/>
    <s v="COCA-ORELLANA"/>
    <m/>
    <m/>
    <m/>
  </r>
  <r>
    <x v="1"/>
    <x v="1"/>
    <d v="2022-10-31T00:00:00"/>
    <d v="2022-10-31T00:00:00"/>
    <s v="FE001"/>
    <s v="RC 100000669"/>
    <n v="107853"/>
    <s v="Notas de crédito clientes - CN1315662823001"/>
    <m/>
    <s v="COCA"/>
    <s v="CN1315662823001"/>
    <s v="OLIVO ZAMBRANO DAVID DANIEL"/>
    <n v="39.76"/>
    <m/>
    <n v="39.76"/>
    <x v="4"/>
    <n v="862535.81"/>
    <s v="39.76"/>
    <s v="gcali"/>
    <n v="0"/>
    <m/>
    <s v="COCA-ORELLANA"/>
    <m/>
    <m/>
    <m/>
  </r>
  <r>
    <x v="1"/>
    <x v="1"/>
    <d v="2022-10-31T00:00:00"/>
    <d v="2022-10-31T00:00:00"/>
    <s v="FE001"/>
    <s v="NE 100015498"/>
    <n v="107854"/>
    <s v="Entregas - CN1315662823001"/>
    <m/>
    <s v="COCA"/>
    <n v="51010102"/>
    <s v="Costo de Ventas Coca"/>
    <m/>
    <n v="39.76"/>
    <n v="-39.76"/>
    <x v="1"/>
    <n v="862496.05"/>
    <s v="-39.76"/>
    <s v="jcortiz"/>
    <n v="0"/>
    <m/>
    <s v="COCA-ORELLANA"/>
    <m/>
    <m/>
    <m/>
  </r>
  <r>
    <x v="1"/>
    <x v="1"/>
    <d v="2022-10-31T00:00:00"/>
    <d v="2022-10-31T00:00:00"/>
    <s v="FE001"/>
    <s v="IM 100003369"/>
    <n v="107857"/>
    <s v="Traslados - CN1792079160001"/>
    <m/>
    <m/>
    <n v="101060401"/>
    <s v="Inventario de prod. term. y mercad. en Bodega BULLSYPPLY  Quito"/>
    <m/>
    <n v="103.07"/>
    <n v="-103.07"/>
    <x v="3"/>
    <n v="862392.98"/>
    <s v="-103.07"/>
    <s v="ancueva"/>
    <n v="0"/>
    <m/>
    <m/>
    <m/>
    <m/>
    <m/>
  </r>
  <r>
    <x v="1"/>
    <x v="1"/>
    <d v="2022-10-31T00:00:00"/>
    <d v="2022-10-31T00:00:00"/>
    <s v="FE001"/>
    <s v="IM 100003370"/>
    <n v="107891"/>
    <s v="Traslados - CN1792079160001"/>
    <m/>
    <m/>
    <n v="101060401"/>
    <s v="Inventario de prod. term. y mercad. en Bodega BULLSYPPLY  Quito"/>
    <n v="42.24"/>
    <m/>
    <n v="42.24"/>
    <x v="3"/>
    <n v="862435.22"/>
    <s v="42.24"/>
    <s v="jcortiz"/>
    <n v="0"/>
    <m/>
    <m/>
    <m/>
    <m/>
    <m/>
  </r>
  <r>
    <x v="1"/>
    <x v="1"/>
    <d v="2022-10-31T00:00:00"/>
    <d v="2022-10-31T00:00:00"/>
    <s v="FE001"/>
    <s v="NE 100015503"/>
    <n v="107892"/>
    <s v="Entregas - CN1793194217001"/>
    <m/>
    <s v="QUITO"/>
    <n v="51010102"/>
    <s v="Costo de Ventas Coca"/>
    <m/>
    <n v="2985.3"/>
    <n v="-2985.3"/>
    <x v="1"/>
    <n v="859449.92"/>
    <s v="-2985.30"/>
    <s v="ancueva"/>
    <n v="0"/>
    <m/>
    <s v="QUITO-PICHINCHA"/>
    <m/>
    <m/>
    <m/>
  </r>
  <r>
    <x v="1"/>
    <x v="1"/>
    <d v="2022-10-31T00:00:00"/>
    <d v="2022-10-31T00:00:00"/>
    <s v="FE001"/>
    <s v="NE 100015503"/>
    <n v="107892"/>
    <s v="Entregas - CN1793194217001"/>
    <m/>
    <s v="COCA"/>
    <n v="51010102"/>
    <s v="Costo de Ventas Coca"/>
    <m/>
    <n v="568.26"/>
    <n v="-568.26"/>
    <x v="1"/>
    <n v="858881.66"/>
    <s v="-568.26"/>
    <s v="ancueva"/>
    <n v="0"/>
    <m/>
    <s v="COCA-ORELLANA"/>
    <m/>
    <m/>
    <m/>
  </r>
  <r>
    <x v="1"/>
    <x v="1"/>
    <d v="2022-11-01T00:00:00"/>
    <d v="2022-11-01T00:00:00"/>
    <s v="FE001"/>
    <s v="IM 100003371"/>
    <n v="107951"/>
    <s v="Traslados - CN1792079160001"/>
    <m/>
    <m/>
    <n v="101060401"/>
    <s v="Inventario de prod. term. y mercad. en Bodega BULLSYPPLY  Quito"/>
    <m/>
    <n v="3570.19"/>
    <n v="-3570.19"/>
    <x v="3"/>
    <n v="855311.47"/>
    <s v="-3570.19"/>
    <s v="ancueva"/>
    <n v="0"/>
    <m/>
    <m/>
    <m/>
    <m/>
    <m/>
  </r>
  <r>
    <x v="1"/>
    <x v="1"/>
    <d v="2022-11-01T00:00:00"/>
    <d v="2022-11-01T00:00:00"/>
    <s v="FE001"/>
    <s v="NE 100015509"/>
    <n v="107953"/>
    <s v="Entregas - CN1792903890001"/>
    <m/>
    <s v="COCA"/>
    <n v="51010102"/>
    <s v="Costo de Ventas Coca"/>
    <m/>
    <n v="1364.56"/>
    <n v="-1364.56"/>
    <x v="1"/>
    <n v="853946.91"/>
    <s v="-1364.56"/>
    <s v="ancueva"/>
    <n v="0"/>
    <m/>
    <s v="COCA-ORELLANA"/>
    <m/>
    <m/>
    <m/>
  </r>
  <r>
    <x v="1"/>
    <x v="1"/>
    <d v="2022-11-01T00:00:00"/>
    <d v="2022-11-01T00:00:00"/>
    <s v="FE001"/>
    <s v="IM 100003372"/>
    <n v="107982"/>
    <s v="Traslados - CN1792079160001"/>
    <m/>
    <m/>
    <n v="101060401"/>
    <s v="Inventario de prod. term. y mercad. en Bodega BULLSYPPLY  Quito"/>
    <n v="103.87"/>
    <m/>
    <n v="103.87"/>
    <x v="3"/>
    <n v="854050.78"/>
    <s v="103.87"/>
    <s v="jcortiz"/>
    <n v="0"/>
    <m/>
    <m/>
    <m/>
    <m/>
    <m/>
  </r>
  <r>
    <x v="1"/>
    <x v="1"/>
    <d v="2022-11-01T00:00:00"/>
    <d v="2022-11-01T00:00:00"/>
    <s v="FE001"/>
    <s v="NE 100015519"/>
    <n v="108034"/>
    <s v="Entregas - CN1792371694001"/>
    <m/>
    <s v="COCA"/>
    <n v="51010102"/>
    <s v="Costo de Ventas Coca"/>
    <m/>
    <n v="7264.09"/>
    <n v="-7264.09"/>
    <x v="1"/>
    <n v="846786.69"/>
    <s v="-7264.09"/>
    <s v="ancueva"/>
    <n v="0"/>
    <m/>
    <s v="COCA-ORELLANA"/>
    <m/>
    <m/>
    <m/>
  </r>
  <r>
    <x v="1"/>
    <x v="1"/>
    <d v="2022-11-01T00:00:00"/>
    <d v="2022-11-01T00:00:00"/>
    <s v="FE001"/>
    <s v="NE 100015519"/>
    <n v="108034"/>
    <s v="Entregas - CN1792371694001"/>
    <m/>
    <s v="COCA"/>
    <n v="51010102"/>
    <s v="Costo de Ventas Coca"/>
    <m/>
    <n v="72.290000000000006"/>
    <n v="-72.290000000000006"/>
    <x v="1"/>
    <n v="846714.4"/>
    <s v="-72.29"/>
    <s v="ancueva"/>
    <n v="0"/>
    <m/>
    <s v="COCA-ORELLANA"/>
    <m/>
    <m/>
    <m/>
  </r>
  <r>
    <x v="1"/>
    <x v="1"/>
    <d v="2022-11-01T00:00:00"/>
    <d v="2022-11-01T00:00:00"/>
    <s v="Primario"/>
    <s v="DV 232"/>
    <n v="108045"/>
    <s v="Devoluciones - CN1791263308001"/>
    <m/>
    <s v="COCA"/>
    <n v="51010102"/>
    <s v="Costo de Ventas Coca"/>
    <n v="407.78"/>
    <m/>
    <n v="407.78"/>
    <x v="1"/>
    <n v="847122.18"/>
    <s v="407.78"/>
    <s v="ancueva"/>
    <n v="0"/>
    <m/>
    <s v="COCA-ORELLANA"/>
    <m/>
    <m/>
    <m/>
  </r>
  <r>
    <x v="1"/>
    <x v="1"/>
    <d v="2022-11-02T00:00:00"/>
    <d v="2022-11-02T00:00:00"/>
    <s v="FE001"/>
    <s v="NE 100015522"/>
    <n v="108054"/>
    <s v="Entregas - CN1708725765001"/>
    <m/>
    <s v="COCA"/>
    <n v="51010102"/>
    <s v="Costo de Ventas Coca"/>
    <m/>
    <n v="2386.44"/>
    <n v="-2386.44"/>
    <x v="1"/>
    <n v="844735.74"/>
    <s v="-2386.44"/>
    <s v="jcortiz"/>
    <n v="0"/>
    <m/>
    <s v="COCA-ORELLANA"/>
    <m/>
    <m/>
    <m/>
  </r>
  <r>
    <x v="1"/>
    <x v="1"/>
    <d v="2022-11-02T00:00:00"/>
    <d v="2022-11-02T00:00:00"/>
    <s v="FE001"/>
    <s v="NE 100015527"/>
    <n v="108067"/>
    <s v="Entregas - CN1793008054001"/>
    <m/>
    <s v="COCA"/>
    <n v="51010102"/>
    <s v="Costo de Ventas Coca"/>
    <m/>
    <n v="13.92"/>
    <n v="-13.92"/>
    <x v="1"/>
    <n v="844721.82"/>
    <s v="-13.92"/>
    <s v="jcortiz"/>
    <n v="0"/>
    <m/>
    <s v="COCA-ORELLANA"/>
    <m/>
    <m/>
    <m/>
  </r>
  <r>
    <x v="1"/>
    <x v="1"/>
    <d v="2022-11-02T00:00:00"/>
    <d v="2022-11-02T00:00:00"/>
    <s v="FE001"/>
    <s v="NE 100015530"/>
    <n v="108077"/>
    <s v="Entregas - CN1791263308001"/>
    <m/>
    <s v="COCA"/>
    <n v="51010102"/>
    <s v="Costo de Ventas Coca"/>
    <m/>
    <n v="2351"/>
    <n v="-2351"/>
    <x v="1"/>
    <n v="842370.82"/>
    <s v="-2351.00"/>
    <s v="ancueva"/>
    <n v="0"/>
    <m/>
    <s v="COCA-ORELLANA"/>
    <m/>
    <m/>
    <m/>
  </r>
  <r>
    <x v="1"/>
    <x v="1"/>
    <d v="2022-11-02T00:00:00"/>
    <d v="2022-11-02T00:00:00"/>
    <s v="FE001"/>
    <s v="NE 100015531"/>
    <n v="108078"/>
    <s v="Entregas - CN1791263308001"/>
    <m/>
    <s v="COCA"/>
    <n v="51010102"/>
    <s v="Costo de Ventas Coca"/>
    <m/>
    <n v="1105.21"/>
    <n v="-1105.21"/>
    <x v="1"/>
    <n v="841265.61"/>
    <s v="-1105.21"/>
    <s v="ancueva"/>
    <n v="0"/>
    <m/>
    <s v="COCA-ORELLANA"/>
    <m/>
    <m/>
    <m/>
  </r>
  <r>
    <x v="1"/>
    <x v="1"/>
    <d v="2022-11-02T00:00:00"/>
    <d v="2022-11-02T00:00:00"/>
    <s v="FE001"/>
    <s v="NE 100015538"/>
    <n v="108100"/>
    <s v="Entregas - CN1791774345001"/>
    <m/>
    <s v="COCA"/>
    <n v="51010102"/>
    <s v="Costo de Ventas Coca"/>
    <m/>
    <n v="224.88"/>
    <n v="-224.88"/>
    <x v="1"/>
    <n v="841040.73"/>
    <s v="-224.88"/>
    <s v="ancueva"/>
    <n v="0"/>
    <m/>
    <s v="COCA-ORELLANA"/>
    <m/>
    <m/>
    <m/>
  </r>
  <r>
    <x v="1"/>
    <x v="1"/>
    <d v="2022-11-02T00:00:00"/>
    <d v="2022-11-02T00:00:00"/>
    <s v="FE001"/>
    <s v="NE 100015539"/>
    <n v="108101"/>
    <s v="Entregas - CN1792371694001"/>
    <m/>
    <s v="COCA"/>
    <n v="51010102"/>
    <s v="Costo de Ventas Coca"/>
    <m/>
    <n v="124.22"/>
    <n v="-124.22"/>
    <x v="1"/>
    <n v="840916.51"/>
    <s v="-124.22"/>
    <s v="ancueva"/>
    <n v="0"/>
    <m/>
    <s v="COCA-ORELLANA"/>
    <m/>
    <m/>
    <m/>
  </r>
  <r>
    <x v="1"/>
    <x v="1"/>
    <d v="2022-11-02T00:00:00"/>
    <d v="2022-11-02T00:00:00"/>
    <s v="FE001"/>
    <s v="NE 100015540"/>
    <n v="108102"/>
    <s v="Entregas - CN1791263308001"/>
    <m/>
    <s v="COCA"/>
    <n v="51010102"/>
    <s v="Costo de Ventas Coca"/>
    <m/>
    <n v="5808.34"/>
    <n v="-5808.34"/>
    <x v="1"/>
    <n v="835108.17"/>
    <s v="-5808.34"/>
    <s v="ancueva"/>
    <n v="0"/>
    <m/>
    <s v="COCA-ORELLANA"/>
    <m/>
    <m/>
    <m/>
  </r>
  <r>
    <x v="1"/>
    <x v="1"/>
    <d v="2022-11-02T00:00:00"/>
    <d v="2022-11-02T00:00:00"/>
    <s v="FE001"/>
    <s v="NE 100015540"/>
    <n v="108102"/>
    <s v="Entregas - CN1791263308001"/>
    <m/>
    <s v="COCA"/>
    <n v="51010102"/>
    <s v="Costo de Ventas Coca"/>
    <m/>
    <n v="40.99"/>
    <n v="-40.99"/>
    <x v="1"/>
    <n v="835067.18"/>
    <s v="-40.99"/>
    <s v="ancueva"/>
    <n v="0"/>
    <m/>
    <s v="COCA-ORELLANA"/>
    <m/>
    <m/>
    <m/>
  </r>
  <r>
    <x v="1"/>
    <x v="1"/>
    <d v="2022-11-02T00:00:00"/>
    <d v="2022-11-02T00:00:00"/>
    <s v="FE001"/>
    <s v="NE 100015541"/>
    <n v="108103"/>
    <s v="Entregas - CN1791263308001"/>
    <m/>
    <s v="COCA"/>
    <n v="51010102"/>
    <s v="Costo de Ventas Coca"/>
    <m/>
    <n v="4110.7"/>
    <n v="-4110.7"/>
    <x v="1"/>
    <n v="830956.48"/>
    <s v="-4110.70"/>
    <s v="ancueva"/>
    <n v="0"/>
    <m/>
    <s v="COCA-ORELLANA"/>
    <m/>
    <m/>
    <m/>
  </r>
  <r>
    <x v="1"/>
    <x v="1"/>
    <d v="2022-11-02T00:00:00"/>
    <d v="2022-11-02T00:00:00"/>
    <s v="FE001"/>
    <s v="NE 100015542"/>
    <n v="108104"/>
    <s v="Entrega - Cancelación - CN1791263308001"/>
    <m/>
    <s v="COCA"/>
    <n v="51010102"/>
    <s v="Costo de Ventas Coca"/>
    <n v="2351"/>
    <m/>
    <n v="2351"/>
    <x v="1"/>
    <n v="833307.48"/>
    <s v="2351.00"/>
    <s v="ancueva"/>
    <n v="0"/>
    <m/>
    <s v="COCA-ORELLANA"/>
    <m/>
    <m/>
    <m/>
  </r>
  <r>
    <x v="1"/>
    <x v="1"/>
    <d v="2022-11-02T00:00:00"/>
    <d v="2022-11-02T00:00:00"/>
    <s v="FE001"/>
    <s v="NE 100015543"/>
    <n v="108105"/>
    <s v="Entrega - Cancelación - CN1791263308001"/>
    <m/>
    <s v="COCA"/>
    <n v="51010102"/>
    <s v="Costo de Ventas Coca"/>
    <n v="1105.21"/>
    <m/>
    <n v="1105.21"/>
    <x v="1"/>
    <n v="834412.69"/>
    <s v="1105.21"/>
    <s v="ancueva"/>
    <n v="0"/>
    <m/>
    <s v="COCA-ORELLANA"/>
    <m/>
    <m/>
    <m/>
  </r>
  <r>
    <x v="1"/>
    <x v="1"/>
    <d v="2022-11-02T00:00:00"/>
    <d v="2022-11-02T00:00:00"/>
    <s v="FE001"/>
    <s v="NE 100015544"/>
    <n v="108106"/>
    <s v="Entregas - CN1791263308001"/>
    <m/>
    <s v="COCA"/>
    <n v="51010102"/>
    <s v="Costo de Ventas Coca"/>
    <m/>
    <n v="4644"/>
    <n v="-4644"/>
    <x v="1"/>
    <n v="829768.69"/>
    <s v="-4644.00"/>
    <s v="ancueva"/>
    <n v="0"/>
    <m/>
    <s v="COCA-ORELLANA"/>
    <m/>
    <m/>
    <m/>
  </r>
  <r>
    <x v="1"/>
    <x v="1"/>
    <d v="2022-11-02T00:00:00"/>
    <d v="2022-11-02T00:00:00"/>
    <s v="FE001"/>
    <s v="NE 100015544"/>
    <n v="108106"/>
    <s v="Entregas - CN1791263308001"/>
    <m/>
    <s v="COCA"/>
    <n v="51010102"/>
    <s v="Costo de Ventas Coca"/>
    <m/>
    <n v="40.99"/>
    <n v="-40.99"/>
    <x v="1"/>
    <n v="829727.7"/>
    <s v="-40.99"/>
    <s v="ancueva"/>
    <n v="0"/>
    <m/>
    <s v="COCA-ORELLANA"/>
    <m/>
    <m/>
    <m/>
  </r>
  <r>
    <x v="1"/>
    <x v="1"/>
    <d v="2022-11-02T00:00:00"/>
    <d v="2022-11-02T00:00:00"/>
    <s v="FE001"/>
    <s v="IM 100003373"/>
    <n v="108107"/>
    <s v="Traslados - CN1792079160001"/>
    <m/>
    <m/>
    <n v="101060401"/>
    <s v="Inventario de prod. term. y mercad. en Bodega BULLSYPPLY  Quito"/>
    <m/>
    <n v="281.05"/>
    <n v="-281.05"/>
    <x v="3"/>
    <n v="829446.65"/>
    <s v="-281.05"/>
    <s v="ancueva"/>
    <n v="0"/>
    <m/>
    <m/>
    <m/>
    <m/>
    <m/>
  </r>
  <r>
    <x v="1"/>
    <x v="1"/>
    <d v="2022-11-02T00:00:00"/>
    <d v="2022-11-02T00:00:00"/>
    <s v="FE001"/>
    <s v="IM 100003374"/>
    <n v="108108"/>
    <s v="Traslados - CN1792079160001"/>
    <m/>
    <m/>
    <n v="101060401"/>
    <s v="Inventario de prod. term. y mercad. en Bodega BULLSYPPLY  Quito"/>
    <m/>
    <n v="1170.9000000000001"/>
    <n v="-1170.9000000000001"/>
    <x v="3"/>
    <n v="828275.75"/>
    <s v="-1170.90"/>
    <s v="ancueva"/>
    <n v="0"/>
    <m/>
    <m/>
    <m/>
    <m/>
    <m/>
  </r>
  <r>
    <x v="1"/>
    <x v="1"/>
    <d v="2022-11-02T00:00:00"/>
    <d v="2022-11-02T00:00:00"/>
    <s v="FE001"/>
    <s v="NE 100015545"/>
    <n v="108109"/>
    <s v="Entregas - CN1792514541001"/>
    <m/>
    <s v="COCA"/>
    <n v="51010102"/>
    <s v="Costo de Ventas Coca"/>
    <m/>
    <n v="94.8"/>
    <n v="-94.8"/>
    <x v="1"/>
    <n v="828180.95"/>
    <s v="-94.80"/>
    <s v="ancueva"/>
    <n v="0"/>
    <m/>
    <s v="COCA-ORELLANA"/>
    <m/>
    <m/>
    <m/>
  </r>
  <r>
    <x v="1"/>
    <x v="1"/>
    <d v="2022-11-02T00:00:00"/>
    <d v="2022-11-02T00:00:00"/>
    <s v="FE001"/>
    <s v="NE 100015546"/>
    <n v="108110"/>
    <s v="Entregas - CN1792514541001"/>
    <m/>
    <s v="COCA"/>
    <n v="51010102"/>
    <s v="Costo de Ventas Coca"/>
    <m/>
    <n v="42.4"/>
    <n v="-42.4"/>
    <x v="1"/>
    <n v="828138.55"/>
    <s v="-42.40"/>
    <s v="ancueva"/>
    <n v="0"/>
    <m/>
    <s v="COCA-ORELLANA"/>
    <m/>
    <m/>
    <m/>
  </r>
  <r>
    <x v="1"/>
    <x v="1"/>
    <d v="2022-11-02T00:00:00"/>
    <d v="2022-11-02T00:00:00"/>
    <s v="FE001"/>
    <s v="NE 100015546"/>
    <n v="108110"/>
    <s v="Entregas - CN1792514541001"/>
    <m/>
    <s v="COCA"/>
    <n v="51010102"/>
    <s v="Costo de Ventas Coca"/>
    <m/>
    <n v="82.77"/>
    <n v="-82.77"/>
    <x v="1"/>
    <n v="828055.78"/>
    <s v="-82.77"/>
    <s v="ancueva"/>
    <n v="0"/>
    <m/>
    <s v="COCA-ORELLANA"/>
    <m/>
    <m/>
    <m/>
  </r>
  <r>
    <x v="1"/>
    <x v="1"/>
    <d v="2022-11-02T00:00:00"/>
    <d v="2022-11-02T00:00:00"/>
    <s v="FE001"/>
    <s v="NE 100015547"/>
    <n v="108111"/>
    <s v="Entrega - Cancelación - CN1791263308001"/>
    <m/>
    <s v="COCA"/>
    <n v="51010102"/>
    <s v="Costo de Ventas Coca"/>
    <n v="4110.7"/>
    <m/>
    <n v="4110.7"/>
    <x v="1"/>
    <n v="832166.48"/>
    <s v="4110.70"/>
    <s v="ancueva"/>
    <n v="0"/>
    <m/>
    <s v="COCA-ORELLANA"/>
    <m/>
    <m/>
    <m/>
  </r>
  <r>
    <x v="1"/>
    <x v="1"/>
    <d v="2022-11-02T00:00:00"/>
    <d v="2022-11-02T00:00:00"/>
    <s v="FE001"/>
    <s v="NE 100015550"/>
    <n v="108114"/>
    <s v="Entrega - Cancelación - CN1791263308001"/>
    <m/>
    <s v="COCA"/>
    <n v="51010102"/>
    <s v="Costo de Ventas Coca"/>
    <n v="5808.34"/>
    <m/>
    <n v="5808.34"/>
    <x v="1"/>
    <n v="837974.82"/>
    <s v="5808.34"/>
    <s v="ancueva"/>
    <n v="0"/>
    <m/>
    <s v="COCA-ORELLANA"/>
    <m/>
    <m/>
    <m/>
  </r>
  <r>
    <x v="1"/>
    <x v="1"/>
    <d v="2022-11-02T00:00:00"/>
    <d v="2022-11-02T00:00:00"/>
    <s v="FE001"/>
    <s v="NE 100015550"/>
    <n v="108114"/>
    <s v="Entrega - Cancelación - CN1791263308001"/>
    <m/>
    <s v="COCA"/>
    <n v="51010102"/>
    <s v="Costo de Ventas Coca"/>
    <n v="40.99"/>
    <m/>
    <n v="40.99"/>
    <x v="1"/>
    <n v="838015.81"/>
    <s v="40.99"/>
    <s v="ancueva"/>
    <n v="0"/>
    <m/>
    <s v="COCA-ORELLANA"/>
    <m/>
    <m/>
    <m/>
  </r>
  <r>
    <x v="1"/>
    <x v="1"/>
    <d v="2022-11-02T00:00:00"/>
    <d v="2022-11-02T00:00:00"/>
    <s v="FE001"/>
    <s v="NE 100015554"/>
    <n v="108118"/>
    <s v="Entrega - Cancelación - CN1791263308001"/>
    <m/>
    <s v="COCA"/>
    <n v="51010102"/>
    <s v="Costo de Ventas Coca"/>
    <n v="4644"/>
    <m/>
    <n v="4644"/>
    <x v="1"/>
    <n v="842659.81"/>
    <s v="4644.00"/>
    <s v="ancueva"/>
    <n v="0"/>
    <m/>
    <s v="COCA-ORELLANA"/>
    <m/>
    <m/>
    <m/>
  </r>
  <r>
    <x v="1"/>
    <x v="1"/>
    <d v="2022-11-02T00:00:00"/>
    <d v="2022-11-02T00:00:00"/>
    <s v="FE001"/>
    <s v="NE 100015554"/>
    <n v="108118"/>
    <s v="Entrega - Cancelación - CN1791263308001"/>
    <m/>
    <s v="COCA"/>
    <n v="51010102"/>
    <s v="Costo de Ventas Coca"/>
    <n v="40.99"/>
    <m/>
    <n v="40.99"/>
    <x v="1"/>
    <n v="842700.80000000005"/>
    <s v="40.99"/>
    <s v="ancueva"/>
    <n v="0"/>
    <m/>
    <s v="COCA-ORELLANA"/>
    <m/>
    <m/>
    <m/>
  </r>
  <r>
    <x v="1"/>
    <x v="1"/>
    <d v="2022-11-03T00:00:00"/>
    <d v="2022-11-03T00:00:00"/>
    <s v="FE001"/>
    <s v="NE 100015549"/>
    <n v="108113"/>
    <s v="Entregas - CN1791263308001"/>
    <m/>
    <s v="COCA"/>
    <n v="51010102"/>
    <s v="Costo de Ventas Coca"/>
    <m/>
    <n v="4110.7"/>
    <n v="-4110.7"/>
    <x v="1"/>
    <n v="838590.1"/>
    <s v="-4110.70"/>
    <s v="ancueva"/>
    <n v="0"/>
    <m/>
    <s v="COCA-ORELLANA"/>
    <m/>
    <m/>
    <m/>
  </r>
  <r>
    <x v="1"/>
    <x v="1"/>
    <d v="2022-11-03T00:00:00"/>
    <d v="2022-11-03T00:00:00"/>
    <s v="FE001"/>
    <s v="NE 100015552"/>
    <n v="108116"/>
    <s v="Entregas - CN1791263308001"/>
    <m/>
    <s v="COCA"/>
    <n v="51010102"/>
    <s v="Costo de Ventas Coca"/>
    <m/>
    <n v="5808.34"/>
    <n v="-5808.34"/>
    <x v="1"/>
    <n v="832781.76"/>
    <s v="-5808.34"/>
    <s v="ancueva"/>
    <n v="0"/>
    <m/>
    <s v="COCA-ORELLANA"/>
    <m/>
    <m/>
    <m/>
  </r>
  <r>
    <x v="1"/>
    <x v="1"/>
    <d v="2022-11-03T00:00:00"/>
    <d v="2022-11-03T00:00:00"/>
    <s v="FE001"/>
    <s v="NE 100015552"/>
    <n v="108116"/>
    <s v="Entregas - CN1791263308001"/>
    <m/>
    <s v="COCA"/>
    <n v="51010102"/>
    <s v="Costo de Ventas Coca"/>
    <m/>
    <n v="40.99"/>
    <n v="-40.99"/>
    <x v="1"/>
    <n v="832740.77"/>
    <s v="-40.99"/>
    <s v="ancueva"/>
    <n v="0"/>
    <m/>
    <s v="COCA-ORELLANA"/>
    <m/>
    <m/>
    <m/>
  </r>
  <r>
    <x v="1"/>
    <x v="1"/>
    <d v="2022-11-03T00:00:00"/>
    <d v="2022-11-03T00:00:00"/>
    <s v="FE001"/>
    <s v="NE 100015555"/>
    <n v="108119"/>
    <s v="Entregas - CN1791263308001"/>
    <m/>
    <s v="COCA"/>
    <n v="51010102"/>
    <s v="Costo de Ventas Coca"/>
    <m/>
    <n v="4644"/>
    <n v="-4644"/>
    <x v="1"/>
    <n v="828096.77"/>
    <s v="-4644.00"/>
    <s v="ancueva"/>
    <n v="0"/>
    <m/>
    <s v="COCA-ORELLANA"/>
    <m/>
    <m/>
    <m/>
  </r>
  <r>
    <x v="1"/>
    <x v="1"/>
    <d v="2022-11-03T00:00:00"/>
    <d v="2022-11-03T00:00:00"/>
    <s v="FE001"/>
    <s v="NE 100015555"/>
    <n v="108119"/>
    <s v="Entregas - CN1791263308001"/>
    <m/>
    <s v="COCA"/>
    <n v="51010102"/>
    <s v="Costo de Ventas Coca"/>
    <m/>
    <n v="40.99"/>
    <n v="-40.99"/>
    <x v="1"/>
    <n v="828055.78"/>
    <s v="-40.99"/>
    <s v="ancueva"/>
    <n v="0"/>
    <m/>
    <s v="COCA-ORELLANA"/>
    <m/>
    <m/>
    <m/>
  </r>
  <r>
    <x v="1"/>
    <x v="1"/>
    <d v="2022-11-03T00:00:00"/>
    <d v="2022-11-03T00:00:00"/>
    <s v="FE001"/>
    <s v="NE 100015556"/>
    <n v="108120"/>
    <s v="Entregas - CN1791239245001"/>
    <m/>
    <s v="COCA"/>
    <n v="51010102"/>
    <s v="Costo de Ventas Coca"/>
    <m/>
    <n v="2593.5700000000002"/>
    <n v="-2593.5700000000002"/>
    <x v="1"/>
    <n v="825462.21"/>
    <s v="-2593.57"/>
    <s v="ancueva"/>
    <n v="0"/>
    <m/>
    <s v="COCA-ORELLANA"/>
    <m/>
    <m/>
    <m/>
  </r>
  <r>
    <x v="1"/>
    <x v="1"/>
    <d v="2022-11-03T00:00:00"/>
    <d v="2022-11-03T00:00:00"/>
    <s v="FE001"/>
    <s v="NE 100015583"/>
    <n v="108187"/>
    <s v="Entrega - Cancelación - CN1791263308001"/>
    <m/>
    <s v="COCA"/>
    <n v="51010102"/>
    <s v="Costo de Ventas Coca"/>
    <n v="4644"/>
    <m/>
    <n v="4644"/>
    <x v="1"/>
    <n v="830106.21"/>
    <s v="4644.00"/>
    <s v="jcortiz"/>
    <n v="0"/>
    <m/>
    <s v="COCA-ORELLANA"/>
    <m/>
    <m/>
    <m/>
  </r>
  <r>
    <x v="1"/>
    <x v="1"/>
    <d v="2022-11-03T00:00:00"/>
    <d v="2022-11-03T00:00:00"/>
    <s v="FE001"/>
    <s v="NE 100015583"/>
    <n v="108187"/>
    <s v="Entrega - Cancelación - CN1791263308001"/>
    <m/>
    <s v="COCA"/>
    <n v="51010102"/>
    <s v="Costo de Ventas Coca"/>
    <n v="40.99"/>
    <m/>
    <n v="40.99"/>
    <x v="1"/>
    <n v="830147.2"/>
    <s v="40.99"/>
    <s v="jcortiz"/>
    <n v="0"/>
    <m/>
    <s v="COCA-ORELLANA"/>
    <m/>
    <m/>
    <m/>
  </r>
  <r>
    <x v="1"/>
    <x v="1"/>
    <d v="2022-11-06T00:00:00"/>
    <d v="2022-11-06T00:00:00"/>
    <s v="FE001"/>
    <s v="NE 100015558"/>
    <n v="108122"/>
    <s v="Entregas - CN1791263308001"/>
    <m/>
    <s v="COCA"/>
    <n v="51010102"/>
    <s v="Costo de Ventas Coca"/>
    <m/>
    <n v="64.39"/>
    <n v="-64.39"/>
    <x v="1"/>
    <n v="830082.81"/>
    <s v="-64.39"/>
    <s v="ancueva"/>
    <n v="0"/>
    <m/>
    <s v="COCA-ORELLANA"/>
    <m/>
    <m/>
    <m/>
  </r>
  <r>
    <x v="1"/>
    <x v="1"/>
    <d v="2022-11-07T00:00:00"/>
    <d v="2022-11-07T00:00:00"/>
    <s v="FE001"/>
    <s v="NE 100015559"/>
    <n v="108123"/>
    <s v="Entregas - CN1791263308001"/>
    <m/>
    <s v="COCA"/>
    <n v="51010102"/>
    <s v="Costo de Ventas Coca"/>
    <m/>
    <n v="577.19000000000005"/>
    <n v="-577.19000000000005"/>
    <x v="1"/>
    <n v="829505.62"/>
    <s v="-577.19"/>
    <s v="ancueva"/>
    <n v="0"/>
    <m/>
    <s v="COCA-ORELLANA"/>
    <m/>
    <m/>
    <m/>
  </r>
  <r>
    <x v="1"/>
    <x v="1"/>
    <d v="2022-11-07T00:00:00"/>
    <d v="2022-11-07T00:00:00"/>
    <s v="FE001"/>
    <s v="IM 100003375"/>
    <n v="108124"/>
    <s v="Traslados - CN1792079160001"/>
    <m/>
    <m/>
    <n v="101060401"/>
    <s v="Inventario de prod. term. y mercad. en Bodega BULLSYPPLY  Quito"/>
    <n v="39.76"/>
    <m/>
    <n v="39.76"/>
    <x v="3"/>
    <n v="829545.38"/>
    <s v="39.76"/>
    <s v="jcortiz"/>
    <n v="0"/>
    <m/>
    <m/>
    <m/>
    <m/>
    <m/>
  </r>
  <r>
    <x v="1"/>
    <x v="1"/>
    <d v="2022-11-07T00:00:00"/>
    <d v="2022-11-07T00:00:00"/>
    <s v="FE001"/>
    <s v="IM 100003376"/>
    <n v="108128"/>
    <s v="Traslados - CN1792079160001"/>
    <m/>
    <m/>
    <n v="101060401"/>
    <s v="Inventario de prod. term. y mercad. en Bodega BULLSYPPLY  Quito"/>
    <m/>
    <n v="7.26"/>
    <n v="-7.26"/>
    <x v="3"/>
    <n v="829538.12"/>
    <s v="-7.26"/>
    <s v="ancueva"/>
    <n v="0"/>
    <m/>
    <m/>
    <m/>
    <m/>
    <m/>
  </r>
  <r>
    <x v="1"/>
    <x v="1"/>
    <d v="2022-11-07T00:00:00"/>
    <d v="2022-11-07T00:00:00"/>
    <s v="FE001"/>
    <s v="IM 100003377"/>
    <n v="108134"/>
    <s v="Traslados - CN1792079160001"/>
    <m/>
    <m/>
    <n v="101060401"/>
    <s v="Inventario de prod. term. y mercad. en Bodega BULLSYPPLY  Quito"/>
    <m/>
    <n v="8.7799999999999994"/>
    <n v="-8.7799999999999994"/>
    <x v="3"/>
    <n v="829529.34"/>
    <s v="-8.78"/>
    <s v="ancueva"/>
    <n v="0"/>
    <m/>
    <m/>
    <m/>
    <m/>
    <m/>
  </r>
  <r>
    <x v="1"/>
    <x v="1"/>
    <d v="2022-11-07T00:00:00"/>
    <d v="2022-11-07T00:00:00"/>
    <s v="Primario"/>
    <s v="DV 234"/>
    <n v="108143"/>
    <s v="Devoluciones - CN1791263308001"/>
    <m/>
    <s v="COCA"/>
    <n v="51010102"/>
    <s v="Costo de Ventas Coca"/>
    <n v="2802.84"/>
    <m/>
    <n v="2802.84"/>
    <x v="1"/>
    <n v="832332.18"/>
    <s v="2802.84"/>
    <s v="ancueva"/>
    <n v="0"/>
    <m/>
    <s v="COCA-ORELLANA"/>
    <m/>
    <m/>
    <m/>
  </r>
  <r>
    <x v="1"/>
    <x v="1"/>
    <d v="2022-11-07T00:00:00"/>
    <d v="2022-11-07T00:00:00"/>
    <s v="FE001"/>
    <s v="IM 100003378"/>
    <n v="108144"/>
    <s v="Traslados - CN1792079160001"/>
    <m/>
    <m/>
    <n v="101060401"/>
    <s v="Inventario de prod. term. y mercad. en Bodega BULLSYPPLY  Quito"/>
    <n v="307.08999999999997"/>
    <m/>
    <n v="307.08999999999997"/>
    <x v="3"/>
    <n v="832639.27"/>
    <s v="307.09"/>
    <s v="jcortiz"/>
    <n v="0"/>
    <m/>
    <m/>
    <m/>
    <m/>
    <m/>
  </r>
  <r>
    <x v="1"/>
    <x v="1"/>
    <d v="2022-11-07T00:00:00"/>
    <d v="2022-11-07T00:00:00"/>
    <s v="FE001"/>
    <s v="NE 100015567"/>
    <n v="108148"/>
    <s v="Entregas - CN1716511926001"/>
    <m/>
    <s v="COCA"/>
    <n v="51010102"/>
    <s v="Costo de Ventas Coca"/>
    <m/>
    <n v="6.33"/>
    <n v="-6.33"/>
    <x v="1"/>
    <n v="832632.94"/>
    <s v="-6.33"/>
    <s v="jcortiz"/>
    <n v="0"/>
    <m/>
    <s v="COCA-ORELLANA"/>
    <m/>
    <m/>
    <m/>
  </r>
  <r>
    <x v="1"/>
    <x v="1"/>
    <d v="2022-11-07T00:00:00"/>
    <d v="2022-11-07T00:00:00"/>
    <s v="FE001"/>
    <s v="IM 100003379"/>
    <n v="108155"/>
    <s v="Traslados - CN1792079160001"/>
    <m/>
    <m/>
    <n v="101060409"/>
    <s v="Inventario de prod. term. y mercad. en Bodega de materiales defectuosos"/>
    <m/>
    <n v="227.75"/>
    <n v="-227.75"/>
    <x v="3"/>
    <n v="832405.19"/>
    <s v="-227.75"/>
    <s v="ancueva"/>
    <n v="0"/>
    <m/>
    <m/>
    <m/>
    <m/>
    <m/>
  </r>
  <r>
    <x v="1"/>
    <x v="1"/>
    <d v="2022-11-07T00:00:00"/>
    <d v="2022-11-07T00:00:00"/>
    <s v="FE001"/>
    <s v="NE 100015576"/>
    <n v="108169"/>
    <s v="Entregas - CN1708413479001"/>
    <m/>
    <s v="COCA"/>
    <n v="51010102"/>
    <s v="Costo de Ventas Coca"/>
    <m/>
    <n v="6.48"/>
    <n v="-6.48"/>
    <x v="1"/>
    <n v="832398.71"/>
    <s v="-6.48"/>
    <s v="ancueva"/>
    <n v="0"/>
    <m/>
    <s v="COCA-ORELLANA"/>
    <m/>
    <m/>
    <m/>
  </r>
  <r>
    <x v="1"/>
    <x v="1"/>
    <d v="2022-11-08T00:00:00"/>
    <d v="2022-11-08T00:00:00"/>
    <s v="FE001"/>
    <s v="NE 100015581"/>
    <n v="108181"/>
    <s v="Entregas - CN1791847776001"/>
    <m/>
    <s v="COCA"/>
    <n v="51010102"/>
    <s v="Costo de Ventas Coca"/>
    <m/>
    <n v="28.5"/>
    <n v="-28.5"/>
    <x v="1"/>
    <n v="832370.21"/>
    <s v="-28.50"/>
    <s v="ancueva"/>
    <n v="0"/>
    <m/>
    <s v="COCA-ORELLANA"/>
    <m/>
    <m/>
    <m/>
  </r>
  <r>
    <x v="1"/>
    <x v="1"/>
    <d v="2022-11-08T00:00:00"/>
    <d v="2022-11-08T00:00:00"/>
    <s v="FE001"/>
    <s v="NE 100015582"/>
    <n v="108185"/>
    <s v="Entregas - CN1792013585001"/>
    <m/>
    <s v="COCA"/>
    <n v="51010102"/>
    <s v="Costo de Ventas Coca"/>
    <m/>
    <n v="101.47"/>
    <n v="-101.47"/>
    <x v="1"/>
    <n v="832268.74"/>
    <s v="-101.47"/>
    <s v="ancueva"/>
    <n v="0"/>
    <m/>
    <s v="COCA-ORELLANA"/>
    <m/>
    <m/>
    <m/>
  </r>
  <r>
    <x v="1"/>
    <x v="1"/>
    <d v="2022-11-08T00:00:00"/>
    <d v="2022-11-08T00:00:00"/>
    <s v="FE001"/>
    <s v="NE 100015584"/>
    <n v="108194"/>
    <s v="Entregas - CN1791263308001"/>
    <m/>
    <s v="COCA"/>
    <n v="51010102"/>
    <s v="Costo de Ventas Coca"/>
    <m/>
    <n v="4644"/>
    <n v="-4644"/>
    <x v="1"/>
    <n v="827624.74"/>
    <s v="-4644.00"/>
    <s v="jcortiz"/>
    <n v="0"/>
    <m/>
    <s v="COCA-ORELLANA"/>
    <m/>
    <m/>
    <m/>
  </r>
  <r>
    <x v="1"/>
    <x v="1"/>
    <d v="2022-11-08T00:00:00"/>
    <d v="2022-11-08T00:00:00"/>
    <s v="FE001"/>
    <s v="NE 100015584"/>
    <n v="108194"/>
    <s v="Entregas - CN1791263308001"/>
    <m/>
    <s v="COCA"/>
    <n v="51010102"/>
    <s v="Costo de Ventas Coca"/>
    <m/>
    <n v="40.99"/>
    <n v="-40.99"/>
    <x v="1"/>
    <n v="827583.75"/>
    <s v="-40.99"/>
    <s v="jcortiz"/>
    <n v="0"/>
    <m/>
    <s v="COCA-ORELLANA"/>
    <m/>
    <m/>
    <m/>
  </r>
  <r>
    <x v="1"/>
    <x v="1"/>
    <d v="2022-11-08T00:00:00"/>
    <d v="2022-11-08T00:00:00"/>
    <s v="FE001"/>
    <s v="NE 100015586"/>
    <n v="108198"/>
    <s v="Entregas - CN1792371694001"/>
    <m/>
    <s v="COCA"/>
    <n v="51010102"/>
    <s v="Costo de Ventas Coca"/>
    <m/>
    <n v="252.62"/>
    <n v="-252.62"/>
    <x v="1"/>
    <n v="827331.13"/>
    <s v="-252.62"/>
    <s v="ancueva"/>
    <n v="0"/>
    <m/>
    <s v="COCA-ORELLANA"/>
    <m/>
    <m/>
    <m/>
  </r>
  <r>
    <x v="1"/>
    <x v="1"/>
    <d v="2022-11-08T00:00:00"/>
    <d v="2022-11-08T00:00:00"/>
    <s v="FE001"/>
    <s v="IM 100003380"/>
    <n v="108210"/>
    <s v="Traslados - CN1792079160001"/>
    <m/>
    <m/>
    <n v="101060401"/>
    <s v="Inventario de prod. term. y mercad. en Bodega BULLSYPPLY  Quito"/>
    <n v="4744.33"/>
    <m/>
    <n v="4744.33"/>
    <x v="3"/>
    <n v="832075.46"/>
    <s v="4744.33"/>
    <s v="jcortiz"/>
    <n v="0"/>
    <m/>
    <m/>
    <m/>
    <m/>
    <m/>
  </r>
  <r>
    <x v="1"/>
    <x v="1"/>
    <d v="2022-11-09T00:00:00"/>
    <d v="2022-11-09T00:00:00"/>
    <s v="FE001"/>
    <s v="NE 100015591"/>
    <n v="108234"/>
    <s v="Entregas - CN1791263308001"/>
    <m/>
    <s v="COCA"/>
    <n v="51010102"/>
    <s v="Costo de Ventas Coca"/>
    <m/>
    <n v="175.52"/>
    <n v="-175.52"/>
    <x v="1"/>
    <n v="831899.94"/>
    <s v="-175.52"/>
    <s v="ancueva"/>
    <n v="0"/>
    <m/>
    <s v="COCA-ORELLANA"/>
    <m/>
    <m/>
    <m/>
  </r>
  <r>
    <x v="1"/>
    <x v="1"/>
    <d v="2022-11-09T00:00:00"/>
    <d v="2022-11-09T00:00:00"/>
    <s v="FE001"/>
    <s v="NE 100015592"/>
    <n v="108235"/>
    <s v="Entregas - CN1792371694001"/>
    <m/>
    <s v="COCA"/>
    <n v="51010102"/>
    <s v="Costo de Ventas Coca"/>
    <m/>
    <n v="265.92"/>
    <n v="-265.92"/>
    <x v="1"/>
    <n v="831634.02"/>
    <s v="-265.92"/>
    <s v="ancueva"/>
    <n v="0"/>
    <m/>
    <s v="COCA-ORELLANA"/>
    <m/>
    <m/>
    <m/>
  </r>
  <r>
    <x v="1"/>
    <x v="1"/>
    <d v="2022-11-09T00:00:00"/>
    <d v="2022-11-09T00:00:00"/>
    <s v="FE001"/>
    <s v="NE 100015593"/>
    <n v="108236"/>
    <s v="Entregas - CN1792371694001"/>
    <m/>
    <s v="COCA"/>
    <n v="51010102"/>
    <s v="Costo de Ventas Coca"/>
    <m/>
    <n v="218.04"/>
    <n v="-218.04"/>
    <x v="1"/>
    <n v="831415.98"/>
    <s v="-218.04"/>
    <s v="ancueva"/>
    <n v="0"/>
    <m/>
    <s v="COCA-ORELLANA"/>
    <m/>
    <m/>
    <m/>
  </r>
  <r>
    <x v="1"/>
    <x v="1"/>
    <d v="2022-11-09T00:00:00"/>
    <d v="2022-11-09T00:00:00"/>
    <s v="FE001"/>
    <s v="NE 100015595"/>
    <n v="108238"/>
    <s v="Entregas - CN1791847776001"/>
    <m/>
    <s v="COCA"/>
    <n v="51010102"/>
    <s v="Costo de Ventas Coca"/>
    <m/>
    <n v="11.19"/>
    <n v="-11.19"/>
    <x v="1"/>
    <n v="831404.79"/>
    <s v="-11.19"/>
    <s v="ancueva"/>
    <n v="0"/>
    <m/>
    <s v="COCA-ORELLANA"/>
    <m/>
    <m/>
    <m/>
  </r>
  <r>
    <x v="1"/>
    <x v="1"/>
    <d v="2022-11-09T00:00:00"/>
    <d v="2022-11-09T00:00:00"/>
    <s v="FE001"/>
    <s v="NE 100015597"/>
    <n v="108241"/>
    <s v="Entregas - CN1791847776001"/>
    <m/>
    <s v="COCA"/>
    <n v="51010102"/>
    <s v="Costo de Ventas Coca"/>
    <m/>
    <n v="4744.33"/>
    <n v="-4744.33"/>
    <x v="1"/>
    <n v="826660.46"/>
    <s v="-4744.33"/>
    <s v="ancueva"/>
    <n v="0"/>
    <m/>
    <s v="COCA-ORELLANA"/>
    <m/>
    <m/>
    <m/>
  </r>
  <r>
    <x v="1"/>
    <x v="1"/>
    <d v="2022-11-09T00:00:00"/>
    <d v="2022-11-09T00:00:00"/>
    <s v="FE001"/>
    <s v="NE 100015598"/>
    <n v="108242"/>
    <s v="Entregas - CN1709627259"/>
    <m/>
    <s v="COCA"/>
    <n v="51010102"/>
    <s v="Costo de Ventas Coca"/>
    <m/>
    <n v="14.15"/>
    <n v="-14.15"/>
    <x v="1"/>
    <n v="826646.31"/>
    <s v="-14.15"/>
    <s v="ancueva"/>
    <n v="0"/>
    <m/>
    <s v="COCA-ORELLANA"/>
    <m/>
    <m/>
    <m/>
  </r>
  <r>
    <x v="1"/>
    <x v="1"/>
    <d v="2022-11-09T00:00:00"/>
    <d v="2022-11-09T00:00:00"/>
    <s v="FE001"/>
    <s v="IM 100003381"/>
    <n v="108270"/>
    <s v="Traslados - CN1792079160001"/>
    <m/>
    <m/>
    <n v="101060401"/>
    <s v="Inventario de prod. term. y mercad. en Bodega BULLSYPPLY  Quito"/>
    <n v="589.86"/>
    <m/>
    <n v="589.86"/>
    <x v="3"/>
    <n v="827236.17"/>
    <s v="589.86"/>
    <s v="jcortiz"/>
    <n v="0"/>
    <m/>
    <m/>
    <m/>
    <m/>
    <m/>
  </r>
  <r>
    <x v="1"/>
    <x v="1"/>
    <d v="2022-11-10T00:00:00"/>
    <d v="2022-11-10T00:00:00"/>
    <s v="FE001"/>
    <s v="NE 100015608"/>
    <n v="108283"/>
    <s v="Entregas - CN2290316882001"/>
    <m/>
    <s v="COCA"/>
    <n v="51010102"/>
    <s v="Costo de Ventas Coca"/>
    <m/>
    <n v="28.31"/>
    <n v="-28.31"/>
    <x v="1"/>
    <n v="827207.86"/>
    <s v="-28.31"/>
    <s v="ancueva"/>
    <n v="0"/>
    <m/>
    <s v="COCA-ORELLANA"/>
    <m/>
    <m/>
    <m/>
  </r>
  <r>
    <x v="1"/>
    <x v="1"/>
    <d v="2022-11-10T00:00:00"/>
    <d v="2022-11-10T00:00:00"/>
    <s v="FE001"/>
    <s v="NE 100015609"/>
    <n v="108284"/>
    <s v="Entregas - CN1791263308001"/>
    <m/>
    <s v="COCA"/>
    <n v="51010102"/>
    <s v="Costo de Ventas Coca"/>
    <m/>
    <n v="8183.72"/>
    <n v="-8183.72"/>
    <x v="1"/>
    <n v="819024.14"/>
    <s v="-8183.72"/>
    <s v="ancueva"/>
    <n v="0"/>
    <m/>
    <s v="COCA-ORELLANA"/>
    <m/>
    <m/>
    <m/>
  </r>
  <r>
    <x v="1"/>
    <x v="1"/>
    <d v="2022-11-10T00:00:00"/>
    <d v="2022-11-10T00:00:00"/>
    <s v="FE001"/>
    <s v="NE 100015610"/>
    <n v="108287"/>
    <s v="Entregas - CN1791263308001"/>
    <m/>
    <s v="COCA"/>
    <n v="51010102"/>
    <s v="Costo de Ventas Coca"/>
    <m/>
    <n v="132.52000000000001"/>
    <n v="-132.52000000000001"/>
    <x v="1"/>
    <n v="818891.62"/>
    <s v="-132.52"/>
    <s v="ancueva"/>
    <n v="0"/>
    <m/>
    <s v="COCA-ORELLANA"/>
    <m/>
    <m/>
    <m/>
  </r>
  <r>
    <x v="1"/>
    <x v="1"/>
    <d v="2022-11-10T00:00:00"/>
    <d v="2022-11-10T00:00:00"/>
    <s v="FE001"/>
    <s v="NE 100015612"/>
    <n v="108290"/>
    <s v="Entregas - CN1791263308001"/>
    <m/>
    <s v="COCA"/>
    <n v="51010102"/>
    <s v="Costo de Ventas Coca"/>
    <m/>
    <n v="2166.39"/>
    <n v="-2166.39"/>
    <x v="1"/>
    <n v="816725.23"/>
    <s v="-2166.39"/>
    <s v="ancueva"/>
    <n v="0"/>
    <m/>
    <s v="COCA-ORELLANA"/>
    <m/>
    <m/>
    <m/>
  </r>
  <r>
    <x v="1"/>
    <x v="1"/>
    <d v="2022-11-10T00:00:00"/>
    <d v="2022-11-10T00:00:00"/>
    <s v="FE001"/>
    <s v="NE 100015613"/>
    <n v="108296"/>
    <s v="Entregas - CN1791263308001"/>
    <m/>
    <s v="COCA"/>
    <n v="51010102"/>
    <s v="Costo de Ventas Coca"/>
    <m/>
    <n v="308.74"/>
    <n v="-308.74"/>
    <x v="1"/>
    <n v="816416.49"/>
    <s v="-308.74"/>
    <s v="ancueva"/>
    <n v="0"/>
    <m/>
    <s v="COCA-ORELLANA"/>
    <m/>
    <m/>
    <m/>
  </r>
  <r>
    <x v="1"/>
    <x v="1"/>
    <d v="2022-11-10T00:00:00"/>
    <d v="2022-11-10T00:00:00"/>
    <s v="FE001"/>
    <s v="IM 100003382"/>
    <n v="108304"/>
    <s v="Traslados - CN1792079160001"/>
    <m/>
    <m/>
    <n v="101060401"/>
    <s v="Inventario de prod. term. y mercad. en Bodega BULLSYPPLY  Quito"/>
    <n v="1585.82"/>
    <m/>
    <n v="1585.82"/>
    <x v="3"/>
    <n v="818002.31"/>
    <s v="1585.82"/>
    <s v="jcortiz"/>
    <n v="0"/>
    <m/>
    <m/>
    <m/>
    <m/>
    <m/>
  </r>
  <r>
    <x v="1"/>
    <x v="1"/>
    <d v="2022-11-10T00:00:00"/>
    <d v="2022-11-10T00:00:00"/>
    <s v="FE001"/>
    <s v="IM 100003383"/>
    <n v="108320"/>
    <s v="Traslados - CN1792079160001"/>
    <m/>
    <m/>
    <n v="101060401"/>
    <s v="Inventario de prod. term. y mercad. en Bodega BULLSYPPLY  Quito"/>
    <n v="27"/>
    <m/>
    <n v="27"/>
    <x v="3"/>
    <n v="818029.31"/>
    <s v="27.00"/>
    <s v="jcortiz"/>
    <n v="0"/>
    <m/>
    <m/>
    <m/>
    <m/>
    <m/>
  </r>
  <r>
    <x v="1"/>
    <x v="1"/>
    <d v="2022-11-10T00:00:00"/>
    <d v="2022-11-10T00:00:00"/>
    <s v="FE001"/>
    <s v="NE 100015622"/>
    <n v="108324"/>
    <s v="Entregas - CN1104493539001"/>
    <m/>
    <s v="COCA"/>
    <n v="51010102"/>
    <s v="Costo de Ventas Coca"/>
    <m/>
    <n v="1248.6500000000001"/>
    <n v="-1248.6500000000001"/>
    <x v="1"/>
    <n v="816780.66"/>
    <s v="-1248.65"/>
    <s v="ancueva"/>
    <n v="0"/>
    <m/>
    <s v="COCA-ORELLANA"/>
    <m/>
    <m/>
    <m/>
  </r>
  <r>
    <x v="1"/>
    <x v="1"/>
    <d v="2022-11-10T00:00:00"/>
    <d v="2022-11-10T00:00:00"/>
    <s v="FE001"/>
    <s v="IM 100003384"/>
    <n v="108327"/>
    <s v="Traslados - CN1792079160001"/>
    <m/>
    <m/>
    <n v="101060409"/>
    <s v="Inventario de prod. term. y mercad. en Bodega de materiales defectuosos"/>
    <m/>
    <n v="2142.1799999999998"/>
    <n v="-2142.1799999999998"/>
    <x v="3"/>
    <n v="814638.48"/>
    <s v="-2142.18"/>
    <s v="jcortiz"/>
    <n v="0"/>
    <m/>
    <m/>
    <m/>
    <m/>
    <m/>
  </r>
  <r>
    <x v="1"/>
    <x v="1"/>
    <d v="2022-11-10T00:00:00"/>
    <d v="2022-11-10T00:00:00"/>
    <s v="FE001"/>
    <s v="NE 100015623"/>
    <n v="108328"/>
    <s v="Entregas - CN1768153530001"/>
    <m/>
    <s v="COCA"/>
    <n v="51010102"/>
    <s v="Costo de Ventas Coca"/>
    <m/>
    <n v="589.86"/>
    <n v="-589.86"/>
    <x v="1"/>
    <n v="814048.62"/>
    <s v="-589.86"/>
    <s v="ancueva"/>
    <n v="0"/>
    <m/>
    <s v="COCA-ORELLANA"/>
    <m/>
    <m/>
    <m/>
  </r>
  <r>
    <x v="1"/>
    <x v="1"/>
    <d v="2022-11-10T00:00:00"/>
    <d v="2022-11-10T00:00:00"/>
    <s v="FE001"/>
    <s v="NE 100015623"/>
    <n v="108328"/>
    <s v="Entregas - CN1768153530001"/>
    <m/>
    <s v="COCA"/>
    <n v="51010102"/>
    <s v="Costo de Ventas Coca"/>
    <m/>
    <n v="1590.7"/>
    <n v="-1590.7"/>
    <x v="1"/>
    <n v="812457.92"/>
    <s v="-1590.70"/>
    <s v="ancueva"/>
    <n v="0"/>
    <m/>
    <s v="COCA-ORELLANA"/>
    <m/>
    <m/>
    <m/>
  </r>
  <r>
    <x v="1"/>
    <x v="1"/>
    <d v="2022-11-11T00:00:00"/>
    <d v="2022-11-11T00:00:00"/>
    <s v="Primario"/>
    <s v="DV 235"/>
    <n v="108333"/>
    <s v="Devoluciones - CN1791263308001"/>
    <m/>
    <s v="COCA"/>
    <n v="51010102"/>
    <s v="Costo de Ventas Coca"/>
    <n v="349.44"/>
    <m/>
    <n v="349.44"/>
    <x v="1"/>
    <n v="812807.36"/>
    <s v="349.44"/>
    <s v="ancueva"/>
    <n v="0"/>
    <m/>
    <s v="COCA-ORELLANA"/>
    <m/>
    <m/>
    <m/>
  </r>
  <r>
    <x v="1"/>
    <x v="1"/>
    <d v="2022-11-11T00:00:00"/>
    <d v="2022-11-11T00:00:00"/>
    <s v="FE001"/>
    <s v="NE 100015624"/>
    <n v="108334"/>
    <s v="Entregas - CN1791263308001"/>
    <m/>
    <s v="COCA"/>
    <n v="51010102"/>
    <s v="Costo de Ventas Coca"/>
    <m/>
    <n v="202.75"/>
    <n v="-202.75"/>
    <x v="1"/>
    <n v="812604.61"/>
    <s v="-202.75"/>
    <s v="ancueva"/>
    <n v="0"/>
    <m/>
    <s v="COCA-ORELLANA"/>
    <m/>
    <m/>
    <m/>
  </r>
  <r>
    <x v="1"/>
    <x v="1"/>
    <d v="2022-11-11T00:00:00"/>
    <d v="2022-11-11T00:00:00"/>
    <s v="FE001"/>
    <s v="NE 100015628"/>
    <n v="108341"/>
    <s v="Entregas - CN1791847776001"/>
    <m/>
    <s v="COCA"/>
    <n v="51010102"/>
    <s v="Costo de Ventas Coca"/>
    <m/>
    <n v="204.36"/>
    <n v="-204.36"/>
    <x v="1"/>
    <n v="812400.25"/>
    <s v="-204.36"/>
    <s v="ancueva"/>
    <n v="0"/>
    <m/>
    <s v="COCA-ORELLANA"/>
    <m/>
    <m/>
    <m/>
  </r>
  <r>
    <x v="1"/>
    <x v="1"/>
    <d v="2022-11-11T00:00:00"/>
    <d v="2022-11-11T00:00:00"/>
    <s v="FE001"/>
    <s v="NE 100015630"/>
    <n v="108343"/>
    <s v="Entregas - CN1791847776001"/>
    <m/>
    <s v="COCA"/>
    <n v="51010102"/>
    <s v="Costo de Ventas Coca"/>
    <m/>
    <n v="27"/>
    <n v="-27"/>
    <x v="1"/>
    <n v="812373.25"/>
    <s v="-27.00"/>
    <s v="ancueva"/>
    <n v="0"/>
    <m/>
    <s v="COCA-ORELLANA"/>
    <m/>
    <m/>
    <m/>
  </r>
  <r>
    <x v="1"/>
    <x v="1"/>
    <d v="2022-11-11T00:00:00"/>
    <d v="2022-11-11T00:00:00"/>
    <s v="FE001"/>
    <s v="NE 100015631"/>
    <n v="108344"/>
    <s v="Entrega - Cancelación - CN1791847776001"/>
    <m/>
    <s v="COCA"/>
    <n v="51010102"/>
    <s v="Costo de Ventas Coca"/>
    <n v="27"/>
    <m/>
    <n v="27"/>
    <x v="1"/>
    <n v="812400.25"/>
    <s v="27.00"/>
    <s v="ancueva"/>
    <n v="0"/>
    <m/>
    <s v="COCA-ORELLANA"/>
    <m/>
    <m/>
    <m/>
  </r>
  <r>
    <x v="1"/>
    <x v="1"/>
    <d v="2022-11-11T00:00:00"/>
    <d v="2022-11-11T00:00:00"/>
    <s v="Primario"/>
    <s v="EM 1721"/>
    <n v="108346"/>
    <s v="Entrada de mercancías"/>
    <m/>
    <s v="QUITO"/>
    <n v="401030105"/>
    <s v="Otros Ingresos"/>
    <n v="7.08"/>
    <m/>
    <n v="7.08"/>
    <x v="5"/>
    <n v="812407.33"/>
    <s v="7.08"/>
    <s v="jcortiz"/>
    <n v="0"/>
    <m/>
    <s v="QUITO-PICHINCHA"/>
    <m/>
    <m/>
    <m/>
  </r>
  <r>
    <x v="1"/>
    <x v="1"/>
    <d v="2022-11-11T00:00:00"/>
    <d v="2022-11-11T00:00:00"/>
    <s v="FE001"/>
    <s v="NE 100015632"/>
    <n v="108347"/>
    <s v="Entregas - CN1791847776001"/>
    <m/>
    <s v="COCA"/>
    <n v="51010102"/>
    <s v="Costo de Ventas Coca"/>
    <m/>
    <n v="34.08"/>
    <n v="-34.08"/>
    <x v="1"/>
    <n v="812373.25"/>
    <s v="-34.08"/>
    <s v="ancueva"/>
    <n v="0"/>
    <m/>
    <s v="COCA-ORELLANA"/>
    <m/>
    <m/>
    <m/>
  </r>
  <r>
    <x v="1"/>
    <x v="1"/>
    <d v="2022-11-11T00:00:00"/>
    <d v="2022-11-11T00:00:00"/>
    <s v="FE001"/>
    <s v="NE 100015634"/>
    <n v="108349"/>
    <s v="Entregas - CN1791263308001"/>
    <m/>
    <s v="COCA"/>
    <n v="51010102"/>
    <s v="Costo de Ventas Coca"/>
    <m/>
    <n v="68.22"/>
    <n v="-68.22"/>
    <x v="1"/>
    <n v="812305.03"/>
    <s v="-68.22"/>
    <s v="ancueva"/>
    <n v="0"/>
    <m/>
    <s v="COCA-ORELLANA"/>
    <m/>
    <m/>
    <m/>
  </r>
  <r>
    <x v="1"/>
    <x v="1"/>
    <d v="2022-11-11T00:00:00"/>
    <d v="2022-11-11T00:00:00"/>
    <s v="FE001"/>
    <s v="NE 100015635"/>
    <n v="108350"/>
    <s v="Entregas - CN0603340175"/>
    <m/>
    <s v="COCA"/>
    <n v="51010102"/>
    <s v="Costo de Ventas Coca"/>
    <m/>
    <n v="4.88"/>
    <n v="-4.88"/>
    <x v="1"/>
    <n v="812300.15"/>
    <s v="-4.88"/>
    <s v="ancueva"/>
    <n v="0"/>
    <m/>
    <s v="COCA-ORELLANA"/>
    <m/>
    <m/>
    <m/>
  </r>
  <r>
    <x v="1"/>
    <x v="1"/>
    <d v="2022-11-11T00:00:00"/>
    <d v="2022-11-11T00:00:00"/>
    <s v="FE001"/>
    <s v="NE 100015638"/>
    <n v="108354"/>
    <s v="Entregas - CN1791338243001"/>
    <m/>
    <s v="COCA"/>
    <n v="51010102"/>
    <s v="Costo de Ventas Coca"/>
    <m/>
    <n v="203.64"/>
    <n v="-203.64"/>
    <x v="1"/>
    <n v="812096.51"/>
    <s v="-203.64"/>
    <s v="ancueva"/>
    <n v="0"/>
    <m/>
    <s v="COCA-ORELLANA"/>
    <m/>
    <m/>
    <m/>
  </r>
  <r>
    <x v="1"/>
    <x v="1"/>
    <d v="2022-11-11T00:00:00"/>
    <d v="2022-11-11T00:00:00"/>
    <s v="FE001"/>
    <s v="NE 100015640"/>
    <n v="108359"/>
    <s v="Entregas - CN1791263308001"/>
    <m/>
    <s v="COCA"/>
    <n v="51010102"/>
    <s v="Costo de Ventas Coca"/>
    <m/>
    <n v="1219.27"/>
    <n v="-1219.27"/>
    <x v="1"/>
    <n v="810877.24"/>
    <s v="-1219.27"/>
    <s v="ancueva"/>
    <n v="0"/>
    <m/>
    <s v="COCA-ORELLANA"/>
    <m/>
    <m/>
    <m/>
  </r>
  <r>
    <x v="1"/>
    <x v="1"/>
    <d v="2022-11-11T00:00:00"/>
    <d v="2022-11-11T00:00:00"/>
    <s v="Primario"/>
    <s v="DV 236"/>
    <n v="108360"/>
    <s v="Devoluciones - CN1791263308001"/>
    <m/>
    <s v="COCA"/>
    <n v="51010102"/>
    <s v="Costo de Ventas Coca"/>
    <n v="11"/>
    <m/>
    <n v="11"/>
    <x v="1"/>
    <n v="810888.24"/>
    <s v="11.00"/>
    <s v="ancueva"/>
    <n v="0"/>
    <m/>
    <s v="COCA-ORELLANA"/>
    <m/>
    <m/>
    <m/>
  </r>
  <r>
    <x v="1"/>
    <x v="1"/>
    <d v="2022-11-11T00:00:00"/>
    <d v="2022-11-11T00:00:00"/>
    <s v="FE001"/>
    <s v="NE 100015641"/>
    <n v="108362"/>
    <s v="Entregas - CN1792371694001"/>
    <m/>
    <s v="COCA"/>
    <n v="51010102"/>
    <s v="Costo de Ventas Coca"/>
    <m/>
    <n v="3674.42"/>
    <n v="-3674.42"/>
    <x v="1"/>
    <n v="807213.82"/>
    <s v="-3674.42"/>
    <s v="ancueva"/>
    <n v="0"/>
    <m/>
    <s v="COCA-ORELLANA"/>
    <m/>
    <m/>
    <m/>
  </r>
  <r>
    <x v="1"/>
    <x v="1"/>
    <d v="2022-11-11T00:00:00"/>
    <d v="2022-11-11T00:00:00"/>
    <s v="FE001"/>
    <s v="NE 100015642"/>
    <n v="108363"/>
    <s v="Entregas - CN1792371694001"/>
    <m/>
    <s v="COCA"/>
    <n v="51010102"/>
    <s v="Costo de Ventas Coca"/>
    <m/>
    <n v="920.8"/>
    <n v="-920.8"/>
    <x v="1"/>
    <n v="806293.02"/>
    <s v="-920.80"/>
    <s v="ancueva"/>
    <n v="0"/>
    <m/>
    <s v="COCA-ORELLANA"/>
    <m/>
    <m/>
    <m/>
  </r>
  <r>
    <x v="1"/>
    <x v="1"/>
    <d v="2022-11-14T00:00:00"/>
    <d v="2022-11-14T00:00:00"/>
    <s v="FE001"/>
    <s v="IM 100003385"/>
    <n v="108417"/>
    <s v="Traslados - CN1792079160001"/>
    <m/>
    <m/>
    <n v="101060401"/>
    <s v="Inventario de prod. term. y mercad. en Bodega BULLSYPPLY  Quito"/>
    <n v="381.36"/>
    <m/>
    <n v="381.36"/>
    <x v="3"/>
    <n v="806674.38"/>
    <s v="381.36"/>
    <s v="jcortiz"/>
    <n v="0"/>
    <m/>
    <m/>
    <m/>
    <m/>
    <m/>
  </r>
  <r>
    <x v="1"/>
    <x v="1"/>
    <d v="2022-11-14T00:00:00"/>
    <d v="2022-11-14T00:00:00"/>
    <s v="FE001"/>
    <s v="NE 100015644"/>
    <n v="108425"/>
    <s v="Entregas - CN1791263308001"/>
    <m/>
    <s v="COCA"/>
    <n v="51010102"/>
    <s v="Costo de Ventas Coca"/>
    <m/>
    <n v="7.29"/>
    <n v="-7.29"/>
    <x v="1"/>
    <n v="806667.09"/>
    <s v="-7.29"/>
    <s v="ancueva"/>
    <n v="0"/>
    <m/>
    <s v="COCA-ORELLANA"/>
    <m/>
    <m/>
    <m/>
  </r>
  <r>
    <x v="1"/>
    <x v="1"/>
    <d v="2022-11-14T00:00:00"/>
    <d v="2022-11-14T00:00:00"/>
    <s v="FE001"/>
    <s v="NE 100015645"/>
    <n v="108426"/>
    <s v="Entregas - CN1791263308001"/>
    <m/>
    <s v="COCA"/>
    <n v="51010102"/>
    <s v="Costo de Ventas Coca"/>
    <m/>
    <n v="399.86"/>
    <n v="-399.86"/>
    <x v="1"/>
    <n v="806267.23"/>
    <s v="-399.86"/>
    <s v="ancueva"/>
    <n v="0"/>
    <m/>
    <s v="COCA-ORELLANA"/>
    <m/>
    <m/>
    <m/>
  </r>
  <r>
    <x v="1"/>
    <x v="1"/>
    <d v="2022-11-14T00:00:00"/>
    <d v="2022-11-14T00:00:00"/>
    <s v="FE001"/>
    <s v="NE 100015648"/>
    <n v="108432"/>
    <s v="Entregas - CN1791804619001"/>
    <m/>
    <s v="COCA"/>
    <n v="51010102"/>
    <s v="Costo de Ventas Coca"/>
    <m/>
    <n v="180.32"/>
    <n v="-180.32"/>
    <x v="1"/>
    <n v="806086.91"/>
    <s v="-180.32"/>
    <s v="ancueva"/>
    <n v="0"/>
    <m/>
    <s v="COCA-ORELLANA"/>
    <m/>
    <m/>
    <m/>
  </r>
  <r>
    <x v="1"/>
    <x v="1"/>
    <d v="2022-11-14T00:00:00"/>
    <d v="2022-11-14T00:00:00"/>
    <s v="FE001"/>
    <s v="NE 100015649"/>
    <n v="108433"/>
    <s v="Entregas - CN1792064082001"/>
    <m/>
    <s v="COCA"/>
    <n v="51010102"/>
    <s v="Costo de Ventas Coca"/>
    <m/>
    <n v="381.36"/>
    <n v="-381.36"/>
    <x v="1"/>
    <n v="805705.55"/>
    <s v="-381.36"/>
    <s v="ancueva"/>
    <n v="0"/>
    <m/>
    <s v="COCA-ORELLANA"/>
    <m/>
    <m/>
    <m/>
  </r>
  <r>
    <x v="1"/>
    <x v="1"/>
    <d v="2022-11-14T00:00:00"/>
    <d v="2022-11-14T00:00:00"/>
    <s v="FE001"/>
    <s v="NE 100015657"/>
    <n v="108456"/>
    <s v="Entregas - CN1791263308001"/>
    <m/>
    <s v="COCA"/>
    <n v="51010102"/>
    <s v="Costo de Ventas Coca"/>
    <m/>
    <n v="2.4300000000000002"/>
    <n v="-2.4300000000000002"/>
    <x v="1"/>
    <n v="805703.12"/>
    <s v="-2.43"/>
    <s v="ancueva"/>
    <n v="0"/>
    <m/>
    <s v="COCA-ORELLANA"/>
    <m/>
    <m/>
    <m/>
  </r>
  <r>
    <x v="1"/>
    <x v="1"/>
    <d v="2022-11-14T00:00:00"/>
    <d v="2022-11-14T00:00:00"/>
    <s v="FE001"/>
    <s v="NE 100015659"/>
    <n v="108469"/>
    <s v="Entregas - CN1791263308001"/>
    <m/>
    <s v="COCA"/>
    <n v="51010102"/>
    <s v="Costo de Ventas Coca"/>
    <m/>
    <n v="275.94"/>
    <n v="-275.94"/>
    <x v="1"/>
    <n v="805427.18"/>
    <s v="-275.94"/>
    <s v="ancueva"/>
    <n v="0"/>
    <m/>
    <s v="COCA-ORELLANA"/>
    <m/>
    <m/>
    <m/>
  </r>
  <r>
    <x v="1"/>
    <x v="1"/>
    <d v="2022-11-14T00:00:00"/>
    <d v="2022-11-14T00:00:00"/>
    <s v="FE001"/>
    <s v="NE 100015660"/>
    <n v="108471"/>
    <s v="Entregas - CN1791263308001"/>
    <m/>
    <s v="COCA"/>
    <n v="51010102"/>
    <s v="Costo de Ventas Coca"/>
    <m/>
    <n v="5.19"/>
    <n v="-5.19"/>
    <x v="1"/>
    <n v="805421.99"/>
    <s v="-5.19"/>
    <s v="ancueva"/>
    <n v="0"/>
    <m/>
    <s v="COCA-ORELLANA"/>
    <m/>
    <m/>
    <m/>
  </r>
  <r>
    <x v="1"/>
    <x v="1"/>
    <d v="2022-11-15T00:00:00"/>
    <d v="2022-11-15T00:00:00"/>
    <s v="FE001"/>
    <s v="NE 100015665"/>
    <n v="108509"/>
    <s v="Entregas - CN1791263308001"/>
    <m/>
    <s v="COCA"/>
    <n v="51010102"/>
    <s v="Costo de Ventas Coca"/>
    <m/>
    <n v="741.95"/>
    <n v="-741.95"/>
    <x v="1"/>
    <n v="804680.04"/>
    <s v="-741.95"/>
    <s v="ancueva"/>
    <n v="0"/>
    <m/>
    <s v="COCA-ORELLANA"/>
    <m/>
    <m/>
    <m/>
  </r>
  <r>
    <x v="1"/>
    <x v="1"/>
    <d v="2022-11-15T00:00:00"/>
    <d v="2022-11-15T00:00:00"/>
    <s v="FE001"/>
    <s v="NE 100015667"/>
    <n v="108532"/>
    <s v="Entregas - CN1791847776001"/>
    <m/>
    <s v="COCA"/>
    <n v="51010102"/>
    <s v="Costo de Ventas Coca"/>
    <m/>
    <n v="321.08999999999997"/>
    <n v="-321.08999999999997"/>
    <x v="1"/>
    <n v="804358.95"/>
    <s v="-321.09"/>
    <s v="ancueva"/>
    <n v="0"/>
    <m/>
    <s v="COCA-ORELLANA"/>
    <m/>
    <m/>
    <m/>
  </r>
  <r>
    <x v="1"/>
    <x v="1"/>
    <d v="2022-11-15T00:00:00"/>
    <d v="2022-11-15T00:00:00"/>
    <s v="FE001"/>
    <s v="NE 100015669"/>
    <n v="108539"/>
    <s v="Entregas - CN1791847776001"/>
    <m/>
    <s v="COCA"/>
    <n v="51010102"/>
    <s v="Costo de Ventas Coca"/>
    <m/>
    <n v="414.4"/>
    <n v="-414.4"/>
    <x v="1"/>
    <n v="803944.55"/>
    <s v="-414.40"/>
    <s v="ancueva"/>
    <n v="0"/>
    <m/>
    <s v="COCA-ORELLANA"/>
    <m/>
    <m/>
    <m/>
  </r>
  <r>
    <x v="1"/>
    <x v="1"/>
    <d v="2022-11-15T00:00:00"/>
    <d v="2022-11-15T00:00:00"/>
    <s v="FE001"/>
    <s v="NE 100015670"/>
    <n v="108552"/>
    <s v="Entregas - CN1791263308001"/>
    <m/>
    <s v="COCA"/>
    <n v="51010102"/>
    <s v="Costo de Ventas Coca"/>
    <m/>
    <n v="163.32"/>
    <n v="-163.32"/>
    <x v="1"/>
    <n v="803781.23"/>
    <s v="-163.32"/>
    <s v="ancueva"/>
    <n v="0"/>
    <m/>
    <s v="COCA-ORELLANA"/>
    <m/>
    <m/>
    <m/>
  </r>
  <r>
    <x v="1"/>
    <x v="1"/>
    <d v="2022-11-15T00:00:00"/>
    <d v="2022-11-15T00:00:00"/>
    <s v="FE001"/>
    <s v="IM 100003386"/>
    <n v="108558"/>
    <s v="Traslados - CN1792079160001"/>
    <m/>
    <m/>
    <n v="101060401"/>
    <s v="Inventario de prod. term. y mercad. en Bodega BULLSYPPLY  Quito"/>
    <n v="18242.060000000001"/>
    <m/>
    <n v="18242.060000000001"/>
    <x v="3"/>
    <n v="822023.29"/>
    <s v="18242.06"/>
    <s v="jcortiz"/>
    <n v="0"/>
    <m/>
    <m/>
    <m/>
    <m/>
    <m/>
  </r>
  <r>
    <x v="1"/>
    <x v="1"/>
    <d v="2022-11-15T00:00:00"/>
    <d v="2022-11-15T00:00:00"/>
    <s v="FE001"/>
    <s v="NE 100015674"/>
    <n v="108563"/>
    <s v="Entregas - CN1792367107001"/>
    <m/>
    <s v="COCA"/>
    <n v="51010102"/>
    <s v="Costo de Ventas Coca"/>
    <m/>
    <n v="157.44"/>
    <n v="-157.44"/>
    <x v="1"/>
    <n v="821865.85"/>
    <s v="-157.44"/>
    <s v="jcortiz"/>
    <n v="0"/>
    <m/>
    <s v="COCA-ORELLANA"/>
    <m/>
    <m/>
    <m/>
  </r>
  <r>
    <x v="1"/>
    <x v="1"/>
    <d v="2022-11-15T00:00:00"/>
    <d v="2022-11-15T00:00:00"/>
    <s v="FE001"/>
    <s v="NE 100015678"/>
    <n v="108578"/>
    <s v="Entregas - CN1791265416001"/>
    <m/>
    <s v="COCA"/>
    <n v="51010102"/>
    <s v="Costo de Ventas Coca"/>
    <m/>
    <n v="514.57000000000005"/>
    <n v="-514.57000000000005"/>
    <x v="1"/>
    <n v="821351.28"/>
    <s v="-514.57"/>
    <s v="ancueva"/>
    <n v="0"/>
    <m/>
    <s v="COCA-ORELLANA"/>
    <m/>
    <m/>
    <m/>
  </r>
  <r>
    <x v="1"/>
    <x v="1"/>
    <d v="2022-11-15T00:00:00"/>
    <d v="2022-11-15T00:00:00"/>
    <s v="FE001"/>
    <s v="IM 100003387"/>
    <n v="108580"/>
    <s v="Traslados - CN1792079160001"/>
    <m/>
    <m/>
    <n v="101060401"/>
    <s v="Inventario de prod. term. y mercad. en Bodega BULLSYPPLY  Quito"/>
    <m/>
    <n v="523.5"/>
    <n v="-523.5"/>
    <x v="3"/>
    <n v="820827.78"/>
    <s v="-523.50"/>
    <s v="ancueva"/>
    <n v="0"/>
    <m/>
    <m/>
    <m/>
    <m/>
    <m/>
  </r>
  <r>
    <x v="1"/>
    <x v="1"/>
    <d v="2022-11-15T00:00:00"/>
    <d v="2022-11-15T00:00:00"/>
    <s v="FE001"/>
    <s v="NE 100015682"/>
    <n v="108601"/>
    <s v="Entregas - CN1791804619001"/>
    <m/>
    <s v="COCA"/>
    <n v="51010102"/>
    <s v="Costo de Ventas Coca"/>
    <m/>
    <n v="97.34"/>
    <n v="-97.34"/>
    <x v="1"/>
    <n v="820730.44"/>
    <s v="-97.34"/>
    <s v="ancueva"/>
    <n v="0"/>
    <m/>
    <s v="COCA-ORELLANA"/>
    <m/>
    <m/>
    <m/>
  </r>
  <r>
    <x v="1"/>
    <x v="1"/>
    <d v="2022-11-16T00:00:00"/>
    <d v="2022-11-16T00:00:00"/>
    <s v="FE001"/>
    <s v="IM 100003388"/>
    <n v="108640"/>
    <s v="Traslados - CN1792079160001"/>
    <m/>
    <m/>
    <n v="101060401"/>
    <s v="Inventario de prod. term. y mercad. en Bodega BULLSYPPLY  Quito"/>
    <n v="301.31"/>
    <m/>
    <n v="301.31"/>
    <x v="3"/>
    <n v="821031.75"/>
    <s v="301.31"/>
    <s v="jcortiz"/>
    <n v="0"/>
    <m/>
    <m/>
    <m/>
    <m/>
    <m/>
  </r>
  <r>
    <x v="1"/>
    <x v="1"/>
    <d v="2022-11-16T00:00:00"/>
    <d v="2022-11-16T00:00:00"/>
    <s v="FE001"/>
    <s v="NE 100015701"/>
    <n v="108663"/>
    <s v="Entregas - CN1791847776001"/>
    <m/>
    <s v="COCA"/>
    <n v="51010102"/>
    <s v="Costo de Ventas Coca"/>
    <m/>
    <n v="221.18"/>
    <n v="-221.18"/>
    <x v="1"/>
    <n v="820810.57"/>
    <s v="-221.18"/>
    <s v="ancueva"/>
    <n v="0"/>
    <m/>
    <s v="COCA-ORELLANA"/>
    <m/>
    <m/>
    <m/>
  </r>
  <r>
    <x v="1"/>
    <x v="1"/>
    <d v="2022-11-16T00:00:00"/>
    <d v="2022-11-16T00:00:00"/>
    <s v="FE001"/>
    <s v="NE 100015702"/>
    <n v="108664"/>
    <s v="Entregas - CN1792903890001"/>
    <m/>
    <s v="COCA"/>
    <n v="51010102"/>
    <s v="Costo de Ventas Coca"/>
    <m/>
    <n v="1045.06"/>
    <n v="-1045.06"/>
    <x v="1"/>
    <n v="819765.51"/>
    <s v="-1045.06"/>
    <s v="ancueva"/>
    <n v="0"/>
    <m/>
    <s v="COCA-ORELLANA"/>
    <m/>
    <m/>
    <m/>
  </r>
  <r>
    <x v="1"/>
    <x v="1"/>
    <d v="2022-11-16T00:00:00"/>
    <d v="2022-11-16T00:00:00"/>
    <s v="FE001"/>
    <s v="NE 100015703"/>
    <n v="108665"/>
    <s v="Entregas - CN1790749509001"/>
    <m/>
    <s v="COCA"/>
    <n v="51010102"/>
    <s v="Costo de Ventas Coca"/>
    <m/>
    <n v="9110.01"/>
    <n v="-9110.01"/>
    <x v="1"/>
    <n v="810655.5"/>
    <s v="-9110.01"/>
    <s v="ancueva"/>
    <n v="0"/>
    <m/>
    <s v="COCA-ORELLANA"/>
    <m/>
    <m/>
    <m/>
  </r>
  <r>
    <x v="1"/>
    <x v="1"/>
    <d v="2022-11-16T00:00:00"/>
    <d v="2022-11-16T00:00:00"/>
    <s v="FE001"/>
    <s v="IM 100003389"/>
    <n v="108666"/>
    <s v="Traslados - CN1792079160001"/>
    <m/>
    <m/>
    <n v="101060401"/>
    <s v="Inventario de prod. term. y mercad. en Bodega BULLSYPPLY  Quito"/>
    <m/>
    <n v="3.64"/>
    <n v="-3.64"/>
    <x v="3"/>
    <n v="810651.86"/>
    <s v="-3.64"/>
    <s v="ancueva"/>
    <n v="0"/>
    <m/>
    <m/>
    <m/>
    <m/>
    <m/>
  </r>
  <r>
    <x v="1"/>
    <x v="1"/>
    <d v="2022-11-17T00:00:00"/>
    <d v="2022-11-17T00:00:00"/>
    <s v="FE001"/>
    <s v="NE 100015704"/>
    <n v="108667"/>
    <s v="Entregas - CN1791263308001"/>
    <m/>
    <s v="COCA"/>
    <n v="51010102"/>
    <s v="Costo de Ventas Coca"/>
    <m/>
    <n v="2406.73"/>
    <n v="-2406.73"/>
    <x v="1"/>
    <n v="808245.13"/>
    <s v="-2406.73"/>
    <s v="ancueva"/>
    <n v="0"/>
    <m/>
    <s v="COCA-ORELLANA"/>
    <m/>
    <m/>
    <m/>
  </r>
  <r>
    <x v="1"/>
    <x v="1"/>
    <d v="2022-11-17T00:00:00"/>
    <d v="2022-11-17T00:00:00"/>
    <s v="FE001"/>
    <s v="NE 100015705"/>
    <n v="108669"/>
    <s v="Entrega - Cancelación - CN1791263308001"/>
    <m/>
    <s v="COCA"/>
    <n v="51010102"/>
    <s v="Costo de Ventas Coca"/>
    <n v="2406.73"/>
    <m/>
    <n v="2406.73"/>
    <x v="1"/>
    <n v="810651.86"/>
    <s v="2406.73"/>
    <s v="ancueva"/>
    <n v="0"/>
    <m/>
    <s v="COCA-ORELLANA"/>
    <m/>
    <m/>
    <m/>
  </r>
  <r>
    <x v="1"/>
    <x v="1"/>
    <d v="2022-11-17T00:00:00"/>
    <d v="2022-11-17T00:00:00"/>
    <s v="FE001"/>
    <s v="NE 100015706"/>
    <n v="108671"/>
    <s v="Entregas - CN1791263308001"/>
    <m/>
    <s v="COCA"/>
    <n v="51010102"/>
    <s v="Costo de Ventas Coca"/>
    <m/>
    <n v="2018.24"/>
    <n v="-2018.24"/>
    <x v="1"/>
    <n v="808633.62"/>
    <s v="-2018.24"/>
    <s v="ancueva"/>
    <n v="0"/>
    <m/>
    <s v="COCA-ORELLANA"/>
    <m/>
    <m/>
    <m/>
  </r>
  <r>
    <x v="1"/>
    <x v="1"/>
    <d v="2022-11-17T00:00:00"/>
    <d v="2022-11-17T00:00:00"/>
    <s v="FE001"/>
    <s v="NE 100015711"/>
    <n v="108712"/>
    <s v="Entregas - CN1791768205001"/>
    <m/>
    <s v="COCA"/>
    <n v="51010102"/>
    <s v="Costo de Ventas Coca"/>
    <m/>
    <n v="183.69"/>
    <n v="-183.69"/>
    <x v="1"/>
    <n v="808449.93"/>
    <s v="-183.69"/>
    <s v="ancueva"/>
    <n v="0"/>
    <m/>
    <s v="COCA-ORELLANA"/>
    <m/>
    <m/>
    <m/>
  </r>
  <r>
    <x v="1"/>
    <x v="1"/>
    <d v="2022-11-17T00:00:00"/>
    <d v="2022-11-17T00:00:00"/>
    <s v="FE001"/>
    <s v="IM 100003390"/>
    <n v="108740"/>
    <s v="Traslados - CN1792079160001"/>
    <m/>
    <m/>
    <n v="101060401"/>
    <s v="Inventario de prod. term. y mercad. en Bodega BULLSYPPLY  Quito"/>
    <n v="40.68"/>
    <m/>
    <n v="40.68"/>
    <x v="3"/>
    <n v="808490.61"/>
    <s v="40.68"/>
    <s v="jcortiz"/>
    <n v="0"/>
    <m/>
    <m/>
    <m/>
    <m/>
    <m/>
  </r>
  <r>
    <x v="1"/>
    <x v="1"/>
    <d v="2022-11-17T00:00:00"/>
    <d v="2022-11-17T00:00:00"/>
    <s v="FE001"/>
    <s v="NE 100015717"/>
    <n v="108749"/>
    <s v="Entregas - CN1791263308001"/>
    <m/>
    <s v="COCA"/>
    <n v="51010102"/>
    <s v="Costo de Ventas Coca"/>
    <m/>
    <n v="549.88"/>
    <n v="-549.88"/>
    <x v="1"/>
    <n v="807940.73"/>
    <s v="-549.88"/>
    <s v="ancueva"/>
    <n v="0"/>
    <m/>
    <s v="COCA-ORELLANA"/>
    <m/>
    <m/>
    <m/>
  </r>
  <r>
    <x v="1"/>
    <x v="1"/>
    <d v="2022-11-17T00:00:00"/>
    <d v="2022-11-17T00:00:00"/>
    <s v="FE001"/>
    <s v="IM 100003391"/>
    <n v="108755"/>
    <s v="Traslados - CN1792079160001"/>
    <m/>
    <m/>
    <n v="101060401"/>
    <s v="Inventario de prod. term. y mercad. en Bodega BULLSYPPLY  Quito"/>
    <n v="157.44999999999999"/>
    <m/>
    <n v="157.44999999999999"/>
    <x v="3"/>
    <n v="808098.18"/>
    <s v="157.45"/>
    <s v="jcortiz"/>
    <n v="0"/>
    <m/>
    <m/>
    <m/>
    <m/>
    <m/>
  </r>
  <r>
    <x v="1"/>
    <x v="1"/>
    <d v="2022-11-17T00:00:00"/>
    <d v="2022-11-17T00:00:00"/>
    <s v="FE001"/>
    <s v="NE 100015720"/>
    <n v="108776"/>
    <s v="Entregas - CN1790749509001"/>
    <m/>
    <s v="COCA"/>
    <n v="51010102"/>
    <s v="Costo de Ventas Coca"/>
    <m/>
    <n v="9110.01"/>
    <n v="-9110.01"/>
    <x v="1"/>
    <n v="798988.17"/>
    <s v="-9110.01"/>
    <s v="ancueva"/>
    <n v="0"/>
    <m/>
    <s v="COCA-ORELLANA"/>
    <m/>
    <m/>
    <m/>
  </r>
  <r>
    <x v="1"/>
    <x v="1"/>
    <d v="2022-11-18T00:00:00"/>
    <d v="2022-11-18T00:00:00"/>
    <s v="FE001"/>
    <s v="NE 100015731"/>
    <n v="108796"/>
    <s v="Entregas - CN1716004005001"/>
    <m/>
    <s v="COCA"/>
    <n v="51010102"/>
    <s v="Costo de Ventas Coca"/>
    <m/>
    <n v="3.64"/>
    <n v="-3.64"/>
    <x v="1"/>
    <n v="798984.53"/>
    <s v="-3.64"/>
    <s v="jcortiz"/>
    <n v="0"/>
    <m/>
    <s v="COCA-ORELLANA"/>
    <m/>
    <m/>
    <m/>
  </r>
  <r>
    <x v="1"/>
    <x v="1"/>
    <d v="2022-11-18T00:00:00"/>
    <d v="2022-11-18T00:00:00"/>
    <s v="FE001"/>
    <s v="IM 100003392"/>
    <n v="108800"/>
    <s v="Traslados - CN1792079160001"/>
    <m/>
    <m/>
    <n v="101060401"/>
    <s v="Inventario de prod. term. y mercad. en Bodega BULLSYPPLY  Quito"/>
    <m/>
    <n v="17.239999999999998"/>
    <n v="-17.239999999999998"/>
    <x v="3"/>
    <n v="798967.29"/>
    <s v="-17.24"/>
    <s v="jcortiz"/>
    <n v="0"/>
    <m/>
    <m/>
    <m/>
    <m/>
    <m/>
  </r>
  <r>
    <x v="1"/>
    <x v="1"/>
    <d v="2022-11-18T00:00:00"/>
    <d v="2022-11-18T00:00:00"/>
    <s v="FE001"/>
    <s v="NE 100015738"/>
    <n v="108817"/>
    <s v="Entregas - CN1792876745001"/>
    <m/>
    <s v="COCA"/>
    <n v="51010102"/>
    <s v="Costo de Ventas Coca"/>
    <m/>
    <n v="208.72"/>
    <n v="-208.72"/>
    <x v="1"/>
    <n v="798758.57"/>
    <s v="-208.72"/>
    <s v="ancueva"/>
    <n v="0"/>
    <m/>
    <s v="COCA-ORELLANA"/>
    <m/>
    <m/>
    <m/>
  </r>
  <r>
    <x v="1"/>
    <x v="1"/>
    <d v="2022-11-18T00:00:00"/>
    <d v="2022-11-18T00:00:00"/>
    <s v="FE001"/>
    <s v="NE 100015739"/>
    <n v="108823"/>
    <s v="Entregas - CN1791263308001"/>
    <m/>
    <s v="COCA"/>
    <n v="51010102"/>
    <s v="Costo de Ventas Coca"/>
    <m/>
    <n v="787.22"/>
    <n v="-787.22"/>
    <x v="1"/>
    <n v="797971.35"/>
    <s v="-787.22"/>
    <s v="ancueva"/>
    <n v="0"/>
    <m/>
    <s v="COCA-ORELLANA"/>
    <m/>
    <m/>
    <m/>
  </r>
  <r>
    <x v="1"/>
    <x v="1"/>
    <d v="2022-11-18T00:00:00"/>
    <d v="2022-11-18T00:00:00"/>
    <s v="FE001"/>
    <s v="NE 100015740"/>
    <n v="108824"/>
    <s v="Entregas - CN1791263308001"/>
    <m/>
    <s v="COCA"/>
    <n v="51010102"/>
    <s v="Costo de Ventas Coca"/>
    <m/>
    <n v="388.49"/>
    <n v="-388.49"/>
    <x v="1"/>
    <n v="797582.86"/>
    <s v="-388.49"/>
    <s v="ancueva"/>
    <n v="0"/>
    <m/>
    <s v="COCA-ORELLANA"/>
    <m/>
    <m/>
    <m/>
  </r>
  <r>
    <x v="1"/>
    <x v="1"/>
    <d v="2022-11-18T00:00:00"/>
    <d v="2022-11-18T00:00:00"/>
    <s v="FE001"/>
    <s v="IM 100003393"/>
    <n v="108852"/>
    <s v="Traslados - CN1792079160001"/>
    <m/>
    <m/>
    <n v="101060401"/>
    <s v="Inventario de prod. term. y mercad. en Bodega BULLSYPPLY  Quito"/>
    <m/>
    <n v="1444.52"/>
    <n v="-1444.52"/>
    <x v="3"/>
    <n v="796138.34"/>
    <s v="-1444.52"/>
    <s v="ancueva"/>
    <n v="0"/>
    <m/>
    <m/>
    <m/>
    <m/>
    <m/>
  </r>
  <r>
    <x v="1"/>
    <x v="1"/>
    <d v="2022-11-21T00:00:00"/>
    <d v="2022-11-21T00:00:00"/>
    <s v="Primario"/>
    <s v="SM 571"/>
    <n v="108856"/>
    <s v="Salida de mercancías"/>
    <m/>
    <s v="COCA"/>
    <n v="51010102"/>
    <s v="Costo de Ventas Coca"/>
    <m/>
    <n v="815.4"/>
    <n v="-815.4"/>
    <x v="1"/>
    <n v="795322.94"/>
    <s v="-815.40"/>
    <s v="jcortiz"/>
    <n v="0"/>
    <m/>
    <s v="COCA-ORELLANA"/>
    <m/>
    <m/>
    <m/>
  </r>
  <r>
    <x v="1"/>
    <x v="1"/>
    <d v="2022-11-21T00:00:00"/>
    <d v="2022-11-21T00:00:00"/>
    <s v="Primario"/>
    <s v="SM 572"/>
    <n v="108858"/>
    <s v="Salida de mercancías"/>
    <m/>
    <s v="COCA"/>
    <n v="51010102"/>
    <s v="Costo de Ventas Coca"/>
    <m/>
    <n v="42.04"/>
    <n v="-42.04"/>
    <x v="1"/>
    <n v="795280.9"/>
    <s v="-42.04"/>
    <s v="jcortiz"/>
    <n v="0"/>
    <m/>
    <s v="COCA-ORELLANA"/>
    <m/>
    <m/>
    <m/>
  </r>
  <r>
    <x v="1"/>
    <x v="1"/>
    <d v="2022-11-21T00:00:00"/>
    <d v="2022-11-21T00:00:00"/>
    <s v="FE001"/>
    <s v="IM 100003394"/>
    <n v="108859"/>
    <s v="Traslados - CN1792079160001"/>
    <m/>
    <m/>
    <n v="101060401"/>
    <s v="Inventario de prod. term. y mercad. en Bodega BULLSYPPLY  Quito"/>
    <n v="3.64"/>
    <m/>
    <n v="3.64"/>
    <x v="3"/>
    <n v="795284.54"/>
    <s v="3.64"/>
    <s v="jcortiz"/>
    <n v="0"/>
    <m/>
    <m/>
    <m/>
    <m/>
    <m/>
  </r>
  <r>
    <x v="1"/>
    <x v="1"/>
    <d v="2022-11-21T00:00:00"/>
    <d v="2022-11-21T00:00:00"/>
    <s v="FE001"/>
    <s v="IM 100003395"/>
    <n v="108860"/>
    <s v="Traslados - CN1792079160001"/>
    <m/>
    <m/>
    <n v="101060401"/>
    <s v="Inventario de prod. term. y mercad. en Bodega BULLSYPPLY  Quito"/>
    <m/>
    <n v="31.18"/>
    <n v="-31.18"/>
    <x v="3"/>
    <n v="795253.36"/>
    <s v="-31.18"/>
    <s v="ancueva"/>
    <n v="0"/>
    <m/>
    <m/>
    <m/>
    <m/>
    <m/>
  </r>
  <r>
    <x v="1"/>
    <x v="1"/>
    <d v="2022-11-21T00:00:00"/>
    <d v="2022-11-21T00:00:00"/>
    <s v="FE001"/>
    <s v="IM 100003396"/>
    <n v="108868"/>
    <s v="Traslados - CN1792079160001"/>
    <m/>
    <m/>
    <n v="101060401"/>
    <s v="Inventario de prod. term. y mercad. en Bodega BULLSYPPLY  Quito"/>
    <n v="17486.71"/>
    <m/>
    <n v="17486.71"/>
    <x v="3"/>
    <n v="812740.07"/>
    <s v="17486.71"/>
    <s v="jcortiz"/>
    <n v="0"/>
    <m/>
    <m/>
    <m/>
    <m/>
    <m/>
  </r>
  <r>
    <x v="1"/>
    <x v="1"/>
    <d v="2022-11-21T00:00:00"/>
    <d v="2022-11-21T00:00:00"/>
    <s v="FE001"/>
    <s v="NE 100015760"/>
    <n v="108891"/>
    <s v="Entregas - CN1791263308001"/>
    <m/>
    <s v="COCA"/>
    <n v="51010102"/>
    <s v="Costo de Ventas Coca"/>
    <m/>
    <n v="138.31"/>
    <n v="-138.31"/>
    <x v="1"/>
    <n v="812601.76"/>
    <s v="-138.31"/>
    <s v="ancueva"/>
    <n v="0"/>
    <m/>
    <s v="COCA-ORELLANA"/>
    <m/>
    <m/>
    <m/>
  </r>
  <r>
    <x v="1"/>
    <x v="1"/>
    <d v="2022-11-21T00:00:00"/>
    <d v="2022-11-21T00:00:00"/>
    <s v="FE001"/>
    <s v="NE 100015763"/>
    <n v="108895"/>
    <s v="Entregas - CN1791263308001"/>
    <m/>
    <s v="COCA"/>
    <n v="51010102"/>
    <s v="Costo de Ventas Coca"/>
    <m/>
    <n v="24.95"/>
    <n v="-24.95"/>
    <x v="1"/>
    <n v="812576.81"/>
    <s v="-24.95"/>
    <s v="ancueva"/>
    <n v="0"/>
    <m/>
    <s v="COCA-ORELLANA"/>
    <m/>
    <m/>
    <m/>
  </r>
  <r>
    <x v="1"/>
    <x v="1"/>
    <d v="2022-11-21T00:00:00"/>
    <d v="2022-11-21T00:00:00"/>
    <s v="FE001"/>
    <s v="IM 100003397"/>
    <n v="108898"/>
    <s v="Traslados - CN1792079160001"/>
    <m/>
    <m/>
    <n v="101060401"/>
    <s v="Inventario de prod. term. y mercad. en Bodega BULLSYPPLY  Quito"/>
    <m/>
    <n v="40.29"/>
    <n v="-40.29"/>
    <x v="3"/>
    <n v="812536.52"/>
    <s v="-40.29"/>
    <s v="ancueva"/>
    <n v="0"/>
    <m/>
    <m/>
    <m/>
    <m/>
    <m/>
  </r>
  <r>
    <x v="1"/>
    <x v="1"/>
    <d v="2022-11-22T00:00:00"/>
    <d v="2022-11-22T00:00:00"/>
    <s v="FE001"/>
    <s v="NE 100015766"/>
    <n v="108905"/>
    <s v="Entregas - CN1792371694001"/>
    <m/>
    <s v="COCA"/>
    <n v="51010102"/>
    <s v="Costo de Ventas Coca"/>
    <m/>
    <n v="23951.27"/>
    <n v="-23951.27"/>
    <x v="1"/>
    <n v="788585.25"/>
    <s v="-23951.27"/>
    <s v="ancueva"/>
    <n v="0"/>
    <m/>
    <s v="COCA-ORELLANA"/>
    <m/>
    <m/>
    <m/>
  </r>
  <r>
    <x v="1"/>
    <x v="1"/>
    <d v="2022-11-22T00:00:00"/>
    <d v="2022-11-22T00:00:00"/>
    <s v="FE001"/>
    <s v="NE 100015766"/>
    <n v="108905"/>
    <s v="Entregas - CN1792371694001"/>
    <m/>
    <s v="COCA"/>
    <n v="51010102"/>
    <s v="Costo de Ventas Coca"/>
    <m/>
    <n v="42.11"/>
    <n v="-42.11"/>
    <x v="1"/>
    <n v="788543.14"/>
    <s v="-42.11"/>
    <s v="ancueva"/>
    <n v="0"/>
    <m/>
    <s v="COCA-ORELLANA"/>
    <m/>
    <m/>
    <m/>
  </r>
  <r>
    <x v="1"/>
    <x v="1"/>
    <d v="2022-11-22T00:00:00"/>
    <d v="2022-11-22T00:00:00"/>
    <s v="FE001"/>
    <s v="IM 100003399"/>
    <n v="108925"/>
    <s v="Traslados - CN1792079160001"/>
    <m/>
    <m/>
    <n v="101060401"/>
    <s v="Inventario de prod. term. y mercad. en Bodega BULLSYPPLY  Quito"/>
    <n v="12.27"/>
    <m/>
    <n v="12.27"/>
    <x v="3"/>
    <n v="788555.41"/>
    <s v="12.27"/>
    <s v="jcortiz"/>
    <n v="0"/>
    <m/>
    <m/>
    <m/>
    <m/>
    <m/>
  </r>
  <r>
    <x v="1"/>
    <x v="1"/>
    <d v="2022-11-22T00:00:00"/>
    <d v="2022-11-22T00:00:00"/>
    <s v="FE001"/>
    <s v="NE 100015770"/>
    <n v="108938"/>
    <s v="Entregas - CN1803721206001"/>
    <m/>
    <s v="COCA"/>
    <n v="51010102"/>
    <s v="Costo de Ventas Coca"/>
    <m/>
    <n v="22.27"/>
    <n v="-22.27"/>
    <x v="1"/>
    <n v="788533.14"/>
    <s v="-22.27"/>
    <s v="ancueva"/>
    <n v="0"/>
    <m/>
    <s v="COCA-ORELLANA"/>
    <m/>
    <m/>
    <m/>
  </r>
  <r>
    <x v="1"/>
    <x v="1"/>
    <d v="2022-11-22T00:00:00"/>
    <d v="2022-11-22T00:00:00"/>
    <s v="FE001"/>
    <s v="IM 100003400"/>
    <n v="108941"/>
    <s v="Traslados - CN1792079160001"/>
    <m/>
    <m/>
    <n v="101060401"/>
    <s v="Inventario de prod. term. y mercad. en Bodega BULLSYPPLY  Quito"/>
    <n v="2"/>
    <m/>
    <n v="2"/>
    <x v="3"/>
    <n v="788535.14"/>
    <s v="2.00"/>
    <s v="jcortiz"/>
    <n v="0"/>
    <m/>
    <m/>
    <m/>
    <m/>
    <m/>
  </r>
  <r>
    <x v="1"/>
    <x v="1"/>
    <d v="2022-11-22T00:00:00"/>
    <d v="2022-11-22T00:00:00"/>
    <s v="FE001"/>
    <s v="NE 100015771"/>
    <n v="108944"/>
    <s v="Entregas - CN1791263308001"/>
    <m/>
    <s v="COCA"/>
    <n v="51010102"/>
    <s v="Costo de Ventas Coca"/>
    <m/>
    <n v="436.68"/>
    <n v="-436.68"/>
    <x v="1"/>
    <n v="788098.46"/>
    <s v="-436.68"/>
    <s v="ancueva"/>
    <n v="0"/>
    <m/>
    <s v="COCA-ORELLANA"/>
    <m/>
    <m/>
    <m/>
  </r>
  <r>
    <x v="1"/>
    <x v="1"/>
    <d v="2022-11-22T00:00:00"/>
    <d v="2022-11-22T00:00:00"/>
    <s v="FE001"/>
    <s v="IM 100003403"/>
    <n v="108956"/>
    <s v="Traslados - CN1792079160001"/>
    <m/>
    <m/>
    <n v="101060401"/>
    <s v="Inventario de prod. term. y mercad. en Bodega BULLSYPPLY  Quito"/>
    <n v="100157.21"/>
    <m/>
    <n v="100157.21"/>
    <x v="3"/>
    <n v="888255.67"/>
    <s v="100157.21"/>
    <s v="jcortiz"/>
    <n v="0"/>
    <m/>
    <m/>
    <m/>
    <m/>
    <m/>
  </r>
  <r>
    <x v="1"/>
    <x v="1"/>
    <d v="2022-11-22T00:00:00"/>
    <d v="2022-11-22T00:00:00"/>
    <s v="FE001"/>
    <s v="IM 100003404"/>
    <n v="108958"/>
    <s v="Traslados -"/>
    <m/>
    <m/>
    <n v="101060401"/>
    <s v="Inventario de prod. term. y mercad. en Bodega BULLSYPPLY  Quito"/>
    <m/>
    <n v="100170.61"/>
    <n v="-100170.61"/>
    <x v="3"/>
    <n v="788085.06"/>
    <s v="-100170.61"/>
    <s v="jcortiz"/>
    <n v="0"/>
    <m/>
    <m/>
    <m/>
    <m/>
    <m/>
  </r>
  <r>
    <x v="1"/>
    <x v="1"/>
    <d v="2022-11-22T00:00:00"/>
    <d v="2022-11-22T00:00:00"/>
    <s v="FE001"/>
    <s v="NE 100015774"/>
    <n v="108965"/>
    <s v="Entregas - CN1792064082001"/>
    <m/>
    <s v="COCA"/>
    <n v="51010102"/>
    <s v="Costo de Ventas Coca"/>
    <m/>
    <n v="2"/>
    <n v="-2"/>
    <x v="1"/>
    <n v="788083.06"/>
    <s v="-2.00"/>
    <s v="ancueva"/>
    <n v="0"/>
    <m/>
    <s v="COCA-ORELLANA"/>
    <m/>
    <m/>
    <m/>
  </r>
  <r>
    <x v="1"/>
    <x v="1"/>
    <d v="2022-11-22T00:00:00"/>
    <d v="2022-11-22T00:00:00"/>
    <s v="FE001"/>
    <s v="NE 100015787"/>
    <n v="108990"/>
    <s v="Entregas - CN1791263308001"/>
    <m/>
    <s v="COCA"/>
    <n v="51010102"/>
    <s v="Costo de Ventas Coca"/>
    <m/>
    <n v="232.17"/>
    <n v="-232.17"/>
    <x v="1"/>
    <n v="787850.89"/>
    <s v="-232.17"/>
    <s v="ancueva"/>
    <n v="0"/>
    <m/>
    <s v="COCA-ORELLANA"/>
    <m/>
    <m/>
    <m/>
  </r>
  <r>
    <x v="1"/>
    <x v="1"/>
    <d v="2022-11-22T00:00:00"/>
    <d v="2022-11-22T00:00:00"/>
    <s v="FE001"/>
    <s v="IM 100003411"/>
    <n v="108994"/>
    <s v="Traslados - CN1792079160001"/>
    <m/>
    <m/>
    <n v="101060401"/>
    <s v="Inventario de prod. term. y mercad. en Bodega BULLSYPPLY  Quito"/>
    <m/>
    <n v="1072.95"/>
    <n v="-1072.95"/>
    <x v="3"/>
    <n v="786777.94"/>
    <s v="-1072.95"/>
    <s v="ancueva"/>
    <n v="0"/>
    <m/>
    <m/>
    <m/>
    <m/>
    <m/>
  </r>
  <r>
    <x v="1"/>
    <x v="1"/>
    <d v="2022-11-22T00:00:00"/>
    <d v="2022-11-22T00:00:00"/>
    <s v="FE001"/>
    <s v="IM 100003412"/>
    <n v="109029"/>
    <s v="Traslados - CN1792079160001"/>
    <m/>
    <m/>
    <n v="101060401"/>
    <s v="Inventario de prod. term. y mercad. en Bodega BULLSYPPLY  Quito"/>
    <n v="10.54"/>
    <m/>
    <n v="10.54"/>
    <x v="3"/>
    <n v="786788.48"/>
    <s v="10.54"/>
    <s v="jcortiz"/>
    <n v="0"/>
    <m/>
    <m/>
    <m/>
    <m/>
    <m/>
  </r>
  <r>
    <x v="1"/>
    <x v="1"/>
    <d v="2022-11-22T00:00:00"/>
    <d v="2022-11-22T00:00:00"/>
    <s v="FE001"/>
    <s v="IM 100003414"/>
    <n v="109031"/>
    <s v="Traslados -"/>
    <m/>
    <m/>
    <n v="101060401"/>
    <s v="Inventario de prod. term. y mercad. en Bodega BULLSYPPLY  Quito"/>
    <n v="32397.759999999998"/>
    <m/>
    <n v="32397.759999999998"/>
    <x v="3"/>
    <n v="819186.24"/>
    <s v="32397.76"/>
    <s v="jcortiz"/>
    <n v="0"/>
    <m/>
    <m/>
    <m/>
    <m/>
    <m/>
  </r>
  <r>
    <x v="1"/>
    <x v="1"/>
    <d v="2022-11-22T00:00:00"/>
    <d v="2022-11-22T00:00:00"/>
    <s v="FE001"/>
    <s v="RC 100000676"/>
    <n v="109035"/>
    <s v="Notas de crédito clientes - CN1791263308001"/>
    <m/>
    <s v="COCA"/>
    <s v="CN1791263308001"/>
    <s v="SERTECPET S.A."/>
    <n v="202.75"/>
    <m/>
    <n v="202.75"/>
    <x v="4"/>
    <n v="819388.99"/>
    <s v="202.75"/>
    <s v="gcali"/>
    <n v="0"/>
    <m/>
    <s v="COCA-ORELLANA"/>
    <m/>
    <m/>
    <m/>
  </r>
  <r>
    <x v="1"/>
    <x v="1"/>
    <d v="2022-11-23T00:00:00"/>
    <d v="2022-11-23T00:00:00"/>
    <s v="FE001"/>
    <s v="NE 100015800"/>
    <n v="109040"/>
    <s v="Entregas - CN1803721206001"/>
    <m/>
    <s v="COCA"/>
    <n v="51010102"/>
    <s v="Costo de Ventas Coca"/>
    <m/>
    <n v="10.54"/>
    <n v="-10.54"/>
    <x v="1"/>
    <n v="819378.45"/>
    <s v="-10.54"/>
    <s v="ancueva"/>
    <n v="0"/>
    <m/>
    <s v="COCA-ORELLANA"/>
    <m/>
    <m/>
    <m/>
  </r>
  <r>
    <x v="1"/>
    <x v="1"/>
    <d v="2022-11-23T00:00:00"/>
    <d v="2022-11-23T00:00:00"/>
    <s v="FE001"/>
    <s v="IM 100003415"/>
    <n v="109047"/>
    <s v="Traslados - CN1792079160001"/>
    <m/>
    <m/>
    <n v="101060401"/>
    <s v="Inventario de prod. term. y mercad. en Bodega BULLSYPPLY  Quito"/>
    <n v="1144.55"/>
    <m/>
    <n v="1144.55"/>
    <x v="3"/>
    <n v="820523"/>
    <s v="1144.55"/>
    <s v="jcortiz"/>
    <n v="0"/>
    <m/>
    <m/>
    <m/>
    <m/>
    <m/>
  </r>
  <r>
    <x v="1"/>
    <x v="1"/>
    <d v="2022-11-23T00:00:00"/>
    <d v="2022-11-23T00:00:00"/>
    <s v="FE001"/>
    <s v="NE 100015802"/>
    <n v="109053"/>
    <s v="Entregas - CN1791263308001"/>
    <m/>
    <s v="COCA"/>
    <n v="51010102"/>
    <s v="Costo de Ventas Coca"/>
    <m/>
    <n v="273.39"/>
    <n v="-273.39"/>
    <x v="1"/>
    <n v="820249.61"/>
    <s v="-273.39"/>
    <s v="ancueva"/>
    <n v="0"/>
    <m/>
    <s v="COCA-ORELLANA"/>
    <m/>
    <m/>
    <m/>
  </r>
  <r>
    <x v="1"/>
    <x v="1"/>
    <d v="2022-11-23T00:00:00"/>
    <d v="2022-11-23T00:00:00"/>
    <s v="FE001"/>
    <s v="IM 100003416"/>
    <n v="109059"/>
    <s v="Traslados - CN1792079160001"/>
    <m/>
    <m/>
    <n v="101060401"/>
    <s v="Inventario de prod. term. y mercad. en Bodega BULLSYPPLY  Quito"/>
    <n v="2847.4"/>
    <m/>
    <n v="2847.4"/>
    <x v="3"/>
    <n v="823097.01"/>
    <s v="2847.40"/>
    <s v="jcortiz"/>
    <n v="0"/>
    <m/>
    <m/>
    <m/>
    <m/>
    <m/>
  </r>
  <r>
    <x v="1"/>
    <x v="1"/>
    <d v="2022-11-23T00:00:00"/>
    <d v="2022-11-23T00:00:00"/>
    <s v="FE001"/>
    <s v="NE 100015809"/>
    <n v="109070"/>
    <s v="Entregas - CN1791263308001"/>
    <m/>
    <s v="COCA"/>
    <n v="51010102"/>
    <s v="Costo de Ventas Coca"/>
    <m/>
    <n v="60"/>
    <n v="-60"/>
    <x v="1"/>
    <n v="823037.01"/>
    <s v="-60.00"/>
    <s v="jcortiz"/>
    <n v="0"/>
    <m/>
    <s v="COCA-ORELLANA"/>
    <m/>
    <m/>
    <m/>
  </r>
  <r>
    <x v="1"/>
    <x v="1"/>
    <d v="2022-11-23T00:00:00"/>
    <d v="2022-11-23T00:00:00"/>
    <s v="FE001"/>
    <s v="NE 100015814"/>
    <n v="109086"/>
    <s v="Entregas - CN1791263308001"/>
    <m/>
    <s v="COCA"/>
    <n v="51010102"/>
    <s v="Costo de Ventas Coca"/>
    <m/>
    <n v="44.86"/>
    <n v="-44.86"/>
    <x v="1"/>
    <n v="822992.15"/>
    <s v="-44.86"/>
    <s v="ancueva"/>
    <n v="0"/>
    <m/>
    <s v="COCA-ORELLANA"/>
    <m/>
    <m/>
    <m/>
  </r>
  <r>
    <x v="1"/>
    <x v="1"/>
    <d v="2022-11-23T00:00:00"/>
    <d v="2022-11-23T00:00:00"/>
    <s v="FE001"/>
    <s v="NE 100015815"/>
    <n v="109087"/>
    <s v="Entregas - CN1791263308001"/>
    <m/>
    <s v="COCA"/>
    <n v="51010102"/>
    <s v="Costo de Ventas Coca"/>
    <m/>
    <n v="44.86"/>
    <n v="-44.86"/>
    <x v="1"/>
    <n v="822947.29"/>
    <s v="-44.86"/>
    <s v="ancueva"/>
    <n v="0"/>
    <m/>
    <s v="COCA-ORELLANA"/>
    <m/>
    <m/>
    <m/>
  </r>
  <r>
    <x v="1"/>
    <x v="1"/>
    <d v="2022-11-23T00:00:00"/>
    <d v="2022-11-23T00:00:00"/>
    <s v="FE001"/>
    <s v="NE 100015816"/>
    <n v="109090"/>
    <s v="Entregas - CN1791768205001"/>
    <m/>
    <s v="COCA"/>
    <n v="51010102"/>
    <s v="Costo de Ventas Coca"/>
    <m/>
    <n v="1220.8599999999999"/>
    <n v="-1220.8599999999999"/>
    <x v="1"/>
    <n v="821726.43"/>
    <s v="-1220.86"/>
    <s v="ancueva"/>
    <n v="0"/>
    <m/>
    <s v="COCA-ORELLANA"/>
    <m/>
    <m/>
    <m/>
  </r>
  <r>
    <x v="1"/>
    <x v="1"/>
    <d v="2022-11-23T00:00:00"/>
    <d v="2022-11-23T00:00:00"/>
    <s v="FE001"/>
    <s v="IM 100003417"/>
    <n v="109094"/>
    <s v="Traslados - CN1792079160001"/>
    <m/>
    <m/>
    <n v="101060401"/>
    <s v="Inventario de prod. term. y mercad. en Bodega BULLSYPPLY  Quito"/>
    <m/>
    <n v="88.92"/>
    <n v="-88.92"/>
    <x v="3"/>
    <n v="821637.51"/>
    <s v="-88.92"/>
    <s v="ancueva"/>
    <n v="0"/>
    <m/>
    <m/>
    <m/>
    <m/>
    <m/>
  </r>
  <r>
    <x v="1"/>
    <x v="1"/>
    <d v="2022-11-24T00:00:00"/>
    <d v="2022-11-24T00:00:00"/>
    <s v="FE001"/>
    <s v="NE 100015819"/>
    <n v="109113"/>
    <s v="Entregas - CN1791804619001"/>
    <m/>
    <s v="COCA"/>
    <n v="51010102"/>
    <s v="Costo de Ventas Coca"/>
    <m/>
    <n v="283.85000000000002"/>
    <n v="-283.85000000000002"/>
    <x v="1"/>
    <n v="821353.66"/>
    <s v="-283.85"/>
    <s v="ancueva"/>
    <n v="0"/>
    <m/>
    <s v="COCA-ORELLANA"/>
    <m/>
    <m/>
    <m/>
  </r>
  <r>
    <x v="1"/>
    <x v="1"/>
    <d v="2022-11-24T00:00:00"/>
    <d v="2022-11-24T00:00:00"/>
    <s v="FE001"/>
    <s v="NE 100015821"/>
    <n v="109121"/>
    <s v="Entregas - CN1791263308001"/>
    <m/>
    <s v="COCA"/>
    <n v="51010102"/>
    <s v="Costo de Ventas Coca"/>
    <m/>
    <n v="244.89"/>
    <n v="-244.89"/>
    <x v="1"/>
    <n v="821108.77"/>
    <s v="-244.89"/>
    <s v="ancueva"/>
    <n v="0"/>
    <m/>
    <s v="COCA-ORELLANA"/>
    <m/>
    <m/>
    <m/>
  </r>
  <r>
    <x v="1"/>
    <x v="1"/>
    <d v="2022-11-24T00:00:00"/>
    <d v="2022-11-24T00:00:00"/>
    <s v="FE001"/>
    <s v="NE 100015823"/>
    <n v="109137"/>
    <s v="Entregas - CN0501808281"/>
    <m/>
    <s v="COCA"/>
    <n v="51010102"/>
    <s v="Costo de Ventas Coca"/>
    <m/>
    <n v="28.89"/>
    <n v="-28.89"/>
    <x v="1"/>
    <n v="821079.88"/>
    <s v="-28.89"/>
    <s v="ancueva"/>
    <n v="0"/>
    <m/>
    <s v="COCA-ORELLANA"/>
    <m/>
    <m/>
    <m/>
  </r>
  <r>
    <x v="1"/>
    <x v="1"/>
    <d v="2022-11-24T00:00:00"/>
    <d v="2022-11-24T00:00:00"/>
    <s v="FE001"/>
    <s v="IM 100003418"/>
    <n v="109176"/>
    <s v="Traslados - CN1792079160001"/>
    <m/>
    <m/>
    <n v="101060401"/>
    <s v="Inventario de prod. term. y mercad. en Bodega BULLSYPPLY  Quito"/>
    <n v="122.81"/>
    <m/>
    <n v="122.81"/>
    <x v="3"/>
    <n v="821202.69"/>
    <s v="122.81"/>
    <s v="jcortiz"/>
    <n v="0"/>
    <m/>
    <m/>
    <m/>
    <m/>
    <m/>
  </r>
  <r>
    <x v="1"/>
    <x v="1"/>
    <d v="2022-11-24T00:00:00"/>
    <d v="2022-11-24T00:00:00"/>
    <s v="FE001"/>
    <s v="NE 100015832"/>
    <n v="109214"/>
    <s v="Entregas - CN1720066859001"/>
    <m/>
    <s v="COCA"/>
    <n v="51010102"/>
    <s v="Costo de Ventas Coca"/>
    <m/>
    <n v="198.98"/>
    <n v="-198.98"/>
    <x v="1"/>
    <n v="821003.71"/>
    <s v="-198.98"/>
    <s v="ancueva"/>
    <n v="0"/>
    <m/>
    <s v="COCA-ORELLANA"/>
    <m/>
    <m/>
    <m/>
  </r>
  <r>
    <x v="1"/>
    <x v="1"/>
    <d v="2022-11-24T00:00:00"/>
    <d v="2022-11-24T00:00:00"/>
    <s v="FE001"/>
    <s v="NE 100015833"/>
    <n v="109216"/>
    <s v="Entregas - CN1791768205001"/>
    <m/>
    <s v="COCA"/>
    <n v="51010102"/>
    <s v="Costo de Ventas Coca"/>
    <m/>
    <n v="2847.03"/>
    <n v="-2847.03"/>
    <x v="1"/>
    <n v="818156.68"/>
    <s v="-2847.03"/>
    <s v="ancueva"/>
    <n v="0"/>
    <m/>
    <s v="COCA-ORELLANA"/>
    <m/>
    <m/>
    <m/>
  </r>
  <r>
    <x v="1"/>
    <x v="1"/>
    <d v="2022-11-24T00:00:00"/>
    <d v="2022-11-24T00:00:00"/>
    <s v="FE001"/>
    <s v="NE 100015835"/>
    <n v="109246"/>
    <s v="Entregas - CN1791768205001"/>
    <m/>
    <s v="COCA"/>
    <n v="51010102"/>
    <s v="Costo de Ventas Coca"/>
    <m/>
    <n v="439.4"/>
    <n v="-439.4"/>
    <x v="1"/>
    <n v="817717.28"/>
    <s v="-439.40"/>
    <s v="ancueva"/>
    <n v="0"/>
    <m/>
    <s v="COCA-ORELLANA"/>
    <m/>
    <m/>
    <m/>
  </r>
  <r>
    <x v="1"/>
    <x v="1"/>
    <d v="2022-11-24T00:00:00"/>
    <d v="2022-11-24T00:00:00"/>
    <s v="FE001"/>
    <s v="IM 100003420"/>
    <n v="109249"/>
    <s v="Traslados - CN1792079160001"/>
    <m/>
    <m/>
    <n v="101060401"/>
    <s v="Inventario de prod. term. y mercad. en Bodega BULLSYPPLY  Quito"/>
    <n v="293.99"/>
    <m/>
    <n v="293.99"/>
    <x v="3"/>
    <n v="818011.27"/>
    <s v="293.99"/>
    <s v="jcortiz"/>
    <n v="0"/>
    <m/>
    <m/>
    <m/>
    <m/>
    <m/>
  </r>
  <r>
    <x v="1"/>
    <x v="1"/>
    <d v="2022-11-24T00:00:00"/>
    <d v="2022-11-24T00:00:00"/>
    <s v="FE001"/>
    <s v="IM 100003421"/>
    <n v="109267"/>
    <s v="Traslados - CN1792079160001"/>
    <m/>
    <m/>
    <n v="101060401"/>
    <s v="Inventario de prod. term. y mercad. en Bodega BULLSYPPLY  Quito"/>
    <n v="1933.78"/>
    <m/>
    <n v="1933.78"/>
    <x v="3"/>
    <n v="819945.05"/>
    <s v="1933.78"/>
    <s v="jcortiz"/>
    <n v="0"/>
    <m/>
    <m/>
    <m/>
    <m/>
    <m/>
  </r>
  <r>
    <x v="1"/>
    <x v="1"/>
    <d v="2022-11-24T00:00:00"/>
    <d v="2022-11-24T00:00:00"/>
    <s v="FE001"/>
    <s v="IM 100003422"/>
    <n v="109268"/>
    <s v="Traslados - CN1792079160001"/>
    <m/>
    <m/>
    <n v="101060401"/>
    <s v="Inventario de prod. term. y mercad. en Bodega BULLSYPPLY  Quito"/>
    <n v="1208.6199999999999"/>
    <m/>
    <n v="1208.6199999999999"/>
    <x v="3"/>
    <n v="821153.67"/>
    <s v="1208.62"/>
    <s v="jcortiz"/>
    <n v="0"/>
    <m/>
    <m/>
    <m/>
    <m/>
    <m/>
  </r>
  <r>
    <x v="1"/>
    <x v="1"/>
    <d v="2022-11-25T00:00:00"/>
    <d v="2022-11-25T00:00:00"/>
    <s v="FE001"/>
    <s v="NE 100015837"/>
    <n v="109272"/>
    <s v="Entregas - CN1791263308001"/>
    <m/>
    <s v="COCA"/>
    <n v="51010102"/>
    <s v="Costo de Ventas Coca"/>
    <m/>
    <n v="7.61"/>
    <n v="-7.61"/>
    <x v="1"/>
    <n v="821146.06"/>
    <s v="-7.61"/>
    <s v="ancueva"/>
    <n v="0"/>
    <m/>
    <s v="COCA-ORELLANA"/>
    <m/>
    <m/>
    <m/>
  </r>
  <r>
    <x v="1"/>
    <x v="1"/>
    <d v="2022-11-25T00:00:00"/>
    <d v="2022-11-25T00:00:00"/>
    <s v="FE001"/>
    <s v="IM 100003423"/>
    <n v="109278"/>
    <s v="Traslados - CN1792079160001"/>
    <m/>
    <m/>
    <n v="101060401"/>
    <s v="Inventario de prod. term. y mercad. en Bodega BULLSYPPLY  Quito"/>
    <m/>
    <n v="30.34"/>
    <n v="-30.34"/>
    <x v="3"/>
    <n v="821115.72"/>
    <s v="-30.34"/>
    <s v="jcortiz"/>
    <n v="0"/>
    <m/>
    <m/>
    <m/>
    <m/>
    <m/>
  </r>
  <r>
    <x v="1"/>
    <x v="1"/>
    <d v="2022-11-25T00:00:00"/>
    <d v="2022-11-25T00:00:00"/>
    <s v="FE001"/>
    <s v="IM 100003424"/>
    <n v="109279"/>
    <s v="Traslados - CN1792079160001"/>
    <m/>
    <m/>
    <n v="101060401"/>
    <s v="Inventario de prod. term. y mercad. en Bodega BULLSYPPLY  Quito"/>
    <n v="30.34"/>
    <m/>
    <n v="30.34"/>
    <x v="3"/>
    <n v="821146.06"/>
    <s v="30.34"/>
    <s v="jcortiz"/>
    <n v="0"/>
    <m/>
    <m/>
    <m/>
    <m/>
    <m/>
  </r>
  <r>
    <x v="1"/>
    <x v="1"/>
    <d v="2022-11-25T00:00:00"/>
    <d v="2022-11-25T00:00:00"/>
    <s v="FE001"/>
    <s v="IM 100003425"/>
    <n v="109280"/>
    <s v="Traslados - CN1792079160001"/>
    <m/>
    <m/>
    <n v="101060401"/>
    <s v="Inventario de prod. term. y mercad. en Bodega BULLSYPPLY  Quito"/>
    <m/>
    <n v="3223.8"/>
    <n v="-3223.8"/>
    <x v="3"/>
    <n v="817922.26"/>
    <s v="-3223.80"/>
    <s v="jcortiz"/>
    <n v="0"/>
    <m/>
    <m/>
    <m/>
    <m/>
    <m/>
  </r>
  <r>
    <x v="1"/>
    <x v="1"/>
    <d v="2022-11-25T00:00:00"/>
    <d v="2022-11-25T00:00:00"/>
    <s v="FE001"/>
    <s v="IM 100003426"/>
    <n v="109281"/>
    <s v="Traslados - CN1792079160001"/>
    <m/>
    <m/>
    <n v="101060401"/>
    <s v="Inventario de prod. term. y mercad. en Bodega BULLSYPPLY  Quito"/>
    <m/>
    <n v="92"/>
    <n v="-92"/>
    <x v="3"/>
    <n v="817830.26"/>
    <s v="-92.00"/>
    <s v="jcortiz"/>
    <n v="0"/>
    <m/>
    <m/>
    <m/>
    <m/>
    <m/>
  </r>
  <r>
    <x v="1"/>
    <x v="1"/>
    <d v="2022-11-25T00:00:00"/>
    <d v="2022-11-25T00:00:00"/>
    <s v="FE001"/>
    <s v="NE 100015841"/>
    <n v="109284"/>
    <s v="Entregas - CN1791263308001"/>
    <m/>
    <s v="COCA"/>
    <n v="51010102"/>
    <s v="Costo de Ventas Coca"/>
    <m/>
    <n v="1384.71"/>
    <n v="-1384.71"/>
    <x v="1"/>
    <n v="816445.55"/>
    <s v="-1384.71"/>
    <s v="ancueva"/>
    <n v="0"/>
    <m/>
    <s v="COCA-ORELLANA"/>
    <m/>
    <m/>
    <m/>
  </r>
  <r>
    <x v="1"/>
    <x v="1"/>
    <d v="2022-11-25T00:00:00"/>
    <d v="2022-11-25T00:00:00"/>
    <s v="FE001"/>
    <s v="IM 100003427"/>
    <n v="109285"/>
    <s v="Traslados -"/>
    <m/>
    <m/>
    <n v="101060401"/>
    <s v="Inventario de prod. term. y mercad. en Bodega BULLSYPPLY  Quito"/>
    <n v="3312.37"/>
    <m/>
    <n v="3312.37"/>
    <x v="3"/>
    <n v="819757.92"/>
    <s v="3312.37"/>
    <s v="jcortiz"/>
    <n v="0"/>
    <m/>
    <m/>
    <m/>
    <m/>
    <m/>
  </r>
  <r>
    <x v="1"/>
    <x v="1"/>
    <d v="2022-11-25T00:00:00"/>
    <d v="2022-11-25T00:00:00"/>
    <s v="FE001"/>
    <s v="IM 100003428"/>
    <n v="109286"/>
    <s v="Traslados - CN1792079160001"/>
    <m/>
    <m/>
    <n v="101060401"/>
    <s v="Inventario de prod. term. y mercad. en Bodega BULLSYPPLY  Quito"/>
    <m/>
    <n v="40.25"/>
    <n v="-40.25"/>
    <x v="3"/>
    <n v="819717.67"/>
    <s v="-40.25"/>
    <s v="jcortiz"/>
    <n v="0"/>
    <m/>
    <m/>
    <m/>
    <m/>
    <m/>
  </r>
  <r>
    <x v="1"/>
    <x v="1"/>
    <d v="2022-11-25T00:00:00"/>
    <d v="2022-11-25T00:00:00"/>
    <s v="FE001"/>
    <s v="NE 100015842"/>
    <n v="109288"/>
    <s v="Entregas - CN1791263308001"/>
    <m/>
    <s v="COCA"/>
    <n v="51010102"/>
    <s v="Costo de Ventas Coca"/>
    <m/>
    <n v="27.23"/>
    <n v="-27.23"/>
    <x v="1"/>
    <n v="819690.44"/>
    <s v="-27.23"/>
    <s v="ancueva"/>
    <n v="0"/>
    <m/>
    <s v="COCA-ORELLANA"/>
    <m/>
    <m/>
    <m/>
  </r>
  <r>
    <x v="1"/>
    <x v="1"/>
    <d v="2022-11-25T00:00:00"/>
    <d v="2022-11-25T00:00:00"/>
    <s v="FE001"/>
    <s v="NE 100015843"/>
    <n v="109289"/>
    <s v="Entregas - CN1791263308001"/>
    <m/>
    <s v="COCA"/>
    <n v="51010102"/>
    <s v="Costo de Ventas Coca"/>
    <m/>
    <n v="24.9"/>
    <n v="-24.9"/>
    <x v="1"/>
    <n v="819665.54"/>
    <s v="-24.90"/>
    <s v="ancueva"/>
    <n v="0"/>
    <m/>
    <s v="COCA-ORELLANA"/>
    <m/>
    <m/>
    <m/>
  </r>
  <r>
    <x v="1"/>
    <x v="1"/>
    <d v="2022-11-25T00:00:00"/>
    <d v="2022-11-25T00:00:00"/>
    <s v="FE001"/>
    <s v="NE 100015846"/>
    <n v="109294"/>
    <s v="Entregas - CN1791804619001"/>
    <m/>
    <s v="COCA"/>
    <n v="51010102"/>
    <s v="Costo de Ventas Coca"/>
    <m/>
    <n v="33.21"/>
    <n v="-33.21"/>
    <x v="1"/>
    <n v="819632.33"/>
    <s v="-33.21"/>
    <s v="ancueva"/>
    <n v="0"/>
    <m/>
    <s v="COCA-ORELLANA"/>
    <m/>
    <m/>
    <m/>
  </r>
  <r>
    <x v="1"/>
    <x v="1"/>
    <d v="2022-11-25T00:00:00"/>
    <d v="2022-11-25T00:00:00"/>
    <s v="FE001"/>
    <s v="NE 100015848"/>
    <n v="109298"/>
    <s v="Entregas - CN1791263308001"/>
    <m/>
    <s v="COCA"/>
    <n v="51010102"/>
    <s v="Costo de Ventas Coca"/>
    <m/>
    <n v="30.61"/>
    <n v="-30.61"/>
    <x v="1"/>
    <n v="819601.72"/>
    <s v="-30.61"/>
    <s v="ancueva"/>
    <n v="0"/>
    <m/>
    <s v="COCA-ORELLANA"/>
    <m/>
    <m/>
    <m/>
  </r>
  <r>
    <x v="1"/>
    <x v="1"/>
    <d v="2022-11-25T00:00:00"/>
    <d v="2022-11-25T00:00:00"/>
    <s v="FE001"/>
    <s v="NE 100015852"/>
    <n v="109304"/>
    <s v="Entregas - CN1791263308001"/>
    <m/>
    <s v="COCA"/>
    <n v="51010102"/>
    <s v="Costo de Ventas Coca"/>
    <m/>
    <n v="1473.31"/>
    <n v="-1473.31"/>
    <x v="1"/>
    <n v="818128.41"/>
    <s v="-1473.31"/>
    <s v="ancueva"/>
    <n v="0"/>
    <m/>
    <s v="COCA-ORELLANA"/>
    <m/>
    <m/>
    <m/>
  </r>
  <r>
    <x v="1"/>
    <x v="1"/>
    <d v="2022-11-25T00:00:00"/>
    <d v="2022-11-25T00:00:00"/>
    <s v="FE001"/>
    <s v="NE 100015853"/>
    <n v="109305"/>
    <s v="Entregas - CN1793194217001"/>
    <m/>
    <s v="COCA"/>
    <n v="51010102"/>
    <s v="Costo de Ventas Coca"/>
    <m/>
    <n v="1302.42"/>
    <n v="-1302.42"/>
    <x v="1"/>
    <n v="816825.99"/>
    <s v="-1302.42"/>
    <s v="ancueva"/>
    <n v="0"/>
    <m/>
    <s v="COCA-ORELLANA"/>
    <m/>
    <m/>
    <m/>
  </r>
  <r>
    <x v="1"/>
    <x v="1"/>
    <d v="2022-11-25T00:00:00"/>
    <d v="2022-11-25T00:00:00"/>
    <s v="FE001"/>
    <s v="IM 100003429"/>
    <n v="109307"/>
    <s v="Traslados - CN1792079160001"/>
    <m/>
    <m/>
    <n v="101060401"/>
    <s v="Inventario de prod. term. y mercad. en Bodega BULLSYPPLY  Quito"/>
    <m/>
    <n v="74.98"/>
    <n v="-74.98"/>
    <x v="3"/>
    <n v="816751.01"/>
    <s v="-74.98"/>
    <s v="ancueva"/>
    <n v="0"/>
    <m/>
    <m/>
    <m/>
    <m/>
    <m/>
  </r>
  <r>
    <x v="1"/>
    <x v="1"/>
    <d v="2022-11-25T00:00:00"/>
    <d v="2022-11-25T00:00:00"/>
    <s v="FE001"/>
    <s v="NE 100015860"/>
    <n v="109322"/>
    <s v="Entregas - CN1791768205001"/>
    <m/>
    <s v="COCA"/>
    <n v="51010102"/>
    <s v="Costo de Ventas Coca"/>
    <m/>
    <n v="3117.71"/>
    <n v="-3117.71"/>
    <x v="1"/>
    <n v="813633.3"/>
    <s v="-3117.71"/>
    <s v="ancueva"/>
    <n v="0"/>
    <m/>
    <s v="COCA-ORELLANA"/>
    <m/>
    <m/>
    <m/>
  </r>
  <r>
    <x v="1"/>
    <x v="1"/>
    <d v="2022-11-25T00:00:00"/>
    <d v="2022-11-25T00:00:00"/>
    <s v="FE001"/>
    <s v="IM 100003430"/>
    <n v="109323"/>
    <s v="Traslados - CN1792079160001"/>
    <m/>
    <m/>
    <n v="101060401"/>
    <s v="Inventario de prod. term. y mercad. en Bodega BULLSYPPLY  Quito"/>
    <n v="2068.1799999999998"/>
    <m/>
    <n v="2068.1799999999998"/>
    <x v="3"/>
    <n v="815701.48"/>
    <s v="2068.18"/>
    <s v="jcortiz"/>
    <n v="0"/>
    <m/>
    <m/>
    <m/>
    <m/>
    <m/>
  </r>
  <r>
    <x v="1"/>
    <x v="1"/>
    <d v="2022-11-25T00:00:00"/>
    <d v="2022-11-25T00:00:00"/>
    <s v="FE001"/>
    <s v="IM 100003431"/>
    <n v="109324"/>
    <s v="Traslados - CN1792079160001"/>
    <m/>
    <m/>
    <n v="101060401"/>
    <s v="Inventario de prod. term. y mercad. en Bodega BULLSYPPLY  Quito"/>
    <n v="1.38"/>
    <m/>
    <n v="1.38"/>
    <x v="3"/>
    <n v="815702.86"/>
    <s v="1.38"/>
    <s v="jcortiz"/>
    <n v="0"/>
    <m/>
    <m/>
    <m/>
    <m/>
    <m/>
  </r>
  <r>
    <x v="1"/>
    <x v="1"/>
    <d v="2022-11-25T00:00:00"/>
    <d v="2022-11-25T00:00:00"/>
    <s v="FE001"/>
    <s v="IM 100003432"/>
    <n v="109327"/>
    <s v="Traslados - CN1792079160001"/>
    <m/>
    <m/>
    <n v="101060401"/>
    <s v="Inventario de prod. term. y mercad. en Bodega BULLSYPPLY  Quito"/>
    <n v="25"/>
    <m/>
    <n v="25"/>
    <x v="3"/>
    <n v="815727.86"/>
    <s v="25.00"/>
    <s v="jcortiz"/>
    <n v="0"/>
    <m/>
    <m/>
    <m/>
    <m/>
    <m/>
  </r>
  <r>
    <x v="1"/>
    <x v="1"/>
    <d v="2022-11-26T00:00:00"/>
    <d v="2022-11-26T00:00:00"/>
    <s v="FE001"/>
    <s v="NE 100015862"/>
    <n v="109328"/>
    <s v="Entregas - CN1791804619001"/>
    <m/>
    <s v="COCA"/>
    <n v="51010102"/>
    <s v="Costo de Ventas Coca"/>
    <m/>
    <n v="18.489999999999998"/>
    <n v="-18.489999999999998"/>
    <x v="1"/>
    <n v="815709.37"/>
    <s v="-18.49"/>
    <s v="ancueva"/>
    <n v="0"/>
    <m/>
    <s v="COCA-ORELLANA"/>
    <m/>
    <m/>
    <m/>
  </r>
  <r>
    <x v="1"/>
    <x v="1"/>
    <d v="2022-11-26T00:00:00"/>
    <d v="2022-11-26T00:00:00"/>
    <s v="FE001"/>
    <s v="NE 100015863"/>
    <n v="109329"/>
    <s v="Entregas - CN1791804619001"/>
    <m/>
    <s v="COCA"/>
    <n v="51010102"/>
    <s v="Costo de Ventas Coca"/>
    <m/>
    <n v="49.3"/>
    <n v="-49.3"/>
    <x v="1"/>
    <n v="815660.07"/>
    <s v="-49.30"/>
    <s v="ancueva"/>
    <n v="0"/>
    <m/>
    <s v="COCA-ORELLANA"/>
    <m/>
    <m/>
    <m/>
  </r>
  <r>
    <x v="1"/>
    <x v="1"/>
    <d v="2022-11-27T00:00:00"/>
    <d v="2022-11-27T00:00:00"/>
    <s v="FE001"/>
    <s v="NE 100015864"/>
    <n v="109330"/>
    <s v="Entregas - CN1792064082001"/>
    <m/>
    <s v="COCA"/>
    <n v="51010102"/>
    <s v="Costo de Ventas Coca"/>
    <m/>
    <n v="701.6"/>
    <n v="-701.6"/>
    <x v="1"/>
    <n v="814958.47"/>
    <s v="-701.60"/>
    <s v="ancueva"/>
    <n v="0"/>
    <m/>
    <s v="COCA-ORELLANA"/>
    <m/>
    <m/>
    <m/>
  </r>
  <r>
    <x v="1"/>
    <x v="1"/>
    <d v="2022-11-27T00:00:00"/>
    <d v="2022-11-27T00:00:00"/>
    <s v="FE001"/>
    <s v="NE 100015865"/>
    <n v="109331"/>
    <s v="Entregas - CN1792064082001"/>
    <m/>
    <s v="COCA"/>
    <n v="51010102"/>
    <s v="Costo de Ventas Coca"/>
    <m/>
    <n v="1091.74"/>
    <n v="-1091.74"/>
    <x v="1"/>
    <n v="813866.73"/>
    <s v="-1091.74"/>
    <s v="ancueva"/>
    <n v="0"/>
    <m/>
    <s v="COCA-ORELLANA"/>
    <m/>
    <m/>
    <m/>
  </r>
  <r>
    <x v="1"/>
    <x v="1"/>
    <d v="2022-11-28T00:00:00"/>
    <d v="2022-11-28T00:00:00"/>
    <s v="FE001"/>
    <s v="NE 100015868"/>
    <n v="109343"/>
    <s v="Entregas - CN2200035166001"/>
    <m/>
    <s v="COCA"/>
    <n v="51010102"/>
    <s v="Costo de Ventas Coca"/>
    <m/>
    <n v="19.54"/>
    <n v="-19.54"/>
    <x v="1"/>
    <n v="813847.19"/>
    <s v="-19.54"/>
    <s v="ancueva"/>
    <n v="0"/>
    <m/>
    <s v="COCA-ORELLANA"/>
    <m/>
    <m/>
    <m/>
  </r>
  <r>
    <x v="1"/>
    <x v="1"/>
    <d v="2022-11-28T00:00:00"/>
    <d v="2022-11-28T00:00:00"/>
    <s v="FE001"/>
    <s v="NE 100015871"/>
    <n v="109372"/>
    <s v="Entregas - CN1801610476001"/>
    <m/>
    <s v="COCA"/>
    <n v="51010102"/>
    <s v="Costo de Ventas Coca"/>
    <m/>
    <n v="53.7"/>
    <n v="-53.7"/>
    <x v="1"/>
    <n v="813793.49"/>
    <s v="-53.70"/>
    <s v="ancueva"/>
    <n v="0"/>
    <m/>
    <s v="COCA-ORELLANA"/>
    <m/>
    <m/>
    <m/>
  </r>
  <r>
    <x v="1"/>
    <x v="1"/>
    <d v="2022-11-28T00:00:00"/>
    <d v="2022-11-28T00:00:00"/>
    <s v="FE001"/>
    <s v="NE 100015871"/>
    <n v="109372"/>
    <s v="Entregas - CN1801610476001"/>
    <m/>
    <s v="COCA"/>
    <n v="51010102"/>
    <s v="Costo de Ventas Coca"/>
    <m/>
    <n v="94.89"/>
    <n v="-94.89"/>
    <x v="1"/>
    <n v="813698.6"/>
    <s v="-94.89"/>
    <s v="ancueva"/>
    <n v="0"/>
    <m/>
    <s v="COCA-ORELLANA"/>
    <m/>
    <m/>
    <m/>
  </r>
  <r>
    <x v="1"/>
    <x v="1"/>
    <d v="2022-11-28T00:00:00"/>
    <d v="2022-11-28T00:00:00"/>
    <s v="FE001"/>
    <s v="NE 100015872"/>
    <n v="109373"/>
    <s v="Entregas - CN1801610476001"/>
    <m/>
    <s v="COCA"/>
    <n v="51010102"/>
    <s v="Costo de Ventas Coca"/>
    <m/>
    <n v="6.71"/>
    <n v="-6.71"/>
    <x v="1"/>
    <n v="813691.89"/>
    <s v="-6.71"/>
    <s v="ancueva"/>
    <n v="0"/>
    <m/>
    <s v="COCA-ORELLANA"/>
    <m/>
    <m/>
    <m/>
  </r>
  <r>
    <x v="1"/>
    <x v="1"/>
    <d v="2022-11-28T00:00:00"/>
    <d v="2022-11-28T00:00:00"/>
    <s v="FE001"/>
    <s v="NE 100015872"/>
    <n v="109373"/>
    <s v="Entregas - CN1801610476001"/>
    <m/>
    <s v="COCA"/>
    <n v="51010102"/>
    <s v="Costo de Ventas Coca"/>
    <m/>
    <n v="43.47"/>
    <n v="-43.47"/>
    <x v="1"/>
    <n v="813648.42"/>
    <s v="-43.47"/>
    <s v="ancueva"/>
    <n v="0"/>
    <m/>
    <s v="COCA-ORELLANA"/>
    <m/>
    <m/>
    <m/>
  </r>
  <r>
    <x v="1"/>
    <x v="1"/>
    <d v="2022-11-28T00:00:00"/>
    <d v="2022-11-28T00:00:00"/>
    <s v="FE001"/>
    <s v="IM 100003433"/>
    <n v="109376"/>
    <s v="Traslados - CN1792079160001"/>
    <m/>
    <m/>
    <n v="101060401"/>
    <s v="Inventario de prod. term. y mercad. en Bodega BULLSYPPLY  Quito"/>
    <n v="7.68"/>
    <m/>
    <n v="7.68"/>
    <x v="3"/>
    <n v="813656.1"/>
    <s v="7.68"/>
    <s v="jcortiz"/>
    <n v="0"/>
    <m/>
    <m/>
    <m/>
    <m/>
    <m/>
  </r>
  <r>
    <x v="1"/>
    <x v="1"/>
    <d v="2022-11-28T00:00:00"/>
    <d v="2022-11-28T00:00:00"/>
    <s v="FE001"/>
    <s v="NE 100015873"/>
    <n v="109378"/>
    <s v="Entregas - CN1792874939001"/>
    <m/>
    <s v="COCA"/>
    <n v="51010102"/>
    <s v="Costo de Ventas Coca"/>
    <m/>
    <n v="74.98"/>
    <n v="-74.98"/>
    <x v="1"/>
    <n v="813581.12"/>
    <s v="-74.98"/>
    <s v="jcortiz"/>
    <n v="0"/>
    <m/>
    <s v="COCA-ORELLANA"/>
    <m/>
    <m/>
    <m/>
  </r>
  <r>
    <x v="1"/>
    <x v="1"/>
    <d v="2022-11-28T00:00:00"/>
    <d v="2022-11-28T00:00:00"/>
    <s v="FE001"/>
    <s v="NE 100015874"/>
    <n v="109379"/>
    <s v="Entrega - Cancelación - CN1792874939001"/>
    <m/>
    <s v="COCA"/>
    <n v="51010102"/>
    <s v="Costo de Ventas Coca"/>
    <n v="74.98"/>
    <m/>
    <n v="74.98"/>
    <x v="1"/>
    <n v="813656.1"/>
    <s v="74.98"/>
    <s v="jcortiz"/>
    <n v="0"/>
    <m/>
    <s v="COCA-ORELLANA"/>
    <m/>
    <m/>
    <m/>
  </r>
  <r>
    <x v="1"/>
    <x v="1"/>
    <d v="2022-11-28T00:00:00"/>
    <d v="2022-11-28T00:00:00"/>
    <s v="FE001"/>
    <s v="NE 100015876"/>
    <n v="109400"/>
    <s v="Entregas - CN1792198747001"/>
    <m/>
    <s v="COCA"/>
    <n v="51010102"/>
    <s v="Costo de Ventas Coca"/>
    <m/>
    <n v="326.68"/>
    <n v="-326.68"/>
    <x v="1"/>
    <n v="813329.42"/>
    <s v="-326.68"/>
    <s v="ancueva"/>
    <n v="0"/>
    <m/>
    <s v="COCA-ORELLANA"/>
    <m/>
    <m/>
    <m/>
  </r>
  <r>
    <x v="1"/>
    <x v="1"/>
    <d v="2022-11-28T00:00:00"/>
    <d v="2022-11-28T00:00:00"/>
    <s v="FE001"/>
    <s v="IM 100003434"/>
    <n v="109408"/>
    <s v="Traslados - CN1792079160001"/>
    <m/>
    <m/>
    <n v="101060401"/>
    <s v="Inventario de prod. term. y mercad. en Bodega BULLSYPPLY  Quito"/>
    <n v="13.8"/>
    <m/>
    <n v="13.8"/>
    <x v="3"/>
    <n v="813343.22"/>
    <s v="13.80"/>
    <s v="jcortiz"/>
    <n v="0"/>
    <m/>
    <m/>
    <m/>
    <m/>
    <m/>
  </r>
  <r>
    <x v="1"/>
    <x v="1"/>
    <d v="2022-11-28T00:00:00"/>
    <d v="2022-11-28T00:00:00"/>
    <s v="FE001"/>
    <s v="IM 100003435"/>
    <n v="109415"/>
    <s v="Traslados - CN1792079160001"/>
    <m/>
    <m/>
    <n v="101060401"/>
    <s v="Inventario de prod. term. y mercad. en Bodega BULLSYPPLY  Quito"/>
    <n v="9.15"/>
    <m/>
    <n v="9.15"/>
    <x v="3"/>
    <n v="813352.37"/>
    <s v="9.15"/>
    <s v="jcortiz"/>
    <n v="0"/>
    <m/>
    <m/>
    <m/>
    <m/>
    <m/>
  </r>
  <r>
    <x v="1"/>
    <x v="1"/>
    <d v="2022-11-28T00:00:00"/>
    <d v="2022-11-28T00:00:00"/>
    <s v="FE001"/>
    <s v="IM 100003436"/>
    <n v="109423"/>
    <s v="Traslados - CN1792079160001"/>
    <m/>
    <m/>
    <n v="101060401"/>
    <s v="Inventario de prod. term. y mercad. en Bodega BULLSYPPLY  Quito"/>
    <m/>
    <n v="54.28"/>
    <n v="-54.28"/>
    <x v="3"/>
    <n v="813298.09"/>
    <s v="-54.28"/>
    <s v="ancueva"/>
    <n v="0"/>
    <m/>
    <m/>
    <m/>
    <m/>
    <m/>
  </r>
  <r>
    <x v="1"/>
    <x v="1"/>
    <d v="2022-11-28T00:00:00"/>
    <d v="2022-11-28T00:00:00"/>
    <s v="FE001"/>
    <s v="NE 100015880"/>
    <n v="109426"/>
    <s v="Entregas - CN1716004005001"/>
    <m/>
    <s v="COCA"/>
    <n v="51010102"/>
    <s v="Costo de Ventas Coca"/>
    <m/>
    <n v="28.38"/>
    <n v="-28.38"/>
    <x v="1"/>
    <n v="813269.71"/>
    <s v="-28.38"/>
    <s v="ancueva"/>
    <n v="0"/>
    <m/>
    <s v="COCA-ORELLANA"/>
    <m/>
    <m/>
    <m/>
  </r>
  <r>
    <x v="1"/>
    <x v="1"/>
    <d v="2022-11-28T00:00:00"/>
    <d v="2022-11-28T00:00:00"/>
    <s v="FE001"/>
    <s v="IM 100003437"/>
    <n v="109439"/>
    <s v="Traslados - CN1792079160001"/>
    <m/>
    <m/>
    <n v="101060401"/>
    <s v="Inventario de prod. term. y mercad. en Bodega BULLSYPPLY  Quito"/>
    <n v="2743.98"/>
    <m/>
    <n v="2743.98"/>
    <x v="3"/>
    <n v="816013.69"/>
    <s v="2743.98"/>
    <s v="jcortiz"/>
    <n v="0"/>
    <m/>
    <m/>
    <m/>
    <m/>
    <m/>
  </r>
  <r>
    <x v="1"/>
    <x v="1"/>
    <d v="2022-11-29T00:00:00"/>
    <d v="2022-11-29T00:00:00"/>
    <s v="FE001"/>
    <s v="NE 100015883"/>
    <n v="109451"/>
    <s v="Entregas - CN1792064082001"/>
    <m/>
    <s v="COCA"/>
    <n v="51010102"/>
    <s v="Costo de Ventas Coca"/>
    <m/>
    <n v="2743.98"/>
    <n v="-2743.98"/>
    <x v="1"/>
    <n v="813269.71"/>
    <s v="-2743.98"/>
    <s v="ancueva"/>
    <n v="0"/>
    <m/>
    <s v="COCA-ORELLANA"/>
    <m/>
    <m/>
    <m/>
  </r>
  <r>
    <x v="1"/>
    <x v="1"/>
    <d v="2022-11-29T00:00:00"/>
    <d v="2022-11-29T00:00:00"/>
    <s v="FE001"/>
    <s v="NE 100015884"/>
    <n v="109455"/>
    <s v="Entregas - CN1791804619001"/>
    <m/>
    <s v="COCA"/>
    <n v="51010102"/>
    <s v="Costo de Ventas Coca"/>
    <m/>
    <n v="9.15"/>
    <n v="-9.15"/>
    <x v="1"/>
    <n v="813260.56"/>
    <s v="-9.15"/>
    <s v="ancueva"/>
    <n v="0"/>
    <m/>
    <s v="COCA-ORELLANA"/>
    <m/>
    <m/>
    <m/>
  </r>
  <r>
    <x v="1"/>
    <x v="1"/>
    <d v="2022-11-29T00:00:00"/>
    <d v="2022-11-29T00:00:00"/>
    <s v="FE001"/>
    <s v="NE 100015889"/>
    <n v="109475"/>
    <s v="Entregas - CN1791263308001"/>
    <m/>
    <s v="COCA"/>
    <n v="51010102"/>
    <s v="Costo de Ventas Coca"/>
    <m/>
    <n v="962.07"/>
    <n v="-962.07"/>
    <x v="1"/>
    <n v="812298.49"/>
    <s v="-962.07"/>
    <s v="ancueva"/>
    <n v="0"/>
    <m/>
    <s v="COCA-ORELLANA"/>
    <m/>
    <m/>
    <m/>
  </r>
  <r>
    <x v="1"/>
    <x v="1"/>
    <d v="2022-11-29T00:00:00"/>
    <d v="2022-11-29T00:00:00"/>
    <s v="FE001"/>
    <s v="NE 100015890"/>
    <n v="109477"/>
    <s v="Entrega - Cancelación - CN1791263308001"/>
    <m/>
    <s v="COCA"/>
    <n v="51010102"/>
    <s v="Costo de Ventas Coca"/>
    <n v="962.07"/>
    <m/>
    <n v="962.07"/>
    <x v="1"/>
    <n v="813260.56"/>
    <s v="962.07"/>
    <s v="ancueva"/>
    <n v="0"/>
    <m/>
    <s v="COCA-ORELLANA"/>
    <m/>
    <m/>
    <m/>
  </r>
  <r>
    <x v="1"/>
    <x v="1"/>
    <d v="2022-11-29T00:00:00"/>
    <d v="2022-11-29T00:00:00"/>
    <s v="FE001"/>
    <s v="NE 100015891"/>
    <n v="109480"/>
    <s v="Entregas - CN1791263308001"/>
    <m/>
    <s v="COCA"/>
    <n v="51010102"/>
    <s v="Costo de Ventas Coca"/>
    <m/>
    <n v="428.25"/>
    <n v="-428.25"/>
    <x v="1"/>
    <n v="812832.31"/>
    <s v="-428.25"/>
    <s v="ancueva"/>
    <n v="0"/>
    <m/>
    <s v="COCA-ORELLANA"/>
    <m/>
    <m/>
    <m/>
  </r>
  <r>
    <x v="1"/>
    <x v="1"/>
    <d v="2022-11-29T00:00:00"/>
    <d v="2022-11-29T00:00:00"/>
    <s v="FE001"/>
    <s v="NE 100015892"/>
    <n v="109482"/>
    <s v="Entregas - CN1791263308001"/>
    <m/>
    <s v="COCA"/>
    <n v="51010102"/>
    <s v="Costo de Ventas Coca"/>
    <m/>
    <n v="8473.67"/>
    <n v="-8473.67"/>
    <x v="1"/>
    <n v="804358.64"/>
    <s v="-8473.67"/>
    <s v="ancueva"/>
    <n v="0"/>
    <m/>
    <s v="COCA-ORELLANA"/>
    <m/>
    <m/>
    <m/>
  </r>
  <r>
    <x v="1"/>
    <x v="1"/>
    <d v="2022-11-29T00:00:00"/>
    <d v="2022-11-29T00:00:00"/>
    <s v="FE001"/>
    <s v="IM 100003438"/>
    <n v="109496"/>
    <s v="Traslados - CN1792079160001"/>
    <m/>
    <m/>
    <n v="101060401"/>
    <s v="Inventario de prod. term. y mercad. en Bodega BULLSYPPLY  Quito"/>
    <n v="3117.72"/>
    <m/>
    <n v="3117.72"/>
    <x v="3"/>
    <n v="807476.36"/>
    <s v="3117.72"/>
    <s v="jcortiz"/>
    <n v="0"/>
    <m/>
    <m/>
    <m/>
    <m/>
    <m/>
  </r>
  <r>
    <x v="1"/>
    <x v="1"/>
    <d v="2022-11-29T00:00:00"/>
    <d v="2022-11-29T00:00:00"/>
    <s v="FE001"/>
    <s v="NE 100015895"/>
    <n v="109504"/>
    <s v="Entregas - CN1791263308001"/>
    <m/>
    <s v="COCA"/>
    <n v="51010102"/>
    <s v="Costo de Ventas Coca"/>
    <m/>
    <n v="246.93"/>
    <n v="-246.93"/>
    <x v="1"/>
    <n v="807229.43"/>
    <s v="-246.93"/>
    <s v="ancueva"/>
    <n v="0"/>
    <m/>
    <s v="COCA-ORELLANA"/>
    <m/>
    <m/>
    <m/>
  </r>
  <r>
    <x v="1"/>
    <x v="1"/>
    <d v="2022-11-29T00:00:00"/>
    <d v="2022-11-29T00:00:00"/>
    <s v="FE001"/>
    <s v="IM 100003439"/>
    <n v="109506"/>
    <s v="Traslados - CN1792079160001"/>
    <m/>
    <m/>
    <n v="101060401"/>
    <s v="Inventario de prod. term. y mercad. en Bodega BULLSYPPLY  Quito"/>
    <m/>
    <n v="457.58"/>
    <n v="-457.58"/>
    <x v="3"/>
    <n v="806771.85"/>
    <s v="-457.58"/>
    <s v="ancueva"/>
    <n v="0"/>
    <m/>
    <m/>
    <m/>
    <m/>
    <m/>
  </r>
  <r>
    <x v="1"/>
    <x v="1"/>
    <d v="2022-11-29T00:00:00"/>
    <d v="2022-11-29T00:00:00"/>
    <s v="FE001"/>
    <s v="NE 100015903"/>
    <n v="109519"/>
    <s v="Entregas - CN1792198747001"/>
    <m/>
    <s v="COCA"/>
    <n v="51010102"/>
    <s v="Costo de Ventas Coca"/>
    <m/>
    <n v="200.87"/>
    <n v="-200.87"/>
    <x v="1"/>
    <n v="806570.98"/>
    <s v="-200.87"/>
    <s v="ancueva"/>
    <n v="0"/>
    <m/>
    <s v="COCA-ORELLANA"/>
    <m/>
    <m/>
    <m/>
  </r>
  <r>
    <x v="1"/>
    <x v="1"/>
    <d v="2022-11-29T00:00:00"/>
    <d v="2022-11-29T00:00:00"/>
    <s v="FE001"/>
    <s v="NE 100015904"/>
    <n v="109520"/>
    <s v="Entregas - CN1792198747001"/>
    <m/>
    <s v="COCA"/>
    <n v="51010102"/>
    <s v="Costo de Ventas Coca"/>
    <m/>
    <n v="229.18"/>
    <n v="-229.18"/>
    <x v="1"/>
    <n v="806341.8"/>
    <s v="-229.18"/>
    <s v="ancueva"/>
    <n v="0"/>
    <m/>
    <s v="COCA-ORELLANA"/>
    <m/>
    <m/>
    <m/>
  </r>
  <r>
    <x v="1"/>
    <x v="1"/>
    <d v="2022-11-29T00:00:00"/>
    <d v="2022-11-29T00:00:00"/>
    <s v="FE001"/>
    <s v="NE 100015905"/>
    <n v="109526"/>
    <s v="Entregas - CN1791263308001"/>
    <m/>
    <s v="COCA"/>
    <n v="51010102"/>
    <s v="Costo de Ventas Coca"/>
    <m/>
    <n v="2466.54"/>
    <n v="-2466.54"/>
    <x v="1"/>
    <n v="803875.26"/>
    <s v="-2466.54"/>
    <s v="ancueva"/>
    <n v="0"/>
    <m/>
    <s v="COCA-ORELLANA"/>
    <m/>
    <m/>
    <m/>
  </r>
  <r>
    <x v="1"/>
    <x v="1"/>
    <d v="2022-11-30T00:00:00"/>
    <d v="2022-11-30T00:00:00"/>
    <s v="FE001"/>
    <s v="NE 100015906"/>
    <n v="109528"/>
    <s v="Entregas - CN1792371694001"/>
    <m/>
    <s v="COCA"/>
    <n v="51010102"/>
    <s v="Costo de Ventas Coca"/>
    <m/>
    <n v="32397.759999999998"/>
    <n v="-32397.759999999998"/>
    <x v="1"/>
    <n v="771477.5"/>
    <s v="-32397.76"/>
    <s v="ancueva"/>
    <n v="0"/>
    <m/>
    <s v="COCA-ORELLANA"/>
    <m/>
    <m/>
    <m/>
  </r>
  <r>
    <x v="1"/>
    <x v="1"/>
    <d v="2022-11-30T00:00:00"/>
    <d v="2022-11-30T00:00:00"/>
    <s v="FE001"/>
    <s v="NE 100015907"/>
    <n v="109529"/>
    <s v="Entregas - CN1792064082001"/>
    <m/>
    <s v="COCA"/>
    <n v="51010102"/>
    <s v="Costo de Ventas Coca"/>
    <m/>
    <n v="3117.72"/>
    <n v="-3117.72"/>
    <x v="1"/>
    <n v="768359.78"/>
    <s v="-3117.72"/>
    <s v="ancueva"/>
    <n v="0"/>
    <m/>
    <s v="COCA-ORELLANA"/>
    <m/>
    <m/>
    <m/>
  </r>
  <r>
    <x v="1"/>
    <x v="1"/>
    <d v="2022-11-30T00:00:00"/>
    <d v="2022-11-30T00:00:00"/>
    <s v="FE001"/>
    <s v="NE 100015908"/>
    <n v="109530"/>
    <s v="Entregas - CN1791263308001"/>
    <m/>
    <s v="COCA"/>
    <n v="51010102"/>
    <s v="Costo de Ventas Coca"/>
    <m/>
    <n v="90.3"/>
    <n v="-90.3"/>
    <x v="1"/>
    <n v="768269.48"/>
    <s v="-90.30"/>
    <s v="ancueva"/>
    <n v="0"/>
    <m/>
    <s v="COCA-ORELLANA"/>
    <m/>
    <m/>
    <m/>
  </r>
  <r>
    <x v="1"/>
    <x v="1"/>
    <d v="2022-11-30T00:00:00"/>
    <d v="2022-11-30T00:00:00"/>
    <s v="FE001"/>
    <s v="NE 100015909"/>
    <n v="109531"/>
    <s v="Entregas - CN1791263308001"/>
    <m/>
    <s v="COCA"/>
    <n v="51010102"/>
    <s v="Costo de Ventas Coca"/>
    <m/>
    <n v="1.3"/>
    <n v="-1.3"/>
    <x v="1"/>
    <n v="768268.18"/>
    <s v="-1.30"/>
    <s v="ancueva"/>
    <n v="0"/>
    <m/>
    <s v="COCA-ORELLANA"/>
    <m/>
    <m/>
    <m/>
  </r>
  <r>
    <x v="1"/>
    <x v="1"/>
    <d v="2022-11-30T00:00:00"/>
    <d v="2022-11-30T00:00:00"/>
    <s v="FE001"/>
    <s v="NE 100015918"/>
    <n v="109544"/>
    <s v="Entregas - CN1715188270001"/>
    <m/>
    <s v="COCA"/>
    <n v="51010102"/>
    <s v="Costo de Ventas Coca"/>
    <m/>
    <n v="224.62"/>
    <n v="-224.62"/>
    <x v="1"/>
    <n v="768043.56"/>
    <s v="-224.62"/>
    <s v="ancueva"/>
    <n v="0"/>
    <m/>
    <s v="COCA-ORELLANA"/>
    <m/>
    <m/>
    <m/>
  </r>
  <r>
    <x v="1"/>
    <x v="1"/>
    <d v="2022-11-30T00:00:00"/>
    <d v="2022-11-30T00:00:00"/>
    <s v="FE001"/>
    <s v="NE 100015919"/>
    <n v="109545"/>
    <s v="Entregas - CN9999999999"/>
    <m/>
    <s v="COCA"/>
    <n v="51010102"/>
    <s v="Costo de Ventas Coca"/>
    <m/>
    <n v="4.91"/>
    <n v="-4.91"/>
    <x v="1"/>
    <n v="768038.65"/>
    <s v="-4.91"/>
    <s v="ancueva"/>
    <n v="0"/>
    <m/>
    <s v="COCA-ORELLANA"/>
    <m/>
    <m/>
    <m/>
  </r>
  <r>
    <x v="1"/>
    <x v="1"/>
    <d v="2022-11-30T00:00:00"/>
    <d v="2022-11-30T00:00:00"/>
    <s v="FE001"/>
    <s v="NE 100016107"/>
    <n v="110428"/>
    <s v="Entrega - Cancelación - CN1715188270001"/>
    <m/>
    <s v="COCA"/>
    <n v="51010102"/>
    <s v="Costo de Ventas Coca"/>
    <n v="224.62"/>
    <m/>
    <n v="224.62"/>
    <x v="1"/>
    <n v="768263.27"/>
    <s v="224.62"/>
    <s v="jcortiz"/>
    <n v="0"/>
    <m/>
    <s v="COCA-ORELLANA"/>
    <m/>
    <m/>
    <m/>
  </r>
  <r>
    <x v="1"/>
    <x v="1"/>
    <d v="2022-12-01T00:00:00"/>
    <d v="2022-12-01T00:00:00"/>
    <s v="FE001"/>
    <s v="NE 100015930"/>
    <n v="109573"/>
    <s v="Entregas - CN1792371694001"/>
    <m/>
    <s v="COCA"/>
    <n v="51010102"/>
    <s v="Costo de Ventas Coca"/>
    <m/>
    <n v="1356.81"/>
    <n v="-1356.81"/>
    <x v="1"/>
    <n v="766906.46"/>
    <s v="-1356.81"/>
    <s v="ancueva"/>
    <n v="0"/>
    <m/>
    <s v="COCA-ORELLANA"/>
    <m/>
    <m/>
    <m/>
  </r>
  <r>
    <x v="1"/>
    <x v="1"/>
    <d v="2022-12-01T00:00:00"/>
    <d v="2022-12-01T00:00:00"/>
    <s v="FE001"/>
    <s v="NE 100015930"/>
    <n v="109573"/>
    <s v="Entregas - CN1792371694001"/>
    <m/>
    <s v="COCA"/>
    <n v="51010102"/>
    <s v="Costo de Ventas Coca"/>
    <m/>
    <n v="30.23"/>
    <n v="-30.23"/>
    <x v="1"/>
    <n v="766876.23"/>
    <s v="-30.23"/>
    <s v="ancueva"/>
    <n v="0"/>
    <m/>
    <s v="COCA-ORELLANA"/>
    <m/>
    <m/>
    <m/>
  </r>
  <r>
    <x v="1"/>
    <x v="1"/>
    <d v="2022-12-01T00:00:00"/>
    <d v="2022-12-01T00:00:00"/>
    <s v="FE001"/>
    <s v="RC 100000678"/>
    <n v="109575"/>
    <s v="Notas de crédito clientes - CN1792514541001"/>
    <m/>
    <s v="COCA"/>
    <s v="CN1792514541001"/>
    <s v="SERVICIOS INTEGRADOS PAÑATURI S.A."/>
    <n v="503.83"/>
    <m/>
    <n v="503.83"/>
    <x v="4"/>
    <n v="767380.06"/>
    <s v="503.83"/>
    <s v="gcali"/>
    <n v="0"/>
    <m/>
    <s v="COCA-ORELLANA"/>
    <m/>
    <m/>
    <m/>
  </r>
  <r>
    <x v="1"/>
    <x v="1"/>
    <d v="2022-12-01T00:00:00"/>
    <d v="2022-12-01T00:00:00"/>
    <s v="FE001"/>
    <s v="NE 100015931"/>
    <n v="109578"/>
    <s v="Entregas - CN1792514541001"/>
    <m/>
    <s v="COCA"/>
    <n v="51010102"/>
    <s v="Costo de Ventas Coca"/>
    <m/>
    <n v="421.06"/>
    <n v="-421.06"/>
    <x v="1"/>
    <n v="766959"/>
    <s v="-421.06"/>
    <s v="jcortiz"/>
    <n v="0"/>
    <m/>
    <s v="COCA-ORELLANA"/>
    <m/>
    <m/>
    <m/>
  </r>
  <r>
    <x v="1"/>
    <x v="1"/>
    <d v="2022-12-01T00:00:00"/>
    <d v="2022-12-01T00:00:00"/>
    <s v="FE001"/>
    <s v="NE 100015932"/>
    <n v="109579"/>
    <s v="Entregas - CN1792514541001"/>
    <m/>
    <s v="COCA"/>
    <n v="51010102"/>
    <s v="Costo de Ventas Coca"/>
    <m/>
    <n v="42.4"/>
    <n v="-42.4"/>
    <x v="1"/>
    <n v="766916.6"/>
    <s v="-42.40"/>
    <s v="jcortiz"/>
    <n v="0"/>
    <m/>
    <s v="COCA-ORELLANA"/>
    <m/>
    <m/>
    <m/>
  </r>
  <r>
    <x v="1"/>
    <x v="1"/>
    <d v="2022-12-01T00:00:00"/>
    <d v="2022-12-01T00:00:00"/>
    <s v="FE001"/>
    <s v="NE 100015932"/>
    <n v="109579"/>
    <s v="Entregas - CN1792514541001"/>
    <m/>
    <s v="COCA"/>
    <n v="51010102"/>
    <s v="Costo de Ventas Coca"/>
    <m/>
    <n v="82.77"/>
    <n v="-82.77"/>
    <x v="1"/>
    <n v="766833.83"/>
    <s v="-82.77"/>
    <s v="jcortiz"/>
    <n v="0"/>
    <m/>
    <s v="COCA-ORELLANA"/>
    <m/>
    <m/>
    <m/>
  </r>
  <r>
    <x v="1"/>
    <x v="1"/>
    <d v="2022-12-01T00:00:00"/>
    <d v="2022-12-01T00:00:00"/>
    <s v="FE001"/>
    <s v="NE 100015935"/>
    <n v="109590"/>
    <s v="Entregas - CN1791263308001"/>
    <m/>
    <s v="COCA"/>
    <n v="51010102"/>
    <s v="Costo de Ventas Coca"/>
    <m/>
    <n v="38.36"/>
    <n v="-38.36"/>
    <x v="1"/>
    <n v="766795.47"/>
    <s v="-38.36"/>
    <s v="ancueva"/>
    <n v="0"/>
    <m/>
    <s v="COCA-ORELLANA"/>
    <m/>
    <m/>
    <m/>
  </r>
  <r>
    <x v="1"/>
    <x v="1"/>
    <d v="2022-12-01T00:00:00"/>
    <d v="2022-12-01T00:00:00"/>
    <s v="FE001"/>
    <s v="NE 100015936"/>
    <n v="109592"/>
    <s v="Entregas - CN1791263308001"/>
    <m/>
    <s v="COCA"/>
    <n v="51010102"/>
    <s v="Costo de Ventas Coca"/>
    <m/>
    <n v="761.89"/>
    <n v="-761.89"/>
    <x v="1"/>
    <n v="766033.58"/>
    <s v="-761.89"/>
    <s v="ancueva"/>
    <n v="0"/>
    <m/>
    <s v="COCA-ORELLANA"/>
    <m/>
    <m/>
    <m/>
  </r>
  <r>
    <x v="1"/>
    <x v="1"/>
    <d v="2022-12-01T00:00:00"/>
    <d v="2022-12-01T00:00:00"/>
    <s v="FE001"/>
    <s v="IM 100003441"/>
    <n v="109607"/>
    <s v="Traslados - CN1792079160001"/>
    <m/>
    <m/>
    <n v="101060401"/>
    <s v="Inventario de prod. term. y mercad. en Bodega BULLSYPPLY  Quito"/>
    <n v="330.92"/>
    <m/>
    <n v="330.92"/>
    <x v="3"/>
    <n v="766364.5"/>
    <s v="330.92"/>
    <s v="jcortiz"/>
    <n v="0"/>
    <m/>
    <m/>
    <m/>
    <m/>
    <m/>
  </r>
  <r>
    <x v="1"/>
    <x v="1"/>
    <d v="2022-12-01T00:00:00"/>
    <d v="2022-12-01T00:00:00"/>
    <s v="FE001"/>
    <s v="NE 100015938"/>
    <n v="109608"/>
    <s v="Entregas - CN2200029425001"/>
    <m/>
    <s v="COCA"/>
    <n v="51010102"/>
    <s v="Costo de Ventas Coca"/>
    <m/>
    <n v="330.92"/>
    <n v="-330.92"/>
    <x v="1"/>
    <n v="766033.58"/>
    <s v="-330.92"/>
    <s v="ancueva"/>
    <n v="0"/>
    <m/>
    <s v="COCA-ORELLANA"/>
    <m/>
    <m/>
    <m/>
  </r>
  <r>
    <x v="1"/>
    <x v="1"/>
    <d v="2022-12-01T00:00:00"/>
    <d v="2022-12-01T00:00:00"/>
    <s v="FE001"/>
    <s v="IM 100003443"/>
    <n v="109619"/>
    <s v="Traslados - CN1792079160001"/>
    <m/>
    <m/>
    <n v="101060401"/>
    <s v="Inventario de prod. term. y mercad. en Bodega BULLSYPPLY  Quito"/>
    <n v="284196.21000000002"/>
    <m/>
    <n v="284196.21000000002"/>
    <x v="3"/>
    <n v="1050229.79"/>
    <s v="284196.21"/>
    <s v="jcortiz"/>
    <n v="0"/>
    <m/>
    <m/>
    <m/>
    <m/>
    <m/>
  </r>
  <r>
    <x v="1"/>
    <x v="1"/>
    <d v="2022-12-01T00:00:00"/>
    <d v="2022-12-01T00:00:00"/>
    <s v="FE001"/>
    <s v="IM 100003444"/>
    <n v="109620"/>
    <s v="Traslados -"/>
    <m/>
    <m/>
    <n v="101060401"/>
    <s v="Inventario de prod. term. y mercad. en Bodega BULLSYPPLY  Quito"/>
    <m/>
    <n v="283426.08"/>
    <n v="-283426.08"/>
    <x v="3"/>
    <n v="766803.71"/>
    <s v="-283426.08"/>
    <s v="jcortiz"/>
    <n v="0"/>
    <m/>
    <m/>
    <m/>
    <m/>
    <m/>
  </r>
  <r>
    <x v="1"/>
    <x v="1"/>
    <d v="2022-12-01T00:00:00"/>
    <d v="2022-12-01T00:00:00"/>
    <s v="FE001"/>
    <s v="IM 100003445"/>
    <n v="109625"/>
    <s v="Traslados - CN1792079160001"/>
    <m/>
    <m/>
    <n v="101060401"/>
    <s v="Inventario de prod. term. y mercad. en Bodega BULLSYPPLY  Quito"/>
    <n v="218.35"/>
    <m/>
    <n v="218.35"/>
    <x v="3"/>
    <n v="767022.06"/>
    <s v="218.35"/>
    <s v="jcortiz"/>
    <n v="0"/>
    <m/>
    <m/>
    <m/>
    <m/>
    <m/>
  </r>
  <r>
    <x v="1"/>
    <x v="1"/>
    <d v="2022-12-02T00:00:00"/>
    <d v="2022-12-02T00:00:00"/>
    <s v="FE001"/>
    <s v="NE 100015950"/>
    <n v="109657"/>
    <s v="Entregas - CN1791847776001"/>
    <m/>
    <s v="COCA"/>
    <n v="51010102"/>
    <s v="Costo de Ventas Coca"/>
    <m/>
    <n v="107.84"/>
    <n v="-107.84"/>
    <x v="1"/>
    <n v="766914.22"/>
    <s v="-107.84"/>
    <s v="ancueva"/>
    <n v="0"/>
    <m/>
    <s v="COCA-ORELLANA"/>
    <m/>
    <m/>
    <m/>
  </r>
  <r>
    <x v="1"/>
    <x v="1"/>
    <d v="2022-12-02T00:00:00"/>
    <d v="2022-12-02T00:00:00"/>
    <s v="FE001"/>
    <s v="NE 100015951"/>
    <n v="109659"/>
    <s v="Entregas - CN1791847776001"/>
    <m/>
    <s v="COCA"/>
    <n v="51010102"/>
    <s v="Costo de Ventas Coca"/>
    <m/>
    <n v="29.96"/>
    <n v="-29.96"/>
    <x v="1"/>
    <n v="766884.26"/>
    <s v="-29.96"/>
    <s v="ancueva"/>
    <n v="0"/>
    <m/>
    <s v="COCA-ORELLANA"/>
    <m/>
    <m/>
    <m/>
  </r>
  <r>
    <x v="1"/>
    <x v="1"/>
    <d v="2022-12-02T00:00:00"/>
    <d v="2022-12-02T00:00:00"/>
    <s v="FE001"/>
    <s v="NE 100015952"/>
    <n v="109662"/>
    <s v="Entregas - CN1791265416001"/>
    <m/>
    <s v="COCA"/>
    <n v="51010102"/>
    <s v="Costo de Ventas Coca"/>
    <m/>
    <n v="302.33999999999997"/>
    <n v="-302.33999999999997"/>
    <x v="1"/>
    <n v="766581.92"/>
    <s v="-302.34"/>
    <s v="ancueva"/>
    <n v="0"/>
    <m/>
    <s v="COCA-ORELLANA"/>
    <m/>
    <m/>
    <m/>
  </r>
  <r>
    <x v="1"/>
    <x v="1"/>
    <d v="2022-12-02T00:00:00"/>
    <d v="2022-12-02T00:00:00"/>
    <s v="FE001"/>
    <s v="NE 100015958"/>
    <n v="109671"/>
    <s v="Entregas - CN1791263308001"/>
    <m/>
    <s v="COCA"/>
    <n v="51010102"/>
    <s v="Costo de Ventas Coca"/>
    <m/>
    <n v="177.06"/>
    <n v="-177.06"/>
    <x v="1"/>
    <n v="766404.86"/>
    <s v="-177.06"/>
    <s v="ancueva"/>
    <n v="0"/>
    <m/>
    <s v="COCA-ORELLANA"/>
    <m/>
    <m/>
    <m/>
  </r>
  <r>
    <x v="1"/>
    <x v="1"/>
    <d v="2022-12-02T00:00:00"/>
    <d v="2022-12-02T00:00:00"/>
    <s v="FE001"/>
    <s v="NE 100015960"/>
    <n v="109673"/>
    <s v="Entregas - CN1791263308001"/>
    <m/>
    <s v="COCA"/>
    <n v="51010102"/>
    <s v="Costo de Ventas Coca"/>
    <m/>
    <n v="683.25"/>
    <n v="-683.25"/>
    <x v="1"/>
    <n v="765721.61"/>
    <s v="-683.25"/>
    <s v="ancueva"/>
    <n v="0"/>
    <m/>
    <s v="COCA-ORELLANA"/>
    <m/>
    <m/>
    <m/>
  </r>
  <r>
    <x v="1"/>
    <x v="1"/>
    <d v="2022-12-02T00:00:00"/>
    <d v="2022-12-02T00:00:00"/>
    <s v="FE001"/>
    <s v="NE 100015962"/>
    <n v="109675"/>
    <s v="Entregas - CN1792371694001"/>
    <m/>
    <s v="COCA"/>
    <n v="51010102"/>
    <s v="Costo de Ventas Coca"/>
    <m/>
    <n v="24.83"/>
    <n v="-24.83"/>
    <x v="1"/>
    <n v="765696.78"/>
    <s v="-24.83"/>
    <s v="ancueva"/>
    <n v="0"/>
    <m/>
    <s v="COCA-ORELLANA"/>
    <m/>
    <m/>
    <m/>
  </r>
  <r>
    <x v="1"/>
    <x v="1"/>
    <d v="2022-12-02T00:00:00"/>
    <d v="2022-12-02T00:00:00"/>
    <s v="FE001"/>
    <s v="NE 100015962"/>
    <n v="109675"/>
    <s v="Entregas - CN1792371694001"/>
    <m/>
    <s v="COCA"/>
    <n v="51010102"/>
    <s v="Costo de Ventas Coca"/>
    <m/>
    <n v="21024.639999999999"/>
    <n v="-21024.639999999999"/>
    <x v="1"/>
    <n v="744672.14"/>
    <s v="-21024.64"/>
    <s v="ancueva"/>
    <n v="0"/>
    <m/>
    <s v="COCA-ORELLANA"/>
    <m/>
    <m/>
    <m/>
  </r>
  <r>
    <x v="1"/>
    <x v="1"/>
    <d v="2022-12-02T00:00:00"/>
    <d v="2022-12-02T00:00:00"/>
    <s v="FE001"/>
    <s v="IM 100003446"/>
    <n v="109676"/>
    <s v="Traslados - CN1792079160001"/>
    <m/>
    <m/>
    <n v="101060401"/>
    <s v="Inventario de prod. term. y mercad. en Bodega BULLSYPPLY  Quito"/>
    <m/>
    <n v="297.83999999999997"/>
    <n v="-297.83999999999997"/>
    <x v="3"/>
    <n v="744374.3"/>
    <s v="-297.84"/>
    <s v="ancueva"/>
    <n v="0"/>
    <m/>
    <m/>
    <m/>
    <m/>
    <m/>
  </r>
  <r>
    <x v="1"/>
    <x v="1"/>
    <d v="2022-12-06T00:00:00"/>
    <d v="2022-12-06T00:00:00"/>
    <s v="FE001"/>
    <s v="NE 100015963"/>
    <n v="109682"/>
    <s v="Entregas - CN1791265416001"/>
    <m/>
    <s v="COCA"/>
    <n v="51010102"/>
    <s v="Costo de Ventas Coca"/>
    <m/>
    <n v="145.1"/>
    <n v="-145.1"/>
    <x v="1"/>
    <n v="744229.2"/>
    <s v="-145.10"/>
    <s v="ancueva"/>
    <n v="0"/>
    <m/>
    <s v="COCA-ORELLANA"/>
    <m/>
    <m/>
    <m/>
  </r>
  <r>
    <x v="1"/>
    <x v="1"/>
    <d v="2022-12-06T00:00:00"/>
    <d v="2022-12-06T00:00:00"/>
    <s v="FE001"/>
    <s v="NE 100015964"/>
    <n v="109686"/>
    <s v="Entregas - CN1791263308001"/>
    <m/>
    <s v="COCA"/>
    <n v="51010102"/>
    <s v="Costo de Ventas Coca"/>
    <m/>
    <n v="265.72000000000003"/>
    <n v="-265.72000000000003"/>
    <x v="1"/>
    <n v="743963.48"/>
    <s v="-265.72"/>
    <s v="ancueva"/>
    <n v="0"/>
    <m/>
    <s v="COCA-ORELLANA"/>
    <m/>
    <m/>
    <m/>
  </r>
  <r>
    <x v="1"/>
    <x v="1"/>
    <d v="2022-12-06T00:00:00"/>
    <d v="2022-12-06T00:00:00"/>
    <s v="FE001"/>
    <s v="NE 100015965"/>
    <n v="109688"/>
    <s v="Entregas - CN0603340175"/>
    <m/>
    <s v="COCA"/>
    <n v="51010102"/>
    <s v="Costo de Ventas Coca"/>
    <m/>
    <n v="10.59"/>
    <n v="-10.59"/>
    <x v="1"/>
    <n v="743952.89"/>
    <s v="-10.59"/>
    <s v="ancueva"/>
    <n v="0"/>
    <m/>
    <s v="COCA-ORELLANA"/>
    <m/>
    <m/>
    <m/>
  </r>
  <r>
    <x v="1"/>
    <x v="1"/>
    <d v="2022-12-06T00:00:00"/>
    <d v="2022-12-06T00:00:00"/>
    <s v="FE001"/>
    <s v="IM 100003447"/>
    <n v="109703"/>
    <s v="Traslados - CN1792079160001"/>
    <m/>
    <m/>
    <n v="101060401"/>
    <s v="Inventario de prod. term. y mercad. en Bodega BULLSYPPLY  Quito"/>
    <n v="4121.6000000000004"/>
    <m/>
    <n v="4121.6000000000004"/>
    <x v="3"/>
    <n v="748074.49"/>
    <s v="4121.60"/>
    <s v="jcortiz"/>
    <n v="0"/>
    <m/>
    <m/>
    <m/>
    <m/>
    <m/>
  </r>
  <r>
    <x v="1"/>
    <x v="1"/>
    <d v="2022-12-06T00:00:00"/>
    <d v="2022-12-06T00:00:00"/>
    <s v="FE001"/>
    <s v="IM 100003448"/>
    <n v="109708"/>
    <s v="Traslados - CN1792079160001"/>
    <m/>
    <m/>
    <n v="101060401"/>
    <s v="Inventario de prod. term. y mercad. en Bodega BULLSYPPLY  Quito"/>
    <n v="107010.95"/>
    <m/>
    <n v="107010.95"/>
    <x v="3"/>
    <n v="855085.44"/>
    <s v="107010.95"/>
    <s v="jcortiz"/>
    <n v="0"/>
    <m/>
    <m/>
    <m/>
    <m/>
    <m/>
  </r>
  <r>
    <x v="1"/>
    <x v="1"/>
    <d v="2022-12-06T00:00:00"/>
    <d v="2022-12-06T00:00:00"/>
    <s v="FE001"/>
    <s v="IM 100003449"/>
    <n v="109735"/>
    <s v="Traslados - CN1792079160001"/>
    <m/>
    <m/>
    <n v="101060401"/>
    <s v="Inventario de prod. term. y mercad. en Bodega BULLSYPPLY  Quito"/>
    <n v="1923.8"/>
    <m/>
    <n v="1923.8"/>
    <x v="3"/>
    <n v="857009.24"/>
    <s v="1923.80"/>
    <s v="jcortiz"/>
    <n v="0"/>
    <m/>
    <m/>
    <m/>
    <m/>
    <m/>
  </r>
  <r>
    <x v="1"/>
    <x v="1"/>
    <d v="2022-12-06T00:00:00"/>
    <d v="2022-12-06T00:00:00"/>
    <s v="FE001"/>
    <s v="NE 100015973"/>
    <n v="109736"/>
    <s v="Entregas - CN1792064082001"/>
    <m/>
    <s v="COCA"/>
    <n v="51010102"/>
    <s v="Costo de Ventas Coca"/>
    <m/>
    <n v="1923.8"/>
    <n v="-1923.8"/>
    <x v="1"/>
    <n v="855085.44"/>
    <s v="-1923.80"/>
    <s v="ancueva"/>
    <n v="0"/>
    <m/>
    <s v="COCA-ORELLANA"/>
    <m/>
    <m/>
    <m/>
  </r>
  <r>
    <x v="1"/>
    <x v="1"/>
    <d v="2022-12-06T00:00:00"/>
    <d v="2022-12-06T00:00:00"/>
    <s v="FE001"/>
    <s v="IM 100003450"/>
    <n v="109744"/>
    <s v="Traslados - CN1792079160001"/>
    <m/>
    <m/>
    <n v="101060409"/>
    <s v="Inventario de prod. term. y mercad. en Bodega de materiales defectuosos"/>
    <m/>
    <n v="21.49"/>
    <n v="-21.49"/>
    <x v="3"/>
    <n v="855063.95"/>
    <s v="-21.49"/>
    <s v="ancueva"/>
    <n v="0"/>
    <m/>
    <m/>
    <m/>
    <m/>
    <m/>
  </r>
  <r>
    <x v="1"/>
    <x v="1"/>
    <d v="2022-12-06T00:00:00"/>
    <d v="2022-12-06T00:00:00"/>
    <s v="FE001"/>
    <s v="IM 100003451"/>
    <n v="109760"/>
    <s v="Traslados - CN1792079160001"/>
    <m/>
    <m/>
    <n v="101060401"/>
    <s v="Inventario de prod. term. y mercad. en Bodega BULLSYPPLY  Quito"/>
    <n v="20.23"/>
    <m/>
    <n v="20.23"/>
    <x v="3"/>
    <n v="855084.18"/>
    <s v="20.23"/>
    <s v="jcortiz"/>
    <n v="0"/>
    <m/>
    <m/>
    <m/>
    <m/>
    <m/>
  </r>
  <r>
    <x v="1"/>
    <x v="1"/>
    <d v="2022-12-06T00:00:00"/>
    <d v="2022-12-06T00:00:00"/>
    <s v="FE001"/>
    <s v="NE 100015979"/>
    <n v="109764"/>
    <s v="Entregas - CN1791263308001"/>
    <m/>
    <s v="COCA"/>
    <n v="51010102"/>
    <s v="Costo de Ventas Coca"/>
    <m/>
    <n v="74.03"/>
    <n v="-74.03"/>
    <x v="1"/>
    <n v="855010.15"/>
    <s v="-74.03"/>
    <s v="ancueva"/>
    <n v="0"/>
    <m/>
    <s v="COCA-ORELLANA"/>
    <m/>
    <m/>
    <m/>
  </r>
  <r>
    <x v="1"/>
    <x v="1"/>
    <d v="2022-12-06T00:00:00"/>
    <d v="2022-12-06T00:00:00"/>
    <s v="FE001"/>
    <s v="NE 100015982"/>
    <n v="109773"/>
    <s v="Entregas - CN1715188270001"/>
    <m/>
    <s v="COCA"/>
    <n v="51010102"/>
    <s v="Costo de Ventas Coca"/>
    <m/>
    <n v="549.71"/>
    <n v="-549.71"/>
    <x v="1"/>
    <n v="854460.44"/>
    <s v="-549.71"/>
    <s v="ancueva"/>
    <n v="0"/>
    <m/>
    <s v="COCA-ORELLANA"/>
    <m/>
    <m/>
    <m/>
  </r>
  <r>
    <x v="1"/>
    <x v="1"/>
    <d v="2022-12-06T00:00:00"/>
    <d v="2022-12-06T00:00:00"/>
    <s v="FE001"/>
    <s v="NE 100016076"/>
    <n v="110351"/>
    <s v="Entrega - Cancelación - CN1715188270001"/>
    <m/>
    <s v="COCA"/>
    <n v="51010102"/>
    <s v="Costo de Ventas Coca"/>
    <n v="549.71"/>
    <m/>
    <n v="549.71"/>
    <x v="1"/>
    <n v="855010.15"/>
    <s v="549.71"/>
    <s v="jcortiz"/>
    <n v="0"/>
    <m/>
    <s v="COCA-ORELLANA"/>
    <m/>
    <m/>
    <m/>
  </r>
  <r>
    <x v="1"/>
    <x v="1"/>
    <d v="2022-12-07T00:00:00"/>
    <d v="2022-12-07T00:00:00"/>
    <s v="FE001"/>
    <s v="NE 100015987"/>
    <n v="109815"/>
    <s v="Entregas - CN1801610476001"/>
    <m/>
    <s v="COCA"/>
    <n v="51010102"/>
    <s v="Costo de Ventas Coca"/>
    <m/>
    <n v="5.44"/>
    <n v="-5.44"/>
    <x v="1"/>
    <n v="855004.71"/>
    <s v="-5.44"/>
    <s v="ancueva"/>
    <n v="0"/>
    <m/>
    <s v="COCA-ORELLANA"/>
    <m/>
    <m/>
    <m/>
  </r>
  <r>
    <x v="1"/>
    <x v="1"/>
    <d v="2022-12-07T00:00:00"/>
    <d v="2022-12-07T00:00:00"/>
    <s v="FE001"/>
    <s v="NE 100015987"/>
    <n v="109815"/>
    <s v="Entregas - CN1801610476001"/>
    <m/>
    <s v="COCA"/>
    <n v="51010102"/>
    <s v="Costo de Ventas Coca"/>
    <m/>
    <n v="19.11"/>
    <n v="-19.11"/>
    <x v="1"/>
    <n v="854985.6"/>
    <s v="-19.11"/>
    <s v="ancueva"/>
    <n v="0"/>
    <m/>
    <s v="COCA-ORELLANA"/>
    <m/>
    <m/>
    <m/>
  </r>
  <r>
    <x v="1"/>
    <x v="1"/>
    <d v="2022-12-12T00:00:00"/>
    <d v="2022-12-12T00:00:00"/>
    <s v="FE001"/>
    <s v="NE 100015989"/>
    <n v="109979"/>
    <s v="Entregas - CN1792874939001"/>
    <m/>
    <s v="COCA"/>
    <n v="51010102"/>
    <s v="Costo de Ventas Coca"/>
    <m/>
    <n v="436.11"/>
    <n v="-436.11"/>
    <x v="1"/>
    <n v="854549.49"/>
    <s v="-436.11"/>
    <s v="jcortiz"/>
    <n v="0"/>
    <m/>
    <s v="COCA-ORELLANA"/>
    <m/>
    <m/>
    <m/>
  </r>
  <r>
    <x v="1"/>
    <x v="1"/>
    <d v="2022-12-12T00:00:00"/>
    <d v="2022-12-12T00:00:00"/>
    <s v="FE001"/>
    <s v="NE 100016001"/>
    <n v="110004"/>
    <s v="Entregas - CN1791804619001"/>
    <m/>
    <s v="COCA"/>
    <n v="51010102"/>
    <s v="Costo de Ventas Coca"/>
    <m/>
    <n v="37.090000000000003"/>
    <n v="-37.090000000000003"/>
    <x v="1"/>
    <n v="854512.4"/>
    <s v="-37.09"/>
    <s v="ancueva"/>
    <n v="0"/>
    <m/>
    <s v="COCA-ORELLANA"/>
    <m/>
    <m/>
    <m/>
  </r>
  <r>
    <x v="1"/>
    <x v="1"/>
    <d v="2022-12-12T00:00:00"/>
    <d v="2022-12-12T00:00:00"/>
    <s v="FE001"/>
    <s v="NE 100016003"/>
    <n v="110010"/>
    <s v="Entregas - CN1791263308001"/>
    <m/>
    <s v="COCA"/>
    <n v="51010102"/>
    <s v="Costo de Ventas Coca"/>
    <m/>
    <n v="4.88"/>
    <n v="-4.88"/>
    <x v="1"/>
    <n v="854507.52000000002"/>
    <s v="-4.88"/>
    <s v="ancueva"/>
    <n v="0"/>
    <m/>
    <s v="COCA-ORELLANA"/>
    <m/>
    <m/>
    <m/>
  </r>
  <r>
    <x v="1"/>
    <x v="1"/>
    <d v="2022-12-12T00:00:00"/>
    <d v="2022-12-12T00:00:00"/>
    <s v="FE001"/>
    <s v="IM 100003452"/>
    <n v="110011"/>
    <s v="Traslados - CN1792079160001"/>
    <m/>
    <m/>
    <n v="101060401"/>
    <s v="Inventario de prod. term. y mercad. en Bodega BULLSYPPLY  Quito"/>
    <n v="4658.7"/>
    <m/>
    <n v="4658.7"/>
    <x v="3"/>
    <n v="859166.22"/>
    <s v="4658.70"/>
    <s v="jcortiz"/>
    <n v="0"/>
    <m/>
    <m/>
    <m/>
    <m/>
    <m/>
  </r>
  <r>
    <x v="1"/>
    <x v="1"/>
    <d v="2022-12-12T00:00:00"/>
    <d v="2022-12-12T00:00:00"/>
    <s v="FE001"/>
    <s v="IM 100003453"/>
    <n v="110013"/>
    <s v="Traslados -"/>
    <m/>
    <m/>
    <n v="101060401"/>
    <s v="Inventario de prod. term. y mercad. en Bodega BULLSYPPLY  Quito"/>
    <n v="650.39"/>
    <m/>
    <n v="650.39"/>
    <x v="3"/>
    <n v="859816.61"/>
    <s v="650.39"/>
    <s v="jcortiz"/>
    <n v="0"/>
    <m/>
    <m/>
    <m/>
    <m/>
    <m/>
  </r>
  <r>
    <x v="1"/>
    <x v="1"/>
    <d v="2022-12-12T00:00:00"/>
    <d v="2022-12-12T00:00:00"/>
    <s v="FE001"/>
    <s v="NE 100016005"/>
    <n v="110017"/>
    <s v="Entregas - CN1791263308001"/>
    <m/>
    <s v="COCA"/>
    <n v="51010102"/>
    <s v="Costo de Ventas Coca"/>
    <m/>
    <n v="40"/>
    <n v="-40"/>
    <x v="1"/>
    <n v="859776.61"/>
    <s v="-40.00"/>
    <s v="ancueva"/>
    <n v="0"/>
    <m/>
    <s v="COCA-ORELLANA"/>
    <m/>
    <m/>
    <m/>
  </r>
  <r>
    <x v="1"/>
    <x v="1"/>
    <d v="2022-12-12T00:00:00"/>
    <d v="2022-12-12T00:00:00"/>
    <s v="FE001"/>
    <s v="NE 100016006"/>
    <n v="110018"/>
    <s v="Entregas - CN1791263308001"/>
    <m/>
    <s v="COCA"/>
    <n v="51010102"/>
    <s v="Costo de Ventas Coca"/>
    <m/>
    <n v="506.7"/>
    <n v="-506.7"/>
    <x v="1"/>
    <n v="859269.91"/>
    <s v="-506.70"/>
    <s v="ancueva"/>
    <n v="0"/>
    <m/>
    <s v="COCA-ORELLANA"/>
    <m/>
    <m/>
    <m/>
  </r>
  <r>
    <x v="1"/>
    <x v="1"/>
    <d v="2022-12-12T00:00:00"/>
    <d v="2022-12-12T00:00:00"/>
    <s v="FE001"/>
    <s v="NE 100016007"/>
    <n v="110019"/>
    <s v="Entregas - CN1791263308001"/>
    <m/>
    <s v="COCA"/>
    <n v="51010102"/>
    <s v="Costo de Ventas Coca"/>
    <m/>
    <n v="227.1"/>
    <n v="-227.1"/>
    <x v="1"/>
    <n v="859042.81"/>
    <s v="-227.10"/>
    <s v="ancueva"/>
    <n v="0"/>
    <m/>
    <s v="COCA-ORELLANA"/>
    <m/>
    <m/>
    <m/>
  </r>
  <r>
    <x v="1"/>
    <x v="1"/>
    <d v="2022-12-12T00:00:00"/>
    <d v="2022-12-12T00:00:00"/>
    <s v="FE001"/>
    <s v="NE 100016009"/>
    <n v="110023"/>
    <s v="Entrega - Cancelación - CN1791263308001"/>
    <m/>
    <s v="COCA"/>
    <n v="51010102"/>
    <s v="Costo de Ventas Coca"/>
    <n v="40"/>
    <m/>
    <n v="40"/>
    <x v="1"/>
    <n v="859082.81"/>
    <s v="40.00"/>
    <s v="ancueva"/>
    <n v="0"/>
    <m/>
    <s v="COCA-ORELLANA"/>
    <m/>
    <m/>
    <m/>
  </r>
  <r>
    <x v="1"/>
    <x v="1"/>
    <d v="2022-12-12T00:00:00"/>
    <d v="2022-12-12T00:00:00"/>
    <s v="FE001"/>
    <s v="IM 100003454"/>
    <n v="110028"/>
    <s v="Traslados - CN1792079160001"/>
    <m/>
    <m/>
    <n v="101060401"/>
    <s v="Inventario de prod. term. y mercad. en Bodega BULLSYPPLY  Quito"/>
    <n v="211.77"/>
    <m/>
    <n v="211.77"/>
    <x v="3"/>
    <n v="859294.58"/>
    <s v="211.77"/>
    <s v="jcortiz"/>
    <n v="0"/>
    <m/>
    <m/>
    <m/>
    <m/>
    <m/>
  </r>
  <r>
    <x v="1"/>
    <x v="1"/>
    <d v="2022-12-12T00:00:00"/>
    <d v="2022-12-12T00:00:00"/>
    <s v="FE001"/>
    <s v="NE 100016011"/>
    <n v="110032"/>
    <s v="Entregas - CN1719227629"/>
    <m/>
    <s v="COCA"/>
    <n v="51010102"/>
    <s v="Costo de Ventas Coca"/>
    <m/>
    <n v="40"/>
    <n v="-40"/>
    <x v="1"/>
    <n v="859254.58"/>
    <s v="-40.00"/>
    <s v="jcortiz"/>
    <n v="0"/>
    <m/>
    <s v="COCA-ORELLANA"/>
    <m/>
    <m/>
    <m/>
  </r>
  <r>
    <x v="1"/>
    <x v="1"/>
    <d v="2022-12-12T00:00:00"/>
    <d v="2022-12-12T00:00:00"/>
    <s v="FE001"/>
    <s v="IM 100003455"/>
    <n v="110043"/>
    <s v="Traslados - CN1792079160001"/>
    <m/>
    <m/>
    <n v="101060401"/>
    <s v="Inventario de prod. term. y mercad. en Bodega BULLSYPPLY  Quito"/>
    <n v="102.41"/>
    <m/>
    <n v="102.41"/>
    <x v="3"/>
    <n v="859356.99"/>
    <s v="102.41"/>
    <s v="jcortiz"/>
    <n v="0"/>
    <m/>
    <m/>
    <m/>
    <m/>
    <m/>
  </r>
  <r>
    <x v="1"/>
    <x v="1"/>
    <d v="2022-12-13T00:00:00"/>
    <d v="2022-12-13T00:00:00"/>
    <s v="FE001"/>
    <s v="NE 100016016"/>
    <n v="110067"/>
    <s v="Entregas - CN1792903890001"/>
    <m/>
    <s v="COCA"/>
    <n v="51010102"/>
    <s v="Costo de Ventas Coca"/>
    <m/>
    <n v="297.08"/>
    <n v="-297.08"/>
    <x v="1"/>
    <n v="859059.91"/>
    <s v="-297.08"/>
    <s v="ancueva"/>
    <n v="0"/>
    <m/>
    <s v="COCA-ORELLANA"/>
    <m/>
    <m/>
    <m/>
  </r>
  <r>
    <x v="1"/>
    <x v="1"/>
    <d v="2022-12-13T00:00:00"/>
    <d v="2022-12-13T00:00:00"/>
    <s v="FE001"/>
    <s v="NE 100016017"/>
    <n v="110071"/>
    <s v="Entregas - CN1792064082001"/>
    <m/>
    <s v="COCA"/>
    <n v="51010102"/>
    <s v="Costo de Ventas Coca"/>
    <m/>
    <n v="428.91"/>
    <n v="-428.91"/>
    <x v="1"/>
    <n v="858631"/>
    <s v="-428.91"/>
    <s v="ancueva"/>
    <n v="0"/>
    <m/>
    <s v="COCA-ORELLANA"/>
    <m/>
    <m/>
    <m/>
  </r>
  <r>
    <x v="1"/>
    <x v="1"/>
    <d v="2022-12-13T00:00:00"/>
    <d v="2022-12-13T00:00:00"/>
    <s v="FE001"/>
    <s v="IM 100003456"/>
    <n v="110072"/>
    <s v="Traslados - CN1792079160001"/>
    <m/>
    <m/>
    <n v="101060401"/>
    <s v="Inventario de prod. term. y mercad. en Bodega BULLSYPPLY  Quito"/>
    <n v="642.55999999999995"/>
    <m/>
    <n v="642.55999999999995"/>
    <x v="3"/>
    <n v="859273.56"/>
    <s v="642.56"/>
    <s v="jcortiz"/>
    <n v="0"/>
    <m/>
    <m/>
    <m/>
    <m/>
    <m/>
  </r>
  <r>
    <x v="1"/>
    <x v="1"/>
    <d v="2022-12-13T00:00:00"/>
    <d v="2022-12-13T00:00:00"/>
    <s v="FE001"/>
    <s v="NE 100016018"/>
    <n v="110073"/>
    <s v="Entregas - CN1791804619001"/>
    <m/>
    <s v="COCA"/>
    <n v="51010102"/>
    <s v="Costo de Ventas Coca"/>
    <m/>
    <n v="642.55999999999995"/>
    <n v="-642.55999999999995"/>
    <x v="1"/>
    <n v="858631"/>
    <s v="-642.56"/>
    <s v="ancueva"/>
    <n v="0"/>
    <m/>
    <s v="COCA-ORELLANA"/>
    <m/>
    <m/>
    <m/>
  </r>
  <r>
    <x v="1"/>
    <x v="1"/>
    <d v="2022-12-13T00:00:00"/>
    <d v="2022-12-13T00:00:00"/>
    <s v="FE001"/>
    <s v="NE 100016023"/>
    <n v="110080"/>
    <s v="Entregas - CN1792371694001"/>
    <m/>
    <s v="COCA"/>
    <n v="51010102"/>
    <s v="Costo de Ventas Coca"/>
    <m/>
    <n v="690.06"/>
    <n v="-690.06"/>
    <x v="1"/>
    <n v="857940.94"/>
    <s v="-690.06"/>
    <s v="ancueva"/>
    <n v="0"/>
    <m/>
    <s v="COCA-ORELLANA"/>
    <m/>
    <m/>
    <m/>
  </r>
  <r>
    <x v="1"/>
    <x v="1"/>
    <d v="2022-12-13T00:00:00"/>
    <d v="2022-12-13T00:00:00"/>
    <s v="FE001"/>
    <s v="NE 100016030"/>
    <n v="110114"/>
    <s v="Entregas - CN1719227629"/>
    <m/>
    <s v="COCA"/>
    <n v="51010102"/>
    <s v="Costo de Ventas Coca"/>
    <m/>
    <n v="13.33"/>
    <n v="-13.33"/>
    <x v="1"/>
    <n v="857927.61"/>
    <s v="-13.33"/>
    <s v="ancueva"/>
    <n v="0"/>
    <m/>
    <s v="COCA-ORELLANA"/>
    <m/>
    <m/>
    <m/>
  </r>
  <r>
    <x v="1"/>
    <x v="1"/>
    <d v="2022-12-13T00:00:00"/>
    <d v="2022-12-13T00:00:00"/>
    <s v="FE001"/>
    <s v="NE 100016031"/>
    <n v="110124"/>
    <s v="Entregas - CN1791263308001"/>
    <m/>
    <s v="COCA"/>
    <n v="51010102"/>
    <s v="Costo de Ventas Coca"/>
    <m/>
    <n v="187.97"/>
    <n v="-187.97"/>
    <x v="1"/>
    <n v="857739.64"/>
    <s v="-187.97"/>
    <s v="ancueva"/>
    <n v="0"/>
    <m/>
    <s v="COCA-ORELLANA"/>
    <m/>
    <m/>
    <m/>
  </r>
  <r>
    <x v="1"/>
    <x v="1"/>
    <d v="2022-12-13T00:00:00"/>
    <d v="2022-12-13T00:00:00"/>
    <s v="FE001"/>
    <s v="NE 100016032"/>
    <n v="110125"/>
    <s v="Entregas - CN1791263308001"/>
    <m/>
    <s v="COCA"/>
    <n v="51010102"/>
    <s v="Costo de Ventas Coca"/>
    <m/>
    <n v="142.75"/>
    <n v="-142.75"/>
    <x v="1"/>
    <n v="857596.89"/>
    <s v="-142.75"/>
    <s v="ancueva"/>
    <n v="0"/>
    <m/>
    <s v="COCA-ORELLANA"/>
    <m/>
    <m/>
    <m/>
  </r>
  <r>
    <x v="1"/>
    <x v="1"/>
    <d v="2022-12-13T00:00:00"/>
    <d v="2022-12-13T00:00:00"/>
    <s v="FE001"/>
    <s v="NE 100016033"/>
    <n v="110127"/>
    <s v="Entregas - CN1791263308001"/>
    <m/>
    <s v="COCA"/>
    <n v="51010102"/>
    <s v="Costo de Ventas Coca"/>
    <m/>
    <n v="142.75"/>
    <n v="-142.75"/>
    <x v="1"/>
    <n v="857454.14"/>
    <s v="-142.75"/>
    <s v="ancueva"/>
    <n v="0"/>
    <m/>
    <s v="COCA-ORELLANA"/>
    <m/>
    <m/>
    <m/>
  </r>
  <r>
    <x v="1"/>
    <x v="1"/>
    <d v="2022-12-13T00:00:00"/>
    <d v="2022-12-13T00:00:00"/>
    <s v="FE001"/>
    <s v="IM 100003458"/>
    <n v="110150"/>
    <s v="Traslados - CN1792079160001"/>
    <m/>
    <m/>
    <n v="101060401"/>
    <s v="Inventario de prod. term. y mercad. en Bodega BULLSYPPLY  Quito"/>
    <n v="487.05"/>
    <m/>
    <n v="487.05"/>
    <x v="3"/>
    <n v="857941.19"/>
    <s v="487.05"/>
    <s v="jcortiz"/>
    <n v="0"/>
    <m/>
    <m/>
    <m/>
    <m/>
    <m/>
  </r>
  <r>
    <x v="1"/>
    <x v="1"/>
    <d v="2022-12-13T00:00:00"/>
    <d v="2022-12-13T00:00:00"/>
    <s v="FE001"/>
    <s v="IM 100003459"/>
    <n v="110154"/>
    <s v="Traslados - CN1792079160001"/>
    <m/>
    <m/>
    <n v="101060401"/>
    <s v="Inventario de prod. term. y mercad. en Bodega BULLSYPPLY  Quito"/>
    <m/>
    <n v="99.7"/>
    <n v="-99.7"/>
    <x v="3"/>
    <n v="857841.49"/>
    <s v="-99.70"/>
    <s v="ancueva"/>
    <n v="0"/>
    <m/>
    <m/>
    <m/>
    <m/>
    <m/>
  </r>
  <r>
    <x v="1"/>
    <x v="1"/>
    <d v="2022-12-13T00:00:00"/>
    <d v="2022-12-13T00:00:00"/>
    <s v="FE001"/>
    <s v="IM 100003460"/>
    <n v="110162"/>
    <s v="Traslados - CN1792079160001"/>
    <m/>
    <m/>
    <n v="101060401"/>
    <s v="Inventario de prod. term. y mercad. en Bodega BULLSYPPLY  Quito"/>
    <n v="7.33"/>
    <m/>
    <n v="7.33"/>
    <x v="3"/>
    <n v="857848.82"/>
    <s v="7.33"/>
    <s v="jcortiz"/>
    <n v="0"/>
    <m/>
    <m/>
    <m/>
    <m/>
    <m/>
  </r>
  <r>
    <x v="1"/>
    <x v="1"/>
    <d v="2022-12-13T00:00:00"/>
    <d v="2022-12-13T00:00:00"/>
    <s v="FE001"/>
    <s v="NE 100016039"/>
    <n v="110181"/>
    <s v="Entregas - CN1791768205001"/>
    <m/>
    <s v="COCA"/>
    <n v="51010102"/>
    <s v="Costo de Ventas Coca"/>
    <m/>
    <n v="585.48"/>
    <n v="-585.48"/>
    <x v="1"/>
    <n v="857263.34"/>
    <s v="-585.48"/>
    <s v="ancueva"/>
    <n v="0"/>
    <m/>
    <s v="COCA-ORELLANA"/>
    <m/>
    <m/>
    <m/>
  </r>
  <r>
    <x v="1"/>
    <x v="1"/>
    <d v="2022-12-13T00:00:00"/>
    <d v="2022-12-13T00:00:00"/>
    <s v="FE001"/>
    <s v="NE 100016039"/>
    <n v="110181"/>
    <s v="Entregas - CN1791768205001"/>
    <m/>
    <s v="COCA"/>
    <n v="51010102"/>
    <s v="Costo de Ventas Coca"/>
    <m/>
    <n v="650.39"/>
    <n v="-650.39"/>
    <x v="1"/>
    <n v="856612.95"/>
    <s v="-650.39"/>
    <s v="ancueva"/>
    <n v="0"/>
    <m/>
    <s v="COCA-ORELLANA"/>
    <m/>
    <m/>
    <m/>
  </r>
  <r>
    <x v="1"/>
    <x v="1"/>
    <d v="2022-12-14T00:00:00"/>
    <d v="2022-12-14T00:00:00"/>
    <s v="FE001"/>
    <s v="NE 100016040"/>
    <n v="110182"/>
    <s v="Entregas - CN1792371694001"/>
    <m/>
    <s v="COCA"/>
    <n v="51010102"/>
    <s v="Costo de Ventas Coca"/>
    <m/>
    <n v="4701.6499999999996"/>
    <n v="-4701.6499999999996"/>
    <x v="1"/>
    <n v="851911.3"/>
    <s v="-4701.65"/>
    <s v="ancueva"/>
    <n v="0"/>
    <m/>
    <s v="COCA-ORELLANA"/>
    <m/>
    <m/>
    <m/>
  </r>
  <r>
    <x v="1"/>
    <x v="1"/>
    <d v="2022-12-14T00:00:00"/>
    <d v="2022-12-14T00:00:00"/>
    <s v="FE001"/>
    <s v="NE 100016041"/>
    <n v="110183"/>
    <s v="Entregas - CN1792371694001"/>
    <m/>
    <s v="COCA"/>
    <n v="51010102"/>
    <s v="Costo de Ventas Coca"/>
    <m/>
    <n v="4304.6899999999996"/>
    <n v="-4304.6899999999996"/>
    <x v="1"/>
    <n v="847606.61"/>
    <s v="-4304.69"/>
    <s v="ancueva"/>
    <n v="0"/>
    <m/>
    <s v="COCA-ORELLANA"/>
    <m/>
    <m/>
    <m/>
  </r>
  <r>
    <x v="1"/>
    <x v="1"/>
    <d v="2022-12-14T00:00:00"/>
    <d v="2022-12-14T00:00:00"/>
    <s v="FE001"/>
    <s v="NE 100016041"/>
    <n v="110183"/>
    <s v="Entregas - CN1792371694001"/>
    <m/>
    <s v="COCA"/>
    <n v="51010102"/>
    <s v="Costo de Ventas Coca"/>
    <m/>
    <n v="3317.75"/>
    <n v="-3317.75"/>
    <x v="1"/>
    <n v="844288.86"/>
    <s v="-3317.75"/>
    <s v="ancueva"/>
    <n v="0"/>
    <m/>
    <s v="COCA-ORELLANA"/>
    <m/>
    <m/>
    <m/>
  </r>
  <r>
    <x v="1"/>
    <x v="1"/>
    <d v="2022-12-14T00:00:00"/>
    <d v="2022-12-14T00:00:00"/>
    <s v="FE001"/>
    <s v="NE 100016043"/>
    <n v="110186"/>
    <s v="Entregas - CN1792064082001"/>
    <m/>
    <s v="COCA"/>
    <n v="51010102"/>
    <s v="Costo de Ventas Coca"/>
    <m/>
    <n v="487.05"/>
    <n v="-487.05"/>
    <x v="1"/>
    <n v="843801.81"/>
    <s v="-487.05"/>
    <s v="ancueva"/>
    <n v="0"/>
    <m/>
    <s v="COCA-ORELLANA"/>
    <m/>
    <m/>
    <m/>
  </r>
  <r>
    <x v="1"/>
    <x v="1"/>
    <d v="2022-12-14T00:00:00"/>
    <d v="2022-12-14T00:00:00"/>
    <s v="FE001"/>
    <s v="NE 100016045"/>
    <n v="110211"/>
    <s v="Entregas - CN1791263308001"/>
    <m/>
    <s v="COCA"/>
    <n v="51010102"/>
    <s v="Costo de Ventas Coca"/>
    <m/>
    <n v="19.18"/>
    <n v="-19.18"/>
    <x v="1"/>
    <n v="843782.63"/>
    <s v="-19.18"/>
    <s v="ancueva"/>
    <n v="0"/>
    <m/>
    <s v="COCA-ORELLANA"/>
    <m/>
    <m/>
    <m/>
  </r>
  <r>
    <x v="1"/>
    <x v="1"/>
    <d v="2022-12-14T00:00:00"/>
    <d v="2022-12-14T00:00:00"/>
    <s v="FE001"/>
    <s v="NE 100016046"/>
    <n v="110212"/>
    <s v="Entregas - CN1791263308001"/>
    <m/>
    <s v="COCA"/>
    <n v="51010102"/>
    <s v="Costo de Ventas Coca"/>
    <m/>
    <n v="27.5"/>
    <n v="-27.5"/>
    <x v="1"/>
    <n v="843755.13"/>
    <s v="-27.50"/>
    <s v="ancueva"/>
    <n v="0"/>
    <m/>
    <s v="COCA-ORELLANA"/>
    <m/>
    <m/>
    <m/>
  </r>
  <r>
    <x v="1"/>
    <x v="1"/>
    <d v="2022-12-14T00:00:00"/>
    <d v="2022-12-14T00:00:00"/>
    <s v="FE001"/>
    <s v="IM 100003461"/>
    <n v="110214"/>
    <s v="Traslados - CN1792079160001"/>
    <m/>
    <m/>
    <n v="101060401"/>
    <s v="Inventario de prod. term. y mercad. en Bodega BULLSYPPLY  Quito"/>
    <m/>
    <n v="189.82"/>
    <n v="-189.82"/>
    <x v="3"/>
    <n v="843565.31"/>
    <s v="-189.82"/>
    <s v="ancueva"/>
    <n v="0"/>
    <m/>
    <m/>
    <m/>
    <m/>
    <m/>
  </r>
  <r>
    <x v="1"/>
    <x v="1"/>
    <d v="2022-12-14T00:00:00"/>
    <d v="2022-12-14T00:00:00"/>
    <s v="FE001"/>
    <s v="NE 100016052"/>
    <n v="110222"/>
    <s v="Entregas - CN1792371694001"/>
    <m/>
    <s v="COCA"/>
    <n v="51010102"/>
    <s v="Costo de Ventas Coca"/>
    <m/>
    <n v="2410.15"/>
    <n v="-2410.15"/>
    <x v="1"/>
    <n v="841155.16"/>
    <s v="-2410.15"/>
    <s v="ancueva"/>
    <n v="0"/>
    <m/>
    <s v="COCA-ORELLANA"/>
    <m/>
    <m/>
    <m/>
  </r>
  <r>
    <x v="1"/>
    <x v="1"/>
    <d v="2022-12-14T00:00:00"/>
    <d v="2022-12-14T00:00:00"/>
    <s v="FE001"/>
    <s v="NE 100016053"/>
    <n v="110224"/>
    <s v="Entregas - CN1792371694001"/>
    <m/>
    <s v="COCA"/>
    <n v="51010102"/>
    <s v="Costo de Ventas Coca"/>
    <m/>
    <n v="1528.92"/>
    <n v="-1528.92"/>
    <x v="1"/>
    <n v="839626.23999999999"/>
    <s v="-1528.92"/>
    <s v="ancueva"/>
    <n v="0"/>
    <m/>
    <s v="COCA-ORELLANA"/>
    <m/>
    <m/>
    <m/>
  </r>
  <r>
    <x v="1"/>
    <x v="1"/>
    <d v="2022-12-15T00:00:00"/>
    <d v="2022-12-15T00:00:00"/>
    <s v="FE001"/>
    <s v="NE 100016058"/>
    <n v="110252"/>
    <s v="Entregas - CN1791847776001"/>
    <m/>
    <s v="COCA"/>
    <n v="51010102"/>
    <s v="Costo de Ventas Coca"/>
    <m/>
    <n v="43.11"/>
    <n v="-43.11"/>
    <x v="1"/>
    <n v="839583.13"/>
    <s v="-43.11"/>
    <s v="ancueva"/>
    <n v="0"/>
    <m/>
    <s v="COCA-ORELLANA"/>
    <m/>
    <m/>
    <m/>
  </r>
  <r>
    <x v="1"/>
    <x v="1"/>
    <d v="2022-12-15T00:00:00"/>
    <d v="2022-12-15T00:00:00"/>
    <s v="FE001"/>
    <s v="IM 100003463"/>
    <n v="110276"/>
    <s v="Traslados - CN1792079160001"/>
    <m/>
    <m/>
    <n v="101060401"/>
    <s v="Inventario de prod. term. y mercad. en Bodega BULLSYPPLY  Quito"/>
    <m/>
    <n v="1520.22"/>
    <n v="-1520.22"/>
    <x v="3"/>
    <n v="838062.91"/>
    <s v="-1520.22"/>
    <s v="ancueva"/>
    <n v="0"/>
    <m/>
    <m/>
    <m/>
    <m/>
    <m/>
  </r>
  <r>
    <x v="1"/>
    <x v="1"/>
    <d v="2022-12-15T00:00:00"/>
    <d v="2022-12-15T00:00:00"/>
    <s v="FE001"/>
    <s v="IM 100003464"/>
    <n v="110283"/>
    <s v="Traslados - CN1792079160001"/>
    <m/>
    <m/>
    <n v="101060401"/>
    <s v="Inventario de prod. term. y mercad. en Bodega BULLSYPPLY  Quito"/>
    <m/>
    <n v="29.38"/>
    <n v="-29.38"/>
    <x v="3"/>
    <n v="838033.53"/>
    <s v="-29.38"/>
    <s v="ancueva"/>
    <n v="0"/>
    <m/>
    <m/>
    <m/>
    <m/>
    <m/>
  </r>
  <r>
    <x v="1"/>
    <x v="1"/>
    <d v="2022-12-15T00:00:00"/>
    <d v="2022-12-15T00:00:00"/>
    <s v="FE001"/>
    <s v="IM 100003465"/>
    <n v="110285"/>
    <s v="Traslados - CN1792079160001"/>
    <m/>
    <m/>
    <n v="101060401"/>
    <s v="Inventario de prod. term. y mercad. en Bodega BULLSYPPLY  Quito"/>
    <n v="733.64"/>
    <m/>
    <n v="733.64"/>
    <x v="3"/>
    <n v="838767.17"/>
    <s v="733.64"/>
    <s v="jcortiz"/>
    <n v="0"/>
    <m/>
    <m/>
    <m/>
    <m/>
    <m/>
  </r>
  <r>
    <x v="1"/>
    <x v="1"/>
    <d v="2022-12-15T00:00:00"/>
    <d v="2022-12-15T00:00:00"/>
    <s v="Primario"/>
    <s v="DV 239"/>
    <n v="110310"/>
    <s v="Devoluciones - CN1791263308001"/>
    <m/>
    <s v="COCA"/>
    <n v="51010102"/>
    <s v="Costo de Ventas Coca"/>
    <n v="52.09"/>
    <m/>
    <n v="52.09"/>
    <x v="1"/>
    <n v="838819.26"/>
    <s v="52.09"/>
    <s v="ancueva"/>
    <n v="0"/>
    <m/>
    <s v="COCA-ORELLANA"/>
    <m/>
    <m/>
    <m/>
  </r>
  <r>
    <x v="1"/>
    <x v="1"/>
    <d v="2022-12-15T00:00:00"/>
    <d v="2022-12-15T00:00:00"/>
    <s v="FE001"/>
    <s v="NE 100016066"/>
    <n v="110311"/>
    <s v="Entregas - CN1791263308001"/>
    <m/>
    <s v="COCA"/>
    <n v="51010102"/>
    <s v="Costo de Ventas Coca"/>
    <m/>
    <n v="18.600000000000001"/>
    <n v="-18.600000000000001"/>
    <x v="1"/>
    <n v="838800.66"/>
    <s v="-18.60"/>
    <s v="ancueva"/>
    <n v="0"/>
    <m/>
    <s v="COCA-ORELLANA"/>
    <m/>
    <m/>
    <m/>
  </r>
  <r>
    <x v="1"/>
    <x v="1"/>
    <d v="2022-12-16T00:00:00"/>
    <d v="2022-12-16T00:00:00"/>
    <s v="FE001"/>
    <s v="RC 100000687"/>
    <n v="110342"/>
    <s v="Notas de crédito clientes - CN1792874939001"/>
    <m/>
    <s v="COCA"/>
    <s v="CN1792874939001"/>
    <s v="IMPORTADORA JUAN CEVALLOS IJC S.A."/>
    <n v="436.11"/>
    <m/>
    <n v="436.11"/>
    <x v="4"/>
    <n v="839236.77"/>
    <s v="436.11"/>
    <s v="gcali"/>
    <n v="0"/>
    <m/>
    <s v="COCA-ORELLANA"/>
    <m/>
    <m/>
    <m/>
  </r>
  <r>
    <x v="1"/>
    <x v="1"/>
    <d v="2022-12-16T00:00:00"/>
    <d v="2022-12-16T00:00:00"/>
    <s v="FE001"/>
    <s v="NE 100016073"/>
    <n v="110348"/>
    <s v="Entregas - CN1792371694001"/>
    <m/>
    <s v="COCA"/>
    <n v="51010102"/>
    <s v="Costo de Ventas Coca"/>
    <m/>
    <n v="142.25"/>
    <n v="-142.25"/>
    <x v="1"/>
    <n v="839094.52"/>
    <s v="-142.25"/>
    <s v="ancueva"/>
    <n v="0"/>
    <m/>
    <s v="COCA-ORELLANA"/>
    <m/>
    <m/>
    <m/>
  </r>
  <r>
    <x v="1"/>
    <x v="1"/>
    <d v="2022-12-16T00:00:00"/>
    <d v="2022-12-16T00:00:00"/>
    <s v="FE001"/>
    <s v="NE 100016073"/>
    <n v="110348"/>
    <s v="Entregas - CN1792371694001"/>
    <m/>
    <s v="COCA"/>
    <n v="51010102"/>
    <s v="Costo de Ventas Coca"/>
    <m/>
    <n v="109.56"/>
    <n v="-109.56"/>
    <x v="1"/>
    <n v="838984.96"/>
    <s v="-109.56"/>
    <s v="ancueva"/>
    <n v="0"/>
    <m/>
    <s v="COCA-ORELLANA"/>
    <m/>
    <m/>
    <m/>
  </r>
  <r>
    <x v="1"/>
    <x v="1"/>
    <d v="2022-12-16T00:00:00"/>
    <d v="2022-12-16T00:00:00"/>
    <s v="FE001"/>
    <s v="NE 100016074"/>
    <n v="110349"/>
    <s v="Entregas - CN1792371694001"/>
    <m/>
    <s v="COCA"/>
    <n v="51010102"/>
    <s v="Costo de Ventas Coca"/>
    <m/>
    <n v="51.26"/>
    <n v="-51.26"/>
    <x v="1"/>
    <n v="838933.7"/>
    <s v="-51.26"/>
    <s v="ancueva"/>
    <n v="0"/>
    <m/>
    <s v="COCA-ORELLANA"/>
    <m/>
    <m/>
    <m/>
  </r>
  <r>
    <x v="1"/>
    <x v="1"/>
    <d v="2022-12-16T00:00:00"/>
    <d v="2022-12-16T00:00:00"/>
    <s v="FE001"/>
    <s v="NE 100016074"/>
    <n v="110349"/>
    <s v="Entregas - CN1792371694001"/>
    <m/>
    <s v="COCA"/>
    <n v="51010102"/>
    <s v="Costo de Ventas Coca"/>
    <m/>
    <n v="71.52"/>
    <n v="-71.52"/>
    <x v="1"/>
    <n v="838862.18"/>
    <s v="-71.52"/>
    <s v="ancueva"/>
    <n v="0"/>
    <m/>
    <s v="COCA-ORELLANA"/>
    <m/>
    <m/>
    <m/>
  </r>
  <r>
    <x v="1"/>
    <x v="1"/>
    <d v="2022-12-16T00:00:00"/>
    <d v="2022-12-16T00:00:00"/>
    <s v="FE001"/>
    <s v="NE 100016080"/>
    <n v="110356"/>
    <s v="Entregas - CN1792874939001"/>
    <m/>
    <s v="COCA"/>
    <n v="51010102"/>
    <s v="Costo de Ventas Coca"/>
    <m/>
    <n v="436.11"/>
    <n v="-436.11"/>
    <x v="1"/>
    <n v="838426.07"/>
    <s v="-436.11"/>
    <s v="jcortiz"/>
    <n v="0"/>
    <m/>
    <s v="COCA-ORELLANA"/>
    <m/>
    <m/>
    <m/>
  </r>
  <r>
    <x v="1"/>
    <x v="1"/>
    <d v="2022-12-16T00:00:00"/>
    <d v="2022-12-16T00:00:00"/>
    <s v="FE001"/>
    <s v="NE 100016082"/>
    <n v="110358"/>
    <s v="Entregas - CN1791804619001"/>
    <m/>
    <s v="COCA"/>
    <n v="51010102"/>
    <s v="Costo de Ventas Coca"/>
    <m/>
    <n v="915.46"/>
    <n v="-915.46"/>
    <x v="1"/>
    <n v="837510.61"/>
    <s v="-915.46"/>
    <s v="ancueva"/>
    <n v="0"/>
    <m/>
    <s v="COCA-ORELLANA"/>
    <m/>
    <m/>
    <m/>
  </r>
  <r>
    <x v="1"/>
    <x v="1"/>
    <d v="2022-12-16T00:00:00"/>
    <d v="2022-12-16T00:00:00"/>
    <s v="FE001"/>
    <s v="RC 100000688"/>
    <n v="110360"/>
    <s v="Notas de crédito clientes - CN1792874939001"/>
    <m/>
    <s v="COCA"/>
    <s v="CN1792874939001"/>
    <s v="IMPORTADORA JUAN CEVALLOS IJC S.A."/>
    <n v="436.11"/>
    <m/>
    <n v="436.11"/>
    <x v="4"/>
    <n v="837946.72"/>
    <s v="436.11"/>
    <s v="gcali"/>
    <n v="0"/>
    <m/>
    <s v="COCA-ORELLANA"/>
    <m/>
    <m/>
    <m/>
  </r>
  <r>
    <x v="1"/>
    <x v="1"/>
    <d v="2022-12-16T00:00:00"/>
    <d v="2022-12-16T00:00:00"/>
    <s v="FE001"/>
    <s v="IM 100003467"/>
    <n v="110367"/>
    <s v="Traslados - CN1792079160001"/>
    <m/>
    <m/>
    <n v="101060401"/>
    <s v="Inventario de prod. term. y mercad. en Bodega BULLSYPPLY  Quito"/>
    <n v="544.51"/>
    <m/>
    <n v="544.51"/>
    <x v="3"/>
    <n v="838491.23"/>
    <s v="544.51"/>
    <s v="jcortiz"/>
    <n v="0"/>
    <m/>
    <m/>
    <m/>
    <m/>
    <m/>
  </r>
  <r>
    <x v="1"/>
    <x v="1"/>
    <d v="2022-12-16T00:00:00"/>
    <d v="2022-12-16T00:00:00"/>
    <s v="FE001"/>
    <s v="NE 100016084"/>
    <n v="110368"/>
    <s v="Entregas - CN1791768205001"/>
    <m/>
    <s v="COCA"/>
    <n v="51010102"/>
    <s v="Costo de Ventas Coca"/>
    <m/>
    <n v="405.66"/>
    <n v="-405.66"/>
    <x v="1"/>
    <n v="838085.57"/>
    <s v="-405.66"/>
    <s v="ancueva"/>
    <n v="0"/>
    <m/>
    <s v="COCA-ORELLANA"/>
    <m/>
    <m/>
    <m/>
  </r>
  <r>
    <x v="1"/>
    <x v="1"/>
    <d v="2022-12-16T00:00:00"/>
    <d v="2022-12-16T00:00:00"/>
    <s v="FE001"/>
    <s v="NE 100016085"/>
    <n v="110369"/>
    <s v="Entregas - CN1792874939001"/>
    <m/>
    <s v="COCA"/>
    <n v="51010102"/>
    <s v="Costo de Ventas Coca"/>
    <m/>
    <n v="436.11"/>
    <n v="-436.11"/>
    <x v="1"/>
    <n v="837649.46"/>
    <s v="-436.11"/>
    <s v="jcortiz"/>
    <n v="0"/>
    <m/>
    <s v="COCA-ORELLANA"/>
    <m/>
    <m/>
    <m/>
  </r>
  <r>
    <x v="1"/>
    <x v="1"/>
    <d v="2022-12-16T00:00:00"/>
    <d v="2022-12-16T00:00:00"/>
    <s v="FE001"/>
    <s v="NE 100016086"/>
    <n v="110371"/>
    <s v="Entregas - CN1791768205001"/>
    <m/>
    <s v="COCA"/>
    <n v="51010102"/>
    <s v="Costo de Ventas Coca"/>
    <m/>
    <n v="544.51"/>
    <n v="-544.51"/>
    <x v="1"/>
    <n v="837104.95"/>
    <s v="-544.51"/>
    <s v="jcortiz"/>
    <n v="0"/>
    <m/>
    <s v="COCA-ORELLANA"/>
    <m/>
    <m/>
    <m/>
  </r>
  <r>
    <x v="1"/>
    <x v="1"/>
    <d v="2022-12-19T00:00:00"/>
    <d v="2022-12-19T00:00:00"/>
    <s v="FE001"/>
    <s v="IM 100003470"/>
    <n v="110394"/>
    <s v="Traslados - CN1792079160001"/>
    <m/>
    <m/>
    <n v="101060401"/>
    <s v="Inventario de prod. term. y mercad. en Bodega BULLSYPPLY  Quito"/>
    <n v="1349.19"/>
    <m/>
    <n v="1349.19"/>
    <x v="3"/>
    <n v="838454.14"/>
    <s v="1349.19"/>
    <s v="jcortiz"/>
    <n v="0"/>
    <m/>
    <m/>
    <m/>
    <m/>
    <m/>
  </r>
  <r>
    <x v="1"/>
    <x v="1"/>
    <d v="2022-12-19T00:00:00"/>
    <d v="2022-12-19T00:00:00"/>
    <s v="FE001"/>
    <s v="NE 100016094"/>
    <n v="110395"/>
    <s v="Entregas - CN1792064082001"/>
    <m/>
    <s v="COCA"/>
    <n v="51010102"/>
    <s v="Costo de Ventas Coca"/>
    <m/>
    <n v="1349.19"/>
    <n v="-1349.19"/>
    <x v="1"/>
    <n v="837104.95"/>
    <s v="-1349.19"/>
    <s v="ancueva"/>
    <n v="0"/>
    <m/>
    <s v="COCA-ORELLANA"/>
    <m/>
    <m/>
    <m/>
  </r>
  <r>
    <x v="1"/>
    <x v="1"/>
    <d v="2022-12-19T00:00:00"/>
    <d v="2022-12-19T00:00:00"/>
    <s v="FE001"/>
    <s v="NE 100016097"/>
    <n v="110404"/>
    <s v="Entregas - CN1792452929001"/>
    <m/>
    <s v="COCA"/>
    <n v="51010102"/>
    <s v="Costo de Ventas Coca"/>
    <m/>
    <n v="17334.810000000001"/>
    <n v="-17334.810000000001"/>
    <x v="1"/>
    <n v="819770.14"/>
    <s v="-17334.81"/>
    <s v="ancueva"/>
    <n v="0"/>
    <m/>
    <s v="COCA-ORELLANA"/>
    <m/>
    <m/>
    <m/>
  </r>
  <r>
    <x v="1"/>
    <x v="1"/>
    <d v="2022-12-19T00:00:00"/>
    <d v="2022-12-19T00:00:00"/>
    <s v="FE001"/>
    <s v="IM 100003471"/>
    <n v="110406"/>
    <s v="Traslados - CN1792079160001"/>
    <m/>
    <m/>
    <n v="101060401"/>
    <s v="Inventario de prod. term. y mercad. en Bodega BULLSYPPLY  Quito"/>
    <n v="534.59"/>
    <m/>
    <n v="534.59"/>
    <x v="3"/>
    <n v="820304.73"/>
    <s v="534.59"/>
    <s v="jcortiz"/>
    <n v="0"/>
    <m/>
    <m/>
    <m/>
    <m/>
    <m/>
  </r>
  <r>
    <x v="1"/>
    <x v="1"/>
    <d v="2022-12-19T00:00:00"/>
    <d v="2022-12-19T00:00:00"/>
    <s v="FE001"/>
    <s v="NE 100016103"/>
    <n v="110414"/>
    <s v="Entregas - CN1792903890001"/>
    <m/>
    <s v="COCA"/>
    <n v="51010102"/>
    <s v="Costo de Ventas Coca"/>
    <m/>
    <n v="3190.34"/>
    <n v="-3190.34"/>
    <x v="1"/>
    <n v="817114.39"/>
    <s v="-3190.34"/>
    <s v="ancueva"/>
    <n v="0"/>
    <m/>
    <s v="COCA-ORELLANA"/>
    <m/>
    <m/>
    <m/>
  </r>
  <r>
    <x v="1"/>
    <x v="1"/>
    <d v="2022-12-20T00:00:00"/>
    <d v="2022-12-20T00:00:00"/>
    <s v="FE001"/>
    <s v="NE 100016111"/>
    <n v="110434"/>
    <s v="Entregas - CN1791847776001"/>
    <m/>
    <s v="COCA"/>
    <n v="51010102"/>
    <s v="Costo de Ventas Coca"/>
    <m/>
    <n v="124"/>
    <n v="-124"/>
    <x v="1"/>
    <n v="816990.39"/>
    <s v="-124.00"/>
    <s v="jcortiz"/>
    <n v="0"/>
    <m/>
    <s v="COCA-ORELLANA"/>
    <m/>
    <m/>
    <m/>
  </r>
  <r>
    <x v="1"/>
    <x v="1"/>
    <d v="2022-12-20T00:00:00"/>
    <d v="2022-12-20T00:00:00"/>
    <s v="FE001"/>
    <s v="NE 100016113"/>
    <n v="110436"/>
    <s v="Entregas - CN1791847776001"/>
    <m/>
    <s v="COCA"/>
    <n v="51010102"/>
    <s v="Costo de Ventas Coca"/>
    <m/>
    <n v="100.62"/>
    <n v="-100.62"/>
    <x v="1"/>
    <n v="816889.77"/>
    <s v="-100.62"/>
    <s v="jcortiz"/>
    <n v="0"/>
    <m/>
    <s v="COCA-ORELLANA"/>
    <m/>
    <m/>
    <m/>
  </r>
  <r>
    <x v="1"/>
    <x v="1"/>
    <d v="2022-12-20T00:00:00"/>
    <d v="2022-12-20T00:00:00"/>
    <s v="FE001"/>
    <s v="IM 100003473"/>
    <n v="110444"/>
    <s v="Traslados - CN1792079160001"/>
    <m/>
    <m/>
    <n v="101060401"/>
    <s v="Inventario de prod. term. y mercad. en Bodega BULLSYPPLY  Quito"/>
    <n v="89047.07"/>
    <m/>
    <n v="89047.07"/>
    <x v="3"/>
    <n v="905936.84"/>
    <s v="89047.07"/>
    <s v="jcortiz"/>
    <n v="0"/>
    <m/>
    <m/>
    <m/>
    <m/>
    <m/>
  </r>
  <r>
    <x v="1"/>
    <x v="1"/>
    <d v="2022-12-20T00:00:00"/>
    <d v="2022-12-20T00:00:00"/>
    <s v="FE001"/>
    <s v="IM 100003474"/>
    <n v="110446"/>
    <s v="Traslados -"/>
    <m/>
    <m/>
    <n v="101060401"/>
    <s v="Inventario de prod. term. y mercad. en Bodega BULLSYPPLY  Quito"/>
    <m/>
    <n v="88299.23"/>
    <n v="-88299.23"/>
    <x v="3"/>
    <n v="817637.61"/>
    <s v="-88299.23"/>
    <s v="jcortiz"/>
    <n v="0"/>
    <m/>
    <m/>
    <m/>
    <m/>
    <m/>
  </r>
  <r>
    <x v="1"/>
    <x v="1"/>
    <d v="2022-12-20T00:00:00"/>
    <d v="2022-12-20T00:00:00"/>
    <s v="FE001"/>
    <s v="IM 100003475"/>
    <n v="110455"/>
    <s v="Traslados - CN1792079160001"/>
    <m/>
    <m/>
    <n v="101060401"/>
    <s v="Inventario de prod. term. y mercad. en Bodega BULLSYPPLY  Quito"/>
    <n v="42044.34"/>
    <m/>
    <n v="42044.34"/>
    <x v="3"/>
    <n v="859681.95"/>
    <s v="42044.34"/>
    <s v="jcortiz"/>
    <n v="0"/>
    <m/>
    <m/>
    <m/>
    <m/>
    <m/>
  </r>
  <r>
    <x v="1"/>
    <x v="1"/>
    <d v="2022-12-20T00:00:00"/>
    <d v="2022-12-20T00:00:00"/>
    <s v="FE001"/>
    <s v="IM 100003476"/>
    <n v="110471"/>
    <s v="Traslados - CN1792079160001"/>
    <m/>
    <m/>
    <n v="101060401"/>
    <s v="Inventario de prod. term. y mercad. en Bodega BULLSYPPLY  Quito"/>
    <m/>
    <n v="99.6"/>
    <n v="-99.6"/>
    <x v="3"/>
    <n v="859582.35"/>
    <s v="-99.60"/>
    <s v="ancueva"/>
    <n v="0"/>
    <m/>
    <m/>
    <m/>
    <m/>
    <m/>
  </r>
  <r>
    <x v="1"/>
    <x v="1"/>
    <d v="2022-12-20T00:00:00"/>
    <d v="2022-12-20T00:00:00"/>
    <s v="FE001"/>
    <s v="NE 100016123"/>
    <n v="110482"/>
    <s v="Entregas - CN1791263308001"/>
    <m/>
    <s v="COCA"/>
    <n v="51010102"/>
    <s v="Costo de Ventas Coca"/>
    <m/>
    <n v="4616.22"/>
    <n v="-4616.22"/>
    <x v="1"/>
    <n v="854966.13"/>
    <s v="-4616.22"/>
    <s v="ancueva"/>
    <n v="0"/>
    <m/>
    <s v="COCA-ORELLANA"/>
    <m/>
    <m/>
    <m/>
  </r>
  <r>
    <x v="1"/>
    <x v="1"/>
    <d v="2022-12-20T00:00:00"/>
    <d v="2022-12-20T00:00:00"/>
    <s v="FE001"/>
    <s v="IM 100003477"/>
    <n v="110500"/>
    <s v="Traslados - CN1792079160001"/>
    <m/>
    <m/>
    <n v="101060401"/>
    <s v="Inventario de prod. term. y mercad. en Bodega BULLSYPPLY  Quito"/>
    <m/>
    <n v="35.18"/>
    <n v="-35.18"/>
    <x v="3"/>
    <n v="854930.95"/>
    <s v="-35.18"/>
    <s v="ancueva"/>
    <n v="0"/>
    <m/>
    <m/>
    <m/>
    <m/>
    <m/>
  </r>
  <r>
    <x v="1"/>
    <x v="1"/>
    <d v="2022-12-20T00:00:00"/>
    <d v="2022-12-20T00:00:00"/>
    <s v="FE001"/>
    <s v="NE 100016131"/>
    <n v="110513"/>
    <s v="Entregas - CN1792371694001"/>
    <m/>
    <s v="COCA"/>
    <n v="51010102"/>
    <s v="Costo de Ventas Coca"/>
    <m/>
    <n v="1249.1500000000001"/>
    <n v="-1249.1500000000001"/>
    <x v="1"/>
    <n v="853681.8"/>
    <s v="-1249.15"/>
    <s v="ancueva"/>
    <n v="0"/>
    <m/>
    <s v="COCA-ORELLANA"/>
    <m/>
    <m/>
    <m/>
  </r>
  <r>
    <x v="1"/>
    <x v="1"/>
    <d v="2022-12-20T00:00:00"/>
    <d v="2022-12-20T00:00:00"/>
    <s v="FE001"/>
    <s v="NE 100016131"/>
    <n v="110513"/>
    <s v="Entregas - CN1792371694001"/>
    <m/>
    <s v="COCA"/>
    <n v="51010102"/>
    <s v="Costo de Ventas Coca"/>
    <m/>
    <n v="67.8"/>
    <n v="-67.8"/>
    <x v="1"/>
    <n v="853614"/>
    <s v="-67.80"/>
    <s v="ancueva"/>
    <n v="0"/>
    <m/>
    <s v="COCA-ORELLANA"/>
    <m/>
    <m/>
    <m/>
  </r>
  <r>
    <x v="1"/>
    <x v="1"/>
    <d v="2022-12-20T00:00:00"/>
    <d v="2022-12-20T00:00:00"/>
    <s v="FE001"/>
    <s v="NE 100016132"/>
    <n v="110515"/>
    <s v="Entregas - CN1791263308001"/>
    <m/>
    <s v="COCA"/>
    <n v="51010102"/>
    <s v="Costo de Ventas Coca"/>
    <m/>
    <n v="5327.33"/>
    <n v="-5327.33"/>
    <x v="1"/>
    <n v="848286.67"/>
    <s v="-5327.33"/>
    <s v="ancueva"/>
    <n v="0"/>
    <m/>
    <s v="COCA-ORELLANA"/>
    <m/>
    <m/>
    <m/>
  </r>
  <r>
    <x v="1"/>
    <x v="1"/>
    <d v="2022-12-21T00:00:00"/>
    <d v="2022-12-21T00:00:00"/>
    <s v="FE001"/>
    <s v="IM 100003478"/>
    <n v="110520"/>
    <s v="Traslados - CN1792079160001"/>
    <m/>
    <m/>
    <n v="101060401"/>
    <s v="Inventario de prod. term. y mercad. en Bodega BULLSYPPLY  Quito"/>
    <m/>
    <n v="75.680000000000007"/>
    <n v="-75.680000000000007"/>
    <x v="3"/>
    <n v="848210.99"/>
    <s v="-75.68"/>
    <s v="jcortiz"/>
    <n v="0"/>
    <m/>
    <m/>
    <m/>
    <m/>
    <m/>
  </r>
  <r>
    <x v="1"/>
    <x v="1"/>
    <d v="2022-12-21T00:00:00"/>
    <d v="2022-12-21T00:00:00"/>
    <s v="FE001"/>
    <s v="NE 100016138"/>
    <n v="110530"/>
    <s v="Entregas - CN1791768205001"/>
    <m/>
    <s v="COCA"/>
    <n v="51010102"/>
    <s v="Costo de Ventas Coca"/>
    <m/>
    <n v="386.71"/>
    <n v="-386.71"/>
    <x v="1"/>
    <n v="847824.28"/>
    <s v="-386.71"/>
    <s v="ancueva"/>
    <n v="0"/>
    <m/>
    <s v="COCA-ORELLANA"/>
    <m/>
    <m/>
    <m/>
  </r>
  <r>
    <x v="1"/>
    <x v="1"/>
    <d v="2022-12-21T00:00:00"/>
    <d v="2022-12-21T00:00:00"/>
    <s v="FE001"/>
    <s v="NE 100016141"/>
    <n v="110538"/>
    <s v="Entregas - CN1803843182001"/>
    <m/>
    <s v="COCA"/>
    <n v="51010102"/>
    <s v="Costo de Ventas Coca"/>
    <m/>
    <n v="1324.01"/>
    <n v="-1324.01"/>
    <x v="1"/>
    <n v="846500.27"/>
    <s v="-1324.01"/>
    <s v="ancueva"/>
    <n v="0"/>
    <m/>
    <s v="COCA-ORELLANA"/>
    <m/>
    <m/>
    <m/>
  </r>
  <r>
    <x v="1"/>
    <x v="1"/>
    <d v="2022-12-21T00:00:00"/>
    <d v="2022-12-21T00:00:00"/>
    <s v="FE001"/>
    <s v="NE 100016147"/>
    <n v="110552"/>
    <s v="Entregas - CN1791263308001"/>
    <m/>
    <s v="COCA"/>
    <n v="51010102"/>
    <s v="Costo de Ventas Coca"/>
    <m/>
    <n v="233.6"/>
    <n v="-233.6"/>
    <x v="1"/>
    <n v="846266.67"/>
    <s v="-233.60"/>
    <s v="ancueva"/>
    <n v="0"/>
    <m/>
    <s v="COCA-ORELLANA"/>
    <m/>
    <m/>
    <m/>
  </r>
  <r>
    <x v="1"/>
    <x v="1"/>
    <d v="2022-12-21T00:00:00"/>
    <d v="2022-12-21T00:00:00"/>
    <s v="FE001"/>
    <s v="NE 100016153"/>
    <n v="110576"/>
    <s v="Entregas - CN1791263308001"/>
    <m/>
    <s v="COCA"/>
    <n v="51010102"/>
    <s v="Costo de Ventas Coca"/>
    <m/>
    <n v="1317.37"/>
    <n v="-1317.37"/>
    <x v="1"/>
    <n v="844949.3"/>
    <s v="-1317.37"/>
    <s v="ancueva"/>
    <n v="0"/>
    <m/>
    <s v="COCA-ORELLANA"/>
    <m/>
    <m/>
    <m/>
  </r>
  <r>
    <x v="1"/>
    <x v="1"/>
    <d v="2022-12-21T00:00:00"/>
    <d v="2022-12-21T00:00:00"/>
    <s v="FE001"/>
    <s v="IM 100003479"/>
    <n v="110580"/>
    <s v="Traslados - CN1792079160001"/>
    <m/>
    <m/>
    <n v="101060401"/>
    <s v="Inventario de prod. term. y mercad. en Bodega BULLSYPPLY  Quito"/>
    <m/>
    <n v="63.83"/>
    <n v="-63.83"/>
    <x v="3"/>
    <n v="844885.47"/>
    <s v="-63.83"/>
    <s v="ancueva"/>
    <n v="0"/>
    <m/>
    <m/>
    <m/>
    <m/>
    <m/>
  </r>
  <r>
    <x v="1"/>
    <x v="1"/>
    <d v="2022-12-21T00:00:00"/>
    <d v="2022-12-21T00:00:00"/>
    <s v="FE001"/>
    <s v="IM 100003481"/>
    <n v="110591"/>
    <s v="Traslados - CN1792079160001"/>
    <m/>
    <m/>
    <n v="101060401"/>
    <s v="Inventario de prod. term. y mercad. en Bodega BULLSYPPLY  Quito"/>
    <n v="20266.14"/>
    <m/>
    <n v="20266.14"/>
    <x v="3"/>
    <n v="865151.61"/>
    <s v="20266.14"/>
    <s v="jcortiz"/>
    <n v="0"/>
    <m/>
    <m/>
    <m/>
    <m/>
    <m/>
  </r>
  <r>
    <x v="1"/>
    <x v="1"/>
    <d v="2022-12-21T00:00:00"/>
    <d v="2022-12-21T00:00:00"/>
    <s v="FE001"/>
    <s v="IM 100003482"/>
    <n v="110592"/>
    <s v="Traslados -"/>
    <m/>
    <m/>
    <n v="101060401"/>
    <s v="Inventario de prod. term. y mercad. en Bodega BULLSYPPLY  Quito"/>
    <m/>
    <n v="20249.89"/>
    <n v="-20249.89"/>
    <x v="3"/>
    <n v="844901.72"/>
    <s v="-20249.89"/>
    <s v="jcortiz"/>
    <n v="0"/>
    <m/>
    <m/>
    <m/>
    <m/>
    <m/>
  </r>
  <r>
    <x v="1"/>
    <x v="1"/>
    <d v="2022-12-22T00:00:00"/>
    <d v="2022-12-22T00:00:00"/>
    <s v="FE001"/>
    <s v="NE 100016161"/>
    <n v="110601"/>
    <s v="Entregas - CN1791263308001"/>
    <m/>
    <s v="COCA"/>
    <n v="51010102"/>
    <s v="Costo de Ventas Coca"/>
    <m/>
    <n v="33.020000000000003"/>
    <n v="-33.020000000000003"/>
    <x v="1"/>
    <n v="844868.7"/>
    <s v="-33.02"/>
    <s v="ancueva"/>
    <n v="0"/>
    <m/>
    <s v="COCA-ORELLANA"/>
    <m/>
    <m/>
    <m/>
  </r>
  <r>
    <x v="1"/>
    <x v="1"/>
    <d v="2022-12-22T00:00:00"/>
    <d v="2022-12-22T00:00:00"/>
    <s v="FE001"/>
    <s v="NE 100016162"/>
    <n v="110602"/>
    <s v="Entregas - CN1791263308001"/>
    <m/>
    <s v="COCA"/>
    <n v="51010102"/>
    <s v="Costo de Ventas Coca"/>
    <m/>
    <n v="9.77"/>
    <n v="-9.77"/>
    <x v="1"/>
    <n v="844858.93"/>
    <s v="-9.77"/>
    <s v="ancueva"/>
    <n v="0"/>
    <m/>
    <s v="COCA-ORELLANA"/>
    <m/>
    <m/>
    <m/>
  </r>
  <r>
    <x v="1"/>
    <x v="1"/>
    <d v="2022-12-22T00:00:00"/>
    <d v="2022-12-22T00:00:00"/>
    <s v="FE001"/>
    <s v="NE 100016163"/>
    <n v="110604"/>
    <s v="Entregas - CN1791263308001"/>
    <m/>
    <s v="COCA"/>
    <n v="51010102"/>
    <s v="Costo de Ventas Coca"/>
    <m/>
    <n v="301.13"/>
    <n v="-301.13"/>
    <x v="1"/>
    <n v="844557.8"/>
    <s v="-301.13"/>
    <s v="ancueva"/>
    <n v="0"/>
    <m/>
    <s v="COCA-ORELLANA"/>
    <m/>
    <m/>
    <m/>
  </r>
  <r>
    <x v="1"/>
    <x v="1"/>
    <d v="2022-12-22T00:00:00"/>
    <d v="2022-12-22T00:00:00"/>
    <s v="FE001"/>
    <s v="IM 100003485"/>
    <n v="110607"/>
    <s v="Traslados - CN1792079160001"/>
    <m/>
    <m/>
    <n v="101060401"/>
    <s v="Inventario de prod. term. y mercad. en Bodega BULLSYPPLY  Quito"/>
    <n v="34550.120000000003"/>
    <m/>
    <n v="34550.120000000003"/>
    <x v="3"/>
    <n v="879107.92"/>
    <s v="34550.12"/>
    <s v="jcortiz"/>
    <n v="0"/>
    <m/>
    <m/>
    <m/>
    <m/>
    <m/>
  </r>
  <r>
    <x v="1"/>
    <x v="1"/>
    <d v="2022-12-22T00:00:00"/>
    <d v="2022-12-22T00:00:00"/>
    <s v="FE001"/>
    <s v="IM 100003486"/>
    <n v="110608"/>
    <s v="Traslados -"/>
    <m/>
    <m/>
    <n v="101060401"/>
    <s v="Inventario de prod. term. y mercad. en Bodega BULLSYPPLY  Quito"/>
    <m/>
    <n v="34550.120000000003"/>
    <n v="-34550.120000000003"/>
    <x v="3"/>
    <n v="844557.8"/>
    <s v="-34550.12"/>
    <s v="jcortiz"/>
    <n v="0"/>
    <m/>
    <m/>
    <m/>
    <m/>
    <m/>
  </r>
  <r>
    <x v="1"/>
    <x v="1"/>
    <d v="2022-12-22T00:00:00"/>
    <d v="2022-12-22T00:00:00"/>
    <s v="FE001"/>
    <s v="IM 100003487"/>
    <n v="110618"/>
    <s v="Traslados - CN1792079160001"/>
    <m/>
    <m/>
    <n v="101060401"/>
    <s v="Inventario de prod. term. y mercad. en Bodega BULLSYPPLY  Quito"/>
    <n v="9608.99"/>
    <m/>
    <n v="9608.99"/>
    <x v="3"/>
    <n v="854166.79"/>
    <s v="9608.99"/>
    <s v="jcortiz"/>
    <n v="0"/>
    <m/>
    <m/>
    <m/>
    <m/>
    <m/>
  </r>
  <r>
    <x v="1"/>
    <x v="1"/>
    <d v="2022-12-22T00:00:00"/>
    <d v="2022-12-22T00:00:00"/>
    <s v="FE001"/>
    <s v="NE 100016173"/>
    <n v="110654"/>
    <s v="Entregas - CN1791804619001"/>
    <m/>
    <s v="COCA"/>
    <n v="51010102"/>
    <s v="Costo de Ventas Coca"/>
    <m/>
    <n v="936.09"/>
    <n v="-936.09"/>
    <x v="1"/>
    <n v="853230.7"/>
    <s v="-936.09"/>
    <s v="ancueva"/>
    <n v="0"/>
    <m/>
    <s v="COCA-ORELLANA"/>
    <m/>
    <m/>
    <m/>
  </r>
  <r>
    <x v="1"/>
    <x v="1"/>
    <d v="2022-12-27T00:00:00"/>
    <d v="2022-12-27T00:00:00"/>
    <s v="FE001"/>
    <s v="NE 100016180"/>
    <n v="110686"/>
    <s v="Entregas - CN1791263308001"/>
    <m/>
    <s v="COCA"/>
    <n v="51010102"/>
    <s v="Costo de Ventas Coca"/>
    <m/>
    <n v="1271.92"/>
    <n v="-1271.92"/>
    <x v="1"/>
    <n v="851958.78"/>
    <s v="-1271.92"/>
    <s v="ancueva"/>
    <n v="0"/>
    <m/>
    <s v="COCA-ORELLANA"/>
    <m/>
    <m/>
    <m/>
  </r>
  <r>
    <x v="1"/>
    <x v="1"/>
    <d v="2022-12-27T00:00:00"/>
    <d v="2022-12-27T00:00:00"/>
    <s v="FE001"/>
    <s v="NE 100016181"/>
    <n v="110689"/>
    <s v="Entregas - CN1791263308001"/>
    <m/>
    <s v="COCA"/>
    <n v="51010102"/>
    <s v="Costo de Ventas Coca"/>
    <m/>
    <n v="158.84"/>
    <n v="-158.84"/>
    <x v="1"/>
    <n v="851799.94"/>
    <s v="-158.84"/>
    <s v="ancueva"/>
    <n v="0"/>
    <m/>
    <s v="COCA-ORELLANA"/>
    <m/>
    <m/>
    <m/>
  </r>
  <r>
    <x v="1"/>
    <x v="1"/>
    <d v="2022-12-27T00:00:00"/>
    <d v="2022-12-27T00:00:00"/>
    <s v="FE001"/>
    <s v="NE 100016182"/>
    <n v="110703"/>
    <s v="Entregas - CN1791265416001"/>
    <m/>
    <s v="COCA"/>
    <n v="51010102"/>
    <s v="Costo de Ventas Coca"/>
    <m/>
    <n v="50.28"/>
    <n v="-50.28"/>
    <x v="1"/>
    <n v="851749.66"/>
    <s v="-50.28"/>
    <s v="ancueva"/>
    <n v="0"/>
    <m/>
    <s v="COCA-ORELLANA"/>
    <m/>
    <m/>
    <m/>
  </r>
  <r>
    <x v="1"/>
    <x v="1"/>
    <d v="2022-12-27T00:00:00"/>
    <d v="2022-12-27T00:00:00"/>
    <s v="FE001"/>
    <s v="NE 100016184"/>
    <n v="110729"/>
    <s v="Entregas - CN1792452929001"/>
    <m/>
    <s v="COCA"/>
    <n v="51010102"/>
    <s v="Costo de Ventas Coca"/>
    <m/>
    <n v="1682.66"/>
    <n v="-1682.66"/>
    <x v="1"/>
    <n v="850067"/>
    <s v="-1682.66"/>
    <s v="ancueva"/>
    <n v="0"/>
    <m/>
    <s v="COCA-ORELLANA"/>
    <m/>
    <m/>
    <m/>
  </r>
  <r>
    <x v="1"/>
    <x v="1"/>
    <d v="2022-12-27T00:00:00"/>
    <d v="2022-12-27T00:00:00"/>
    <s v="FE001"/>
    <s v="IM 100003489"/>
    <n v="110736"/>
    <s v="Traslados - CN1792079160001"/>
    <m/>
    <m/>
    <n v="101060401"/>
    <s v="Inventario de prod. term. y mercad. en Bodega BULLSYPPLY  Quito"/>
    <n v="31344.080000000002"/>
    <m/>
    <n v="31344.080000000002"/>
    <x v="3"/>
    <n v="881411.08"/>
    <s v="31344.08"/>
    <s v="jcortiz"/>
    <n v="0"/>
    <m/>
    <m/>
    <m/>
    <m/>
    <m/>
  </r>
  <r>
    <x v="1"/>
    <x v="1"/>
    <d v="2022-12-27T00:00:00"/>
    <d v="2022-12-27T00:00:00"/>
    <s v="FE001"/>
    <s v="IM 100003490"/>
    <n v="110737"/>
    <s v="Traslados -"/>
    <m/>
    <m/>
    <n v="101060401"/>
    <s v="Inventario de prod. term. y mercad. en Bodega BULLSYPPLY  Quito"/>
    <m/>
    <n v="31344.080000000002"/>
    <n v="-31344.080000000002"/>
    <x v="3"/>
    <n v="850067"/>
    <s v="-31344.08"/>
    <s v="jcortiz"/>
    <n v="0"/>
    <m/>
    <m/>
    <m/>
    <m/>
    <m/>
  </r>
  <r>
    <x v="1"/>
    <x v="1"/>
    <d v="2022-12-27T00:00:00"/>
    <d v="2022-12-27T00:00:00"/>
    <s v="FE001"/>
    <s v="NE 100016187"/>
    <n v="110765"/>
    <s v="Entregas - CN1791263308001"/>
    <m/>
    <s v="COCA"/>
    <n v="51010102"/>
    <s v="Costo de Ventas Coca"/>
    <m/>
    <n v="1068.02"/>
    <n v="-1068.02"/>
    <x v="1"/>
    <n v="848998.98"/>
    <s v="-1068.02"/>
    <s v="ancueva"/>
    <n v="0"/>
    <m/>
    <s v="COCA-ORELLANA"/>
    <m/>
    <m/>
    <m/>
  </r>
  <r>
    <x v="1"/>
    <x v="1"/>
    <d v="2022-12-27T00:00:00"/>
    <d v="2022-12-27T00:00:00"/>
    <s v="FE001"/>
    <s v="IM 100003492"/>
    <n v="110784"/>
    <s v="Traslados - CN1792079160001"/>
    <m/>
    <m/>
    <n v="101060401"/>
    <s v="Inventario de prod. term. y mercad. en Bodega BULLSYPPLY  Quito"/>
    <n v="87431.93"/>
    <m/>
    <n v="87431.93"/>
    <x v="3"/>
    <n v="936430.91"/>
    <s v="87431.93"/>
    <s v="jcortiz"/>
    <n v="0"/>
    <m/>
    <m/>
    <m/>
    <m/>
    <m/>
  </r>
  <r>
    <x v="1"/>
    <x v="1"/>
    <d v="2022-12-28T00:00:00"/>
    <d v="2022-12-28T00:00:00"/>
    <s v="FE001"/>
    <s v="NE 100016191"/>
    <n v="110793"/>
    <s v="Entregas - CN1791263308001"/>
    <m/>
    <s v="COCA"/>
    <n v="51010102"/>
    <s v="Costo de Ventas Coca"/>
    <m/>
    <n v="56.15"/>
    <n v="-56.15"/>
    <x v="1"/>
    <n v="936374.76"/>
    <s v="-56.15"/>
    <s v="ancueva"/>
    <n v="0"/>
    <m/>
    <s v="COCA-ORELLANA"/>
    <m/>
    <m/>
    <m/>
  </r>
  <r>
    <x v="1"/>
    <x v="1"/>
    <d v="2022-12-28T00:00:00"/>
    <d v="2022-12-28T00:00:00"/>
    <s v="FE001"/>
    <s v="NE 100016196"/>
    <n v="110803"/>
    <s v="Entregas - CN1791263308001"/>
    <m/>
    <s v="COCA"/>
    <n v="51010102"/>
    <s v="Costo de Ventas Coca"/>
    <m/>
    <n v="38.700000000000003"/>
    <n v="-38.700000000000003"/>
    <x v="1"/>
    <n v="936336.06"/>
    <s v="-38.70"/>
    <s v="ancueva"/>
    <n v="0"/>
    <m/>
    <s v="COCA-ORELLANA"/>
    <m/>
    <m/>
    <m/>
  </r>
  <r>
    <x v="1"/>
    <x v="1"/>
    <d v="2022-12-28T00:00:00"/>
    <d v="2022-12-28T00:00:00"/>
    <s v="FE001"/>
    <s v="IM 100003493"/>
    <n v="110805"/>
    <s v="Traslados - CN1792079160001"/>
    <m/>
    <m/>
    <n v="101060401"/>
    <s v="Inventario de prod. term. y mercad. en Bodega BULLSYPPLY  Quito"/>
    <n v="6216.7"/>
    <m/>
    <n v="6216.7"/>
    <x v="3"/>
    <n v="942552.76"/>
    <s v="6216.70"/>
    <s v="jcortiz"/>
    <n v="0"/>
    <m/>
    <m/>
    <m/>
    <m/>
    <m/>
  </r>
  <r>
    <x v="1"/>
    <x v="1"/>
    <d v="2022-12-28T00:00:00"/>
    <d v="2022-12-28T00:00:00"/>
    <s v="FE001"/>
    <s v="NE 100016198"/>
    <n v="110807"/>
    <s v="Entregas - CN1793121225001"/>
    <m/>
    <s v="COCA"/>
    <n v="51010102"/>
    <s v="Costo de Ventas Coca"/>
    <m/>
    <n v="2826.2"/>
    <n v="-2826.2"/>
    <x v="1"/>
    <n v="939726.56"/>
    <s v="-2826.20"/>
    <s v="jcortiz"/>
    <n v="0"/>
    <m/>
    <s v="COCA-ORELLANA"/>
    <m/>
    <m/>
    <m/>
  </r>
  <r>
    <x v="1"/>
    <x v="1"/>
    <d v="2022-12-28T00:00:00"/>
    <d v="2022-12-28T00:00:00"/>
    <s v="FE001"/>
    <s v="NE 100016201"/>
    <n v="110810"/>
    <s v="Entregas - CN1792371694001"/>
    <m/>
    <s v="COCA"/>
    <n v="51010102"/>
    <s v="Costo de Ventas Coca"/>
    <m/>
    <n v="5702.51"/>
    <n v="-5702.51"/>
    <x v="1"/>
    <n v="934024.05"/>
    <s v="-5702.51"/>
    <s v="ancueva"/>
    <n v="0"/>
    <m/>
    <s v="COCA-ORELLANA"/>
    <m/>
    <m/>
    <m/>
  </r>
  <r>
    <x v="1"/>
    <x v="1"/>
    <d v="2022-12-28T00:00:00"/>
    <d v="2022-12-28T00:00:00"/>
    <s v="FE001"/>
    <s v="NE 100016201"/>
    <n v="110810"/>
    <s v="Entregas - CN1792371694001"/>
    <m/>
    <s v="COCA"/>
    <n v="51010102"/>
    <s v="Costo de Ventas Coca"/>
    <m/>
    <n v="3353.28"/>
    <n v="-3353.28"/>
    <x v="1"/>
    <n v="930670.77"/>
    <s v="-3353.28"/>
    <s v="ancueva"/>
    <n v="0"/>
    <m/>
    <s v="COCA-ORELLANA"/>
    <m/>
    <m/>
    <m/>
  </r>
  <r>
    <x v="1"/>
    <x v="1"/>
    <d v="2022-12-28T00:00:00"/>
    <d v="2022-12-28T00:00:00"/>
    <s v="FE001"/>
    <s v="IM 100003494"/>
    <n v="110838"/>
    <s v="Traslados - CN1792079160001"/>
    <m/>
    <m/>
    <n v="101060401"/>
    <s v="Inventario de prod. term. y mercad. en Bodega BULLSYPPLY  Quito"/>
    <m/>
    <n v="223.47"/>
    <n v="-223.47"/>
    <x v="3"/>
    <n v="930447.3"/>
    <s v="-223.47"/>
    <s v="ancueva"/>
    <n v="0"/>
    <m/>
    <m/>
    <m/>
    <m/>
    <m/>
  </r>
  <r>
    <x v="1"/>
    <x v="1"/>
    <d v="2022-12-28T00:00:00"/>
    <d v="2022-12-28T00:00:00"/>
    <s v="FE001"/>
    <s v="NE 100016205"/>
    <n v="110852"/>
    <s v="Entrega - Cancelación - CN1792371694001"/>
    <m/>
    <s v="COCA"/>
    <n v="51010102"/>
    <s v="Costo de Ventas Coca"/>
    <n v="5702.51"/>
    <m/>
    <n v="5702.51"/>
    <x v="1"/>
    <n v="936149.81"/>
    <s v="5702.51"/>
    <s v="ancueva"/>
    <n v="0"/>
    <m/>
    <s v="COCA-ORELLANA"/>
    <m/>
    <m/>
    <m/>
  </r>
  <r>
    <x v="1"/>
    <x v="1"/>
    <d v="2022-12-28T00:00:00"/>
    <d v="2022-12-28T00:00:00"/>
    <s v="FE001"/>
    <s v="NE 100016205"/>
    <n v="110852"/>
    <s v="Entrega - Cancelación - CN1792371694001"/>
    <m/>
    <s v="COCA"/>
    <n v="51010102"/>
    <s v="Costo de Ventas Coca"/>
    <n v="3353.28"/>
    <m/>
    <n v="3353.28"/>
    <x v="1"/>
    <n v="939503.09"/>
    <s v="3353.28"/>
    <s v="ancueva"/>
    <n v="0"/>
    <m/>
    <s v="COCA-ORELLANA"/>
    <m/>
    <m/>
    <m/>
  </r>
  <r>
    <x v="1"/>
    <x v="1"/>
    <d v="2022-12-28T00:00:00"/>
    <d v="2022-12-28T00:00:00"/>
    <s v="FE001"/>
    <s v="NE 100016206"/>
    <n v="110854"/>
    <s v="Entregas - CN1792371694001"/>
    <m/>
    <s v="COCA"/>
    <n v="51010102"/>
    <s v="Costo de Ventas Coca"/>
    <m/>
    <n v="5655.31"/>
    <n v="-5655.31"/>
    <x v="1"/>
    <n v="933847.78"/>
    <s v="-5655.31"/>
    <s v="ancueva"/>
    <n v="0"/>
    <m/>
    <s v="COCA-ORELLANA"/>
    <m/>
    <m/>
    <m/>
  </r>
  <r>
    <x v="1"/>
    <x v="1"/>
    <d v="2022-12-28T00:00:00"/>
    <d v="2022-12-28T00:00:00"/>
    <s v="FE001"/>
    <s v="NE 100016206"/>
    <n v="110854"/>
    <s v="Entregas - CN1792371694001"/>
    <m/>
    <s v="COCA"/>
    <n v="51010102"/>
    <s v="Costo de Ventas Coca"/>
    <m/>
    <n v="3353.28"/>
    <n v="-3353.28"/>
    <x v="1"/>
    <n v="930494.5"/>
    <s v="-3353.28"/>
    <s v="ancueva"/>
    <n v="0"/>
    <m/>
    <s v="COCA-ORELLANA"/>
    <m/>
    <m/>
    <m/>
  </r>
  <r>
    <x v="1"/>
    <x v="1"/>
    <d v="2022-12-28T00:00:00"/>
    <d v="2022-12-28T00:00:00"/>
    <s v="FE001"/>
    <s v="IM 100003496"/>
    <n v="110880"/>
    <s v="Traslados - CN1792079160001"/>
    <m/>
    <m/>
    <n v="101060401"/>
    <s v="Inventario de prod. term. y mercad. en Bodega BULLSYPPLY  Quito"/>
    <n v="3591.22"/>
    <m/>
    <n v="3591.22"/>
    <x v="3"/>
    <n v="934085.72"/>
    <s v="3591.22"/>
    <s v="jcortiz"/>
    <n v="0"/>
    <m/>
    <m/>
    <m/>
    <m/>
    <m/>
  </r>
  <r>
    <x v="1"/>
    <x v="1"/>
    <d v="2022-12-28T00:00:00"/>
    <d v="2022-12-28T00:00:00"/>
    <s v="FE001"/>
    <s v="IM 100003497"/>
    <n v="110881"/>
    <s v="Traslados -"/>
    <m/>
    <m/>
    <n v="101060401"/>
    <s v="Inventario de prod. term. y mercad. en Bodega BULLSYPPLY  Quito"/>
    <m/>
    <n v="3591.22"/>
    <n v="-3591.22"/>
    <x v="3"/>
    <n v="930494.5"/>
    <s v="-3591.22"/>
    <s v="jcortiz"/>
    <n v="0"/>
    <m/>
    <m/>
    <m/>
    <m/>
    <m/>
  </r>
  <r>
    <x v="1"/>
    <x v="1"/>
    <d v="2022-12-29T00:00:00"/>
    <d v="2022-12-29T00:00:00"/>
    <s v="FE001"/>
    <s v="NE 100016209"/>
    <n v="110896"/>
    <s v="Entregas - CN1791263308001"/>
    <m/>
    <s v="COCA"/>
    <n v="51010102"/>
    <s v="Costo de Ventas Coca"/>
    <m/>
    <n v="1602.39"/>
    <n v="-1602.39"/>
    <x v="1"/>
    <n v="928892.11"/>
    <s v="-1602.39"/>
    <s v="ancueva"/>
    <n v="0"/>
    <m/>
    <s v="COCA-ORELLANA"/>
    <m/>
    <m/>
    <m/>
  </r>
  <r>
    <x v="1"/>
    <x v="1"/>
    <d v="2022-12-29T00:00:00"/>
    <d v="2022-12-29T00:00:00"/>
    <s v="FE001"/>
    <s v="NE 100016213"/>
    <n v="110909"/>
    <s v="Entregas - CN1792067111001"/>
    <m/>
    <s v="COCA"/>
    <n v="51010102"/>
    <s v="Costo de Ventas Coca"/>
    <m/>
    <n v="1621.92"/>
    <n v="-1621.92"/>
    <x v="1"/>
    <n v="927270.19"/>
    <s v="-1621.92"/>
    <s v="jcortiz"/>
    <n v="0"/>
    <m/>
    <s v="COCA-ORELLANA"/>
    <m/>
    <m/>
    <m/>
  </r>
  <r>
    <x v="1"/>
    <x v="1"/>
    <d v="2022-12-29T00:00:00"/>
    <d v="2022-12-29T00:00:00"/>
    <s v="FE001"/>
    <s v="NE 100016215"/>
    <n v="110933"/>
    <s v="Entregas - CN1792371694001"/>
    <m/>
    <s v="COCA"/>
    <n v="51010102"/>
    <s v="Costo de Ventas Coca"/>
    <m/>
    <n v="10059.85"/>
    <n v="-10059.85"/>
    <x v="1"/>
    <n v="917210.34"/>
    <s v="-10059.85"/>
    <s v="ancueva"/>
    <n v="0"/>
    <m/>
    <s v="COCA-ORELLANA"/>
    <m/>
    <m/>
    <m/>
  </r>
  <r>
    <x v="1"/>
    <x v="1"/>
    <d v="2022-12-29T00:00:00"/>
    <d v="2022-12-29T00:00:00"/>
    <s v="FE001"/>
    <s v="IM 100003498"/>
    <n v="110947"/>
    <s v="Traslados - CN1792079160001"/>
    <m/>
    <m/>
    <n v="101060401"/>
    <s v="Inventario de prod. term. y mercad. en Bodega BULLSYPPLY  Quito"/>
    <n v="1621.94"/>
    <m/>
    <n v="1621.94"/>
    <x v="3"/>
    <n v="918832.28"/>
    <s v="1621.94"/>
    <s v="jcortiz"/>
    <n v="0"/>
    <m/>
    <m/>
    <m/>
    <m/>
    <m/>
  </r>
  <r>
    <x v="1"/>
    <x v="1"/>
    <d v="2022-12-29T00:00:00"/>
    <d v="2022-12-29T00:00:00"/>
    <s v="FE001"/>
    <s v="NE 100016216"/>
    <n v="110949"/>
    <s v="Entregas - CN1791265416001"/>
    <m/>
    <s v="COCA"/>
    <n v="51010102"/>
    <s v="Costo de Ventas Coca"/>
    <m/>
    <n v="164.04"/>
    <n v="-164.04"/>
    <x v="1"/>
    <n v="918668.24"/>
    <s v="-164.04"/>
    <s v="ancueva"/>
    <n v="0"/>
    <m/>
    <s v="COCA-ORELLANA"/>
    <m/>
    <m/>
    <m/>
  </r>
  <r>
    <x v="1"/>
    <x v="1"/>
    <d v="2022-12-29T00:00:00"/>
    <d v="2022-12-29T00:00:00"/>
    <s v="FE001"/>
    <s v="IM 100003499"/>
    <n v="110967"/>
    <s v="Traslados - CN1792079160001"/>
    <m/>
    <m/>
    <n v="101060401"/>
    <s v="Inventario de prod. term. y mercad. en Bodega BULLSYPPLY  Quito"/>
    <m/>
    <n v="1908.28"/>
    <n v="-1908.28"/>
    <x v="3"/>
    <n v="916759.96"/>
    <s v="-1908.28"/>
    <s v="ancueva"/>
    <n v="0"/>
    <m/>
    <m/>
    <m/>
    <m/>
    <m/>
  </r>
  <r>
    <x v="1"/>
    <x v="1"/>
    <d v="2022-12-29T00:00:00"/>
    <d v="2022-12-29T00:00:00"/>
    <s v="FE001"/>
    <s v="NE 100016224"/>
    <n v="110986"/>
    <s v="Entregas - CN1791734920001"/>
    <m/>
    <s v="COCA"/>
    <n v="51010102"/>
    <s v="Costo de Ventas Coca"/>
    <m/>
    <n v="66.59"/>
    <n v="-66.59"/>
    <x v="1"/>
    <n v="916693.37"/>
    <s v="-66.59"/>
    <s v="jcortiz"/>
    <n v="0"/>
    <m/>
    <s v="COCA-ORELLANA"/>
    <m/>
    <m/>
    <m/>
  </r>
  <r>
    <x v="1"/>
    <x v="1"/>
    <d v="2022-12-29T00:00:00"/>
    <d v="2022-12-29T00:00:00"/>
    <s v="FE001"/>
    <s v="NE 100016230"/>
    <n v="111007"/>
    <s v="Entrega - Cancelación - CN1792371694001"/>
    <m/>
    <s v="COCA"/>
    <n v="51010102"/>
    <s v="Costo de Ventas Coca"/>
    <n v="10059.85"/>
    <m/>
    <n v="10059.85"/>
    <x v="1"/>
    <n v="926753.22"/>
    <s v="10059.85"/>
    <s v="ancueva"/>
    <n v="0"/>
    <m/>
    <s v="COCA-ORELLANA"/>
    <m/>
    <m/>
    <m/>
  </r>
  <r>
    <x v="1"/>
    <x v="1"/>
    <d v="2022-12-30T00:00:00"/>
    <d v="2022-12-30T00:00:00"/>
    <s v="FE001"/>
    <s v="NE 100016226"/>
    <n v="110999"/>
    <s v="Entregas - CN1791263308001"/>
    <m/>
    <s v="COCA"/>
    <n v="51010102"/>
    <s v="Costo de Ventas Coca"/>
    <m/>
    <n v="486.8"/>
    <n v="-486.8"/>
    <x v="1"/>
    <n v="926266.42"/>
    <s v="-486.80"/>
    <s v="ancueva"/>
    <n v="0"/>
    <m/>
    <s v="COCA-ORELLANA"/>
    <m/>
    <m/>
    <m/>
  </r>
  <r>
    <x v="1"/>
    <x v="1"/>
    <d v="2022-12-30T00:00:00"/>
    <d v="2022-12-30T00:00:00"/>
    <s v="FE001"/>
    <s v="IM 100003500"/>
    <n v="111001"/>
    <s v="Traslados - CN1792079160001"/>
    <m/>
    <m/>
    <n v="101060401"/>
    <s v="Inventario de prod. term. y mercad. en Bodega BULLSYPPLY  Quito"/>
    <n v="430"/>
    <m/>
    <n v="430"/>
    <x v="3"/>
    <n v="926696.42"/>
    <s v="430.00"/>
    <s v="jcortiz"/>
    <n v="0"/>
    <m/>
    <m/>
    <m/>
    <m/>
    <m/>
  </r>
  <r>
    <x v="1"/>
    <x v="1"/>
    <d v="2022-12-30T00:00:00"/>
    <d v="2022-12-30T00:00:00"/>
    <s v="FE001"/>
    <s v="NE 100016227"/>
    <n v="111002"/>
    <s v="Entregas - CN1792371694001"/>
    <m/>
    <s v="COCA"/>
    <n v="51010102"/>
    <s v="Costo de Ventas Coca"/>
    <m/>
    <n v="3703.55"/>
    <n v="-3703.55"/>
    <x v="1"/>
    <n v="922992.87"/>
    <s v="-3703.55"/>
    <s v="ancueva"/>
    <n v="0"/>
    <m/>
    <s v="COCA-ORELLANA"/>
    <m/>
    <m/>
    <m/>
  </r>
  <r>
    <x v="1"/>
    <x v="1"/>
    <d v="2022-12-30T00:00:00"/>
    <d v="2022-12-30T00:00:00"/>
    <s v="FE001"/>
    <s v="NE 100016228"/>
    <n v="111003"/>
    <s v="Entregas - CN1791263308001"/>
    <m/>
    <s v="COCA"/>
    <n v="51010102"/>
    <s v="Costo de Ventas Coca"/>
    <m/>
    <n v="430"/>
    <n v="-430"/>
    <x v="1"/>
    <n v="922562.87"/>
    <s v="-430.00"/>
    <s v="ancueva"/>
    <n v="0"/>
    <m/>
    <s v="COCA-ORELLANA"/>
    <m/>
    <m/>
    <m/>
  </r>
  <r>
    <x v="1"/>
    <x v="1"/>
    <d v="2022-12-30T00:00:00"/>
    <d v="2022-12-30T00:00:00"/>
    <s v="FE001"/>
    <s v="NE 100016231"/>
    <n v="111008"/>
    <s v="Entregas - CN1792371694001"/>
    <m/>
    <s v="COCA"/>
    <n v="51010102"/>
    <s v="Costo de Ventas Coca"/>
    <m/>
    <n v="8596.23"/>
    <n v="-8596.23"/>
    <x v="1"/>
    <n v="913966.64"/>
    <s v="-8596.23"/>
    <s v="ancueva"/>
    <n v="0"/>
    <m/>
    <s v="COCA-ORELLANA"/>
    <m/>
    <m/>
    <m/>
  </r>
  <r>
    <x v="1"/>
    <x v="1"/>
    <d v="2022-12-30T00:00:00"/>
    <d v="2022-12-30T00:00:00"/>
    <s v="FE001"/>
    <s v="NE 100016232"/>
    <n v="111009"/>
    <s v="Entregas - CN1791263308001"/>
    <m/>
    <s v="COCA"/>
    <n v="51010102"/>
    <s v="Costo de Ventas Coca"/>
    <m/>
    <n v="585.03"/>
    <n v="-585.03"/>
    <x v="1"/>
    <n v="913381.61"/>
    <s v="-585.03"/>
    <s v="ancueva"/>
    <n v="0"/>
    <m/>
    <s v="COCA-ORELLANA"/>
    <m/>
    <m/>
    <m/>
  </r>
  <r>
    <x v="1"/>
    <x v="1"/>
    <d v="2022-12-30T00:00:00"/>
    <d v="2022-12-30T00:00:00"/>
    <s v="Primario"/>
    <s v="SM 586"/>
    <n v="111205"/>
    <s v="BAJA DE INVENTARIO CON DECLARACION JURAMENTADA 30/"/>
    <m/>
    <s v="COCA"/>
    <n v="51010104"/>
    <s v="Costo baja de inventario"/>
    <m/>
    <n v="43109.68"/>
    <n v="-43109.68"/>
    <x v="8"/>
    <n v="870271.93"/>
    <s v="-43109.68"/>
    <s v="ptipant"/>
    <n v="0"/>
    <m/>
    <s v="COCA-ORELLANA"/>
    <m/>
    <m/>
    <m/>
  </r>
  <r>
    <x v="1"/>
    <x v="1"/>
    <d v="2022-12-30T00:00:00"/>
    <d v="2022-12-30T00:00:00"/>
    <s v="Primario"/>
    <s v="EM 1752"/>
    <n v="111996"/>
    <s v="AJUSTE INV. FISICO COCA AUT. ALESSANDRO"/>
    <m/>
    <s v="COCA"/>
    <n v="401030105"/>
    <s v="Otros Ingresos"/>
    <n v="2660.65"/>
    <m/>
    <n v="2660.65"/>
    <x v="5"/>
    <n v="872932.58"/>
    <s v="2660.65"/>
    <s v="ptipant"/>
    <n v="0"/>
    <m/>
    <s v="COCA-ORELLANA"/>
    <m/>
    <m/>
    <m/>
  </r>
  <r>
    <x v="1"/>
    <x v="1"/>
    <d v="2022-12-30T00:00:00"/>
    <d v="2022-12-30T00:00:00"/>
    <s v="Primario"/>
    <s v="SM 592"/>
    <n v="112006"/>
    <s v="AJUSTE INV. FISICO COCA AUT. ALESANDRO CARDILLO"/>
    <m/>
    <s v="COCA"/>
    <n v="51010103"/>
    <s v="Costo por Revalorización de Inventario"/>
    <m/>
    <n v="1346.05"/>
    <n v="-1346.05"/>
    <x v="7"/>
    <n v="871586.53"/>
    <s v="-1346.05"/>
    <s v="ptipant"/>
    <n v="0"/>
    <m/>
    <s v="COCA-ORELLANA"/>
    <m/>
    <m/>
    <m/>
  </r>
  <r>
    <x v="1"/>
    <x v="1"/>
    <d v="2022-12-31T00:00:00"/>
    <d v="2022-12-31T00:00:00"/>
    <s v="FE001"/>
    <s v="IM 100003520"/>
    <n v="111520"/>
    <s v="Traslados - CN1792079160001"/>
    <m/>
    <m/>
    <n v="101060401"/>
    <s v="Inventario de prod. term. y mercad. en Bodega BULLSYPPLY  Quito"/>
    <n v="28233.8"/>
    <m/>
    <n v="28233.8"/>
    <x v="3"/>
    <n v="899820.33"/>
    <s v="28233.80"/>
    <s v="jcortiz"/>
    <n v="0"/>
    <m/>
    <m/>
    <m/>
    <m/>
    <m/>
  </r>
  <r>
    <x v="1"/>
    <x v="1"/>
    <d v="2022-12-31T00:00:00"/>
    <d v="2022-12-31T00:00:00"/>
    <s v="FE001"/>
    <s v="IM 100003520"/>
    <n v="111520"/>
    <s v="Traslados - CN1792079160001"/>
    <m/>
    <m/>
    <n v="101060401"/>
    <s v="Inventario de prod. term. y mercad. en Bodega BULLSYPPLY  Quito"/>
    <m/>
    <n v="6586.37"/>
    <n v="-6586.37"/>
    <x v="3"/>
    <n v="893233.96"/>
    <s v="-6586.37"/>
    <s v="jcortiz"/>
    <n v="0"/>
    <m/>
    <m/>
    <m/>
    <m/>
    <m/>
  </r>
  <r>
    <x v="2"/>
    <x v="2"/>
    <s v="Activos"/>
    <n v="101060405"/>
    <m/>
    <m/>
    <m/>
    <s v="Saldo Inicial"/>
    <m/>
    <m/>
    <m/>
    <m/>
    <n v="3.98"/>
    <m/>
    <n v="3.98"/>
    <x v="0"/>
    <n v="3.98"/>
    <m/>
    <m/>
    <m/>
    <m/>
    <m/>
    <m/>
    <m/>
    <m/>
  </r>
  <r>
    <x v="3"/>
    <x v="3"/>
    <s v="Activos"/>
    <n v="101060406"/>
    <m/>
    <m/>
    <m/>
    <s v="Saldo Inicial"/>
    <m/>
    <m/>
    <m/>
    <m/>
    <n v="2874.98"/>
    <m/>
    <n v="2874.98"/>
    <x v="0"/>
    <n v="2874.98"/>
    <m/>
    <m/>
    <m/>
    <m/>
    <m/>
    <m/>
    <m/>
    <m/>
  </r>
  <r>
    <x v="3"/>
    <x v="3"/>
    <d v="2022-12-13T00:00:00"/>
    <d v="2022-12-13T00:00:00"/>
    <s v="FE001"/>
    <s v="IM 100003457"/>
    <n v="110112"/>
    <s v="Traslados - CN1792079160001"/>
    <m/>
    <m/>
    <n v="101060401"/>
    <s v="Inventario de prod. term. y mercad. en Bodega BULLSYPPLY  Quito"/>
    <n v="222.71"/>
    <m/>
    <n v="222.71"/>
    <x v="3"/>
    <n v="5011.3100000000004"/>
    <s v="222.71"/>
    <s v="jcortiz"/>
    <n v="0"/>
    <m/>
    <m/>
    <m/>
    <m/>
    <m/>
  </r>
  <r>
    <x v="3"/>
    <x v="3"/>
    <d v="2022-12-15T00:00:00"/>
    <d v="2022-12-15T00:00:00"/>
    <s v="FE001"/>
    <s v="IM 100003462"/>
    <n v="110257"/>
    <s v="Traslados - CN1792079160001"/>
    <m/>
    <m/>
    <n v="101060401"/>
    <s v="Inventario de prod. term. y mercad. en Bodega BULLSYPPLY  Quito"/>
    <n v="148.47"/>
    <m/>
    <n v="148.47"/>
    <x v="3"/>
    <n v="5159.78"/>
    <s v="148.47"/>
    <s v="jcortiz"/>
    <n v="0"/>
    <m/>
    <m/>
    <m/>
    <m/>
    <m/>
  </r>
  <r>
    <x v="3"/>
    <x v="3"/>
    <d v="2022-12-19T00:00:00"/>
    <d v="2022-12-19T00:00:00"/>
    <s v="FE001"/>
    <s v="IM 100003468"/>
    <n v="110387"/>
    <s v="Traslados - CN1792079160001"/>
    <m/>
    <m/>
    <n v="101060401"/>
    <s v="Inventario de prod. term. y mercad. en Bodega BULLSYPPLY  Quito"/>
    <n v="148.47"/>
    <m/>
    <n v="148.47"/>
    <x v="3"/>
    <n v="5308.25"/>
    <s v="148.47"/>
    <s v="jcortiz"/>
    <n v="0"/>
    <m/>
    <m/>
    <m/>
    <m/>
    <m/>
  </r>
  <r>
    <x v="4"/>
    <x v="4"/>
    <s v="Activos"/>
    <n v="101060407"/>
    <m/>
    <m/>
    <m/>
    <s v="Saldo Inicial"/>
    <m/>
    <m/>
    <m/>
    <m/>
    <n v="29035.47"/>
    <m/>
    <n v="29035.47"/>
    <x v="0"/>
    <n v="29035.47"/>
    <m/>
    <m/>
    <m/>
    <m/>
    <m/>
    <m/>
    <m/>
    <m/>
  </r>
  <r>
    <x v="4"/>
    <x v="4"/>
    <d v="2022-10-26T00:00:00"/>
    <d v="2022-10-26T00:00:00"/>
    <s v="FE001"/>
    <s v="IM 100003360"/>
    <n v="107634"/>
    <s v="Traslados - CN1792079160001"/>
    <m/>
    <m/>
    <n v="101060401"/>
    <s v="Inventario de prod. term. y mercad. en Bodega BULLSYPPLY  Quito"/>
    <n v="99.39"/>
    <m/>
    <n v="99.39"/>
    <x v="3"/>
    <n v="31678.29"/>
    <s v="99.39"/>
    <s v="jcortiz"/>
    <n v="0"/>
    <m/>
    <m/>
    <m/>
    <m/>
    <m/>
  </r>
  <r>
    <x v="4"/>
    <x v="4"/>
    <d v="2022-11-22T00:00:00"/>
    <d v="2022-11-22T00:00:00"/>
    <s v="FE001"/>
    <s v="IM 100003398"/>
    <n v="108914"/>
    <s v="Traslados - CN1792079160001"/>
    <m/>
    <m/>
    <n v="101060401"/>
    <s v="Inventario de prod. term. y mercad. en Bodega BULLSYPPLY  Quito"/>
    <n v="116.79"/>
    <m/>
    <n v="116.79"/>
    <x v="3"/>
    <n v="31795.08"/>
    <s v="116.79"/>
    <s v="jcortiz"/>
    <n v="0"/>
    <m/>
    <m/>
    <m/>
    <m/>
    <m/>
  </r>
  <r>
    <x v="4"/>
    <x v="4"/>
    <d v="2022-12-16T00:00:00"/>
    <d v="2022-12-16T00:00:00"/>
    <s v="FE001"/>
    <s v="IM 100003466"/>
    <n v="110330"/>
    <s v="Traslados - CN1792079160001"/>
    <m/>
    <m/>
    <n v="101060401"/>
    <s v="Inventario de prod. term. y mercad. en Bodega BULLSYPPLY  Quito"/>
    <n v="1.26"/>
    <m/>
    <n v="1.26"/>
    <x v="3"/>
    <n v="31796.34"/>
    <s v="1.26"/>
    <s v="jcortiz"/>
    <n v="0"/>
    <m/>
    <m/>
    <m/>
    <m/>
    <m/>
  </r>
  <r>
    <x v="4"/>
    <x v="4"/>
    <d v="2022-12-19T00:00:00"/>
    <d v="2022-12-19T00:00:00"/>
    <s v="FE001"/>
    <s v="IM 100003469"/>
    <n v="110388"/>
    <s v="Traslados - CN1792079160001"/>
    <m/>
    <m/>
    <n v="101060401"/>
    <s v="Inventario de prod. term. y mercad. en Bodega BULLSYPPLY  Quito"/>
    <n v="74.239999999999995"/>
    <m/>
    <n v="74.239999999999995"/>
    <x v="3"/>
    <n v="31870.58"/>
    <s v="74.24"/>
    <s v="jcortiz"/>
    <n v="0"/>
    <m/>
    <m/>
    <m/>
    <m/>
    <m/>
  </r>
  <r>
    <x v="4"/>
    <x v="4"/>
    <d v="2022-12-30T00:00:00"/>
    <d v="2022-12-30T00:00:00"/>
    <s v="Primario"/>
    <s v="SM 588"/>
    <n v="111232"/>
    <s v="BAJA DE INVENTARIO CON DECLARACION JURAMENTADA 30/"/>
    <m/>
    <s v="QUITO"/>
    <n v="51010104"/>
    <s v="Costo baja de inventario"/>
    <m/>
    <n v="31720.68"/>
    <n v="-31720.68"/>
    <x v="8"/>
    <n v="149.9"/>
    <s v="-31720.68"/>
    <s v="ptipant"/>
    <n v="0"/>
    <m/>
    <s v="QUITO-PICHINCHA"/>
    <m/>
    <m/>
    <m/>
  </r>
  <r>
    <x v="5"/>
    <x v="5"/>
    <s v="Activos"/>
    <n v="101060408"/>
    <m/>
    <m/>
    <m/>
    <s v="Saldo Inicial"/>
    <m/>
    <m/>
    <m/>
    <m/>
    <n v="75615.77"/>
    <m/>
    <n v="75615.77"/>
    <x v="0"/>
    <n v="75615.77"/>
    <m/>
    <m/>
    <m/>
    <m/>
    <m/>
    <m/>
    <m/>
    <m/>
  </r>
  <r>
    <x v="5"/>
    <x v="5"/>
    <d v="2022-10-12T00:00:00"/>
    <d v="2022-10-12T00:00:00"/>
    <s v="Primario"/>
    <s v="EP 6288"/>
    <n v="106842"/>
    <s v="Pedido de entrada de mercancías - PE0000000103"/>
    <m/>
    <m/>
    <n v="101060501"/>
    <s v="Mercadería en Tránsito"/>
    <n v="9036"/>
    <m/>
    <n v="9036"/>
    <x v="9"/>
    <n v="88785.78"/>
    <s v="9036.00"/>
    <s v="atayupa"/>
    <n v="0"/>
    <m/>
    <m/>
    <m/>
    <m/>
    <m/>
  </r>
  <r>
    <x v="5"/>
    <x v="5"/>
    <d v="2022-10-12T00:00:00"/>
    <d v="2022-10-12T00:00:00"/>
    <s v="Primario"/>
    <s v="DI 419"/>
    <n v="106845"/>
    <s v="Precio de entrega 419"/>
    <m/>
    <m/>
    <n v="101060501"/>
    <s v="Mercadería en Tránsito"/>
    <n v="3285.52"/>
    <m/>
    <n v="3285.52"/>
    <x v="9"/>
    <n v="92071.3"/>
    <s v="3285.52"/>
    <s v="atayupa"/>
    <n v="0"/>
    <m/>
    <m/>
    <m/>
    <m/>
    <m/>
  </r>
  <r>
    <x v="5"/>
    <x v="5"/>
    <d v="2022-10-12T00:00:00"/>
    <d v="2022-10-12T00:00:00"/>
    <s v="Primario"/>
    <s v="EP 6289"/>
    <n v="106849"/>
    <s v="Pedido de entrada de mercancías - PE0000000018"/>
    <m/>
    <m/>
    <n v="101060501"/>
    <s v="Mercadería en Tránsito"/>
    <n v="2783.8"/>
    <m/>
    <n v="2783.8"/>
    <x v="9"/>
    <n v="94855.1"/>
    <s v="2783.80"/>
    <s v="atayupa"/>
    <n v="0"/>
    <m/>
    <m/>
    <m/>
    <m/>
    <m/>
  </r>
  <r>
    <x v="5"/>
    <x v="5"/>
    <d v="2022-10-12T00:00:00"/>
    <d v="2022-10-12T00:00:00"/>
    <s v="Primario"/>
    <s v="DI 420"/>
    <n v="106850"/>
    <s v="Precio de entrega 420"/>
    <m/>
    <m/>
    <n v="101060501"/>
    <s v="Mercadería en Tránsito"/>
    <n v="353.14"/>
    <m/>
    <n v="353.14"/>
    <x v="9"/>
    <n v="95208.24"/>
    <s v="353.14"/>
    <s v="atayupa"/>
    <n v="0"/>
    <m/>
    <m/>
    <m/>
    <m/>
    <m/>
  </r>
  <r>
    <x v="5"/>
    <x v="5"/>
    <d v="2022-10-12T00:00:00"/>
    <d v="2022-10-12T00:00:00"/>
    <s v="FE001"/>
    <s v="IM 100003304"/>
    <n v="106855"/>
    <s v="Traslados - CN1792079160001"/>
    <m/>
    <m/>
    <n v="101060401"/>
    <s v="Inventario de prod. term. y mercad. en Bodega BULLSYPPLY  Quito"/>
    <m/>
    <n v="3136.94"/>
    <n v="-3136.94"/>
    <x v="3"/>
    <n v="92071.3"/>
    <s v="-3136.94"/>
    <s v="jcortiz"/>
    <n v="0"/>
    <m/>
    <m/>
    <m/>
    <m/>
    <m/>
  </r>
  <r>
    <x v="5"/>
    <x v="5"/>
    <d v="2022-10-12T00:00:00"/>
    <d v="2022-10-12T00:00:00"/>
    <s v="FE001"/>
    <s v="IM 100003305"/>
    <n v="106856"/>
    <s v="Traslados - CN1792079160001"/>
    <m/>
    <m/>
    <n v="101060401"/>
    <s v="Inventario de prod. term. y mercad. en Bodega BULLSYPPLY  Quito"/>
    <m/>
    <n v="12321.52"/>
    <n v="-12321.52"/>
    <x v="3"/>
    <n v="79749.78"/>
    <s v="-12321.52"/>
    <s v="jcortiz"/>
    <n v="0"/>
    <m/>
    <m/>
    <m/>
    <m/>
    <m/>
  </r>
  <r>
    <x v="5"/>
    <x v="5"/>
    <d v="2022-10-12T00:00:00"/>
    <d v="2022-10-12T00:00:00"/>
    <s v="Primario"/>
    <s v="EP 6290"/>
    <n v="106862"/>
    <s v="Pedido de entrada de mercancías - PE0000000019"/>
    <m/>
    <m/>
    <n v="101060501"/>
    <s v="Mercadería en Tránsito"/>
    <n v="89198.99"/>
    <m/>
    <n v="89198.99"/>
    <x v="9"/>
    <n v="168948.77"/>
    <s v="89198.99"/>
    <s v="atayupa"/>
    <n v="0"/>
    <m/>
    <m/>
    <m/>
    <m/>
    <m/>
  </r>
  <r>
    <x v="5"/>
    <x v="5"/>
    <d v="2022-10-12T00:00:00"/>
    <d v="2022-10-12T00:00:00"/>
    <s v="Primario"/>
    <s v="DI 421"/>
    <n v="106863"/>
    <s v="Precio de entrega 421"/>
    <m/>
    <m/>
    <n v="101060501"/>
    <s v="Mercadería en Tránsito"/>
    <n v="13307.02"/>
    <m/>
    <n v="13307.02"/>
    <x v="9"/>
    <n v="182255.79"/>
    <s v="13307.02"/>
    <s v="atayupa"/>
    <n v="0"/>
    <m/>
    <m/>
    <m/>
    <m/>
    <m/>
  </r>
  <r>
    <x v="5"/>
    <x v="5"/>
    <d v="2022-10-13T00:00:00"/>
    <d v="2022-10-13T00:00:00"/>
    <s v="FE001"/>
    <s v="NE 100015295"/>
    <n v="106926"/>
    <s v="Entregas - CN1792464161001"/>
    <m/>
    <s v="QUITO"/>
    <n v="51010101"/>
    <s v="Costo de ventas Quito"/>
    <m/>
    <n v="371.16"/>
    <n v="-371.16"/>
    <x v="1"/>
    <n v="181884.63"/>
    <s v="-371.16"/>
    <s v="ancueva"/>
    <n v="0"/>
    <m/>
    <s v="QUITO-PICHINCHA"/>
    <m/>
    <m/>
    <m/>
  </r>
  <r>
    <x v="5"/>
    <x v="5"/>
    <d v="2022-10-13T00:00:00"/>
    <d v="2022-10-13T00:00:00"/>
    <s v="FE001"/>
    <s v="NE 100015296"/>
    <n v="106935"/>
    <s v="Entregas - CN1791239245001"/>
    <m/>
    <s v="QUITO"/>
    <n v="51010101"/>
    <s v="Costo de ventas Quito"/>
    <m/>
    <n v="1325.58"/>
    <n v="-1325.58"/>
    <x v="1"/>
    <n v="180559.05"/>
    <s v="-1325.58"/>
    <s v="ancueva"/>
    <n v="0"/>
    <m/>
    <s v="QUITO-PICHINCHA"/>
    <m/>
    <m/>
    <m/>
  </r>
  <r>
    <x v="5"/>
    <x v="5"/>
    <d v="2022-10-13T00:00:00"/>
    <d v="2022-10-13T00:00:00"/>
    <s v="FE001"/>
    <s v="NE 100015297"/>
    <n v="106937"/>
    <s v="Entrega - Cancelación - CN1791239245001"/>
    <m/>
    <s v="QUITO"/>
    <n v="51010101"/>
    <s v="Costo de ventas Quito"/>
    <n v="1325.58"/>
    <m/>
    <n v="1325.58"/>
    <x v="1"/>
    <n v="181884.63"/>
    <s v="1325.58"/>
    <s v="ancueva"/>
    <n v="0"/>
    <m/>
    <s v="QUITO-PICHINCHA"/>
    <m/>
    <m/>
    <m/>
  </r>
  <r>
    <x v="5"/>
    <x v="5"/>
    <d v="2022-10-13T00:00:00"/>
    <d v="2022-10-13T00:00:00"/>
    <s v="FE001"/>
    <s v="NE 100015299"/>
    <n v="106941"/>
    <s v="Entregas - CN1791239245001"/>
    <m/>
    <s v="QUITO"/>
    <n v="51010101"/>
    <s v="Costo de ventas Quito"/>
    <m/>
    <n v="1325.58"/>
    <n v="-1325.58"/>
    <x v="1"/>
    <n v="180559.05"/>
    <s v="-1325.58"/>
    <s v="ancueva"/>
    <n v="0"/>
    <m/>
    <s v="QUITO-PICHINCHA"/>
    <m/>
    <m/>
    <m/>
  </r>
  <r>
    <x v="5"/>
    <x v="5"/>
    <d v="2022-10-13T00:00:00"/>
    <d v="2022-10-13T00:00:00"/>
    <s v="FE001"/>
    <s v="IM 100003307"/>
    <n v="106951"/>
    <s v="Traslados - CN1792079160001"/>
    <m/>
    <m/>
    <n v="101060401"/>
    <s v="Inventario de prod. term. y mercad. en Bodega BULLSYPPLY  Quito"/>
    <m/>
    <n v="100809.27"/>
    <n v="-100809.27"/>
    <x v="3"/>
    <n v="79749.78"/>
    <s v="-100809.27"/>
    <s v="jcortiz"/>
    <n v="0"/>
    <m/>
    <m/>
    <m/>
    <m/>
    <m/>
  </r>
  <r>
    <x v="5"/>
    <x v="5"/>
    <d v="2022-10-13T00:00:00"/>
    <d v="2022-10-13T00:00:00"/>
    <s v="Primario"/>
    <s v="EP 6294"/>
    <n v="106982"/>
    <s v="Pedido de entrada de mercancías - PE0000000046"/>
    <m/>
    <m/>
    <n v="101060501"/>
    <s v="Mercadería en Tránsito"/>
    <n v="133480.07"/>
    <m/>
    <n v="133480.07"/>
    <x v="9"/>
    <n v="213229.85"/>
    <s v="133480.07"/>
    <s v="atayupa"/>
    <n v="0"/>
    <m/>
    <m/>
    <m/>
    <m/>
    <m/>
  </r>
  <r>
    <x v="5"/>
    <x v="5"/>
    <d v="2022-10-13T00:00:00"/>
    <d v="2022-10-13T00:00:00"/>
    <s v="Primario"/>
    <s v="DI 422"/>
    <n v="106983"/>
    <s v="Precio de entrega 422"/>
    <m/>
    <m/>
    <n v="101060501"/>
    <s v="Mercadería en Tránsito"/>
    <n v="13415.96"/>
    <m/>
    <n v="13415.96"/>
    <x v="9"/>
    <n v="226645.81"/>
    <s v="13415.96"/>
    <s v="atayupa"/>
    <n v="0"/>
    <m/>
    <m/>
    <m/>
    <m/>
    <m/>
  </r>
  <r>
    <x v="5"/>
    <x v="5"/>
    <d v="2022-10-13T00:00:00"/>
    <d v="2022-10-13T00:00:00"/>
    <s v="FE001"/>
    <s v="IM 100003314"/>
    <n v="106985"/>
    <s v="Traslados - CN1792079160001"/>
    <m/>
    <m/>
    <n v="101060401"/>
    <s v="Inventario de prod. term. y mercad. en Bodega BULLSYPPLY  Quito"/>
    <n v="1452.63"/>
    <m/>
    <n v="1452.63"/>
    <x v="3"/>
    <n v="228098.44"/>
    <s v="1452.63"/>
    <s v="jcortiz"/>
    <n v="0"/>
    <m/>
    <m/>
    <m/>
    <m/>
    <m/>
  </r>
  <r>
    <x v="5"/>
    <x v="5"/>
    <d v="2022-10-13T00:00:00"/>
    <d v="2022-10-13T00:00:00"/>
    <s v="FE001"/>
    <s v="NE 100015307"/>
    <n v="106986"/>
    <s v="Entregas - CN0590060933001"/>
    <m/>
    <s v="QUITO"/>
    <n v="51010101"/>
    <s v="Costo de ventas Quito"/>
    <m/>
    <n v="1452.63"/>
    <n v="-1452.63"/>
    <x v="1"/>
    <n v="226645.81"/>
    <s v="-1452.63"/>
    <s v="jcortiz"/>
    <n v="0"/>
    <m/>
    <s v="QUITO-PICHINCHA"/>
    <m/>
    <m/>
    <m/>
  </r>
  <r>
    <x v="5"/>
    <x v="5"/>
    <d v="2022-10-14T00:00:00"/>
    <d v="2022-10-14T00:00:00"/>
    <s v="FE001"/>
    <s v="IM 100003318"/>
    <n v="107017"/>
    <s v="Traslados - CN1792079160001"/>
    <m/>
    <m/>
    <n v="101060401"/>
    <s v="Inventario de prod. term. y mercad. en Bodega BULLSYPPLY  Quito"/>
    <m/>
    <n v="146896.03"/>
    <n v="-146896.03"/>
    <x v="3"/>
    <n v="79749.78"/>
    <s v="-146896.03"/>
    <s v="jcortiz"/>
    <n v="0"/>
    <m/>
    <m/>
    <m/>
    <m/>
    <m/>
  </r>
  <r>
    <x v="5"/>
    <x v="5"/>
    <d v="2022-10-19T00:00:00"/>
    <d v="2022-10-19T00:00:00"/>
    <s v="Primario"/>
    <s v="EP 6305"/>
    <n v="107213"/>
    <s v="Pedido de entrada de mercancías - PE0000000044"/>
    <m/>
    <m/>
    <n v="101060501"/>
    <s v="Mercadería en Tránsito"/>
    <n v="56980.5"/>
    <m/>
    <n v="56980.5"/>
    <x v="9"/>
    <n v="136730.28"/>
    <s v="56980.50"/>
    <s v="atayupa"/>
    <n v="0"/>
    <m/>
    <m/>
    <m/>
    <m/>
    <m/>
  </r>
  <r>
    <x v="5"/>
    <x v="5"/>
    <d v="2022-10-19T00:00:00"/>
    <d v="2022-10-19T00:00:00"/>
    <s v="Primario"/>
    <s v="DI 423"/>
    <n v="107214"/>
    <s v="Precio de entrega 423"/>
    <m/>
    <m/>
    <n v="101060501"/>
    <s v="Mercadería en Tránsito"/>
    <n v="1745.47"/>
    <m/>
    <n v="1745.47"/>
    <x v="9"/>
    <n v="138475.75"/>
    <s v="1745.47"/>
    <s v="atayupa"/>
    <n v="0"/>
    <m/>
    <m/>
    <m/>
    <m/>
    <m/>
  </r>
  <r>
    <x v="5"/>
    <x v="5"/>
    <d v="2022-10-19T00:00:00"/>
    <d v="2022-10-19T00:00:00"/>
    <s v="Primario"/>
    <s v="EP 6308"/>
    <n v="107232"/>
    <s v="Pedido de entrada de mercancías - PE0000000018"/>
    <m/>
    <m/>
    <n v="101060501"/>
    <s v="Mercadería en Tránsito"/>
    <n v="243.15"/>
    <m/>
    <n v="243.15"/>
    <x v="9"/>
    <n v="138718.9"/>
    <s v="243.15"/>
    <s v="atayupa"/>
    <n v="0"/>
    <m/>
    <m/>
    <m/>
    <m/>
    <m/>
  </r>
  <r>
    <x v="5"/>
    <x v="5"/>
    <d v="2022-10-19T00:00:00"/>
    <d v="2022-10-19T00:00:00"/>
    <s v="Primario"/>
    <s v="EP 6309"/>
    <n v="107233"/>
    <s v="Pedido de entrada de mercancías - PE0000000080"/>
    <m/>
    <m/>
    <n v="101060501"/>
    <s v="Mercadería en Tránsito"/>
    <n v="22096.6"/>
    <m/>
    <n v="22096.6"/>
    <x v="9"/>
    <n v="160815.5"/>
    <s v="22096.60"/>
    <s v="atayupa"/>
    <n v="0"/>
    <m/>
    <m/>
    <m/>
    <m/>
    <m/>
  </r>
  <r>
    <x v="5"/>
    <x v="5"/>
    <d v="2022-10-19T00:00:00"/>
    <d v="2022-10-19T00:00:00"/>
    <s v="Primario"/>
    <s v="EP 6310"/>
    <n v="107237"/>
    <s v="Pedido de entrada de mercancías - PE0000000010"/>
    <m/>
    <m/>
    <n v="101060501"/>
    <s v="Mercadería en Tránsito"/>
    <n v="25329.759999999998"/>
    <m/>
    <n v="25329.759999999998"/>
    <x v="9"/>
    <n v="186145.26"/>
    <s v="25329.76"/>
    <s v="atayupa"/>
    <n v="0"/>
    <m/>
    <m/>
    <m/>
    <m/>
    <m/>
  </r>
  <r>
    <x v="5"/>
    <x v="5"/>
    <d v="2022-10-19T00:00:00"/>
    <d v="2022-10-19T00:00:00"/>
    <s v="Primario"/>
    <s v="DI 424"/>
    <n v="107238"/>
    <s v="Precio de entrega 424"/>
    <m/>
    <m/>
    <n v="101060501"/>
    <s v="Mercadería en Tránsito"/>
    <n v="3902.79"/>
    <m/>
    <n v="3902.79"/>
    <x v="9"/>
    <n v="190048.05"/>
    <s v="3902.79"/>
    <s v="atayupa"/>
    <n v="0"/>
    <m/>
    <m/>
    <m/>
    <m/>
    <m/>
  </r>
  <r>
    <x v="5"/>
    <x v="5"/>
    <d v="2022-10-19T00:00:00"/>
    <d v="2022-10-19T00:00:00"/>
    <s v="FE001"/>
    <s v="IM 100003328"/>
    <n v="107243"/>
    <s v="Traslados - CN1792079160001"/>
    <m/>
    <m/>
    <n v="101060401"/>
    <s v="Inventario de prod. term. y mercad. en Bodega BULLSYPPLY  Quito"/>
    <m/>
    <n v="27403.56"/>
    <n v="-27403.56"/>
    <x v="3"/>
    <n v="162644.49"/>
    <s v="-27403.56"/>
    <s v="jcortiz"/>
    <n v="0"/>
    <m/>
    <m/>
    <m/>
    <m/>
    <m/>
  </r>
  <r>
    <x v="5"/>
    <x v="5"/>
    <d v="2022-10-19T00:00:00"/>
    <d v="2022-10-19T00:00:00"/>
    <s v="FE001"/>
    <s v="IM 100003329"/>
    <n v="107244"/>
    <s v="Traslados - CN1792079160001"/>
    <m/>
    <m/>
    <n v="101060401"/>
    <s v="Inventario de prod. term. y mercad. en Bodega BULLSYPPLY  Quito"/>
    <m/>
    <n v="23905.69"/>
    <n v="-23905.69"/>
    <x v="3"/>
    <n v="138738.79999999999"/>
    <s v="-23905.69"/>
    <s v="jcortiz"/>
    <n v="0"/>
    <m/>
    <m/>
    <m/>
    <m/>
    <m/>
  </r>
  <r>
    <x v="5"/>
    <x v="5"/>
    <d v="2022-10-19T00:00:00"/>
    <d v="2022-10-19T00:00:00"/>
    <s v="FE001"/>
    <s v="IM 100003330"/>
    <n v="107245"/>
    <s v="Traslados - CN1792079160001"/>
    <m/>
    <m/>
    <n v="101060401"/>
    <s v="Inventario de prod. term. y mercad. en Bodega BULLSYPPLY  Quito"/>
    <m/>
    <n v="263.05"/>
    <n v="-263.05"/>
    <x v="3"/>
    <n v="138475.75"/>
    <s v="-263.05"/>
    <s v="jcortiz"/>
    <n v="0"/>
    <m/>
    <m/>
    <m/>
    <m/>
    <m/>
  </r>
  <r>
    <x v="5"/>
    <x v="5"/>
    <d v="2022-10-19T00:00:00"/>
    <d v="2022-10-19T00:00:00"/>
    <s v="FE001"/>
    <s v="IM 100003336"/>
    <n v="107251"/>
    <s v="Traslados - CN1792079160001"/>
    <m/>
    <m/>
    <n v="101060401"/>
    <s v="Inventario de prod. term. y mercad. en Bodega BULLSYPPLY  Quito"/>
    <m/>
    <n v="58725.97"/>
    <n v="-58725.97"/>
    <x v="3"/>
    <n v="79749.78"/>
    <s v="-58725.97"/>
    <s v="jcortiz"/>
    <n v="0"/>
    <m/>
    <m/>
    <m/>
    <m/>
    <m/>
  </r>
  <r>
    <x v="5"/>
    <x v="5"/>
    <d v="2022-10-26T00:00:00"/>
    <d v="2022-10-26T00:00:00"/>
    <s v="FE001"/>
    <s v="IM 100003362"/>
    <n v="107658"/>
    <s v="Traslados - CN1792079160001"/>
    <m/>
    <m/>
    <n v="101060401"/>
    <s v="Inventario de prod. term. y mercad. en Bodega BULLSYPPLY  Quito"/>
    <n v="141.84"/>
    <m/>
    <n v="141.84"/>
    <x v="3"/>
    <n v="79891.62"/>
    <s v="141.84"/>
    <s v="jcortiz"/>
    <n v="0"/>
    <m/>
    <m/>
    <m/>
    <m/>
    <m/>
  </r>
  <r>
    <x v="5"/>
    <x v="5"/>
    <d v="2022-10-26T00:00:00"/>
    <d v="2022-10-26T00:00:00"/>
    <s v="FE001"/>
    <s v="NE 100015448"/>
    <n v="107659"/>
    <s v="Entregas - CN1768153530001"/>
    <m/>
    <s v="QUITO"/>
    <n v="51010101"/>
    <s v="Costo de ventas Quito"/>
    <m/>
    <n v="141.84"/>
    <n v="-141.84"/>
    <x v="1"/>
    <n v="79749.78"/>
    <s v="-141.84"/>
    <s v="jcortiz"/>
    <n v="0"/>
    <m/>
    <s v="QUITO-PICHINCHA"/>
    <m/>
    <m/>
    <m/>
  </r>
  <r>
    <x v="5"/>
    <x v="5"/>
    <d v="2022-10-31T00:00:00"/>
    <d v="2022-10-31T00:00:00"/>
    <s v="FE001"/>
    <s v="NE 100015478"/>
    <n v="107815"/>
    <s v="Entrega - Cancelación - CN1768153530001"/>
    <m/>
    <s v="QUITO"/>
    <n v="51010101"/>
    <s v="Costo de ventas Quito"/>
    <n v="141.84"/>
    <m/>
    <n v="141.84"/>
    <x v="1"/>
    <n v="79891.62"/>
    <s v="141.84"/>
    <s v="jcortiz"/>
    <n v="0"/>
    <m/>
    <s v="QUITO-PICHINCHA"/>
    <m/>
    <m/>
    <m/>
  </r>
  <r>
    <x v="5"/>
    <x v="5"/>
    <d v="2022-10-31T00:00:00"/>
    <d v="2022-10-31T00:00:00"/>
    <s v="FE001"/>
    <s v="NE 100015479"/>
    <n v="107816"/>
    <s v="Entregas - CN1768153880001"/>
    <m/>
    <m/>
    <n v="51010101"/>
    <s v="Costo de ventas Quito"/>
    <m/>
    <n v="141.84"/>
    <n v="-141.84"/>
    <x v="1"/>
    <n v="79749.78"/>
    <s v="-141.84"/>
    <s v="jcortiz"/>
    <n v="0"/>
    <m/>
    <m/>
    <m/>
    <m/>
    <m/>
  </r>
  <r>
    <x v="5"/>
    <x v="5"/>
    <d v="2022-10-31T00:00:00"/>
    <d v="2022-10-31T00:00:00"/>
    <s v="FE001"/>
    <s v="NE 100015754"/>
    <n v="108872"/>
    <s v="Entrega - Cancelación - CN1768153880001"/>
    <m/>
    <m/>
    <n v="51010101"/>
    <s v="Costo de ventas Quito"/>
    <n v="141.84"/>
    <m/>
    <n v="141.84"/>
    <x v="1"/>
    <n v="79891.62"/>
    <s v="141.84"/>
    <s v="jcortiz"/>
    <n v="0"/>
    <m/>
    <m/>
    <m/>
    <m/>
    <m/>
  </r>
  <r>
    <x v="5"/>
    <x v="5"/>
    <d v="2022-11-18T00:00:00"/>
    <d v="2022-11-18T00:00:00"/>
    <s v="Primario"/>
    <s v="EP 6399"/>
    <n v="108788"/>
    <s v="Pedido de entrada de mercancías - PE0000000062"/>
    <m/>
    <m/>
    <n v="101060501"/>
    <s v="Mercadería en Tránsito"/>
    <n v="74305.37"/>
    <m/>
    <n v="74305.37"/>
    <x v="9"/>
    <n v="154196.99"/>
    <s v="74305.37"/>
    <s v="atayupa"/>
    <n v="0"/>
    <m/>
    <m/>
    <m/>
    <m/>
    <m/>
  </r>
  <r>
    <x v="5"/>
    <x v="5"/>
    <d v="2022-11-18T00:00:00"/>
    <d v="2022-11-18T00:00:00"/>
    <s v="FE001"/>
    <s v="NE 100015730"/>
    <n v="108795"/>
    <s v="Entregas - CN1722882634001"/>
    <m/>
    <s v="QUITO"/>
    <n v="51010101"/>
    <s v="Costo de ventas Quito"/>
    <m/>
    <n v="34.78"/>
    <n v="-34.78"/>
    <x v="1"/>
    <n v="154162.21"/>
    <s v="-34.78"/>
    <s v="jcortiz"/>
    <n v="0"/>
    <m/>
    <s v="QUITO-PICHINCHA"/>
    <m/>
    <m/>
    <m/>
  </r>
  <r>
    <x v="5"/>
    <x v="5"/>
    <d v="2022-11-18T00:00:00"/>
    <d v="2022-11-18T00:00:00"/>
    <s v="FE001"/>
    <s v="NE 100015737"/>
    <n v="108814"/>
    <s v="Entregas - CN1804437497001"/>
    <m/>
    <s v="QUITO"/>
    <n v="51010101"/>
    <s v="Costo de ventas Quito"/>
    <m/>
    <n v="204.74"/>
    <n v="-204.74"/>
    <x v="1"/>
    <n v="153957.47"/>
    <s v="-204.74"/>
    <s v="jcortiz"/>
    <n v="0"/>
    <m/>
    <s v="QUITO-PICHINCHA"/>
    <m/>
    <m/>
    <m/>
  </r>
  <r>
    <x v="5"/>
    <x v="5"/>
    <d v="2022-11-18T00:00:00"/>
    <d v="2022-11-18T00:00:00"/>
    <s v="Primario"/>
    <s v="DI 425"/>
    <n v="108818"/>
    <s v="Precio de entrega 425"/>
    <m/>
    <m/>
    <n v="101060501"/>
    <s v="Mercadería en Tránsito"/>
    <n v="14327.38"/>
    <m/>
    <n v="14327.38"/>
    <x v="9"/>
    <n v="168284.85"/>
    <s v="14327.38"/>
    <s v="atayupa"/>
    <n v="0"/>
    <m/>
    <m/>
    <m/>
    <m/>
    <m/>
  </r>
  <r>
    <x v="5"/>
    <x v="5"/>
    <d v="2022-11-18T00:00:00"/>
    <d v="2022-11-18T00:00:00"/>
    <s v="Primario"/>
    <s v="SM 570"/>
    <n v="108827"/>
    <s v="Ajuste importacion # 402"/>
    <m/>
    <s v="QUITO"/>
    <n v="51010101"/>
    <s v="Costo de ventas Quito"/>
    <m/>
    <n v="897.46"/>
    <n v="-897.46"/>
    <x v="1"/>
    <n v="167387.39000000001"/>
    <s v="-897.46"/>
    <s v="atayupa"/>
    <n v="0"/>
    <m/>
    <s v="QUITO-PICHINCHA"/>
    <m/>
    <m/>
    <m/>
  </r>
  <r>
    <x v="5"/>
    <x v="5"/>
    <d v="2022-11-18T00:00:00"/>
    <d v="2022-11-18T00:00:00"/>
    <s v="FE001"/>
    <s v="NE 100015741"/>
    <n v="108828"/>
    <s v="Entregas - CN1714787163001"/>
    <m/>
    <s v="QUITO"/>
    <n v="51010101"/>
    <s v="Costo de ventas Quito"/>
    <m/>
    <n v="82.45"/>
    <n v="-82.45"/>
    <x v="1"/>
    <n v="167304.94"/>
    <s v="-82.45"/>
    <s v="jcortiz"/>
    <n v="0"/>
    <m/>
    <s v="QUITO-PICHINCHA"/>
    <m/>
    <m/>
    <m/>
  </r>
  <r>
    <x v="5"/>
    <x v="5"/>
    <d v="2022-11-18T00:00:00"/>
    <d v="2022-11-18T00:00:00"/>
    <s v="Primario"/>
    <s v="EM 1726"/>
    <n v="108829"/>
    <s v="ajuste importacion OTAI # 402"/>
    <m/>
    <s v="QUITO"/>
    <n v="401030105"/>
    <s v="Otros Ingresos"/>
    <n v="425.86"/>
    <m/>
    <n v="425.86"/>
    <x v="5"/>
    <n v="167730.79999999999"/>
    <s v="425.86"/>
    <s v="atayupa"/>
    <n v="0"/>
    <m/>
    <s v="QUITO-PICHINCHA"/>
    <m/>
    <m/>
    <m/>
  </r>
  <r>
    <x v="5"/>
    <x v="5"/>
    <d v="2022-11-22T00:00:00"/>
    <d v="2022-11-22T00:00:00"/>
    <s v="Primario"/>
    <s v="EP 6409"/>
    <n v="108908"/>
    <s v="Pedido de entrada de mercancías - PE0000000101"/>
    <m/>
    <m/>
    <n v="101060501"/>
    <s v="Mercadería en Tránsito"/>
    <n v="8172"/>
    <m/>
    <n v="8172"/>
    <x v="9"/>
    <n v="175902.8"/>
    <s v="8172.00"/>
    <s v="atayupa"/>
    <n v="0"/>
    <m/>
    <m/>
    <m/>
    <m/>
    <m/>
  </r>
  <r>
    <x v="5"/>
    <x v="5"/>
    <d v="2022-11-22T00:00:00"/>
    <d v="2022-11-22T00:00:00"/>
    <s v="Primario"/>
    <s v="DI 426"/>
    <n v="108910"/>
    <s v="Precio de entrega 426"/>
    <m/>
    <m/>
    <n v="101060501"/>
    <s v="Mercadería en Tránsito"/>
    <n v="1630.48"/>
    <m/>
    <n v="1630.48"/>
    <x v="9"/>
    <n v="177533.28"/>
    <s v="1630.48"/>
    <s v="atayupa"/>
    <n v="0"/>
    <m/>
    <m/>
    <m/>
    <m/>
    <m/>
  </r>
  <r>
    <x v="5"/>
    <x v="5"/>
    <d v="2022-11-22T00:00:00"/>
    <d v="2022-11-22T00:00:00"/>
    <s v="FE001"/>
    <s v="IM 100003401"/>
    <n v="108946"/>
    <s v="Traslados - CN1792079160001"/>
    <m/>
    <m/>
    <n v="101060401"/>
    <s v="Inventario de prod. term. y mercad. en Bodega BULLSYPPLY  Quito"/>
    <m/>
    <n v="87438.09"/>
    <n v="-87438.09"/>
    <x v="3"/>
    <n v="90095.19"/>
    <s v="-87438.09"/>
    <s v="jcortiz"/>
    <n v="0"/>
    <m/>
    <m/>
    <m/>
    <m/>
    <m/>
  </r>
  <r>
    <x v="5"/>
    <x v="5"/>
    <d v="2022-11-22T00:00:00"/>
    <d v="2022-11-22T00:00:00"/>
    <s v="FE001"/>
    <s v="IM 100003402"/>
    <n v="108948"/>
    <s v="Traslados - CN1792079160001"/>
    <m/>
    <m/>
    <n v="101060401"/>
    <s v="Inventario de prod. term. y mercad. en Bodega BULLSYPPLY  Quito"/>
    <m/>
    <n v="9802.48"/>
    <n v="-9802.48"/>
    <x v="3"/>
    <n v="80292.710000000006"/>
    <s v="-9802.48"/>
    <s v="jcortiz"/>
    <n v="0"/>
    <m/>
    <m/>
    <m/>
    <m/>
    <m/>
  </r>
  <r>
    <x v="5"/>
    <x v="5"/>
    <d v="2022-11-22T00:00:00"/>
    <d v="2022-11-22T00:00:00"/>
    <s v="FE001"/>
    <s v="IM 100003405"/>
    <n v="108966"/>
    <s v="Traslados - CN1792079160001"/>
    <m/>
    <m/>
    <n v="101060401"/>
    <s v="Inventario de prod. term. y mercad. en Bodega BULLSYPPLY  Quito"/>
    <n v="278.79000000000002"/>
    <m/>
    <n v="278.79000000000002"/>
    <x v="3"/>
    <n v="80571.5"/>
    <s v="278.79"/>
    <s v="jcortiz"/>
    <n v="0"/>
    <m/>
    <m/>
    <m/>
    <m/>
    <m/>
  </r>
  <r>
    <x v="5"/>
    <x v="5"/>
    <d v="2022-11-22T00:00:00"/>
    <d v="2022-11-22T00:00:00"/>
    <s v="FE001"/>
    <s v="NE 100015775"/>
    <n v="108967"/>
    <s v="Entregas - CN1714787163001"/>
    <m/>
    <s v="QUITO"/>
    <n v="51010101"/>
    <s v="Costo de ventas Quito"/>
    <m/>
    <n v="278.79000000000002"/>
    <n v="-278.79000000000002"/>
    <x v="1"/>
    <n v="80292.710000000006"/>
    <s v="-278.79"/>
    <s v="jcortiz"/>
    <n v="0"/>
    <m/>
    <s v="QUITO-PICHINCHA"/>
    <m/>
    <m/>
    <m/>
  </r>
  <r>
    <x v="5"/>
    <x v="5"/>
    <d v="2022-11-22T00:00:00"/>
    <d v="2022-11-22T00:00:00"/>
    <s v="FE001"/>
    <s v="IM 100003406"/>
    <n v="108969"/>
    <s v="Traslados - CN1792079160001"/>
    <m/>
    <m/>
    <n v="101060401"/>
    <s v="Inventario de prod. term. y mercad. en Bodega BULLSYPPLY  Quito"/>
    <n v="106.67"/>
    <m/>
    <n v="106.67"/>
    <x v="3"/>
    <n v="80399.38"/>
    <s v="106.67"/>
    <s v="jcortiz"/>
    <n v="0"/>
    <m/>
    <m/>
    <m/>
    <m/>
    <m/>
  </r>
  <r>
    <x v="5"/>
    <x v="5"/>
    <d v="2022-11-22T00:00:00"/>
    <d v="2022-11-22T00:00:00"/>
    <s v="FE001"/>
    <s v="NE 100015776"/>
    <n v="108970"/>
    <s v="Entregas - CN1714787163001"/>
    <m/>
    <s v="QUITO"/>
    <n v="51010101"/>
    <s v="Costo de ventas Quito"/>
    <m/>
    <n v="106.67"/>
    <n v="-106.67"/>
    <x v="1"/>
    <n v="80292.710000000006"/>
    <s v="-106.67"/>
    <s v="jcortiz"/>
    <n v="0"/>
    <m/>
    <s v="QUITO-PICHINCHA"/>
    <m/>
    <m/>
    <m/>
  </r>
  <r>
    <x v="5"/>
    <x v="5"/>
    <d v="2022-11-22T00:00:00"/>
    <d v="2022-11-22T00:00:00"/>
    <s v="FE001"/>
    <s v="IM 100003407"/>
    <n v="108972"/>
    <s v="Traslados - CN1792079160001"/>
    <m/>
    <m/>
    <n v="101060401"/>
    <s v="Inventario de prod. term. y mercad. en Bodega BULLSYPPLY  Quito"/>
    <n v="796.12"/>
    <m/>
    <n v="796.12"/>
    <x v="3"/>
    <n v="81088.83"/>
    <s v="796.12"/>
    <s v="jcortiz"/>
    <n v="0"/>
    <m/>
    <m/>
    <m/>
    <m/>
    <m/>
  </r>
  <r>
    <x v="5"/>
    <x v="5"/>
    <d v="2022-11-22T00:00:00"/>
    <d v="2022-11-22T00:00:00"/>
    <s v="FE001"/>
    <s v="NE 100015777"/>
    <n v="108973"/>
    <s v="Entregas - CN1714787163001"/>
    <m/>
    <s v="QUITO"/>
    <n v="51010101"/>
    <s v="Costo de ventas Quito"/>
    <m/>
    <n v="796.12"/>
    <n v="-796.12"/>
    <x v="1"/>
    <n v="80292.710000000006"/>
    <s v="-796.12"/>
    <s v="jcortiz"/>
    <n v="0"/>
    <m/>
    <s v="QUITO-PICHINCHA"/>
    <m/>
    <m/>
    <m/>
  </r>
  <r>
    <x v="5"/>
    <x v="5"/>
    <d v="2022-11-22T00:00:00"/>
    <d v="2022-11-22T00:00:00"/>
    <s v="FE001"/>
    <s v="IM 100003408"/>
    <n v="108974"/>
    <s v="Traslados - CN1792079160001"/>
    <m/>
    <m/>
    <n v="101060401"/>
    <s v="Inventario de prod. term. y mercad. en Bodega BULLSYPPLY  Quito"/>
    <n v="240.32"/>
    <m/>
    <n v="240.32"/>
    <x v="3"/>
    <n v="80533.03"/>
    <s v="240.32"/>
    <s v="jcortiz"/>
    <n v="0"/>
    <m/>
    <m/>
    <m/>
    <m/>
    <m/>
  </r>
  <r>
    <x v="5"/>
    <x v="5"/>
    <d v="2022-11-22T00:00:00"/>
    <d v="2022-11-22T00:00:00"/>
    <s v="FE001"/>
    <s v="NE 100015778"/>
    <n v="108975"/>
    <s v="Entregas - CN1714787163001"/>
    <m/>
    <s v="QUITO"/>
    <n v="51010101"/>
    <s v="Costo de ventas Quito"/>
    <m/>
    <n v="240.32"/>
    <n v="-240.32"/>
    <x v="1"/>
    <n v="80292.710000000006"/>
    <s v="-240.32"/>
    <s v="jcortiz"/>
    <n v="0"/>
    <m/>
    <s v="QUITO-PICHINCHA"/>
    <m/>
    <m/>
    <m/>
  </r>
  <r>
    <x v="5"/>
    <x v="5"/>
    <d v="2022-11-22T00:00:00"/>
    <d v="2022-11-22T00:00:00"/>
    <s v="FE001"/>
    <s v="IM 100003409"/>
    <n v="108976"/>
    <s v="Traslados - CN1792079160001"/>
    <m/>
    <m/>
    <n v="101060401"/>
    <s v="Inventario de prod. term. y mercad. en Bodega BULLSYPPLY  Quito"/>
    <n v="40.78"/>
    <m/>
    <n v="40.78"/>
    <x v="3"/>
    <n v="80333.490000000005"/>
    <s v="40.78"/>
    <s v="jcortiz"/>
    <n v="0"/>
    <m/>
    <m/>
    <m/>
    <m/>
    <m/>
  </r>
  <r>
    <x v="5"/>
    <x v="5"/>
    <d v="2022-11-22T00:00:00"/>
    <d v="2022-11-22T00:00:00"/>
    <s v="FE001"/>
    <s v="NE 100015779"/>
    <n v="108977"/>
    <s v="Entregas - CN1714787163001"/>
    <m/>
    <s v="QUITO"/>
    <n v="51010101"/>
    <s v="Costo de ventas Quito"/>
    <m/>
    <n v="40.78"/>
    <n v="-40.78"/>
    <x v="1"/>
    <n v="80292.710000000006"/>
    <s v="-40.78"/>
    <s v="jcortiz"/>
    <n v="0"/>
    <m/>
    <s v="QUITO-PICHINCHA"/>
    <m/>
    <m/>
    <m/>
  </r>
  <r>
    <x v="5"/>
    <x v="5"/>
    <d v="2022-11-22T00:00:00"/>
    <d v="2022-11-22T00:00:00"/>
    <s v="FE001"/>
    <s v="IM 100003410"/>
    <n v="108985"/>
    <s v="Traslados - CN1792079160001"/>
    <m/>
    <m/>
    <n v="101060401"/>
    <s v="Inventario de prod. term. y mercad. en Bodega BULLSYPPLY  Quito"/>
    <n v="706.12"/>
    <m/>
    <n v="706.12"/>
    <x v="3"/>
    <n v="80998.83"/>
    <s v="706.12"/>
    <s v="jcortiz"/>
    <n v="0"/>
    <m/>
    <m/>
    <m/>
    <m/>
    <m/>
  </r>
  <r>
    <x v="5"/>
    <x v="5"/>
    <d v="2022-11-22T00:00:00"/>
    <d v="2022-11-22T00:00:00"/>
    <s v="FE001"/>
    <s v="NE 100015783"/>
    <n v="108986"/>
    <s v="Entregas - CN1102853817001"/>
    <m/>
    <s v="QUITO"/>
    <n v="51010101"/>
    <s v="Costo de ventas Quito"/>
    <m/>
    <n v="706.11"/>
    <n v="-706.11"/>
    <x v="1"/>
    <n v="80292.72"/>
    <s v="-706.11"/>
    <s v="jcortiz"/>
    <n v="0"/>
    <m/>
    <s v="QUITO-PICHINCHA"/>
    <m/>
    <m/>
    <m/>
  </r>
  <r>
    <x v="5"/>
    <x v="5"/>
    <d v="2022-11-22T00:00:00"/>
    <d v="2022-11-22T00:00:00"/>
    <s v="Primario"/>
    <s v="EP 6415"/>
    <n v="109008"/>
    <s v="Pedido de entrada de mercancías - PE0000000084"/>
    <m/>
    <m/>
    <n v="101060501"/>
    <s v="Mercadería en Tránsito"/>
    <n v="26936.1"/>
    <m/>
    <n v="26936.1"/>
    <x v="9"/>
    <n v="107228.82"/>
    <s v="26936.10"/>
    <s v="atayupa"/>
    <n v="0"/>
    <m/>
    <m/>
    <m/>
    <m/>
    <m/>
  </r>
  <r>
    <x v="5"/>
    <x v="5"/>
    <d v="2022-11-22T00:00:00"/>
    <d v="2022-11-22T00:00:00"/>
    <s v="Primario"/>
    <s v="DI 427"/>
    <n v="109011"/>
    <s v="Precio de entrega 427"/>
    <m/>
    <m/>
    <n v="101060501"/>
    <s v="Mercadería en Tránsito"/>
    <n v="5461.66"/>
    <m/>
    <n v="5461.66"/>
    <x v="9"/>
    <n v="112690.48"/>
    <s v="5461.66"/>
    <s v="atayupa"/>
    <n v="0"/>
    <m/>
    <m/>
    <m/>
    <m/>
    <m/>
  </r>
  <r>
    <x v="5"/>
    <x v="5"/>
    <d v="2022-11-22T00:00:00"/>
    <d v="2022-11-22T00:00:00"/>
    <s v="FE001"/>
    <s v="IM 100003413"/>
    <n v="109030"/>
    <s v="Traslados - CN1792079160001"/>
    <m/>
    <m/>
    <n v="101060401"/>
    <s v="Inventario de prod. term. y mercad. en Bodega BULLSYPPLY  Quito"/>
    <m/>
    <n v="32397.759999999998"/>
    <n v="-32397.759999999998"/>
    <x v="3"/>
    <n v="80292.72"/>
    <s v="-32397.76"/>
    <s v="jcortiz"/>
    <n v="0"/>
    <m/>
    <m/>
    <m/>
    <m/>
    <m/>
  </r>
  <r>
    <x v="5"/>
    <x v="5"/>
    <d v="2022-11-24T00:00:00"/>
    <d v="2022-11-24T00:00:00"/>
    <s v="Primario"/>
    <s v="EP 6422"/>
    <n v="109170"/>
    <s v="Pedido de entrada de mercancías - PE0000000012"/>
    <m/>
    <m/>
    <n v="101060501"/>
    <s v="Mercadería en Tránsito"/>
    <n v="363"/>
    <m/>
    <n v="363"/>
    <x v="9"/>
    <n v="80655.72"/>
    <s v="363.00"/>
    <s v="atayupa"/>
    <n v="0"/>
    <m/>
    <m/>
    <m/>
    <m/>
    <m/>
  </r>
  <r>
    <x v="5"/>
    <x v="5"/>
    <d v="2022-11-24T00:00:00"/>
    <d v="2022-11-24T00:00:00"/>
    <s v="Primario"/>
    <s v="DI 428"/>
    <n v="109173"/>
    <s v="Precio de entrega 428"/>
    <m/>
    <m/>
    <n v="101060501"/>
    <s v="Mercadería en Tránsito"/>
    <n v="207.82"/>
    <m/>
    <n v="207.82"/>
    <x v="9"/>
    <n v="80863.539999999994"/>
    <s v="207.82"/>
    <s v="atayupa"/>
    <n v="0"/>
    <m/>
    <m/>
    <m/>
    <m/>
    <m/>
  </r>
  <r>
    <x v="5"/>
    <x v="5"/>
    <d v="2022-11-24T00:00:00"/>
    <d v="2022-11-24T00:00:00"/>
    <s v="Primario"/>
    <s v="EP 6423"/>
    <n v="109178"/>
    <s v="Pedido de entrada de mercancías - PE0000000044"/>
    <m/>
    <m/>
    <n v="101060501"/>
    <s v="Mercadería en Tránsito"/>
    <n v="44083.5"/>
    <m/>
    <n v="44083.5"/>
    <x v="9"/>
    <n v="124947.04"/>
    <s v="44083.50"/>
    <s v="atayupa"/>
    <n v="0"/>
    <m/>
    <m/>
    <m/>
    <m/>
    <m/>
  </r>
  <r>
    <x v="5"/>
    <x v="5"/>
    <d v="2022-11-24T00:00:00"/>
    <d v="2022-11-24T00:00:00"/>
    <s v="Primario"/>
    <s v="DI 429"/>
    <n v="109180"/>
    <s v="Precio de entrega 429"/>
    <m/>
    <m/>
    <n v="101060501"/>
    <s v="Mercadería en Tránsito"/>
    <n v="4020"/>
    <m/>
    <n v="4020"/>
    <x v="9"/>
    <n v="128967.03999999999"/>
    <s v="4020.00"/>
    <s v="atayupa"/>
    <n v="0"/>
    <m/>
    <m/>
    <m/>
    <m/>
    <m/>
  </r>
  <r>
    <x v="5"/>
    <x v="5"/>
    <d v="2022-11-24T00:00:00"/>
    <d v="2022-11-24T00:00:00"/>
    <s v="Primario"/>
    <s v="EP 6424"/>
    <n v="109203"/>
    <s v="Pedido de entrada de mercancías - PE0000000018"/>
    <m/>
    <m/>
    <n v="101060501"/>
    <s v="Mercadería en Tránsito"/>
    <n v="191.6"/>
    <m/>
    <n v="191.6"/>
    <x v="9"/>
    <n v="129158.64"/>
    <s v="191.60"/>
    <s v="atayupa"/>
    <n v="0"/>
    <m/>
    <m/>
    <m/>
    <m/>
    <m/>
  </r>
  <r>
    <x v="5"/>
    <x v="5"/>
    <d v="2022-11-24T00:00:00"/>
    <d v="2022-11-24T00:00:00"/>
    <s v="Primario"/>
    <s v="EP 6425"/>
    <n v="109204"/>
    <s v="Pedido de entrada de mercancías - PE0000000081"/>
    <m/>
    <m/>
    <n v="101060501"/>
    <s v="Mercadería en Tránsito"/>
    <n v="922.14"/>
    <m/>
    <n v="922.14"/>
    <x v="9"/>
    <n v="130080.78"/>
    <s v="922.14"/>
    <s v="atayupa"/>
    <n v="0"/>
    <m/>
    <m/>
    <m/>
    <m/>
    <m/>
  </r>
  <r>
    <x v="5"/>
    <x v="5"/>
    <d v="2022-11-24T00:00:00"/>
    <d v="2022-11-24T00:00:00"/>
    <s v="Primario"/>
    <s v="DI 430"/>
    <n v="109205"/>
    <s v="Precio de entrega 430"/>
    <m/>
    <m/>
    <n v="101060501"/>
    <s v="Mercadería en Tránsito"/>
    <n v="622.73"/>
    <m/>
    <n v="622.73"/>
    <x v="9"/>
    <n v="130703.51"/>
    <s v="622.73"/>
    <s v="atayupa"/>
    <n v="0"/>
    <m/>
    <m/>
    <m/>
    <m/>
    <m/>
  </r>
  <r>
    <x v="5"/>
    <x v="5"/>
    <d v="2022-11-24T00:00:00"/>
    <d v="2022-11-24T00:00:00"/>
    <s v="FE001"/>
    <s v="IM 100003419"/>
    <n v="109242"/>
    <s v="Traslados - CN1792079160001"/>
    <m/>
    <m/>
    <n v="101060401"/>
    <s v="Inventario de prod. term. y mercad. en Bodega BULLSYPPLY  Quito"/>
    <m/>
    <n v="50410.79"/>
    <n v="-50410.79"/>
    <x v="3"/>
    <n v="80292.72"/>
    <s v="-50410.79"/>
    <s v="jcortiz"/>
    <n v="0"/>
    <m/>
    <m/>
    <m/>
    <m/>
    <m/>
  </r>
  <r>
    <x v="5"/>
    <x v="5"/>
    <d v="2022-11-29T00:00:00"/>
    <d v="2022-11-29T00:00:00"/>
    <s v="FE001"/>
    <s v="NE 100015897"/>
    <n v="109507"/>
    <s v="Entregas - CN0990006687001"/>
    <m/>
    <s v="QUITO"/>
    <n v="51010101"/>
    <s v="Costo de ventas Quito"/>
    <m/>
    <n v="570.82000000000005"/>
    <n v="-570.82000000000005"/>
    <x v="1"/>
    <n v="79721.899999999994"/>
    <s v="-570.82"/>
    <s v="jcortiz"/>
    <n v="0"/>
    <m/>
    <s v="QUITO-PICHINCHA"/>
    <m/>
    <m/>
    <m/>
  </r>
  <r>
    <x v="5"/>
    <x v="5"/>
    <d v="2022-12-01T00:00:00"/>
    <d v="2022-12-01T00:00:00"/>
    <s v="Primario"/>
    <s v="EP 6459"/>
    <n v="109604"/>
    <s v="Pedido de entrada de mercancías - PE0000000004"/>
    <m/>
    <m/>
    <n v="101060501"/>
    <s v="Mercadería en Tránsito"/>
    <n v="161451"/>
    <m/>
    <n v="161451"/>
    <x v="9"/>
    <n v="241172.9"/>
    <s v="161451.00"/>
    <s v="atayupa"/>
    <n v="0"/>
    <m/>
    <m/>
    <m/>
    <m/>
    <m/>
  </r>
  <r>
    <x v="5"/>
    <x v="5"/>
    <d v="2022-12-01T00:00:00"/>
    <d v="2022-12-01T00:00:00"/>
    <s v="Primario"/>
    <s v="DI 431"/>
    <n v="109613"/>
    <s v="Precio de entrega 431"/>
    <m/>
    <m/>
    <n v="101060501"/>
    <s v="Mercadería en Tránsito"/>
    <n v="9822.89"/>
    <m/>
    <n v="9822.89"/>
    <x v="9"/>
    <n v="250995.79"/>
    <s v="9822.89"/>
    <s v="atayupa"/>
    <n v="0"/>
    <m/>
    <m/>
    <m/>
    <m/>
    <m/>
  </r>
  <r>
    <x v="5"/>
    <x v="5"/>
    <d v="2022-12-01T00:00:00"/>
    <d v="2022-12-01T00:00:00"/>
    <s v="FE001"/>
    <s v="IM 100003442"/>
    <n v="109616"/>
    <s v="Traslados - CN1792079160001"/>
    <m/>
    <m/>
    <n v="101060401"/>
    <s v="Inventario de prod. term. y mercad. en Bodega BULLSYPPLY  Quito"/>
    <m/>
    <n v="171273.89"/>
    <n v="-171273.89"/>
    <x v="3"/>
    <n v="79721.899999999994"/>
    <s v="-171273.89"/>
    <s v="jcortiz"/>
    <n v="0"/>
    <m/>
    <m/>
    <m/>
    <m/>
    <m/>
  </r>
  <r>
    <x v="5"/>
    <x v="5"/>
    <d v="2022-12-19T00:00:00"/>
    <d v="2022-12-19T00:00:00"/>
    <s v="Primario"/>
    <s v="EP 6497"/>
    <n v="110378"/>
    <s v="Pedido de entrada de mercancías - PE0000000099"/>
    <m/>
    <m/>
    <n v="101060501"/>
    <s v="Mercadería en Tránsito"/>
    <n v="16739"/>
    <m/>
    <n v="16739"/>
    <x v="9"/>
    <n v="96460.9"/>
    <s v="16739.00"/>
    <s v="atayupa"/>
    <n v="0"/>
    <m/>
    <m/>
    <m/>
    <m/>
    <m/>
  </r>
  <r>
    <x v="5"/>
    <x v="5"/>
    <d v="2022-12-19T00:00:00"/>
    <d v="2022-12-19T00:00:00"/>
    <s v="Primario"/>
    <s v="EP 6498"/>
    <n v="110383"/>
    <s v="Pedido de entrada de mercancías - PE0000000074"/>
    <m/>
    <m/>
    <n v="101060501"/>
    <s v="Mercadería en Tránsito"/>
    <n v="12195"/>
    <m/>
    <n v="12195"/>
    <x v="9"/>
    <n v="108655.9"/>
    <s v="12195.00"/>
    <s v="atayupa"/>
    <n v="0"/>
    <m/>
    <m/>
    <m/>
    <m/>
    <m/>
  </r>
  <r>
    <x v="5"/>
    <x v="5"/>
    <d v="2022-12-19T00:00:00"/>
    <d v="2022-12-19T00:00:00"/>
    <s v="Primario"/>
    <s v="DI 432"/>
    <n v="110385"/>
    <s v="Precio de entrega 432"/>
    <m/>
    <m/>
    <n v="101060501"/>
    <s v="Mercadería en Tránsito"/>
    <n v="6298.81"/>
    <m/>
    <n v="6298.81"/>
    <x v="9"/>
    <n v="114954.71"/>
    <s v="6298.81"/>
    <s v="atayupa"/>
    <n v="0"/>
    <m/>
    <m/>
    <m/>
    <m/>
    <m/>
  </r>
  <r>
    <x v="5"/>
    <x v="5"/>
    <d v="2022-12-20T00:00:00"/>
    <d v="2022-12-20T00:00:00"/>
    <s v="Primario"/>
    <s v="EP 6509"/>
    <n v="110429"/>
    <s v="Pedido de entrada de mercancías - PE0000000019"/>
    <m/>
    <m/>
    <n v="101060501"/>
    <s v="Mercadería en Tránsito"/>
    <n v="72667.62"/>
    <m/>
    <n v="72667.62"/>
    <x v="9"/>
    <n v="187622.33"/>
    <s v="72667.62"/>
    <s v="atayupa"/>
    <n v="0"/>
    <m/>
    <m/>
    <m/>
    <m/>
    <m/>
  </r>
  <r>
    <x v="5"/>
    <x v="5"/>
    <d v="2022-12-20T00:00:00"/>
    <d v="2022-12-20T00:00:00"/>
    <s v="Primario"/>
    <s v="DI 433"/>
    <n v="110433"/>
    <s v="Precio de entrega 433"/>
    <m/>
    <m/>
    <n v="101060501"/>
    <s v="Mercadería en Tránsito"/>
    <n v="12733.46"/>
    <m/>
    <n v="12733.46"/>
    <x v="9"/>
    <n v="200355.79"/>
    <s v="12733.46"/>
    <s v="atayupa"/>
    <n v="0"/>
    <m/>
    <m/>
    <m/>
    <m/>
    <m/>
  </r>
  <r>
    <x v="5"/>
    <x v="5"/>
    <d v="2022-12-20T00:00:00"/>
    <d v="2022-12-20T00:00:00"/>
    <s v="Primario"/>
    <s v="SM 580"/>
    <n v="110437"/>
    <s v="AJUSTE DE IMPORTACION # 420 METALFAR"/>
    <m/>
    <s v="QUITO"/>
    <n v="51010101"/>
    <s v="Costo de ventas Quito"/>
    <m/>
    <n v="874.38"/>
    <n v="-874.38"/>
    <x v="1"/>
    <n v="199481.41"/>
    <s v="-874.38"/>
    <s v="atayupa"/>
    <n v="0"/>
    <m/>
    <s v="QUITO-PICHINCHA"/>
    <m/>
    <m/>
    <m/>
  </r>
  <r>
    <x v="5"/>
    <x v="5"/>
    <d v="2022-12-20T00:00:00"/>
    <d v="2022-12-20T00:00:00"/>
    <s v="FE001"/>
    <s v="IM 100003472"/>
    <n v="110441"/>
    <s v="Traslados - CN1792079160001"/>
    <m/>
    <m/>
    <n v="101060401"/>
    <s v="Inventario de prod. term. y mercad. en Bodega BULLSYPPLY  Quito"/>
    <m/>
    <n v="84526.7"/>
    <n v="-84526.7"/>
    <x v="3"/>
    <n v="114954.71"/>
    <s v="-84526.70"/>
    <s v="jcortiz"/>
    <n v="0"/>
    <m/>
    <m/>
    <m/>
    <m/>
    <m/>
  </r>
  <r>
    <x v="5"/>
    <x v="5"/>
    <d v="2022-12-21T00:00:00"/>
    <d v="2022-12-21T00:00:00"/>
    <s v="Primario"/>
    <s v="EP 6517"/>
    <n v="110540"/>
    <s v="Pedido de entrada de mercancías - PE0000000077"/>
    <m/>
    <m/>
    <n v="101060501"/>
    <s v="Mercadería en Tránsito"/>
    <n v="13894.04"/>
    <m/>
    <n v="13894.04"/>
    <x v="9"/>
    <n v="128848.75"/>
    <s v="13894.04"/>
    <s v="atayupa"/>
    <n v="0"/>
    <m/>
    <m/>
    <m/>
    <m/>
    <m/>
  </r>
  <r>
    <x v="5"/>
    <x v="5"/>
    <d v="2022-12-21T00:00:00"/>
    <d v="2022-12-21T00:00:00"/>
    <s v="Primario"/>
    <s v="EP 6518"/>
    <n v="110542"/>
    <s v="Pedido de entrada de mercancías - PE0000000044"/>
    <m/>
    <m/>
    <n v="101060501"/>
    <s v="Mercadería en Tránsito"/>
    <n v="1431.31"/>
    <m/>
    <n v="1431.31"/>
    <x v="9"/>
    <n v="130280.06"/>
    <s v="1431.31"/>
    <s v="atayupa"/>
    <n v="0"/>
    <m/>
    <m/>
    <m/>
    <m/>
    <m/>
  </r>
  <r>
    <x v="5"/>
    <x v="5"/>
    <d v="2022-12-21T00:00:00"/>
    <d v="2022-12-21T00:00:00"/>
    <s v="Primario"/>
    <s v="DI 434"/>
    <n v="110548"/>
    <s v="Precio de entrega 434"/>
    <m/>
    <m/>
    <n v="101060501"/>
    <s v="Mercadería en Tránsito"/>
    <n v="4753.21"/>
    <m/>
    <n v="4753.21"/>
    <x v="9"/>
    <n v="135033.26999999999"/>
    <s v="4753.21"/>
    <s v="atayupa"/>
    <n v="0"/>
    <m/>
    <m/>
    <m/>
    <m/>
    <m/>
  </r>
  <r>
    <x v="5"/>
    <x v="5"/>
    <d v="2022-12-21T00:00:00"/>
    <d v="2022-12-21T00:00:00"/>
    <s v="FE001"/>
    <s v="NE 100016159"/>
    <n v="110589"/>
    <s v="Entregas - CN1791768205001"/>
    <m/>
    <s v="QUITO"/>
    <n v="51010101"/>
    <s v="Costo de ventas Quito"/>
    <m/>
    <n v="682.69"/>
    <n v="-682.69"/>
    <x v="1"/>
    <n v="134350.57999999999"/>
    <s v="-682.69"/>
    <s v="jcortiz"/>
    <n v="0"/>
    <m/>
    <s v="QUITO-PICHINCHA"/>
    <m/>
    <m/>
    <m/>
  </r>
  <r>
    <x v="5"/>
    <x v="5"/>
    <d v="2022-12-21T00:00:00"/>
    <d v="2022-12-21T00:00:00"/>
    <s v="FE001"/>
    <s v="IM 100003480"/>
    <n v="110590"/>
    <s v="Traslados - CN1792079160001"/>
    <m/>
    <m/>
    <n v="101060401"/>
    <s v="Inventario de prod. term. y mercad. en Bodega BULLSYPPLY  Quito"/>
    <m/>
    <n v="20078.560000000001"/>
    <n v="-20078.560000000001"/>
    <x v="3"/>
    <n v="114272.02"/>
    <s v="-20078.56"/>
    <s v="jcortiz"/>
    <n v="0"/>
    <m/>
    <m/>
    <m/>
    <m/>
    <m/>
  </r>
  <r>
    <x v="5"/>
    <x v="5"/>
    <d v="2022-12-22T00:00:00"/>
    <d v="2022-12-22T00:00:00"/>
    <s v="FE001"/>
    <s v="IM 100003483"/>
    <n v="110605"/>
    <s v="Traslados - CN1792079160001"/>
    <m/>
    <m/>
    <n v="101060401"/>
    <s v="Inventario de prod. term. y mercad. en Bodega BULLSYPPLY  Quito"/>
    <m/>
    <n v="14849.79"/>
    <n v="-14849.79"/>
    <x v="3"/>
    <n v="99422.23"/>
    <s v="-14849.79"/>
    <s v="jcortiz"/>
    <n v="0"/>
    <m/>
    <m/>
    <m/>
    <m/>
    <m/>
  </r>
  <r>
    <x v="5"/>
    <x v="5"/>
    <d v="2022-12-22T00:00:00"/>
    <d v="2022-12-22T00:00:00"/>
    <s v="FE001"/>
    <s v="IM 100003484"/>
    <n v="110606"/>
    <s v="Traslados - CN1792079160001"/>
    <m/>
    <m/>
    <n v="101060401"/>
    <s v="Inventario de prod. term. y mercad. en Bodega BULLSYPPLY  Quito"/>
    <m/>
    <n v="19700.330000000002"/>
    <n v="-19700.330000000002"/>
    <x v="3"/>
    <n v="79721.899999999994"/>
    <s v="-19700.33"/>
    <s v="jcortiz"/>
    <n v="0"/>
    <m/>
    <m/>
    <m/>
    <m/>
    <m/>
  </r>
  <r>
    <x v="5"/>
    <x v="5"/>
    <d v="2022-12-22T00:00:00"/>
    <d v="2022-12-22T00:00:00"/>
    <s v="Primario"/>
    <s v="EP 6528"/>
    <n v="110656"/>
    <s v="Pedido de entrada de mercancías - PE0000000094"/>
    <m/>
    <m/>
    <n v="101060501"/>
    <s v="Mercadería en Tránsito"/>
    <n v="2340"/>
    <m/>
    <n v="2340"/>
    <x v="9"/>
    <n v="82061.899999999994"/>
    <s v="2340.00"/>
    <s v="atayupa"/>
    <n v="0"/>
    <m/>
    <m/>
    <m/>
    <m/>
    <m/>
  </r>
  <r>
    <x v="5"/>
    <x v="5"/>
    <d v="2022-12-22T00:00:00"/>
    <d v="2022-12-22T00:00:00"/>
    <s v="Primario"/>
    <s v="DI 435"/>
    <n v="110657"/>
    <s v="Precio de entrega 435"/>
    <m/>
    <m/>
    <n v="101060501"/>
    <s v="Mercadería en Tránsito"/>
    <n v="1883.53"/>
    <m/>
    <n v="1883.53"/>
    <x v="9"/>
    <n v="83945.43"/>
    <s v="1883.53"/>
    <s v="atayupa"/>
    <n v="0"/>
    <m/>
    <m/>
    <m/>
    <m/>
    <m/>
  </r>
  <r>
    <x v="5"/>
    <x v="5"/>
    <d v="2022-12-27T00:00:00"/>
    <d v="2022-12-27T00:00:00"/>
    <s v="Primario"/>
    <s v="EP 6531"/>
    <n v="110721"/>
    <s v="Pedido de entrada de mercancías - PE0000000010"/>
    <m/>
    <m/>
    <n v="101060501"/>
    <s v="Mercadería en Tránsito"/>
    <n v="17510.04"/>
    <m/>
    <n v="17510.04"/>
    <x v="9"/>
    <n v="101455.47"/>
    <s v="17510.04"/>
    <s v="atayupa"/>
    <n v="0"/>
    <m/>
    <m/>
    <m/>
    <m/>
    <m/>
  </r>
  <r>
    <x v="5"/>
    <x v="5"/>
    <d v="2022-12-27T00:00:00"/>
    <d v="2022-12-27T00:00:00"/>
    <s v="Primario"/>
    <s v="EP 6532"/>
    <n v="110723"/>
    <s v="Pedido de entrada de mercancías - PE0000000081"/>
    <m/>
    <m/>
    <n v="101060501"/>
    <s v="Mercadería en Tránsito"/>
    <n v="154.63999999999999"/>
    <m/>
    <n v="154.63999999999999"/>
    <x v="9"/>
    <n v="101610.11"/>
    <s v="154.64"/>
    <s v="atayupa"/>
    <n v="0"/>
    <m/>
    <m/>
    <m/>
    <m/>
    <m/>
  </r>
  <r>
    <x v="5"/>
    <x v="5"/>
    <d v="2022-12-27T00:00:00"/>
    <d v="2022-12-27T00:00:00"/>
    <s v="Primario"/>
    <s v="DI 436"/>
    <n v="110725"/>
    <s v="Precio de entrega 436"/>
    <m/>
    <m/>
    <n v="101060501"/>
    <s v="Mercadería en Tránsito"/>
    <n v="2244.9499999999998"/>
    <m/>
    <n v="2244.9499999999998"/>
    <x v="9"/>
    <n v="103855.06"/>
    <s v="2244.95"/>
    <s v="atayupa"/>
    <n v="0"/>
    <m/>
    <m/>
    <m/>
    <m/>
    <m/>
  </r>
  <r>
    <x v="5"/>
    <x v="5"/>
    <d v="2022-12-27T00:00:00"/>
    <d v="2022-12-27T00:00:00"/>
    <s v="FE001"/>
    <s v="IM 100003488"/>
    <n v="110734"/>
    <s v="Traslados - CN1792079160001"/>
    <m/>
    <m/>
    <n v="101060401"/>
    <s v="Inventario de prod. term. y mercad. en Bodega BULLSYPPLY  Quito"/>
    <m/>
    <n v="19901.849999999999"/>
    <n v="-19901.849999999999"/>
    <x v="3"/>
    <n v="83953.21"/>
    <s v="-19901.85"/>
    <s v="jcortiz"/>
    <n v="0"/>
    <m/>
    <m/>
    <m/>
    <m/>
    <m/>
  </r>
  <r>
    <x v="5"/>
    <x v="5"/>
    <d v="2022-12-27T00:00:00"/>
    <d v="2022-12-27T00:00:00"/>
    <s v="Primario"/>
    <s v="EP 6533"/>
    <n v="110742"/>
    <s v="Pedido de entrada de mercancías - PE0000000046"/>
    <m/>
    <m/>
    <n v="101060501"/>
    <s v="Mercadería en Tránsito"/>
    <n v="78548.58"/>
    <m/>
    <n v="78548.58"/>
    <x v="9"/>
    <n v="162501.79"/>
    <s v="78548.58"/>
    <s v="atayupa"/>
    <n v="0"/>
    <m/>
    <m/>
    <m/>
    <m/>
    <m/>
  </r>
  <r>
    <x v="5"/>
    <x v="5"/>
    <d v="2022-12-27T00:00:00"/>
    <d v="2022-12-27T00:00:00"/>
    <s v="Primario"/>
    <s v="DI 437"/>
    <n v="110744"/>
    <s v="Precio de entrega 437"/>
    <m/>
    <m/>
    <n v="101060501"/>
    <s v="Mercadería en Tránsito"/>
    <n v="8883.35"/>
    <m/>
    <n v="8883.35"/>
    <x v="9"/>
    <n v="171385.14"/>
    <s v="8883.35"/>
    <s v="atayupa"/>
    <n v="0"/>
    <m/>
    <m/>
    <m/>
    <m/>
    <m/>
  </r>
  <r>
    <x v="5"/>
    <x v="5"/>
    <d v="2022-12-27T00:00:00"/>
    <d v="2022-12-27T00:00:00"/>
    <s v="FE001"/>
    <s v="IM 100003491"/>
    <n v="110782"/>
    <s v="Traslados - CN1792079160001"/>
    <m/>
    <m/>
    <n v="101060401"/>
    <s v="Inventario de prod. term. y mercad. en Bodega BULLSYPPLY  Quito"/>
    <m/>
    <n v="87431.93"/>
    <n v="-87431.93"/>
    <x v="3"/>
    <n v="83953.21"/>
    <s v="-87431.93"/>
    <s v="jcortiz"/>
    <n v="0"/>
    <m/>
    <m/>
    <m/>
    <m/>
    <m/>
  </r>
  <r>
    <x v="5"/>
    <x v="5"/>
    <d v="2022-12-28T00:00:00"/>
    <d v="2022-12-28T00:00:00"/>
    <s v="Primario"/>
    <s v="EP 6539"/>
    <n v="110863"/>
    <s v="Pedido de entrada de mercancías - PE0000000081"/>
    <m/>
    <m/>
    <n v="101060501"/>
    <s v="Mercadería en Tránsito"/>
    <n v="3065.95"/>
    <m/>
    <n v="3065.95"/>
    <x v="9"/>
    <n v="87019.16"/>
    <s v="3065.95"/>
    <s v="atayupa"/>
    <n v="0"/>
    <m/>
    <m/>
    <m/>
    <m/>
    <m/>
  </r>
  <r>
    <x v="5"/>
    <x v="5"/>
    <d v="2022-12-28T00:00:00"/>
    <d v="2022-12-28T00:00:00"/>
    <s v="Primario"/>
    <s v="DI 438"/>
    <n v="110866"/>
    <s v="Precio de entrega 438"/>
    <m/>
    <m/>
    <n v="101060501"/>
    <s v="Mercadería en Tránsito"/>
    <n v="361.13"/>
    <m/>
    <n v="361.13"/>
    <x v="9"/>
    <n v="87380.29"/>
    <s v="361.13"/>
    <s v="atayupa"/>
    <n v="0"/>
    <m/>
    <m/>
    <m/>
    <m/>
    <m/>
  </r>
  <r>
    <x v="5"/>
    <x v="5"/>
    <d v="2022-12-28T00:00:00"/>
    <d v="2022-12-28T00:00:00"/>
    <s v="FE001"/>
    <s v="IM 100003495"/>
    <n v="110878"/>
    <s v="Traslados - CN1792079160001"/>
    <m/>
    <m/>
    <n v="101060401"/>
    <s v="Inventario de prod. term. y mercad. en Bodega BULLSYPPLY  Quito"/>
    <m/>
    <n v="3424.71"/>
    <n v="-3424.71"/>
    <x v="3"/>
    <n v="83955.58"/>
    <s v="-3424.71"/>
    <s v="jcortiz"/>
    <n v="0"/>
    <m/>
    <m/>
    <m/>
    <m/>
    <m/>
  </r>
  <r>
    <x v="6"/>
    <x v="6"/>
    <s v="Activos"/>
    <n v="101060409"/>
    <m/>
    <m/>
    <m/>
    <s v="Saldo Inicial"/>
    <m/>
    <m/>
    <m/>
    <m/>
    <n v="38334.239999999998"/>
    <m/>
    <n v="38334.239999999998"/>
    <x v="0"/>
    <n v="38334.239999999998"/>
    <m/>
    <m/>
    <m/>
    <m/>
    <m/>
    <m/>
    <m/>
    <m/>
  </r>
  <r>
    <x v="6"/>
    <x v="6"/>
    <d v="2022-10-03T00:00:00"/>
    <d v="2022-10-03T00:00:00"/>
    <s v="FE001"/>
    <s v="IM 100003279"/>
    <n v="106375"/>
    <s v="Traslados - CN1792079160001"/>
    <m/>
    <m/>
    <n v="101060402"/>
    <s v="Inventario de prod. term. y mercad. en Bodega BULLSYPPLY Coca"/>
    <m/>
    <n v="27.46"/>
    <n v="-27.46"/>
    <x v="3"/>
    <n v="31071.51"/>
    <s v="-27.46"/>
    <s v="jcortiz"/>
    <n v="0"/>
    <m/>
    <m/>
    <m/>
    <m/>
    <m/>
  </r>
  <r>
    <x v="6"/>
    <x v="6"/>
    <d v="2022-10-03T00:00:00"/>
    <d v="2022-10-03T00:00:00"/>
    <s v="FE001"/>
    <s v="NE 100015209"/>
    <n v="106379"/>
    <s v="Entregas - CN1791804619001"/>
    <m/>
    <s v="QUITO"/>
    <n v="51010101"/>
    <s v="Costo de ventas Quito"/>
    <m/>
    <n v="1178.52"/>
    <n v="-1178.52"/>
    <x v="1"/>
    <n v="29892.99"/>
    <s v="-1178.52"/>
    <s v="ancueva"/>
    <n v="0"/>
    <m/>
    <s v="QUITO-PICHINCHA"/>
    <m/>
    <m/>
    <m/>
  </r>
  <r>
    <x v="6"/>
    <x v="6"/>
    <d v="2022-10-07T00:00:00"/>
    <d v="2022-10-07T00:00:00"/>
    <s v="FE001"/>
    <s v="IM 100003297"/>
    <n v="106694"/>
    <s v="Traslados - CN1792079160001"/>
    <m/>
    <m/>
    <n v="101060402"/>
    <s v="Inventario de prod. term. y mercad. en Bodega BULLSYPPLY Coca"/>
    <n v="34.97"/>
    <m/>
    <n v="34.97"/>
    <x v="3"/>
    <n v="29927.96"/>
    <s v="34.97"/>
    <s v="ancueva"/>
    <n v="0"/>
    <m/>
    <m/>
    <m/>
    <m/>
    <m/>
  </r>
  <r>
    <x v="6"/>
    <x v="6"/>
    <d v="2022-10-07T00:00:00"/>
    <d v="2022-10-07T00:00:00"/>
    <s v="FE001"/>
    <s v="IM 100003298"/>
    <n v="106712"/>
    <s v="Traslados - CN1792079160001"/>
    <m/>
    <m/>
    <n v="101060401"/>
    <s v="Inventario de prod. term. y mercad. en Bodega BULLSYPPLY  Quito"/>
    <n v="31.71"/>
    <m/>
    <n v="31.71"/>
    <x v="3"/>
    <n v="29959.67"/>
    <s v="31.71"/>
    <s v="jcortiz"/>
    <n v="0"/>
    <m/>
    <m/>
    <m/>
    <m/>
    <m/>
  </r>
  <r>
    <x v="6"/>
    <x v="6"/>
    <d v="2022-10-11T00:00:00"/>
    <d v="2022-10-11T00:00:00"/>
    <s v="FE001"/>
    <s v="IM 100003303"/>
    <n v="106794"/>
    <s v="Traslados - CN1792079160001"/>
    <m/>
    <m/>
    <n v="101060402"/>
    <s v="Inventario de prod. term. y mercad. en Bodega BULLSYPPLY Coca"/>
    <n v="3835.71"/>
    <m/>
    <n v="3835.71"/>
    <x v="3"/>
    <n v="33795.379999999997"/>
    <s v="3835.71"/>
    <s v="jcortiz"/>
    <n v="0"/>
    <m/>
    <m/>
    <m/>
    <m/>
    <m/>
  </r>
  <r>
    <x v="6"/>
    <x v="6"/>
    <d v="2022-10-18T00:00:00"/>
    <d v="2022-10-18T00:00:00"/>
    <s v="FE001"/>
    <s v="IM 100003324"/>
    <n v="107107"/>
    <s v="Traslados - CN1792079160001"/>
    <m/>
    <m/>
    <n v="101060402"/>
    <s v="Inventario de prod. term. y mercad. en Bodega BULLSYPPLY Coca"/>
    <n v="196.54"/>
    <m/>
    <n v="196.54"/>
    <x v="3"/>
    <n v="33991.919999999998"/>
    <s v="196.54"/>
    <s v="ancueva"/>
    <n v="0"/>
    <m/>
    <m/>
    <m/>
    <m/>
    <m/>
  </r>
  <r>
    <x v="6"/>
    <x v="6"/>
    <d v="2022-10-18T00:00:00"/>
    <d v="2022-10-18T00:00:00"/>
    <s v="FE001"/>
    <s v="IM 100003325"/>
    <n v="107130"/>
    <s v="Traslados - CN1792079160001"/>
    <m/>
    <m/>
    <n v="101060402"/>
    <s v="Inventario de prod. term. y mercad. en Bodega BULLSYPPLY Coca"/>
    <m/>
    <n v="2651.4"/>
    <n v="-2651.4"/>
    <x v="3"/>
    <n v="31340.52"/>
    <s v="-2651.40"/>
    <s v="jcortiz"/>
    <n v="0"/>
    <m/>
    <m/>
    <m/>
    <m/>
    <m/>
  </r>
  <r>
    <x v="6"/>
    <x v="6"/>
    <d v="2022-10-18T00:00:00"/>
    <d v="2022-10-18T00:00:00"/>
    <s v="FE001"/>
    <s v="IM 100003325"/>
    <n v="107130"/>
    <s v="Traslados - CN1792079160001"/>
    <m/>
    <m/>
    <n v="101060402"/>
    <s v="Inventario de prod. term. y mercad. en Bodega BULLSYPPLY Coca"/>
    <n v="390.83"/>
    <m/>
    <n v="390.83"/>
    <x v="3"/>
    <n v="31731.35"/>
    <s v="390.83"/>
    <s v="jcortiz"/>
    <n v="0"/>
    <m/>
    <m/>
    <m/>
    <m/>
    <m/>
  </r>
  <r>
    <x v="6"/>
    <x v="6"/>
    <d v="2022-10-18T00:00:00"/>
    <d v="2022-10-18T00:00:00"/>
    <s v="FE001"/>
    <s v="IM 100003326"/>
    <n v="107160"/>
    <s v="Traslados - CN1792079160001"/>
    <m/>
    <m/>
    <n v="101060401"/>
    <s v="Inventario de prod. term. y mercad. en Bodega BULLSYPPLY  Quito"/>
    <n v="45.77"/>
    <m/>
    <n v="45.77"/>
    <x v="3"/>
    <n v="31777.119999999999"/>
    <s v="45.77"/>
    <s v="jcortiz"/>
    <n v="0"/>
    <m/>
    <m/>
    <m/>
    <m/>
    <m/>
  </r>
  <r>
    <x v="6"/>
    <x v="6"/>
    <d v="2022-10-24T00:00:00"/>
    <d v="2022-10-24T00:00:00"/>
    <s v="FE001"/>
    <s v="NE 100015410"/>
    <n v="107425"/>
    <s v="Entregas - CN1792300347001"/>
    <m/>
    <s v="QUITO"/>
    <n v="51010101"/>
    <s v="Costo de ventas Quito"/>
    <m/>
    <n v="26.35"/>
    <n v="-26.35"/>
    <x v="1"/>
    <n v="31750.77"/>
    <s v="-26.35"/>
    <s v="ancueva"/>
    <n v="0"/>
    <m/>
    <s v="QUITO-PICHINCHA"/>
    <m/>
    <m/>
    <m/>
  </r>
  <r>
    <x v="6"/>
    <x v="6"/>
    <d v="2022-10-27T00:00:00"/>
    <d v="2022-10-27T00:00:00"/>
    <s v="FE001"/>
    <s v="IM 100003366"/>
    <n v="107745"/>
    <s v="Traslados - CN1792079160001"/>
    <m/>
    <m/>
    <n v="101060402"/>
    <s v="Inventario de prod. term. y mercad. en Bodega BULLSYPPLY Coca"/>
    <n v="299.02"/>
    <m/>
    <n v="299.02"/>
    <x v="3"/>
    <n v="32049.79"/>
    <s v="299.02"/>
    <s v="ancueva"/>
    <n v="0"/>
    <m/>
    <m/>
    <m/>
    <m/>
    <m/>
  </r>
  <r>
    <x v="6"/>
    <x v="6"/>
    <d v="2022-10-31T00:00:00"/>
    <d v="2022-10-31T00:00:00"/>
    <s v="FE001"/>
    <s v="NE 100015480"/>
    <n v="107817"/>
    <s v="Entregas - CN1791263308001"/>
    <m/>
    <s v="QUITO"/>
    <n v="51010101"/>
    <s v="Costo de ventas Quito"/>
    <m/>
    <n v="265.49"/>
    <n v="-265.49"/>
    <x v="1"/>
    <n v="31784.3"/>
    <s v="-265.49"/>
    <s v="jcortiz"/>
    <n v="0"/>
    <m/>
    <s v="QUITO-PICHINCHA"/>
    <m/>
    <m/>
    <m/>
  </r>
  <r>
    <x v="6"/>
    <x v="6"/>
    <d v="2022-11-07T00:00:00"/>
    <d v="2022-11-07T00:00:00"/>
    <s v="FE001"/>
    <s v="IM 100003379"/>
    <n v="108155"/>
    <s v="Traslados - CN1792079160001"/>
    <m/>
    <m/>
    <n v="101060402"/>
    <s v="Inventario de prod. term. y mercad. en Bodega BULLSYPPLY Coca"/>
    <n v="227.75"/>
    <m/>
    <n v="227.75"/>
    <x v="3"/>
    <n v="32012.05"/>
    <s v="227.75"/>
    <s v="ancueva"/>
    <n v="0"/>
    <m/>
    <m/>
    <m/>
    <m/>
    <m/>
  </r>
  <r>
    <x v="6"/>
    <x v="6"/>
    <d v="2022-11-10T00:00:00"/>
    <d v="2022-11-10T00:00:00"/>
    <s v="FE001"/>
    <s v="IM 100003384"/>
    <n v="108327"/>
    <s v="Traslados - CN1792079160001"/>
    <m/>
    <m/>
    <n v="101060402"/>
    <s v="Inventario de prod. term. y mercad. en Bodega BULLSYPPLY Coca"/>
    <n v="2142.1799999999998"/>
    <m/>
    <n v="2142.1799999999998"/>
    <x v="3"/>
    <n v="34154.230000000003"/>
    <s v="2142.18"/>
    <s v="jcortiz"/>
    <n v="0"/>
    <m/>
    <m/>
    <m/>
    <m/>
    <m/>
  </r>
  <r>
    <x v="6"/>
    <x v="6"/>
    <d v="2022-11-30T00:00:00"/>
    <d v="2022-11-30T00:00:00"/>
    <s v="Primario"/>
    <s v="SM 575"/>
    <n v="109553"/>
    <s v="Salida de mercancías"/>
    <m/>
    <s v="COCA"/>
    <n v="51010102"/>
    <s v="Costo de Ventas Coca"/>
    <m/>
    <n v="227.75"/>
    <n v="-227.75"/>
    <x v="1"/>
    <n v="33926.480000000003"/>
    <s v="-227.75"/>
    <s v="jcortiz"/>
    <n v="0"/>
    <m/>
    <s v="COCA-ORELLANA"/>
    <m/>
    <m/>
    <m/>
  </r>
  <r>
    <x v="6"/>
    <x v="6"/>
    <d v="2022-11-30T00:00:00"/>
    <d v="2022-11-30T00:00:00"/>
    <s v="Primario"/>
    <s v="EM 1733"/>
    <n v="109554"/>
    <s v="Entrada de mercancías"/>
    <m/>
    <s v="QUITO"/>
    <n v="401030105"/>
    <s v="Otros Ingresos"/>
    <n v="227.76"/>
    <m/>
    <n v="227.76"/>
    <x v="5"/>
    <n v="34154.239999999998"/>
    <s v="227.76"/>
    <s v="jcortiz"/>
    <n v="0"/>
    <m/>
    <s v="QUITO-PICHINCHA"/>
    <m/>
    <m/>
    <m/>
  </r>
  <r>
    <x v="6"/>
    <x v="6"/>
    <d v="2022-11-30T00:00:00"/>
    <d v="2022-11-30T00:00:00"/>
    <s v="FE001"/>
    <s v="IM 100003440"/>
    <n v="109555"/>
    <s v="Traslados - CN1792079160001"/>
    <m/>
    <m/>
    <n v="101060401"/>
    <s v="Inventario de prod. term. y mercad. en Bodega BULLSYPPLY  Quito"/>
    <m/>
    <n v="41.76"/>
    <n v="-41.76"/>
    <x v="3"/>
    <n v="34112.480000000003"/>
    <s v="-41.76"/>
    <s v="ancueva"/>
    <n v="0"/>
    <m/>
    <m/>
    <m/>
    <m/>
    <m/>
  </r>
  <r>
    <x v="6"/>
    <x v="6"/>
    <d v="2022-12-06T00:00:00"/>
    <d v="2022-12-06T00:00:00"/>
    <s v="FE001"/>
    <s v="IM 100003450"/>
    <n v="109744"/>
    <s v="Traslados - CN1792079160001"/>
    <m/>
    <m/>
    <n v="101060402"/>
    <s v="Inventario de prod. term. y mercad. en Bodega BULLSYPPLY Coca"/>
    <n v="21.49"/>
    <m/>
    <n v="21.49"/>
    <x v="3"/>
    <n v="34133.97"/>
    <s v="21.49"/>
    <s v="ancueva"/>
    <n v="0"/>
    <m/>
    <m/>
    <m/>
    <m/>
    <m/>
  </r>
  <r>
    <x v="6"/>
    <x v="6"/>
    <d v="2022-12-16T00:00:00"/>
    <d v="2022-12-16T00:00:00"/>
    <s v="FE001"/>
    <s v="NE 100016077"/>
    <n v="110352"/>
    <s v="Entregas - CN1791847776001"/>
    <m/>
    <s v="QUITO"/>
    <n v="51010101"/>
    <s v="Costo de ventas Quito"/>
    <m/>
    <n v="41.76"/>
    <n v="-41.76"/>
    <x v="1"/>
    <n v="34092.21"/>
    <s v="-41.76"/>
    <s v="jcortiz"/>
    <n v="0"/>
    <m/>
    <s v="QUITO-PICHINCHA"/>
    <m/>
    <m/>
    <m/>
  </r>
  <r>
    <x v="6"/>
    <x v="6"/>
    <d v="2022-12-30T00:00:00"/>
    <d v="2022-12-30T00:00:00"/>
    <s v="Primario"/>
    <s v="SM 587"/>
    <n v="111217"/>
    <s v="BAJA DE INVENTARIO CON DECLARACION JURAMENTADA 30/"/>
    <m/>
    <s v="QUITO"/>
    <n v="51010104"/>
    <s v="Costo baja de inventario"/>
    <m/>
    <n v="34092.21"/>
    <n v="-34092.21"/>
    <x v="8"/>
    <n v="0"/>
    <s v="-34092.21"/>
    <s v="ptipant"/>
    <n v="0"/>
    <m/>
    <s v="QUITO-PICHINCHA"/>
    <m/>
    <m/>
    <m/>
  </r>
  <r>
    <x v="7"/>
    <x v="7"/>
    <s v="Activos"/>
    <n v="101060415"/>
    <m/>
    <m/>
    <m/>
    <s v="Saldo Inicial"/>
    <m/>
    <m/>
    <m/>
    <m/>
    <n v="1.81"/>
    <m/>
    <n v="1.81"/>
    <x v="0"/>
    <n v="1.81"/>
    <m/>
    <m/>
    <m/>
    <m/>
    <m/>
    <m/>
    <m/>
    <m/>
  </r>
  <r>
    <x v="8"/>
    <x v="8"/>
    <s v="Activos"/>
    <n v="101060501"/>
    <m/>
    <m/>
    <m/>
    <s v="Saldo Inicial"/>
    <m/>
    <m/>
    <m/>
    <m/>
    <n v="10641.33"/>
    <m/>
    <n v="10641.33"/>
    <x v="0"/>
    <n v="10641.33"/>
    <m/>
    <m/>
    <m/>
    <m/>
    <m/>
    <m/>
    <m/>
    <m/>
  </r>
  <r>
    <x v="8"/>
    <x v="8"/>
    <d v="2022-10-01T00:00:00"/>
    <d v="2022-10-03T00:00:00"/>
    <s v="FE001"/>
    <s v="TT 100008375"/>
    <n v="106389"/>
    <s v="FC84671 IMP #398 MANIPULEO, VISTO BUENO, ADMINISTR"/>
    <m/>
    <s v="QUITO"/>
    <s v="PN0992424311001"/>
    <s v="MSL DEL ECUADOR S.A."/>
    <n v="327.60000000000002"/>
    <m/>
    <n v="327.60000000000002"/>
    <x v="10"/>
    <n v="25905.16"/>
    <s v="0.00"/>
    <s v="pquishpe"/>
    <n v="0"/>
    <m/>
    <s v="QUITO-PICHINCHA"/>
    <m/>
    <m/>
    <m/>
  </r>
  <r>
    <x v="8"/>
    <x v="8"/>
    <d v="2022-10-03T00:00:00"/>
    <d v="2022-10-03T00:00:00"/>
    <s v="FE001"/>
    <s v="TT 100008385"/>
    <n v="106453"/>
    <s v="FC131296 IMP #390 SERVICIOS ADMINISTRATIVOS, PROCE"/>
    <m/>
    <s v="QUITO"/>
    <s v="PN0990369445001"/>
    <s v="REMAR REPRESENTACIONES MARITIMAS DEL ECUADOR SA REMAR"/>
    <n v="255"/>
    <m/>
    <n v="255"/>
    <x v="10"/>
    <n v="26160.16"/>
    <s v="0.00"/>
    <s v="pquishpe"/>
    <n v="0"/>
    <m/>
    <s v="QUITO-PICHINCHA"/>
    <m/>
    <m/>
    <m/>
  </r>
  <r>
    <x v="8"/>
    <x v="8"/>
    <d v="2022-10-03T00:00:00"/>
    <d v="2022-10-03T00:00:00"/>
    <s v="FE001"/>
    <s v="TT 100008457"/>
    <n v="107155"/>
    <s v="FC000187697 IMP #398 CERTIFICADO INEN"/>
    <m/>
    <m/>
    <s v="PN1768046530001"/>
    <s v="SERVICIO ECUATORIANO DE NORMALIZACION"/>
    <n v="247"/>
    <m/>
    <n v="247"/>
    <x v="10"/>
    <n v="26407.16"/>
    <s v="0.00"/>
    <s v="pquishpe"/>
    <n v="0"/>
    <m/>
    <m/>
    <m/>
    <m/>
    <m/>
  </r>
  <r>
    <x v="8"/>
    <x v="8"/>
    <d v="2022-10-03T00:00:00"/>
    <d v="2022-12-02T00:00:00"/>
    <s v="FE001"/>
    <s v="TT 100008492"/>
    <n v="107474"/>
    <s v="FC168991 IMP#405 APLICACION 29 SEGURO DE TRANSPORT"/>
    <m/>
    <s v="QUITO"/>
    <s v="PN1790516008001"/>
    <s v="CHUBB SEGUROS ECUADOR S.A."/>
    <n v="159.36000000000001"/>
    <m/>
    <n v="159.36000000000001"/>
    <x v="10"/>
    <n v="26566.52"/>
    <s v="0.00"/>
    <s v="pquishpe"/>
    <n v="0"/>
    <m/>
    <s v="QUITO-PICHINCHA"/>
    <m/>
    <m/>
    <m/>
  </r>
  <r>
    <x v="8"/>
    <x v="8"/>
    <d v="2022-10-03T00:00:00"/>
    <d v="2022-12-02T00:00:00"/>
    <s v="FE001"/>
    <s v="TT 100008493"/>
    <n v="107475"/>
    <s v="FC168990 IMP#404 APLICACION 28 SEGURO DE TRANSPORT"/>
    <m/>
    <s v="QUITO"/>
    <s v="PN1790516008001"/>
    <s v="CHUBB SEGUROS ECUADOR S.A."/>
    <n v="21.25"/>
    <m/>
    <n v="21.25"/>
    <x v="10"/>
    <n v="26587.77"/>
    <s v="0.00"/>
    <s v="pquishpe"/>
    <n v="0"/>
    <m/>
    <s v="QUITO-PICHINCHA"/>
    <m/>
    <m/>
    <m/>
  </r>
  <r>
    <x v="8"/>
    <x v="8"/>
    <d v="2022-10-03T00:00:00"/>
    <d v="2022-12-02T00:00:00"/>
    <s v="FE001"/>
    <s v="TT 100008494"/>
    <n v="107476"/>
    <s v="FC168992 IMP#402 APLICACION 30 SEGURO DE TRANSPORT"/>
    <m/>
    <s v="QUITO"/>
    <s v="PN1790516008001"/>
    <s v="CHUBB SEGUROS ECUADOR S.A."/>
    <n v="80.11"/>
    <m/>
    <n v="80.11"/>
    <x v="10"/>
    <n v="26667.88"/>
    <s v="0.00"/>
    <s v="pquishpe"/>
    <n v="0"/>
    <m/>
    <s v="QUITO-PICHINCHA"/>
    <m/>
    <m/>
    <m/>
  </r>
  <r>
    <x v="8"/>
    <x v="8"/>
    <d v="2022-10-03T00:00:00"/>
    <d v="2022-10-03T00:00:00"/>
    <s v="PagEfect"/>
    <s v="PP 11593"/>
    <n v="107671"/>
    <s v="GASTOS BANCARIOS IMP #409 MKS PIPE  STEEL"/>
    <m/>
    <m/>
    <n v="101010301"/>
    <s v="Banco Bolivariano"/>
    <n v="65"/>
    <m/>
    <n v="65"/>
    <x v="10"/>
    <n v="26732.880000000001"/>
    <s v="0.00"/>
    <s v="pquishpe"/>
    <n v="0"/>
    <m/>
    <m/>
    <m/>
    <m/>
    <m/>
  </r>
  <r>
    <x v="8"/>
    <x v="8"/>
    <d v="2022-10-03T00:00:00"/>
    <d v="2022-10-03T00:00:00"/>
    <s v="PagEfect"/>
    <s v="PP 11594"/>
    <n v="107673"/>
    <s v="PAGO ISD IMP #409 MKS PIPE STEEL"/>
    <m/>
    <m/>
    <n v="101010301"/>
    <s v="Banco Bolivariano"/>
    <n v="158.69999999999999"/>
    <m/>
    <n v="158.69999999999999"/>
    <x v="10"/>
    <n v="26891.58"/>
    <s v="0.00"/>
    <s v="pquishpe"/>
    <n v="0"/>
    <m/>
    <m/>
    <m/>
    <m/>
    <m/>
  </r>
  <r>
    <x v="8"/>
    <x v="8"/>
    <d v="2022-10-03T00:00:00"/>
    <d v="2022-10-03T00:00:00"/>
    <s v="NCPQ"/>
    <s v="PC 221"/>
    <n v="107694"/>
    <s v="Notas de crédito acreedores - PN0992705469001"/>
    <m/>
    <m/>
    <s v="PN0992705469001"/>
    <s v="STARCARGO CIA. LTDA"/>
    <m/>
    <n v="13.12"/>
    <n v="-13.12"/>
    <x v="10"/>
    <n v="26878.46"/>
    <s v="0.00"/>
    <s v="pquishpe"/>
    <n v="0"/>
    <m/>
    <m/>
    <m/>
    <m/>
    <m/>
  </r>
  <r>
    <x v="8"/>
    <x v="8"/>
    <d v="2022-10-03T00:00:00"/>
    <d v="2022-10-03T00:00:00"/>
    <s v="NCPQ"/>
    <s v="PC 222"/>
    <n v="107697"/>
    <s v="Notas de crédito acreedores - PN0992705469001"/>
    <m/>
    <m/>
    <s v="PN0992705469001"/>
    <s v="STARCARGO CIA. LTDA"/>
    <m/>
    <n v="344.03"/>
    <n v="-344.03"/>
    <x v="10"/>
    <n v="26534.43"/>
    <s v="0.00"/>
    <s v="pquishpe"/>
    <n v="0"/>
    <m/>
    <m/>
    <m/>
    <m/>
    <m/>
  </r>
  <r>
    <x v="8"/>
    <x v="8"/>
    <d v="2022-10-03T00:00:00"/>
    <d v="2022-10-03T00:00:00"/>
    <s v="NCPQ"/>
    <s v="PC 223"/>
    <n v="107701"/>
    <s v="Notas de crédito acreedores - PN0992705469001"/>
    <m/>
    <m/>
    <s v="PN0992705469001"/>
    <s v="STARCARGO CIA. LTDA"/>
    <m/>
    <n v="535.71"/>
    <n v="-535.71"/>
    <x v="10"/>
    <n v="25998.720000000001"/>
    <s v="0.00"/>
    <s v="pquishpe"/>
    <n v="0"/>
    <m/>
    <m/>
    <m/>
    <m/>
    <m/>
  </r>
  <r>
    <x v="8"/>
    <x v="8"/>
    <d v="2022-10-05T00:00:00"/>
    <d v="2022-10-05T00:00:00"/>
    <s v="FPQ"/>
    <s v="TT 6141"/>
    <n v="107675"/>
    <s v="LIQ ADUANA 43277821 IMP #390 BAOSTEEL"/>
    <m/>
    <m/>
    <s v="PN1760013480001"/>
    <s v="SERVICIO NACIONAL DE ADUANA DEL ECUADOR"/>
    <n v="668.01"/>
    <m/>
    <n v="668.01"/>
    <x v="10"/>
    <n v="26666.73"/>
    <s v="0.00"/>
    <s v="pquishpe"/>
    <n v="0"/>
    <m/>
    <m/>
    <m/>
    <m/>
    <m/>
  </r>
  <r>
    <x v="8"/>
    <x v="8"/>
    <d v="2022-10-06T00:00:00"/>
    <d v="2022-10-06T00:00:00"/>
    <s v="NCPQ"/>
    <s v="PC 224"/>
    <n v="107702"/>
    <s v="Notas de crédito acreedores - PN0992705469001"/>
    <m/>
    <m/>
    <s v="PN0992705469001"/>
    <s v="STARCARGO CIA. LTDA"/>
    <m/>
    <n v="178.57"/>
    <n v="-178.57"/>
    <x v="10"/>
    <n v="26488.16"/>
    <s v="0.00"/>
    <s v="pquishpe"/>
    <n v="0"/>
    <m/>
    <m/>
    <m/>
    <m/>
    <m/>
  </r>
  <r>
    <x v="8"/>
    <x v="8"/>
    <d v="2022-10-06T00:00:00"/>
    <d v="2022-10-06T00:00:00"/>
    <s v="NCPQ"/>
    <s v="PC 225"/>
    <n v="107703"/>
    <s v="Notas de crédito acreedores - PN0992705469001"/>
    <m/>
    <m/>
    <s v="PN0992705469001"/>
    <s v="STARCARGO CIA. LTDA"/>
    <m/>
    <n v="178.57"/>
    <n v="-178.57"/>
    <x v="10"/>
    <n v="26309.59"/>
    <s v="0.00"/>
    <s v="pquishpe"/>
    <n v="0"/>
    <m/>
    <m/>
    <m/>
    <m/>
    <m/>
  </r>
  <r>
    <x v="8"/>
    <x v="8"/>
    <d v="2022-10-07T00:00:00"/>
    <d v="2022-10-07T00:00:00"/>
    <s v="FPQ"/>
    <s v="TT 6143"/>
    <n v="107680"/>
    <s v="LIQ ADUANA 43288396 IMP #398 BRAY CONTROLS ANDINA"/>
    <m/>
    <m/>
    <s v="PN1760013480001"/>
    <s v="SERVICIO NACIONAL DE ADUANA DEL ECUADOR"/>
    <n v="285.17"/>
    <m/>
    <n v="285.17"/>
    <x v="10"/>
    <n v="26594.76"/>
    <s v="0.00"/>
    <s v="pquishpe"/>
    <n v="0"/>
    <m/>
    <m/>
    <m/>
    <m/>
    <m/>
  </r>
  <r>
    <x v="8"/>
    <x v="8"/>
    <d v="2022-10-11T00:00:00"/>
    <d v="2022-12-12T00:00:00"/>
    <s v="FE001"/>
    <s v="TT 100008428"/>
    <n v="107001"/>
    <s v="FC50141 IMP# 401 MANEJO DE GUIA, MANEJO LOCAL"/>
    <m/>
    <s v="QUITO"/>
    <s v="PN0992705469001"/>
    <s v="STARCARGO CIA. LTDA"/>
    <n v="373.7"/>
    <m/>
    <n v="373.7"/>
    <x v="10"/>
    <n v="26968.46"/>
    <s v="0.00"/>
    <s v="pquishpe"/>
    <n v="0"/>
    <m/>
    <s v="QUITO-PICHINCHA"/>
    <m/>
    <m/>
    <m/>
  </r>
  <r>
    <x v="8"/>
    <x v="8"/>
    <d v="2022-10-11T00:00:00"/>
    <d v="2023-01-09T00:00:00"/>
    <s v="FE001"/>
    <s v="TT 100008430"/>
    <n v="107004"/>
    <s v="FC121994 IMP #390 SERVICIO LOGISTICO Y ALMACENAJE"/>
    <m/>
    <s v="QUITO"/>
    <s v="PN1790952150001"/>
    <s v="SCHRYVER DEL ECUADOR S.A"/>
    <n v="851.52"/>
    <m/>
    <n v="851.52"/>
    <x v="10"/>
    <n v="27819.98"/>
    <s v="0.00"/>
    <s v="pquishpe"/>
    <n v="0"/>
    <m/>
    <s v="QUITO-PICHINCHA"/>
    <m/>
    <m/>
    <m/>
  </r>
  <r>
    <x v="8"/>
    <x v="8"/>
    <d v="2022-10-11T00:00:00"/>
    <d v="2023-01-09T00:00:00"/>
    <s v="FE001"/>
    <s v="TT 100008431"/>
    <n v="107005"/>
    <s v="FC121997 IMP #386 FLETE INTERNACIONAL"/>
    <m/>
    <s v="QUITO"/>
    <s v="PN1790952150001"/>
    <s v="SCHRYVER DEL ECUADOR S.A"/>
    <n v="6820"/>
    <m/>
    <n v="6820"/>
    <x v="10"/>
    <n v="34639.980000000003"/>
    <s v="0.00"/>
    <s v="pquishpe"/>
    <n v="0"/>
    <m/>
    <s v="QUITO-PICHINCHA"/>
    <m/>
    <m/>
    <m/>
  </r>
  <r>
    <x v="8"/>
    <x v="8"/>
    <d v="2022-10-11T00:00:00"/>
    <d v="2023-01-09T00:00:00"/>
    <s v="FE001"/>
    <s v="TT 100008432"/>
    <n v="107007"/>
    <s v="FC121996 IMP# 386  MANEJO DESTINO, GASTOS LOCALES"/>
    <m/>
    <s v="QUITO"/>
    <s v="PN1790952150001"/>
    <s v="SCHRYVER DEL ECUADOR S.A"/>
    <n v="1238.8499999999999"/>
    <m/>
    <n v="1238.8499999999999"/>
    <x v="10"/>
    <n v="35878.83"/>
    <s v="0.00"/>
    <s v="pquishpe"/>
    <n v="0"/>
    <m/>
    <s v="QUITO-PICHINCHA"/>
    <m/>
    <m/>
    <m/>
  </r>
  <r>
    <x v="8"/>
    <x v="8"/>
    <d v="2022-10-11T00:00:00"/>
    <d v="2022-12-12T00:00:00"/>
    <s v="FPQ"/>
    <s v="TT 6135"/>
    <n v="107120"/>
    <s v="RECIBO UP5312-01 IMP #401 PICK UP DKLOK, FLETE AER"/>
    <m/>
    <s v="QUITO"/>
    <s v="PN0992705469001"/>
    <s v="STARCARGO CIA. LTDA"/>
    <n v="1224"/>
    <m/>
    <n v="1224"/>
    <x v="10"/>
    <n v="37102.83"/>
    <s v="0.00"/>
    <s v="pquishpe"/>
    <n v="0"/>
    <m/>
    <s v="QUITO-PICHINCHA"/>
    <m/>
    <m/>
    <m/>
  </r>
  <r>
    <x v="8"/>
    <x v="8"/>
    <d v="2022-10-11T00:00:00"/>
    <d v="2023-01-09T00:00:00"/>
    <s v="FE001"/>
    <s v="TT 100008454"/>
    <n v="107143"/>
    <s v="FC000022747 IMP #386 TRANSPORTE INTERNO"/>
    <m/>
    <m/>
    <s v="PN1792278767001"/>
    <s v="FAST TRUCK DEL ECUADOR COMPAÑIA DE RESPONSABILIDAD LIMITADA"/>
    <n v="750"/>
    <m/>
    <n v="750"/>
    <x v="10"/>
    <n v="37852.83"/>
    <s v="0.00"/>
    <s v="pquishpe"/>
    <n v="0"/>
    <m/>
    <m/>
    <m/>
    <m/>
    <m/>
  </r>
  <r>
    <x v="8"/>
    <x v="8"/>
    <d v="2022-10-11T00:00:00"/>
    <d v="2023-01-09T00:00:00"/>
    <s v="FE001"/>
    <s v="TT 100008455"/>
    <n v="107147"/>
    <s v="FC000022748 IMP #390 TRANSPORTE INTERNO"/>
    <m/>
    <m/>
    <s v="PN1792278767001"/>
    <s v="FAST TRUCK DEL ECUADOR COMPAÑIA DE RESPONSABILIDAD LIMITADA"/>
    <n v="5640"/>
    <m/>
    <n v="5640"/>
    <x v="10"/>
    <n v="43492.83"/>
    <s v="0.00"/>
    <s v="pquishpe"/>
    <n v="0"/>
    <m/>
    <m/>
    <m/>
    <m/>
    <m/>
  </r>
  <r>
    <x v="8"/>
    <x v="8"/>
    <d v="2022-10-11T00:00:00"/>
    <d v="2023-01-09T00:00:00"/>
    <s v="FE001"/>
    <s v="TT 100008456"/>
    <n v="107154"/>
    <s v="FC000121995 IMP #386 REEMBOLSO ALMACENAJE"/>
    <m/>
    <m/>
    <s v="PN1790952150001"/>
    <s v="SCHRYVER DEL ECUADOR S.A"/>
    <n v="157.97999999999999"/>
    <m/>
    <n v="157.97999999999999"/>
    <x v="10"/>
    <n v="43650.81"/>
    <s v="0.00"/>
    <s v="pquishpe"/>
    <n v="0"/>
    <m/>
    <m/>
    <m/>
    <m/>
    <m/>
  </r>
  <r>
    <x v="8"/>
    <x v="8"/>
    <d v="2022-10-11T00:00:00"/>
    <d v="2022-10-11T00:00:00"/>
    <s v="ASIENTOS"/>
    <s v="AS 107678"/>
    <n v="107678"/>
    <s v="RECLAS IMP #390 BAOSTEEL FC6136 ALIMENTACION"/>
    <m/>
    <s v="QUITO"/>
    <n v="61050304"/>
    <s v="Alimentacion"/>
    <n v="20"/>
    <m/>
    <n v="20"/>
    <x v="10"/>
    <n v="43670.81"/>
    <s v="0.00"/>
    <s v="pquishpe"/>
    <n v="0"/>
    <m/>
    <s v="QUITO-PICHINCHA"/>
    <m/>
    <m/>
    <m/>
  </r>
  <r>
    <x v="8"/>
    <x v="8"/>
    <d v="2022-10-11T00:00:00"/>
    <d v="2022-10-11T00:00:00"/>
    <s v="ASIENTOS"/>
    <s v="AS 107679"/>
    <n v="107679"/>
    <s v="RECLAS IMP #390 BAOSTEEL NV795 ALIMENTACION"/>
    <m/>
    <s v="QUITO"/>
    <n v="61050304"/>
    <s v="Alimentacion"/>
    <n v="6.5"/>
    <m/>
    <n v="6.5"/>
    <x v="10"/>
    <n v="43677.31"/>
    <s v="0.00"/>
    <s v="pquishpe"/>
    <n v="0"/>
    <m/>
    <s v="QUITO-PICHINCHA"/>
    <m/>
    <m/>
    <m/>
  </r>
  <r>
    <x v="8"/>
    <x v="8"/>
    <d v="2022-10-12T00:00:00"/>
    <d v="2022-10-12T00:00:00"/>
    <s v="FPQ"/>
    <s v="TT 6131"/>
    <n v="106840"/>
    <s v="imp 404"/>
    <m/>
    <m/>
    <s v="PE0000000103"/>
    <s v="STRAVAL"/>
    <n v="9036"/>
    <m/>
    <n v="9036"/>
    <x v="10"/>
    <n v="52713.31"/>
    <s v="0.00"/>
    <s v="atayupa"/>
    <n v="0"/>
    <m/>
    <m/>
    <m/>
    <m/>
    <m/>
  </r>
  <r>
    <x v="8"/>
    <x v="8"/>
    <d v="2022-10-12T00:00:00"/>
    <d v="2022-10-12T00:00:00"/>
    <s v="FPQ"/>
    <s v="TT 6131"/>
    <n v="106840"/>
    <s v="imp 404"/>
    <m/>
    <m/>
    <s v="PE0000000103"/>
    <s v="STRAVAL"/>
    <n v="70"/>
    <m/>
    <n v="70"/>
    <x v="10"/>
    <n v="52783.31"/>
    <s v="0.00"/>
    <s v="atayupa"/>
    <n v="0"/>
    <m/>
    <m/>
    <m/>
    <m/>
    <m/>
  </r>
  <r>
    <x v="8"/>
    <x v="8"/>
    <d v="2022-10-12T00:00:00"/>
    <d v="2022-10-12T00:00:00"/>
    <s v="Primario"/>
    <s v="EP 6288"/>
    <n v="106842"/>
    <s v="Pedido de entrada de mercancías - PE0000000103"/>
    <m/>
    <m/>
    <n v="101060408"/>
    <s v="Inventario de prod. term. y mercad. en Bodega importaciones"/>
    <m/>
    <n v="9036"/>
    <n v="-9036"/>
    <x v="9"/>
    <n v="43747.31"/>
    <s v="0.00"/>
    <s v="atayupa"/>
    <n v="0"/>
    <m/>
    <m/>
    <m/>
    <m/>
    <m/>
  </r>
  <r>
    <x v="8"/>
    <x v="8"/>
    <d v="2022-10-12T00:00:00"/>
    <d v="2022-10-12T00:00:00"/>
    <s v="Primario"/>
    <s v="DI 419"/>
    <n v="106845"/>
    <s v="Precio de entrega 419"/>
    <m/>
    <m/>
    <n v="101060408"/>
    <s v="Inventario de prod. term. y mercad. en Bodega importaciones"/>
    <m/>
    <n v="3285.52"/>
    <n v="-3285.52"/>
    <x v="9"/>
    <n v="40461.79"/>
    <s v="0.00"/>
    <s v="atayupa"/>
    <n v="0"/>
    <m/>
    <m/>
    <m/>
    <m/>
    <m/>
  </r>
  <r>
    <x v="8"/>
    <x v="8"/>
    <d v="2022-10-12T00:00:00"/>
    <d v="2022-11-28T00:00:00"/>
    <s v="FPQ"/>
    <s v="TT 6132"/>
    <n v="106847"/>
    <s v="IMP 411"/>
    <m/>
    <m/>
    <s v="PE0000000018"/>
    <s v="KIMRAY INC"/>
    <n v="2783.8"/>
    <m/>
    <n v="2783.8"/>
    <x v="10"/>
    <n v="43245.59"/>
    <s v="0.00"/>
    <s v="atayupa"/>
    <n v="0"/>
    <m/>
    <m/>
    <m/>
    <m/>
    <m/>
  </r>
  <r>
    <x v="8"/>
    <x v="8"/>
    <d v="2022-10-12T00:00:00"/>
    <d v="2022-11-28T00:00:00"/>
    <s v="FPQ"/>
    <s v="TT 6132"/>
    <n v="106847"/>
    <s v="IMP 411"/>
    <m/>
    <m/>
    <s v="PE0000000018"/>
    <s v="KIMRAY INC"/>
    <n v="27.48"/>
    <m/>
    <n v="27.48"/>
    <x v="10"/>
    <n v="43273.07"/>
    <s v="0.00"/>
    <s v="atayupa"/>
    <n v="0"/>
    <m/>
    <m/>
    <m/>
    <m/>
    <m/>
  </r>
  <r>
    <x v="8"/>
    <x v="8"/>
    <d v="2022-10-12T00:00:00"/>
    <d v="2022-10-12T00:00:00"/>
    <s v="Primario"/>
    <s v="EP 6289"/>
    <n v="106849"/>
    <s v="Pedido de entrada de mercancías - PE0000000018"/>
    <m/>
    <m/>
    <n v="101060408"/>
    <s v="Inventario de prod. term. y mercad. en Bodega importaciones"/>
    <m/>
    <n v="2783.8"/>
    <n v="-2783.8"/>
    <x v="9"/>
    <n v="40489.269999999997"/>
    <s v="0.00"/>
    <s v="atayupa"/>
    <n v="0"/>
    <m/>
    <m/>
    <m/>
    <m/>
    <m/>
  </r>
  <r>
    <x v="8"/>
    <x v="8"/>
    <d v="2022-10-12T00:00:00"/>
    <d v="2022-10-12T00:00:00"/>
    <s v="Primario"/>
    <s v="DI 420"/>
    <n v="106850"/>
    <s v="Precio de entrega 420"/>
    <m/>
    <m/>
    <n v="101060408"/>
    <s v="Inventario de prod. term. y mercad. en Bodega importaciones"/>
    <m/>
    <n v="353.14"/>
    <n v="-353.14"/>
    <x v="9"/>
    <n v="40136.129999999997"/>
    <s v="0.00"/>
    <s v="atayupa"/>
    <n v="0"/>
    <m/>
    <m/>
    <m/>
    <m/>
    <m/>
  </r>
  <r>
    <x v="8"/>
    <x v="8"/>
    <d v="2022-10-12T00:00:00"/>
    <d v="2022-10-31T00:00:00"/>
    <s v="FPQ"/>
    <s v="TT 6133"/>
    <n v="106858"/>
    <s v="IMP 386"/>
    <m/>
    <m/>
    <s v="PE0000000019"/>
    <s v="METALFAR PRODOTTI INDUSTRIALI S.p.A."/>
    <n v="89198.99"/>
    <m/>
    <n v="89198.99"/>
    <x v="10"/>
    <n v="129335.12"/>
    <s v="0.00"/>
    <s v="atayupa"/>
    <n v="0"/>
    <m/>
    <m/>
    <m/>
    <m/>
    <m/>
  </r>
  <r>
    <x v="8"/>
    <x v="8"/>
    <d v="2022-10-12T00:00:00"/>
    <d v="2022-10-12T00:00:00"/>
    <s v="Primario"/>
    <s v="EP 6290"/>
    <n v="106862"/>
    <s v="Pedido de entrada de mercancías - PE0000000019"/>
    <m/>
    <m/>
    <n v="101060408"/>
    <s v="Inventario de prod. term. y mercad. en Bodega importaciones"/>
    <m/>
    <n v="89198.99"/>
    <n v="-89198.99"/>
    <x v="9"/>
    <n v="40136.129999999997"/>
    <s v="0.00"/>
    <s v="atayupa"/>
    <n v="0"/>
    <m/>
    <m/>
    <m/>
    <m/>
    <m/>
  </r>
  <r>
    <x v="8"/>
    <x v="8"/>
    <d v="2022-10-12T00:00:00"/>
    <d v="2022-10-12T00:00:00"/>
    <s v="Primario"/>
    <s v="DI 421"/>
    <n v="106863"/>
    <s v="Precio de entrega 421"/>
    <m/>
    <m/>
    <n v="101060408"/>
    <s v="Inventario de prod. term. y mercad. en Bodega importaciones"/>
    <m/>
    <n v="13307.02"/>
    <n v="-13307.02"/>
    <x v="9"/>
    <n v="26829.11"/>
    <s v="0.00"/>
    <s v="atayupa"/>
    <n v="0"/>
    <m/>
    <m/>
    <m/>
    <m/>
    <m/>
  </r>
  <r>
    <x v="8"/>
    <x v="8"/>
    <d v="2022-10-12T00:00:00"/>
    <d v="2022-10-12T00:00:00"/>
    <s v="FPQ"/>
    <s v="TT 6142"/>
    <n v="107677"/>
    <s v="LIQ ADUANA 43303547 IMP #401 DKLOK KIMRAY FLUID"/>
    <m/>
    <m/>
    <s v="PN1760013480001"/>
    <s v="SERVICIO NACIONAL DE ADUANA DEL ECUADOR"/>
    <n v="333.02"/>
    <m/>
    <n v="333.02"/>
    <x v="10"/>
    <n v="27162.13"/>
    <s v="0.00"/>
    <s v="pquishpe"/>
    <n v="0"/>
    <m/>
    <m/>
    <m/>
    <m/>
    <m/>
  </r>
  <r>
    <x v="8"/>
    <x v="8"/>
    <d v="2022-10-12T00:00:00"/>
    <d v="2022-10-12T00:00:00"/>
    <s v="PagEfect"/>
    <s v="PP 11599"/>
    <n v="107687"/>
    <s v="GASTOS BANCARIOS IMP #409 MKS PIPE STEEL"/>
    <m/>
    <m/>
    <n v="101010301"/>
    <s v="Banco Bolivariano"/>
    <n v="65"/>
    <m/>
    <n v="65"/>
    <x v="10"/>
    <n v="27227.13"/>
    <s v="0.00"/>
    <s v="pquishpe"/>
    <n v="0"/>
    <m/>
    <m/>
    <m/>
    <m/>
    <m/>
  </r>
  <r>
    <x v="8"/>
    <x v="8"/>
    <d v="2022-10-12T00:00:00"/>
    <d v="2022-10-12T00:00:00"/>
    <s v="PagEfect"/>
    <s v="PP 11600"/>
    <n v="107688"/>
    <s v="PAGO ISD IMP #409 MKS PIPE STEEL"/>
    <m/>
    <m/>
    <n v="101010301"/>
    <s v="Banco Bolivariano"/>
    <n v="886.95"/>
    <m/>
    <n v="886.95"/>
    <x v="10"/>
    <n v="28114.080000000002"/>
    <s v="0.00"/>
    <s v="pquishpe"/>
    <n v="0"/>
    <m/>
    <m/>
    <m/>
    <m/>
    <m/>
  </r>
  <r>
    <x v="8"/>
    <x v="8"/>
    <d v="2022-10-13T00:00:00"/>
    <d v="2022-10-13T00:00:00"/>
    <s v="FPQ"/>
    <s v="TT 6134"/>
    <n v="106981"/>
    <s v="IMP 390"/>
    <m/>
    <m/>
    <s v="PE0000000046"/>
    <s v="Bao Steel do Brasil Ltda"/>
    <n v="133480.07"/>
    <m/>
    <n v="133480.07"/>
    <x v="10"/>
    <n v="161594.15"/>
    <s v="0.00"/>
    <s v="atayupa"/>
    <n v="0"/>
    <m/>
    <m/>
    <m/>
    <m/>
    <m/>
  </r>
  <r>
    <x v="8"/>
    <x v="8"/>
    <d v="2022-10-13T00:00:00"/>
    <d v="2022-10-13T00:00:00"/>
    <s v="Primario"/>
    <s v="EP 6294"/>
    <n v="106982"/>
    <s v="Pedido de entrada de mercancías - PE0000000046"/>
    <m/>
    <m/>
    <n v="101060408"/>
    <s v="Inventario de prod. term. y mercad. en Bodega importaciones"/>
    <m/>
    <n v="133480.07"/>
    <n v="-133480.07"/>
    <x v="9"/>
    <n v="28114.080000000002"/>
    <s v="0.00"/>
    <s v="atayupa"/>
    <n v="0"/>
    <m/>
    <m/>
    <m/>
    <m/>
    <m/>
  </r>
  <r>
    <x v="8"/>
    <x v="8"/>
    <d v="2022-10-13T00:00:00"/>
    <d v="2022-10-13T00:00:00"/>
    <s v="Primario"/>
    <s v="DI 422"/>
    <n v="106983"/>
    <s v="Precio de entrega 422"/>
    <m/>
    <m/>
    <n v="101060408"/>
    <s v="Inventario de prod. term. y mercad. en Bodega importaciones"/>
    <m/>
    <n v="13415.96"/>
    <n v="-13415.96"/>
    <x v="9"/>
    <n v="14698.12"/>
    <s v="0.00"/>
    <s v="atayupa"/>
    <n v="0"/>
    <m/>
    <m/>
    <m/>
    <m/>
    <m/>
  </r>
  <r>
    <x v="8"/>
    <x v="8"/>
    <d v="2022-10-17T00:00:00"/>
    <d v="2022-10-17T00:00:00"/>
    <s v="PagEfect"/>
    <s v="PP 11602"/>
    <n v="107691"/>
    <s v="GASTOS BANCARIOS IMP #405 ZHEJIANG JUNYUE"/>
    <m/>
    <m/>
    <n v="101010301"/>
    <s v="Banco Bolivariano"/>
    <n v="65"/>
    <m/>
    <n v="65"/>
    <x v="10"/>
    <n v="14763.12"/>
    <s v="0.00"/>
    <s v="pquishpe"/>
    <n v="0"/>
    <m/>
    <m/>
    <m/>
    <m/>
    <m/>
  </r>
  <r>
    <x v="8"/>
    <x v="8"/>
    <d v="2022-10-17T00:00:00"/>
    <d v="2022-10-17T00:00:00"/>
    <s v="PagEfect"/>
    <s v="PP 11603"/>
    <n v="107692"/>
    <s v="PAGO ISD IMP #405 ZHEJIANG JUNYUE"/>
    <m/>
    <m/>
    <n v="101010301"/>
    <s v="Banco Bolivariano"/>
    <n v="417.69"/>
    <m/>
    <n v="417.69"/>
    <x v="10"/>
    <n v="15180.81"/>
    <s v="0.00"/>
    <s v="pquishpe"/>
    <n v="0"/>
    <m/>
    <m/>
    <m/>
    <m/>
    <m/>
  </r>
  <r>
    <x v="8"/>
    <x v="8"/>
    <d v="2022-10-17T00:00:00"/>
    <d v="2022-10-17T00:00:00"/>
    <s v="PagEfect"/>
    <s v="PP 11605"/>
    <n v="107718"/>
    <s v="GASTOS BANCARIOS IMP #380 396 FIKE"/>
    <m/>
    <m/>
    <n v="101010301"/>
    <s v="Banco Bolivariano"/>
    <n v="65"/>
    <m/>
    <n v="65"/>
    <x v="10"/>
    <n v="15245.81"/>
    <s v="0.00"/>
    <s v="pquishpe"/>
    <n v="0"/>
    <m/>
    <m/>
    <m/>
    <m/>
    <m/>
  </r>
  <r>
    <x v="8"/>
    <x v="8"/>
    <d v="2022-10-17T00:00:00"/>
    <d v="2022-10-17T00:00:00"/>
    <s v="PagEfect"/>
    <s v="PP 11606"/>
    <n v="107721"/>
    <s v="PAGO ISD IMP #380 396 FIKE"/>
    <m/>
    <m/>
    <n v="101010301"/>
    <s v="Banco Bolivariano"/>
    <n v="293.27"/>
    <m/>
    <n v="293.27"/>
    <x v="10"/>
    <n v="15539.08"/>
    <s v="0.00"/>
    <s v="pquishpe"/>
    <n v="0"/>
    <m/>
    <m/>
    <m/>
    <m/>
    <m/>
  </r>
  <r>
    <x v="8"/>
    <x v="8"/>
    <d v="2022-10-17T00:00:00"/>
    <d v="2022-10-17T00:00:00"/>
    <s v="PagEfect"/>
    <s v="PP 11608"/>
    <n v="107734"/>
    <s v="GASTOS BANCARIOS IMP #414 PANTECH"/>
    <m/>
    <m/>
    <n v="101010306"/>
    <s v="Banco Internacional"/>
    <n v="132"/>
    <m/>
    <n v="132"/>
    <x v="10"/>
    <n v="15671.08"/>
    <s v="120.00"/>
    <s v="pquishpe"/>
    <n v="0"/>
    <m/>
    <m/>
    <m/>
    <m/>
    <m/>
  </r>
  <r>
    <x v="8"/>
    <x v="8"/>
    <d v="2022-10-17T00:00:00"/>
    <d v="2022-10-17T00:00:00"/>
    <s v="PagEfect"/>
    <s v="PP 11609"/>
    <n v="107735"/>
    <s v="PAGO ISD IMP #414 PANTECH"/>
    <m/>
    <m/>
    <n v="101010306"/>
    <s v="Banco Internacional"/>
    <n v="2090.94"/>
    <m/>
    <n v="2090.94"/>
    <x v="10"/>
    <n v="17762.02"/>
    <s v="2090.94"/>
    <s v="pquishpe"/>
    <n v="0"/>
    <m/>
    <m/>
    <m/>
    <m/>
    <m/>
  </r>
  <r>
    <x v="8"/>
    <x v="8"/>
    <d v="2022-10-17T00:00:00"/>
    <d v="2022-10-17T00:00:00"/>
    <s v="PagEfect"/>
    <s v="PP 11611"/>
    <n v="107738"/>
    <s v="GASTOS BANCARIOS IMP #402 DONGGUAN OTAI"/>
    <m/>
    <m/>
    <n v="101010306"/>
    <s v="Banco Internacional"/>
    <n v="132"/>
    <m/>
    <n v="132"/>
    <x v="10"/>
    <n v="17894.02"/>
    <s v="0.00"/>
    <s v="pquishpe"/>
    <n v="0"/>
    <m/>
    <m/>
    <m/>
    <m/>
    <m/>
  </r>
  <r>
    <x v="8"/>
    <x v="8"/>
    <d v="2022-10-17T00:00:00"/>
    <d v="2022-10-17T00:00:00"/>
    <s v="PagEfect"/>
    <s v="PP 11612"/>
    <n v="107740"/>
    <s v="PAGO ISD #402 DONGGUAN OTAI"/>
    <m/>
    <m/>
    <n v="101010306"/>
    <s v="Banco Internacional"/>
    <n v="2424.4899999999998"/>
    <m/>
    <n v="2424.4899999999998"/>
    <x v="10"/>
    <n v="20318.509999999998"/>
    <s v="0.00"/>
    <s v="pquishpe"/>
    <n v="0"/>
    <m/>
    <m/>
    <m/>
    <m/>
    <m/>
  </r>
  <r>
    <x v="8"/>
    <x v="8"/>
    <d v="2022-10-17T00:00:00"/>
    <d v="2022-10-17T00:00:00"/>
    <s v="PagEfect"/>
    <s v="PP 11614"/>
    <n v="107743"/>
    <s v="GASTOS BANCARIOS IMP #406 BAOSTEEL"/>
    <m/>
    <m/>
    <n v="101010306"/>
    <s v="Banco Internacional"/>
    <n v="132"/>
    <m/>
    <n v="132"/>
    <x v="10"/>
    <n v="20450.509999999998"/>
    <s v="0.00"/>
    <s v="pquishpe"/>
    <n v="0"/>
    <m/>
    <m/>
    <m/>
    <m/>
    <m/>
  </r>
  <r>
    <x v="8"/>
    <x v="8"/>
    <d v="2022-10-17T00:00:00"/>
    <d v="2022-10-17T00:00:00"/>
    <s v="PagEfect"/>
    <s v="PP 11615"/>
    <n v="107744"/>
    <s v="PAGO ISD IMP #406 BAOSTEEL"/>
    <m/>
    <m/>
    <n v="101010306"/>
    <s v="Banco Internacional"/>
    <n v="2196.75"/>
    <m/>
    <n v="2196.75"/>
    <x v="10"/>
    <n v="22647.26"/>
    <s v="0.00"/>
    <s v="pquishpe"/>
    <n v="0"/>
    <m/>
    <m/>
    <m/>
    <m/>
    <m/>
  </r>
  <r>
    <x v="8"/>
    <x v="8"/>
    <d v="2022-10-17T00:00:00"/>
    <d v="2022-10-17T00:00:00"/>
    <s v="PagEfect"/>
    <s v="PP 11617"/>
    <n v="107748"/>
    <s v="GASTOS BANCARIOS IMP #420 METALFAR"/>
    <m/>
    <m/>
    <n v="101010306"/>
    <s v="Banco Internacional"/>
    <n v="132"/>
    <m/>
    <n v="132"/>
    <x v="10"/>
    <n v="22779.26"/>
    <s v="0.00"/>
    <s v="pquishpe"/>
    <n v="0"/>
    <m/>
    <m/>
    <m/>
    <m/>
    <m/>
  </r>
  <r>
    <x v="8"/>
    <x v="8"/>
    <d v="2022-10-17T00:00:00"/>
    <d v="2022-10-17T00:00:00"/>
    <s v="PagEfect"/>
    <s v="PP 11618"/>
    <n v="107749"/>
    <s v="PAGO ISD #420 METALFAR"/>
    <m/>
    <m/>
    <n v="101010306"/>
    <s v="Banco Internacional"/>
    <n v="1418.12"/>
    <m/>
    <n v="1418.12"/>
    <x v="10"/>
    <n v="24197.38"/>
    <s v="0.00"/>
    <s v="pquishpe"/>
    <n v="0"/>
    <m/>
    <m/>
    <m/>
    <m/>
    <m/>
  </r>
  <r>
    <x v="8"/>
    <x v="8"/>
    <d v="2022-10-18T00:00:00"/>
    <d v="2022-12-19T00:00:00"/>
    <s v="FE001"/>
    <s v="TT 100008482"/>
    <n v="107297"/>
    <s v="FC50405 IMP #401 REEMBOLSO POR BODEGAJE"/>
    <m/>
    <s v="QUITO"/>
    <s v="PN0992705469001"/>
    <s v="STARCARGO CIA. LTDA"/>
    <n v="109.64"/>
    <m/>
    <n v="109.64"/>
    <x v="10"/>
    <n v="24307.02"/>
    <s v="0.00"/>
    <s v="pquishpe"/>
    <n v="0"/>
    <m/>
    <s v="QUITO-PICHINCHA"/>
    <m/>
    <m/>
    <m/>
  </r>
  <r>
    <x v="8"/>
    <x v="8"/>
    <d v="2022-10-18T00:00:00"/>
    <d v="2023-01-16T00:00:00"/>
    <s v="FE001"/>
    <s v="TT 100008483"/>
    <n v="107298"/>
    <s v="FC22835 IMP #395 TRANSPORTE INTERNO"/>
    <m/>
    <s v="QUITO"/>
    <s v="PN1792278767001"/>
    <s v="FAST TRUCK DEL ECUADOR COMPAÑIA DE RESPONSABILIDAD LIMITADA"/>
    <n v="390"/>
    <m/>
    <n v="390"/>
    <x v="10"/>
    <n v="24697.02"/>
    <s v="0.00"/>
    <s v="pquishpe"/>
    <n v="0"/>
    <m/>
    <s v="QUITO-PICHINCHA"/>
    <m/>
    <m/>
    <m/>
  </r>
  <r>
    <x v="8"/>
    <x v="8"/>
    <d v="2022-10-18T00:00:00"/>
    <d v="2023-01-16T00:00:00"/>
    <s v="FE001"/>
    <s v="TT 100008484"/>
    <n v="107299"/>
    <s v="FC122503 IMP #398 REEMBOLSO ALMACENAJE"/>
    <m/>
    <m/>
    <s v="PN1790952150001"/>
    <s v="SCHRYVER DEL ECUADOR S.A"/>
    <n v="80.739999999999995"/>
    <m/>
    <n v="80.739999999999995"/>
    <x v="10"/>
    <n v="24777.759999999998"/>
    <s v="0.00"/>
    <s v="pquishpe"/>
    <n v="0"/>
    <m/>
    <m/>
    <m/>
    <m/>
    <m/>
  </r>
  <r>
    <x v="8"/>
    <x v="8"/>
    <d v="2022-10-18T00:00:00"/>
    <d v="2023-01-16T00:00:00"/>
    <s v="FE001"/>
    <s v="TT 100008485"/>
    <n v="107300"/>
    <s v="FC122502 IMP #398 SERVICIO LOGISTICO ADUANA"/>
    <m/>
    <s v="QUITO"/>
    <s v="PN1790952150001"/>
    <s v="SCHRYVER DEL ECUADOR S.A"/>
    <n v="295"/>
    <m/>
    <n v="295"/>
    <x v="10"/>
    <n v="25072.76"/>
    <s v="0.00"/>
    <s v="pquishpe"/>
    <n v="0"/>
    <m/>
    <s v="QUITO-PICHINCHA"/>
    <m/>
    <m/>
    <m/>
  </r>
  <r>
    <x v="8"/>
    <x v="8"/>
    <d v="2022-10-18T00:00:00"/>
    <d v="2022-10-18T00:00:00"/>
    <s v="FE001"/>
    <s v="TT 100008500"/>
    <n v="107489"/>
    <s v="FC113746 IMP #402 REEMBOLSO OCEAN FREIGHT"/>
    <m/>
    <s v="QUITO"/>
    <s v="PN1790427692001"/>
    <s v="PANATLANTIC LOGISTICS S. A."/>
    <n v="8960"/>
    <m/>
    <n v="8960"/>
    <x v="10"/>
    <n v="34032.76"/>
    <s v="0.00"/>
    <s v="pquishpe"/>
    <n v="0"/>
    <m/>
    <s v="QUITO-PICHINCHA"/>
    <m/>
    <m/>
    <m/>
  </r>
  <r>
    <x v="8"/>
    <x v="8"/>
    <d v="2022-10-18T00:00:00"/>
    <d v="2022-11-18T00:00:00"/>
    <s v="FE001"/>
    <s v="TT 100008501"/>
    <n v="107490"/>
    <s v="FC113745 IMP #402 SERVICIO DE MANEJO GASTOS LOCALE"/>
    <m/>
    <m/>
    <s v="PN1790427692001"/>
    <s v="PANATLANTIC LOGISTICS S. A."/>
    <n v="1928"/>
    <m/>
    <n v="1928"/>
    <x v="10"/>
    <n v="35960.76"/>
    <s v="0.00"/>
    <s v="pquishpe"/>
    <n v="0"/>
    <m/>
    <m/>
    <m/>
    <m/>
    <m/>
  </r>
  <r>
    <x v="8"/>
    <x v="8"/>
    <d v="2022-10-19T00:00:00"/>
    <d v="2022-11-23T00:00:00"/>
    <s v="FPQ"/>
    <s v="TT 6136"/>
    <n v="107208"/>
    <s v="IMP 398"/>
    <m/>
    <m/>
    <s v="PE0000000044"/>
    <s v="Bray Controls Andina, Ltda."/>
    <n v="56980.5"/>
    <m/>
    <n v="56980.5"/>
    <x v="10"/>
    <n v="92941.26"/>
    <s v="0.00"/>
    <s v="atayupa"/>
    <n v="0"/>
    <m/>
    <m/>
    <m/>
    <m/>
    <m/>
  </r>
  <r>
    <x v="8"/>
    <x v="8"/>
    <d v="2022-10-19T00:00:00"/>
    <d v="2022-10-19T00:00:00"/>
    <s v="ANUL"/>
    <s v="TT 200630"/>
    <n v="107210"/>
    <s v="Factura de proveedores - Cancelación - PE000000004"/>
    <m/>
    <m/>
    <s v="PE0000000044"/>
    <s v="Bray Controls Andina, Ltda."/>
    <m/>
    <n v="56980.5"/>
    <n v="-56980.5"/>
    <x v="10"/>
    <n v="35960.76"/>
    <s v="0.00"/>
    <s v="atayupa"/>
    <n v="0"/>
    <m/>
    <m/>
    <m/>
    <m/>
    <m/>
  </r>
  <r>
    <x v="8"/>
    <x v="8"/>
    <d v="2022-10-19T00:00:00"/>
    <d v="2022-11-22T00:00:00"/>
    <s v="FPQ"/>
    <s v="TT 6137"/>
    <n v="107211"/>
    <s v="IMP 398"/>
    <m/>
    <m/>
    <s v="PE0000000044"/>
    <s v="Bray Controls Andina, Ltda."/>
    <n v="56980.5"/>
    <m/>
    <n v="56980.5"/>
    <x v="10"/>
    <n v="92941.26"/>
    <s v="0.00"/>
    <s v="atayupa"/>
    <n v="0"/>
    <m/>
    <m/>
    <m/>
    <m/>
    <m/>
  </r>
  <r>
    <x v="8"/>
    <x v="8"/>
    <d v="2022-10-19T00:00:00"/>
    <d v="2022-10-19T00:00:00"/>
    <s v="Primario"/>
    <s v="EP 6305"/>
    <n v="107213"/>
    <s v="Pedido de entrada de mercancías - PE0000000044"/>
    <m/>
    <m/>
    <n v="101060408"/>
    <s v="Inventario de prod. term. y mercad. en Bodega importaciones"/>
    <m/>
    <n v="56980.5"/>
    <n v="-56980.5"/>
    <x v="9"/>
    <n v="35960.76"/>
    <s v="0.00"/>
    <s v="atayupa"/>
    <n v="0"/>
    <m/>
    <m/>
    <m/>
    <m/>
    <m/>
  </r>
  <r>
    <x v="8"/>
    <x v="8"/>
    <d v="2022-10-19T00:00:00"/>
    <d v="2022-10-19T00:00:00"/>
    <s v="Primario"/>
    <s v="DI 423"/>
    <n v="107214"/>
    <s v="Precio de entrega 423"/>
    <m/>
    <m/>
    <n v="101060408"/>
    <s v="Inventario de prod. term. y mercad. en Bodega importaciones"/>
    <m/>
    <n v="1745.47"/>
    <n v="-1745.47"/>
    <x v="9"/>
    <n v="34215.29"/>
    <s v="0.00"/>
    <s v="atayupa"/>
    <n v="0"/>
    <m/>
    <m/>
    <m/>
    <m/>
    <m/>
  </r>
  <r>
    <x v="8"/>
    <x v="8"/>
    <d v="2022-10-19T00:00:00"/>
    <d v="2022-11-07T00:00:00"/>
    <s v="FPQ"/>
    <s v="TT 6138"/>
    <n v="107227"/>
    <s v="imp 401"/>
    <m/>
    <m/>
    <s v="PE0000000018"/>
    <s v="KIMRAY INC"/>
    <n v="243.15"/>
    <m/>
    <n v="243.15"/>
    <x v="10"/>
    <n v="34458.44"/>
    <s v="0.00"/>
    <s v="atayupa"/>
    <n v="0"/>
    <m/>
    <m/>
    <m/>
    <m/>
    <m/>
  </r>
  <r>
    <x v="8"/>
    <x v="8"/>
    <d v="2022-10-19T00:00:00"/>
    <d v="2022-11-07T00:00:00"/>
    <s v="FPQ"/>
    <s v="TT 6138"/>
    <n v="107227"/>
    <s v="imp 401"/>
    <m/>
    <m/>
    <s v="PE0000000018"/>
    <s v="KIMRAY INC"/>
    <n v="10.56"/>
    <m/>
    <n v="10.56"/>
    <x v="10"/>
    <n v="34469"/>
    <s v="0.00"/>
    <s v="atayupa"/>
    <n v="0"/>
    <m/>
    <m/>
    <m/>
    <m/>
    <m/>
  </r>
  <r>
    <x v="8"/>
    <x v="8"/>
    <d v="2022-10-19T00:00:00"/>
    <d v="2022-10-19T00:00:00"/>
    <s v="FPQ"/>
    <s v="TT 6139"/>
    <n v="107228"/>
    <s v="imp 401"/>
    <m/>
    <m/>
    <s v="PE0000000080"/>
    <s v="FLUID SEALING PRODUCTS"/>
    <n v="22096.6"/>
    <m/>
    <n v="22096.6"/>
    <x v="10"/>
    <n v="56565.599999999999"/>
    <s v="0.00"/>
    <s v="atayupa"/>
    <n v="0"/>
    <m/>
    <m/>
    <m/>
    <m/>
    <m/>
  </r>
  <r>
    <x v="8"/>
    <x v="8"/>
    <d v="2022-10-19T00:00:00"/>
    <d v="2022-10-19T00:00:00"/>
    <s v="FPQ"/>
    <s v="TT 6140"/>
    <n v="107231"/>
    <s v="IMP 401"/>
    <m/>
    <m/>
    <s v="PE0000000010"/>
    <s v="DK LOK Fittings &amp; Valves"/>
    <n v="25329.759999999998"/>
    <m/>
    <n v="25329.759999999998"/>
    <x v="10"/>
    <n v="81895.360000000001"/>
    <s v="0.00"/>
    <s v="atayupa"/>
    <n v="0"/>
    <m/>
    <m/>
    <m/>
    <m/>
    <m/>
  </r>
  <r>
    <x v="8"/>
    <x v="8"/>
    <d v="2022-10-19T00:00:00"/>
    <d v="2022-10-19T00:00:00"/>
    <s v="FPQ"/>
    <s v="TT 6140"/>
    <n v="107231"/>
    <s v="IMP 401"/>
    <m/>
    <m/>
    <s v="PE0000000010"/>
    <s v="DK LOK Fittings &amp; Valves"/>
    <n v="400"/>
    <m/>
    <n v="400"/>
    <x v="10"/>
    <n v="82295.360000000001"/>
    <s v="0.00"/>
    <s v="atayupa"/>
    <n v="0"/>
    <m/>
    <m/>
    <m/>
    <m/>
    <m/>
  </r>
  <r>
    <x v="8"/>
    <x v="8"/>
    <d v="2022-10-19T00:00:00"/>
    <d v="2022-10-19T00:00:00"/>
    <s v="Primario"/>
    <s v="EP 6308"/>
    <n v="107232"/>
    <s v="Pedido de entrada de mercancías - PE0000000018"/>
    <m/>
    <m/>
    <n v="101060408"/>
    <s v="Inventario de prod. term. y mercad. en Bodega importaciones"/>
    <m/>
    <n v="243.15"/>
    <n v="-243.15"/>
    <x v="9"/>
    <n v="82052.210000000006"/>
    <s v="0.00"/>
    <s v="atayupa"/>
    <n v="0"/>
    <m/>
    <m/>
    <m/>
    <m/>
    <m/>
  </r>
  <r>
    <x v="8"/>
    <x v="8"/>
    <d v="2022-10-19T00:00:00"/>
    <d v="2022-10-19T00:00:00"/>
    <s v="Primario"/>
    <s v="EP 6309"/>
    <n v="107233"/>
    <s v="Pedido de entrada de mercancías - PE0000000080"/>
    <m/>
    <m/>
    <n v="101060408"/>
    <s v="Inventario de prod. term. y mercad. en Bodega importaciones"/>
    <m/>
    <n v="22096.6"/>
    <n v="-22096.6"/>
    <x v="9"/>
    <n v="59955.61"/>
    <s v="0.00"/>
    <s v="atayupa"/>
    <n v="0"/>
    <m/>
    <m/>
    <m/>
    <m/>
    <m/>
  </r>
  <r>
    <x v="8"/>
    <x v="8"/>
    <d v="2022-10-19T00:00:00"/>
    <d v="2022-10-19T00:00:00"/>
    <s v="Primario"/>
    <s v="EP 6310"/>
    <n v="107237"/>
    <s v="Pedido de entrada de mercancías - PE0000000010"/>
    <m/>
    <m/>
    <n v="101060408"/>
    <s v="Inventario de prod. term. y mercad. en Bodega importaciones"/>
    <m/>
    <n v="25329.759999999998"/>
    <n v="-25329.759999999998"/>
    <x v="9"/>
    <n v="34625.85"/>
    <s v="0.00"/>
    <s v="atayupa"/>
    <n v="0"/>
    <m/>
    <m/>
    <m/>
    <m/>
    <m/>
  </r>
  <r>
    <x v="8"/>
    <x v="8"/>
    <d v="2022-10-19T00:00:00"/>
    <d v="2022-10-19T00:00:00"/>
    <s v="Primario"/>
    <s v="DI 424"/>
    <n v="107238"/>
    <s v="Precio de entrega 424"/>
    <m/>
    <m/>
    <n v="101060408"/>
    <s v="Inventario de prod. term. y mercad. en Bodega importaciones"/>
    <m/>
    <n v="3902.79"/>
    <n v="-3902.79"/>
    <x v="9"/>
    <n v="30723.06"/>
    <s v="0.00"/>
    <s v="atayupa"/>
    <n v="0"/>
    <m/>
    <m/>
    <m/>
    <m/>
    <m/>
  </r>
  <r>
    <x v="8"/>
    <x v="8"/>
    <d v="2022-10-19T00:00:00"/>
    <d v="2022-10-19T00:00:00"/>
    <s v="ASIENTOS"/>
    <s v="AS 107310"/>
    <n v="107310"/>
    <s v="CIERRE FACT 000171891 IMP 363 FORMULARIO INEN"/>
    <m/>
    <m/>
    <n v="61070102"/>
    <s v="Gasto Importacion"/>
    <m/>
    <n v="247"/>
    <n v="-247"/>
    <x v="10"/>
    <n v="30476.06"/>
    <s v="0.00"/>
    <s v="ptipant"/>
    <n v="0"/>
    <m/>
    <m/>
    <m/>
    <m/>
    <m/>
  </r>
  <r>
    <x v="8"/>
    <x v="8"/>
    <d v="2022-10-19T00:00:00"/>
    <d v="2022-10-19T00:00:00"/>
    <s v="ASIENTOS"/>
    <s v="AS 107310"/>
    <n v="107310"/>
    <s v="FACT 000108711 IMP# MENEJO ORIGEN OIL"/>
    <m/>
    <m/>
    <n v="61070102"/>
    <s v="Gasto Importacion"/>
    <m/>
    <n v="80"/>
    <n v="-80"/>
    <x v="10"/>
    <n v="30396.06"/>
    <s v="0.00"/>
    <s v="ptipant"/>
    <n v="0"/>
    <m/>
    <m/>
    <m/>
    <m/>
    <m/>
  </r>
  <r>
    <x v="8"/>
    <x v="8"/>
    <d v="2022-10-19T00:00:00"/>
    <d v="2022-10-19T00:00:00"/>
    <s v="ASIENTOS"/>
    <s v="AS 107310"/>
    <n v="107310"/>
    <s v="FACT 000043166 IMP# PENDIENTE REEMBOLSO TRANSPORTE"/>
    <m/>
    <m/>
    <n v="61070102"/>
    <s v="Gasto Importacion"/>
    <m/>
    <n v="40.74"/>
    <n v="-40.74"/>
    <x v="10"/>
    <n v="30355.32"/>
    <s v="0.00"/>
    <s v="ptipant"/>
    <n v="0"/>
    <m/>
    <m/>
    <m/>
    <m/>
    <m/>
  </r>
  <r>
    <x v="8"/>
    <x v="8"/>
    <d v="2022-10-20T00:00:00"/>
    <d v="2022-10-20T00:00:00"/>
    <s v="ASIENTOS"/>
    <s v="AS 107312"/>
    <n v="107312"/>
    <s v="CIERRE ISD IMP# 368 North American Interpipe"/>
    <m/>
    <m/>
    <n v="61050401"/>
    <s v="Impuesto salida de divisas"/>
    <m/>
    <n v="1198.68"/>
    <n v="-1198.68"/>
    <x v="10"/>
    <n v="29156.639999999999"/>
    <s v="0.00"/>
    <s v="ptipant"/>
    <n v="0"/>
    <m/>
    <m/>
    <m/>
    <m/>
    <m/>
  </r>
  <r>
    <x v="8"/>
    <x v="8"/>
    <d v="2022-10-20T00:00:00"/>
    <d v="2022-10-20T00:00:00"/>
    <s v="ASIENTOS"/>
    <s v="AS 108545"/>
    <n v="108545"/>
    <s v="CIERRE ISD IMP# 368 North American Interpipe"/>
    <m/>
    <m/>
    <n v="61040704"/>
    <s v="Impuesto Salida de Divisas"/>
    <m/>
    <n v="1198.68"/>
    <n v="-1198.68"/>
    <x v="10"/>
    <n v="27957.96"/>
    <s v="0.00"/>
    <s v="ptipant"/>
    <n v="0"/>
    <m/>
    <m/>
    <m/>
    <m/>
    <m/>
  </r>
  <r>
    <x v="8"/>
    <x v="8"/>
    <d v="2022-10-20T00:00:00"/>
    <d v="2022-10-20T00:00:00"/>
    <s v="ASIENTOS"/>
    <s v="AS 108546"/>
    <n v="108546"/>
    <s v="CIERRE ISD IMP# 368 North American Interpipe(Anula"/>
    <m/>
    <m/>
    <n v="61050401"/>
    <s v="Impuesto salida de divisas"/>
    <n v="1198.68"/>
    <m/>
    <n v="1198.68"/>
    <x v="10"/>
    <n v="29156.639999999999"/>
    <s v="0.00"/>
    <s v="ptipant"/>
    <n v="0"/>
    <m/>
    <m/>
    <m/>
    <m/>
    <m/>
  </r>
  <r>
    <x v="8"/>
    <x v="8"/>
    <d v="2022-10-21T00:00:00"/>
    <d v="2022-10-21T00:00:00"/>
    <s v="PagEfect"/>
    <s v="PP 11693"/>
    <n v="108388"/>
    <s v="GASTOS BANCARIOS IMP #418 LINCOLN ELECTRIC"/>
    <m/>
    <m/>
    <n v="101010306"/>
    <s v="Banco Internacional"/>
    <n v="94.32"/>
    <m/>
    <n v="94.32"/>
    <x v="10"/>
    <n v="29250.959999999999"/>
    <s v="0.00"/>
    <s v="pquishpe"/>
    <n v="0"/>
    <m/>
    <m/>
    <m/>
    <m/>
    <m/>
  </r>
  <r>
    <x v="8"/>
    <x v="8"/>
    <d v="2022-10-21T00:00:00"/>
    <d v="2022-10-21T00:00:00"/>
    <s v="PagEfect"/>
    <s v="PP 11694"/>
    <n v="108389"/>
    <s v="PAGO ISD IMP # 418 LINCOLN ELECTRIC"/>
    <m/>
    <m/>
    <n v="101010306"/>
    <s v="Banco Internacional"/>
    <n v="93.6"/>
    <m/>
    <n v="93.6"/>
    <x v="10"/>
    <n v="29344.560000000001"/>
    <s v="0.00"/>
    <s v="pquishpe"/>
    <n v="0"/>
    <m/>
    <m/>
    <m/>
    <m/>
    <m/>
  </r>
  <r>
    <x v="8"/>
    <x v="8"/>
    <d v="2022-10-21T00:00:00"/>
    <d v="2022-10-21T00:00:00"/>
    <s v="PagEfect"/>
    <s v="PP 11696"/>
    <n v="108391"/>
    <s v="GASTOS BANCARIOS IMP #420 TDC MAKINA"/>
    <m/>
    <m/>
    <n v="101010306"/>
    <s v="Banco Internacional"/>
    <n v="94.32"/>
    <m/>
    <n v="94.32"/>
    <x v="10"/>
    <n v="29438.880000000001"/>
    <s v="94.32"/>
    <s v="pquishpe"/>
    <n v="0"/>
    <m/>
    <m/>
    <m/>
    <m/>
    <m/>
  </r>
  <r>
    <x v="8"/>
    <x v="8"/>
    <d v="2022-10-21T00:00:00"/>
    <d v="2022-10-21T00:00:00"/>
    <s v="PagEfect"/>
    <s v="PP 11697"/>
    <n v="108392"/>
    <s v="PAGO ISD IMP #420 TDC MAKINA"/>
    <m/>
    <m/>
    <n v="101010306"/>
    <s v="Banco Internacional"/>
    <n v="70.31"/>
    <m/>
    <n v="70.31"/>
    <x v="10"/>
    <n v="29509.19"/>
    <s v="70.31"/>
    <s v="pquishpe"/>
    <n v="0"/>
    <m/>
    <m/>
    <m/>
    <m/>
    <m/>
  </r>
  <r>
    <x v="8"/>
    <x v="8"/>
    <d v="2022-10-23T00:00:00"/>
    <d v="2022-10-24T00:00:00"/>
    <s v="FPQ"/>
    <s v="TT 6145"/>
    <n v="107960"/>
    <s v="LIQ ADUANA 43348509 IMP #416 FIKE"/>
    <m/>
    <m/>
    <s v="PN1760013480001"/>
    <s v="SERVICIO NACIONAL DE ADUANA DEL ECUADOR"/>
    <n v="1.85"/>
    <m/>
    <n v="1.85"/>
    <x v="10"/>
    <n v="29511.040000000001"/>
    <s v="0.00"/>
    <s v="pquishpe"/>
    <n v="0"/>
    <m/>
    <m/>
    <m/>
    <m/>
    <m/>
  </r>
  <r>
    <x v="8"/>
    <x v="8"/>
    <d v="2022-10-24T00:00:00"/>
    <d v="2022-12-23T00:00:00"/>
    <s v="FE001"/>
    <s v="TT 100008529"/>
    <n v="107704"/>
    <s v="FC526903 IMP #416 FLETE COURIER, DESADUANIZACION"/>
    <m/>
    <m/>
    <s v="PN1791903013001"/>
    <s v="SIATIEXPRESS CIA. LTDA."/>
    <n v="127.83"/>
    <m/>
    <n v="127.83"/>
    <x v="10"/>
    <n v="29638.87"/>
    <s v="0.00"/>
    <s v="pquishpe"/>
    <n v="0"/>
    <m/>
    <m/>
    <m/>
    <m/>
    <m/>
  </r>
  <r>
    <x v="8"/>
    <x v="8"/>
    <d v="2022-10-25T00:00:00"/>
    <d v="2022-10-25T00:00:00"/>
    <s v="FE001"/>
    <s v="TT 100008528"/>
    <n v="107665"/>
    <s v="LC286 CAJA CHICA CCPR282"/>
    <m/>
    <s v="QUITO"/>
    <s v="PN1709027252"/>
    <s v="MENA IPIALES WASHINGTON OMAR"/>
    <n v="31.81"/>
    <m/>
    <n v="31.81"/>
    <x v="10"/>
    <n v="29670.68"/>
    <s v="0.00"/>
    <s v="pquishpe"/>
    <n v="0"/>
    <m/>
    <s v="QUITO-PICHINCHA"/>
    <m/>
    <m/>
    <m/>
  </r>
  <r>
    <x v="8"/>
    <x v="8"/>
    <d v="2022-10-25T00:00:00"/>
    <d v="2022-10-25T00:00:00"/>
    <s v="ASIENTOS"/>
    <s v="AS 107667"/>
    <n v="107667"/>
    <s v="GND IMP #386 CAJA CHICA CCPR282 UIO"/>
    <m/>
    <s v="QUITO"/>
    <s v="PN1709027252"/>
    <s v="MENA IPIALES WASHINGTON OMAR"/>
    <n v="6.2"/>
    <m/>
    <n v="6.2"/>
    <x v="10"/>
    <n v="29676.880000000001"/>
    <s v="0.00"/>
    <s v="pquishpe"/>
    <n v="0"/>
    <m/>
    <s v="QUITO-PICHINCHA"/>
    <m/>
    <m/>
    <m/>
  </r>
  <r>
    <x v="8"/>
    <x v="8"/>
    <d v="2022-10-27T00:00:00"/>
    <d v="2022-10-27T00:00:00"/>
    <s v="ASIENTOS"/>
    <s v="AS 107664"/>
    <n v="107664"/>
    <s v="REG. GASTO BANCARIO IMP#411 KIMRAY"/>
    <m/>
    <m/>
    <n v="201040509"/>
    <s v="Cuentra transitoria G. Bancarios"/>
    <n v="50"/>
    <m/>
    <n v="50"/>
    <x v="10"/>
    <n v="29726.880000000001"/>
    <s v="0.00"/>
    <s v="ptipant"/>
    <n v="0"/>
    <m/>
    <m/>
    <m/>
    <m/>
    <m/>
  </r>
  <r>
    <x v="8"/>
    <x v="8"/>
    <d v="2022-10-27T00:00:00"/>
    <d v="2022-10-27T00:00:00"/>
    <s v="ASIENTOS"/>
    <s v="AS 107674"/>
    <n v="107674"/>
    <s v="REG. ISD Y G. BANCRIOS IMP# 386 METALFAR"/>
    <m/>
    <m/>
    <n v="201040508"/>
    <s v="Cuenta transitoria ISD"/>
    <n v="1849"/>
    <m/>
    <n v="1849"/>
    <x v="10"/>
    <n v="31575.88"/>
    <s v="0.00"/>
    <s v="ptipant"/>
    <n v="0"/>
    <m/>
    <m/>
    <m/>
    <m/>
    <m/>
  </r>
  <r>
    <x v="8"/>
    <x v="8"/>
    <d v="2022-10-27T00:00:00"/>
    <d v="2022-10-27T00:00:00"/>
    <s v="ASIENTOS"/>
    <s v="AS 107706"/>
    <n v="107706"/>
    <s v="DIF. ISD IMP# 387 GENERAL/METALFAR"/>
    <m/>
    <s v="QUITO"/>
    <n v="401030105"/>
    <s v="Otros Ingresos"/>
    <n v="186.69"/>
    <m/>
    <n v="186.69"/>
    <x v="10"/>
    <n v="31762.57"/>
    <s v="0.00"/>
    <s v="ptipant"/>
    <n v="0"/>
    <m/>
    <s v="QUITO-PICHINCHA"/>
    <m/>
    <m/>
    <m/>
  </r>
  <r>
    <x v="8"/>
    <x v="8"/>
    <d v="2022-10-27T00:00:00"/>
    <d v="2022-10-27T00:00:00"/>
    <s v="ASIENTOS"/>
    <s v="AS 107710"/>
    <n v="107710"/>
    <s v="REG. COMISION BANCARIA IMP# 398 BRAY"/>
    <m/>
    <m/>
    <n v="201040509"/>
    <s v="Cuentra transitoria G. Bancarios"/>
    <n v="65"/>
    <m/>
    <n v="65"/>
    <x v="10"/>
    <n v="31827.57"/>
    <s v="0.00"/>
    <s v="ptipant"/>
    <n v="0"/>
    <m/>
    <m/>
    <m/>
    <m/>
    <m/>
  </r>
  <r>
    <x v="8"/>
    <x v="8"/>
    <d v="2022-10-27T00:00:00"/>
    <d v="2022-10-27T00:00:00"/>
    <s v="ASIENTOS"/>
    <s v="AS 107711"/>
    <n v="107711"/>
    <s v="ISD IMP# 401 DKLOK"/>
    <m/>
    <m/>
    <n v="201040509"/>
    <s v="Cuentra transitoria G. Bancarios"/>
    <m/>
    <n v="63.7"/>
    <n v="-63.7"/>
    <x v="10"/>
    <n v="31763.87"/>
    <s v="0.00"/>
    <s v="ptipant"/>
    <n v="0"/>
    <m/>
    <m/>
    <m/>
    <m/>
    <m/>
  </r>
  <r>
    <x v="8"/>
    <x v="8"/>
    <d v="2022-10-27T00:00:00"/>
    <d v="2022-10-27T00:00:00"/>
    <s v="ASIENTOS"/>
    <s v="AS 107712"/>
    <n v="107712"/>
    <s v="REG. ISD IMP# 401 FLUID"/>
    <m/>
    <m/>
    <n v="201040509"/>
    <s v="Cuentra transitoria G. Bancarios"/>
    <m/>
    <n v="884.92"/>
    <n v="-884.92"/>
    <x v="10"/>
    <n v="30878.95"/>
    <s v="0.00"/>
    <s v="ptipant"/>
    <n v="0"/>
    <m/>
    <m/>
    <m/>
    <m/>
    <m/>
  </r>
  <r>
    <x v="8"/>
    <x v="8"/>
    <d v="2022-10-27T00:00:00"/>
    <d v="2022-10-27T00:00:00"/>
    <s v="ASIENTOS"/>
    <s v="AS 107713"/>
    <n v="107713"/>
    <s v="ISD IMP# 401 DKLOK"/>
    <m/>
    <m/>
    <n v="201040508"/>
    <s v="Cuenta transitoria ISD"/>
    <n v="63.7"/>
    <m/>
    <n v="63.7"/>
    <x v="10"/>
    <n v="30942.65"/>
    <s v="0.00"/>
    <s v="ptipant"/>
    <n v="0"/>
    <m/>
    <m/>
    <m/>
    <m/>
    <m/>
  </r>
  <r>
    <x v="8"/>
    <x v="8"/>
    <d v="2022-10-27T00:00:00"/>
    <d v="2022-10-27T00:00:00"/>
    <s v="ASIENTOS"/>
    <s v="AS 107714"/>
    <n v="107714"/>
    <s v="ISD IMP# 401 DKLOK(Anulación) - 107711"/>
    <m/>
    <m/>
    <n v="201040509"/>
    <s v="Cuentra transitoria G. Bancarios"/>
    <n v="63.7"/>
    <m/>
    <n v="63.7"/>
    <x v="10"/>
    <n v="31006.35"/>
    <s v="0.00"/>
    <s v="ptipant"/>
    <n v="0"/>
    <m/>
    <m/>
    <m/>
    <m/>
    <m/>
  </r>
  <r>
    <x v="8"/>
    <x v="8"/>
    <d v="2022-10-27T00:00:00"/>
    <d v="2022-10-27T00:00:00"/>
    <s v="ASIENTOS"/>
    <s v="AS 107717"/>
    <n v="107717"/>
    <s v="REG. G. BANCARIO DKLOK/KIMRAY IMP#401"/>
    <m/>
    <m/>
    <n v="201040509"/>
    <s v="Cuentra transitoria G. Bancarios"/>
    <n v="50"/>
    <m/>
    <n v="50"/>
    <x v="10"/>
    <n v="31056.35"/>
    <s v="0.00"/>
    <s v="ptipant"/>
    <n v="0"/>
    <m/>
    <m/>
    <m/>
    <m/>
    <m/>
  </r>
  <r>
    <x v="8"/>
    <x v="8"/>
    <d v="2022-10-27T00:00:00"/>
    <d v="2022-10-27T00:00:00"/>
    <s v="ASIENTOS"/>
    <s v="AS 107717"/>
    <n v="107717"/>
    <s v="REG. G. BANCARIO DKLOK/KIMRAY IMP#401"/>
    <m/>
    <m/>
    <n v="201040509"/>
    <s v="Cuentra transitoria G. Bancarios"/>
    <n v="50"/>
    <m/>
    <n v="50"/>
    <x v="10"/>
    <n v="31106.35"/>
    <s v="0.00"/>
    <s v="ptipant"/>
    <n v="0"/>
    <m/>
    <m/>
    <m/>
    <m/>
    <m/>
  </r>
  <r>
    <x v="8"/>
    <x v="8"/>
    <d v="2022-10-27T00:00:00"/>
    <d v="2022-10-27T00:00:00"/>
    <s v="ASIENTOS"/>
    <s v="AS 107724"/>
    <n v="107724"/>
    <s v="GASTOS BANCARIOS IMP #389 BRAY CONTROLS"/>
    <m/>
    <m/>
    <n v="201040509"/>
    <s v="Cuentra transitoria G. Bancarios"/>
    <m/>
    <n v="65"/>
    <n v="-65"/>
    <x v="10"/>
    <n v="31041.35"/>
    <s v="0.00"/>
    <s v="ptipant"/>
    <n v="0"/>
    <m/>
    <m/>
    <m/>
    <m/>
    <m/>
  </r>
  <r>
    <x v="8"/>
    <x v="8"/>
    <d v="2022-10-27T00:00:00"/>
    <d v="2022-10-27T00:00:00"/>
    <s v="ASIENTOS"/>
    <s v="AS 107727"/>
    <n v="107727"/>
    <s v="PAGO PRO ONE INTERNACIONAL"/>
    <m/>
    <m/>
    <n v="61040704"/>
    <s v="Impuesto Salida de Divisas"/>
    <m/>
    <n v="169.47"/>
    <n v="-169.47"/>
    <x v="10"/>
    <n v="30871.88"/>
    <s v="0.00"/>
    <s v="ptipant"/>
    <n v="0"/>
    <m/>
    <m/>
    <m/>
    <m/>
    <m/>
  </r>
  <r>
    <x v="8"/>
    <x v="8"/>
    <d v="2022-10-27T00:00:00"/>
    <d v="2022-10-27T00:00:00"/>
    <s v="PagEfect"/>
    <s v="PP 11685"/>
    <n v="108376"/>
    <s v="GASTOS BANCARIOS KIMRAY IMP #396 411"/>
    <m/>
    <m/>
    <n v="101010301"/>
    <s v="Banco Bolivariano"/>
    <n v="50"/>
    <m/>
    <n v="50"/>
    <x v="10"/>
    <n v="30921.88"/>
    <s v="0.00"/>
    <s v="pquishpe"/>
    <n v="0"/>
    <m/>
    <m/>
    <m/>
    <m/>
    <m/>
  </r>
  <r>
    <x v="8"/>
    <x v="8"/>
    <d v="2022-10-27T00:00:00"/>
    <d v="2022-10-27T00:00:00"/>
    <s v="PagEfect"/>
    <s v="PP 11686"/>
    <n v="108377"/>
    <s v="PAGO ISD KIMRAY IMP #396 411"/>
    <m/>
    <m/>
    <n v="101010301"/>
    <s v="Banco Bolivariano"/>
    <n v="126.92"/>
    <m/>
    <n v="126.92"/>
    <x v="10"/>
    <n v="31048.799999999999"/>
    <s v="0.00"/>
    <s v="pquishpe"/>
    <n v="0"/>
    <m/>
    <m/>
    <m/>
    <m/>
    <m/>
  </r>
  <r>
    <x v="8"/>
    <x v="8"/>
    <d v="2022-10-28T00:00:00"/>
    <d v="2022-10-28T00:00:00"/>
    <s v="FPQ"/>
    <s v="TT 6146"/>
    <n v="107961"/>
    <s v="LIQ ADUANA 43373523 IMP #417 LINCOLN KIMRAY"/>
    <m/>
    <m/>
    <s v="PN1760013480001"/>
    <s v="SERVICIO NACIONAL DE ADUANA DEL ECUADOR"/>
    <n v="5.9"/>
    <m/>
    <n v="5.9"/>
    <x v="10"/>
    <n v="31054.7"/>
    <s v="0.00"/>
    <s v="pquishpe"/>
    <n v="0"/>
    <m/>
    <m/>
    <m/>
    <m/>
    <m/>
  </r>
  <r>
    <x v="8"/>
    <x v="8"/>
    <d v="2022-10-28T00:00:00"/>
    <d v="2022-10-28T00:00:00"/>
    <s v="PagEfect"/>
    <s v="PP 11688"/>
    <n v="108379"/>
    <s v="GASTOS BANCARIOS IMP #415 HANGZHOU"/>
    <m/>
    <m/>
    <n v="101010301"/>
    <s v="Banco Bolivariano"/>
    <n v="65"/>
    <m/>
    <n v="65"/>
    <x v="10"/>
    <n v="31119.7"/>
    <s v="0.00"/>
    <s v="pquishpe"/>
    <n v="0"/>
    <m/>
    <m/>
    <m/>
    <m/>
    <m/>
  </r>
  <r>
    <x v="8"/>
    <x v="8"/>
    <d v="2022-10-28T00:00:00"/>
    <d v="2022-10-28T00:00:00"/>
    <s v="PagEfect"/>
    <s v="PP 11689"/>
    <n v="108380"/>
    <s v="PAGO ISD IMP #415 HANGZHOU"/>
    <m/>
    <m/>
    <n v="101010301"/>
    <s v="Banco Bolivariano"/>
    <n v="355.5"/>
    <m/>
    <n v="355.5"/>
    <x v="10"/>
    <n v="31475.200000000001"/>
    <s v="0.00"/>
    <s v="pquishpe"/>
    <n v="0"/>
    <m/>
    <m/>
    <m/>
    <m/>
    <m/>
  </r>
  <r>
    <x v="8"/>
    <x v="8"/>
    <d v="2022-10-28T00:00:00"/>
    <d v="2022-10-28T00:00:00"/>
    <s v="PagEfect"/>
    <s v="PP 11703"/>
    <n v="108437"/>
    <s v="GASTOS BANCARIOS IMP 386 METALFAR"/>
    <m/>
    <m/>
    <n v="101010306"/>
    <s v="Banco Internacional"/>
    <n v="132"/>
    <m/>
    <n v="132"/>
    <x v="10"/>
    <n v="31607.200000000001"/>
    <s v="0.00"/>
    <s v="pquishpe"/>
    <n v="0"/>
    <m/>
    <m/>
    <m/>
    <m/>
    <m/>
  </r>
  <r>
    <x v="8"/>
    <x v="8"/>
    <d v="2022-10-28T00:00:00"/>
    <d v="2022-10-28T00:00:00"/>
    <s v="PagEfect"/>
    <s v="PP 11704"/>
    <n v="108438"/>
    <s v="PAGO ISD IMP 386 METALFAR"/>
    <m/>
    <m/>
    <n v="101010306"/>
    <s v="Banco Internacional"/>
    <n v="1760"/>
    <m/>
    <n v="1760"/>
    <x v="10"/>
    <n v="33367.199999999997"/>
    <s v="0.00"/>
    <s v="pquishpe"/>
    <n v="0"/>
    <m/>
    <m/>
    <m/>
    <m/>
    <m/>
  </r>
  <r>
    <x v="8"/>
    <x v="8"/>
    <d v="2022-10-29T00:00:00"/>
    <d v="2022-12-28T00:00:00"/>
    <s v="FE001"/>
    <s v="TT 100008537"/>
    <n v="107868"/>
    <s v="FC4810 IMP #405 SERVICIO LOGISTICO"/>
    <m/>
    <m/>
    <s v="PN0993052701001"/>
    <s v="GLOBALSHIPPINGLINE S.A."/>
    <n v="682"/>
    <m/>
    <n v="682"/>
    <x v="10"/>
    <n v="34049.199999999997"/>
    <s v="0.00"/>
    <s v="pquishpe"/>
    <n v="0"/>
    <m/>
    <m/>
    <m/>
    <m/>
    <m/>
  </r>
  <r>
    <x v="8"/>
    <x v="8"/>
    <d v="2022-10-29T00:00:00"/>
    <d v="2022-12-28T00:00:00"/>
    <s v="FE001"/>
    <s v="TT 100008538"/>
    <n v="107870"/>
    <s v="FC4811 IMP #405 MOVIMIENTO INTERNO"/>
    <m/>
    <m/>
    <s v="PN0993052701001"/>
    <s v="GLOBALSHIPPINGLINE S.A."/>
    <n v="700"/>
    <m/>
    <n v="700"/>
    <x v="10"/>
    <n v="34749.199999999997"/>
    <s v="0.00"/>
    <s v="pquishpe"/>
    <n v="0"/>
    <m/>
    <m/>
    <m/>
    <m/>
    <m/>
  </r>
  <r>
    <x v="8"/>
    <x v="8"/>
    <d v="2022-10-29T00:00:00"/>
    <d v="2022-12-28T00:00:00"/>
    <s v="FPQ"/>
    <s v="TT 6144"/>
    <n v="107872"/>
    <s v="RECIBO 3611 IMP 405 FLETE MARITIMO"/>
    <m/>
    <m/>
    <s v="PN0993052701001"/>
    <s v="GLOBALSHIPPINGLINE S.A."/>
    <n v="4640"/>
    <m/>
    <n v="4640"/>
    <x v="10"/>
    <n v="39389.199999999997"/>
    <s v="0.00"/>
    <s v="pquishpe"/>
    <n v="0"/>
    <m/>
    <m/>
    <m/>
    <m/>
    <m/>
  </r>
  <r>
    <x v="8"/>
    <x v="8"/>
    <d v="2022-10-31T00:00:00"/>
    <d v="2022-10-31T00:00:00"/>
    <s v="FPQ"/>
    <s v="TT 6147"/>
    <n v="108180"/>
    <s v="LIQ ADUANA 43383914 IMP #408 BRAY"/>
    <m/>
    <m/>
    <s v="PN1760013480001"/>
    <s v="SERVICIO NACIONAL DE ADUANA DEL ECUADOR"/>
    <n v="231.78"/>
    <m/>
    <n v="231.78"/>
    <x v="10"/>
    <n v="39620.980000000003"/>
    <s v="0.00"/>
    <s v="pquishpe"/>
    <n v="0"/>
    <m/>
    <m/>
    <m/>
    <m/>
    <m/>
  </r>
  <r>
    <x v="8"/>
    <x v="8"/>
    <d v="2022-10-31T00:00:00"/>
    <d v="2022-10-31T00:00:00"/>
    <s v="FE001"/>
    <s v="TT 100008562"/>
    <n v="108202"/>
    <s v="FC000189357 IMP #405 CERTIFICADO INEN"/>
    <m/>
    <s v="QUITO"/>
    <s v="PN1768046530001"/>
    <s v="SERVICIO ECUATORIANO DE NORMALIZACION"/>
    <n v="247"/>
    <m/>
    <n v="247"/>
    <x v="10"/>
    <n v="39867.980000000003"/>
    <s v="0.00"/>
    <s v="pquishpe"/>
    <n v="0"/>
    <m/>
    <s v="QUITO-PICHINCHA"/>
    <m/>
    <m/>
    <m/>
  </r>
  <r>
    <x v="8"/>
    <x v="8"/>
    <d v="2022-10-31T00:00:00"/>
    <d v="2022-10-31T00:00:00"/>
    <s v="ASIENTOS"/>
    <s v="AS 108340"/>
    <n v="108340"/>
    <s v="CRUCE DKLOK POR MERCADERIA EXTRAVIADA"/>
    <m/>
    <m/>
    <s v="PE0000000000065"/>
    <s v="NUDRAULIX DBA DKLOK USA INC"/>
    <n v="1250"/>
    <m/>
    <n v="1250"/>
    <x v="10"/>
    <n v="41117.980000000003"/>
    <s v="0.00"/>
    <s v="ptipant"/>
    <n v="0"/>
    <m/>
    <m/>
    <m/>
    <m/>
    <m/>
  </r>
  <r>
    <x v="8"/>
    <x v="8"/>
    <d v="2022-11-01T00:00:00"/>
    <d v="2022-11-01T00:00:00"/>
    <s v="FE001"/>
    <s v="TT 100008571"/>
    <n v="108291"/>
    <s v="FC000084650 IMP#402 SERVICIOS DEVOLUCION CONTENEDO"/>
    <m/>
    <m/>
    <s v="PN1790427692001"/>
    <s v="PANATLANTIC LOGISTICS S. A."/>
    <n v="40"/>
    <m/>
    <n v="40"/>
    <x v="10"/>
    <n v="41157.980000000003"/>
    <s v="0.00"/>
    <s v="pquishpe"/>
    <n v="0"/>
    <m/>
    <m/>
    <m/>
    <m/>
    <m/>
  </r>
  <r>
    <x v="8"/>
    <x v="8"/>
    <d v="2022-11-01T00:00:00"/>
    <d v="2022-11-01T00:00:00"/>
    <s v="FE001"/>
    <s v="TT 100008572"/>
    <n v="108292"/>
    <s v="FC000084643 IMP#402 SERVICIOS DE AGENDAMIENTO, BOD"/>
    <m/>
    <m/>
    <s v="PN1790427692001"/>
    <s v="PANATLANTIC LOGISTICS S. A."/>
    <n v="2681.92"/>
    <m/>
    <n v="2681.92"/>
    <x v="10"/>
    <n v="43839.9"/>
    <s v="0.00"/>
    <s v="pquishpe"/>
    <n v="0"/>
    <m/>
    <m/>
    <m/>
    <m/>
    <m/>
  </r>
  <r>
    <x v="8"/>
    <x v="8"/>
    <d v="2022-11-01T00:00:00"/>
    <d v="2022-11-01T00:00:00"/>
    <s v="FPQ"/>
    <s v="TT 6150"/>
    <n v="108715"/>
    <s v="LIQ. ADUANA 43338048 IMP #402 OTAI"/>
    <m/>
    <m/>
    <s v="PN1760013480001"/>
    <s v="SERVICIO NACIONAL DE ADUANA DEL ECUADOR"/>
    <n v="416.73"/>
    <m/>
    <n v="416.73"/>
    <x v="10"/>
    <n v="44256.63"/>
    <s v="0.00"/>
    <s v="pquishpe"/>
    <n v="0"/>
    <m/>
    <m/>
    <m/>
    <m/>
    <m/>
  </r>
  <r>
    <x v="8"/>
    <x v="8"/>
    <d v="2022-11-01T00:00:00"/>
    <d v="2022-11-01T00:00:00"/>
    <s v="FE001"/>
    <s v="TT 100008670"/>
    <n v="109010"/>
    <s v="LC294 CAJA CHICA CCPR283 UIO"/>
    <m/>
    <s v="QUITO"/>
    <s v="PN1709027252"/>
    <s v="MENA IPIALES WASHINGTON OMAR"/>
    <n v="75.95"/>
    <m/>
    <n v="75.95"/>
    <x v="10"/>
    <n v="44332.58"/>
    <s v="0.00"/>
    <s v="pquishpe"/>
    <n v="0"/>
    <m/>
    <s v="QUITO-PICHINCHA"/>
    <m/>
    <m/>
    <m/>
  </r>
  <r>
    <x v="8"/>
    <x v="8"/>
    <d v="2022-11-01T00:00:00"/>
    <d v="2022-11-01T00:00:00"/>
    <s v="ASIENTOS"/>
    <s v="AS 109020"/>
    <n v="109020"/>
    <s v="CAJA CHICA CCPR283 UIO"/>
    <m/>
    <s v="QUITO"/>
    <s v="PN1709027252"/>
    <s v="MENA IPIALES WASHINGTON OMAR"/>
    <n v="6"/>
    <m/>
    <n v="6"/>
    <x v="10"/>
    <n v="44338.58"/>
    <s v="0.00"/>
    <s v="pquishpe"/>
    <n v="0"/>
    <m/>
    <s v="QUITO-PICHINCHA"/>
    <m/>
    <m/>
    <m/>
  </r>
  <r>
    <x v="8"/>
    <x v="8"/>
    <d v="2022-11-01T00:00:00"/>
    <d v="2022-11-01T00:00:00"/>
    <s v="ASIENTOS"/>
    <s v="AS 110128"/>
    <n v="110128"/>
    <s v="IMP #421 MKS PIPE &amp; STEEL PICK UP ORIGEN 192299A"/>
    <m/>
    <m/>
    <s v="PE0000000084"/>
    <s v="MKS PIPE &amp; STEEL,INC"/>
    <n v="400"/>
    <m/>
    <n v="400"/>
    <x v="10"/>
    <n v="44738.58"/>
    <s v="0.00"/>
    <s v="pquishpe"/>
    <n v="0"/>
    <m/>
    <m/>
    <m/>
    <m/>
    <m/>
  </r>
  <r>
    <x v="8"/>
    <x v="8"/>
    <d v="2022-11-01T00:00:00"/>
    <d v="2022-11-01T00:00:00"/>
    <s v="ASIENTOS"/>
    <s v="AS 110129"/>
    <n v="110129"/>
    <s v="IMP #421 MKS PIPE &amp; STEEL OTROS  192299A"/>
    <m/>
    <m/>
    <s v="PE0000000084"/>
    <s v="MKS PIPE &amp; STEEL,INC"/>
    <n v="80"/>
    <m/>
    <n v="80"/>
    <x v="10"/>
    <n v="44818.58"/>
    <s v="0.00"/>
    <s v="pquishpe"/>
    <n v="0"/>
    <m/>
    <m/>
    <m/>
    <m/>
    <m/>
  </r>
  <r>
    <x v="8"/>
    <x v="8"/>
    <d v="2022-11-02T00:00:00"/>
    <d v="2023-01-02T00:00:00"/>
    <s v="FE001"/>
    <s v="TT 100008582"/>
    <n v="108311"/>
    <s v="FC000050869 IMP#408 TRAMITES DE IMPORTACION, EXPOR"/>
    <m/>
    <m/>
    <s v="PN0992705469001"/>
    <s v="STARCARGO CIA. LTDA"/>
    <n v="448"/>
    <m/>
    <n v="448"/>
    <x v="10"/>
    <n v="45266.58"/>
    <s v="0.00"/>
    <s v="pquishpe"/>
    <n v="0"/>
    <m/>
    <m/>
    <m/>
    <m/>
    <m/>
  </r>
  <r>
    <x v="8"/>
    <x v="8"/>
    <d v="2022-11-02T00:00:00"/>
    <d v="2023-01-02T00:00:00"/>
    <s v="FE001"/>
    <s v="TT 100008586"/>
    <n v="108315"/>
    <s v="FC000528369 422 FLETE COURIER, DESADUANIZACION, SE"/>
    <m/>
    <m/>
    <s v="PN1791903013001"/>
    <s v="SIATIEXPRESS CIA. LTDA."/>
    <n v="606.29999999999995"/>
    <m/>
    <n v="606.29999999999995"/>
    <x v="10"/>
    <n v="45872.88"/>
    <s v="0.00"/>
    <s v="pquishpe"/>
    <n v="0"/>
    <m/>
    <m/>
    <m/>
    <m/>
    <m/>
  </r>
  <r>
    <x v="8"/>
    <x v="8"/>
    <d v="2022-11-02T00:00:00"/>
    <d v="2023-01-02T00:00:00"/>
    <s v="FPQ"/>
    <s v="TT 6149"/>
    <n v="108317"/>
    <s v="RECIBO 3175 IMP#408 RECOGIDA GASTOS DE BODEGA"/>
    <m/>
    <m/>
    <s v="PN0992705469001"/>
    <s v="STARCARGO CIA. LTDA"/>
    <n v="3230"/>
    <m/>
    <n v="3230"/>
    <x v="10"/>
    <n v="49102.879999999997"/>
    <s v="0.00"/>
    <s v="pquishpe"/>
    <n v="0"/>
    <m/>
    <m/>
    <m/>
    <m/>
    <m/>
  </r>
  <r>
    <x v="8"/>
    <x v="8"/>
    <d v="2022-11-07T00:00:00"/>
    <d v="2023-01-06T00:00:00"/>
    <s v="FE001"/>
    <s v="TT 100008584"/>
    <n v="108313"/>
    <s v="FC000050931 IMP #421 COORDINACION Y DESPACHO"/>
    <m/>
    <m/>
    <s v="PN0992705469001"/>
    <s v="STARCARGO CIA. LTDA"/>
    <n v="255"/>
    <m/>
    <n v="255"/>
    <x v="10"/>
    <n v="49357.88"/>
    <s v="0.00"/>
    <s v="pquishpe"/>
    <n v="0"/>
    <m/>
    <m/>
    <m/>
    <m/>
    <m/>
  </r>
  <r>
    <x v="8"/>
    <x v="8"/>
    <d v="2022-11-07T00:00:00"/>
    <d v="2023-01-06T00:00:00"/>
    <s v="FE001"/>
    <s v="TT 100008585"/>
    <n v="108314"/>
    <s v="FC000050930 IMP#421 COLLECTION FEE"/>
    <m/>
    <m/>
    <s v="PN0992705469001"/>
    <s v="STARCARGO CIA. LTDA"/>
    <n v="544.08000000000004"/>
    <m/>
    <n v="544.08000000000004"/>
    <x v="10"/>
    <n v="49901.96"/>
    <s v="0.00"/>
    <s v="pquishpe"/>
    <n v="0"/>
    <m/>
    <m/>
    <m/>
    <m/>
    <m/>
  </r>
  <r>
    <x v="8"/>
    <x v="8"/>
    <d v="2022-11-07T00:00:00"/>
    <d v="2023-01-06T00:00:00"/>
    <s v="FPQ"/>
    <s v="TT 6148"/>
    <n v="108316"/>
    <s v="RECIBO UP5405-01 IMP#421 PANAMA CANAL SURCHARGE FL"/>
    <m/>
    <m/>
    <s v="PN0992705469001"/>
    <s v="STARCARGO CIA. LTDA"/>
    <n v="1281.5999999999999"/>
    <m/>
    <n v="1281.5999999999999"/>
    <x v="10"/>
    <n v="51183.56"/>
    <s v="0.00"/>
    <s v="pquishpe"/>
    <n v="0"/>
    <m/>
    <m/>
    <m/>
    <m/>
    <m/>
  </r>
  <r>
    <x v="8"/>
    <x v="8"/>
    <d v="2022-11-08T00:00:00"/>
    <d v="2023-01-09T00:00:00"/>
    <s v="FE001"/>
    <s v="TT 100008587"/>
    <n v="108329"/>
    <s v="FC000004844 IMP #405 REEMBOLSO"/>
    <m/>
    <m/>
    <s v="PN0993052701001"/>
    <s v="GLOBALSHIPPINGLINE S.A."/>
    <n v="255"/>
    <m/>
    <n v="255"/>
    <x v="10"/>
    <n v="51438.559999999998"/>
    <s v="0.00"/>
    <s v="pquishpe"/>
    <n v="0"/>
    <m/>
    <m/>
    <m/>
    <m/>
    <m/>
  </r>
  <r>
    <x v="8"/>
    <x v="8"/>
    <d v="2022-11-08T00:00:00"/>
    <d v="2022-11-08T00:00:00"/>
    <s v="NCPQ"/>
    <s v="PC 228"/>
    <n v="109026"/>
    <s v="Notas de crédito acreedores - PN0992705469001"/>
    <m/>
    <m/>
    <s v="PN0992705469001"/>
    <s v="STARCARGO CIA. LTDA"/>
    <m/>
    <n v="178.57"/>
    <n v="-178.57"/>
    <x v="10"/>
    <n v="51259.99"/>
    <s v="0.00"/>
    <s v="pquishpe"/>
    <n v="0"/>
    <m/>
    <m/>
    <m/>
    <m/>
    <m/>
  </r>
  <r>
    <x v="8"/>
    <x v="8"/>
    <d v="2022-11-08T00:00:00"/>
    <d v="2022-11-08T00:00:00"/>
    <s v="NCPQ"/>
    <s v="PC 229"/>
    <n v="109027"/>
    <s v="Notas de crédito acreedores - PN0992705469001"/>
    <m/>
    <m/>
    <s v="PN0992705469001"/>
    <s v="STARCARGO CIA. LTDA"/>
    <m/>
    <n v="119.51"/>
    <n v="-119.51"/>
    <x v="10"/>
    <n v="51140.480000000003"/>
    <s v="0.00"/>
    <s v="pquishpe"/>
    <n v="0"/>
    <m/>
    <m/>
    <m/>
    <m/>
    <m/>
  </r>
  <r>
    <x v="8"/>
    <x v="8"/>
    <d v="2022-11-08T00:00:00"/>
    <d v="2022-11-08T00:00:00"/>
    <s v="PagEfect"/>
    <s v="PP 11777"/>
    <n v="109193"/>
    <s v="GASTOS BANCARIOS IMP #418 DKLOK"/>
    <m/>
    <m/>
    <n v="101010301"/>
    <s v="Banco Bolivariano"/>
    <n v="65"/>
    <m/>
    <n v="65"/>
    <x v="10"/>
    <n v="51205.48"/>
    <s v="0.00"/>
    <s v="pquishpe"/>
    <n v="0"/>
    <m/>
    <m/>
    <m/>
    <m/>
    <m/>
  </r>
  <r>
    <x v="8"/>
    <x v="8"/>
    <d v="2022-11-08T00:00:00"/>
    <d v="2022-11-08T00:00:00"/>
    <s v="PagEfect"/>
    <s v="PP 11778"/>
    <n v="109195"/>
    <s v="PAGO ISD IMP #418 DKLOK"/>
    <m/>
    <m/>
    <n v="101010301"/>
    <s v="Banco Bolivariano"/>
    <n v="574.82000000000005"/>
    <m/>
    <n v="574.82000000000005"/>
    <x v="10"/>
    <n v="51780.3"/>
    <s v="0.00"/>
    <s v="pquishpe"/>
    <n v="0"/>
    <m/>
    <m/>
    <m/>
    <m/>
    <m/>
  </r>
  <r>
    <x v="8"/>
    <x v="8"/>
    <d v="2022-11-08T00:00:00"/>
    <d v="2022-11-08T00:00:00"/>
    <s v="PagEfect"/>
    <s v="PP 11780"/>
    <n v="109200"/>
    <s v="GASTOS BANCARIOS IMP #413 BAO STEEL"/>
    <m/>
    <m/>
    <n v="101010301"/>
    <s v="Banco Bolivariano"/>
    <n v="65"/>
    <m/>
    <n v="65"/>
    <x v="10"/>
    <n v="51845.3"/>
    <s v="65.00"/>
    <s v="pquishpe"/>
    <n v="0"/>
    <m/>
    <m/>
    <m/>
    <m/>
    <m/>
  </r>
  <r>
    <x v="8"/>
    <x v="8"/>
    <d v="2022-11-08T00:00:00"/>
    <d v="2022-11-08T00:00:00"/>
    <s v="PagEfect"/>
    <s v="PP 11781"/>
    <n v="109201"/>
    <s v="PAGO ISD IMP #413 BAO STEEL"/>
    <m/>
    <m/>
    <n v="101010301"/>
    <s v="Banco Bolivariano"/>
    <n v="3922.86"/>
    <m/>
    <n v="3922.86"/>
    <x v="10"/>
    <n v="55768.160000000003"/>
    <s v="3922.86"/>
    <s v="pquishpe"/>
    <n v="0"/>
    <m/>
    <m/>
    <m/>
    <m/>
    <m/>
  </r>
  <r>
    <x v="8"/>
    <x v="8"/>
    <d v="2022-11-08T00:00:00"/>
    <d v="2022-11-08T00:00:00"/>
    <s v="FPQ"/>
    <s v="TT 6159"/>
    <n v="109206"/>
    <s v="LIQ ADUANA 43409140 IMP #421 MKS PIPE"/>
    <m/>
    <m/>
    <s v="PN1760013480001"/>
    <s v="SERVICIO NACIONAL DE ADUANA DEL ECUADOR"/>
    <n v="141.22"/>
    <m/>
    <n v="141.22"/>
    <x v="10"/>
    <n v="55909.38"/>
    <s v="0.00"/>
    <s v="pquishpe"/>
    <n v="0"/>
    <m/>
    <m/>
    <m/>
    <m/>
    <m/>
  </r>
  <r>
    <x v="8"/>
    <x v="8"/>
    <d v="2022-11-08T00:00:00"/>
    <d v="2022-11-08T00:00:00"/>
    <s v="FPQ"/>
    <s v="TT 6160"/>
    <n v="109207"/>
    <s v="LIQ ADUANA 43410051 IMP #405 ARFLU"/>
    <m/>
    <m/>
    <s v="PN1760013480001"/>
    <s v="SERVICIO NACIONAL DE ADUANA DEL ECUADOR"/>
    <n v="830.28"/>
    <m/>
    <n v="830.28"/>
    <x v="10"/>
    <n v="56739.66"/>
    <s v="0.00"/>
    <s v="pquishpe"/>
    <n v="0"/>
    <m/>
    <m/>
    <m/>
    <m/>
    <m/>
  </r>
  <r>
    <x v="8"/>
    <x v="8"/>
    <d v="2022-11-10T00:00:00"/>
    <d v="2022-12-26T00:00:00"/>
    <s v="FE001"/>
    <s v="TT 100008606"/>
    <n v="108723"/>
    <s v="FC000060417 IMP #423 SERVICIO RETIRO DE CARGA"/>
    <m/>
    <m/>
    <s v="PN1792131936001"/>
    <s v="SIATILOGISTICS S.A."/>
    <n v="52"/>
    <m/>
    <n v="52"/>
    <x v="10"/>
    <n v="56791.66"/>
    <s v="0.00"/>
    <s v="pquishpe"/>
    <n v="0"/>
    <m/>
    <m/>
    <m/>
    <m/>
    <m/>
  </r>
  <r>
    <x v="8"/>
    <x v="8"/>
    <d v="2022-11-10T00:00:00"/>
    <d v="2023-01-09T00:00:00"/>
    <s v="FE001"/>
    <s v="TT 100008607"/>
    <n v="108724"/>
    <s v="FC000051139 IMP #421 COORDINACION Y LOGISTICA"/>
    <m/>
    <m/>
    <s v="PN0992705469001"/>
    <s v="STARCARGO CIA. LTDA"/>
    <n v="1500"/>
    <m/>
    <n v="1500"/>
    <x v="10"/>
    <n v="58291.66"/>
    <s v="0.00"/>
    <s v="pquishpe"/>
    <n v="0"/>
    <m/>
    <m/>
    <m/>
    <m/>
    <m/>
  </r>
  <r>
    <x v="8"/>
    <x v="8"/>
    <d v="2022-11-11T00:00:00"/>
    <d v="2022-11-19T00:00:00"/>
    <s v="FE001"/>
    <s v="TT 100008646"/>
    <n v="108923"/>
    <s v="FC000051249 IMP #421 REEMBOLSO BODEGAJE"/>
    <m/>
    <s v="QUITO"/>
    <s v="PN0992705469001"/>
    <s v="STARCARGO CIA. LTDA"/>
    <n v="5.33"/>
    <m/>
    <n v="5.33"/>
    <x v="10"/>
    <n v="58296.99"/>
    <s v="0.00"/>
    <s v="pquishpe"/>
    <n v="0"/>
    <m/>
    <s v="QUITO-PICHINCHA"/>
    <m/>
    <m/>
    <m/>
  </r>
  <r>
    <x v="8"/>
    <x v="8"/>
    <d v="2022-11-13T00:00:00"/>
    <d v="2023-01-12T00:00:00"/>
    <s v="FE001"/>
    <s v="TT 100008652"/>
    <n v="108937"/>
    <s v="FC171284 IMP#395 APLICACION 31 SEGURO DE TRANSPORT"/>
    <m/>
    <s v="QUITO"/>
    <s v="PN1790516008001"/>
    <s v="CHUBB SEGUROS ECUADOR S.A."/>
    <n v="21.25"/>
    <m/>
    <n v="21.25"/>
    <x v="10"/>
    <n v="58318.239999999998"/>
    <s v="0.00"/>
    <s v="pquishpe"/>
    <n v="0"/>
    <m/>
    <s v="QUITO-PICHINCHA"/>
    <m/>
    <m/>
    <m/>
  </r>
  <r>
    <x v="8"/>
    <x v="8"/>
    <d v="2022-11-13T00:00:00"/>
    <d v="2023-01-12T00:00:00"/>
    <s v="FE001"/>
    <s v="TT 100008653"/>
    <n v="108939"/>
    <s v="FC000171285 IMP #406 APLICACION 33 SEGURO DE TRANS"/>
    <m/>
    <s v="QUITO"/>
    <s v="PN1790516008001"/>
    <s v="CHUBB SEGUROS ECUADOR S.A."/>
    <n v="75.599999999999994"/>
    <m/>
    <n v="75.599999999999994"/>
    <x v="10"/>
    <n v="58393.84"/>
    <s v="0.00"/>
    <s v="pquishpe"/>
    <n v="0"/>
    <m/>
    <s v="QUITO-PICHINCHA"/>
    <m/>
    <m/>
    <m/>
  </r>
  <r>
    <x v="8"/>
    <x v="8"/>
    <d v="2022-11-13T00:00:00"/>
    <d v="2023-01-12T00:00:00"/>
    <s v="FE001"/>
    <s v="TT 100008654"/>
    <n v="108940"/>
    <s v="FC000171286 IMP#401 APLICACION 32 SEGURO DE TRANSP"/>
    <m/>
    <m/>
    <s v="PN1790516008001"/>
    <s v="CHUBB SEGUROS ECUADOR S.A."/>
    <n v="47.68"/>
    <m/>
    <n v="47.68"/>
    <x v="10"/>
    <n v="58441.52"/>
    <s v="0.00"/>
    <s v="pquishpe"/>
    <n v="0"/>
    <m/>
    <m/>
    <m/>
    <m/>
    <m/>
  </r>
  <r>
    <x v="8"/>
    <x v="8"/>
    <d v="2022-11-13T00:00:00"/>
    <d v="2023-01-12T00:00:00"/>
    <s v="FE001"/>
    <s v="TT 100008655"/>
    <n v="108942"/>
    <s v="FC000171287 IMP #421 APLICACION 35 SEGURO DE TRANS"/>
    <m/>
    <s v="QUITO"/>
    <s v="PN1790516008001"/>
    <s v="CHUBB SEGUROS ECUADOR S.A."/>
    <n v="27.45"/>
    <m/>
    <n v="27.45"/>
    <x v="10"/>
    <n v="58468.97"/>
    <s v="0.00"/>
    <s v="pquishpe"/>
    <n v="0"/>
    <m/>
    <s v="QUITO-PICHINCHA"/>
    <m/>
    <m/>
    <m/>
  </r>
  <r>
    <x v="8"/>
    <x v="8"/>
    <d v="2022-11-13T00:00:00"/>
    <d v="2023-01-12T00:00:00"/>
    <s v="FE001"/>
    <s v="TT 100008656"/>
    <n v="108943"/>
    <s v="FC000171288 IMP #408 APLICACION 36 SEGURO DE TRANS"/>
    <m/>
    <s v="QUITO"/>
    <s v="PN1790516008001"/>
    <s v="CHUBB SEGUROS ECUADOR S.A."/>
    <n v="45.22"/>
    <m/>
    <n v="45.22"/>
    <x v="10"/>
    <n v="58514.19"/>
    <s v="0.00"/>
    <s v="pquishpe"/>
    <n v="0"/>
    <m/>
    <s v="QUITO-PICHINCHA"/>
    <m/>
    <m/>
    <m/>
  </r>
  <r>
    <x v="8"/>
    <x v="8"/>
    <d v="2022-11-13T00:00:00"/>
    <d v="2023-01-12T00:00:00"/>
    <s v="FE001"/>
    <s v="TT 100008657"/>
    <n v="108945"/>
    <s v="FC000171289 IMP #420 APLICACION 38 SEGURO DE TRANS"/>
    <m/>
    <s v="QUITO"/>
    <s v="PN1790516008001"/>
    <s v="CHUBB SEGUROS ECUADOR S.A."/>
    <n v="75.34"/>
    <m/>
    <n v="75.34"/>
    <x v="10"/>
    <n v="58589.53"/>
    <s v="0.00"/>
    <s v="pquishpe"/>
    <n v="0"/>
    <m/>
    <s v="QUITO-PICHINCHA"/>
    <m/>
    <m/>
    <m/>
  </r>
  <r>
    <x v="8"/>
    <x v="8"/>
    <d v="2022-11-13T00:00:00"/>
    <d v="2023-01-12T00:00:00"/>
    <s v="FE001"/>
    <s v="TT 100008658"/>
    <n v="108952"/>
    <s v="FC000171290 IMP #414 APLICACION 37 SEGURO DE TRANS"/>
    <m/>
    <s v="QUITO"/>
    <s v="PN1790516008001"/>
    <s v="CHUBB SEGUROS ECUADOR S.A."/>
    <n v="53.17"/>
    <m/>
    <n v="53.17"/>
    <x v="10"/>
    <n v="58642.7"/>
    <s v="53.17"/>
    <s v="pquishpe"/>
    <n v="0"/>
    <m/>
    <s v="QUITO-PICHINCHA"/>
    <m/>
    <m/>
    <m/>
  </r>
  <r>
    <x v="8"/>
    <x v="8"/>
    <d v="2022-11-13T00:00:00"/>
    <d v="2023-01-12T00:00:00"/>
    <s v="FE001"/>
    <s v="TT 100008659"/>
    <n v="108954"/>
    <s v="FC000171291 IMP #415 APLICACION 40 SEGURO DE TRANS"/>
    <m/>
    <s v="QUITO"/>
    <s v="PN1790516008001"/>
    <s v="CHUBB SEGUROS ECUADOR S.A."/>
    <n v="29.28"/>
    <m/>
    <n v="29.28"/>
    <x v="10"/>
    <n v="58671.98"/>
    <s v="0.00"/>
    <s v="pquishpe"/>
    <n v="0"/>
    <m/>
    <s v="QUITO-PICHINCHA"/>
    <m/>
    <m/>
    <m/>
  </r>
  <r>
    <x v="8"/>
    <x v="8"/>
    <d v="2022-11-13T00:00:00"/>
    <d v="2023-01-12T00:00:00"/>
    <s v="FE001"/>
    <s v="TT 100008660"/>
    <n v="108957"/>
    <s v="FC000171292 IMP #418 APLICACION 39 SEGURO DE TRANS"/>
    <m/>
    <s v="QUITO"/>
    <s v="PN1790516008001"/>
    <s v="CHUBB SEGUROS ECUADOR S.A."/>
    <n v="21.25"/>
    <m/>
    <n v="21.25"/>
    <x v="10"/>
    <n v="58693.23"/>
    <s v="0.00"/>
    <s v="pquishpe"/>
    <n v="0"/>
    <m/>
    <s v="QUITO-PICHINCHA"/>
    <m/>
    <m/>
    <m/>
  </r>
  <r>
    <x v="8"/>
    <x v="8"/>
    <d v="2022-11-13T00:00:00"/>
    <d v="2023-01-12T00:00:00"/>
    <s v="FE001"/>
    <s v="TT 100008661"/>
    <n v="108960"/>
    <s v="FC000171295 IMP #412 APLICACION 42 SEGURO DE TRANS"/>
    <m/>
    <s v="QUITO"/>
    <s v="PN1790516008001"/>
    <s v="CHUBB SEGUROS ECUADOR S.A."/>
    <n v="132.52000000000001"/>
    <m/>
    <n v="132.52000000000001"/>
    <x v="10"/>
    <n v="58825.75"/>
    <s v="132.52"/>
    <s v="pquishpe"/>
    <n v="0"/>
    <m/>
    <s v="QUITO-PICHINCHA"/>
    <m/>
    <m/>
    <m/>
  </r>
  <r>
    <x v="8"/>
    <x v="8"/>
    <d v="2022-11-14T00:00:00"/>
    <d v="2022-11-22T00:00:00"/>
    <s v="FE001"/>
    <s v="TT 100008645"/>
    <n v="108922"/>
    <s v="FC000051334 IMP #421 REEMBOLSO BODEGAJE"/>
    <m/>
    <s v="QUITO"/>
    <s v="PN0992705469001"/>
    <s v="STARCARGO CIA. LTDA"/>
    <n v="0.33"/>
    <m/>
    <n v="0.33"/>
    <x v="10"/>
    <n v="58826.080000000002"/>
    <s v="0.00"/>
    <s v="pquishpe"/>
    <n v="0"/>
    <m/>
    <s v="QUITO-PICHINCHA"/>
    <m/>
    <m/>
    <m/>
  </r>
  <r>
    <x v="8"/>
    <x v="8"/>
    <d v="2022-11-14T00:00:00"/>
    <d v="2022-11-14T00:00:00"/>
    <s v="PagEfect"/>
    <s v="PP 11792"/>
    <n v="109229"/>
    <s v="GASTOS BANCARIOS IMP #418 DKLOK"/>
    <m/>
    <m/>
    <n v="101010301"/>
    <s v="Banco Bolivariano"/>
    <n v="50"/>
    <m/>
    <n v="50"/>
    <x v="10"/>
    <n v="58876.08"/>
    <s v="0.00"/>
    <s v="pquishpe"/>
    <n v="0"/>
    <m/>
    <m/>
    <m/>
    <m/>
    <m/>
  </r>
  <r>
    <x v="8"/>
    <x v="8"/>
    <d v="2022-11-14T00:00:00"/>
    <d v="2022-11-14T00:00:00"/>
    <s v="PagEfect"/>
    <s v="PP 11793"/>
    <n v="109231"/>
    <s v="PAGO ISD IMP #418 DKLOK"/>
    <m/>
    <m/>
    <n v="101010301"/>
    <s v="Banco Bolivariano"/>
    <n v="153.28"/>
    <m/>
    <n v="153.28"/>
    <x v="10"/>
    <n v="59029.36"/>
    <s v="0.00"/>
    <s v="pquishpe"/>
    <n v="0"/>
    <m/>
    <m/>
    <m/>
    <m/>
    <m/>
  </r>
  <r>
    <x v="8"/>
    <x v="8"/>
    <d v="2022-11-14T00:00:00"/>
    <d v="2022-11-14T00:00:00"/>
    <s v="FPQ"/>
    <s v="TT 6161"/>
    <n v="109232"/>
    <s v="LIQ. ADUANA 43436369 IMP #395 BOTH WELL STEEL"/>
    <m/>
    <m/>
    <s v="PN1760013480001"/>
    <s v="SERVICIO NACIONAL DE ADUANA DEL ECUADOR"/>
    <n v="41.86"/>
    <m/>
    <n v="41.86"/>
    <x v="10"/>
    <n v="59071.22"/>
    <s v="0.00"/>
    <s v="pquishpe"/>
    <n v="0"/>
    <m/>
    <m/>
    <m/>
    <m/>
    <m/>
  </r>
  <r>
    <x v="8"/>
    <x v="8"/>
    <d v="2022-11-14T00:00:00"/>
    <d v="2022-11-14T00:00:00"/>
    <s v="PagEfect"/>
    <s v="PP 11795"/>
    <n v="109234"/>
    <s v="GASTOS BANCARIOS IMP # ARFLU"/>
    <m/>
    <m/>
    <n v="101010301"/>
    <s v="Banco Bolivariano"/>
    <n v="65"/>
    <m/>
    <n v="65"/>
    <x v="10"/>
    <n v="59136.22"/>
    <s v="0.00"/>
    <s v="pquishpe"/>
    <n v="0"/>
    <m/>
    <m/>
    <m/>
    <m/>
    <m/>
  </r>
  <r>
    <x v="8"/>
    <x v="8"/>
    <d v="2022-11-14T00:00:00"/>
    <d v="2022-11-14T00:00:00"/>
    <s v="PagEfect"/>
    <s v="PP 11796"/>
    <n v="109235"/>
    <s v="PAGO ISD IMP # ARFLU"/>
    <m/>
    <m/>
    <n v="101010301"/>
    <s v="Banco Bolivariano"/>
    <n v="1591.96"/>
    <m/>
    <n v="1591.96"/>
    <x v="10"/>
    <n v="60728.18"/>
    <s v="0.00"/>
    <s v="pquishpe"/>
    <n v="0"/>
    <m/>
    <m/>
    <m/>
    <m/>
    <m/>
  </r>
  <r>
    <x v="8"/>
    <x v="8"/>
    <d v="2022-11-14T00:00:00"/>
    <d v="2022-11-14T00:00:00"/>
    <s v="PagEfect"/>
    <s v="PP 11798"/>
    <n v="109237"/>
    <s v="GASTOS BANCARIOS IMP #422 OMC RACCORD"/>
    <m/>
    <m/>
    <n v="101010301"/>
    <s v="Banco Bolivariano"/>
    <n v="65"/>
    <m/>
    <n v="65"/>
    <x v="10"/>
    <n v="60793.18"/>
    <s v="65.00"/>
    <s v="pquishpe"/>
    <n v="0"/>
    <m/>
    <m/>
    <m/>
    <m/>
    <m/>
  </r>
  <r>
    <x v="8"/>
    <x v="8"/>
    <d v="2022-11-14T00:00:00"/>
    <d v="2022-11-14T00:00:00"/>
    <s v="PagEfect"/>
    <s v="PP 11799"/>
    <n v="109238"/>
    <s v="PAGO ISD IMP #422 OMC RACCORD"/>
    <m/>
    <m/>
    <n v="101010301"/>
    <s v="Banco Bolivariano"/>
    <n v="1115.8499999999999"/>
    <m/>
    <n v="1115.8499999999999"/>
    <x v="10"/>
    <n v="61909.03"/>
    <s v="1115.85"/>
    <s v="pquishpe"/>
    <n v="0"/>
    <m/>
    <m/>
    <m/>
    <m/>
    <m/>
  </r>
  <r>
    <x v="8"/>
    <x v="8"/>
    <d v="2022-11-16T00:00:00"/>
    <d v="2022-11-16T00:00:00"/>
    <s v="FE001"/>
    <s v="TT 100008707"/>
    <n v="109487"/>
    <s v="FC060029034 IMP #405 ACTUALIZACION DE CARTA"/>
    <m/>
    <s v="QUITO"/>
    <s v="PN0990300925001"/>
    <s v="HAMBURG SUD ECUADOR S.A."/>
    <n v="26"/>
    <m/>
    <n v="26"/>
    <x v="10"/>
    <n v="61935.03"/>
    <s v="0.00"/>
    <s v="pquishpe"/>
    <n v="0"/>
    <m/>
    <s v="QUITO-PICHINCHA"/>
    <m/>
    <m/>
    <m/>
  </r>
  <r>
    <x v="8"/>
    <x v="8"/>
    <d v="2022-11-17T00:00:00"/>
    <d v="2022-11-17T00:00:00"/>
    <s v="FE001"/>
    <s v="TT 100008605"/>
    <n v="108714"/>
    <s v="FC579236 IMP #405 ALMACENAJE DE CONTENEDORES"/>
    <m/>
    <s v="QUITO"/>
    <s v="PN0992506717001"/>
    <s v="CONTECON GUAYAQUIL S.A."/>
    <n v="486.51"/>
    <m/>
    <n v="486.51"/>
    <x v="10"/>
    <n v="62421.54"/>
    <s v="0.00"/>
    <s v="pquishpe"/>
    <n v="0"/>
    <m/>
    <s v="QUITO-PICHINCHA"/>
    <m/>
    <m/>
    <m/>
  </r>
  <r>
    <x v="8"/>
    <x v="8"/>
    <d v="2022-11-17T00:00:00"/>
    <d v="2022-11-17T00:00:00"/>
    <s v="FPQ"/>
    <s v="TT 6151"/>
    <n v="108763"/>
    <s v="IMP 402"/>
    <m/>
    <m/>
    <s v="PE0000000062"/>
    <s v="OTAI (HK) INT L LIMITED"/>
    <n v="74305.37"/>
    <m/>
    <n v="74305.37"/>
    <x v="10"/>
    <n v="136726.91"/>
    <s v="0.00"/>
    <s v="atayupa"/>
    <n v="0"/>
    <m/>
    <m/>
    <m/>
    <m/>
    <m/>
  </r>
  <r>
    <x v="8"/>
    <x v="8"/>
    <d v="2022-11-18T00:00:00"/>
    <d v="2022-11-18T00:00:00"/>
    <s v="Primario"/>
    <s v="EP 6399"/>
    <n v="108788"/>
    <s v="Pedido de entrada de mercancías - PE0000000062"/>
    <m/>
    <m/>
    <n v="101060408"/>
    <s v="Inventario de prod. term. y mercad. en Bodega importaciones"/>
    <m/>
    <n v="74305.37"/>
    <n v="-74305.37"/>
    <x v="9"/>
    <n v="62421.54"/>
    <s v="0.00"/>
    <s v="atayupa"/>
    <n v="0"/>
    <m/>
    <m/>
    <m/>
    <m/>
    <m/>
  </r>
  <r>
    <x v="8"/>
    <x v="8"/>
    <d v="2022-11-18T00:00:00"/>
    <d v="2022-11-18T00:00:00"/>
    <s v="Primario"/>
    <s v="DI 425"/>
    <n v="108818"/>
    <s v="Precio de entrega 425"/>
    <m/>
    <m/>
    <n v="101060408"/>
    <s v="Inventario de prod. term. y mercad. en Bodega importaciones"/>
    <m/>
    <n v="14373.71"/>
    <n v="-14373.71"/>
    <x v="9"/>
    <n v="48047.83"/>
    <s v="0.00"/>
    <s v="atayupa"/>
    <n v="0"/>
    <m/>
    <m/>
    <m/>
    <m/>
    <m/>
  </r>
  <r>
    <x v="8"/>
    <x v="8"/>
    <d v="2022-11-21T00:00:00"/>
    <d v="2023-02-20T00:00:00"/>
    <s v="FE001"/>
    <s v="TT 100008662"/>
    <n v="108962"/>
    <s v="FC000023080 IMP #395 TRANSPORTE INTERNO"/>
    <m/>
    <s v="QUITO"/>
    <s v="PN1792278767001"/>
    <s v="FAST TRUCK DEL ECUADOR COMPAÑIA DE RESPONSABILIDAD LIMITADA"/>
    <n v="260"/>
    <m/>
    <n v="260"/>
    <x v="10"/>
    <n v="48307.83"/>
    <s v="0.00"/>
    <s v="pquishpe"/>
    <n v="0"/>
    <m/>
    <s v="QUITO-PICHINCHA"/>
    <m/>
    <m/>
    <m/>
  </r>
  <r>
    <x v="8"/>
    <x v="8"/>
    <d v="2022-11-21T00:00:00"/>
    <d v="2023-02-20T00:00:00"/>
    <s v="FE001"/>
    <s v="TT 100008663"/>
    <n v="108964"/>
    <s v="FC124153 IMP #395 GASTOS LOCALES, MANEJO DESTINO O"/>
    <m/>
    <s v="QUITO"/>
    <s v="PN1790952150001"/>
    <s v="SCHRYVER DEL ECUADOR S.A"/>
    <n v="605"/>
    <m/>
    <n v="605"/>
    <x v="10"/>
    <n v="48912.83"/>
    <s v="0.00"/>
    <s v="pquishpe"/>
    <n v="0"/>
    <m/>
    <s v="QUITO-PICHINCHA"/>
    <m/>
    <m/>
    <m/>
  </r>
  <r>
    <x v="8"/>
    <x v="8"/>
    <d v="2022-11-21T00:00:00"/>
    <d v="2023-02-20T00:00:00"/>
    <s v="FE001"/>
    <s v="TT 100008664"/>
    <n v="108968"/>
    <s v="FC124154 IMP #395 REEMBOLSO ALMACENAJE"/>
    <m/>
    <s v="QUITO"/>
    <s v="PN1790952150001"/>
    <s v="SCHRYVER DEL ECUADOR S.A"/>
    <n v="53.93"/>
    <m/>
    <n v="53.93"/>
    <x v="10"/>
    <n v="48966.76"/>
    <s v="0.00"/>
    <s v="pquishpe"/>
    <n v="0"/>
    <m/>
    <s v="QUITO-PICHINCHA"/>
    <m/>
    <m/>
    <m/>
  </r>
  <r>
    <x v="8"/>
    <x v="8"/>
    <d v="2022-11-21T00:00:00"/>
    <d v="2023-02-20T00:00:00"/>
    <s v="FE001"/>
    <s v="TT 100008665"/>
    <n v="108971"/>
    <s v="FC124155 IMP #395 FLETE INTERNACIONAL"/>
    <m/>
    <s v="QUITO"/>
    <s v="PN1790952150001"/>
    <s v="SCHRYVER DEL ECUADOR S.A"/>
    <n v="180"/>
    <m/>
    <n v="180"/>
    <x v="10"/>
    <n v="49146.76"/>
    <s v="0.00"/>
    <s v="pquishpe"/>
    <n v="0"/>
    <m/>
    <s v="QUITO-PICHINCHA"/>
    <m/>
    <m/>
    <m/>
  </r>
  <r>
    <x v="8"/>
    <x v="8"/>
    <d v="2022-11-22T00:00:00"/>
    <d v="2022-11-22T00:00:00"/>
    <s v="FPQ"/>
    <s v="TT 6152"/>
    <n v="108906"/>
    <s v="IMP 395"/>
    <m/>
    <m/>
    <s v="PE0000000101"/>
    <s v="BOTH-WELL STEEL FITTINGS CO. LTD."/>
    <n v="8172"/>
    <m/>
    <n v="8172"/>
    <x v="10"/>
    <n v="57318.76"/>
    <s v="0.00"/>
    <s v="atayupa"/>
    <n v="0"/>
    <m/>
    <m/>
    <m/>
    <m/>
    <m/>
  </r>
  <r>
    <x v="8"/>
    <x v="8"/>
    <d v="2022-11-22T00:00:00"/>
    <d v="2022-11-22T00:00:00"/>
    <s v="Primario"/>
    <s v="EP 6409"/>
    <n v="108908"/>
    <s v="Pedido de entrada de mercancías - PE0000000101"/>
    <m/>
    <m/>
    <n v="101060408"/>
    <s v="Inventario de prod. term. y mercad. en Bodega importaciones"/>
    <m/>
    <n v="8172"/>
    <n v="-8172"/>
    <x v="9"/>
    <n v="49146.76"/>
    <s v="0.00"/>
    <s v="atayupa"/>
    <n v="0"/>
    <m/>
    <m/>
    <m/>
    <m/>
    <m/>
  </r>
  <r>
    <x v="8"/>
    <x v="8"/>
    <d v="2022-11-22T00:00:00"/>
    <d v="2022-11-22T00:00:00"/>
    <s v="Primario"/>
    <s v="DI 426"/>
    <n v="108910"/>
    <s v="Precio de entrega 426"/>
    <m/>
    <m/>
    <n v="101060408"/>
    <s v="Inventario de prod. term. y mercad. en Bodega importaciones"/>
    <m/>
    <n v="1630.48"/>
    <n v="-1630.48"/>
    <x v="9"/>
    <n v="47516.28"/>
    <s v="0.00"/>
    <s v="atayupa"/>
    <n v="0"/>
    <m/>
    <m/>
    <m/>
    <m/>
    <m/>
  </r>
  <r>
    <x v="8"/>
    <x v="8"/>
    <d v="2022-11-22T00:00:00"/>
    <d v="2022-11-22T00:00:00"/>
    <s v="FPQ"/>
    <s v="TT 6154"/>
    <n v="109007"/>
    <s v="imp 421"/>
    <m/>
    <m/>
    <s v="PE0000000084"/>
    <s v="MKS PIPE &amp; STEEL,INC"/>
    <n v="26936.1"/>
    <m/>
    <n v="26936.1"/>
    <x v="10"/>
    <n v="74452.38"/>
    <s v="0.00"/>
    <s v="atayupa"/>
    <n v="0"/>
    <m/>
    <m/>
    <m/>
    <m/>
    <m/>
  </r>
  <r>
    <x v="8"/>
    <x v="8"/>
    <d v="2022-11-22T00:00:00"/>
    <d v="2022-11-22T00:00:00"/>
    <s v="Primario"/>
    <s v="EP 6415"/>
    <n v="109008"/>
    <s v="Pedido de entrada de mercancías - PE0000000084"/>
    <m/>
    <m/>
    <n v="101060408"/>
    <s v="Inventario de prod. term. y mercad. en Bodega importaciones"/>
    <m/>
    <n v="26936.1"/>
    <n v="-26936.1"/>
    <x v="9"/>
    <n v="47516.28"/>
    <s v="0.00"/>
    <s v="atayupa"/>
    <n v="0"/>
    <m/>
    <m/>
    <m/>
    <m/>
    <m/>
  </r>
  <r>
    <x v="8"/>
    <x v="8"/>
    <d v="2022-11-22T00:00:00"/>
    <d v="2022-11-22T00:00:00"/>
    <s v="Primario"/>
    <s v="DI 427"/>
    <n v="109011"/>
    <s v="Precio de entrega 427"/>
    <m/>
    <m/>
    <n v="101060408"/>
    <s v="Inventario de prod. term. y mercad. en Bodega importaciones"/>
    <m/>
    <n v="5461.66"/>
    <n v="-5461.66"/>
    <x v="9"/>
    <n v="42054.62"/>
    <s v="0.00"/>
    <s v="atayupa"/>
    <n v="0"/>
    <m/>
    <m/>
    <m/>
    <m/>
    <m/>
  </r>
  <r>
    <x v="8"/>
    <x v="8"/>
    <d v="2022-11-22T00:00:00"/>
    <d v="2022-11-22T00:00:00"/>
    <s v="PagEfect"/>
    <s v="PP 11805"/>
    <n v="109453"/>
    <s v="GASTOS BANCARIOS IMP #430 BAO STEEL"/>
    <m/>
    <m/>
    <n v="101010306"/>
    <s v="Banco Internacional"/>
    <n v="132"/>
    <m/>
    <n v="132"/>
    <x v="10"/>
    <n v="42186.62"/>
    <s v="132.00"/>
    <s v="pquishpe"/>
    <n v="0"/>
    <m/>
    <m/>
    <m/>
    <m/>
    <m/>
  </r>
  <r>
    <x v="8"/>
    <x v="8"/>
    <d v="2022-11-22T00:00:00"/>
    <d v="2022-11-22T00:00:00"/>
    <s v="PagEfect"/>
    <s v="PP 11806"/>
    <n v="109454"/>
    <s v="PAGO ISD IMP #430 BAO STEEL"/>
    <m/>
    <m/>
    <n v="101010306"/>
    <s v="Banco Internacional"/>
    <n v="1464.36"/>
    <m/>
    <n v="1464.36"/>
    <x v="10"/>
    <n v="43650.98"/>
    <s v="1464.36"/>
    <s v="pquishpe"/>
    <n v="0"/>
    <m/>
    <m/>
    <m/>
    <m/>
    <m/>
  </r>
  <r>
    <x v="8"/>
    <x v="8"/>
    <d v="2022-11-24T00:00:00"/>
    <d v="2023-01-23T00:00:00"/>
    <s v="FPQ"/>
    <s v="TT 6155"/>
    <n v="109149"/>
    <s v="imp 416"/>
    <m/>
    <m/>
    <s v="PE0000000012"/>
    <s v="FIKE"/>
    <n v="363"/>
    <m/>
    <n v="363"/>
    <x v="10"/>
    <n v="44013.98"/>
    <s v="0.00"/>
    <s v="atayupa"/>
    <n v="0"/>
    <m/>
    <m/>
    <m/>
    <m/>
    <m/>
  </r>
  <r>
    <x v="8"/>
    <x v="8"/>
    <d v="2022-11-24T00:00:00"/>
    <d v="2023-01-23T00:00:00"/>
    <s v="FPQ"/>
    <s v="TT 6155"/>
    <n v="109149"/>
    <s v="imp 416"/>
    <m/>
    <m/>
    <s v="PE0000000012"/>
    <s v="FIKE"/>
    <n v="28.14"/>
    <m/>
    <n v="28.14"/>
    <x v="10"/>
    <n v="44042.12"/>
    <s v="0.00"/>
    <s v="atayupa"/>
    <n v="0"/>
    <m/>
    <m/>
    <m/>
    <m/>
    <m/>
  </r>
  <r>
    <x v="8"/>
    <x v="8"/>
    <d v="2022-11-24T00:00:00"/>
    <d v="2022-11-24T00:00:00"/>
    <s v="Primario"/>
    <s v="EP 6422"/>
    <n v="109170"/>
    <s v="Pedido de entrada de mercancías - PE0000000012"/>
    <m/>
    <m/>
    <n v="101060408"/>
    <s v="Inventario de prod. term. y mercad. en Bodega importaciones"/>
    <m/>
    <n v="363"/>
    <n v="-363"/>
    <x v="9"/>
    <n v="43679.12"/>
    <s v="0.00"/>
    <s v="atayupa"/>
    <n v="0"/>
    <m/>
    <m/>
    <m/>
    <m/>
    <m/>
  </r>
  <r>
    <x v="8"/>
    <x v="8"/>
    <d v="2022-11-24T00:00:00"/>
    <d v="2022-11-24T00:00:00"/>
    <s v="Primario"/>
    <s v="DI 428"/>
    <n v="109173"/>
    <s v="Precio de entrega 428"/>
    <m/>
    <m/>
    <n v="101060408"/>
    <s v="Inventario de prod. term. y mercad. en Bodega importaciones"/>
    <m/>
    <n v="207.82"/>
    <n v="-207.82"/>
    <x v="9"/>
    <n v="43471.3"/>
    <s v="0.00"/>
    <s v="atayupa"/>
    <n v="0"/>
    <m/>
    <m/>
    <m/>
    <m/>
    <m/>
  </r>
  <r>
    <x v="8"/>
    <x v="8"/>
    <d v="2022-11-24T00:00:00"/>
    <d v="2022-12-06T00:00:00"/>
    <s v="FPQ"/>
    <s v="TT 6156"/>
    <n v="109177"/>
    <s v="imp 408"/>
    <m/>
    <m/>
    <s v="PE0000000044"/>
    <s v="Bray Controls Andina, Ltda."/>
    <n v="44083.5"/>
    <m/>
    <n v="44083.5"/>
    <x v="10"/>
    <n v="87554.8"/>
    <s v="0.00"/>
    <s v="atayupa"/>
    <n v="0"/>
    <m/>
    <m/>
    <m/>
    <m/>
    <m/>
  </r>
  <r>
    <x v="8"/>
    <x v="8"/>
    <d v="2022-11-24T00:00:00"/>
    <d v="2022-11-24T00:00:00"/>
    <s v="Primario"/>
    <s v="EP 6423"/>
    <n v="109178"/>
    <s v="Pedido de entrada de mercancías - PE0000000044"/>
    <m/>
    <m/>
    <n v="101060408"/>
    <s v="Inventario de prod. term. y mercad. en Bodega importaciones"/>
    <m/>
    <n v="44083.5"/>
    <n v="-44083.5"/>
    <x v="9"/>
    <n v="43471.3"/>
    <s v="0.00"/>
    <s v="atayupa"/>
    <n v="0"/>
    <m/>
    <m/>
    <m/>
    <m/>
    <m/>
  </r>
  <r>
    <x v="8"/>
    <x v="8"/>
    <d v="2022-11-24T00:00:00"/>
    <d v="2022-11-24T00:00:00"/>
    <s v="Primario"/>
    <s v="DI 429"/>
    <n v="109180"/>
    <s v="Precio de entrega 429"/>
    <m/>
    <m/>
    <n v="101060408"/>
    <s v="Inventario de prod. term. y mercad. en Bodega importaciones"/>
    <m/>
    <n v="4020"/>
    <n v="-4020"/>
    <x v="9"/>
    <n v="39451.300000000003"/>
    <s v="0.00"/>
    <s v="atayupa"/>
    <n v="0"/>
    <m/>
    <m/>
    <m/>
    <m/>
    <m/>
  </r>
  <r>
    <x v="8"/>
    <x v="8"/>
    <d v="2022-11-24T00:00:00"/>
    <d v="2023-01-09T00:00:00"/>
    <s v="FPQ"/>
    <s v="TT 6157"/>
    <n v="109197"/>
    <s v="IMP 417"/>
    <m/>
    <m/>
    <s v="PE0000000018"/>
    <s v="KIMRAY INC"/>
    <n v="191.6"/>
    <m/>
    <n v="191.6"/>
    <x v="10"/>
    <n v="39642.9"/>
    <s v="0.00"/>
    <s v="atayupa"/>
    <n v="0"/>
    <m/>
    <m/>
    <m/>
    <m/>
    <m/>
  </r>
  <r>
    <x v="8"/>
    <x v="8"/>
    <d v="2022-11-24T00:00:00"/>
    <d v="2023-01-09T00:00:00"/>
    <s v="FPQ"/>
    <s v="TT 6157"/>
    <n v="109197"/>
    <s v="IMP 417"/>
    <m/>
    <m/>
    <s v="PE0000000018"/>
    <s v="KIMRAY INC"/>
    <n v="10.53"/>
    <m/>
    <n v="10.53"/>
    <x v="10"/>
    <n v="39653.43"/>
    <s v="0.00"/>
    <s v="atayupa"/>
    <n v="0"/>
    <m/>
    <m/>
    <m/>
    <m/>
    <m/>
  </r>
  <r>
    <x v="8"/>
    <x v="8"/>
    <d v="2022-11-24T00:00:00"/>
    <d v="2022-11-24T00:00:00"/>
    <s v="FPQ"/>
    <s v="TT 6158"/>
    <n v="109199"/>
    <s v="IMP 417"/>
    <m/>
    <m/>
    <s v="PE0000000081"/>
    <s v="LINCOLN ELECTRIC HOLDINGS, INC."/>
    <n v="922.14"/>
    <m/>
    <n v="922.14"/>
    <x v="10"/>
    <n v="40575.57"/>
    <s v="0.00"/>
    <s v="atayupa"/>
    <n v="0"/>
    <m/>
    <m/>
    <m/>
    <m/>
    <m/>
  </r>
  <r>
    <x v="8"/>
    <x v="8"/>
    <d v="2022-11-24T00:00:00"/>
    <d v="2022-11-24T00:00:00"/>
    <s v="Primario"/>
    <s v="EP 6424"/>
    <n v="109203"/>
    <s v="Pedido de entrada de mercancías - PE0000000018"/>
    <m/>
    <m/>
    <n v="101060408"/>
    <s v="Inventario de prod. term. y mercad. en Bodega importaciones"/>
    <m/>
    <n v="191.6"/>
    <n v="-191.6"/>
    <x v="9"/>
    <n v="40383.97"/>
    <s v="0.00"/>
    <s v="atayupa"/>
    <n v="0"/>
    <m/>
    <m/>
    <m/>
    <m/>
    <m/>
  </r>
  <r>
    <x v="8"/>
    <x v="8"/>
    <d v="2022-11-24T00:00:00"/>
    <d v="2022-11-24T00:00:00"/>
    <s v="Primario"/>
    <s v="EP 6425"/>
    <n v="109204"/>
    <s v="Pedido de entrada de mercancías - PE0000000081"/>
    <m/>
    <m/>
    <n v="101060408"/>
    <s v="Inventario de prod. term. y mercad. en Bodega importaciones"/>
    <m/>
    <n v="922.14"/>
    <n v="-922.14"/>
    <x v="9"/>
    <n v="39461.83"/>
    <s v="0.00"/>
    <s v="atayupa"/>
    <n v="0"/>
    <m/>
    <m/>
    <m/>
    <m/>
    <m/>
  </r>
  <r>
    <x v="8"/>
    <x v="8"/>
    <d v="2022-11-24T00:00:00"/>
    <d v="2022-11-24T00:00:00"/>
    <s v="Primario"/>
    <s v="DI 430"/>
    <n v="109205"/>
    <s v="Precio de entrega 430"/>
    <m/>
    <m/>
    <n v="101060408"/>
    <s v="Inventario de prod. term. y mercad. en Bodega importaciones"/>
    <m/>
    <n v="622.73"/>
    <n v="-622.73"/>
    <x v="9"/>
    <n v="38839.1"/>
    <s v="0.00"/>
    <s v="atayupa"/>
    <n v="0"/>
    <m/>
    <m/>
    <m/>
    <m/>
    <m/>
  </r>
  <r>
    <x v="8"/>
    <x v="8"/>
    <d v="2022-11-25T00:00:00"/>
    <d v="2022-11-25T00:00:00"/>
    <s v="FE001"/>
    <s v="TT 100008716"/>
    <n v="109518"/>
    <s v="LC297 CAJA CHICA CCPR284 UIO"/>
    <m/>
    <s v="QUITO"/>
    <s v="PN1709027252"/>
    <s v="MENA IPIALES WASHINGTON OMAR"/>
    <n v="31.74"/>
    <m/>
    <n v="31.74"/>
    <x v="10"/>
    <n v="38870.839999999997"/>
    <s v="0.00"/>
    <s v="pquishpe"/>
    <n v="0"/>
    <m/>
    <s v="QUITO-PICHINCHA"/>
    <m/>
    <m/>
    <m/>
  </r>
  <r>
    <x v="8"/>
    <x v="8"/>
    <d v="2022-11-25T00:00:00"/>
    <d v="2022-11-25T00:00:00"/>
    <s v="ASIENTOS"/>
    <s v="AS 109524"/>
    <n v="109524"/>
    <s v="GND IMP #405 CAJA CHICA CCPR284 UIO"/>
    <m/>
    <s v="QUITO"/>
    <s v="PN1709027252"/>
    <s v="MENA IPIALES WASHINGTON OMAR"/>
    <n v="3.05"/>
    <m/>
    <n v="3.05"/>
    <x v="10"/>
    <n v="38873.89"/>
    <s v="3.05"/>
    <s v="pquishpe"/>
    <n v="0"/>
    <m/>
    <s v="QUITO-PICHINCHA"/>
    <m/>
    <m/>
    <m/>
  </r>
  <r>
    <x v="8"/>
    <x v="8"/>
    <d v="2022-11-25T00:00:00"/>
    <d v="2022-11-25T00:00:00"/>
    <s v="FPQ"/>
    <s v="TT 6163"/>
    <n v="109678"/>
    <s v="LIQ ADUANA 43492451 IMP#407"/>
    <m/>
    <m/>
    <s v="PN1760013480001"/>
    <s v="SERVICIO NACIONAL DE ADUANA DEL ECUADOR"/>
    <n v="185.49"/>
    <m/>
    <n v="185.49"/>
    <x v="10"/>
    <n v="39059.379999999997"/>
    <s v="0.00"/>
    <s v="pquishpe"/>
    <n v="0"/>
    <m/>
    <m/>
    <m/>
    <m/>
    <m/>
  </r>
  <r>
    <x v="8"/>
    <x v="8"/>
    <d v="2022-11-28T00:00:00"/>
    <d v="2022-11-28T00:00:00"/>
    <s v="FE001"/>
    <s v="TT 100008683"/>
    <n v="109391"/>
    <s v="FC132454 IMP #406 SERVICIO ADMINISTRATIVO CARTA DE"/>
    <m/>
    <s v="QUITO"/>
    <s v="PN0990369445001"/>
    <s v="REMAR REPRESENTACIONES MARITIMAS DEL ECUADOR SA REMAR"/>
    <n v="255"/>
    <m/>
    <n v="255"/>
    <x v="10"/>
    <n v="39314.379999999997"/>
    <s v="255.00"/>
    <s v="pquishpe"/>
    <n v="0"/>
    <m/>
    <s v="QUITO-PICHINCHA"/>
    <m/>
    <m/>
    <m/>
  </r>
  <r>
    <x v="8"/>
    <x v="8"/>
    <d v="2022-11-28T00:00:00"/>
    <d v="2022-11-28T00:00:00"/>
    <s v="PagEfect"/>
    <s v="PP 11839"/>
    <n v="109723"/>
    <s v="PAGO IMP 423 VERGARA MIRIAM"/>
    <m/>
    <m/>
    <n v="101010301"/>
    <s v="Banco Bolivariano"/>
    <n v="24.61"/>
    <m/>
    <n v="24.61"/>
    <x v="10"/>
    <n v="39338.99"/>
    <s v="0.00"/>
    <s v="pquishpe"/>
    <n v="0"/>
    <m/>
    <m/>
    <m/>
    <m/>
    <m/>
  </r>
  <r>
    <x v="8"/>
    <x v="8"/>
    <d v="2022-11-30T00:00:00"/>
    <d v="2022-11-30T00:00:00"/>
    <s v="ASIENTOS"/>
    <s v="AS 110117"/>
    <n v="110117"/>
    <s v="REG. GASTOS BANCARIOS IMP# 408 BRAY"/>
    <m/>
    <m/>
    <n v="201040509"/>
    <s v="Cuentra transitoria G. Bancarios"/>
    <n v="65"/>
    <m/>
    <n v="65"/>
    <x v="10"/>
    <n v="39403.99"/>
    <s v="0.00"/>
    <s v="ptipant"/>
    <n v="0"/>
    <m/>
    <m/>
    <m/>
    <m/>
    <m/>
  </r>
  <r>
    <x v="8"/>
    <x v="8"/>
    <d v="2022-11-30T00:00:00"/>
    <d v="2022-11-30T00:00:00"/>
    <s v="ASIENTOS"/>
    <s v="AS 110119"/>
    <n v="110119"/>
    <s v="REG. GASTOS BANCARIOS IMP# 416 FIKE"/>
    <m/>
    <m/>
    <n v="201040509"/>
    <s v="Cuentra transitoria G. Bancarios"/>
    <n v="50"/>
    <m/>
    <n v="50"/>
    <x v="10"/>
    <n v="39453.99"/>
    <s v="0.00"/>
    <s v="ptipant"/>
    <n v="0"/>
    <m/>
    <m/>
    <m/>
    <m/>
    <m/>
  </r>
  <r>
    <x v="8"/>
    <x v="8"/>
    <d v="2022-11-30T00:00:00"/>
    <d v="2022-11-30T00:00:00"/>
    <s v="ASIENTOS"/>
    <s v="AS 110120"/>
    <n v="110120"/>
    <s v="GASTO BANCARIOS PAGO FIKE"/>
    <m/>
    <m/>
    <n v="61040701"/>
    <s v="Gastos bancarios"/>
    <m/>
    <n v="15"/>
    <n v="-15"/>
    <x v="10"/>
    <n v="39438.99"/>
    <s v="0.00"/>
    <s v="ptipant"/>
    <n v="0"/>
    <m/>
    <m/>
    <m/>
    <m/>
    <m/>
  </r>
  <r>
    <x v="8"/>
    <x v="8"/>
    <d v="2022-11-30T00:00:00"/>
    <d v="2022-11-30T00:00:00"/>
    <s v="ASIENTOS"/>
    <s v="AS 110135"/>
    <n v="110135"/>
    <s v="REG. ISD IMP# 421 MKS PIPE"/>
    <m/>
    <m/>
    <n v="401030105"/>
    <s v="Otros Ingresos"/>
    <n v="51"/>
    <m/>
    <n v="51"/>
    <x v="10"/>
    <n v="39489.99"/>
    <s v="0.00"/>
    <s v="ptipant"/>
    <n v="0"/>
    <m/>
    <m/>
    <m/>
    <m/>
    <m/>
  </r>
  <r>
    <x v="8"/>
    <x v="8"/>
    <d v="2022-11-30T00:00:00"/>
    <d v="2022-11-30T00:00:00"/>
    <s v="ASIENTOS"/>
    <s v="AS 110141"/>
    <n v="110141"/>
    <s v="ISD IMP# 395 BOTH WELL"/>
    <m/>
    <m/>
    <n v="401030105"/>
    <s v="Otros Ingresos"/>
    <n v="54.19"/>
    <m/>
    <n v="54.19"/>
    <x v="10"/>
    <n v="39544.18"/>
    <s v="0.00"/>
    <s v="ptipant"/>
    <n v="0"/>
    <m/>
    <m/>
    <m/>
    <m/>
    <m/>
  </r>
  <r>
    <x v="8"/>
    <x v="8"/>
    <d v="2022-11-30T00:00:00"/>
    <d v="2022-11-30T00:00:00"/>
    <s v="ASIENTOS"/>
    <s v="AS 110146"/>
    <n v="110146"/>
    <s v="REG. GASTOS BANCARIOS IMP# 402 OTAI"/>
    <m/>
    <m/>
    <n v="201040509"/>
    <s v="Cuentra transitoria G. Bancarios"/>
    <n v="120"/>
    <m/>
    <n v="120"/>
    <x v="10"/>
    <n v="39664.18"/>
    <s v="0.00"/>
    <s v="ptipant"/>
    <n v="0"/>
    <m/>
    <m/>
    <m/>
    <m/>
    <m/>
  </r>
  <r>
    <x v="8"/>
    <x v="8"/>
    <d v="2022-11-30T00:00:00"/>
    <d v="2022-11-30T00:00:00"/>
    <s v="ASIENTOS"/>
    <s v="AS 110147"/>
    <n v="110147"/>
    <s v="GASTOS BANCARIOS IMP #386 METALFAR"/>
    <m/>
    <m/>
    <n v="201040509"/>
    <s v="Cuentra transitoria G. Bancarios"/>
    <m/>
    <n v="65"/>
    <n v="-65"/>
    <x v="10"/>
    <n v="39599.18"/>
    <s v="0.00"/>
    <s v="ptipant"/>
    <n v="0"/>
    <m/>
    <m/>
    <m/>
    <m/>
    <m/>
  </r>
  <r>
    <x v="8"/>
    <x v="8"/>
    <d v="2022-11-30T00:00:00"/>
    <d v="2022-11-30T00:00:00"/>
    <s v="ASIENTOS"/>
    <s v="AS 110148"/>
    <n v="110148"/>
    <s v="REG. ISD IMP# 402 OTAI"/>
    <m/>
    <m/>
    <n v="101050101"/>
    <s v="Crédito tributario a favor del sujeto pasivo (ISD)"/>
    <m/>
    <n v="1017.31"/>
    <n v="-1017.31"/>
    <x v="10"/>
    <n v="38581.870000000003"/>
    <s v="0.00"/>
    <s v="ptipant"/>
    <n v="0"/>
    <m/>
    <m/>
    <m/>
    <m/>
    <m/>
  </r>
  <r>
    <x v="8"/>
    <x v="8"/>
    <d v="2022-11-30T00:00:00"/>
    <d v="2022-11-30T00:00:00"/>
    <s v="ASIENTOS"/>
    <s v="AS 110157"/>
    <n v="110157"/>
    <s v="VALOR COBRADO POR STARCARGO IMP # 359"/>
    <m/>
    <m/>
    <n v="401030105"/>
    <s v="Otros Ingresos"/>
    <m/>
    <n v="34"/>
    <n v="-34"/>
    <x v="10"/>
    <n v="38547.870000000003"/>
    <s v="0.00"/>
    <s v="ptipant"/>
    <n v="0"/>
    <m/>
    <m/>
    <m/>
    <m/>
    <m/>
  </r>
  <r>
    <x v="8"/>
    <x v="8"/>
    <d v="2022-11-30T00:00:00"/>
    <d v="2022-11-30T00:00:00"/>
    <s v="ASIENTOS"/>
    <s v="AS 110160"/>
    <n v="110160"/>
    <s v="PAGO SENAE LIQ. COMPLE IMP# 332-367"/>
    <m/>
    <m/>
    <n v="401030105"/>
    <s v="Otros Ingresos"/>
    <m/>
    <n v="7.05"/>
    <n v="-7.05"/>
    <x v="10"/>
    <n v="38540.82"/>
    <s v="0.00"/>
    <s v="ptipant"/>
    <n v="0"/>
    <m/>
    <m/>
    <m/>
    <m/>
    <m/>
  </r>
  <r>
    <x v="8"/>
    <x v="8"/>
    <d v="2022-11-30T00:00:00"/>
    <d v="2022-11-30T00:00:00"/>
    <s v="ASIENTOS"/>
    <s v="AS 110163"/>
    <n v="110163"/>
    <s v="CRUCE DKLOK POR MERCADERIA EXTRAVIADA"/>
    <m/>
    <m/>
    <n v="401030105"/>
    <s v="Otros Ingresos"/>
    <n v="298.08"/>
    <m/>
    <n v="298.08"/>
    <x v="10"/>
    <n v="38838.9"/>
    <s v="0.00"/>
    <s v="ptipant"/>
    <n v="0"/>
    <m/>
    <m/>
    <m/>
    <m/>
    <m/>
  </r>
  <r>
    <x v="8"/>
    <x v="8"/>
    <d v="2022-11-30T00:00:00"/>
    <d v="2022-11-30T00:00:00"/>
    <s v="ASIENTOS"/>
    <s v="AS 110168"/>
    <n v="110168"/>
    <s v="IMP KIMRAY"/>
    <m/>
    <m/>
    <s v="PE0000000018"/>
    <s v="KIMRAY INC"/>
    <n v="2399.23"/>
    <m/>
    <n v="2399.23"/>
    <x v="10"/>
    <n v="41238.129999999997"/>
    <s v="0.00"/>
    <s v="ptipant"/>
    <n v="0"/>
    <m/>
    <m/>
    <m/>
    <m/>
    <m/>
  </r>
  <r>
    <x v="8"/>
    <x v="8"/>
    <d v="2022-11-30T00:00:00"/>
    <d v="2022-11-30T00:00:00"/>
    <s v="ASIENTOS"/>
    <s v="AS 110171"/>
    <n v="110171"/>
    <s v="GTO BANCARIO KIM RAY IMP397 F.442117/440510/"/>
    <m/>
    <m/>
    <n v="201040509"/>
    <s v="Cuentra transitoria G. Bancarios"/>
    <m/>
    <n v="100"/>
    <n v="-100"/>
    <x v="10"/>
    <n v="41138.129999999997"/>
    <s v="0.00"/>
    <s v="ptipant"/>
    <n v="0"/>
    <m/>
    <m/>
    <m/>
    <m/>
    <m/>
  </r>
  <r>
    <x v="8"/>
    <x v="8"/>
    <d v="2022-11-30T00:00:00"/>
    <d v="2022-11-30T00:00:00"/>
    <s v="ASIENTOS"/>
    <s v="AS 110174"/>
    <n v="110174"/>
    <s v="RECLASIF. CUENTA ISD"/>
    <m/>
    <m/>
    <n v="201040508"/>
    <s v="Cuenta transitoria ISD"/>
    <m/>
    <n v="2089.59"/>
    <n v="-2089.59"/>
    <x v="10"/>
    <n v="39048.54"/>
    <s v="0.00"/>
    <s v="ptipant"/>
    <n v="0"/>
    <m/>
    <m/>
    <m/>
    <m/>
    <m/>
  </r>
  <r>
    <x v="8"/>
    <x v="8"/>
    <d v="2022-11-30T00:00:00"/>
    <d v="2022-11-30T00:00:00"/>
    <s v="ASIENTOS"/>
    <s v="AS 110175"/>
    <n v="110175"/>
    <s v="REG. DIF. PAGO ISD"/>
    <m/>
    <m/>
    <n v="401030105"/>
    <s v="Otros Ingresos"/>
    <m/>
    <n v="209.64"/>
    <n v="-209.64"/>
    <x v="10"/>
    <n v="38838.9"/>
    <s v="0.00"/>
    <s v="ptipant"/>
    <n v="0"/>
    <m/>
    <m/>
    <m/>
    <m/>
    <m/>
  </r>
  <r>
    <x v="8"/>
    <x v="8"/>
    <d v="2022-11-30T00:00:00"/>
    <d v="2022-11-30T00:00:00"/>
    <s v="ASIENTOS"/>
    <s v="AS 110176"/>
    <n v="110176"/>
    <s v="REG ISD IMP #383 384 KIMRAY"/>
    <m/>
    <m/>
    <n v="101050101"/>
    <s v="Crédito tributario a favor del sujeto pasivo (ISD)"/>
    <m/>
    <n v="1083.97"/>
    <n v="-1083.97"/>
    <x v="10"/>
    <n v="37754.93"/>
    <s v="0.00"/>
    <s v="ptipant"/>
    <n v="0"/>
    <m/>
    <m/>
    <m/>
    <m/>
    <m/>
  </r>
  <r>
    <x v="8"/>
    <x v="8"/>
    <d v="2022-11-30T00:00:00"/>
    <d v="2022-11-30T00:00:00"/>
    <s v="ASIENTOS"/>
    <s v="AS 110177"/>
    <n v="110177"/>
    <s v="ISD IMP #326 397 KIMRAY"/>
    <m/>
    <m/>
    <n v="101050101"/>
    <s v="Crédito tributario a favor del sujeto pasivo (ISD)"/>
    <m/>
    <n v="263.52"/>
    <n v="-263.52"/>
    <x v="10"/>
    <n v="37491.410000000003"/>
    <s v="0.00"/>
    <s v="ptipant"/>
    <n v="0"/>
    <m/>
    <m/>
    <m/>
    <m/>
    <m/>
  </r>
  <r>
    <x v="8"/>
    <x v="8"/>
    <d v="2022-11-30T00:00:00"/>
    <d v="2022-11-30T00:00:00"/>
    <s v="ASIENTOS"/>
    <s v="AS 110178"/>
    <n v="110178"/>
    <s v="GASTOS BANCARIOS KIMRAY IMP #396 411"/>
    <m/>
    <m/>
    <n v="201040509"/>
    <s v="Cuentra transitoria G. Bancarios"/>
    <m/>
    <n v="65"/>
    <n v="-65"/>
    <x v="10"/>
    <n v="37426.410000000003"/>
    <s v="0.00"/>
    <s v="ptipant"/>
    <n v="0"/>
    <m/>
    <m/>
    <m/>
    <m/>
    <m/>
  </r>
  <r>
    <x v="8"/>
    <x v="8"/>
    <d v="2022-11-30T00:00:00"/>
    <d v="2022-11-30T00:00:00"/>
    <s v="ASIENTOS"/>
    <s v="AS 110179"/>
    <n v="110179"/>
    <s v="GASTOS BANCARIOS IMP #380 396 FIKE"/>
    <m/>
    <m/>
    <n v="201040509"/>
    <s v="Cuentra transitoria G. Bancarios"/>
    <m/>
    <n v="65"/>
    <n v="-65"/>
    <x v="10"/>
    <n v="37361.410000000003"/>
    <s v="0.00"/>
    <s v="ptipant"/>
    <n v="0"/>
    <m/>
    <m/>
    <m/>
    <m/>
    <m/>
  </r>
  <r>
    <x v="8"/>
    <x v="8"/>
    <d v="2022-11-30T00:00:00"/>
    <d v="2022-11-30T00:00:00"/>
    <s v="ASIENTOS"/>
    <s v="AS 110180"/>
    <n v="110180"/>
    <s v="REG ISD IMP #380 396 FIKE"/>
    <m/>
    <m/>
    <n v="101050101"/>
    <s v="Crédito tributario a favor del sujeto pasivo (ISD)"/>
    <m/>
    <n v="293.27"/>
    <n v="-293.27"/>
    <x v="10"/>
    <n v="37068.14"/>
    <s v="0.00"/>
    <s v="ptipant"/>
    <n v="0"/>
    <m/>
    <m/>
    <m/>
    <m/>
    <m/>
  </r>
  <r>
    <x v="8"/>
    <x v="8"/>
    <d v="2022-12-01T00:00:00"/>
    <d v="2023-02-01T00:00:00"/>
    <s v="FPQ"/>
    <s v="TT 6162"/>
    <n v="109598"/>
    <s v="imp 405"/>
    <m/>
    <m/>
    <s v="PE0000000004"/>
    <s v="ARFLU INDUSTRIAL VALVES"/>
    <n v="161451"/>
    <m/>
    <n v="161451"/>
    <x v="10"/>
    <n v="198519.14"/>
    <s v="0.00"/>
    <s v="atayupa"/>
    <n v="0"/>
    <m/>
    <m/>
    <m/>
    <m/>
    <m/>
  </r>
  <r>
    <x v="8"/>
    <x v="8"/>
    <d v="2022-12-01T00:00:00"/>
    <d v="2022-12-01T00:00:00"/>
    <s v="Primario"/>
    <s v="EP 6459"/>
    <n v="109604"/>
    <s v="Pedido de entrada de mercancías - PE0000000004"/>
    <m/>
    <m/>
    <n v="101060408"/>
    <s v="Inventario de prod. term. y mercad. en Bodega importaciones"/>
    <m/>
    <n v="161451"/>
    <n v="-161451"/>
    <x v="9"/>
    <n v="37068.14"/>
    <s v="0.00"/>
    <s v="atayupa"/>
    <n v="0"/>
    <m/>
    <m/>
    <m/>
    <m/>
    <m/>
  </r>
  <r>
    <x v="8"/>
    <x v="8"/>
    <d v="2022-12-01T00:00:00"/>
    <d v="2022-12-01T00:00:00"/>
    <s v="Primario"/>
    <s v="DI 431"/>
    <n v="109613"/>
    <s v="Precio de entrega 431"/>
    <m/>
    <m/>
    <n v="101060408"/>
    <s v="Inventario de prod. term. y mercad. en Bodega importaciones"/>
    <m/>
    <n v="9822.89"/>
    <n v="-9822.89"/>
    <x v="9"/>
    <n v="27245.25"/>
    <s v="0.00"/>
    <s v="atayupa"/>
    <n v="0"/>
    <m/>
    <m/>
    <m/>
    <m/>
    <m/>
  </r>
  <r>
    <x v="8"/>
    <x v="8"/>
    <d v="2022-12-01T00:00:00"/>
    <d v="2022-12-01T00:00:00"/>
    <s v="PagEfect"/>
    <s v="PP 11888"/>
    <n v="110663"/>
    <s v="SERVICIOS BANCARIOS IMP #420 FONDITAL"/>
    <m/>
    <m/>
    <n v="101010301"/>
    <s v="Banco Bolivariano"/>
    <n v="65"/>
    <m/>
    <n v="65"/>
    <x v="10"/>
    <n v="27310.25"/>
    <s v="65.00"/>
    <s v="pquishpe"/>
    <n v="0"/>
    <m/>
    <m/>
    <m/>
    <m/>
    <m/>
  </r>
  <r>
    <x v="8"/>
    <x v="8"/>
    <d v="2022-12-01T00:00:00"/>
    <d v="2022-12-01T00:00:00"/>
    <s v="PagEfect"/>
    <s v="PP 11889"/>
    <n v="110664"/>
    <s v="PAGO ISD IMP #420 FONDITAL"/>
    <m/>
    <m/>
    <n v="101010301"/>
    <s v="Banco Bolivariano"/>
    <n v="153.63"/>
    <m/>
    <n v="153.63"/>
    <x v="10"/>
    <n v="27463.88"/>
    <s v="153.63"/>
    <s v="pquishpe"/>
    <n v="0"/>
    <m/>
    <m/>
    <m/>
    <m/>
    <m/>
  </r>
  <r>
    <x v="8"/>
    <x v="8"/>
    <d v="2022-12-01T00:00:00"/>
    <d v="2022-12-01T00:00:00"/>
    <s v="FPQ"/>
    <s v="TT 6176"/>
    <n v="110677"/>
    <s v="LIQ. ADUANA 43514770 IMP 419 LINCOLN ELECTRIC"/>
    <m/>
    <m/>
    <s v="PN1760013480001"/>
    <s v="SERVICIO NACIONAL DE ADUANA DEL ECUADOR"/>
    <n v="11.31"/>
    <m/>
    <n v="11.31"/>
    <x v="10"/>
    <n v="27475.19"/>
    <s v="0.00"/>
    <s v="pquishpe"/>
    <n v="0"/>
    <m/>
    <m/>
    <m/>
    <m/>
    <m/>
  </r>
  <r>
    <x v="8"/>
    <x v="8"/>
    <d v="2022-12-01T00:00:00"/>
    <d v="2022-12-01T00:00:00"/>
    <s v="FPQ"/>
    <s v="TT 6188"/>
    <n v="111502"/>
    <s v="MAERSK FC558280080 DEMORAJE IMP #405"/>
    <m/>
    <m/>
    <s v="PE0000000100"/>
    <s v="Maersk A/S"/>
    <n v="1700"/>
    <m/>
    <n v="1700"/>
    <x v="10"/>
    <n v="29175.19"/>
    <s v="0.00"/>
    <s v="pquishpe"/>
    <n v="0"/>
    <m/>
    <m/>
    <m/>
    <m/>
    <m/>
  </r>
  <r>
    <x v="8"/>
    <x v="8"/>
    <d v="2022-12-02T00:00:00"/>
    <d v="2023-01-31T00:00:00"/>
    <s v="FE001"/>
    <s v="TT 100008748"/>
    <n v="109742"/>
    <s v="FC000052022 IMP #423 COORDINACION Y DESPACHO"/>
    <m/>
    <s v="QUITO"/>
    <s v="PN0992705469001"/>
    <s v="STARCARGO CIA. LTDA"/>
    <n v="212.5"/>
    <m/>
    <n v="212.5"/>
    <x v="10"/>
    <n v="29387.69"/>
    <s v="0.00"/>
    <s v="pquishpe"/>
    <n v="0"/>
    <m/>
    <s v="QUITO-PICHINCHA"/>
    <m/>
    <m/>
    <m/>
  </r>
  <r>
    <x v="8"/>
    <x v="8"/>
    <d v="2022-12-02T00:00:00"/>
    <d v="2023-01-31T00:00:00"/>
    <s v="FE001"/>
    <s v="TT 100008753"/>
    <n v="109775"/>
    <s v="FC000532581 IMP #419 DESADUANIZACION, SERVICIO DE"/>
    <m/>
    <m/>
    <s v="PN1791903013001"/>
    <s v="SIATIEXPRESS CIA. LTDA."/>
    <n v="178.84"/>
    <m/>
    <n v="178.84"/>
    <x v="10"/>
    <n v="29566.53"/>
    <s v="0.00"/>
    <s v="pquishpe"/>
    <n v="0"/>
    <m/>
    <m/>
    <m/>
    <m/>
    <m/>
  </r>
  <r>
    <x v="8"/>
    <x v="8"/>
    <d v="2022-12-02T00:00:00"/>
    <d v="2023-01-31T00:00:00"/>
    <s v="ANUL"/>
    <s v="TT 200636"/>
    <n v="110509"/>
    <s v="Factura de proveedores - Cancelación - PN099270546"/>
    <m/>
    <s v="QUITO"/>
    <s v="PN0992705469001"/>
    <s v="STARCARGO CIA. LTDA"/>
    <m/>
    <n v="212.5"/>
    <n v="-212.5"/>
    <x v="10"/>
    <n v="29354.03"/>
    <s v="0.00"/>
    <s v="pquishpe"/>
    <n v="0"/>
    <m/>
    <s v="QUITO-PICHINCHA"/>
    <m/>
    <m/>
    <m/>
  </r>
  <r>
    <x v="8"/>
    <x v="8"/>
    <d v="2022-12-05T00:00:00"/>
    <d v="2023-02-03T00:00:00"/>
    <s v="FE001"/>
    <s v="TT 100008746"/>
    <n v="109738"/>
    <s v="FC52007 IMP #407 COORDINACION Y DESPACHO"/>
    <m/>
    <s v="QUITO"/>
    <s v="PN0992705469001"/>
    <s v="STARCARGO CIA. LTDA"/>
    <n v="448"/>
    <m/>
    <n v="448"/>
    <x v="10"/>
    <n v="29802.03"/>
    <s v="0.00"/>
    <s v="pquishpe"/>
    <n v="0"/>
    <m/>
    <s v="QUITO-PICHINCHA"/>
    <m/>
    <m/>
    <m/>
  </r>
  <r>
    <x v="8"/>
    <x v="8"/>
    <d v="2022-12-05T00:00:00"/>
    <d v="2023-02-03T00:00:00"/>
    <s v="FE001"/>
    <s v="TT 100008747"/>
    <n v="109740"/>
    <s v="FC52077 IMP #423 MANEJO LOCAL Y GUIA"/>
    <m/>
    <s v="QUITO"/>
    <s v="PN0992705469001"/>
    <s v="STARCARGO CIA. LTDA"/>
    <n v="160"/>
    <m/>
    <n v="160"/>
    <x v="10"/>
    <n v="29962.03"/>
    <s v="0.00"/>
    <s v="pquishpe"/>
    <n v="0"/>
    <m/>
    <s v="QUITO-PICHINCHA"/>
    <m/>
    <m/>
    <m/>
  </r>
  <r>
    <x v="8"/>
    <x v="8"/>
    <d v="2022-12-05T00:00:00"/>
    <d v="2023-02-03T00:00:00"/>
    <s v="FPQ"/>
    <s v="TT 6166"/>
    <n v="109748"/>
    <s v="RECIBO 3246-3247 IMP #407 FLETE TERRESTRE, PICK UP"/>
    <m/>
    <m/>
    <s v="PN0992705469001"/>
    <s v="STARCARGO CIA. LTDA"/>
    <n v="2880"/>
    <m/>
    <n v="2880"/>
    <x v="10"/>
    <n v="32842.03"/>
    <s v="0.00"/>
    <s v="pquishpe"/>
    <n v="0"/>
    <m/>
    <m/>
    <m/>
    <m/>
    <m/>
  </r>
  <r>
    <x v="8"/>
    <x v="8"/>
    <d v="2022-12-05T00:00:00"/>
    <d v="2023-02-03T00:00:00"/>
    <s v="FPQ"/>
    <s v="TT 6167"/>
    <n v="109750"/>
    <s v="RECIBO UP5975-01 IMP#423 FLETE AEREO FUEL CHARGE"/>
    <m/>
    <m/>
    <s v="PN0992705469001"/>
    <s v="STARCARGO CIA. LTDA"/>
    <n v="855.8"/>
    <m/>
    <n v="855.8"/>
    <x v="10"/>
    <n v="33697.83"/>
    <s v="0.00"/>
    <s v="pquishpe"/>
    <n v="0"/>
    <m/>
    <m/>
    <m/>
    <m/>
    <m/>
  </r>
  <r>
    <x v="8"/>
    <x v="8"/>
    <d v="2022-12-05T00:00:00"/>
    <d v="2023-02-03T00:00:00"/>
    <s v="ANUL"/>
    <s v="TT 200637"/>
    <n v="110510"/>
    <s v="Factura de proveedores - Cancelación - PN099270546"/>
    <m/>
    <s v="QUITO"/>
    <s v="PN0992705469001"/>
    <s v="STARCARGO CIA. LTDA"/>
    <m/>
    <n v="160"/>
    <n v="-160"/>
    <x v="10"/>
    <n v="33537.83"/>
    <s v="0.00"/>
    <s v="pquishpe"/>
    <n v="0"/>
    <m/>
    <s v="QUITO-PICHINCHA"/>
    <m/>
    <m/>
    <m/>
  </r>
  <r>
    <x v="8"/>
    <x v="8"/>
    <d v="2022-12-05T00:00:00"/>
    <d v="2023-02-03T00:00:00"/>
    <s v="ANUL"/>
    <s v="TT 200638"/>
    <n v="110637"/>
    <s v="Factura de proveedores - Cancelación - PN099270546"/>
    <m/>
    <m/>
    <s v="PN0992705469001"/>
    <s v="STARCARGO CIA. LTDA"/>
    <m/>
    <n v="855.8"/>
    <n v="-855.8"/>
    <x v="10"/>
    <n v="32682.03"/>
    <s v="0.00"/>
    <s v="pquishpe"/>
    <n v="0"/>
    <m/>
    <m/>
    <m/>
    <m/>
    <m/>
  </r>
  <r>
    <x v="8"/>
    <x v="8"/>
    <d v="2022-12-06T00:00:00"/>
    <d v="2023-02-06T00:00:00"/>
    <s v="FPQ"/>
    <s v="TT 6164"/>
    <n v="109745"/>
    <s v="RECIBO NYSLSHGYE22102009 IMP #415 FLETE MARITIMO"/>
    <m/>
    <m/>
    <s v="PN0992705469001"/>
    <s v="STARCARGO CIA. LTDA"/>
    <n v="1200.8"/>
    <m/>
    <n v="1200.8"/>
    <x v="10"/>
    <n v="33882.83"/>
    <s v="0.00"/>
    <s v="pquishpe"/>
    <n v="0"/>
    <m/>
    <m/>
    <m/>
    <m/>
    <m/>
  </r>
  <r>
    <x v="8"/>
    <x v="8"/>
    <d v="2022-12-06T00:00:00"/>
    <d v="2023-02-06T00:00:00"/>
    <s v="FPQ"/>
    <s v="TT 6165"/>
    <n v="109746"/>
    <s v="RECIBO WJXG221111980 IMP #418 FLETE MARITIMO"/>
    <m/>
    <m/>
    <s v="PN0992705469001"/>
    <s v="STARCARGO CIA. LTDA"/>
    <n v="799.05"/>
    <m/>
    <n v="799.05"/>
    <x v="10"/>
    <n v="34681.879999999997"/>
    <s v="0.00"/>
    <s v="pquishpe"/>
    <n v="0"/>
    <m/>
    <m/>
    <m/>
    <m/>
    <m/>
  </r>
  <r>
    <x v="8"/>
    <x v="8"/>
    <d v="2022-12-06T00:00:00"/>
    <d v="2023-02-06T00:00:00"/>
    <s v="FE001"/>
    <s v="TT 100008749"/>
    <n v="109756"/>
    <s v="FC52142 IMP #418 GASTOS PORTUARIOS DESCONSOLIDACIO"/>
    <m/>
    <m/>
    <s v="PN0992705469001"/>
    <s v="STARCARGO CIA. LTDA"/>
    <n v="415"/>
    <m/>
    <n v="415"/>
    <x v="10"/>
    <n v="35096.879999999997"/>
    <s v="0.00"/>
    <s v="pquishpe"/>
    <n v="0"/>
    <m/>
    <m/>
    <m/>
    <m/>
    <m/>
  </r>
  <r>
    <x v="8"/>
    <x v="8"/>
    <d v="2022-12-06T00:00:00"/>
    <d v="2023-02-06T00:00:00"/>
    <s v="FE001"/>
    <s v="TT 100008750"/>
    <n v="109759"/>
    <s v="FC52143 IMP #415 GASTOS PORTUARIOS MANIPULEO"/>
    <m/>
    <m/>
    <s v="PN0992705469001"/>
    <s v="STARCARGO CIA. LTDA"/>
    <n v="590.42999999999995"/>
    <m/>
    <n v="590.42999999999995"/>
    <x v="10"/>
    <n v="35687.31"/>
    <s v="0.00"/>
    <s v="pquishpe"/>
    <n v="0"/>
    <m/>
    <m/>
    <m/>
    <m/>
    <m/>
  </r>
  <r>
    <x v="8"/>
    <x v="8"/>
    <d v="2022-12-06T00:00:00"/>
    <d v="2023-02-06T00:00:00"/>
    <s v="FE001"/>
    <s v="TT 100008751"/>
    <n v="109762"/>
    <s v="FC52144 IMP #415 COORDINACION Y DESPACHO"/>
    <m/>
    <m/>
    <s v="PN0992705469001"/>
    <s v="STARCARGO CIA. LTDA"/>
    <n v="255"/>
    <m/>
    <n v="255"/>
    <x v="10"/>
    <n v="35942.31"/>
    <s v="0.00"/>
    <s v="pquishpe"/>
    <n v="0"/>
    <m/>
    <m/>
    <m/>
    <m/>
    <m/>
  </r>
  <r>
    <x v="8"/>
    <x v="8"/>
    <d v="2022-12-06T00:00:00"/>
    <d v="2023-02-06T00:00:00"/>
    <s v="FE001"/>
    <s v="TT 100008789"/>
    <n v="110256"/>
    <s v="FC172649 IMP #423 APLICACION 45 SEGURO DE TRANSPOR"/>
    <m/>
    <s v="QUITO"/>
    <s v="PN1790516008001"/>
    <s v="CHUBB SEGUROS ECUADOR S.A."/>
    <n v="21.25"/>
    <m/>
    <n v="21.25"/>
    <x v="10"/>
    <n v="35963.56"/>
    <s v="0.00"/>
    <s v="pquishpe"/>
    <n v="0"/>
    <m/>
    <s v="QUITO-PICHINCHA"/>
    <m/>
    <m/>
    <m/>
  </r>
  <r>
    <x v="8"/>
    <x v="8"/>
    <d v="2022-12-06T00:00:00"/>
    <d v="2023-02-06T00:00:00"/>
    <s v="FE001"/>
    <s v="TT 100008790"/>
    <n v="110258"/>
    <s v="FC172648 IMP #407 APLICACION 44 SEGURO DE TRANSPOR"/>
    <m/>
    <s v="QUITO"/>
    <s v="PN1790516008001"/>
    <s v="CHUBB SEGUROS ECUADOR S.A."/>
    <n v="21.25"/>
    <m/>
    <n v="21.25"/>
    <x v="10"/>
    <n v="35984.81"/>
    <s v="0.00"/>
    <s v="pquishpe"/>
    <n v="0"/>
    <m/>
    <s v="QUITO-PICHINCHA"/>
    <m/>
    <m/>
    <m/>
  </r>
  <r>
    <x v="8"/>
    <x v="8"/>
    <d v="2022-12-06T00:00:00"/>
    <d v="2022-12-06T00:00:00"/>
    <s v="FPQ"/>
    <s v="TT 6177"/>
    <n v="110706"/>
    <s v="LIQ. ADUANA 43539185 IMP #420 METALFAR"/>
    <m/>
    <m/>
    <s v="PN1760013480001"/>
    <s v="SERVICIO NACIONAL DE ADUANA DEL ECUADOR"/>
    <n v="410.13"/>
    <m/>
    <n v="410.13"/>
    <x v="10"/>
    <n v="36394.94"/>
    <s v="0.00"/>
    <s v="pquishpe"/>
    <n v="0"/>
    <m/>
    <m/>
    <m/>
    <m/>
    <m/>
  </r>
  <r>
    <x v="8"/>
    <x v="8"/>
    <d v="2022-12-07T00:00:00"/>
    <d v="2023-01-23T00:00:00"/>
    <s v="FE001"/>
    <s v="TT 100008782"/>
    <n v="110136"/>
    <s v="FC000060939 IMP #423 EMISION GUIA IMPORT FEE"/>
    <m/>
    <m/>
    <s v="PN1792131936001"/>
    <s v="SIATILOGISTICS S.A."/>
    <n v="407.89"/>
    <m/>
    <n v="407.89"/>
    <x v="10"/>
    <n v="36802.83"/>
    <s v="407.89"/>
    <s v="pquishpe"/>
    <n v="0"/>
    <m/>
    <m/>
    <m/>
    <m/>
    <m/>
  </r>
  <r>
    <x v="8"/>
    <x v="8"/>
    <d v="2022-12-07T00:00:00"/>
    <d v="2022-12-07T00:00:00"/>
    <s v="FPQ"/>
    <s v="TT 6179"/>
    <n v="110710"/>
    <s v="LIQ. ADUANA 43542194 IMP #406 BAOSTEEL"/>
    <m/>
    <m/>
    <s v="PN1760013480001"/>
    <s v="SERVICIO NACIONAL DE ADUANA DEL ECUADOR"/>
    <n v="393.1"/>
    <m/>
    <n v="393.1"/>
    <x v="10"/>
    <n v="37195.93"/>
    <s v="0.00"/>
    <s v="pquishpe"/>
    <n v="0"/>
    <m/>
    <m/>
    <m/>
    <m/>
    <m/>
  </r>
  <r>
    <x v="8"/>
    <x v="8"/>
    <d v="2022-12-09T00:00:00"/>
    <d v="2023-02-07T00:00:00"/>
    <s v="FE001"/>
    <s v="TT 100008781"/>
    <n v="110134"/>
    <s v="FC000052264 IMP #418 COORDINACION Y DESPACHO"/>
    <m/>
    <m/>
    <s v="PN0992705469001"/>
    <s v="STARCARGO CIA. LTDA"/>
    <n v="255"/>
    <m/>
    <n v="255"/>
    <x v="10"/>
    <n v="37450.93"/>
    <s v="0.00"/>
    <s v="pquishpe"/>
    <n v="0"/>
    <m/>
    <m/>
    <m/>
    <m/>
    <m/>
  </r>
  <r>
    <x v="8"/>
    <x v="8"/>
    <d v="2022-12-09T00:00:00"/>
    <d v="2022-12-09T00:00:00"/>
    <s v="FPQ"/>
    <s v="TT 6184"/>
    <n v="110975"/>
    <s v="LIQ. ADUANA 43563529 IMP #425 FIKE"/>
    <m/>
    <m/>
    <s v="PN1760013480001"/>
    <s v="SERVICIO NACIONAL DE ADUANA DEL ECUADOR"/>
    <n v="1322.45"/>
    <m/>
    <n v="1322.45"/>
    <x v="10"/>
    <n v="38773.379999999997"/>
    <s v="1322.45"/>
    <s v="pquishpe"/>
    <n v="0"/>
    <m/>
    <m/>
    <m/>
    <m/>
    <m/>
  </r>
  <r>
    <x v="8"/>
    <x v="8"/>
    <d v="2022-12-12T00:00:00"/>
    <d v="2023-02-10T00:00:00"/>
    <s v="FE001"/>
    <s v="TT 100008834"/>
    <n v="110495"/>
    <s v="FC000052395 IMP #415 REEMBOLSO BODEGAJE"/>
    <m/>
    <m/>
    <s v="PN0992705469001"/>
    <s v="STARCARGO CIA. LTDA"/>
    <n v="270.02999999999997"/>
    <m/>
    <n v="270.02999999999997"/>
    <x v="10"/>
    <n v="39043.410000000003"/>
    <s v="0.00"/>
    <s v="pquishpe"/>
    <n v="0"/>
    <m/>
    <m/>
    <m/>
    <m/>
    <m/>
  </r>
  <r>
    <x v="8"/>
    <x v="8"/>
    <d v="2022-12-12T00:00:00"/>
    <d v="2022-12-12T00:00:00"/>
    <s v="PagEfect"/>
    <s v="PP 11905"/>
    <n v="110699"/>
    <s v="GASTOS BANCARIOS IMP #430 OMC RACCORDI"/>
    <m/>
    <m/>
    <n v="101010301"/>
    <s v="Banco Bolivariano"/>
    <n v="65"/>
    <m/>
    <n v="65"/>
    <x v="10"/>
    <n v="39108.410000000003"/>
    <s v="65.00"/>
    <s v="pquishpe"/>
    <n v="0"/>
    <m/>
    <m/>
    <m/>
    <m/>
    <m/>
  </r>
  <r>
    <x v="8"/>
    <x v="8"/>
    <d v="2022-12-12T00:00:00"/>
    <d v="2022-12-12T00:00:00"/>
    <s v="PagEfect"/>
    <s v="PP 11906"/>
    <n v="110700"/>
    <s v="PAGO ISD IMP #430 OMC RACCORDI"/>
    <m/>
    <m/>
    <n v="101010301"/>
    <s v="Banco Bolivariano"/>
    <n v="257.89999999999998"/>
    <m/>
    <n v="257.89999999999998"/>
    <x v="10"/>
    <n v="39366.31"/>
    <s v="257.90"/>
    <s v="pquishpe"/>
    <n v="0"/>
    <m/>
    <m/>
    <m/>
    <m/>
    <m/>
  </r>
  <r>
    <x v="8"/>
    <x v="8"/>
    <d v="2022-12-12T00:00:00"/>
    <d v="2022-12-12T00:00:00"/>
    <s v="FPQ"/>
    <s v="TT 6185"/>
    <n v="110977"/>
    <s v="LIQ. ADUANA 43577511 IMP #418 LINCOLN ELECTRIC"/>
    <m/>
    <m/>
    <s v="PN1760013480001"/>
    <s v="SERVICIO NACIONAL DE ADUANA DEL ECUADOR"/>
    <n v="15.8"/>
    <m/>
    <n v="15.8"/>
    <x v="10"/>
    <n v="39382.11"/>
    <s v="0.00"/>
    <s v="pquishpe"/>
    <n v="0"/>
    <m/>
    <m/>
    <m/>
    <m/>
    <m/>
  </r>
  <r>
    <x v="8"/>
    <x v="8"/>
    <d v="2022-12-12T00:00:00"/>
    <d v="2022-12-12T00:00:00"/>
    <s v="FPQ"/>
    <s v="TT 6186"/>
    <n v="110981"/>
    <s v="LIQ. ADUANA 43577453 IMP #415 ZHEJIANG"/>
    <m/>
    <m/>
    <s v="PN1760013480001"/>
    <s v="SERVICIO NACIONAL DE ADUANA DEL ECUADOR"/>
    <n v="2901.67"/>
    <m/>
    <n v="2901.67"/>
    <x v="10"/>
    <n v="42283.78"/>
    <s v="0.00"/>
    <s v="pquishpe"/>
    <n v="0"/>
    <m/>
    <m/>
    <m/>
    <m/>
    <m/>
  </r>
  <r>
    <x v="8"/>
    <x v="8"/>
    <d v="2022-12-13T00:00:00"/>
    <d v="2023-03-13T00:00:00"/>
    <s v="FE001"/>
    <s v="TT 100008822"/>
    <n v="110472"/>
    <s v="FC000023272 IMP #406 TRANSPORTE INTERNO"/>
    <m/>
    <m/>
    <s v="PN1792278767001"/>
    <s v="FAST TRUCK DEL ECUADOR COMPAÑIA DE RESPONSABILIDAD LIMITADA"/>
    <n v="4230"/>
    <m/>
    <n v="4230"/>
    <x v="10"/>
    <n v="46513.78"/>
    <s v="0.00"/>
    <s v="pquishpe"/>
    <n v="0"/>
    <m/>
    <m/>
    <m/>
    <m/>
    <m/>
  </r>
  <r>
    <x v="8"/>
    <x v="8"/>
    <d v="2022-12-13T00:00:00"/>
    <d v="2023-03-13T00:00:00"/>
    <s v="FE001"/>
    <s v="TT 100008823"/>
    <n v="110475"/>
    <s v="FC000023256 IMP#420 TRANSPORTE INTERNO"/>
    <m/>
    <s v="QUITO"/>
    <s v="PN1792278767001"/>
    <s v="FAST TRUCK DEL ECUADOR COMPAÑIA DE RESPONSABILIDAD LIMITADA"/>
    <n v="750"/>
    <m/>
    <n v="750"/>
    <x v="10"/>
    <n v="47263.78"/>
    <s v="0.00"/>
    <s v="pquishpe"/>
    <n v="0"/>
    <m/>
    <s v="QUITO-PICHINCHA"/>
    <m/>
    <m/>
    <m/>
  </r>
  <r>
    <x v="8"/>
    <x v="8"/>
    <d v="2022-12-13T00:00:00"/>
    <d v="2023-03-13T00:00:00"/>
    <s v="FE001"/>
    <s v="TT 100008826"/>
    <n v="110479"/>
    <s v="FC000125323 IMP #420 REEMBOLSO ALMACENAJE"/>
    <m/>
    <m/>
    <s v="PN1790952150001"/>
    <s v="SCHRYVER DEL ECUADOR S.A"/>
    <n v="171.78"/>
    <m/>
    <n v="171.78"/>
    <x v="10"/>
    <n v="47435.56"/>
    <s v="0.00"/>
    <s v="pquishpe"/>
    <n v="0"/>
    <m/>
    <m/>
    <m/>
    <m/>
    <m/>
  </r>
  <r>
    <x v="8"/>
    <x v="8"/>
    <d v="2022-12-13T00:00:00"/>
    <d v="2023-03-13T00:00:00"/>
    <s v="FE001"/>
    <s v="TT 100008827"/>
    <n v="110480"/>
    <s v="FC000125322 IMP #420 MANEJO DESTINO GASTOS LOCALES"/>
    <m/>
    <m/>
    <s v="PN1790952150001"/>
    <s v="SCHRYVER DEL ECUADOR S.A"/>
    <n v="1225.3599999999999"/>
    <m/>
    <n v="1225.3599999999999"/>
    <x v="10"/>
    <n v="48660.92"/>
    <s v="0.00"/>
    <s v="pquishpe"/>
    <n v="0"/>
    <m/>
    <m/>
    <m/>
    <m/>
    <m/>
  </r>
  <r>
    <x v="8"/>
    <x v="8"/>
    <d v="2022-12-13T00:00:00"/>
    <d v="2023-03-13T00:00:00"/>
    <s v="FE001"/>
    <s v="TT 100008828"/>
    <n v="110481"/>
    <s v="FC000125324 IMP #420 FLETE INTERNACIONAL MANEJO Y"/>
    <m/>
    <m/>
    <s v="PN1790952150001"/>
    <s v="SCHRYVER DEL ECUADOR S.A"/>
    <n v="7009.2"/>
    <m/>
    <n v="7009.2"/>
    <x v="10"/>
    <n v="55670.12"/>
    <s v="0.00"/>
    <s v="pquishpe"/>
    <n v="0"/>
    <m/>
    <m/>
    <m/>
    <m/>
    <m/>
  </r>
  <r>
    <x v="8"/>
    <x v="8"/>
    <d v="2022-12-13T00:00:00"/>
    <d v="2023-02-13T00:00:00"/>
    <s v="FE001"/>
    <s v="TT 100008829"/>
    <n v="110483"/>
    <s v="FC000052472 IMP #423 MANEJO DE GUIA MANEJO LOCAL"/>
    <m/>
    <m/>
    <s v="PN0992705469001"/>
    <s v="STARCARGO CIA. LTDA"/>
    <n v="160"/>
    <m/>
    <n v="160"/>
    <x v="10"/>
    <n v="55830.12"/>
    <s v="0.00"/>
    <s v="pquishpe"/>
    <n v="0"/>
    <m/>
    <m/>
    <m/>
    <m/>
    <m/>
  </r>
  <r>
    <x v="8"/>
    <x v="8"/>
    <d v="2022-12-13T00:00:00"/>
    <d v="2023-02-13T00:00:00"/>
    <s v="FE001"/>
    <s v="TT 100008830"/>
    <n v="110484"/>
    <s v="FC000052473 IMP #423 COORDINACION Y DESPACHO"/>
    <m/>
    <m/>
    <s v="PN0992705469001"/>
    <s v="STARCARGO CIA. LTDA"/>
    <n v="212.5"/>
    <m/>
    <n v="212.5"/>
    <x v="10"/>
    <n v="56042.62"/>
    <s v="0.00"/>
    <s v="pquishpe"/>
    <n v="0"/>
    <m/>
    <m/>
    <m/>
    <m/>
    <m/>
  </r>
  <r>
    <x v="8"/>
    <x v="8"/>
    <d v="2022-12-13T00:00:00"/>
    <d v="2023-02-13T00:00:00"/>
    <s v="FE001"/>
    <s v="TT 100008831"/>
    <n v="110485"/>
    <s v="FC000052454 IMP #418 COORDINACION Y LOGISTICA"/>
    <m/>
    <s v="QUITO"/>
    <s v="PN0992705469001"/>
    <s v="STARCARGO CIA. LTDA"/>
    <n v="250"/>
    <m/>
    <n v="250"/>
    <x v="10"/>
    <n v="56292.62"/>
    <s v="0.00"/>
    <s v="pquishpe"/>
    <n v="0"/>
    <m/>
    <s v="QUITO-PICHINCHA"/>
    <m/>
    <m/>
    <m/>
  </r>
  <r>
    <x v="8"/>
    <x v="8"/>
    <d v="2022-12-13T00:00:00"/>
    <d v="2023-02-13T00:00:00"/>
    <s v="FE001"/>
    <s v="TT 100008832"/>
    <n v="110486"/>
    <s v="FC000052453 IMP #418 REEMBOLSO BODEGAJE"/>
    <m/>
    <m/>
    <s v="PN0992705469001"/>
    <s v="STARCARGO CIA. LTDA"/>
    <n v="41.07"/>
    <m/>
    <n v="41.07"/>
    <x v="10"/>
    <n v="56333.69"/>
    <s v="0.00"/>
    <s v="pquishpe"/>
    <n v="0"/>
    <m/>
    <m/>
    <m/>
    <m/>
    <m/>
  </r>
  <r>
    <x v="8"/>
    <x v="8"/>
    <d v="2022-12-13T00:00:00"/>
    <d v="2023-02-13T00:00:00"/>
    <s v="FE001"/>
    <s v="TT 100008833"/>
    <n v="110494"/>
    <s v="FC000052455 IMP #415 COORDINACION Y LOGISTICA"/>
    <m/>
    <m/>
    <s v="PN0992705469001"/>
    <s v="STARCARGO CIA. LTDA"/>
    <n v="680"/>
    <m/>
    <n v="680"/>
    <x v="10"/>
    <n v="57013.69"/>
    <s v="0.00"/>
    <s v="pquishpe"/>
    <n v="0"/>
    <m/>
    <m/>
    <m/>
    <m/>
    <m/>
  </r>
  <r>
    <x v="8"/>
    <x v="8"/>
    <d v="2022-12-13T00:00:00"/>
    <d v="2023-02-13T00:00:00"/>
    <s v="FPQ"/>
    <s v="TT 6174"/>
    <n v="110639"/>
    <s v="RECIBO UP5975-01 IMP #423 FLETE AEREO"/>
    <m/>
    <s v="QUITO"/>
    <s v="PN0992705469001"/>
    <s v="STARCARGO CIA. LTDA"/>
    <n v="855.8"/>
    <m/>
    <n v="855.8"/>
    <x v="10"/>
    <n v="57869.49"/>
    <s v="0.00"/>
    <s v="pquishpe"/>
    <n v="0"/>
    <m/>
    <s v="QUITO-PICHINCHA"/>
    <m/>
    <m/>
    <m/>
  </r>
  <r>
    <x v="8"/>
    <x v="8"/>
    <d v="2022-12-13T00:00:00"/>
    <d v="2022-12-13T00:00:00"/>
    <s v="PagEfect"/>
    <s v="PP 11941"/>
    <n v="110961"/>
    <s v="GASTOS BANCARIOS IMP #431 DORRENBERG EDELSTAHL GMB"/>
    <m/>
    <m/>
    <n v="101010306"/>
    <s v="Banco Internacional"/>
    <n v="132"/>
    <m/>
    <n v="132"/>
    <x v="10"/>
    <n v="58001.49"/>
    <s v="0.00"/>
    <s v="pquishpe"/>
    <n v="0"/>
    <m/>
    <m/>
    <m/>
    <m/>
    <m/>
  </r>
  <r>
    <x v="8"/>
    <x v="8"/>
    <d v="2022-12-13T00:00:00"/>
    <d v="2022-12-13T00:00:00"/>
    <s v="PagEfect"/>
    <s v="PP 11942"/>
    <n v="110962"/>
    <s v="PAGO ISD IMP #431 DORRENBERG EDELSTAHL GMBH"/>
    <m/>
    <m/>
    <n v="101010306"/>
    <s v="Banco Internacional"/>
    <n v="476.69"/>
    <m/>
    <n v="476.69"/>
    <x v="10"/>
    <n v="58478.18"/>
    <s v="476.69"/>
    <s v="pquishpe"/>
    <n v="0"/>
    <m/>
    <m/>
    <m/>
    <m/>
    <m/>
  </r>
  <r>
    <x v="8"/>
    <x v="8"/>
    <d v="2022-12-13T00:00:00"/>
    <d v="2022-12-13T00:00:00"/>
    <s v="PagEfect"/>
    <s v="PP 11944"/>
    <n v="110964"/>
    <s v="GASTOS BANCARIOS IMP #432 METALFAR"/>
    <m/>
    <m/>
    <n v="101010306"/>
    <s v="Banco Internacional"/>
    <n v="132"/>
    <m/>
    <n v="132"/>
    <x v="10"/>
    <n v="58610.18"/>
    <s v="0.00"/>
    <s v="pquishpe"/>
    <n v="0"/>
    <m/>
    <m/>
    <m/>
    <m/>
    <m/>
  </r>
  <r>
    <x v="8"/>
    <x v="8"/>
    <d v="2022-12-13T00:00:00"/>
    <d v="2022-12-13T00:00:00"/>
    <s v="PagEfect"/>
    <s v="PP 11945"/>
    <n v="110965"/>
    <s v="PAGO ISD IMP #432 METALFAR"/>
    <m/>
    <m/>
    <n v="101010306"/>
    <s v="Banco Internacional"/>
    <n v="1540"/>
    <m/>
    <n v="1540"/>
    <x v="10"/>
    <n v="60150.18"/>
    <s v="0.00"/>
    <s v="pquishpe"/>
    <n v="0"/>
    <m/>
    <m/>
    <m/>
    <m/>
    <m/>
  </r>
  <r>
    <x v="8"/>
    <x v="8"/>
    <d v="2022-12-13T00:00:00"/>
    <d v="2022-12-13T00:00:00"/>
    <s v="PagEfect"/>
    <s v="PP 11941"/>
    <n v="111577"/>
    <s v="Cancelar entrada para número de pago 11941"/>
    <m/>
    <m/>
    <n v="101010306"/>
    <s v="Banco Internacional"/>
    <m/>
    <n v="132"/>
    <n v="-132"/>
    <x v="10"/>
    <n v="60018.18"/>
    <s v="0.00"/>
    <s v="pquishpe"/>
    <n v="0"/>
    <m/>
    <m/>
    <m/>
    <m/>
    <m/>
  </r>
  <r>
    <x v="8"/>
    <x v="8"/>
    <d v="2022-12-13T00:00:00"/>
    <d v="2022-12-13T00:00:00"/>
    <s v="PagEfect"/>
    <s v="PP 12018"/>
    <n v="111578"/>
    <s v="GASTOS BANCARIOS IMP #431 DORRENBERG EDELSTAHL"/>
    <m/>
    <m/>
    <n v="101010306"/>
    <s v="Banco Internacional"/>
    <n v="120"/>
    <m/>
    <n v="120"/>
    <x v="10"/>
    <n v="60138.18"/>
    <s v="120.00"/>
    <s v="pquishpe"/>
    <n v="0"/>
    <m/>
    <m/>
    <m/>
    <m/>
    <m/>
  </r>
  <r>
    <x v="8"/>
    <x v="8"/>
    <d v="2022-12-13T00:00:00"/>
    <d v="2022-12-13T00:00:00"/>
    <s v="PagEfect"/>
    <s v="PP 11944"/>
    <n v="111582"/>
    <s v="Cancelar entrada para número de pago 11944"/>
    <m/>
    <m/>
    <n v="101010306"/>
    <s v="Banco Internacional"/>
    <m/>
    <n v="132"/>
    <n v="-132"/>
    <x v="10"/>
    <n v="60006.18"/>
    <s v="0.00"/>
    <s v="pquishpe"/>
    <n v="0"/>
    <m/>
    <m/>
    <m/>
    <m/>
    <m/>
  </r>
  <r>
    <x v="8"/>
    <x v="8"/>
    <d v="2022-12-13T00:00:00"/>
    <d v="2022-12-13T00:00:00"/>
    <s v="PagEfect"/>
    <s v="PP 12019"/>
    <n v="111586"/>
    <s v="GASTOS BANCARIOS IMP #432 METALFAR"/>
    <m/>
    <m/>
    <n v="101010306"/>
    <s v="Banco Internacional"/>
    <n v="120"/>
    <m/>
    <n v="120"/>
    <x v="10"/>
    <n v="60126.18"/>
    <s v="0.00"/>
    <s v="pquishpe"/>
    <n v="0"/>
    <m/>
    <m/>
    <m/>
    <m/>
    <m/>
  </r>
  <r>
    <x v="8"/>
    <x v="8"/>
    <d v="2022-12-14T00:00:00"/>
    <d v="2023-01-30T00:00:00"/>
    <s v="FE001"/>
    <s v="TT 100008824"/>
    <n v="110477"/>
    <s v="FC000035864 IMP #425 SERVICIO DE BODEGAJE"/>
    <m/>
    <m/>
    <s v="PN1792492890001"/>
    <s v="SIATIADUANAS SA"/>
    <n v="259.39999999999998"/>
    <m/>
    <n v="259.39999999999998"/>
    <x v="10"/>
    <n v="60385.58"/>
    <s v="259.40"/>
    <s v="pquishpe"/>
    <n v="0"/>
    <m/>
    <m/>
    <m/>
    <m/>
    <m/>
  </r>
  <r>
    <x v="8"/>
    <x v="8"/>
    <d v="2022-12-14T00:00:00"/>
    <d v="2023-03-14T00:00:00"/>
    <s v="FE001"/>
    <s v="TT 100008825"/>
    <n v="110478"/>
    <s v="FC000125353 IMP #406 SERVICIO LOGISTICO Y ALMACENA"/>
    <m/>
    <s v="QUITO"/>
    <s v="PN1790952150001"/>
    <s v="SCHRYVER DEL ECUADOR S.A"/>
    <n v="798.63"/>
    <m/>
    <n v="798.63"/>
    <x v="10"/>
    <n v="61184.21"/>
    <s v="0.00"/>
    <s v="pquishpe"/>
    <n v="0"/>
    <m/>
    <s v="QUITO-PICHINCHA"/>
    <m/>
    <m/>
    <m/>
  </r>
  <r>
    <x v="8"/>
    <x v="8"/>
    <d v="2022-12-14T00:00:00"/>
    <d v="2022-12-14T00:00:00"/>
    <s v="FPQ"/>
    <s v="TT 6178"/>
    <n v="110707"/>
    <s v="LIQ. ADUANA 43593070 IMP #423 DKLOK LINCOLN"/>
    <m/>
    <m/>
    <s v="PN1760013480001"/>
    <s v="SERVICIO NACIONAL DE ADUANA DEL ECUADOR"/>
    <n v="94.07"/>
    <m/>
    <n v="94.07"/>
    <x v="10"/>
    <n v="61278.28"/>
    <s v="0.00"/>
    <s v="pquishpe"/>
    <n v="0"/>
    <m/>
    <m/>
    <m/>
    <m/>
    <m/>
  </r>
  <r>
    <x v="8"/>
    <x v="8"/>
    <d v="2022-12-15T00:00:00"/>
    <d v="2022-12-15T00:00:00"/>
    <s v="FPQ"/>
    <s v="TT 6187"/>
    <n v="111153"/>
    <s v="LIQ. ADUANA 43597612 IMP #426 LINCOLN ELECTRIC"/>
    <m/>
    <m/>
    <s v="PN1760013480001"/>
    <s v="SERVICIO NACIONAL DE ADUANA DEL ECUADOR"/>
    <n v="4.2699999999999996"/>
    <m/>
    <n v="4.2699999999999996"/>
    <x v="10"/>
    <n v="61282.55"/>
    <s v="0.00"/>
    <s v="pquishpe"/>
    <n v="0"/>
    <m/>
    <m/>
    <m/>
    <m/>
    <m/>
  </r>
  <r>
    <x v="8"/>
    <x v="8"/>
    <d v="2022-12-16T00:00:00"/>
    <d v="2023-02-14T00:00:00"/>
    <s v="FE001"/>
    <s v="TT 100008845"/>
    <n v="110609"/>
    <s v="FC535199 IMP #440 FLETE COURIER SERVICIO RAYOS X"/>
    <m/>
    <m/>
    <s v="PN1791903013001"/>
    <s v="SIATIEXPRESS CIA. LTDA."/>
    <n v="116.71"/>
    <m/>
    <n v="116.71"/>
    <x v="10"/>
    <n v="61399.26"/>
    <s v="0.00"/>
    <s v="pquishpe"/>
    <n v="0"/>
    <m/>
    <m/>
    <m/>
    <m/>
    <m/>
  </r>
  <r>
    <x v="8"/>
    <x v="8"/>
    <d v="2022-12-16T00:00:00"/>
    <d v="2023-02-14T00:00:00"/>
    <s v="FE001"/>
    <s v="TT 100008846"/>
    <n v="110612"/>
    <s v="FC000052599 IMP #423 REEMBOLSO POR BODEGAJE  LOCAL"/>
    <m/>
    <m/>
    <s v="PN0992705469001"/>
    <s v="STARCARGO CIA. LTDA"/>
    <n v="63.54"/>
    <m/>
    <n v="63.54"/>
    <x v="10"/>
    <n v="61462.8"/>
    <s v="0.00"/>
    <s v="pquishpe"/>
    <n v="0"/>
    <m/>
    <m/>
    <m/>
    <m/>
    <m/>
  </r>
  <r>
    <x v="8"/>
    <x v="8"/>
    <d v="2022-12-19T00:00:00"/>
    <d v="2022-12-19T00:00:00"/>
    <s v="FPQ"/>
    <s v="TT 6169"/>
    <n v="110377"/>
    <s v="IMP 415"/>
    <m/>
    <m/>
    <s v="PE0000000099"/>
    <s v="ZHEJIANG JUNYUE STANDARD PART CO.  LTD."/>
    <n v="16739"/>
    <m/>
    <n v="16739"/>
    <x v="10"/>
    <n v="78201.8"/>
    <s v="0.00"/>
    <s v="atayupa"/>
    <n v="0"/>
    <m/>
    <m/>
    <m/>
    <m/>
    <m/>
  </r>
  <r>
    <x v="8"/>
    <x v="8"/>
    <d v="2022-12-19T00:00:00"/>
    <d v="2022-12-19T00:00:00"/>
    <s v="Primario"/>
    <s v="EP 6497"/>
    <n v="110378"/>
    <s v="Pedido de entrada de mercancías - PE0000000099"/>
    <m/>
    <m/>
    <n v="101060408"/>
    <s v="Inventario de prod. term. y mercad. en Bodega importaciones"/>
    <m/>
    <n v="16739"/>
    <n v="-16739"/>
    <x v="9"/>
    <n v="61462.8"/>
    <s v="0.00"/>
    <s v="atayupa"/>
    <n v="0"/>
    <m/>
    <m/>
    <m/>
    <m/>
    <m/>
  </r>
  <r>
    <x v="8"/>
    <x v="8"/>
    <d v="2022-12-19T00:00:00"/>
    <d v="2022-12-19T00:00:00"/>
    <s v="FPQ"/>
    <s v="TT 6170"/>
    <n v="110381"/>
    <s v="imp 415"/>
    <m/>
    <m/>
    <s v="PE0000000074"/>
    <s v="HANGZHOU LINAN DA YANG WELDING MATERIAL CO.LTD"/>
    <n v="12195"/>
    <m/>
    <n v="12195"/>
    <x v="10"/>
    <n v="73657.8"/>
    <s v="0.00"/>
    <s v="atayupa"/>
    <n v="0"/>
    <m/>
    <m/>
    <m/>
    <m/>
    <m/>
  </r>
  <r>
    <x v="8"/>
    <x v="8"/>
    <d v="2022-12-19T00:00:00"/>
    <d v="2022-12-19T00:00:00"/>
    <s v="Primario"/>
    <s v="EP 6498"/>
    <n v="110383"/>
    <s v="Pedido de entrada de mercancías - PE0000000074"/>
    <m/>
    <m/>
    <n v="101060408"/>
    <s v="Inventario de prod. term. y mercad. en Bodega importaciones"/>
    <m/>
    <n v="12195"/>
    <n v="-12195"/>
    <x v="9"/>
    <n v="61462.8"/>
    <s v="0.00"/>
    <s v="atayupa"/>
    <n v="0"/>
    <m/>
    <m/>
    <m/>
    <m/>
    <m/>
  </r>
  <r>
    <x v="8"/>
    <x v="8"/>
    <d v="2022-12-19T00:00:00"/>
    <d v="2022-12-19T00:00:00"/>
    <s v="Primario"/>
    <s v="DI 432"/>
    <n v="110385"/>
    <s v="Precio de entrega 432"/>
    <m/>
    <m/>
    <n v="101060408"/>
    <s v="Inventario de prod. term. y mercad. en Bodega importaciones"/>
    <m/>
    <n v="6298.81"/>
    <n v="-6298.81"/>
    <x v="9"/>
    <n v="55163.99"/>
    <s v="0.00"/>
    <s v="atayupa"/>
    <n v="0"/>
    <m/>
    <m/>
    <m/>
    <m/>
    <m/>
  </r>
  <r>
    <x v="8"/>
    <x v="8"/>
    <d v="2022-12-19T00:00:00"/>
    <d v="2023-02-17T00:00:00"/>
    <s v="FE001"/>
    <s v="TT 100008835"/>
    <n v="110496"/>
    <s v="FC000017358 SUMINISTROS DE OFICINA"/>
    <m/>
    <s v="QUITO"/>
    <s v="PN1790963489001"/>
    <s v="CORPORACION ECUATORIANA DE SUMINISTROS SUMECOR"/>
    <n v="69.819999999999993"/>
    <m/>
    <n v="69.819999999999993"/>
    <x v="10"/>
    <n v="55233.81"/>
    <s v="69.82"/>
    <s v="pquishpe"/>
    <n v="0"/>
    <m/>
    <s v="QUITO-PICHINCHA"/>
    <m/>
    <m/>
    <m/>
  </r>
  <r>
    <x v="8"/>
    <x v="8"/>
    <d v="2022-12-19T00:00:00"/>
    <d v="2022-12-19T00:00:00"/>
    <s v="PagEfect"/>
    <s v="PP 11947"/>
    <n v="110968"/>
    <s v="GASTOS BANCARIOS IMP #450 DKLOK"/>
    <m/>
    <m/>
    <n v="101010306"/>
    <s v="Banco Internacional"/>
    <n v="115.4"/>
    <m/>
    <n v="115.4"/>
    <x v="10"/>
    <n v="55349.21"/>
    <s v="0.00"/>
    <s v="pquishpe"/>
    <n v="0"/>
    <m/>
    <m/>
    <m/>
    <m/>
    <m/>
  </r>
  <r>
    <x v="8"/>
    <x v="8"/>
    <d v="2022-12-19T00:00:00"/>
    <d v="2022-12-19T00:00:00"/>
    <s v="PagEfect"/>
    <s v="PP 11948"/>
    <n v="110969"/>
    <s v="PAGO ISD IMP #450 DKLOK"/>
    <m/>
    <m/>
    <n v="101010306"/>
    <s v="Banco Internacional"/>
    <n v="302.57"/>
    <m/>
    <n v="302.57"/>
    <x v="10"/>
    <n v="55651.78"/>
    <s v="302.57"/>
    <s v="pquishpe"/>
    <n v="0"/>
    <m/>
    <m/>
    <m/>
    <m/>
    <m/>
  </r>
  <r>
    <x v="8"/>
    <x v="8"/>
    <d v="2022-12-19T00:00:00"/>
    <d v="2022-12-19T00:00:00"/>
    <s v="PagEfect"/>
    <s v="PP 11947"/>
    <n v="111587"/>
    <s v="Cancelar entrada para número de pago 11947"/>
    <m/>
    <m/>
    <n v="101010306"/>
    <s v="Banco Internacional"/>
    <m/>
    <n v="115.4"/>
    <n v="-115.4"/>
    <x v="10"/>
    <n v="55536.38"/>
    <s v="0.00"/>
    <s v="pquishpe"/>
    <n v="0"/>
    <m/>
    <m/>
    <m/>
    <m/>
    <m/>
  </r>
  <r>
    <x v="8"/>
    <x v="8"/>
    <d v="2022-12-19T00:00:00"/>
    <d v="2022-12-19T00:00:00"/>
    <s v="PagEfect"/>
    <s v="PP 12020"/>
    <n v="111590"/>
    <s v="GASTOS BANCARIOS IMP #450 DKLOK"/>
    <m/>
    <m/>
    <n v="101010306"/>
    <s v="Banco Internacional"/>
    <n v="105.18"/>
    <m/>
    <n v="105.18"/>
    <x v="10"/>
    <n v="55641.56"/>
    <s v="105.18"/>
    <s v="pquishpe"/>
    <n v="0"/>
    <m/>
    <m/>
    <m/>
    <m/>
    <m/>
  </r>
  <r>
    <x v="8"/>
    <x v="8"/>
    <d v="2022-12-19T00:00:00"/>
    <d v="2023-02-17T00:00:00"/>
    <s v="ASIENTOS"/>
    <s v="AS 112500"/>
    <n v="112500"/>
    <s v="FC000017358 SUMINISTROS DE OFICINA"/>
    <m/>
    <s v="QUITO"/>
    <n v="61030501"/>
    <s v="Suministros de oficina"/>
    <m/>
    <n v="69.819999999999993"/>
    <n v="-69.819999999999993"/>
    <x v="10"/>
    <n v="55571.74"/>
    <s v="-69.82"/>
    <s v="ptipant"/>
    <n v="0"/>
    <m/>
    <s v="QUITO-PICHINCHA"/>
    <m/>
    <m/>
    <m/>
  </r>
  <r>
    <x v="8"/>
    <x v="8"/>
    <d v="2022-12-20T00:00:00"/>
    <d v="2022-12-20T00:00:00"/>
    <s v="FPQ"/>
    <s v="TT 6171"/>
    <n v="110423"/>
    <s v="IMP 420"/>
    <m/>
    <m/>
    <s v="PE0000000019"/>
    <s v="METALFAR PRODOTTI INDUSTRIALI S.p.A."/>
    <n v="72667.62"/>
    <m/>
    <n v="72667.62"/>
    <x v="10"/>
    <n v="128239.36"/>
    <s v="0.00"/>
    <s v="atayupa"/>
    <n v="0"/>
    <m/>
    <m/>
    <m/>
    <m/>
    <m/>
  </r>
  <r>
    <x v="8"/>
    <x v="8"/>
    <d v="2022-12-20T00:00:00"/>
    <d v="2022-12-20T00:00:00"/>
    <s v="Primario"/>
    <s v="EP 6509"/>
    <n v="110429"/>
    <s v="Pedido de entrada de mercancías - PE0000000019"/>
    <m/>
    <m/>
    <n v="101060408"/>
    <s v="Inventario de prod. term. y mercad. en Bodega importaciones"/>
    <m/>
    <n v="72667.62"/>
    <n v="-72667.62"/>
    <x v="9"/>
    <n v="55571.74"/>
    <s v="0.00"/>
    <s v="atayupa"/>
    <n v="0"/>
    <m/>
    <m/>
    <m/>
    <m/>
    <m/>
  </r>
  <r>
    <x v="8"/>
    <x v="8"/>
    <d v="2022-12-20T00:00:00"/>
    <d v="2022-12-20T00:00:00"/>
    <s v="Primario"/>
    <s v="DI 433"/>
    <n v="110433"/>
    <s v="Precio de entrega 433"/>
    <m/>
    <m/>
    <n v="101060408"/>
    <s v="Inventario de prod. term. y mercad. en Bodega importaciones"/>
    <m/>
    <n v="12733.46"/>
    <n v="-12733.46"/>
    <x v="9"/>
    <n v="42838.28"/>
    <s v="0.00"/>
    <s v="atayupa"/>
    <n v="0"/>
    <m/>
    <m/>
    <m/>
    <m/>
    <m/>
  </r>
  <r>
    <x v="8"/>
    <x v="8"/>
    <d v="2022-12-20T00:00:00"/>
    <d v="2022-12-20T00:00:00"/>
    <s v="PagEfect"/>
    <s v="PP 11951"/>
    <n v="110973"/>
    <s v="GASTOS BANCARIOS IMP #451 HANGZHOULIN"/>
    <m/>
    <m/>
    <n v="101010301"/>
    <s v="Banco Bolivariano"/>
    <n v="50"/>
    <m/>
    <n v="50"/>
    <x v="10"/>
    <n v="42888.28"/>
    <s v="50.00"/>
    <s v="pquishpe"/>
    <n v="0"/>
    <m/>
    <m/>
    <m/>
    <m/>
    <m/>
  </r>
  <r>
    <x v="8"/>
    <x v="8"/>
    <d v="2022-12-21T00:00:00"/>
    <d v="2022-12-21T00:00:00"/>
    <s v="FPQ"/>
    <s v="TT 6172"/>
    <n v="110533"/>
    <s v="imp 407"/>
    <m/>
    <m/>
    <s v="PE0000000044"/>
    <s v="Bray Controls Andina, Ltda."/>
    <n v="1431.31"/>
    <m/>
    <n v="1431.31"/>
    <x v="10"/>
    <n v="44319.59"/>
    <s v="0.00"/>
    <s v="atayupa"/>
    <n v="0"/>
    <m/>
    <m/>
    <m/>
    <m/>
    <m/>
  </r>
  <r>
    <x v="8"/>
    <x v="8"/>
    <d v="2022-12-21T00:00:00"/>
    <d v="2022-12-21T00:00:00"/>
    <s v="FPQ"/>
    <s v="TT 6173"/>
    <n v="110536"/>
    <s v="imp 407"/>
    <m/>
    <m/>
    <s v="PE0000000077"/>
    <s v="LINCOLN SOLDADURAS DE COLOMBIA LTDA"/>
    <n v="13894.04"/>
    <m/>
    <n v="13894.04"/>
    <x v="10"/>
    <n v="58213.63"/>
    <s v="0.00"/>
    <s v="atayupa"/>
    <n v="0"/>
    <m/>
    <m/>
    <m/>
    <m/>
    <m/>
  </r>
  <r>
    <x v="8"/>
    <x v="8"/>
    <d v="2022-12-21T00:00:00"/>
    <d v="2022-12-21T00:00:00"/>
    <s v="FPQ"/>
    <s v="TT 6173"/>
    <n v="110536"/>
    <s v="imp 407"/>
    <m/>
    <m/>
    <s v="PE0000000077"/>
    <s v="LINCOLN SOLDADURAS DE COLOMBIA LTDA"/>
    <n v="650"/>
    <m/>
    <n v="650"/>
    <x v="10"/>
    <n v="58863.63"/>
    <s v="0.00"/>
    <s v="atayupa"/>
    <n v="0"/>
    <m/>
    <m/>
    <m/>
    <m/>
    <m/>
  </r>
  <r>
    <x v="8"/>
    <x v="8"/>
    <d v="2022-12-21T00:00:00"/>
    <d v="2022-12-21T00:00:00"/>
    <s v="Primario"/>
    <s v="EP 6517"/>
    <n v="110540"/>
    <s v="Pedido de entrada de mercancías - PE0000000077"/>
    <m/>
    <m/>
    <n v="101060408"/>
    <s v="Inventario de prod. term. y mercad. en Bodega importaciones"/>
    <m/>
    <n v="13894.04"/>
    <n v="-13894.04"/>
    <x v="9"/>
    <n v="44969.59"/>
    <s v="0.00"/>
    <s v="atayupa"/>
    <n v="0"/>
    <m/>
    <m/>
    <m/>
    <m/>
    <m/>
  </r>
  <r>
    <x v="8"/>
    <x v="8"/>
    <d v="2022-12-21T00:00:00"/>
    <d v="2022-12-21T00:00:00"/>
    <s v="Primario"/>
    <s v="EP 6518"/>
    <n v="110542"/>
    <s v="Pedido de entrada de mercancías - PE0000000044"/>
    <m/>
    <m/>
    <n v="101060408"/>
    <s v="Inventario de prod. term. y mercad. en Bodega importaciones"/>
    <m/>
    <n v="1431.31"/>
    <n v="-1431.31"/>
    <x v="9"/>
    <n v="43538.28"/>
    <s v="0.00"/>
    <s v="atayupa"/>
    <n v="0"/>
    <m/>
    <m/>
    <m/>
    <m/>
    <m/>
  </r>
  <r>
    <x v="8"/>
    <x v="8"/>
    <d v="2022-12-21T00:00:00"/>
    <d v="2022-12-21T00:00:00"/>
    <s v="Primario"/>
    <s v="DI 434"/>
    <n v="110548"/>
    <s v="Precio de entrega 434"/>
    <m/>
    <m/>
    <n v="101060408"/>
    <s v="Inventario de prod. term. y mercad. en Bodega importaciones"/>
    <m/>
    <n v="4753.21"/>
    <n v="-4753.21"/>
    <x v="9"/>
    <n v="38785.07"/>
    <s v="0.00"/>
    <s v="atayupa"/>
    <n v="0"/>
    <m/>
    <m/>
    <m/>
    <m/>
    <m/>
  </r>
  <r>
    <x v="8"/>
    <x v="8"/>
    <d v="2022-12-22T00:00:00"/>
    <d v="2022-12-22T00:00:00"/>
    <s v="FPQ"/>
    <s v="TT 6175"/>
    <n v="110655"/>
    <s v="imp 418"/>
    <m/>
    <m/>
    <s v="PE0000000094"/>
    <s v="LINCOLN ELECTRIC (TANGSHAN) WELDING MATERIALS CO., LTD"/>
    <n v="2340"/>
    <m/>
    <n v="2340"/>
    <x v="10"/>
    <n v="41125.07"/>
    <s v="0.00"/>
    <s v="atayupa"/>
    <n v="0"/>
    <m/>
    <m/>
    <m/>
    <m/>
    <m/>
  </r>
  <r>
    <x v="8"/>
    <x v="8"/>
    <d v="2022-12-22T00:00:00"/>
    <d v="2022-12-22T00:00:00"/>
    <s v="Primario"/>
    <s v="EP 6528"/>
    <n v="110656"/>
    <s v="Pedido de entrada de mercancías - PE0000000094"/>
    <m/>
    <m/>
    <n v="101060408"/>
    <s v="Inventario de prod. term. y mercad. en Bodega importaciones"/>
    <m/>
    <n v="2340"/>
    <n v="-2340"/>
    <x v="9"/>
    <n v="38785.07"/>
    <s v="0.00"/>
    <s v="atayupa"/>
    <n v="0"/>
    <m/>
    <m/>
    <m/>
    <m/>
    <m/>
  </r>
  <r>
    <x v="8"/>
    <x v="8"/>
    <d v="2022-12-22T00:00:00"/>
    <d v="2022-12-22T00:00:00"/>
    <s v="Primario"/>
    <s v="DI 435"/>
    <n v="110657"/>
    <s v="Precio de entrega 435"/>
    <m/>
    <m/>
    <n v="101060408"/>
    <s v="Inventario de prod. term. y mercad. en Bodega importaciones"/>
    <m/>
    <n v="1883.53"/>
    <n v="-1883.53"/>
    <x v="9"/>
    <n v="36901.54"/>
    <s v="0.00"/>
    <s v="atayupa"/>
    <n v="0"/>
    <m/>
    <m/>
    <m/>
    <m/>
    <m/>
  </r>
  <r>
    <x v="8"/>
    <x v="8"/>
    <d v="2022-12-22T00:00:00"/>
    <d v="2022-12-22T00:00:00"/>
    <s v="PagEfect"/>
    <s v="PP 12003"/>
    <n v="111293"/>
    <s v="GASTOS BANCARIOS IMP #407 LINCOLN SOLDADURAS COLOM"/>
    <m/>
    <m/>
    <n v="101010306"/>
    <s v="Banco Internacional"/>
    <n v="132"/>
    <m/>
    <n v="132"/>
    <x v="10"/>
    <n v="37033.54"/>
    <s v="0.00"/>
    <s v="pquishpe"/>
    <n v="0"/>
    <m/>
    <m/>
    <m/>
    <m/>
    <m/>
  </r>
  <r>
    <x v="8"/>
    <x v="8"/>
    <d v="2022-12-22T00:00:00"/>
    <d v="2022-12-22T00:00:00"/>
    <s v="PagEfect"/>
    <s v="PP 12004"/>
    <n v="111295"/>
    <s v="PAGO ISD IMP #407 LINCOLN SOLDADURAS DE COLOMBIA"/>
    <m/>
    <m/>
    <n v="101010306"/>
    <s v="Banco Internacional"/>
    <n v="581.76"/>
    <m/>
    <n v="581.76"/>
    <x v="10"/>
    <n v="37615.300000000003"/>
    <s v="0.00"/>
    <s v="pquishpe"/>
    <n v="0"/>
    <m/>
    <m/>
    <m/>
    <m/>
    <m/>
  </r>
  <r>
    <x v="8"/>
    <x v="8"/>
    <d v="2022-12-22T00:00:00"/>
    <d v="2022-12-22T00:00:00"/>
    <s v="PagEfect"/>
    <s v="PP 12003"/>
    <n v="111591"/>
    <s v="Cancelar entrada para número de pago 12003"/>
    <m/>
    <m/>
    <n v="101010306"/>
    <s v="Banco Internacional"/>
    <m/>
    <n v="132"/>
    <n v="-132"/>
    <x v="10"/>
    <n v="37483.300000000003"/>
    <s v="0.00"/>
    <s v="pquishpe"/>
    <n v="0"/>
    <m/>
    <m/>
    <m/>
    <m/>
    <m/>
  </r>
  <r>
    <x v="8"/>
    <x v="8"/>
    <d v="2022-12-22T00:00:00"/>
    <d v="2022-12-22T00:00:00"/>
    <s v="PagEfect"/>
    <s v="PP 12021"/>
    <n v="111592"/>
    <s v="GASTOS BANCARIOS IMP #407 LINCOLN SOLDADURAS COLOM"/>
    <m/>
    <m/>
    <n v="101010306"/>
    <s v="Banco Internacional"/>
    <n v="120"/>
    <m/>
    <n v="120"/>
    <x v="10"/>
    <n v="37603.300000000003"/>
    <s v="0.00"/>
    <s v="pquishpe"/>
    <n v="0"/>
    <m/>
    <m/>
    <m/>
    <m/>
    <m/>
  </r>
  <r>
    <x v="8"/>
    <x v="8"/>
    <d v="2022-12-27T00:00:00"/>
    <d v="2022-12-27T00:00:00"/>
    <s v="FPQ"/>
    <s v="TT 6180"/>
    <n v="110718"/>
    <s v="imp 423"/>
    <m/>
    <m/>
    <s v="PE0000000010"/>
    <s v="DK LOK Fittings &amp; Valves"/>
    <n v="17510.04"/>
    <m/>
    <n v="17510.04"/>
    <x v="10"/>
    <n v="55113.34"/>
    <s v="0.00"/>
    <s v="atayupa"/>
    <n v="0"/>
    <m/>
    <m/>
    <m/>
    <m/>
    <m/>
  </r>
  <r>
    <x v="8"/>
    <x v="8"/>
    <d v="2022-12-27T00:00:00"/>
    <d v="2022-12-27T00:00:00"/>
    <s v="FPQ"/>
    <s v="TT 6180"/>
    <n v="110718"/>
    <s v="imp 423"/>
    <m/>
    <m/>
    <s v="PE0000000010"/>
    <s v="DK LOK Fittings &amp; Valves"/>
    <n v="325"/>
    <m/>
    <n v="325"/>
    <x v="10"/>
    <n v="55438.34"/>
    <s v="325.00"/>
    <s v="atayupa"/>
    <n v="0"/>
    <m/>
    <m/>
    <m/>
    <m/>
    <m/>
  </r>
  <r>
    <x v="8"/>
    <x v="8"/>
    <d v="2022-12-27T00:00:00"/>
    <d v="2022-12-27T00:00:00"/>
    <s v="FPQ"/>
    <s v="TT 6181"/>
    <n v="110719"/>
    <s v="imp 423"/>
    <m/>
    <m/>
    <s v="PE0000000081"/>
    <s v="LINCOLN ELECTRIC HOLDINGS, INC."/>
    <n v="154.63999999999999"/>
    <m/>
    <n v="154.63999999999999"/>
    <x v="10"/>
    <n v="55592.98"/>
    <s v="0.00"/>
    <s v="atayupa"/>
    <n v="0"/>
    <m/>
    <m/>
    <m/>
    <m/>
    <m/>
  </r>
  <r>
    <x v="8"/>
    <x v="8"/>
    <d v="2022-12-27T00:00:00"/>
    <d v="2022-12-27T00:00:00"/>
    <s v="Primario"/>
    <s v="EP 6531"/>
    <n v="110721"/>
    <s v="Pedido de entrada de mercancías - PE0000000010"/>
    <m/>
    <m/>
    <n v="101060408"/>
    <s v="Inventario de prod. term. y mercad. en Bodega importaciones"/>
    <m/>
    <n v="17510.04"/>
    <n v="-17510.04"/>
    <x v="9"/>
    <n v="38082.94"/>
    <s v="0.00"/>
    <s v="atayupa"/>
    <n v="0"/>
    <m/>
    <m/>
    <m/>
    <m/>
    <m/>
  </r>
  <r>
    <x v="8"/>
    <x v="8"/>
    <d v="2022-12-27T00:00:00"/>
    <d v="2022-12-27T00:00:00"/>
    <s v="Primario"/>
    <s v="EP 6532"/>
    <n v="110723"/>
    <s v="Pedido de entrada de mercancías - PE0000000081"/>
    <m/>
    <m/>
    <n v="101060408"/>
    <s v="Inventario de prod. term. y mercad. en Bodega importaciones"/>
    <m/>
    <n v="154.63999999999999"/>
    <n v="-154.63999999999999"/>
    <x v="9"/>
    <n v="37928.300000000003"/>
    <s v="0.00"/>
    <s v="atayupa"/>
    <n v="0"/>
    <m/>
    <m/>
    <m/>
    <m/>
    <m/>
  </r>
  <r>
    <x v="8"/>
    <x v="8"/>
    <d v="2022-12-27T00:00:00"/>
    <d v="2022-12-27T00:00:00"/>
    <s v="Primario"/>
    <s v="DI 436"/>
    <n v="110725"/>
    <s v="Precio de entrega 436"/>
    <m/>
    <m/>
    <n v="101060408"/>
    <s v="Inventario de prod. term. y mercad. en Bodega importaciones"/>
    <m/>
    <n v="2244.9499999999998"/>
    <n v="-2244.9499999999998"/>
    <x v="9"/>
    <n v="35683.35"/>
    <s v="0.00"/>
    <s v="atayupa"/>
    <n v="0"/>
    <m/>
    <m/>
    <m/>
    <m/>
    <m/>
  </r>
  <r>
    <x v="8"/>
    <x v="8"/>
    <d v="2022-12-27T00:00:00"/>
    <d v="2023-03-27T00:00:00"/>
    <s v="FPQ"/>
    <s v="TT 6182"/>
    <n v="110739"/>
    <s v="IMP 406"/>
    <m/>
    <m/>
    <s v="PE0000000046"/>
    <s v="Bao Steel do Brasil Ltda"/>
    <n v="78548.58"/>
    <m/>
    <n v="78548.58"/>
    <x v="10"/>
    <n v="114231.93"/>
    <s v="0.00"/>
    <s v="atayupa"/>
    <n v="0"/>
    <m/>
    <m/>
    <m/>
    <m/>
    <m/>
  </r>
  <r>
    <x v="8"/>
    <x v="8"/>
    <d v="2022-12-27T00:00:00"/>
    <d v="2022-12-27T00:00:00"/>
    <s v="Primario"/>
    <s v="EP 6533"/>
    <n v="110742"/>
    <s v="Pedido de entrada de mercancías - PE0000000046"/>
    <m/>
    <m/>
    <n v="101060408"/>
    <s v="Inventario de prod. term. y mercad. en Bodega importaciones"/>
    <m/>
    <n v="78548.58"/>
    <n v="-78548.58"/>
    <x v="9"/>
    <n v="35683.35"/>
    <s v="0.00"/>
    <s v="atayupa"/>
    <n v="0"/>
    <m/>
    <m/>
    <m/>
    <m/>
    <m/>
  </r>
  <r>
    <x v="8"/>
    <x v="8"/>
    <d v="2022-12-27T00:00:00"/>
    <d v="2022-12-27T00:00:00"/>
    <s v="Primario"/>
    <s v="DI 437"/>
    <n v="110744"/>
    <s v="Precio de entrega 437"/>
    <m/>
    <m/>
    <n v="101060408"/>
    <s v="Inventario de prod. term. y mercad. en Bodega importaciones"/>
    <m/>
    <n v="8883.35"/>
    <n v="-8883.35"/>
    <x v="9"/>
    <n v="26800"/>
    <s v="0.00"/>
    <s v="atayupa"/>
    <n v="0"/>
    <m/>
    <m/>
    <m/>
    <m/>
    <m/>
  </r>
  <r>
    <x v="8"/>
    <x v="8"/>
    <d v="2022-12-27T00:00:00"/>
    <d v="2022-12-27T00:00:00"/>
    <s v="PagEfect"/>
    <s v="PP 11956"/>
    <n v="110984"/>
    <s v="GASTOS BANCARIOS IMP #451 HANGZHOU LINAN"/>
    <m/>
    <m/>
    <n v="101010301"/>
    <s v="Banco Bolivariano"/>
    <n v="65"/>
    <m/>
    <n v="65"/>
    <x v="10"/>
    <n v="26865"/>
    <s v="65.00"/>
    <s v="pquishpe"/>
    <n v="0"/>
    <m/>
    <m/>
    <m/>
    <m/>
    <m/>
  </r>
  <r>
    <x v="8"/>
    <x v="8"/>
    <d v="2022-12-27T00:00:00"/>
    <d v="2022-12-27T00:00:00"/>
    <s v="PagEfect"/>
    <s v="PP 11962"/>
    <n v="110997"/>
    <s v="PAGO ISD IMP #451 HANGZHOU LINAN"/>
    <m/>
    <m/>
    <n v="101010301"/>
    <s v="Banco Bolivariano"/>
    <n v="361.44"/>
    <m/>
    <n v="361.44"/>
    <x v="10"/>
    <n v="27226.44"/>
    <s v="361.44"/>
    <s v="pquishpe"/>
    <n v="0"/>
    <m/>
    <m/>
    <m/>
    <m/>
    <m/>
  </r>
  <r>
    <x v="8"/>
    <x v="8"/>
    <d v="2022-12-28T00:00:00"/>
    <d v="2022-12-28T00:00:00"/>
    <s v="FPQ"/>
    <s v="TT 6183"/>
    <n v="110857"/>
    <s v="IMP 419"/>
    <m/>
    <m/>
    <s v="PE0000000081"/>
    <s v="LINCOLN ELECTRIC HOLDINGS, INC."/>
    <n v="3065.95"/>
    <m/>
    <n v="3065.95"/>
    <x v="10"/>
    <n v="30292.39"/>
    <s v="0.00"/>
    <s v="atayupa"/>
    <n v="0"/>
    <m/>
    <m/>
    <m/>
    <m/>
    <m/>
  </r>
  <r>
    <x v="8"/>
    <x v="8"/>
    <d v="2022-12-28T00:00:00"/>
    <d v="2022-12-28T00:00:00"/>
    <s v="Primario"/>
    <s v="EP 6539"/>
    <n v="110863"/>
    <s v="Pedido de entrada de mercancías - PE0000000081"/>
    <m/>
    <m/>
    <n v="101060408"/>
    <s v="Inventario de prod. term. y mercad. en Bodega importaciones"/>
    <m/>
    <n v="3065.95"/>
    <n v="-3065.95"/>
    <x v="9"/>
    <n v="27226.44"/>
    <s v="0.00"/>
    <s v="atayupa"/>
    <n v="0"/>
    <m/>
    <m/>
    <m/>
    <m/>
    <m/>
  </r>
  <r>
    <x v="8"/>
    <x v="8"/>
    <d v="2022-12-28T00:00:00"/>
    <d v="2022-12-28T00:00:00"/>
    <s v="Primario"/>
    <s v="DI 438"/>
    <n v="110866"/>
    <s v="Precio de entrega 438"/>
    <m/>
    <m/>
    <n v="101060408"/>
    <s v="Inventario de prod. term. y mercad. en Bodega importaciones"/>
    <m/>
    <n v="361.13"/>
    <n v="-361.13"/>
    <x v="9"/>
    <n v="26865.31"/>
    <s v="0.00"/>
    <s v="atayupa"/>
    <n v="0"/>
    <m/>
    <m/>
    <m/>
    <m/>
    <m/>
  </r>
  <r>
    <x v="8"/>
    <x v="8"/>
    <d v="2022-12-28T00:00:00"/>
    <d v="2022-12-28T00:00:00"/>
    <s v="PagEfect"/>
    <s v="PP 11993"/>
    <n v="111159"/>
    <s v="GASTOS BANCARIOS IMP #408 BRAY"/>
    <m/>
    <m/>
    <n v="101010301"/>
    <s v="Banco Bolivariano"/>
    <n v="65"/>
    <m/>
    <n v="65"/>
    <x v="10"/>
    <n v="26930.31"/>
    <s v="0.00"/>
    <s v="pquishpe"/>
    <n v="0"/>
    <m/>
    <m/>
    <m/>
    <m/>
    <m/>
  </r>
  <r>
    <x v="8"/>
    <x v="8"/>
    <d v="2022-12-28T00:00:00"/>
    <d v="2022-12-28T00:00:00"/>
    <s v="PagEfect"/>
    <s v="PP 11994"/>
    <n v="111160"/>
    <s v="PAGO ISD IMP #408 BRAY"/>
    <m/>
    <m/>
    <n v="101010301"/>
    <s v="Banco Bolivariano"/>
    <n v="1763.34"/>
    <m/>
    <n v="1763.34"/>
    <x v="10"/>
    <n v="28693.65"/>
    <s v="0.00"/>
    <s v="pquishpe"/>
    <n v="0"/>
    <m/>
    <m/>
    <m/>
    <m/>
    <m/>
  </r>
  <r>
    <x v="8"/>
    <x v="8"/>
    <d v="2022-12-28T00:00:00"/>
    <d v="2022-12-28T00:00:00"/>
    <s v="PagEfect"/>
    <s v="PP 11996"/>
    <n v="111162"/>
    <s v="GASTOS BANCARIOS IMP #417 LINCOLN ELECTRIC"/>
    <m/>
    <m/>
    <n v="101010301"/>
    <s v="Banco Bolivariano"/>
    <n v="50"/>
    <m/>
    <n v="50"/>
    <x v="10"/>
    <n v="28743.65"/>
    <s v="0.00"/>
    <s v="pquishpe"/>
    <n v="0"/>
    <m/>
    <m/>
    <m/>
    <m/>
    <m/>
  </r>
  <r>
    <x v="8"/>
    <x v="8"/>
    <d v="2022-12-28T00:00:00"/>
    <d v="2022-12-28T00:00:00"/>
    <s v="PagEfect"/>
    <s v="PP 11997"/>
    <n v="111163"/>
    <s v="PAGO ISD IMP #417 LINCOLN ELECTRIC"/>
    <m/>
    <m/>
    <n v="101010301"/>
    <s v="Banco Bolivariano"/>
    <n v="165.69"/>
    <m/>
    <n v="165.69"/>
    <x v="10"/>
    <n v="28909.34"/>
    <s v="0.00"/>
    <s v="pquishpe"/>
    <n v="0"/>
    <m/>
    <m/>
    <m/>
    <m/>
    <m/>
  </r>
  <r>
    <x v="8"/>
    <x v="8"/>
    <d v="2022-12-30T00:00:00"/>
    <d v="2022-12-30T00:00:00"/>
    <s v="ASIENTOS"/>
    <s v="AS 111264"/>
    <n v="111264"/>
    <s v="REG. ISD IMP# 415 ZHEJIANG JUNYE-HANGZHOU"/>
    <m/>
    <m/>
    <n v="101050101"/>
    <s v="Crédito tributario a favor del sujeto pasivo (ISD)"/>
    <m/>
    <n v="1000.58"/>
    <n v="-1000.58"/>
    <x v="10"/>
    <n v="27908.76"/>
    <s v="0.00"/>
    <s v="ptipant"/>
    <n v="0"/>
    <m/>
    <m/>
    <m/>
    <m/>
    <m/>
  </r>
  <r>
    <x v="8"/>
    <x v="8"/>
    <d v="2022-12-30T00:00:00"/>
    <d v="2022-12-30T00:00:00"/>
    <s v="ASIENTOS"/>
    <s v="AS 111449"/>
    <n v="111449"/>
    <s v="REG. ISD IMP# 419 LINCOLN ELECTRIC"/>
    <m/>
    <m/>
    <n v="101050101"/>
    <s v="Crédito tributario a favor del sujeto pasivo (ISD)"/>
    <m/>
    <n v="165.69"/>
    <n v="-165.69"/>
    <x v="10"/>
    <n v="27743.07"/>
    <s v="0.00"/>
    <s v="ptipant"/>
    <n v="0"/>
    <m/>
    <m/>
    <m/>
    <m/>
    <m/>
  </r>
  <r>
    <x v="8"/>
    <x v="8"/>
    <d v="2022-12-30T00:00:00"/>
    <d v="2022-12-30T00:00:00"/>
    <s v="ASIENTOS"/>
    <s v="AS 111452"/>
    <n v="111452"/>
    <s v="DIF. G. BANCARIO IMP# 406 BAOSTEEL"/>
    <m/>
    <m/>
    <n v="61040701"/>
    <s v="Gastos bancarios"/>
    <m/>
    <n v="12"/>
    <n v="-12"/>
    <x v="10"/>
    <n v="27731.07"/>
    <s v="0.00"/>
    <s v="ptipant"/>
    <n v="0"/>
    <m/>
    <m/>
    <m/>
    <m/>
    <m/>
  </r>
  <r>
    <x v="8"/>
    <x v="8"/>
    <d v="2022-12-30T00:00:00"/>
    <d v="2022-12-30T00:00:00"/>
    <s v="ASIENTOS"/>
    <s v="AS 111461"/>
    <n v="111461"/>
    <s v="DIF. G. BANCARIO IMP# 418 LINCLOL"/>
    <m/>
    <m/>
    <n v="61040701"/>
    <s v="Gastos bancarios"/>
    <m/>
    <n v="7.96"/>
    <n v="-7.96"/>
    <x v="10"/>
    <n v="27723.11"/>
    <s v="0.00"/>
    <s v="ptipant"/>
    <n v="0"/>
    <m/>
    <m/>
    <m/>
    <m/>
    <m/>
  </r>
  <r>
    <x v="8"/>
    <x v="8"/>
    <d v="2022-12-30T00:00:00"/>
    <d v="2022-12-30T00:00:00"/>
    <s v="ASIENTOS"/>
    <s v="AS 111464"/>
    <n v="111464"/>
    <s v="REG. ISD IMP# 418 LINCOLN ELECTRIC TANGSHAN"/>
    <m/>
    <m/>
    <n v="101050101"/>
    <s v="Crédito tributario a favor del sujeto pasivo (ISD)"/>
    <m/>
    <n v="93.6"/>
    <n v="-93.6"/>
    <x v="10"/>
    <n v="27629.51"/>
    <s v="0.00"/>
    <s v="ptipant"/>
    <n v="0"/>
    <m/>
    <m/>
    <m/>
    <m/>
    <m/>
  </r>
  <r>
    <x v="8"/>
    <x v="8"/>
    <d v="2022-12-30T00:00:00"/>
    <d v="2022-12-30T00:00:00"/>
    <s v="ASIENTOS"/>
    <s v="AS 111467"/>
    <n v="111467"/>
    <s v="DIF. G BANCARIOS IMP #407 LINCOLN SOLDADURAS COLOM"/>
    <m/>
    <m/>
    <n v="61040701"/>
    <s v="Gastos bancarios"/>
    <m/>
    <n v="67"/>
    <n v="-67"/>
    <x v="10"/>
    <n v="27562.51"/>
    <s v="0.00"/>
    <s v="ptipant"/>
    <n v="0"/>
    <m/>
    <m/>
    <m/>
    <m/>
    <m/>
  </r>
  <r>
    <x v="8"/>
    <x v="8"/>
    <d v="2022-12-30T00:00:00"/>
    <d v="2022-12-30T00:00:00"/>
    <s v="ASIENTOS"/>
    <s v="AS 111469"/>
    <n v="111469"/>
    <s v="G. BANCARIOS IMP# 407 BRAY"/>
    <m/>
    <m/>
    <n v="201040509"/>
    <s v="Cuentra transitoria G. Bancarios"/>
    <n v="65"/>
    <m/>
    <n v="65"/>
    <x v="10"/>
    <n v="27627.51"/>
    <s v="0.00"/>
    <s v="ptipant"/>
    <n v="0"/>
    <m/>
    <m/>
    <m/>
    <m/>
    <m/>
  </r>
  <r>
    <x v="8"/>
    <x v="8"/>
    <d v="2022-12-30T00:00:00"/>
    <d v="2022-12-30T00:00:00"/>
    <s v="ASIENTOS"/>
    <s v="AS 111470"/>
    <n v="111470"/>
    <s v="REG. ISD IMP# 407 LINCOLN"/>
    <m/>
    <m/>
    <n v="101050101"/>
    <s v="Crédito tributario a favor del sujeto pasivo (ISD)"/>
    <m/>
    <n v="143.29"/>
    <n v="-143.29"/>
    <x v="10"/>
    <n v="27484.22"/>
    <s v="0.00"/>
    <s v="ptipant"/>
    <n v="0"/>
    <m/>
    <m/>
    <m/>
    <m/>
    <m/>
  </r>
  <r>
    <x v="8"/>
    <x v="8"/>
    <d v="2022-12-30T00:00:00"/>
    <d v="2022-12-30T00:00:00"/>
    <s v="ASIENTOS"/>
    <s v="AS 111476"/>
    <n v="111476"/>
    <s v="DIF. G. BANCARIOS IMP# 420 METALFAR"/>
    <m/>
    <m/>
    <n v="61040701"/>
    <s v="Gastos bancarios"/>
    <m/>
    <n v="79"/>
    <n v="-79"/>
    <x v="10"/>
    <n v="27405.22"/>
    <s v="0.00"/>
    <s v="ptipant"/>
    <n v="0"/>
    <m/>
    <m/>
    <m/>
    <m/>
    <m/>
  </r>
  <r>
    <x v="8"/>
    <x v="8"/>
    <d v="2022-12-30T00:00:00"/>
    <d v="2022-12-30T00:00:00"/>
    <s v="ASIENTOS"/>
    <s v="AS 111478"/>
    <n v="111478"/>
    <s v="DIF. ISD IMP# 420 METALFAR"/>
    <m/>
    <m/>
    <n v="401030105"/>
    <s v="Otros Ingresos"/>
    <m/>
    <n v="51.47"/>
    <n v="-51.47"/>
    <x v="10"/>
    <n v="27353.75"/>
    <s v="0.00"/>
    <s v="ptipant"/>
    <n v="0"/>
    <m/>
    <m/>
    <m/>
    <m/>
    <m/>
  </r>
  <r>
    <x v="8"/>
    <x v="8"/>
    <d v="2022-12-30T00:00:00"/>
    <d v="2022-12-30T00:00:00"/>
    <s v="ASIENTOS"/>
    <s v="AS 111506"/>
    <n v="111506"/>
    <s v="REG. ISD IMP# 334 ARFLU"/>
    <m/>
    <m/>
    <n v="101050101"/>
    <s v="Crédito tributario a favor del sujeto pasivo (ISD)"/>
    <m/>
    <n v="1591.96"/>
    <n v="-1591.96"/>
    <x v="10"/>
    <n v="25761.79"/>
    <s v="0.00"/>
    <s v="ptipant"/>
    <n v="0"/>
    <m/>
    <m/>
    <m/>
    <m/>
    <m/>
  </r>
  <r>
    <x v="8"/>
    <x v="8"/>
    <d v="2022-12-30T00:00:00"/>
    <d v="2022-12-30T00:00:00"/>
    <s v="ASIENTOS"/>
    <s v="AS 111514"/>
    <n v="111514"/>
    <s v="REG. ISD IMP# 423 DKLOK-LINCOLN"/>
    <m/>
    <m/>
    <n v="101050101"/>
    <s v="Crédito tributario a favor del sujeto pasivo (ISD)"/>
    <m/>
    <n v="81.92"/>
    <n v="-81.92"/>
    <x v="10"/>
    <n v="25679.87"/>
    <s v="0.00"/>
    <s v="ptipant"/>
    <n v="0"/>
    <m/>
    <m/>
    <m/>
    <m/>
    <m/>
  </r>
  <r>
    <x v="8"/>
    <x v="8"/>
    <d v="2022-12-30T00:00:00"/>
    <d v="2022-12-30T00:00:00"/>
    <s v="ASIENTOS"/>
    <s v="AS 112048"/>
    <n v="112048"/>
    <s v="GASTOS BANCARIOS IMP #414 PANTECH"/>
    <m/>
    <m/>
    <n v="61040701"/>
    <s v="Gastos bancarios"/>
    <m/>
    <n v="12"/>
    <n v="-12"/>
    <x v="10"/>
    <n v="25667.87"/>
    <s v="0.00"/>
    <s v="ptipant"/>
    <n v="0"/>
    <m/>
    <m/>
    <m/>
    <m/>
    <m/>
  </r>
  <r>
    <x v="8"/>
    <x v="8"/>
    <d v="2022-12-30T00:00:00"/>
    <d v="2022-12-30T00:00:00"/>
    <s v="ASIENTOS"/>
    <s v="AS 112050"/>
    <n v="112050"/>
    <s v="REG. DIF. GASTO BANCARIOS IMPORTACIONES"/>
    <m/>
    <m/>
    <n v="61040701"/>
    <s v="Gastos bancarios"/>
    <n v="24"/>
    <m/>
    <n v="24"/>
    <x v="10"/>
    <n v="25691.87"/>
    <s v="0.00"/>
    <s v="ptipant"/>
    <n v="0"/>
    <m/>
    <m/>
    <m/>
    <m/>
    <m/>
  </r>
  <r>
    <x v="8"/>
    <x v="8"/>
    <d v="2022-12-30T00:00:00"/>
    <d v="2022-12-30T00:00:00"/>
    <s v="ASIENTOS"/>
    <s v="AS 112052"/>
    <n v="112052"/>
    <s v="REG. ISD IMP# 389 BRAY"/>
    <m/>
    <m/>
    <n v="101050101"/>
    <s v="Crédito tributario a favor del sujeto pasivo (ISD)"/>
    <m/>
    <n v="515.70000000000005"/>
    <n v="-515.70000000000005"/>
    <x v="10"/>
    <n v="25176.17"/>
    <s v="0.00"/>
    <s v="ptipant"/>
    <n v="0"/>
    <m/>
    <m/>
    <m/>
    <m/>
    <m/>
  </r>
  <r>
    <x v="8"/>
    <x v="8"/>
    <d v="2022-12-30T00:00:00"/>
    <d v="2022-12-30T00:00:00"/>
    <s v="ASIENTOS"/>
    <s v="AS 112056"/>
    <n v="112056"/>
    <s v="GASTOS BANCARIOS IMP #398 BRAY CONTROLS"/>
    <m/>
    <m/>
    <n v="201040509"/>
    <s v="Cuentra transitoria G. Bancarios"/>
    <m/>
    <n v="65"/>
    <n v="-65"/>
    <x v="10"/>
    <n v="25111.17"/>
    <s v="0.00"/>
    <s v="ptipant"/>
    <n v="0"/>
    <m/>
    <m/>
    <m/>
    <m/>
    <m/>
  </r>
  <r>
    <x v="8"/>
    <x v="8"/>
    <d v="2022-12-30T00:00:00"/>
    <d v="2022-12-30T00:00:00"/>
    <s v="ASIENTOS"/>
    <s v="AS 112057"/>
    <n v="112057"/>
    <s v="REG. ISD IMP# 389 BRAY"/>
    <m/>
    <m/>
    <n v="101050101"/>
    <s v="Crédito tributario a favor del sujeto pasivo (ISD)"/>
    <m/>
    <n v="1014.24"/>
    <n v="-1014.24"/>
    <x v="10"/>
    <n v="24096.93"/>
    <s v="0.00"/>
    <s v="ptipant"/>
    <n v="0"/>
    <m/>
    <m/>
    <m/>
    <m/>
    <m/>
  </r>
  <r>
    <x v="8"/>
    <x v="8"/>
    <d v="2022-12-30T00:00:00"/>
    <d v="2022-12-30T00:00:00"/>
    <s v="ASIENTOS"/>
    <s v="AS 112058"/>
    <n v="112058"/>
    <s v="GASTOS BANCARIOS IMP #402 DONGGUAN OTAI"/>
    <m/>
    <m/>
    <n v="201040509"/>
    <s v="Cuentra transitoria G. Bancarios"/>
    <m/>
    <n v="132"/>
    <n v="-132"/>
    <x v="10"/>
    <n v="23964.93"/>
    <s v="0.00"/>
    <s v="ptipant"/>
    <n v="0"/>
    <m/>
    <m/>
    <m/>
    <m/>
    <m/>
  </r>
  <r>
    <x v="8"/>
    <x v="8"/>
    <d v="2022-12-30T00:00:00"/>
    <d v="2022-12-30T00:00:00"/>
    <s v="ASIENTOS"/>
    <s v="AS 112059"/>
    <n v="112059"/>
    <s v="PAGO ISD #402 DONGGUAN OTAI"/>
    <m/>
    <m/>
    <n v="101050101"/>
    <s v="Crédito tributario a favor del sujeto pasivo (ISD)"/>
    <m/>
    <n v="2424.4899999999998"/>
    <n v="-2424.4899999999998"/>
    <x v="10"/>
    <n v="21540.44"/>
    <s v="0.00"/>
    <s v="ptipant"/>
    <n v="0"/>
    <m/>
    <m/>
    <m/>
    <m/>
    <m/>
  </r>
  <r>
    <x v="8"/>
    <x v="8"/>
    <d v="2022-12-30T00:00:00"/>
    <d v="2022-12-30T00:00:00"/>
    <s v="ASIENTOS"/>
    <s v="AS 112061"/>
    <n v="112061"/>
    <s v="PAGO ISD IMP 386 METALFAR"/>
    <m/>
    <m/>
    <n v="101050101"/>
    <s v="Crédito tributario a favor del sujeto pasivo (ISD)"/>
    <m/>
    <n v="1760"/>
    <n v="-1760"/>
    <x v="10"/>
    <n v="19780.439999999999"/>
    <s v="0.00"/>
    <s v="ptipant"/>
    <n v="0"/>
    <m/>
    <m/>
    <m/>
    <m/>
    <m/>
  </r>
  <r>
    <x v="8"/>
    <x v="8"/>
    <d v="2022-12-30T00:00:00"/>
    <d v="2022-12-30T00:00:00"/>
    <s v="ASIENTOS"/>
    <s v="AS 112062"/>
    <n v="112062"/>
    <s v="GASTOS BANCARIOS IMP 386 METALFAR"/>
    <m/>
    <m/>
    <n v="201040509"/>
    <s v="Cuentra transitoria G. Bancarios"/>
    <m/>
    <n v="132"/>
    <n v="-132"/>
    <x v="10"/>
    <n v="19648.439999999999"/>
    <s v="0.00"/>
    <s v="ptipant"/>
    <n v="0"/>
    <m/>
    <m/>
    <m/>
    <m/>
    <m/>
  </r>
  <r>
    <x v="8"/>
    <x v="8"/>
    <d v="2022-12-30T00:00:00"/>
    <d v="2022-12-30T00:00:00"/>
    <s v="ASIENTOS"/>
    <s v="AS 112066"/>
    <n v="112066"/>
    <s v="PAGO ISD KIMRAY IMP #396 411"/>
    <m/>
    <m/>
    <n v="101050101"/>
    <s v="Crédito tributario a favor del sujeto pasivo (ISD)"/>
    <m/>
    <n v="126.92"/>
    <n v="-126.92"/>
    <x v="10"/>
    <n v="19521.52"/>
    <s v="0.00"/>
    <s v="ptipant"/>
    <n v="0"/>
    <m/>
    <m/>
    <m/>
    <m/>
    <m/>
  </r>
  <r>
    <x v="8"/>
    <x v="8"/>
    <d v="2022-12-30T00:00:00"/>
    <d v="2022-12-30T00:00:00"/>
    <s v="ASIENTOS"/>
    <s v="AS 112071"/>
    <n v="112071"/>
    <s v="GASTOS BANCARIOS IMP #408 BRAY"/>
    <m/>
    <m/>
    <n v="201040509"/>
    <s v="Cuentra transitoria G. Bancarios"/>
    <m/>
    <n v="65"/>
    <n v="-65"/>
    <x v="10"/>
    <n v="19456.52"/>
    <s v="0.00"/>
    <s v="ptipant"/>
    <n v="0"/>
    <m/>
    <m/>
    <m/>
    <m/>
    <m/>
  </r>
  <r>
    <x v="8"/>
    <x v="8"/>
    <d v="2022-12-30T00:00:00"/>
    <d v="2022-12-30T00:00:00"/>
    <s v="ASIENTOS"/>
    <s v="AS 112074"/>
    <n v="112074"/>
    <s v="REG. ISD IMP# 408 BRAY"/>
    <m/>
    <m/>
    <n v="101050101"/>
    <s v="Crédito tributario a favor del sujeto pasivo (ISD)"/>
    <m/>
    <n v="1763.34"/>
    <n v="-1763.34"/>
    <x v="10"/>
    <n v="17693.18"/>
    <s v="0.00"/>
    <s v="ptipant"/>
    <n v="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2C81C2-AA12-4D6A-AB36-4D8652F980D6}" name="TablaDinámica1" cacheId="3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compact="0" compactData="0" gridDropZones="1" multipleFieldFilters="0">
  <location ref="A2382:N2393" firstHeaderRow="1" firstDataRow="2" firstDataCol="2"/>
  <pivotFields count="25"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Row" compact="0" outline="0" showAll="0">
      <items count="10">
        <item x="7"/>
        <item x="3"/>
        <item x="2"/>
        <item x="0"/>
        <item x="1"/>
        <item x="6"/>
        <item x="5"/>
        <item x="4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43" outline="0" showAll="0"/>
    <pivotField axis="axisCol" compact="0" outline="0" showAll="0">
      <items count="15">
        <item x="0"/>
        <item x="2"/>
        <item m="1" x="11"/>
        <item m="1" x="12"/>
        <item x="6"/>
        <item x="3"/>
        <item m="1" x="13"/>
        <item x="1"/>
        <item x="4"/>
        <item x="5"/>
        <item x="7"/>
        <item x="8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10">
    <i>
      <x/>
      <x v="3"/>
    </i>
    <i>
      <x v="1"/>
      <x v="4"/>
    </i>
    <i>
      <x v="2"/>
      <x v="2"/>
    </i>
    <i>
      <x v="3"/>
      <x v="1"/>
    </i>
    <i>
      <x v="4"/>
      <x v="7"/>
    </i>
    <i>
      <x v="5"/>
      <x v="6"/>
    </i>
    <i>
      <x v="6"/>
      <x v="5"/>
    </i>
    <i>
      <x v="7"/>
      <x/>
    </i>
    <i>
      <x v="8"/>
      <x v="8"/>
    </i>
    <i t="grand">
      <x/>
    </i>
  </rowItems>
  <colFields count="1">
    <field x="15"/>
  </colFields>
  <colItems count="12">
    <i>
      <x/>
    </i>
    <i>
      <x v="1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Suma de Neto" fld="14" baseField="0" baseItem="0" numFmtId="164"/>
  </dataFields>
  <formats count="42">
    <format dxfId="63">
      <pivotArea outline="0" collapsedLevelsAreSubtotals="1" fieldPosition="0"/>
    </format>
    <format dxfId="62">
      <pivotArea dataOnly="0" labelOnly="1" outline="0" fieldPosition="0">
        <references count="1">
          <reference field="15" count="3">
            <x v="7"/>
            <x v="8"/>
            <x v="9"/>
          </reference>
        </references>
      </pivotArea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type="origin" dataOnly="0" labelOnly="1" outline="0" fieldPosition="0"/>
    </format>
    <format dxfId="58">
      <pivotArea field="15" type="button" dataOnly="0" labelOnly="1" outline="0" axis="axisCol" fieldPosition="0"/>
    </format>
    <format dxfId="57">
      <pivotArea type="topRight" dataOnly="0" labelOnly="1" outline="0" fieldPosition="0"/>
    </format>
    <format dxfId="56">
      <pivotArea field="0" type="button" dataOnly="0" labelOnly="1" outline="0" axis="axisRow" fieldPosition="0"/>
    </format>
    <format dxfId="55">
      <pivotArea field="1" type="button" dataOnly="0" labelOnly="1" outline="0" axis="axisRow" fieldPosition="1"/>
    </format>
    <format dxfId="54">
      <pivotArea dataOnly="0" labelOnly="1" outline="0" fieldPosition="0">
        <references count="1">
          <reference field="0" count="0"/>
        </references>
      </pivotArea>
    </format>
    <format dxfId="53">
      <pivotArea dataOnly="0" labelOnly="1" grandRow="1" outline="0" fieldPosition="0"/>
    </format>
    <format dxfId="52">
      <pivotArea dataOnly="0" labelOnly="1" outline="0" fieldPosition="0">
        <references count="2">
          <reference field="0" count="1" selected="0">
            <x v="0"/>
          </reference>
          <reference field="1" count="1">
            <x v="3"/>
          </reference>
        </references>
      </pivotArea>
    </format>
    <format dxfId="51">
      <pivotArea dataOnly="0" labelOnly="1" outline="0" fieldPosition="0">
        <references count="2">
          <reference field="0" count="1" selected="0">
            <x v="1"/>
          </reference>
          <reference field="1" count="1">
            <x v="4"/>
          </reference>
        </references>
      </pivotArea>
    </format>
    <format dxfId="50">
      <pivotArea dataOnly="0" labelOnly="1" outline="0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49">
      <pivotArea dataOnly="0" labelOnly="1" outline="0" fieldPosition="0">
        <references count="2">
          <reference field="0" count="1" selected="0">
            <x v="3"/>
          </reference>
          <reference field="1" count="1">
            <x v="1"/>
          </reference>
        </references>
      </pivotArea>
    </format>
    <format dxfId="48">
      <pivotArea dataOnly="0" labelOnly="1" outline="0" fieldPosition="0">
        <references count="2">
          <reference field="0" count="1" selected="0">
            <x v="4"/>
          </reference>
          <reference field="1" count="1">
            <x v="7"/>
          </reference>
        </references>
      </pivotArea>
    </format>
    <format dxfId="47">
      <pivotArea dataOnly="0" labelOnly="1" outline="0" fieldPosition="0">
        <references count="2">
          <reference field="0" count="1" selected="0">
            <x v="5"/>
          </reference>
          <reference field="1" count="1">
            <x v="6"/>
          </reference>
        </references>
      </pivotArea>
    </format>
    <format dxfId="46">
      <pivotArea dataOnly="0" labelOnly="1" outline="0" fieldPosition="0">
        <references count="2">
          <reference field="0" count="1" selected="0">
            <x v="6"/>
          </reference>
          <reference field="1" count="1">
            <x v="5"/>
          </reference>
        </references>
      </pivotArea>
    </format>
    <format dxfId="45">
      <pivotArea dataOnly="0" labelOnly="1" outline="0" fieldPosition="0">
        <references count="2">
          <reference field="0" count="1" selected="0">
            <x v="7"/>
          </reference>
          <reference field="1" count="1">
            <x v="0"/>
          </reference>
        </references>
      </pivotArea>
    </format>
    <format dxfId="44">
      <pivotArea dataOnly="0" labelOnly="1" outline="0" fieldPosition="0">
        <references count="2">
          <reference field="0" count="1" selected="0">
            <x v="8"/>
          </reference>
          <reference field="1" count="1">
            <x v="8"/>
          </reference>
        </references>
      </pivotArea>
    </format>
    <format dxfId="43">
      <pivotArea dataOnly="0" labelOnly="1" outline="0" fieldPosition="0">
        <references count="1">
          <reference field="15" count="0"/>
        </references>
      </pivotArea>
    </format>
    <format dxfId="42">
      <pivotArea dataOnly="0" labelOnly="1" grandCol="1" outline="0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type="origin" dataOnly="0" labelOnly="1" outline="0" fieldPosition="0"/>
    </format>
    <format dxfId="38">
      <pivotArea field="15" type="button" dataOnly="0" labelOnly="1" outline="0" axis="axisCol" fieldPosition="0"/>
    </format>
    <format dxfId="37">
      <pivotArea type="topRight" dataOnly="0" labelOnly="1" outline="0" fieldPosition="0"/>
    </format>
    <format dxfId="36">
      <pivotArea field="0" type="button" dataOnly="0" labelOnly="1" outline="0" axis="axisRow" fieldPosition="0"/>
    </format>
    <format dxfId="35">
      <pivotArea field="1" type="button" dataOnly="0" labelOnly="1" outline="0" axis="axisRow" fieldPosition="1"/>
    </format>
    <format dxfId="34">
      <pivotArea dataOnly="0" labelOnly="1" outline="0" fieldPosition="0">
        <references count="1">
          <reference field="0" count="0"/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2">
          <reference field="0" count="1" selected="0">
            <x v="0"/>
          </reference>
          <reference field="1" count="1">
            <x v="3"/>
          </reference>
        </references>
      </pivotArea>
    </format>
    <format dxfId="31">
      <pivotArea dataOnly="0" labelOnly="1" outline="0" fieldPosition="0">
        <references count="2">
          <reference field="0" count="1" selected="0">
            <x v="1"/>
          </reference>
          <reference field="1" count="1">
            <x v="4"/>
          </reference>
        </references>
      </pivotArea>
    </format>
    <format dxfId="30">
      <pivotArea dataOnly="0" labelOnly="1" outline="0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29">
      <pivotArea dataOnly="0" labelOnly="1" outline="0" fieldPosition="0">
        <references count="2">
          <reference field="0" count="1" selected="0">
            <x v="3"/>
          </reference>
          <reference field="1" count="1">
            <x v="1"/>
          </reference>
        </references>
      </pivotArea>
    </format>
    <format dxfId="28">
      <pivotArea dataOnly="0" labelOnly="1" outline="0" fieldPosition="0">
        <references count="2">
          <reference field="0" count="1" selected="0">
            <x v="4"/>
          </reference>
          <reference field="1" count="1">
            <x v="7"/>
          </reference>
        </references>
      </pivotArea>
    </format>
    <format dxfId="27">
      <pivotArea dataOnly="0" labelOnly="1" outline="0" fieldPosition="0">
        <references count="2">
          <reference field="0" count="1" selected="0">
            <x v="5"/>
          </reference>
          <reference field="1" count="1">
            <x v="6"/>
          </reference>
        </references>
      </pivotArea>
    </format>
    <format dxfId="26">
      <pivotArea dataOnly="0" labelOnly="1" outline="0" fieldPosition="0">
        <references count="2">
          <reference field="0" count="1" selected="0">
            <x v="6"/>
          </reference>
          <reference field="1" count="1">
            <x v="5"/>
          </reference>
        </references>
      </pivotArea>
    </format>
    <format dxfId="25">
      <pivotArea dataOnly="0" labelOnly="1" outline="0" fieldPosition="0">
        <references count="2">
          <reference field="0" count="1" selected="0">
            <x v="7"/>
          </reference>
          <reference field="1" count="1">
            <x v="0"/>
          </reference>
        </references>
      </pivotArea>
    </format>
    <format dxfId="24">
      <pivotArea dataOnly="0" labelOnly="1" outline="0" fieldPosition="0">
        <references count="2">
          <reference field="0" count="1" selected="0">
            <x v="8"/>
          </reference>
          <reference field="1" count="1">
            <x v="8"/>
          </reference>
        </references>
      </pivotArea>
    </format>
    <format dxfId="23">
      <pivotArea dataOnly="0" labelOnly="1" outline="0" fieldPosition="0">
        <references count="1">
          <reference field="15" count="0"/>
        </references>
      </pivotArea>
    </format>
    <format dxfId="2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C4461E-F259-4C0F-BA4E-E65C3C74870F}" name="TablaDinámica10" cacheId="32" applyNumberFormats="0" applyBorderFormats="0" applyFontFormats="0" applyPatternFormats="0" applyAlignmentFormats="0" applyWidthHeightFormats="1" dataCaption="Valores" updatedVersion="7" minRefreshableVersion="3" useAutoFormatting="1" colGrandTotals="0" itemPrintTitles="1" createdVersion="7" indent="0" compact="0" compactData="0" gridDropZones="1" multipleFieldFilters="0">
  <location ref="A8:D11" firstHeaderRow="1" firstDataRow="2" firstDataCol="2"/>
  <pivotFields count="26">
    <pivotField axis="axisRow" compact="0" outline="0" showAll="0" defaultSubtotal="0">
      <items count="1">
        <item x="0"/>
      </items>
    </pivotField>
    <pivotField axis="axisRow"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43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2">
    <i>
      <x/>
      <x/>
    </i>
    <i t="grand">
      <x/>
    </i>
  </rowItems>
  <colFields count="1">
    <field x="16"/>
  </colFields>
  <colItems count="2">
    <i>
      <x/>
    </i>
    <i>
      <x v="1"/>
    </i>
  </colItems>
  <dataFields count="1">
    <dataField name="Suma de Neto" fld="15" baseField="0" baseItem="0"/>
  </dataFields>
  <formats count="22">
    <format dxfId="21">
      <pivotArea type="all" dataOnly="0" outline="0" fieldPosition="0"/>
    </format>
    <format dxfId="20">
      <pivotArea outline="0" collapsedLevelsAreSubtotals="1" fieldPosition="0"/>
    </format>
    <format dxfId="19">
      <pivotArea type="origin" dataOnly="0" labelOnly="1" outline="0" fieldPosition="0"/>
    </format>
    <format dxfId="18">
      <pivotArea field="16" type="button" dataOnly="0" labelOnly="1" outline="0" axis="axisCol" fieldPosition="0"/>
    </format>
    <format dxfId="17">
      <pivotArea type="topRight" dataOnly="0" labelOnly="1" outline="0" fieldPosition="0"/>
    </format>
    <format dxfId="16">
      <pivotArea field="0" type="button" dataOnly="0" labelOnly="1" outline="0" axis="axisRow" fieldPosition="0"/>
    </format>
    <format dxfId="15">
      <pivotArea field="1" type="button" dataOnly="0" labelOnly="1" outline="0" axis="axisRow" fieldPosition="1"/>
    </format>
    <format dxfId="14">
      <pivotArea dataOnly="0" labelOnly="1" outline="0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">
      <pivotArea dataOnly="0" labelOnly="1" outline="0" fieldPosition="0">
        <references count="1">
          <reference field="16" count="0"/>
        </references>
      </pivotArea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type="origin" dataOnly="0" labelOnly="1" outline="0" fieldPosition="0"/>
    </format>
    <format dxfId="7">
      <pivotArea field="16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0" type="button" dataOnly="0" labelOnly="1" outline="0" axis="axisRow" fieldPosition="0"/>
    </format>
    <format dxfId="4">
      <pivotArea field="1" type="button" dataOnly="0" labelOnly="1" outline="0" axis="axisRow" fieldPosition="1"/>
    </format>
    <format dxfId="3">
      <pivotArea dataOnly="0" labelOnly="1" outline="0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0">
      <pivotArea dataOnly="0" labelOnly="1" outline="0" fieldPosition="0">
        <references count="1">
          <reference field="1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192DE-B46B-4BC7-A320-36BFE559220E}">
  <dimension ref="A1:O118"/>
  <sheetViews>
    <sheetView showGridLines="0" tabSelected="1" zoomScale="80" zoomScaleNormal="80" workbookViewId="0">
      <selection activeCell="B1" sqref="B1"/>
    </sheetView>
  </sheetViews>
  <sheetFormatPr baseColWidth="10" defaultColWidth="11.453125" defaultRowHeight="12.5" x14ac:dyDescent="0.25"/>
  <cols>
    <col min="1" max="1" width="7.08984375" style="11" customWidth="1"/>
    <col min="2" max="3" width="23.6328125" style="11" customWidth="1"/>
    <col min="4" max="4" width="20.90625" style="11" customWidth="1"/>
    <col min="5" max="5" width="16.1796875" style="11" bestFit="1" customWidth="1"/>
    <col min="6" max="6" width="19.90625" style="11" customWidth="1"/>
    <col min="7" max="7" width="15.81640625" style="11" bestFit="1" customWidth="1"/>
    <col min="8" max="8" width="16.26953125" style="11" bestFit="1" customWidth="1"/>
    <col min="9" max="9" width="14.26953125" style="11" bestFit="1" customWidth="1"/>
    <col min="10" max="11" width="12.54296875" style="11" customWidth="1"/>
    <col min="12" max="12" width="15" style="11" bestFit="1" customWidth="1"/>
    <col min="13" max="13" width="13.7265625" style="11" bestFit="1" customWidth="1"/>
    <col min="14" max="14" width="13" style="11" bestFit="1" customWidth="1"/>
    <col min="15" max="15" width="10.08984375" style="11" customWidth="1"/>
    <col min="16" max="16384" width="11.453125" style="11"/>
  </cols>
  <sheetData>
    <row r="1" spans="1:14" s="1" customFormat="1" x14ac:dyDescent="0.25"/>
    <row r="2" spans="1:14" s="1" customFormat="1" x14ac:dyDescent="0.25">
      <c r="A2" s="2"/>
      <c r="B2" s="3"/>
      <c r="C2" s="3"/>
      <c r="D2" s="2"/>
      <c r="E2" s="2"/>
    </row>
    <row r="3" spans="1:14" s="1" customFormat="1" x14ac:dyDescent="0.25">
      <c r="A3" s="2"/>
      <c r="B3" s="4"/>
      <c r="C3" s="4"/>
      <c r="D3" s="2"/>
      <c r="E3" s="2"/>
    </row>
    <row r="4" spans="1:14" s="1" customFormat="1" x14ac:dyDescent="0.25">
      <c r="A4" s="2"/>
      <c r="B4" s="4"/>
      <c r="C4" s="4"/>
      <c r="D4" s="2"/>
      <c r="E4" s="2"/>
      <c r="F4" s="5"/>
      <c r="G4" s="6"/>
    </row>
    <row r="5" spans="1:14" s="1" customFormat="1" x14ac:dyDescent="0.25">
      <c r="A5" s="2"/>
      <c r="B5" s="4"/>
      <c r="C5" s="4"/>
      <c r="D5" s="2"/>
      <c r="E5" s="2"/>
      <c r="F5" s="5"/>
      <c r="G5" s="6"/>
    </row>
    <row r="6" spans="1:14" s="50" customFormat="1" x14ac:dyDescent="0.25">
      <c r="A6" s="49"/>
      <c r="B6" s="53" t="s">
        <v>4499</v>
      </c>
      <c r="C6" s="53"/>
      <c r="D6" s="53"/>
      <c r="E6" s="53"/>
      <c r="F6" s="53"/>
      <c r="G6" s="53"/>
      <c r="H6" s="53"/>
      <c r="I6" s="53"/>
      <c r="J6" s="53"/>
      <c r="K6" s="53"/>
      <c r="L6" s="98" t="s">
        <v>0</v>
      </c>
      <c r="M6" s="98" t="s">
        <v>1</v>
      </c>
      <c r="N6" s="98" t="s">
        <v>4502</v>
      </c>
    </row>
    <row r="7" spans="1:14" s="1" customFormat="1" x14ac:dyDescent="0.25">
      <c r="A7" s="2"/>
      <c r="B7" s="54" t="s">
        <v>4500</v>
      </c>
      <c r="C7" s="54"/>
      <c r="D7" s="54"/>
      <c r="E7" s="54"/>
      <c r="F7" s="54"/>
      <c r="G7" s="54"/>
      <c r="H7" s="54"/>
      <c r="I7" s="54"/>
      <c r="J7" s="54"/>
      <c r="K7" s="54"/>
      <c r="L7" s="99" t="s">
        <v>4515</v>
      </c>
      <c r="M7" s="100" t="s">
        <v>4515</v>
      </c>
      <c r="N7" s="101" t="s">
        <v>4525</v>
      </c>
    </row>
    <row r="8" spans="1:14" s="1" customFormat="1" x14ac:dyDescent="0.25">
      <c r="A8" s="2"/>
      <c r="B8" s="55" t="s">
        <v>4520</v>
      </c>
      <c r="C8" s="56"/>
      <c r="D8" s="56"/>
      <c r="E8" s="56"/>
      <c r="F8" s="57"/>
      <c r="G8" s="57"/>
      <c r="H8" s="57"/>
      <c r="I8" s="57"/>
      <c r="J8" s="57"/>
      <c r="K8" s="57"/>
      <c r="L8" s="57"/>
      <c r="M8" s="57"/>
      <c r="N8" s="57"/>
    </row>
    <row r="9" spans="1:14" s="1" customFormat="1" x14ac:dyDescent="0.25">
      <c r="A9" s="2"/>
      <c r="B9" s="55" t="s">
        <v>4539</v>
      </c>
      <c r="C9" s="56"/>
      <c r="D9" s="56"/>
      <c r="E9" s="56"/>
      <c r="F9" s="57"/>
      <c r="G9" s="57"/>
      <c r="H9" s="57"/>
      <c r="I9" s="57"/>
      <c r="J9" s="57"/>
      <c r="K9" s="57"/>
      <c r="L9" s="57"/>
      <c r="M9" s="57"/>
      <c r="N9" s="57"/>
    </row>
    <row r="10" spans="1:14" s="1" customFormat="1" ht="7" customHeight="1" thickBot="1" x14ac:dyDescent="0.3">
      <c r="A10" s="2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spans="1:14" s="1" customFormat="1" ht="13" thickTop="1" x14ac:dyDescent="0.25">
      <c r="A11" s="2"/>
      <c r="B11" s="57"/>
      <c r="C11" s="56"/>
      <c r="D11" s="56"/>
      <c r="E11" s="57"/>
      <c r="F11" s="57"/>
      <c r="G11" s="57"/>
      <c r="H11" s="57"/>
      <c r="I11" s="57"/>
      <c r="J11" s="57"/>
      <c r="K11" s="57"/>
      <c r="L11" s="57"/>
      <c r="M11" s="57"/>
      <c r="N11" s="57"/>
    </row>
    <row r="12" spans="1:14" s="1" customFormat="1" x14ac:dyDescent="0.25">
      <c r="B12" s="59" t="s">
        <v>2</v>
      </c>
      <c r="C12" s="7"/>
      <c r="D12" s="4"/>
      <c r="E12" s="4"/>
      <c r="F12" s="4"/>
      <c r="G12" s="4"/>
      <c r="H12" s="4"/>
      <c r="I12" s="4"/>
      <c r="J12" s="4"/>
    </row>
    <row r="13" spans="1:14" s="1" customFormat="1" ht="7" customHeight="1" x14ac:dyDescent="0.25">
      <c r="B13" s="59"/>
      <c r="C13" s="7"/>
      <c r="D13" s="4"/>
      <c r="E13" s="4"/>
      <c r="F13" s="4"/>
      <c r="G13" s="4"/>
      <c r="H13" s="4"/>
      <c r="I13" s="4"/>
      <c r="J13" s="4"/>
    </row>
    <row r="14" spans="1:14" s="1" customFormat="1" x14ac:dyDescent="0.25">
      <c r="A14" s="8"/>
      <c r="B14" s="96" t="s">
        <v>4557</v>
      </c>
      <c r="C14" s="10"/>
      <c r="D14" s="4"/>
      <c r="E14" s="4"/>
      <c r="F14" s="4"/>
      <c r="G14" s="4"/>
      <c r="H14" s="4"/>
      <c r="I14" s="4"/>
      <c r="J14" s="4"/>
    </row>
    <row r="15" spans="1:14" s="1" customFormat="1" x14ac:dyDescent="0.25">
      <c r="A15" s="8"/>
      <c r="B15" s="9"/>
      <c r="C15" s="10"/>
      <c r="D15" s="4"/>
      <c r="E15" s="4"/>
      <c r="F15" s="4"/>
      <c r="G15" s="4"/>
      <c r="H15" s="4"/>
      <c r="I15" s="4"/>
      <c r="J15" s="4"/>
    </row>
    <row r="16" spans="1:14" s="1" customFormat="1" x14ac:dyDescent="0.25">
      <c r="A16" s="8"/>
      <c r="B16" s="59" t="s">
        <v>4503</v>
      </c>
      <c r="C16" s="51"/>
      <c r="D16" s="4"/>
      <c r="E16" s="4"/>
      <c r="F16" s="4"/>
      <c r="G16" s="4"/>
      <c r="H16" s="4"/>
      <c r="I16" s="4"/>
      <c r="J16" s="4"/>
    </row>
    <row r="17" spans="1:10" s="1" customFormat="1" ht="7" customHeight="1" x14ac:dyDescent="0.25">
      <c r="A17" s="8"/>
      <c r="B17" s="59"/>
      <c r="C17" s="51"/>
      <c r="D17" s="4"/>
      <c r="E17" s="4"/>
      <c r="F17" s="4"/>
      <c r="G17" s="4"/>
      <c r="H17" s="4"/>
      <c r="I17" s="4"/>
      <c r="J17" s="4"/>
    </row>
    <row r="18" spans="1:10" s="1" customFormat="1" x14ac:dyDescent="0.25">
      <c r="A18" s="8"/>
      <c r="B18" s="59"/>
      <c r="C18" s="51"/>
      <c r="D18" s="4"/>
      <c r="E18" s="4"/>
      <c r="F18" s="4"/>
      <c r="G18" s="4"/>
      <c r="H18" s="4"/>
      <c r="I18" s="4"/>
      <c r="J18" s="4"/>
    </row>
    <row r="19" spans="1:10" s="1" customFormat="1" x14ac:dyDescent="0.25">
      <c r="A19" s="8"/>
      <c r="B19" s="84"/>
      <c r="C19" s="85" t="s">
        <v>4526</v>
      </c>
      <c r="D19" s="85" t="s">
        <v>4527</v>
      </c>
      <c r="E19" s="4"/>
      <c r="F19" s="4"/>
      <c r="G19" s="4"/>
      <c r="H19" s="4"/>
      <c r="I19" s="4"/>
      <c r="J19" s="4"/>
    </row>
    <row r="20" spans="1:10" s="1" customFormat="1" x14ac:dyDescent="0.25">
      <c r="A20" s="8"/>
      <c r="B20" s="86" t="s">
        <v>4504</v>
      </c>
      <c r="C20" s="87" t="s">
        <v>4505</v>
      </c>
      <c r="D20" s="87" t="s">
        <v>4505</v>
      </c>
      <c r="E20" s="4"/>
      <c r="F20" s="4"/>
      <c r="G20" s="4"/>
      <c r="H20" s="4"/>
      <c r="I20" s="4"/>
      <c r="J20" s="4"/>
    </row>
    <row r="21" spans="1:10" s="1" customFormat="1" x14ac:dyDescent="0.25">
      <c r="A21" s="8"/>
      <c r="B21" s="86" t="s">
        <v>4506</v>
      </c>
      <c r="C21" s="87" t="s">
        <v>4505</v>
      </c>
      <c r="D21" s="87" t="s">
        <v>4505</v>
      </c>
      <c r="E21" s="4"/>
      <c r="F21" s="4"/>
      <c r="G21" s="4"/>
      <c r="H21" s="4"/>
      <c r="I21" s="4"/>
      <c r="J21" s="4"/>
    </row>
    <row r="22" spans="1:10" s="1" customFormat="1" x14ac:dyDescent="0.25">
      <c r="A22" s="8"/>
      <c r="B22" s="86" t="s">
        <v>4507</v>
      </c>
      <c r="C22" s="87" t="s">
        <v>4505</v>
      </c>
      <c r="D22" s="87" t="s">
        <v>4505</v>
      </c>
      <c r="E22" s="4"/>
      <c r="F22" s="4"/>
      <c r="G22" s="4"/>
      <c r="H22" s="4"/>
      <c r="I22" s="4"/>
      <c r="J22" s="4"/>
    </row>
    <row r="23" spans="1:10" s="1" customFormat="1" x14ac:dyDescent="0.25">
      <c r="A23" s="8"/>
      <c r="B23" s="9"/>
      <c r="C23" s="10"/>
      <c r="D23" s="4"/>
      <c r="E23" s="4"/>
      <c r="F23" s="4"/>
      <c r="G23" s="4"/>
      <c r="H23" s="4"/>
      <c r="I23" s="4"/>
      <c r="J23" s="4"/>
    </row>
    <row r="24" spans="1:10" s="1" customFormat="1" x14ac:dyDescent="0.25">
      <c r="A24" s="8"/>
      <c r="B24" s="59" t="s">
        <v>4540</v>
      </c>
      <c r="C24" s="7"/>
      <c r="D24" s="4"/>
      <c r="E24" s="4"/>
      <c r="F24" s="4"/>
      <c r="G24" s="4"/>
      <c r="H24" s="4"/>
      <c r="I24" s="4"/>
      <c r="J24" s="4"/>
    </row>
    <row r="25" spans="1:10" s="1" customFormat="1" ht="7" customHeight="1" x14ac:dyDescent="0.25">
      <c r="A25" s="8"/>
      <c r="B25" s="59"/>
      <c r="C25" s="7"/>
      <c r="D25" s="4"/>
      <c r="E25" s="4"/>
      <c r="F25" s="4"/>
      <c r="G25" s="4"/>
      <c r="H25" s="4"/>
      <c r="I25" s="4"/>
      <c r="J25" s="4"/>
    </row>
    <row r="26" spans="1:10" s="1" customFormat="1" x14ac:dyDescent="0.25">
      <c r="A26" s="88" t="s">
        <v>4508</v>
      </c>
      <c r="B26" s="35" t="s">
        <v>4564</v>
      </c>
      <c r="C26" s="7"/>
      <c r="D26" s="4"/>
      <c r="E26" s="4"/>
      <c r="F26" s="4"/>
      <c r="G26" s="4"/>
      <c r="H26" s="4"/>
      <c r="I26" s="4"/>
      <c r="J26" s="4"/>
    </row>
    <row r="27" spans="1:10" s="1" customFormat="1" x14ac:dyDescent="0.25">
      <c r="A27" s="88" t="s">
        <v>4509</v>
      </c>
      <c r="B27" s="35" t="s">
        <v>4541</v>
      </c>
      <c r="C27" s="7"/>
      <c r="D27" s="4"/>
      <c r="E27" s="4"/>
      <c r="F27" s="4"/>
      <c r="G27" s="4"/>
      <c r="H27" s="4"/>
      <c r="I27" s="4"/>
      <c r="J27" s="4"/>
    </row>
    <row r="28" spans="1:10" s="1" customFormat="1" x14ac:dyDescent="0.25">
      <c r="A28" s="88" t="s">
        <v>4511</v>
      </c>
      <c r="B28" s="35" t="s">
        <v>4542</v>
      </c>
      <c r="C28" s="7"/>
      <c r="D28" s="4"/>
      <c r="E28" s="4"/>
      <c r="F28" s="4"/>
      <c r="G28" s="4"/>
      <c r="H28" s="4"/>
      <c r="I28" s="4"/>
      <c r="J28" s="4"/>
    </row>
    <row r="29" spans="1:10" s="1" customFormat="1" x14ac:dyDescent="0.25">
      <c r="A29" s="95" t="s">
        <v>4510</v>
      </c>
      <c r="B29" s="97" t="s">
        <v>4543</v>
      </c>
      <c r="C29" s="11"/>
      <c r="D29" s="4"/>
      <c r="E29" s="4"/>
      <c r="F29" s="4"/>
      <c r="G29" s="4"/>
      <c r="H29" s="4"/>
      <c r="I29" s="4"/>
      <c r="J29" s="4"/>
    </row>
    <row r="30" spans="1:10" s="1" customFormat="1" x14ac:dyDescent="0.25">
      <c r="A30" s="83" t="s">
        <v>4556</v>
      </c>
      <c r="B30" s="51" t="s">
        <v>4558</v>
      </c>
      <c r="C30" s="11"/>
      <c r="D30" s="4"/>
      <c r="E30" s="4"/>
      <c r="F30" s="4"/>
      <c r="G30" s="4"/>
      <c r="H30" s="4"/>
      <c r="I30" s="4"/>
      <c r="J30" s="4"/>
    </row>
    <row r="31" spans="1:10" x14ac:dyDescent="0.25">
      <c r="A31" s="83" t="s">
        <v>4563</v>
      </c>
      <c r="B31" s="89" t="s">
        <v>4544</v>
      </c>
    </row>
    <row r="32" spans="1:10" x14ac:dyDescent="0.25">
      <c r="B32" s="16"/>
    </row>
    <row r="33" spans="2:15" x14ac:dyDescent="0.25">
      <c r="B33" s="59" t="s">
        <v>4501</v>
      </c>
    </row>
    <row r="34" spans="2:15" x14ac:dyDescent="0.25">
      <c r="B34" s="59"/>
    </row>
    <row r="35" spans="2:15" ht="13.5" x14ac:dyDescent="0.25">
      <c r="D35" s="52"/>
      <c r="F35" s="64" t="s">
        <v>4521</v>
      </c>
    </row>
    <row r="36" spans="2:15" ht="13.5" x14ac:dyDescent="0.25">
      <c r="B36" s="60"/>
      <c r="C36" s="60"/>
      <c r="D36" s="72"/>
      <c r="N36" s="60"/>
    </row>
    <row r="37" spans="2:15" ht="43" customHeight="1" x14ac:dyDescent="0.25">
      <c r="B37" s="67" t="s">
        <v>4528</v>
      </c>
      <c r="C37" s="67" t="s">
        <v>4529</v>
      </c>
      <c r="D37" s="67" t="s">
        <v>4562</v>
      </c>
      <c r="E37" s="67" t="s">
        <v>4565</v>
      </c>
      <c r="F37" s="67" t="s">
        <v>4481</v>
      </c>
      <c r="G37" s="67" t="s">
        <v>4489</v>
      </c>
      <c r="H37" s="67" t="s">
        <v>4488</v>
      </c>
      <c r="I37" s="67" t="s">
        <v>4494</v>
      </c>
      <c r="J37" s="67" t="s">
        <v>4493</v>
      </c>
      <c r="K37" s="67" t="s">
        <v>4490</v>
      </c>
      <c r="L37" s="67" t="s">
        <v>4495</v>
      </c>
      <c r="M37" s="67" t="s">
        <v>4549</v>
      </c>
      <c r="N37" s="67" t="s">
        <v>4530</v>
      </c>
      <c r="O37" s="14"/>
    </row>
    <row r="38" spans="2:15" x14ac:dyDescent="0.25">
      <c r="B38" s="68"/>
      <c r="C38" s="69"/>
      <c r="D38" s="70"/>
      <c r="E38" s="70"/>
      <c r="F38" s="70"/>
      <c r="G38" s="70"/>
      <c r="H38" s="70"/>
      <c r="I38" s="70"/>
      <c r="J38" s="70"/>
      <c r="K38" s="70"/>
      <c r="L38" s="70"/>
      <c r="M38" s="66"/>
      <c r="N38" s="70"/>
      <c r="O38" s="14"/>
    </row>
    <row r="39" spans="2:15" x14ac:dyDescent="0.25">
      <c r="B39" s="68"/>
      <c r="C39" s="69"/>
      <c r="D39" s="70"/>
      <c r="E39" s="70"/>
      <c r="F39" s="70"/>
      <c r="G39" s="70"/>
      <c r="H39" s="70"/>
      <c r="I39" s="70"/>
      <c r="J39" s="70"/>
      <c r="K39" s="70"/>
      <c r="L39" s="70"/>
      <c r="M39" s="66"/>
      <c r="N39" s="70"/>
      <c r="O39" s="14"/>
    </row>
    <row r="40" spans="2:15" x14ac:dyDescent="0.25">
      <c r="B40" s="68"/>
      <c r="C40" s="69"/>
      <c r="D40" s="70"/>
      <c r="E40" s="70"/>
      <c r="F40" s="70"/>
      <c r="G40" s="70"/>
      <c r="H40" s="70"/>
      <c r="I40" s="70"/>
      <c r="J40" s="70"/>
      <c r="K40" s="70"/>
      <c r="L40" s="70"/>
      <c r="M40" s="66"/>
      <c r="N40" s="70"/>
      <c r="O40" s="14"/>
    </row>
    <row r="41" spans="2:15" x14ac:dyDescent="0.25">
      <c r="B41" s="68"/>
      <c r="C41" s="69"/>
      <c r="D41" s="70"/>
      <c r="E41" s="70"/>
      <c r="F41" s="70"/>
      <c r="G41" s="70"/>
      <c r="H41" s="70"/>
      <c r="I41" s="70"/>
      <c r="J41" s="70"/>
      <c r="K41" s="70"/>
      <c r="L41" s="70"/>
      <c r="M41" s="66"/>
      <c r="N41" s="70"/>
      <c r="O41" s="14"/>
    </row>
    <row r="42" spans="2:15" x14ac:dyDescent="0.25">
      <c r="B42" s="68"/>
      <c r="C42" s="71" t="s">
        <v>4518</v>
      </c>
      <c r="D42" s="70"/>
      <c r="E42" s="70"/>
      <c r="F42" s="70"/>
      <c r="G42" s="70"/>
      <c r="H42" s="70"/>
      <c r="I42" s="70"/>
      <c r="J42" s="70"/>
      <c r="K42" s="70"/>
      <c r="L42" s="70"/>
      <c r="M42" s="66"/>
      <c r="N42" s="70"/>
      <c r="O42" s="14"/>
    </row>
    <row r="43" spans="2:15" x14ac:dyDescent="0.25">
      <c r="B43" s="68"/>
      <c r="C43" s="69"/>
      <c r="D43" s="70"/>
      <c r="E43" s="70"/>
      <c r="F43" s="70"/>
      <c r="G43" s="70"/>
      <c r="H43" s="70"/>
      <c r="I43" s="70"/>
      <c r="J43" s="70"/>
      <c r="K43" s="70"/>
      <c r="L43" s="70"/>
      <c r="M43" s="66"/>
      <c r="N43" s="70"/>
      <c r="O43" s="14"/>
    </row>
    <row r="44" spans="2:15" x14ac:dyDescent="0.25">
      <c r="B44" s="68"/>
      <c r="C44" s="69"/>
      <c r="D44" s="70"/>
      <c r="E44" s="70"/>
      <c r="F44" s="70"/>
      <c r="G44" s="70"/>
      <c r="H44" s="70"/>
      <c r="I44" s="70"/>
      <c r="J44" s="70"/>
      <c r="K44" s="70"/>
      <c r="L44" s="70"/>
      <c r="M44" s="66"/>
      <c r="N44" s="70"/>
      <c r="O44" s="14"/>
    </row>
    <row r="45" spans="2:15" x14ac:dyDescent="0.25">
      <c r="B45" s="68"/>
      <c r="C45" s="66"/>
      <c r="D45" s="70"/>
      <c r="E45" s="70"/>
      <c r="F45" s="70"/>
      <c r="G45" s="70"/>
      <c r="H45" s="70"/>
      <c r="I45" s="70"/>
      <c r="J45" s="70"/>
      <c r="K45" s="70"/>
      <c r="L45" s="70"/>
      <c r="M45" s="66"/>
      <c r="N45" s="70"/>
      <c r="O45" s="14"/>
    </row>
    <row r="46" spans="2:15" x14ac:dyDescent="0.25">
      <c r="B46" s="68"/>
      <c r="C46" s="69"/>
      <c r="D46" s="70"/>
      <c r="E46" s="70"/>
      <c r="F46" s="70"/>
      <c r="G46" s="70"/>
      <c r="H46" s="70"/>
      <c r="I46" s="70"/>
      <c r="J46" s="70"/>
      <c r="K46" s="70"/>
      <c r="L46" s="70"/>
      <c r="M46" s="66"/>
      <c r="N46" s="70"/>
      <c r="O46" s="14"/>
    </row>
    <row r="47" spans="2:15" x14ac:dyDescent="0.25">
      <c r="B47" s="68"/>
      <c r="C47" s="66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48"/>
    </row>
    <row r="48" spans="2:15" ht="4.5" customHeight="1" x14ac:dyDescent="0.25">
      <c r="B48" s="15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48"/>
    </row>
    <row r="49" spans="2:15" ht="13" thickBot="1" x14ac:dyDescent="0.3">
      <c r="B49" s="60"/>
      <c r="C49" s="61"/>
      <c r="D49" s="20">
        <f>SUM(D38:D47)</f>
        <v>0</v>
      </c>
      <c r="E49" s="20">
        <f t="shared" ref="E49:L49" si="0">SUM(E38:E47)</f>
        <v>0</v>
      </c>
      <c r="F49" s="20">
        <f t="shared" si="0"/>
        <v>0</v>
      </c>
      <c r="G49" s="20">
        <f t="shared" si="0"/>
        <v>0</v>
      </c>
      <c r="H49" s="20">
        <f t="shared" si="0"/>
        <v>0</v>
      </c>
      <c r="I49" s="20">
        <f t="shared" si="0"/>
        <v>0</v>
      </c>
      <c r="J49" s="20">
        <f t="shared" si="0"/>
        <v>0</v>
      </c>
      <c r="K49" s="20">
        <f t="shared" si="0"/>
        <v>0</v>
      </c>
      <c r="L49" s="20">
        <f t="shared" si="0"/>
        <v>0</v>
      </c>
      <c r="M49" s="20">
        <f>SUM(M38:M47)</f>
        <v>0</v>
      </c>
      <c r="N49" s="20">
        <f>SUM(N38:N47)</f>
        <v>0</v>
      </c>
      <c r="O49" s="17"/>
    </row>
    <row r="50" spans="2:15" ht="13" thickTop="1" x14ac:dyDescent="0.25">
      <c r="C50" s="13"/>
      <c r="D50" s="19" t="s">
        <v>4513</v>
      </c>
      <c r="E50" s="32"/>
      <c r="F50" s="14"/>
      <c r="G50" s="62" t="s">
        <v>4497</v>
      </c>
      <c r="H50" s="62" t="s">
        <v>4497</v>
      </c>
      <c r="I50" s="62"/>
      <c r="J50" s="18"/>
      <c r="K50" s="62" t="s">
        <v>4496</v>
      </c>
      <c r="M50" s="62" t="s">
        <v>4498</v>
      </c>
      <c r="N50" s="19" t="s">
        <v>4513</v>
      </c>
    </row>
    <row r="51" spans="2:15" x14ac:dyDescent="0.25">
      <c r="C51" s="13"/>
      <c r="D51" s="19"/>
      <c r="E51" s="32"/>
      <c r="F51" s="14"/>
      <c r="G51" s="62"/>
      <c r="H51" s="62"/>
      <c r="I51" s="62"/>
      <c r="J51" s="18"/>
      <c r="K51" s="62"/>
      <c r="M51" s="62"/>
      <c r="N51" s="27"/>
    </row>
    <row r="52" spans="2:15" x14ac:dyDescent="0.25">
      <c r="C52" s="13"/>
      <c r="D52" s="19"/>
      <c r="E52" s="14"/>
      <c r="F52" s="14"/>
      <c r="G52" s="28"/>
      <c r="H52" s="28"/>
      <c r="I52" s="14"/>
      <c r="J52" s="18"/>
      <c r="K52" s="28"/>
      <c r="N52" s="27"/>
    </row>
    <row r="53" spans="2:15" x14ac:dyDescent="0.25">
      <c r="B53" s="104" t="s">
        <v>4545</v>
      </c>
      <c r="C53" s="105"/>
      <c r="D53" s="106"/>
    </row>
    <row r="54" spans="2:15" s="90" customFormat="1" x14ac:dyDescent="0.25">
      <c r="B54" s="91"/>
      <c r="C54" s="91"/>
      <c r="D54" s="91"/>
    </row>
    <row r="55" spans="2:15" x14ac:dyDescent="0.25">
      <c r="B55" s="94" t="s">
        <v>4546</v>
      </c>
    </row>
    <row r="56" spans="2:15" x14ac:dyDescent="0.25">
      <c r="B56" s="12"/>
    </row>
    <row r="57" spans="2:15" ht="25" x14ac:dyDescent="0.25">
      <c r="B57" s="67" t="s">
        <v>4528</v>
      </c>
      <c r="C57" s="67" t="s">
        <v>4529</v>
      </c>
      <c r="D57" s="77" t="s">
        <v>4530</v>
      </c>
      <c r="E57" s="23"/>
    </row>
    <row r="58" spans="2:15" x14ac:dyDescent="0.25">
      <c r="B58" s="71"/>
      <c r="C58" s="66"/>
      <c r="D58" s="73"/>
    </row>
    <row r="59" spans="2:15" x14ac:dyDescent="0.25">
      <c r="B59" s="71"/>
      <c r="C59" s="66"/>
      <c r="D59" s="73"/>
      <c r="E59" s="33"/>
    </row>
    <row r="60" spans="2:15" x14ac:dyDescent="0.25">
      <c r="B60" s="66"/>
      <c r="C60" s="66"/>
      <c r="D60" s="74"/>
      <c r="E60" s="25"/>
    </row>
    <row r="61" spans="2:15" ht="7" customHeight="1" x14ac:dyDescent="0.25">
      <c r="B61" s="60"/>
      <c r="C61" s="60"/>
      <c r="D61" s="75"/>
      <c r="E61" s="25"/>
    </row>
    <row r="62" spans="2:15" ht="13" thickBot="1" x14ac:dyDescent="0.3">
      <c r="B62" s="1"/>
      <c r="C62" s="22"/>
      <c r="D62" s="76">
        <f>SUM(D58:D60)</f>
        <v>0</v>
      </c>
      <c r="E62" s="33" t="s">
        <v>4519</v>
      </c>
    </row>
    <row r="63" spans="2:15" ht="13" thickTop="1" x14ac:dyDescent="0.25">
      <c r="B63" s="1"/>
      <c r="C63" s="22"/>
      <c r="D63" s="92"/>
      <c r="E63" s="33"/>
    </row>
    <row r="64" spans="2:15" x14ac:dyDescent="0.25">
      <c r="B64" s="1"/>
      <c r="C64" s="22" t="s">
        <v>4547</v>
      </c>
      <c r="D64" s="65">
        <f>-G49-H49</f>
        <v>0</v>
      </c>
      <c r="E64" s="63" t="s">
        <v>4497</v>
      </c>
    </row>
    <row r="65" spans="2:7" ht="13" thickBot="1" x14ac:dyDescent="0.3">
      <c r="B65" s="1"/>
      <c r="C65" s="102" t="s">
        <v>4487</v>
      </c>
      <c r="D65" s="103">
        <f>+D62-D64</f>
        <v>0</v>
      </c>
      <c r="E65" s="23"/>
      <c r="G65" s="26"/>
    </row>
    <row r="66" spans="2:7" ht="13" thickTop="1" x14ac:dyDescent="0.25">
      <c r="B66" s="1"/>
      <c r="C66" s="24"/>
      <c r="D66" s="31"/>
      <c r="E66" s="23"/>
      <c r="G66" s="26"/>
    </row>
    <row r="67" spans="2:7" x14ac:dyDescent="0.25">
      <c r="B67" s="1"/>
      <c r="C67" s="24"/>
      <c r="D67" s="31"/>
      <c r="E67" s="23"/>
    </row>
    <row r="68" spans="2:7" x14ac:dyDescent="0.25">
      <c r="B68" s="94" t="s">
        <v>4548</v>
      </c>
      <c r="C68" s="24"/>
      <c r="D68" s="31" t="s">
        <v>4566</v>
      </c>
      <c r="E68" s="23"/>
    </row>
    <row r="69" spans="2:7" x14ac:dyDescent="0.25">
      <c r="B69" s="29"/>
      <c r="C69" s="24"/>
      <c r="D69" s="31"/>
      <c r="E69" s="23"/>
    </row>
    <row r="70" spans="2:7" ht="25" x14ac:dyDescent="0.25">
      <c r="B70" s="67" t="s">
        <v>4528</v>
      </c>
      <c r="C70" s="67" t="s">
        <v>4529</v>
      </c>
      <c r="D70" s="77" t="s">
        <v>4530</v>
      </c>
      <c r="E70" s="23"/>
    </row>
    <row r="71" spans="2:7" x14ac:dyDescent="0.25">
      <c r="B71" s="71"/>
      <c r="C71" s="66"/>
      <c r="D71" s="73"/>
    </row>
    <row r="72" spans="2:7" x14ac:dyDescent="0.25">
      <c r="B72" s="71"/>
      <c r="C72" s="66"/>
      <c r="D72" s="73"/>
      <c r="E72" s="33"/>
    </row>
    <row r="73" spans="2:7" ht="7" customHeight="1" x14ac:dyDescent="0.25">
      <c r="B73" s="64"/>
      <c r="C73" s="60"/>
      <c r="D73" s="30"/>
      <c r="E73" s="33"/>
    </row>
    <row r="74" spans="2:7" ht="13" thickBot="1" x14ac:dyDescent="0.3">
      <c r="B74" s="64"/>
      <c r="C74" s="22"/>
      <c r="D74" s="76">
        <f>SUM(D70:D72)</f>
        <v>0</v>
      </c>
      <c r="E74" s="33" t="s">
        <v>4519</v>
      </c>
    </row>
    <row r="75" spans="2:7" ht="13" thickTop="1" x14ac:dyDescent="0.25">
      <c r="B75" s="64"/>
      <c r="C75" s="22"/>
      <c r="D75" s="92"/>
      <c r="E75" s="33"/>
    </row>
    <row r="76" spans="2:7" x14ac:dyDescent="0.25">
      <c r="B76" s="21"/>
      <c r="C76" s="22" t="s">
        <v>4547</v>
      </c>
      <c r="D76" s="65">
        <f>+K49</f>
        <v>0</v>
      </c>
      <c r="E76" s="63" t="s">
        <v>4496</v>
      </c>
    </row>
    <row r="77" spans="2:7" ht="13" thickBot="1" x14ac:dyDescent="0.3">
      <c r="B77" s="21"/>
      <c r="C77" s="102" t="s">
        <v>4487</v>
      </c>
      <c r="D77" s="103">
        <f>+D74-D76</f>
        <v>0</v>
      </c>
      <c r="E77" s="1"/>
    </row>
    <row r="78" spans="2:7" ht="13" thickTop="1" x14ac:dyDescent="0.25">
      <c r="B78" s="21"/>
      <c r="D78" s="30"/>
      <c r="E78" s="1"/>
    </row>
    <row r="79" spans="2:7" x14ac:dyDescent="0.25">
      <c r="B79" s="21"/>
      <c r="D79" s="30"/>
      <c r="E79" s="1"/>
    </row>
    <row r="80" spans="2:7" x14ac:dyDescent="0.25">
      <c r="B80" s="13" t="s">
        <v>4559</v>
      </c>
      <c r="C80" s="24"/>
      <c r="D80" s="31" t="s">
        <v>4566</v>
      </c>
      <c r="E80" s="1"/>
    </row>
    <row r="81" spans="1:5" x14ac:dyDescent="0.25">
      <c r="B81" s="29"/>
      <c r="C81" s="24"/>
      <c r="D81" s="31"/>
      <c r="E81" s="1"/>
    </row>
    <row r="82" spans="1:5" ht="25" x14ac:dyDescent="0.25">
      <c r="B82" s="78" t="s">
        <v>4516</v>
      </c>
      <c r="C82" s="78" t="s">
        <v>4517</v>
      </c>
      <c r="D82" s="77" t="s">
        <v>4531</v>
      </c>
      <c r="E82" s="1"/>
    </row>
    <row r="83" spans="1:5" x14ac:dyDescent="0.25">
      <c r="B83" s="71"/>
      <c r="C83" s="66"/>
      <c r="D83" s="73"/>
      <c r="E83" s="33" t="s">
        <v>4519</v>
      </c>
    </row>
    <row r="84" spans="1:5" x14ac:dyDescent="0.25">
      <c r="B84" s="64"/>
      <c r="C84" s="60"/>
      <c r="D84" s="30"/>
      <c r="E84" s="33"/>
    </row>
    <row r="85" spans="1:5" x14ac:dyDescent="0.25">
      <c r="B85" s="21"/>
      <c r="C85" s="22" t="s">
        <v>4547</v>
      </c>
      <c r="D85" s="65">
        <f>+M49</f>
        <v>0</v>
      </c>
      <c r="E85" s="63" t="s">
        <v>4498</v>
      </c>
    </row>
    <row r="86" spans="1:5" ht="13" thickBot="1" x14ac:dyDescent="0.3">
      <c r="B86" s="21"/>
      <c r="C86" s="102" t="s">
        <v>4487</v>
      </c>
      <c r="D86" s="103">
        <f>SUM(D83:D85)</f>
        <v>0</v>
      </c>
      <c r="E86" s="1"/>
    </row>
    <row r="87" spans="1:5" ht="13" thickTop="1" x14ac:dyDescent="0.25">
      <c r="B87" s="21"/>
      <c r="C87" s="24"/>
      <c r="D87" s="31"/>
      <c r="E87" s="1"/>
    </row>
    <row r="88" spans="1:5" x14ac:dyDescent="0.25">
      <c r="B88" s="21"/>
      <c r="C88" s="24"/>
      <c r="D88" s="31"/>
      <c r="E88" s="1"/>
    </row>
    <row r="89" spans="1:5" x14ac:dyDescent="0.25">
      <c r="B89" s="59" t="s">
        <v>4514</v>
      </c>
    </row>
    <row r="90" spans="1:5" ht="7" customHeight="1" x14ac:dyDescent="0.25">
      <c r="B90" s="59"/>
    </row>
    <row r="91" spans="1:5" x14ac:dyDescent="0.25">
      <c r="A91" s="93"/>
      <c r="B91" s="51" t="s">
        <v>4550</v>
      </c>
    </row>
    <row r="92" spans="1:5" x14ac:dyDescent="0.25">
      <c r="A92" s="93"/>
      <c r="B92" s="51" t="s">
        <v>4551</v>
      </c>
    </row>
    <row r="93" spans="1:5" x14ac:dyDescent="0.25">
      <c r="A93" s="93"/>
      <c r="B93" s="51" t="s">
        <v>4552</v>
      </c>
    </row>
    <row r="94" spans="1:5" x14ac:dyDescent="0.25">
      <c r="A94" s="34"/>
      <c r="B94" s="16" t="s">
        <v>4512</v>
      </c>
    </row>
    <row r="95" spans="1:5" x14ac:dyDescent="0.25">
      <c r="A95" s="34"/>
      <c r="B95" s="16"/>
    </row>
    <row r="96" spans="1:5" x14ac:dyDescent="0.25">
      <c r="A96" s="93"/>
      <c r="B96" s="59" t="s">
        <v>4561</v>
      </c>
    </row>
    <row r="97" spans="1:2" ht="7" customHeight="1" x14ac:dyDescent="0.25">
      <c r="A97" s="93"/>
      <c r="B97" s="51"/>
    </row>
    <row r="98" spans="1:2" x14ac:dyDescent="0.25">
      <c r="A98" s="81" t="s">
        <v>4553</v>
      </c>
      <c r="B98" s="51"/>
    </row>
    <row r="99" spans="1:2" x14ac:dyDescent="0.25">
      <c r="A99" s="81" t="s">
        <v>4554</v>
      </c>
      <c r="B99" s="51"/>
    </row>
    <row r="100" spans="1:2" x14ac:dyDescent="0.25">
      <c r="A100" s="81" t="s">
        <v>4555</v>
      </c>
      <c r="B100" s="51"/>
    </row>
    <row r="101" spans="1:2" x14ac:dyDescent="0.25">
      <c r="A101" s="34"/>
      <c r="B101" s="16"/>
    </row>
    <row r="102" spans="1:2" x14ac:dyDescent="0.25">
      <c r="A102" s="80"/>
      <c r="B102" s="59" t="s">
        <v>4523</v>
      </c>
    </row>
    <row r="103" spans="1:2" ht="7" customHeight="1" x14ac:dyDescent="0.25">
      <c r="A103" s="80"/>
      <c r="B103" s="59"/>
    </row>
    <row r="104" spans="1:2" x14ac:dyDescent="0.25">
      <c r="A104" s="81" t="s">
        <v>4532</v>
      </c>
      <c r="B104" s="59"/>
    </row>
    <row r="105" spans="1:2" x14ac:dyDescent="0.25">
      <c r="A105" s="81" t="s">
        <v>4533</v>
      </c>
      <c r="B105" s="59"/>
    </row>
    <row r="106" spans="1:2" x14ac:dyDescent="0.25">
      <c r="A106" s="81" t="s">
        <v>4534</v>
      </c>
      <c r="B106" s="51"/>
    </row>
    <row r="107" spans="1:2" x14ac:dyDescent="0.25">
      <c r="A107" s="80"/>
      <c r="B107" s="34"/>
    </row>
    <row r="108" spans="1:2" x14ac:dyDescent="0.25">
      <c r="A108" s="80"/>
      <c r="B108" s="59" t="s">
        <v>4522</v>
      </c>
    </row>
    <row r="109" spans="1:2" ht="7" customHeight="1" x14ac:dyDescent="0.25">
      <c r="A109" s="80"/>
      <c r="B109" s="59"/>
    </row>
    <row r="110" spans="1:2" x14ac:dyDescent="0.25">
      <c r="A110" s="81" t="s">
        <v>4535</v>
      </c>
      <c r="B110" s="59"/>
    </row>
    <row r="111" spans="1:2" x14ac:dyDescent="0.25">
      <c r="A111" s="81" t="s">
        <v>4536</v>
      </c>
      <c r="B111" s="51"/>
    </row>
    <row r="112" spans="1:2" x14ac:dyDescent="0.25">
      <c r="A112" s="81" t="s">
        <v>4537</v>
      </c>
      <c r="B112" s="82"/>
    </row>
    <row r="113" spans="1:2" x14ac:dyDescent="0.25">
      <c r="A113" s="81"/>
      <c r="B113" s="82"/>
    </row>
    <row r="114" spans="1:2" x14ac:dyDescent="0.25">
      <c r="A114" s="83"/>
      <c r="B114" s="59" t="s">
        <v>4524</v>
      </c>
    </row>
    <row r="115" spans="1:2" ht="7" customHeight="1" x14ac:dyDescent="0.25">
      <c r="A115" s="83"/>
      <c r="B115" s="59"/>
    </row>
    <row r="116" spans="1:2" x14ac:dyDescent="0.25">
      <c r="A116" s="83"/>
      <c r="B116" s="79" t="s">
        <v>4538</v>
      </c>
    </row>
    <row r="118" spans="1:2" x14ac:dyDescent="0.25">
      <c r="B118" s="11" t="s">
        <v>10</v>
      </c>
    </row>
  </sheetData>
  <mergeCells count="1">
    <mergeCell ref="B53:D5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B255-C971-4A67-BC3C-1EA9478F9B2A}">
  <dimension ref="B2"/>
  <sheetViews>
    <sheetView showGridLines="0" zoomScale="80" zoomScaleNormal="80" workbookViewId="0">
      <selection activeCell="E20" sqref="E20"/>
    </sheetView>
  </sheetViews>
  <sheetFormatPr baseColWidth="10" defaultRowHeight="14.5" x14ac:dyDescent="0.35"/>
  <cols>
    <col min="1" max="1" width="4.54296875" customWidth="1"/>
  </cols>
  <sheetData>
    <row r="2" spans="2:2" x14ac:dyDescent="0.35">
      <c r="B2" s="79" t="s">
        <v>4560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A316A-3965-43EB-8B82-0A9805A60468}">
  <dimension ref="A1:Y2408"/>
  <sheetViews>
    <sheetView showGridLines="0" zoomScale="70" zoomScaleNormal="70" workbookViewId="0"/>
  </sheetViews>
  <sheetFormatPr baseColWidth="10" defaultColWidth="10.90625" defaultRowHeight="12.5" x14ac:dyDescent="0.25"/>
  <cols>
    <col min="1" max="1" width="18.36328125" style="11" customWidth="1"/>
    <col min="2" max="2" width="62.90625" style="11" bestFit="1" customWidth="1"/>
    <col min="3" max="12" width="20.453125" style="11" bestFit="1" customWidth="1"/>
    <col min="13" max="13" width="20.453125" style="26" bestFit="1" customWidth="1"/>
    <col min="14" max="14" width="12.453125" style="26" bestFit="1" customWidth="1"/>
    <col min="15" max="15" width="15.453125" style="26" customWidth="1"/>
    <col min="16" max="16" width="10.90625" style="11"/>
    <col min="17" max="17" width="11" style="11" bestFit="1" customWidth="1"/>
    <col min="18" max="19" width="10.90625" style="11"/>
    <col min="20" max="20" width="11" style="11" bestFit="1" customWidth="1"/>
    <col min="21" max="16384" width="10.90625" style="11"/>
  </cols>
  <sheetData>
    <row r="1" spans="1:25" s="36" customFormat="1" x14ac:dyDescent="0.25">
      <c r="A1" s="36" t="s">
        <v>5</v>
      </c>
      <c r="B1" s="36" t="s">
        <v>6</v>
      </c>
      <c r="C1" s="36" t="s">
        <v>11</v>
      </c>
      <c r="D1" s="36" t="s">
        <v>12</v>
      </c>
      <c r="E1" s="36" t="s">
        <v>13</v>
      </c>
      <c r="F1" s="36" t="s">
        <v>14</v>
      </c>
      <c r="G1" s="36" t="s">
        <v>15</v>
      </c>
      <c r="H1" s="36" t="s">
        <v>16</v>
      </c>
      <c r="I1" s="36" t="s">
        <v>17</v>
      </c>
      <c r="J1" s="36" t="s">
        <v>18</v>
      </c>
      <c r="K1" s="36" t="s">
        <v>19</v>
      </c>
      <c r="L1" s="36" t="s">
        <v>20</v>
      </c>
      <c r="M1" s="37" t="s">
        <v>22</v>
      </c>
      <c r="N1" s="37" t="s">
        <v>23</v>
      </c>
      <c r="O1" s="38" t="s">
        <v>24</v>
      </c>
      <c r="P1" s="39" t="s">
        <v>4</v>
      </c>
      <c r="Q1" s="36" t="s">
        <v>25</v>
      </c>
      <c r="R1" s="36" t="s">
        <v>26</v>
      </c>
      <c r="S1" s="36" t="s">
        <v>27</v>
      </c>
      <c r="T1" s="36" t="s">
        <v>28</v>
      </c>
      <c r="U1" s="36" t="s">
        <v>29</v>
      </c>
      <c r="V1" s="36" t="s">
        <v>30</v>
      </c>
      <c r="W1" s="36" t="s">
        <v>31</v>
      </c>
      <c r="X1" s="36" t="s">
        <v>32</v>
      </c>
      <c r="Y1" s="36" t="s">
        <v>33</v>
      </c>
    </row>
    <row r="2" spans="1:25" x14ac:dyDescent="0.25">
      <c r="A2" s="11">
        <v>101060401</v>
      </c>
      <c r="B2" s="11" t="s">
        <v>34</v>
      </c>
      <c r="C2" s="11" t="s">
        <v>35</v>
      </c>
      <c r="D2" s="11">
        <v>101060401</v>
      </c>
      <c r="H2" s="11" t="s">
        <v>9</v>
      </c>
      <c r="M2" s="11">
        <v>1183604.4099999999</v>
      </c>
      <c r="N2" s="11"/>
      <c r="O2" s="40">
        <v>1183604.4099999999</v>
      </c>
      <c r="P2" s="11" t="s">
        <v>9</v>
      </c>
      <c r="Q2" s="11">
        <v>1183604.4099999999</v>
      </c>
    </row>
    <row r="3" spans="1:25" x14ac:dyDescent="0.25">
      <c r="A3" s="11">
        <v>101060401</v>
      </c>
      <c r="B3" s="11" t="s">
        <v>34</v>
      </c>
      <c r="C3" s="41">
        <v>44837</v>
      </c>
      <c r="D3" s="41">
        <v>44837</v>
      </c>
      <c r="E3" s="11" t="s">
        <v>42</v>
      </c>
      <c r="F3" s="11" t="s">
        <v>357</v>
      </c>
      <c r="G3" s="11">
        <v>106373</v>
      </c>
      <c r="H3" s="11" t="s">
        <v>93</v>
      </c>
      <c r="J3" s="11" t="s">
        <v>38</v>
      </c>
      <c r="K3" s="11">
        <v>51010101</v>
      </c>
      <c r="L3" s="11" t="s">
        <v>48</v>
      </c>
      <c r="M3" s="11"/>
      <c r="N3" s="11">
        <v>37.26</v>
      </c>
      <c r="O3" s="42">
        <v>-37.26</v>
      </c>
      <c r="P3" s="43" t="s">
        <v>4489</v>
      </c>
      <c r="Q3" s="11">
        <v>1298631.96</v>
      </c>
      <c r="R3" s="11" t="s">
        <v>354</v>
      </c>
      <c r="S3" s="11" t="s">
        <v>40</v>
      </c>
      <c r="T3" s="11">
        <v>0</v>
      </c>
      <c r="V3" s="11" t="s">
        <v>41</v>
      </c>
    </row>
    <row r="4" spans="1:25" x14ac:dyDescent="0.25">
      <c r="A4" s="11">
        <v>101060401</v>
      </c>
      <c r="B4" s="11" t="s">
        <v>34</v>
      </c>
      <c r="C4" s="41">
        <v>44837</v>
      </c>
      <c r="D4" s="41">
        <v>44837</v>
      </c>
      <c r="E4" s="11" t="s">
        <v>36</v>
      </c>
      <c r="F4" s="11" t="s">
        <v>358</v>
      </c>
      <c r="G4" s="11">
        <v>106374</v>
      </c>
      <c r="H4" s="11" t="s">
        <v>52</v>
      </c>
      <c r="K4" s="11">
        <v>201040506</v>
      </c>
      <c r="L4" s="11" t="s">
        <v>46</v>
      </c>
      <c r="M4" s="11">
        <v>56</v>
      </c>
      <c r="N4" s="11"/>
      <c r="O4" s="42">
        <v>56</v>
      </c>
      <c r="P4" s="43" t="s">
        <v>4480</v>
      </c>
      <c r="Q4" s="11">
        <v>1298687.96</v>
      </c>
      <c r="R4" s="11" t="s">
        <v>270</v>
      </c>
      <c r="S4" s="11" t="s">
        <v>40</v>
      </c>
      <c r="T4" s="11">
        <v>0</v>
      </c>
    </row>
    <row r="5" spans="1:25" x14ac:dyDescent="0.25">
      <c r="A5" s="11">
        <v>101060401</v>
      </c>
      <c r="B5" s="11" t="s">
        <v>34</v>
      </c>
      <c r="C5" s="41">
        <v>44837</v>
      </c>
      <c r="D5" s="41">
        <v>44837</v>
      </c>
      <c r="E5" s="11" t="s">
        <v>42</v>
      </c>
      <c r="F5" s="11" t="s">
        <v>359</v>
      </c>
      <c r="G5" s="11">
        <v>106375</v>
      </c>
      <c r="H5" s="11" t="s">
        <v>57</v>
      </c>
      <c r="K5" s="11">
        <v>101060402</v>
      </c>
      <c r="L5" s="11" t="s">
        <v>44</v>
      </c>
      <c r="M5" s="11"/>
      <c r="N5" s="11">
        <v>56</v>
      </c>
      <c r="O5" s="42">
        <v>-56</v>
      </c>
      <c r="P5" s="43" t="s">
        <v>4481</v>
      </c>
      <c r="Q5" s="11">
        <v>1298631.96</v>
      </c>
      <c r="R5" s="11" t="s">
        <v>271</v>
      </c>
      <c r="S5" s="11" t="s">
        <v>40</v>
      </c>
      <c r="T5" s="11">
        <v>0</v>
      </c>
    </row>
    <row r="6" spans="1:25" x14ac:dyDescent="0.25">
      <c r="A6" s="11">
        <v>101060401</v>
      </c>
      <c r="B6" s="11" t="s">
        <v>34</v>
      </c>
      <c r="C6" s="41">
        <v>44837</v>
      </c>
      <c r="D6" s="41">
        <v>44837</v>
      </c>
      <c r="E6" s="11" t="s">
        <v>42</v>
      </c>
      <c r="F6" s="11" t="s">
        <v>360</v>
      </c>
      <c r="G6" s="11">
        <v>106376</v>
      </c>
      <c r="H6" s="11" t="s">
        <v>323</v>
      </c>
      <c r="J6" s="11" t="s">
        <v>38</v>
      </c>
      <c r="K6" s="11">
        <v>51010101</v>
      </c>
      <c r="L6" s="11" t="s">
        <v>48</v>
      </c>
      <c r="M6" s="11"/>
      <c r="N6" s="11">
        <v>565.4</v>
      </c>
      <c r="O6" s="42">
        <v>-565.4</v>
      </c>
      <c r="P6" s="43" t="s">
        <v>4489</v>
      </c>
      <c r="Q6" s="11">
        <v>1298066.56</v>
      </c>
      <c r="R6" s="11" t="s">
        <v>361</v>
      </c>
      <c r="S6" s="11" t="s">
        <v>40</v>
      </c>
      <c r="T6" s="11">
        <v>0</v>
      </c>
      <c r="V6" s="11" t="s">
        <v>41</v>
      </c>
    </row>
    <row r="7" spans="1:25" x14ac:dyDescent="0.25">
      <c r="A7" s="11">
        <v>101060401</v>
      </c>
      <c r="B7" s="11" t="s">
        <v>34</v>
      </c>
      <c r="C7" s="41">
        <v>44837</v>
      </c>
      <c r="D7" s="41">
        <v>44837</v>
      </c>
      <c r="E7" s="11" t="s">
        <v>42</v>
      </c>
      <c r="F7" s="11" t="s">
        <v>362</v>
      </c>
      <c r="G7" s="11">
        <v>106380</v>
      </c>
      <c r="H7" s="11" t="s">
        <v>363</v>
      </c>
      <c r="J7" s="11" t="s">
        <v>38</v>
      </c>
      <c r="K7" s="11">
        <v>51010101</v>
      </c>
      <c r="L7" s="11" t="s">
        <v>48</v>
      </c>
      <c r="M7" s="11"/>
      <c r="N7" s="11">
        <v>139.93</v>
      </c>
      <c r="O7" s="42">
        <v>-139.93</v>
      </c>
      <c r="P7" s="43" t="s">
        <v>4489</v>
      </c>
      <c r="Q7" s="11">
        <v>1297926.6299999999</v>
      </c>
      <c r="R7" s="11" t="s">
        <v>238</v>
      </c>
      <c r="S7" s="11" t="s">
        <v>40</v>
      </c>
      <c r="T7" s="11">
        <v>0</v>
      </c>
      <c r="V7" s="11" t="s">
        <v>41</v>
      </c>
    </row>
    <row r="8" spans="1:25" x14ac:dyDescent="0.25">
      <c r="A8" s="11">
        <v>101060401</v>
      </c>
      <c r="B8" s="11" t="s">
        <v>34</v>
      </c>
      <c r="C8" s="41">
        <v>44837</v>
      </c>
      <c r="D8" s="41">
        <v>44837</v>
      </c>
      <c r="E8" s="11" t="s">
        <v>42</v>
      </c>
      <c r="F8" s="11" t="s">
        <v>364</v>
      </c>
      <c r="G8" s="11">
        <v>106381</v>
      </c>
      <c r="H8" s="11" t="s">
        <v>123</v>
      </c>
      <c r="J8" s="11" t="s">
        <v>38</v>
      </c>
      <c r="K8" s="11">
        <v>51010101</v>
      </c>
      <c r="L8" s="11" t="s">
        <v>48</v>
      </c>
      <c r="M8" s="11"/>
      <c r="N8" s="11">
        <v>67.180000000000007</v>
      </c>
      <c r="O8" s="42">
        <v>-67.180000000000007</v>
      </c>
      <c r="P8" s="43" t="s">
        <v>4489</v>
      </c>
      <c r="Q8" s="11">
        <v>1297859.45</v>
      </c>
      <c r="R8" s="11" t="s">
        <v>365</v>
      </c>
      <c r="S8" s="11" t="s">
        <v>40</v>
      </c>
      <c r="T8" s="11">
        <v>0</v>
      </c>
      <c r="V8" s="11" t="s">
        <v>41</v>
      </c>
    </row>
    <row r="9" spans="1:25" x14ac:dyDescent="0.25">
      <c r="A9" s="11">
        <v>101060401</v>
      </c>
      <c r="B9" s="11" t="s">
        <v>34</v>
      </c>
      <c r="C9" s="41">
        <v>44837</v>
      </c>
      <c r="D9" s="41">
        <v>44837</v>
      </c>
      <c r="E9" s="11" t="s">
        <v>42</v>
      </c>
      <c r="F9" s="11" t="s">
        <v>366</v>
      </c>
      <c r="G9" s="11">
        <v>106382</v>
      </c>
      <c r="H9" s="11" t="s">
        <v>93</v>
      </c>
      <c r="J9" s="11" t="s">
        <v>38</v>
      </c>
      <c r="K9" s="11">
        <v>51010101</v>
      </c>
      <c r="L9" s="11" t="s">
        <v>48</v>
      </c>
      <c r="M9" s="11"/>
      <c r="N9" s="11">
        <v>37.6</v>
      </c>
      <c r="O9" s="42">
        <v>-37.6</v>
      </c>
      <c r="P9" s="43" t="s">
        <v>4489</v>
      </c>
      <c r="Q9" s="11">
        <v>1297821.8500000001</v>
      </c>
      <c r="R9" s="11" t="s">
        <v>145</v>
      </c>
      <c r="S9" s="11" t="s">
        <v>40</v>
      </c>
      <c r="T9" s="11">
        <v>0</v>
      </c>
      <c r="V9" s="11" t="s">
        <v>41</v>
      </c>
    </row>
    <row r="10" spans="1:25" x14ac:dyDescent="0.25">
      <c r="A10" s="11">
        <v>101060401</v>
      </c>
      <c r="B10" s="11" t="s">
        <v>34</v>
      </c>
      <c r="C10" s="41">
        <v>44837</v>
      </c>
      <c r="D10" s="41">
        <v>44837</v>
      </c>
      <c r="E10" s="11" t="s">
        <v>42</v>
      </c>
      <c r="F10" s="11" t="s">
        <v>367</v>
      </c>
      <c r="G10" s="11">
        <v>106385</v>
      </c>
      <c r="H10" s="11" t="s">
        <v>368</v>
      </c>
      <c r="J10" s="11" t="s">
        <v>38</v>
      </c>
      <c r="K10" s="11">
        <v>51010101</v>
      </c>
      <c r="L10" s="11" t="s">
        <v>48</v>
      </c>
      <c r="M10" s="11"/>
      <c r="N10" s="11">
        <v>341.03</v>
      </c>
      <c r="O10" s="42">
        <v>-341.03</v>
      </c>
      <c r="P10" s="43" t="s">
        <v>4489</v>
      </c>
      <c r="Q10" s="11">
        <v>1297480.82</v>
      </c>
      <c r="R10" s="11" t="s">
        <v>369</v>
      </c>
      <c r="S10" s="11" t="s">
        <v>40</v>
      </c>
      <c r="T10" s="11">
        <v>0</v>
      </c>
      <c r="V10" s="11" t="s">
        <v>41</v>
      </c>
    </row>
    <row r="11" spans="1:25" x14ac:dyDescent="0.25">
      <c r="A11" s="11">
        <v>101060401</v>
      </c>
      <c r="B11" s="11" t="s">
        <v>34</v>
      </c>
      <c r="C11" s="41">
        <v>44837</v>
      </c>
      <c r="D11" s="41">
        <v>44837</v>
      </c>
      <c r="E11" s="11" t="s">
        <v>42</v>
      </c>
      <c r="F11" s="11" t="s">
        <v>370</v>
      </c>
      <c r="G11" s="11">
        <v>106387</v>
      </c>
      <c r="H11" s="11" t="s">
        <v>63</v>
      </c>
      <c r="J11" s="11" t="s">
        <v>38</v>
      </c>
      <c r="K11" s="11">
        <v>51010101</v>
      </c>
      <c r="L11" s="11" t="s">
        <v>48</v>
      </c>
      <c r="M11" s="11"/>
      <c r="N11" s="11">
        <v>167.15</v>
      </c>
      <c r="O11" s="42">
        <v>-167.15</v>
      </c>
      <c r="P11" s="43" t="s">
        <v>4489</v>
      </c>
      <c r="Q11" s="11">
        <v>1297313.67</v>
      </c>
      <c r="R11" s="11" t="s">
        <v>371</v>
      </c>
      <c r="S11" s="11" t="s">
        <v>40</v>
      </c>
      <c r="T11" s="11">
        <v>0</v>
      </c>
      <c r="V11" s="11" t="s">
        <v>41</v>
      </c>
    </row>
    <row r="12" spans="1:25" x14ac:dyDescent="0.25">
      <c r="A12" s="11">
        <v>101060401</v>
      </c>
      <c r="B12" s="11" t="s">
        <v>34</v>
      </c>
      <c r="C12" s="41">
        <v>44837</v>
      </c>
      <c r="D12" s="41">
        <v>44837</v>
      </c>
      <c r="E12" s="11" t="s">
        <v>42</v>
      </c>
      <c r="F12" s="11" t="s">
        <v>372</v>
      </c>
      <c r="G12" s="11">
        <v>106390</v>
      </c>
      <c r="H12" s="11" t="s">
        <v>50</v>
      </c>
      <c r="J12" s="11" t="s">
        <v>38</v>
      </c>
      <c r="K12" s="11">
        <v>51010101</v>
      </c>
      <c r="L12" s="11" t="s">
        <v>48</v>
      </c>
      <c r="M12" s="11"/>
      <c r="N12" s="11">
        <v>408.52</v>
      </c>
      <c r="O12" s="42">
        <v>-408.52</v>
      </c>
      <c r="P12" s="43" t="s">
        <v>4489</v>
      </c>
      <c r="Q12" s="11">
        <v>1296905.1499999999</v>
      </c>
      <c r="R12" s="11" t="s">
        <v>373</v>
      </c>
      <c r="S12" s="11" t="s">
        <v>40</v>
      </c>
      <c r="T12" s="11">
        <v>0</v>
      </c>
      <c r="V12" s="11" t="s">
        <v>41</v>
      </c>
    </row>
    <row r="13" spans="1:25" x14ac:dyDescent="0.25">
      <c r="A13" s="11">
        <v>101060401</v>
      </c>
      <c r="B13" s="11" t="s">
        <v>34</v>
      </c>
      <c r="C13" s="41">
        <v>44837</v>
      </c>
      <c r="D13" s="41">
        <v>44837</v>
      </c>
      <c r="E13" s="11" t="s">
        <v>36</v>
      </c>
      <c r="F13" s="11" t="s">
        <v>374</v>
      </c>
      <c r="G13" s="11">
        <v>106391</v>
      </c>
      <c r="H13" s="11" t="s">
        <v>52</v>
      </c>
      <c r="K13" s="11">
        <v>201040506</v>
      </c>
      <c r="L13" s="11" t="s">
        <v>46</v>
      </c>
      <c r="M13" s="11">
        <v>132.06</v>
      </c>
      <c r="N13" s="11"/>
      <c r="O13" s="42">
        <v>132.06</v>
      </c>
      <c r="P13" s="43" t="s">
        <v>4480</v>
      </c>
      <c r="Q13" s="11">
        <v>1297037.21</v>
      </c>
      <c r="R13" s="11" t="s">
        <v>375</v>
      </c>
      <c r="S13" s="11" t="s">
        <v>40</v>
      </c>
      <c r="T13" s="11">
        <v>0</v>
      </c>
    </row>
    <row r="14" spans="1:25" x14ac:dyDescent="0.25">
      <c r="A14" s="11">
        <v>101060401</v>
      </c>
      <c r="B14" s="11" t="s">
        <v>34</v>
      </c>
      <c r="C14" s="41">
        <v>44837</v>
      </c>
      <c r="D14" s="41">
        <v>44837</v>
      </c>
      <c r="E14" s="11" t="s">
        <v>36</v>
      </c>
      <c r="F14" s="11" t="s">
        <v>376</v>
      </c>
      <c r="G14" s="11">
        <v>106392</v>
      </c>
      <c r="H14" s="11" t="s">
        <v>52</v>
      </c>
      <c r="K14" s="11">
        <v>201040506</v>
      </c>
      <c r="L14" s="11" t="s">
        <v>46</v>
      </c>
      <c r="M14" s="11">
        <v>6.12</v>
      </c>
      <c r="N14" s="11"/>
      <c r="O14" s="42">
        <v>6.12</v>
      </c>
      <c r="P14" s="43" t="s">
        <v>4480</v>
      </c>
      <c r="Q14" s="11">
        <v>1297043.33</v>
      </c>
      <c r="R14" s="11" t="s">
        <v>377</v>
      </c>
      <c r="S14" s="11" t="s">
        <v>40</v>
      </c>
      <c r="T14" s="11">
        <v>0</v>
      </c>
    </row>
    <row r="15" spans="1:25" x14ac:dyDescent="0.25">
      <c r="A15" s="11">
        <v>101060401</v>
      </c>
      <c r="B15" s="11" t="s">
        <v>34</v>
      </c>
      <c r="C15" s="41">
        <v>44837</v>
      </c>
      <c r="D15" s="41">
        <v>44837</v>
      </c>
      <c r="E15" s="11" t="s">
        <v>42</v>
      </c>
      <c r="F15" s="11" t="s">
        <v>378</v>
      </c>
      <c r="G15" s="11">
        <v>106393</v>
      </c>
      <c r="H15" s="11" t="s">
        <v>47</v>
      </c>
      <c r="J15" s="11" t="s">
        <v>38</v>
      </c>
      <c r="K15" s="11">
        <v>51010101</v>
      </c>
      <c r="L15" s="11" t="s">
        <v>48</v>
      </c>
      <c r="M15" s="11"/>
      <c r="N15" s="11">
        <v>132.06</v>
      </c>
      <c r="O15" s="42">
        <v>-132.06</v>
      </c>
      <c r="P15" s="43" t="s">
        <v>4489</v>
      </c>
      <c r="Q15" s="11">
        <v>1296911.27</v>
      </c>
      <c r="R15" s="11" t="s">
        <v>379</v>
      </c>
      <c r="S15" s="11" t="s">
        <v>40</v>
      </c>
      <c r="T15" s="11">
        <v>0</v>
      </c>
      <c r="V15" s="11" t="s">
        <v>41</v>
      </c>
    </row>
    <row r="16" spans="1:25" x14ac:dyDescent="0.25">
      <c r="A16" s="11">
        <v>101060401</v>
      </c>
      <c r="B16" s="11" t="s">
        <v>34</v>
      </c>
      <c r="C16" s="41">
        <v>44837</v>
      </c>
      <c r="D16" s="41">
        <v>44837</v>
      </c>
      <c r="E16" s="11" t="s">
        <v>42</v>
      </c>
      <c r="F16" s="11" t="s">
        <v>380</v>
      </c>
      <c r="G16" s="11">
        <v>106394</v>
      </c>
      <c r="H16" s="11" t="s">
        <v>57</v>
      </c>
      <c r="K16" s="11">
        <v>101060402</v>
      </c>
      <c r="L16" s="11" t="s">
        <v>44</v>
      </c>
      <c r="M16" s="11"/>
      <c r="N16" s="11">
        <v>246.57</v>
      </c>
      <c r="O16" s="42">
        <v>-246.57</v>
      </c>
      <c r="P16" s="43" t="s">
        <v>4481</v>
      </c>
      <c r="Q16" s="11">
        <v>1296664.7</v>
      </c>
      <c r="R16" s="11" t="s">
        <v>381</v>
      </c>
      <c r="S16" s="11" t="s">
        <v>40</v>
      </c>
      <c r="T16" s="11">
        <v>0</v>
      </c>
    </row>
    <row r="17" spans="1:22" x14ac:dyDescent="0.25">
      <c r="A17" s="11">
        <v>101060401</v>
      </c>
      <c r="B17" s="11" t="s">
        <v>34</v>
      </c>
      <c r="C17" s="41">
        <v>44837</v>
      </c>
      <c r="D17" s="41">
        <v>44837</v>
      </c>
      <c r="E17" s="11" t="s">
        <v>42</v>
      </c>
      <c r="F17" s="11" t="s">
        <v>382</v>
      </c>
      <c r="G17" s="11">
        <v>106399</v>
      </c>
      <c r="H17" s="11" t="s">
        <v>251</v>
      </c>
      <c r="J17" s="11" t="s">
        <v>38</v>
      </c>
      <c r="K17" s="11" t="s">
        <v>252</v>
      </c>
      <c r="L17" s="11" t="s">
        <v>253</v>
      </c>
      <c r="M17" s="11">
        <v>294.8</v>
      </c>
      <c r="N17" s="11"/>
      <c r="O17" s="42">
        <v>294.8</v>
      </c>
      <c r="P17" s="43" t="s">
        <v>4488</v>
      </c>
      <c r="Q17" s="11">
        <v>1296959.5</v>
      </c>
      <c r="R17" s="11" t="s">
        <v>383</v>
      </c>
      <c r="S17" s="11" t="s">
        <v>69</v>
      </c>
      <c r="T17" s="11">
        <v>0</v>
      </c>
      <c r="V17" s="11" t="s">
        <v>41</v>
      </c>
    </row>
    <row r="18" spans="1:22" x14ac:dyDescent="0.25">
      <c r="A18" s="11">
        <v>101060401</v>
      </c>
      <c r="B18" s="11" t="s">
        <v>34</v>
      </c>
      <c r="C18" s="41">
        <v>44837</v>
      </c>
      <c r="D18" s="41">
        <v>44837</v>
      </c>
      <c r="E18" s="11" t="s">
        <v>42</v>
      </c>
      <c r="F18" s="11" t="s">
        <v>384</v>
      </c>
      <c r="G18" s="11">
        <v>106400</v>
      </c>
      <c r="H18" s="11" t="s">
        <v>198</v>
      </c>
      <c r="J18" s="11" t="s">
        <v>38</v>
      </c>
      <c r="K18" s="11" t="s">
        <v>199</v>
      </c>
      <c r="L18" s="11" t="s">
        <v>200</v>
      </c>
      <c r="M18" s="11">
        <v>188.7</v>
      </c>
      <c r="N18" s="11"/>
      <c r="O18" s="42">
        <v>188.7</v>
      </c>
      <c r="P18" s="43" t="s">
        <v>4488</v>
      </c>
      <c r="Q18" s="11">
        <v>1297148.2</v>
      </c>
      <c r="R18" s="11" t="s">
        <v>385</v>
      </c>
      <c r="S18" s="11" t="s">
        <v>69</v>
      </c>
      <c r="T18" s="11">
        <v>0</v>
      </c>
      <c r="V18" s="11" t="s">
        <v>41</v>
      </c>
    </row>
    <row r="19" spans="1:22" x14ac:dyDescent="0.25">
      <c r="A19" s="11">
        <v>101060401</v>
      </c>
      <c r="B19" s="11" t="s">
        <v>34</v>
      </c>
      <c r="C19" s="41">
        <v>44837</v>
      </c>
      <c r="D19" s="41">
        <v>44837</v>
      </c>
      <c r="E19" s="11" t="s">
        <v>42</v>
      </c>
      <c r="F19" s="11" t="s">
        <v>386</v>
      </c>
      <c r="G19" s="11">
        <v>106401</v>
      </c>
      <c r="H19" s="11" t="s">
        <v>115</v>
      </c>
      <c r="J19" s="11" t="s">
        <v>38</v>
      </c>
      <c r="K19" s="11" t="s">
        <v>116</v>
      </c>
      <c r="L19" s="11" t="s">
        <v>117</v>
      </c>
      <c r="M19" s="11">
        <v>332.16</v>
      </c>
      <c r="N19" s="11"/>
      <c r="O19" s="42">
        <v>332.16</v>
      </c>
      <c r="P19" s="43" t="s">
        <v>4488</v>
      </c>
      <c r="Q19" s="11">
        <v>1297480.3600000001</v>
      </c>
      <c r="R19" s="11" t="s">
        <v>387</v>
      </c>
      <c r="S19" s="11" t="s">
        <v>69</v>
      </c>
      <c r="T19" s="11">
        <v>0</v>
      </c>
      <c r="V19" s="11" t="s">
        <v>41</v>
      </c>
    </row>
    <row r="20" spans="1:22" x14ac:dyDescent="0.25">
      <c r="A20" s="11">
        <v>101060401</v>
      </c>
      <c r="B20" s="11" t="s">
        <v>34</v>
      </c>
      <c r="C20" s="41">
        <v>44837</v>
      </c>
      <c r="D20" s="41">
        <v>44837</v>
      </c>
      <c r="E20" s="11" t="s">
        <v>42</v>
      </c>
      <c r="F20" s="11" t="s">
        <v>388</v>
      </c>
      <c r="G20" s="11">
        <v>106402</v>
      </c>
      <c r="H20" s="11" t="s">
        <v>77</v>
      </c>
      <c r="J20" s="11" t="s">
        <v>38</v>
      </c>
      <c r="K20" s="11">
        <v>51010101</v>
      </c>
      <c r="L20" s="11" t="s">
        <v>48</v>
      </c>
      <c r="M20" s="11"/>
      <c r="N20" s="11">
        <v>426.09</v>
      </c>
      <c r="O20" s="42">
        <v>-426.09</v>
      </c>
      <c r="P20" s="43" t="s">
        <v>4489</v>
      </c>
      <c r="Q20" s="11">
        <v>1297054.27</v>
      </c>
      <c r="R20" s="11" t="s">
        <v>389</v>
      </c>
      <c r="S20" s="11" t="s">
        <v>40</v>
      </c>
      <c r="T20" s="11">
        <v>0</v>
      </c>
      <c r="V20" s="11" t="s">
        <v>41</v>
      </c>
    </row>
    <row r="21" spans="1:22" x14ac:dyDescent="0.25">
      <c r="A21" s="11">
        <v>101060401</v>
      </c>
      <c r="B21" s="11" t="s">
        <v>34</v>
      </c>
      <c r="C21" s="41">
        <v>44837</v>
      </c>
      <c r="D21" s="41">
        <v>44837</v>
      </c>
      <c r="E21" s="11" t="s">
        <v>42</v>
      </c>
      <c r="F21" s="11" t="s">
        <v>390</v>
      </c>
      <c r="G21" s="11">
        <v>106405</v>
      </c>
      <c r="H21" s="11" t="s">
        <v>72</v>
      </c>
      <c r="J21" s="11" t="s">
        <v>38</v>
      </c>
      <c r="K21" s="11">
        <v>51010101</v>
      </c>
      <c r="L21" s="11" t="s">
        <v>48</v>
      </c>
      <c r="M21" s="11"/>
      <c r="N21" s="11">
        <v>46.76</v>
      </c>
      <c r="O21" s="42">
        <v>-46.76</v>
      </c>
      <c r="P21" s="43" t="s">
        <v>4489</v>
      </c>
      <c r="Q21" s="11">
        <v>1297007.51</v>
      </c>
      <c r="R21" s="11" t="s">
        <v>391</v>
      </c>
      <c r="S21" s="11" t="s">
        <v>40</v>
      </c>
      <c r="T21" s="11">
        <v>0</v>
      </c>
      <c r="V21" s="11" t="s">
        <v>41</v>
      </c>
    </row>
    <row r="22" spans="1:22" x14ac:dyDescent="0.25">
      <c r="A22" s="11">
        <v>101060401</v>
      </c>
      <c r="B22" s="11" t="s">
        <v>34</v>
      </c>
      <c r="C22" s="41">
        <v>44837</v>
      </c>
      <c r="D22" s="41">
        <v>44837</v>
      </c>
      <c r="E22" s="11" t="s">
        <v>42</v>
      </c>
      <c r="F22" s="11" t="s">
        <v>392</v>
      </c>
      <c r="G22" s="11">
        <v>106406</v>
      </c>
      <c r="H22" s="11" t="s">
        <v>139</v>
      </c>
      <c r="J22" s="11" t="s">
        <v>38</v>
      </c>
      <c r="K22" s="11">
        <v>51010101</v>
      </c>
      <c r="L22" s="11" t="s">
        <v>48</v>
      </c>
      <c r="M22" s="11"/>
      <c r="N22" s="11">
        <v>144.61000000000001</v>
      </c>
      <c r="O22" s="42">
        <v>-144.61000000000001</v>
      </c>
      <c r="P22" s="43" t="s">
        <v>4489</v>
      </c>
      <c r="Q22" s="11">
        <v>1296862.8999999999</v>
      </c>
      <c r="R22" s="11" t="s">
        <v>393</v>
      </c>
      <c r="S22" s="11" t="s">
        <v>40</v>
      </c>
      <c r="T22" s="11">
        <v>0</v>
      </c>
      <c r="V22" s="11" t="s">
        <v>41</v>
      </c>
    </row>
    <row r="23" spans="1:22" x14ac:dyDescent="0.25">
      <c r="A23" s="11">
        <v>101060401</v>
      </c>
      <c r="B23" s="11" t="s">
        <v>34</v>
      </c>
      <c r="C23" s="41">
        <v>44838</v>
      </c>
      <c r="D23" s="41">
        <v>44838</v>
      </c>
      <c r="E23" s="11" t="s">
        <v>42</v>
      </c>
      <c r="F23" s="11" t="s">
        <v>394</v>
      </c>
      <c r="G23" s="11">
        <v>106445</v>
      </c>
      <c r="H23" s="11" t="s">
        <v>64</v>
      </c>
      <c r="J23" s="11" t="s">
        <v>38</v>
      </c>
      <c r="K23" s="11">
        <v>51010101</v>
      </c>
      <c r="L23" s="11" t="s">
        <v>48</v>
      </c>
      <c r="M23" s="11"/>
      <c r="N23" s="11">
        <v>220.26</v>
      </c>
      <c r="O23" s="42">
        <v>-220.26</v>
      </c>
      <c r="P23" s="43" t="s">
        <v>4489</v>
      </c>
      <c r="Q23" s="11">
        <v>1296642.6399999999</v>
      </c>
      <c r="R23" s="11" t="s">
        <v>201</v>
      </c>
      <c r="S23" s="11" t="s">
        <v>40</v>
      </c>
      <c r="T23" s="11">
        <v>0</v>
      </c>
      <c r="V23" s="11" t="s">
        <v>41</v>
      </c>
    </row>
    <row r="24" spans="1:22" x14ac:dyDescent="0.25">
      <c r="A24" s="11">
        <v>101060401</v>
      </c>
      <c r="B24" s="11" t="s">
        <v>34</v>
      </c>
      <c r="C24" s="41">
        <v>44838</v>
      </c>
      <c r="D24" s="41">
        <v>44838</v>
      </c>
      <c r="E24" s="11" t="s">
        <v>42</v>
      </c>
      <c r="F24" s="11" t="s">
        <v>395</v>
      </c>
      <c r="G24" s="11">
        <v>106460</v>
      </c>
      <c r="H24" s="11" t="s">
        <v>50</v>
      </c>
      <c r="J24" s="11" t="s">
        <v>38</v>
      </c>
      <c r="K24" s="11">
        <v>51010101</v>
      </c>
      <c r="L24" s="11" t="s">
        <v>48</v>
      </c>
      <c r="M24" s="11"/>
      <c r="N24" s="11">
        <v>14.49</v>
      </c>
      <c r="O24" s="42">
        <v>-14.49</v>
      </c>
      <c r="P24" s="43" t="s">
        <v>4489</v>
      </c>
      <c r="Q24" s="11">
        <v>1296628.1499999999</v>
      </c>
      <c r="R24" s="11" t="s">
        <v>396</v>
      </c>
      <c r="S24" s="11" t="s">
        <v>40</v>
      </c>
      <c r="T24" s="11">
        <v>0</v>
      </c>
      <c r="V24" s="11" t="s">
        <v>41</v>
      </c>
    </row>
    <row r="25" spans="1:22" x14ac:dyDescent="0.25">
      <c r="A25" s="11">
        <v>101060401</v>
      </c>
      <c r="B25" s="11" t="s">
        <v>34</v>
      </c>
      <c r="C25" s="41">
        <v>44838</v>
      </c>
      <c r="D25" s="41">
        <v>44838</v>
      </c>
      <c r="E25" s="11" t="s">
        <v>42</v>
      </c>
      <c r="F25" s="11" t="s">
        <v>397</v>
      </c>
      <c r="G25" s="11">
        <v>106461</v>
      </c>
      <c r="H25" s="11" t="s">
        <v>50</v>
      </c>
      <c r="J25" s="11" t="s">
        <v>38</v>
      </c>
      <c r="K25" s="11">
        <v>51010101</v>
      </c>
      <c r="L25" s="11" t="s">
        <v>48</v>
      </c>
      <c r="M25" s="11"/>
      <c r="N25" s="11">
        <v>14.12</v>
      </c>
      <c r="O25" s="42">
        <v>-14.12</v>
      </c>
      <c r="P25" s="43" t="s">
        <v>4489</v>
      </c>
      <c r="Q25" s="11">
        <v>1296614.03</v>
      </c>
      <c r="R25" s="11" t="s">
        <v>143</v>
      </c>
      <c r="S25" s="11" t="s">
        <v>40</v>
      </c>
      <c r="T25" s="11">
        <v>0</v>
      </c>
      <c r="V25" s="11" t="s">
        <v>41</v>
      </c>
    </row>
    <row r="26" spans="1:22" x14ac:dyDescent="0.25">
      <c r="A26" s="11">
        <v>101060401</v>
      </c>
      <c r="B26" s="11" t="s">
        <v>34</v>
      </c>
      <c r="C26" s="41">
        <v>44838</v>
      </c>
      <c r="D26" s="41">
        <v>44838</v>
      </c>
      <c r="E26" s="11" t="s">
        <v>42</v>
      </c>
      <c r="F26" s="11" t="s">
        <v>398</v>
      </c>
      <c r="G26" s="11">
        <v>106463</v>
      </c>
      <c r="H26" s="11" t="s">
        <v>57</v>
      </c>
      <c r="K26" s="11">
        <v>101060402</v>
      </c>
      <c r="L26" s="11" t="s">
        <v>44</v>
      </c>
      <c r="M26" s="11"/>
      <c r="N26" s="11">
        <v>123.19</v>
      </c>
      <c r="O26" s="42">
        <v>-123.19</v>
      </c>
      <c r="P26" s="43" t="s">
        <v>4481</v>
      </c>
      <c r="Q26" s="11">
        <v>1296490.8400000001</v>
      </c>
      <c r="R26" s="11" t="s">
        <v>269</v>
      </c>
      <c r="S26" s="11" t="s">
        <v>40</v>
      </c>
      <c r="T26" s="11">
        <v>0</v>
      </c>
    </row>
    <row r="27" spans="1:22" x14ac:dyDescent="0.25">
      <c r="A27" s="11">
        <v>101060401</v>
      </c>
      <c r="B27" s="11" t="s">
        <v>34</v>
      </c>
      <c r="C27" s="41">
        <v>44838</v>
      </c>
      <c r="D27" s="41">
        <v>44838</v>
      </c>
      <c r="E27" s="11" t="s">
        <v>36</v>
      </c>
      <c r="F27" s="11" t="s">
        <v>399</v>
      </c>
      <c r="G27" s="11">
        <v>106464</v>
      </c>
      <c r="H27" s="11" t="s">
        <v>52</v>
      </c>
      <c r="K27" s="11">
        <v>201040506</v>
      </c>
      <c r="L27" s="11" t="s">
        <v>46</v>
      </c>
      <c r="M27" s="11">
        <v>73.099999999999994</v>
      </c>
      <c r="N27" s="11"/>
      <c r="O27" s="42">
        <v>73.099999999999994</v>
      </c>
      <c r="P27" s="43" t="s">
        <v>4480</v>
      </c>
      <c r="Q27" s="11">
        <v>1296563.94</v>
      </c>
      <c r="R27" s="11" t="s">
        <v>400</v>
      </c>
      <c r="S27" s="11" t="s">
        <v>40</v>
      </c>
      <c r="T27" s="11">
        <v>0</v>
      </c>
    </row>
    <row r="28" spans="1:22" x14ac:dyDescent="0.25">
      <c r="A28" s="11">
        <v>101060401</v>
      </c>
      <c r="B28" s="11" t="s">
        <v>34</v>
      </c>
      <c r="C28" s="41">
        <v>44838</v>
      </c>
      <c r="D28" s="41">
        <v>44838</v>
      </c>
      <c r="E28" s="11" t="s">
        <v>36</v>
      </c>
      <c r="F28" s="11" t="s">
        <v>401</v>
      </c>
      <c r="G28" s="11">
        <v>106466</v>
      </c>
      <c r="H28" s="11" t="s">
        <v>52</v>
      </c>
      <c r="K28" s="11">
        <v>201040506</v>
      </c>
      <c r="L28" s="11" t="s">
        <v>46</v>
      </c>
      <c r="M28" s="11">
        <v>263.2</v>
      </c>
      <c r="N28" s="11"/>
      <c r="O28" s="42">
        <v>263.2</v>
      </c>
      <c r="P28" s="43" t="s">
        <v>4480</v>
      </c>
      <c r="Q28" s="11">
        <v>1296827.1399999999</v>
      </c>
      <c r="R28" s="11" t="s">
        <v>402</v>
      </c>
      <c r="S28" s="11" t="s">
        <v>40</v>
      </c>
      <c r="T28" s="11">
        <v>0</v>
      </c>
    </row>
    <row r="29" spans="1:22" x14ac:dyDescent="0.25">
      <c r="A29" s="11">
        <v>101060401</v>
      </c>
      <c r="B29" s="11" t="s">
        <v>34</v>
      </c>
      <c r="C29" s="41">
        <v>44838</v>
      </c>
      <c r="D29" s="41">
        <v>44838</v>
      </c>
      <c r="E29" s="11" t="s">
        <v>42</v>
      </c>
      <c r="F29" s="11" t="s">
        <v>403</v>
      </c>
      <c r="G29" s="11">
        <v>106470</v>
      </c>
      <c r="H29" s="11" t="s">
        <v>74</v>
      </c>
      <c r="J29" s="11" t="s">
        <v>38</v>
      </c>
      <c r="K29" s="11">
        <v>51010101</v>
      </c>
      <c r="L29" s="11" t="s">
        <v>48</v>
      </c>
      <c r="M29" s="11"/>
      <c r="N29" s="11">
        <v>458.8</v>
      </c>
      <c r="O29" s="42">
        <v>-458.8</v>
      </c>
      <c r="P29" s="43" t="s">
        <v>4489</v>
      </c>
      <c r="Q29" s="11">
        <v>1296368.3400000001</v>
      </c>
      <c r="R29" s="11" t="s">
        <v>404</v>
      </c>
      <c r="S29" s="11" t="s">
        <v>40</v>
      </c>
      <c r="T29" s="11">
        <v>0</v>
      </c>
      <c r="V29" s="11" t="s">
        <v>41</v>
      </c>
    </row>
    <row r="30" spans="1:22" x14ac:dyDescent="0.25">
      <c r="A30" s="11">
        <v>101060401</v>
      </c>
      <c r="B30" s="11" t="s">
        <v>34</v>
      </c>
      <c r="C30" s="41">
        <v>44838</v>
      </c>
      <c r="D30" s="41">
        <v>44838</v>
      </c>
      <c r="E30" s="11" t="s">
        <v>42</v>
      </c>
      <c r="F30" s="11" t="s">
        <v>405</v>
      </c>
      <c r="G30" s="11">
        <v>106479</v>
      </c>
      <c r="H30" s="11" t="s">
        <v>50</v>
      </c>
      <c r="J30" s="11" t="s">
        <v>38</v>
      </c>
      <c r="K30" s="11">
        <v>51010101</v>
      </c>
      <c r="L30" s="11" t="s">
        <v>48</v>
      </c>
      <c r="M30" s="11"/>
      <c r="N30" s="11">
        <v>17.760000000000002</v>
      </c>
      <c r="O30" s="42">
        <v>-17.760000000000002</v>
      </c>
      <c r="P30" s="43" t="s">
        <v>4489</v>
      </c>
      <c r="Q30" s="11">
        <v>1296350.58</v>
      </c>
      <c r="R30" s="11" t="s">
        <v>167</v>
      </c>
      <c r="S30" s="11" t="s">
        <v>40</v>
      </c>
      <c r="T30" s="11">
        <v>0</v>
      </c>
      <c r="V30" s="11" t="s">
        <v>41</v>
      </c>
    </row>
    <row r="31" spans="1:22" x14ac:dyDescent="0.25">
      <c r="A31" s="11">
        <v>101060401</v>
      </c>
      <c r="B31" s="11" t="s">
        <v>34</v>
      </c>
      <c r="C31" s="41">
        <v>44838</v>
      </c>
      <c r="D31" s="41">
        <v>44838</v>
      </c>
      <c r="E31" s="11" t="s">
        <v>36</v>
      </c>
      <c r="F31" s="11" t="s">
        <v>406</v>
      </c>
      <c r="G31" s="11">
        <v>106502</v>
      </c>
      <c r="H31" s="11" t="s">
        <v>75</v>
      </c>
      <c r="J31" s="11" t="s">
        <v>38</v>
      </c>
      <c r="K31" s="11">
        <v>51010101</v>
      </c>
      <c r="L31" s="11" t="s">
        <v>48</v>
      </c>
      <c r="M31" s="11"/>
      <c r="N31" s="11">
        <v>337.61</v>
      </c>
      <c r="O31" s="42">
        <v>-337.61</v>
      </c>
      <c r="P31" s="43" t="s">
        <v>4489</v>
      </c>
      <c r="Q31" s="11">
        <v>1296012.97</v>
      </c>
      <c r="R31" s="11" t="s">
        <v>407</v>
      </c>
      <c r="S31" s="11" t="s">
        <v>40</v>
      </c>
      <c r="T31" s="11">
        <v>0</v>
      </c>
      <c r="V31" s="11" t="s">
        <v>41</v>
      </c>
    </row>
    <row r="32" spans="1:22" x14ac:dyDescent="0.25">
      <c r="A32" s="11">
        <v>101060401</v>
      </c>
      <c r="B32" s="11" t="s">
        <v>34</v>
      </c>
      <c r="C32" s="41">
        <v>44838</v>
      </c>
      <c r="D32" s="41">
        <v>44838</v>
      </c>
      <c r="E32" s="11" t="s">
        <v>42</v>
      </c>
      <c r="F32" s="11" t="s">
        <v>408</v>
      </c>
      <c r="G32" s="11">
        <v>106526</v>
      </c>
      <c r="H32" s="11" t="s">
        <v>64</v>
      </c>
      <c r="J32" s="11" t="s">
        <v>38</v>
      </c>
      <c r="K32" s="11">
        <v>51010101</v>
      </c>
      <c r="L32" s="11" t="s">
        <v>48</v>
      </c>
      <c r="M32" s="11"/>
      <c r="N32" s="11">
        <v>19.579999999999998</v>
      </c>
      <c r="O32" s="42">
        <v>-19.579999999999998</v>
      </c>
      <c r="P32" s="43" t="s">
        <v>4489</v>
      </c>
      <c r="Q32" s="11">
        <v>1295993.3899999999</v>
      </c>
      <c r="R32" s="11" t="s">
        <v>409</v>
      </c>
      <c r="S32" s="11" t="s">
        <v>40</v>
      </c>
      <c r="T32" s="11">
        <v>0</v>
      </c>
      <c r="V32" s="11" t="s">
        <v>41</v>
      </c>
    </row>
    <row r="33" spans="1:22" x14ac:dyDescent="0.25">
      <c r="A33" s="11">
        <v>101060401</v>
      </c>
      <c r="B33" s="11" t="s">
        <v>34</v>
      </c>
      <c r="C33" s="41">
        <v>44838</v>
      </c>
      <c r="D33" s="41">
        <v>44838</v>
      </c>
      <c r="E33" s="11" t="s">
        <v>36</v>
      </c>
      <c r="F33" s="11" t="s">
        <v>410</v>
      </c>
      <c r="G33" s="11">
        <v>106535</v>
      </c>
      <c r="H33" s="11" t="s">
        <v>75</v>
      </c>
      <c r="J33" s="11" t="s">
        <v>38</v>
      </c>
      <c r="K33" s="11">
        <v>51010101</v>
      </c>
      <c r="L33" s="11" t="s">
        <v>48</v>
      </c>
      <c r="M33" s="11"/>
      <c r="N33" s="11">
        <v>85.94</v>
      </c>
      <c r="O33" s="42">
        <v>-85.94</v>
      </c>
      <c r="P33" s="43" t="s">
        <v>4489</v>
      </c>
      <c r="Q33" s="11">
        <v>1295907.45</v>
      </c>
      <c r="R33" s="11" t="s">
        <v>411</v>
      </c>
      <c r="S33" s="11" t="s">
        <v>40</v>
      </c>
      <c r="T33" s="11">
        <v>0</v>
      </c>
      <c r="V33" s="11" t="s">
        <v>41</v>
      </c>
    </row>
    <row r="34" spans="1:22" x14ac:dyDescent="0.25">
      <c r="A34" s="11">
        <v>101060401</v>
      </c>
      <c r="B34" s="11" t="s">
        <v>34</v>
      </c>
      <c r="C34" s="41">
        <v>44838</v>
      </c>
      <c r="D34" s="41">
        <v>44838</v>
      </c>
      <c r="E34" s="11" t="s">
        <v>36</v>
      </c>
      <c r="F34" s="11" t="s">
        <v>412</v>
      </c>
      <c r="G34" s="11">
        <v>106544</v>
      </c>
      <c r="H34" s="11" t="s">
        <v>37</v>
      </c>
      <c r="K34" s="11">
        <v>401030105</v>
      </c>
      <c r="L34" s="11" t="s">
        <v>54</v>
      </c>
      <c r="M34" s="26">
        <v>369.63</v>
      </c>
      <c r="O34" s="44">
        <v>369.63</v>
      </c>
      <c r="P34" s="43" t="s">
        <v>4494</v>
      </c>
      <c r="Q34" s="11">
        <v>1296277.08</v>
      </c>
      <c r="R34" s="11" t="s">
        <v>413</v>
      </c>
      <c r="S34" s="11" t="s">
        <v>40</v>
      </c>
      <c r="T34" s="11">
        <v>0</v>
      </c>
    </row>
    <row r="35" spans="1:22" x14ac:dyDescent="0.25">
      <c r="A35" s="11">
        <v>101060401</v>
      </c>
      <c r="B35" s="11" t="s">
        <v>34</v>
      </c>
      <c r="C35" s="41">
        <v>44838</v>
      </c>
      <c r="D35" s="41">
        <v>44838</v>
      </c>
      <c r="E35" s="11" t="s">
        <v>42</v>
      </c>
      <c r="F35" s="11" t="s">
        <v>414</v>
      </c>
      <c r="G35" s="11">
        <v>106546</v>
      </c>
      <c r="H35" s="11" t="s">
        <v>57</v>
      </c>
      <c r="K35" s="11">
        <v>101060402</v>
      </c>
      <c r="L35" s="11" t="s">
        <v>44</v>
      </c>
      <c r="M35" s="11"/>
      <c r="N35" s="11">
        <v>781.03</v>
      </c>
      <c r="O35" s="42">
        <v>-781.03</v>
      </c>
      <c r="P35" s="43" t="s">
        <v>4481</v>
      </c>
      <c r="Q35" s="11">
        <v>1295496.05</v>
      </c>
      <c r="R35" s="11" t="s">
        <v>415</v>
      </c>
      <c r="S35" s="11" t="s">
        <v>40</v>
      </c>
      <c r="T35" s="11">
        <v>0</v>
      </c>
    </row>
    <row r="36" spans="1:22" x14ac:dyDescent="0.25">
      <c r="A36" s="11">
        <v>101060401</v>
      </c>
      <c r="B36" s="11" t="s">
        <v>34</v>
      </c>
      <c r="C36" s="41">
        <v>44839</v>
      </c>
      <c r="D36" s="41">
        <v>44839</v>
      </c>
      <c r="E36" s="11" t="s">
        <v>42</v>
      </c>
      <c r="F36" s="11" t="s">
        <v>416</v>
      </c>
      <c r="G36" s="11">
        <v>106548</v>
      </c>
      <c r="H36" s="11" t="s">
        <v>57</v>
      </c>
      <c r="K36" s="11">
        <v>101060402</v>
      </c>
      <c r="L36" s="11" t="s">
        <v>44</v>
      </c>
      <c r="M36" s="11">
        <v>144.96</v>
      </c>
      <c r="N36" s="11"/>
      <c r="O36" s="42">
        <v>144.96</v>
      </c>
      <c r="P36" s="43" t="s">
        <v>4481</v>
      </c>
      <c r="Q36" s="11">
        <v>1295641.01</v>
      </c>
      <c r="R36" s="11" t="s">
        <v>417</v>
      </c>
      <c r="S36" s="11" t="s">
        <v>106</v>
      </c>
      <c r="T36" s="11">
        <v>0</v>
      </c>
    </row>
    <row r="37" spans="1:22" x14ac:dyDescent="0.25">
      <c r="A37" s="11">
        <v>101060401</v>
      </c>
      <c r="B37" s="11" t="s">
        <v>34</v>
      </c>
      <c r="C37" s="41">
        <v>44839</v>
      </c>
      <c r="D37" s="41">
        <v>44839</v>
      </c>
      <c r="E37" s="11" t="s">
        <v>42</v>
      </c>
      <c r="F37" s="11" t="s">
        <v>418</v>
      </c>
      <c r="G37" s="11">
        <v>106558</v>
      </c>
      <c r="H37" s="11" t="s">
        <v>57</v>
      </c>
      <c r="K37" s="11">
        <v>101060402</v>
      </c>
      <c r="L37" s="11" t="s">
        <v>44</v>
      </c>
      <c r="M37" s="11"/>
      <c r="N37" s="11">
        <v>234.7</v>
      </c>
      <c r="O37" s="42">
        <v>-234.7</v>
      </c>
      <c r="P37" s="43" t="s">
        <v>4481</v>
      </c>
      <c r="Q37" s="11">
        <v>1295406.31</v>
      </c>
      <c r="R37" s="11" t="s">
        <v>419</v>
      </c>
      <c r="S37" s="11" t="s">
        <v>40</v>
      </c>
      <c r="T37" s="11">
        <v>0</v>
      </c>
    </row>
    <row r="38" spans="1:22" x14ac:dyDescent="0.25">
      <c r="A38" s="11">
        <v>101060401</v>
      </c>
      <c r="B38" s="11" t="s">
        <v>34</v>
      </c>
      <c r="C38" s="41">
        <v>44839</v>
      </c>
      <c r="D38" s="41">
        <v>44839</v>
      </c>
      <c r="E38" s="11" t="s">
        <v>42</v>
      </c>
      <c r="F38" s="11" t="s">
        <v>420</v>
      </c>
      <c r="G38" s="11">
        <v>106563</v>
      </c>
      <c r="H38" s="11" t="s">
        <v>47</v>
      </c>
      <c r="J38" s="11" t="s">
        <v>38</v>
      </c>
      <c r="K38" s="11">
        <v>51010101</v>
      </c>
      <c r="L38" s="11" t="s">
        <v>48</v>
      </c>
      <c r="M38" s="11"/>
      <c r="N38" s="11">
        <v>1108.46</v>
      </c>
      <c r="O38" s="42">
        <v>-1108.46</v>
      </c>
      <c r="P38" s="43" t="s">
        <v>4489</v>
      </c>
      <c r="Q38" s="11">
        <v>1294297.8500000001</v>
      </c>
      <c r="R38" s="11" t="s">
        <v>421</v>
      </c>
      <c r="S38" s="11" t="s">
        <v>40</v>
      </c>
      <c r="T38" s="11">
        <v>0</v>
      </c>
      <c r="V38" s="11" t="s">
        <v>41</v>
      </c>
    </row>
    <row r="39" spans="1:22" x14ac:dyDescent="0.25">
      <c r="A39" s="11">
        <v>101060401</v>
      </c>
      <c r="B39" s="11" t="s">
        <v>34</v>
      </c>
      <c r="C39" s="41">
        <v>44839</v>
      </c>
      <c r="D39" s="41">
        <v>44839</v>
      </c>
      <c r="E39" s="11" t="s">
        <v>42</v>
      </c>
      <c r="F39" s="11" t="s">
        <v>422</v>
      </c>
      <c r="G39" s="11">
        <v>106566</v>
      </c>
      <c r="H39" s="11" t="s">
        <v>57</v>
      </c>
      <c r="K39" s="11">
        <v>101060402</v>
      </c>
      <c r="L39" s="11" t="s">
        <v>44</v>
      </c>
      <c r="M39" s="11"/>
      <c r="N39" s="11">
        <v>7922.1</v>
      </c>
      <c r="O39" s="42">
        <v>-7922.1</v>
      </c>
      <c r="P39" s="43" t="s">
        <v>4481</v>
      </c>
      <c r="Q39" s="11">
        <v>1286375.75</v>
      </c>
      <c r="R39" s="11" t="s">
        <v>423</v>
      </c>
      <c r="S39" s="11" t="s">
        <v>106</v>
      </c>
      <c r="T39" s="11">
        <v>0</v>
      </c>
    </row>
    <row r="40" spans="1:22" x14ac:dyDescent="0.25">
      <c r="A40" s="11">
        <v>101060401</v>
      </c>
      <c r="B40" s="11" t="s">
        <v>34</v>
      </c>
      <c r="C40" s="41">
        <v>44839</v>
      </c>
      <c r="D40" s="41">
        <v>44839</v>
      </c>
      <c r="E40" s="11" t="s">
        <v>42</v>
      </c>
      <c r="F40" s="11" t="s">
        <v>422</v>
      </c>
      <c r="G40" s="11">
        <v>106566</v>
      </c>
      <c r="H40" s="11" t="s">
        <v>57</v>
      </c>
      <c r="K40" s="11">
        <v>101060402</v>
      </c>
      <c r="L40" s="11" t="s">
        <v>44</v>
      </c>
      <c r="M40" s="11">
        <v>1958.13</v>
      </c>
      <c r="N40" s="11"/>
      <c r="O40" s="42">
        <v>1958.13</v>
      </c>
      <c r="P40" s="43" t="s">
        <v>4481</v>
      </c>
      <c r="Q40" s="11">
        <v>1288333.8799999999</v>
      </c>
      <c r="R40" s="11" t="s">
        <v>424</v>
      </c>
      <c r="S40" s="11" t="s">
        <v>106</v>
      </c>
      <c r="T40" s="11">
        <v>0</v>
      </c>
    </row>
    <row r="41" spans="1:22" x14ac:dyDescent="0.25">
      <c r="A41" s="11">
        <v>101060401</v>
      </c>
      <c r="B41" s="11" t="s">
        <v>34</v>
      </c>
      <c r="C41" s="41">
        <v>44839</v>
      </c>
      <c r="D41" s="41">
        <v>44839</v>
      </c>
      <c r="E41" s="11" t="s">
        <v>42</v>
      </c>
      <c r="F41" s="11" t="s">
        <v>425</v>
      </c>
      <c r="G41" s="11">
        <v>106567</v>
      </c>
      <c r="H41" s="11" t="s">
        <v>68</v>
      </c>
      <c r="J41" s="11" t="s">
        <v>38</v>
      </c>
      <c r="K41" s="11">
        <v>51010101</v>
      </c>
      <c r="L41" s="11" t="s">
        <v>48</v>
      </c>
      <c r="M41" s="11"/>
      <c r="N41" s="11">
        <v>62.21</v>
      </c>
      <c r="O41" s="42">
        <v>-62.21</v>
      </c>
      <c r="P41" s="43" t="s">
        <v>4489</v>
      </c>
      <c r="Q41" s="11">
        <v>1288271.67</v>
      </c>
      <c r="R41" s="11" t="s">
        <v>426</v>
      </c>
      <c r="S41" s="11" t="s">
        <v>40</v>
      </c>
      <c r="T41" s="11">
        <v>0</v>
      </c>
      <c r="V41" s="11" t="s">
        <v>41</v>
      </c>
    </row>
    <row r="42" spans="1:22" x14ac:dyDescent="0.25">
      <c r="A42" s="11">
        <v>101060401</v>
      </c>
      <c r="B42" s="11" t="s">
        <v>34</v>
      </c>
      <c r="C42" s="41">
        <v>44839</v>
      </c>
      <c r="D42" s="41">
        <v>44839</v>
      </c>
      <c r="E42" s="11" t="s">
        <v>42</v>
      </c>
      <c r="F42" s="11" t="s">
        <v>427</v>
      </c>
      <c r="G42" s="11">
        <v>106572</v>
      </c>
      <c r="H42" s="11" t="s">
        <v>139</v>
      </c>
      <c r="J42" s="11" t="s">
        <v>38</v>
      </c>
      <c r="K42" s="11">
        <v>51010101</v>
      </c>
      <c r="L42" s="11" t="s">
        <v>48</v>
      </c>
      <c r="M42" s="11"/>
      <c r="N42" s="11">
        <v>31.5</v>
      </c>
      <c r="O42" s="42">
        <v>-31.5</v>
      </c>
      <c r="P42" s="43" t="s">
        <v>4489</v>
      </c>
      <c r="Q42" s="11">
        <v>1288240.17</v>
      </c>
      <c r="R42" s="11" t="s">
        <v>329</v>
      </c>
      <c r="S42" s="11" t="s">
        <v>40</v>
      </c>
      <c r="T42" s="11">
        <v>0</v>
      </c>
      <c r="V42" s="11" t="s">
        <v>41</v>
      </c>
    </row>
    <row r="43" spans="1:22" x14ac:dyDescent="0.25">
      <c r="A43" s="11">
        <v>101060401</v>
      </c>
      <c r="B43" s="11" t="s">
        <v>34</v>
      </c>
      <c r="C43" s="41">
        <v>44839</v>
      </c>
      <c r="D43" s="41">
        <v>44839</v>
      </c>
      <c r="E43" s="11" t="s">
        <v>36</v>
      </c>
      <c r="F43" s="11" t="s">
        <v>428</v>
      </c>
      <c r="G43" s="11">
        <v>106573</v>
      </c>
      <c r="H43" s="11" t="s">
        <v>52</v>
      </c>
      <c r="K43" s="11">
        <v>201040506</v>
      </c>
      <c r="L43" s="11" t="s">
        <v>46</v>
      </c>
      <c r="M43" s="11">
        <v>145.51</v>
      </c>
      <c r="N43" s="11"/>
      <c r="O43" s="42">
        <v>145.51</v>
      </c>
      <c r="P43" s="43" t="s">
        <v>4480</v>
      </c>
      <c r="Q43" s="11">
        <v>1288385.68</v>
      </c>
      <c r="R43" s="11" t="s">
        <v>429</v>
      </c>
      <c r="S43" s="11" t="s">
        <v>40</v>
      </c>
      <c r="T43" s="11">
        <v>0</v>
      </c>
    </row>
    <row r="44" spans="1:22" x14ac:dyDescent="0.25">
      <c r="A44" s="11">
        <v>101060401</v>
      </c>
      <c r="B44" s="11" t="s">
        <v>34</v>
      </c>
      <c r="C44" s="41">
        <v>44839</v>
      </c>
      <c r="D44" s="41">
        <v>44839</v>
      </c>
      <c r="E44" s="11" t="s">
        <v>36</v>
      </c>
      <c r="F44" s="11" t="s">
        <v>430</v>
      </c>
      <c r="G44" s="11">
        <v>106574</v>
      </c>
      <c r="H44" s="11" t="s">
        <v>52</v>
      </c>
      <c r="K44" s="11">
        <v>201040506</v>
      </c>
      <c r="L44" s="11" t="s">
        <v>46</v>
      </c>
      <c r="M44" s="11">
        <v>173.06</v>
      </c>
      <c r="N44" s="11"/>
      <c r="O44" s="42">
        <v>173.06</v>
      </c>
      <c r="P44" s="43" t="s">
        <v>4480</v>
      </c>
      <c r="Q44" s="11">
        <v>1288558.74</v>
      </c>
      <c r="R44" s="11" t="s">
        <v>431</v>
      </c>
      <c r="S44" s="11" t="s">
        <v>40</v>
      </c>
      <c r="T44" s="11">
        <v>0</v>
      </c>
    </row>
    <row r="45" spans="1:22" x14ac:dyDescent="0.25">
      <c r="A45" s="11">
        <v>101060401</v>
      </c>
      <c r="B45" s="11" t="s">
        <v>34</v>
      </c>
      <c r="C45" s="41">
        <v>44839</v>
      </c>
      <c r="D45" s="41">
        <v>44839</v>
      </c>
      <c r="E45" s="11" t="s">
        <v>42</v>
      </c>
      <c r="F45" s="11" t="s">
        <v>432</v>
      </c>
      <c r="G45" s="11">
        <v>106575</v>
      </c>
      <c r="H45" s="11" t="s">
        <v>176</v>
      </c>
      <c r="J45" s="11" t="s">
        <v>38</v>
      </c>
      <c r="K45" s="11">
        <v>51010101</v>
      </c>
      <c r="L45" s="11" t="s">
        <v>48</v>
      </c>
      <c r="M45" s="11"/>
      <c r="N45" s="11">
        <v>189.8</v>
      </c>
      <c r="O45" s="42">
        <v>-189.8</v>
      </c>
      <c r="P45" s="43" t="s">
        <v>4489</v>
      </c>
      <c r="Q45" s="11">
        <v>1288368.94</v>
      </c>
      <c r="R45" s="11" t="s">
        <v>433</v>
      </c>
      <c r="S45" s="11" t="s">
        <v>40</v>
      </c>
      <c r="T45" s="11">
        <v>0</v>
      </c>
      <c r="V45" s="11" t="s">
        <v>41</v>
      </c>
    </row>
    <row r="46" spans="1:22" x14ac:dyDescent="0.25">
      <c r="A46" s="11">
        <v>101060401</v>
      </c>
      <c r="B46" s="11" t="s">
        <v>34</v>
      </c>
      <c r="C46" s="41">
        <v>44839</v>
      </c>
      <c r="D46" s="41">
        <v>44839</v>
      </c>
      <c r="E46" s="11" t="s">
        <v>42</v>
      </c>
      <c r="F46" s="11" t="s">
        <v>434</v>
      </c>
      <c r="G46" s="11">
        <v>106576</v>
      </c>
      <c r="H46" s="11" t="s">
        <v>212</v>
      </c>
      <c r="J46" s="11" t="s">
        <v>38</v>
      </c>
      <c r="K46" s="11">
        <v>51010101</v>
      </c>
      <c r="L46" s="11" t="s">
        <v>48</v>
      </c>
      <c r="M46" s="11"/>
      <c r="N46" s="11">
        <v>172.55</v>
      </c>
      <c r="O46" s="42">
        <v>-172.55</v>
      </c>
      <c r="P46" s="43" t="s">
        <v>4489</v>
      </c>
      <c r="Q46" s="11">
        <v>1288196.3899999999</v>
      </c>
      <c r="R46" s="11" t="s">
        <v>435</v>
      </c>
      <c r="S46" s="11" t="s">
        <v>40</v>
      </c>
      <c r="T46" s="11">
        <v>0</v>
      </c>
      <c r="V46" s="11" t="s">
        <v>41</v>
      </c>
    </row>
    <row r="47" spans="1:22" x14ac:dyDescent="0.25">
      <c r="A47" s="11">
        <v>101060401</v>
      </c>
      <c r="B47" s="11" t="s">
        <v>34</v>
      </c>
      <c r="C47" s="41">
        <v>44839</v>
      </c>
      <c r="D47" s="41">
        <v>44839</v>
      </c>
      <c r="E47" s="11" t="s">
        <v>42</v>
      </c>
      <c r="F47" s="11" t="s">
        <v>436</v>
      </c>
      <c r="G47" s="11">
        <v>106577</v>
      </c>
      <c r="H47" s="11" t="s">
        <v>57</v>
      </c>
      <c r="K47" s="11">
        <v>101060402</v>
      </c>
      <c r="L47" s="11" t="s">
        <v>44</v>
      </c>
      <c r="M47" s="11">
        <v>1548.09</v>
      </c>
      <c r="N47" s="11"/>
      <c r="O47" s="42">
        <v>1548.09</v>
      </c>
      <c r="P47" s="43" t="s">
        <v>4481</v>
      </c>
      <c r="Q47" s="11">
        <v>1289744.48</v>
      </c>
      <c r="R47" s="11" t="s">
        <v>437</v>
      </c>
      <c r="S47" s="11" t="s">
        <v>106</v>
      </c>
      <c r="T47" s="11">
        <v>0</v>
      </c>
    </row>
    <row r="48" spans="1:22" x14ac:dyDescent="0.25">
      <c r="A48" s="11">
        <v>101060401</v>
      </c>
      <c r="B48" s="11" t="s">
        <v>34</v>
      </c>
      <c r="C48" s="41">
        <v>44839</v>
      </c>
      <c r="D48" s="41">
        <v>44839</v>
      </c>
      <c r="E48" s="11" t="s">
        <v>36</v>
      </c>
      <c r="F48" s="11" t="s">
        <v>438</v>
      </c>
      <c r="G48" s="11">
        <v>106579</v>
      </c>
      <c r="H48" s="11" t="s">
        <v>103</v>
      </c>
      <c r="K48" s="11">
        <v>201040506</v>
      </c>
      <c r="L48" s="11" t="s">
        <v>46</v>
      </c>
      <c r="M48" s="11">
        <v>636.79999999999995</v>
      </c>
      <c r="N48" s="11"/>
      <c r="O48" s="42">
        <v>636.79999999999995</v>
      </c>
      <c r="P48" s="43" t="s">
        <v>4480</v>
      </c>
      <c r="Q48" s="11">
        <v>1290381.28</v>
      </c>
      <c r="R48" s="11" t="s">
        <v>439</v>
      </c>
      <c r="S48" s="11" t="s">
        <v>40</v>
      </c>
      <c r="T48" s="11">
        <v>0</v>
      </c>
    </row>
    <row r="49" spans="1:22" x14ac:dyDescent="0.25">
      <c r="A49" s="11">
        <v>101060401</v>
      </c>
      <c r="B49" s="11" t="s">
        <v>34</v>
      </c>
      <c r="C49" s="41">
        <v>44839</v>
      </c>
      <c r="D49" s="41">
        <v>44839</v>
      </c>
      <c r="E49" s="11" t="s">
        <v>42</v>
      </c>
      <c r="F49" s="11" t="s">
        <v>440</v>
      </c>
      <c r="G49" s="11">
        <v>106580</v>
      </c>
      <c r="H49" s="11" t="s">
        <v>57</v>
      </c>
      <c r="K49" s="11">
        <v>101060402</v>
      </c>
      <c r="L49" s="11" t="s">
        <v>44</v>
      </c>
      <c r="M49" s="11"/>
      <c r="N49" s="11">
        <v>815.4</v>
      </c>
      <c r="O49" s="42">
        <v>-815.4</v>
      </c>
      <c r="P49" s="43" t="s">
        <v>4481</v>
      </c>
      <c r="Q49" s="11">
        <v>1289565.8799999999</v>
      </c>
      <c r="R49" s="11" t="s">
        <v>441</v>
      </c>
      <c r="S49" s="11" t="s">
        <v>106</v>
      </c>
      <c r="T49" s="11">
        <v>0</v>
      </c>
    </row>
    <row r="50" spans="1:22" x14ac:dyDescent="0.25">
      <c r="A50" s="11">
        <v>101060401</v>
      </c>
      <c r="B50" s="11" t="s">
        <v>34</v>
      </c>
      <c r="C50" s="41">
        <v>44839</v>
      </c>
      <c r="D50" s="41">
        <v>44839</v>
      </c>
      <c r="E50" s="11" t="s">
        <v>36</v>
      </c>
      <c r="F50" s="11" t="s">
        <v>442</v>
      </c>
      <c r="G50" s="11">
        <v>106581</v>
      </c>
      <c r="H50" s="11" t="s">
        <v>103</v>
      </c>
      <c r="K50" s="11">
        <v>201040506</v>
      </c>
      <c r="L50" s="11" t="s">
        <v>46</v>
      </c>
      <c r="M50" s="11">
        <v>2779.06</v>
      </c>
      <c r="N50" s="11"/>
      <c r="O50" s="42">
        <v>2779.06</v>
      </c>
      <c r="P50" s="43" t="s">
        <v>4480</v>
      </c>
      <c r="Q50" s="11">
        <v>1292344.94</v>
      </c>
      <c r="R50" s="11" t="s">
        <v>443</v>
      </c>
      <c r="S50" s="11" t="s">
        <v>40</v>
      </c>
      <c r="T50" s="11">
        <v>0</v>
      </c>
    </row>
    <row r="51" spans="1:22" x14ac:dyDescent="0.25">
      <c r="A51" s="11">
        <v>101060401</v>
      </c>
      <c r="B51" s="11" t="s">
        <v>34</v>
      </c>
      <c r="C51" s="41">
        <v>44839</v>
      </c>
      <c r="D51" s="41">
        <v>44839</v>
      </c>
      <c r="E51" s="11" t="s">
        <v>36</v>
      </c>
      <c r="F51" s="11" t="s">
        <v>444</v>
      </c>
      <c r="G51" s="11">
        <v>106583</v>
      </c>
      <c r="H51" s="11" t="s">
        <v>103</v>
      </c>
      <c r="K51" s="11">
        <v>201040506</v>
      </c>
      <c r="L51" s="11" t="s">
        <v>46</v>
      </c>
      <c r="M51" s="11">
        <v>3555.9</v>
      </c>
      <c r="N51" s="11"/>
      <c r="O51" s="42">
        <v>3555.9</v>
      </c>
      <c r="P51" s="43" t="s">
        <v>4480</v>
      </c>
      <c r="Q51" s="11">
        <v>1295900.8400000001</v>
      </c>
      <c r="R51" s="11" t="s">
        <v>445</v>
      </c>
      <c r="S51" s="11" t="s">
        <v>40</v>
      </c>
      <c r="T51" s="11">
        <v>0</v>
      </c>
    </row>
    <row r="52" spans="1:22" x14ac:dyDescent="0.25">
      <c r="A52" s="11">
        <v>101060401</v>
      </c>
      <c r="B52" s="11" t="s">
        <v>34</v>
      </c>
      <c r="C52" s="41">
        <v>44839</v>
      </c>
      <c r="D52" s="41">
        <v>44839</v>
      </c>
      <c r="E52" s="11" t="s">
        <v>42</v>
      </c>
      <c r="F52" s="11" t="s">
        <v>446</v>
      </c>
      <c r="G52" s="11">
        <v>106590</v>
      </c>
      <c r="H52" s="11" t="s">
        <v>57</v>
      </c>
      <c r="K52" s="11">
        <v>101060402</v>
      </c>
      <c r="L52" s="11" t="s">
        <v>44</v>
      </c>
      <c r="M52" s="11"/>
      <c r="N52" s="11">
        <v>3415.86</v>
      </c>
      <c r="O52" s="42">
        <v>-3415.86</v>
      </c>
      <c r="P52" s="43" t="s">
        <v>4481</v>
      </c>
      <c r="Q52" s="11">
        <v>1292484.98</v>
      </c>
      <c r="R52" s="11" t="s">
        <v>447</v>
      </c>
      <c r="S52" s="11" t="s">
        <v>40</v>
      </c>
      <c r="T52" s="11">
        <v>0</v>
      </c>
    </row>
    <row r="53" spans="1:22" x14ac:dyDescent="0.25">
      <c r="A53" s="11">
        <v>101060401</v>
      </c>
      <c r="B53" s="11" t="s">
        <v>34</v>
      </c>
      <c r="C53" s="41">
        <v>44839</v>
      </c>
      <c r="D53" s="41">
        <v>44839</v>
      </c>
      <c r="E53" s="11" t="s">
        <v>42</v>
      </c>
      <c r="F53" s="11" t="s">
        <v>448</v>
      </c>
      <c r="G53" s="11">
        <v>106591</v>
      </c>
      <c r="H53" s="11" t="s">
        <v>57</v>
      </c>
      <c r="K53" s="11">
        <v>101060402</v>
      </c>
      <c r="L53" s="11" t="s">
        <v>44</v>
      </c>
      <c r="M53" s="11">
        <v>89.9</v>
      </c>
      <c r="N53" s="11"/>
      <c r="O53" s="42">
        <v>89.9</v>
      </c>
      <c r="P53" s="43" t="s">
        <v>4481</v>
      </c>
      <c r="Q53" s="11">
        <v>1292574.8799999999</v>
      </c>
      <c r="R53" s="11" t="s">
        <v>449</v>
      </c>
      <c r="S53" s="11" t="s">
        <v>106</v>
      </c>
      <c r="T53" s="11">
        <v>0</v>
      </c>
    </row>
    <row r="54" spans="1:22" x14ac:dyDescent="0.25">
      <c r="A54" s="11">
        <v>101060401</v>
      </c>
      <c r="B54" s="11" t="s">
        <v>34</v>
      </c>
      <c r="C54" s="41">
        <v>44839</v>
      </c>
      <c r="D54" s="41">
        <v>44839</v>
      </c>
      <c r="E54" s="11" t="s">
        <v>42</v>
      </c>
      <c r="F54" s="11" t="s">
        <v>448</v>
      </c>
      <c r="G54" s="11">
        <v>106591</v>
      </c>
      <c r="H54" s="11" t="s">
        <v>57</v>
      </c>
      <c r="K54" s="11">
        <v>101060402</v>
      </c>
      <c r="L54" s="11" t="s">
        <v>44</v>
      </c>
      <c r="M54" s="11"/>
      <c r="N54" s="11">
        <v>32.54</v>
      </c>
      <c r="O54" s="42">
        <v>-32.54</v>
      </c>
      <c r="P54" s="43" t="s">
        <v>4481</v>
      </c>
      <c r="Q54" s="11">
        <v>1292542.3400000001</v>
      </c>
      <c r="R54" s="11" t="s">
        <v>450</v>
      </c>
      <c r="S54" s="11" t="s">
        <v>106</v>
      </c>
      <c r="T54" s="11">
        <v>0</v>
      </c>
    </row>
    <row r="55" spans="1:22" x14ac:dyDescent="0.25">
      <c r="A55" s="11">
        <v>101060401</v>
      </c>
      <c r="B55" s="11" t="s">
        <v>34</v>
      </c>
      <c r="C55" s="41">
        <v>44839</v>
      </c>
      <c r="D55" s="41">
        <v>44839</v>
      </c>
      <c r="E55" s="11" t="s">
        <v>42</v>
      </c>
      <c r="F55" s="11" t="s">
        <v>451</v>
      </c>
      <c r="G55" s="11">
        <v>106592</v>
      </c>
      <c r="H55" s="11" t="s">
        <v>57</v>
      </c>
      <c r="K55" s="11">
        <v>101060402</v>
      </c>
      <c r="L55" s="11" t="s">
        <v>44</v>
      </c>
      <c r="M55" s="11"/>
      <c r="N55" s="11">
        <v>89.9</v>
      </c>
      <c r="O55" s="42">
        <v>-89.9</v>
      </c>
      <c r="P55" s="43" t="s">
        <v>4481</v>
      </c>
      <c r="Q55" s="11">
        <v>1292452.44</v>
      </c>
      <c r="R55" s="11" t="s">
        <v>452</v>
      </c>
      <c r="S55" s="11" t="s">
        <v>106</v>
      </c>
      <c r="T55" s="11">
        <v>0</v>
      </c>
    </row>
    <row r="56" spans="1:22" x14ac:dyDescent="0.25">
      <c r="A56" s="11">
        <v>101060401</v>
      </c>
      <c r="B56" s="11" t="s">
        <v>34</v>
      </c>
      <c r="C56" s="41">
        <v>44839</v>
      </c>
      <c r="D56" s="41">
        <v>44839</v>
      </c>
      <c r="E56" s="11" t="s">
        <v>42</v>
      </c>
      <c r="F56" s="11" t="s">
        <v>451</v>
      </c>
      <c r="G56" s="11">
        <v>106592</v>
      </c>
      <c r="H56" s="11" t="s">
        <v>57</v>
      </c>
      <c r="K56" s="11">
        <v>101060402</v>
      </c>
      <c r="L56" s="11" t="s">
        <v>44</v>
      </c>
      <c r="M56" s="11">
        <v>32.54</v>
      </c>
      <c r="N56" s="11"/>
      <c r="O56" s="42">
        <v>32.54</v>
      </c>
      <c r="P56" s="43" t="s">
        <v>4481</v>
      </c>
      <c r="Q56" s="11">
        <v>1292484.98</v>
      </c>
      <c r="R56" s="11" t="s">
        <v>453</v>
      </c>
      <c r="S56" s="11" t="s">
        <v>106</v>
      </c>
      <c r="T56" s="11">
        <v>0</v>
      </c>
    </row>
    <row r="57" spans="1:22" x14ac:dyDescent="0.25">
      <c r="A57" s="11">
        <v>101060401</v>
      </c>
      <c r="B57" s="11" t="s">
        <v>34</v>
      </c>
      <c r="C57" s="41">
        <v>44839</v>
      </c>
      <c r="D57" s="41">
        <v>44839</v>
      </c>
      <c r="E57" s="11" t="s">
        <v>42</v>
      </c>
      <c r="F57" s="11" t="s">
        <v>454</v>
      </c>
      <c r="G57" s="11">
        <v>106593</v>
      </c>
      <c r="H57" s="11" t="s">
        <v>47</v>
      </c>
      <c r="J57" s="11" t="s">
        <v>38</v>
      </c>
      <c r="K57" s="11">
        <v>51010101</v>
      </c>
      <c r="L57" s="11" t="s">
        <v>48</v>
      </c>
      <c r="M57" s="11"/>
      <c r="N57" s="11">
        <v>1099.26</v>
      </c>
      <c r="O57" s="42">
        <v>-1099.26</v>
      </c>
      <c r="P57" s="43" t="s">
        <v>4489</v>
      </c>
      <c r="Q57" s="11">
        <v>1291385.72</v>
      </c>
      <c r="R57" s="11" t="s">
        <v>455</v>
      </c>
      <c r="S57" s="11" t="s">
        <v>40</v>
      </c>
      <c r="T57" s="11">
        <v>0</v>
      </c>
      <c r="V57" s="11" t="s">
        <v>41</v>
      </c>
    </row>
    <row r="58" spans="1:22" x14ac:dyDescent="0.25">
      <c r="A58" s="11">
        <v>101060401</v>
      </c>
      <c r="B58" s="11" t="s">
        <v>34</v>
      </c>
      <c r="C58" s="41">
        <v>44839</v>
      </c>
      <c r="D58" s="41">
        <v>44839</v>
      </c>
      <c r="E58" s="11" t="s">
        <v>42</v>
      </c>
      <c r="F58" s="11" t="s">
        <v>456</v>
      </c>
      <c r="G58" s="11">
        <v>106594</v>
      </c>
      <c r="H58" s="11" t="s">
        <v>88</v>
      </c>
      <c r="J58" s="11" t="s">
        <v>38</v>
      </c>
      <c r="K58" s="11">
        <v>51010101</v>
      </c>
      <c r="L58" s="11" t="s">
        <v>48</v>
      </c>
      <c r="M58" s="11">
        <v>1099.26</v>
      </c>
      <c r="N58" s="11"/>
      <c r="O58" s="42">
        <v>1099.26</v>
      </c>
      <c r="P58" s="43" t="s">
        <v>4489</v>
      </c>
      <c r="Q58" s="11">
        <v>1292484.98</v>
      </c>
      <c r="R58" s="11" t="s">
        <v>457</v>
      </c>
      <c r="S58" s="11" t="s">
        <v>40</v>
      </c>
      <c r="T58" s="11">
        <v>0</v>
      </c>
      <c r="V58" s="11" t="s">
        <v>41</v>
      </c>
    </row>
    <row r="59" spans="1:22" x14ac:dyDescent="0.25">
      <c r="A59" s="11">
        <v>101060401</v>
      </c>
      <c r="B59" s="11" t="s">
        <v>34</v>
      </c>
      <c r="C59" s="41">
        <v>44839</v>
      </c>
      <c r="D59" s="41">
        <v>44839</v>
      </c>
      <c r="E59" s="11" t="s">
        <v>42</v>
      </c>
      <c r="F59" s="11" t="s">
        <v>458</v>
      </c>
      <c r="G59" s="11">
        <v>106595</v>
      </c>
      <c r="H59" s="11" t="s">
        <v>47</v>
      </c>
      <c r="J59" s="11" t="s">
        <v>38</v>
      </c>
      <c r="K59" s="11">
        <v>51010101</v>
      </c>
      <c r="L59" s="11" t="s">
        <v>48</v>
      </c>
      <c r="M59" s="11"/>
      <c r="N59" s="11">
        <v>1099.26</v>
      </c>
      <c r="O59" s="42">
        <v>-1099.26</v>
      </c>
      <c r="P59" s="43" t="s">
        <v>4489</v>
      </c>
      <c r="Q59" s="11">
        <v>1291385.72</v>
      </c>
      <c r="R59" s="11" t="s">
        <v>455</v>
      </c>
      <c r="S59" s="11" t="s">
        <v>40</v>
      </c>
      <c r="T59" s="11">
        <v>0</v>
      </c>
      <c r="V59" s="11" t="s">
        <v>41</v>
      </c>
    </row>
    <row r="60" spans="1:22" x14ac:dyDescent="0.25">
      <c r="A60" s="11">
        <v>101060401</v>
      </c>
      <c r="B60" s="11" t="s">
        <v>34</v>
      </c>
      <c r="C60" s="41">
        <v>44839</v>
      </c>
      <c r="D60" s="41">
        <v>44839</v>
      </c>
      <c r="E60" s="11" t="s">
        <v>42</v>
      </c>
      <c r="F60" s="11" t="s">
        <v>459</v>
      </c>
      <c r="G60" s="11">
        <v>106596</v>
      </c>
      <c r="H60" s="11" t="s">
        <v>57</v>
      </c>
      <c r="K60" s="11">
        <v>101060402</v>
      </c>
      <c r="L60" s="11" t="s">
        <v>44</v>
      </c>
      <c r="M60" s="11"/>
      <c r="N60" s="11">
        <v>100.32</v>
      </c>
      <c r="O60" s="42">
        <v>-100.32</v>
      </c>
      <c r="P60" s="43" t="s">
        <v>4481</v>
      </c>
      <c r="Q60" s="11">
        <v>1291285.3999999999</v>
      </c>
      <c r="R60" s="11" t="s">
        <v>460</v>
      </c>
      <c r="S60" s="11" t="s">
        <v>106</v>
      </c>
      <c r="T60" s="11">
        <v>0</v>
      </c>
    </row>
    <row r="61" spans="1:22" x14ac:dyDescent="0.25">
      <c r="A61" s="11">
        <v>101060401</v>
      </c>
      <c r="B61" s="11" t="s">
        <v>34</v>
      </c>
      <c r="C61" s="41">
        <v>44839</v>
      </c>
      <c r="D61" s="41">
        <v>44839</v>
      </c>
      <c r="E61" s="11" t="s">
        <v>42</v>
      </c>
      <c r="F61" s="11" t="s">
        <v>459</v>
      </c>
      <c r="G61" s="11">
        <v>106596</v>
      </c>
      <c r="H61" s="11" t="s">
        <v>57</v>
      </c>
      <c r="K61" s="11">
        <v>101060402</v>
      </c>
      <c r="L61" s="11" t="s">
        <v>44</v>
      </c>
      <c r="M61" s="11">
        <v>7.69</v>
      </c>
      <c r="N61" s="11"/>
      <c r="O61" s="42">
        <v>7.69</v>
      </c>
      <c r="P61" s="43" t="s">
        <v>4481</v>
      </c>
      <c r="Q61" s="11">
        <v>1291293.0900000001</v>
      </c>
      <c r="R61" s="11" t="s">
        <v>461</v>
      </c>
      <c r="S61" s="11" t="s">
        <v>106</v>
      </c>
      <c r="T61" s="11">
        <v>0</v>
      </c>
    </row>
    <row r="62" spans="1:22" x14ac:dyDescent="0.25">
      <c r="A62" s="11">
        <v>101060401</v>
      </c>
      <c r="B62" s="11" t="s">
        <v>34</v>
      </c>
      <c r="C62" s="41">
        <v>44840</v>
      </c>
      <c r="D62" s="41">
        <v>44840</v>
      </c>
      <c r="E62" s="11" t="s">
        <v>42</v>
      </c>
      <c r="F62" s="11" t="s">
        <v>462</v>
      </c>
      <c r="G62" s="11">
        <v>106597</v>
      </c>
      <c r="H62" s="11" t="s">
        <v>108</v>
      </c>
      <c r="J62" s="11" t="s">
        <v>38</v>
      </c>
      <c r="K62" s="11">
        <v>51010101</v>
      </c>
      <c r="L62" s="11" t="s">
        <v>48</v>
      </c>
      <c r="M62" s="11"/>
      <c r="N62" s="11">
        <v>1363.87</v>
      </c>
      <c r="O62" s="42">
        <v>-1363.87</v>
      </c>
      <c r="P62" s="43" t="s">
        <v>4489</v>
      </c>
      <c r="Q62" s="11">
        <v>1289929.22</v>
      </c>
      <c r="R62" s="11" t="s">
        <v>463</v>
      </c>
      <c r="S62" s="11" t="s">
        <v>40</v>
      </c>
      <c r="T62" s="11">
        <v>0</v>
      </c>
      <c r="V62" s="11" t="s">
        <v>41</v>
      </c>
    </row>
    <row r="63" spans="1:22" x14ac:dyDescent="0.25">
      <c r="A63" s="11">
        <v>101060401</v>
      </c>
      <c r="B63" s="11" t="s">
        <v>34</v>
      </c>
      <c r="C63" s="41">
        <v>44840</v>
      </c>
      <c r="D63" s="41">
        <v>44840</v>
      </c>
      <c r="E63" s="11" t="s">
        <v>42</v>
      </c>
      <c r="F63" s="11" t="s">
        <v>464</v>
      </c>
      <c r="G63" s="11">
        <v>106599</v>
      </c>
      <c r="H63" s="11" t="s">
        <v>193</v>
      </c>
      <c r="J63" s="11" t="s">
        <v>38</v>
      </c>
      <c r="K63" s="11">
        <v>51010101</v>
      </c>
      <c r="L63" s="11" t="s">
        <v>48</v>
      </c>
      <c r="M63" s="11"/>
      <c r="N63" s="11">
        <v>139.26</v>
      </c>
      <c r="O63" s="42">
        <v>-139.26</v>
      </c>
      <c r="P63" s="43" t="s">
        <v>4489</v>
      </c>
      <c r="Q63" s="11">
        <v>1289789.96</v>
      </c>
      <c r="R63" s="11" t="s">
        <v>465</v>
      </c>
      <c r="S63" s="11" t="s">
        <v>40</v>
      </c>
      <c r="T63" s="11">
        <v>0</v>
      </c>
      <c r="V63" s="11" t="s">
        <v>41</v>
      </c>
    </row>
    <row r="64" spans="1:22" x14ac:dyDescent="0.25">
      <c r="A64" s="11">
        <v>101060401</v>
      </c>
      <c r="B64" s="11" t="s">
        <v>34</v>
      </c>
      <c r="C64" s="41">
        <v>44840</v>
      </c>
      <c r="D64" s="41">
        <v>44840</v>
      </c>
      <c r="E64" s="11" t="s">
        <v>42</v>
      </c>
      <c r="F64" s="11" t="s">
        <v>466</v>
      </c>
      <c r="G64" s="11">
        <v>106600</v>
      </c>
      <c r="H64" s="11" t="s">
        <v>212</v>
      </c>
      <c r="J64" s="11" t="s">
        <v>38</v>
      </c>
      <c r="K64" s="11">
        <v>51010101</v>
      </c>
      <c r="L64" s="11" t="s">
        <v>48</v>
      </c>
      <c r="M64" s="11"/>
      <c r="N64" s="11">
        <v>719.58</v>
      </c>
      <c r="O64" s="42">
        <v>-719.58</v>
      </c>
      <c r="P64" s="43" t="s">
        <v>4489</v>
      </c>
      <c r="Q64" s="11">
        <v>1289070.3799999999</v>
      </c>
      <c r="R64" s="11" t="s">
        <v>467</v>
      </c>
      <c r="S64" s="11" t="s">
        <v>40</v>
      </c>
      <c r="T64" s="11">
        <v>0</v>
      </c>
      <c r="V64" s="11" t="s">
        <v>41</v>
      </c>
    </row>
    <row r="65" spans="1:22" x14ac:dyDescent="0.25">
      <c r="A65" s="11">
        <v>101060401</v>
      </c>
      <c r="B65" s="11" t="s">
        <v>34</v>
      </c>
      <c r="C65" s="41">
        <v>44840</v>
      </c>
      <c r="D65" s="41">
        <v>44840</v>
      </c>
      <c r="E65" s="11" t="s">
        <v>42</v>
      </c>
      <c r="F65" s="11" t="s">
        <v>468</v>
      </c>
      <c r="G65" s="11">
        <v>106601</v>
      </c>
      <c r="H65" s="11" t="s">
        <v>158</v>
      </c>
      <c r="J65" s="11" t="s">
        <v>38</v>
      </c>
      <c r="K65" s="11">
        <v>51010101</v>
      </c>
      <c r="L65" s="11" t="s">
        <v>48</v>
      </c>
      <c r="M65" s="11"/>
      <c r="N65" s="11">
        <v>988.62</v>
      </c>
      <c r="O65" s="42">
        <v>-988.62</v>
      </c>
      <c r="P65" s="43" t="s">
        <v>4489</v>
      </c>
      <c r="Q65" s="11">
        <v>1288081.76</v>
      </c>
      <c r="R65" s="11" t="s">
        <v>469</v>
      </c>
      <c r="S65" s="11" t="s">
        <v>40</v>
      </c>
      <c r="T65" s="11">
        <v>0</v>
      </c>
      <c r="V65" s="11" t="s">
        <v>41</v>
      </c>
    </row>
    <row r="66" spans="1:22" x14ac:dyDescent="0.25">
      <c r="A66" s="11">
        <v>101060401</v>
      </c>
      <c r="B66" s="11" t="s">
        <v>34</v>
      </c>
      <c r="C66" s="41">
        <v>44840</v>
      </c>
      <c r="D66" s="41">
        <v>44840</v>
      </c>
      <c r="E66" s="11" t="s">
        <v>36</v>
      </c>
      <c r="F66" s="11" t="s">
        <v>470</v>
      </c>
      <c r="G66" s="11">
        <v>106602</v>
      </c>
      <c r="H66" s="11" t="s">
        <v>259</v>
      </c>
      <c r="K66" s="11">
        <v>201040506</v>
      </c>
      <c r="L66" s="11" t="s">
        <v>46</v>
      </c>
      <c r="M66" s="11">
        <v>61.5</v>
      </c>
      <c r="N66" s="11"/>
      <c r="O66" s="42">
        <v>61.5</v>
      </c>
      <c r="P66" s="43" t="s">
        <v>4480</v>
      </c>
      <c r="Q66" s="11">
        <v>1288143.26</v>
      </c>
      <c r="R66" s="11" t="s">
        <v>471</v>
      </c>
      <c r="S66" s="11" t="s">
        <v>40</v>
      </c>
      <c r="T66" s="11">
        <v>0</v>
      </c>
    </row>
    <row r="67" spans="1:22" x14ac:dyDescent="0.25">
      <c r="A67" s="11">
        <v>101060401</v>
      </c>
      <c r="B67" s="11" t="s">
        <v>34</v>
      </c>
      <c r="C67" s="41">
        <v>44840</v>
      </c>
      <c r="D67" s="41">
        <v>44840</v>
      </c>
      <c r="E67" s="11" t="s">
        <v>36</v>
      </c>
      <c r="F67" s="11" t="s">
        <v>472</v>
      </c>
      <c r="G67" s="11">
        <v>106603</v>
      </c>
      <c r="H67" s="11" t="s">
        <v>259</v>
      </c>
      <c r="K67" s="11">
        <v>201040506</v>
      </c>
      <c r="L67" s="11" t="s">
        <v>46</v>
      </c>
      <c r="M67" s="11">
        <v>114.65</v>
      </c>
      <c r="N67" s="11"/>
      <c r="O67" s="42">
        <v>114.65</v>
      </c>
      <c r="P67" s="43" t="s">
        <v>4480</v>
      </c>
      <c r="Q67" s="11">
        <v>1288257.9099999999</v>
      </c>
      <c r="R67" s="11" t="s">
        <v>473</v>
      </c>
      <c r="S67" s="11" t="s">
        <v>40</v>
      </c>
      <c r="T67" s="11">
        <v>0</v>
      </c>
    </row>
    <row r="68" spans="1:22" x14ac:dyDescent="0.25">
      <c r="A68" s="11">
        <v>101060401</v>
      </c>
      <c r="B68" s="11" t="s">
        <v>34</v>
      </c>
      <c r="C68" s="41">
        <v>44840</v>
      </c>
      <c r="D68" s="41">
        <v>44840</v>
      </c>
      <c r="E68" s="11" t="s">
        <v>36</v>
      </c>
      <c r="F68" s="11" t="s">
        <v>474</v>
      </c>
      <c r="G68" s="11">
        <v>106604</v>
      </c>
      <c r="H68" s="11" t="s">
        <v>284</v>
      </c>
      <c r="K68" s="11">
        <v>201040506</v>
      </c>
      <c r="L68" s="11" t="s">
        <v>46</v>
      </c>
      <c r="M68" s="11">
        <v>486.77</v>
      </c>
      <c r="N68" s="11"/>
      <c r="O68" s="42">
        <v>486.77</v>
      </c>
      <c r="P68" s="43" t="s">
        <v>4480</v>
      </c>
      <c r="Q68" s="11">
        <v>1288744.68</v>
      </c>
      <c r="R68" s="11" t="s">
        <v>475</v>
      </c>
      <c r="S68" s="11" t="s">
        <v>40</v>
      </c>
      <c r="T68" s="11">
        <v>0</v>
      </c>
    </row>
    <row r="69" spans="1:22" x14ac:dyDescent="0.25">
      <c r="A69" s="11">
        <v>101060401</v>
      </c>
      <c r="B69" s="11" t="s">
        <v>34</v>
      </c>
      <c r="C69" s="41">
        <v>44840</v>
      </c>
      <c r="D69" s="41">
        <v>44840</v>
      </c>
      <c r="E69" s="11" t="s">
        <v>42</v>
      </c>
      <c r="F69" s="11" t="s">
        <v>476</v>
      </c>
      <c r="G69" s="11">
        <v>106605</v>
      </c>
      <c r="H69" s="11" t="s">
        <v>158</v>
      </c>
      <c r="J69" s="11" t="s">
        <v>38</v>
      </c>
      <c r="K69" s="11">
        <v>51010101</v>
      </c>
      <c r="L69" s="11" t="s">
        <v>48</v>
      </c>
      <c r="M69" s="11"/>
      <c r="N69" s="11">
        <v>548.27</v>
      </c>
      <c r="O69" s="42">
        <v>-548.27</v>
      </c>
      <c r="P69" s="43" t="s">
        <v>4489</v>
      </c>
      <c r="Q69" s="11">
        <v>1288196.4099999999</v>
      </c>
      <c r="R69" s="11" t="s">
        <v>477</v>
      </c>
      <c r="S69" s="11" t="s">
        <v>40</v>
      </c>
      <c r="T69" s="11">
        <v>0</v>
      </c>
      <c r="V69" s="11" t="s">
        <v>41</v>
      </c>
    </row>
    <row r="70" spans="1:22" x14ac:dyDescent="0.25">
      <c r="A70" s="11">
        <v>101060401</v>
      </c>
      <c r="B70" s="11" t="s">
        <v>34</v>
      </c>
      <c r="C70" s="41">
        <v>44840</v>
      </c>
      <c r="D70" s="41">
        <v>44840</v>
      </c>
      <c r="E70" s="11" t="s">
        <v>42</v>
      </c>
      <c r="F70" s="11" t="s">
        <v>478</v>
      </c>
      <c r="G70" s="11">
        <v>106606</v>
      </c>
      <c r="H70" s="11" t="s">
        <v>158</v>
      </c>
      <c r="J70" s="11" t="s">
        <v>38</v>
      </c>
      <c r="K70" s="11">
        <v>51010101</v>
      </c>
      <c r="L70" s="11" t="s">
        <v>48</v>
      </c>
      <c r="M70" s="11"/>
      <c r="N70" s="11">
        <v>114.65</v>
      </c>
      <c r="O70" s="42">
        <v>-114.65</v>
      </c>
      <c r="P70" s="43" t="s">
        <v>4489</v>
      </c>
      <c r="Q70" s="11">
        <v>1288081.76</v>
      </c>
      <c r="R70" s="11" t="s">
        <v>479</v>
      </c>
      <c r="S70" s="11" t="s">
        <v>40</v>
      </c>
      <c r="T70" s="11">
        <v>0</v>
      </c>
      <c r="V70" s="11" t="s">
        <v>41</v>
      </c>
    </row>
    <row r="71" spans="1:22" x14ac:dyDescent="0.25">
      <c r="A71" s="11">
        <v>101060401</v>
      </c>
      <c r="B71" s="11" t="s">
        <v>34</v>
      </c>
      <c r="C71" s="41">
        <v>44840</v>
      </c>
      <c r="D71" s="41">
        <v>44840</v>
      </c>
      <c r="E71" s="11" t="s">
        <v>42</v>
      </c>
      <c r="F71" s="11" t="s">
        <v>480</v>
      </c>
      <c r="G71" s="11">
        <v>106608</v>
      </c>
      <c r="H71" s="11" t="s">
        <v>314</v>
      </c>
      <c r="J71" s="11" t="s">
        <v>38</v>
      </c>
      <c r="K71" s="11" t="s">
        <v>315</v>
      </c>
      <c r="L71" s="11" t="s">
        <v>316</v>
      </c>
      <c r="M71" s="11">
        <v>174.75</v>
      </c>
      <c r="N71" s="11"/>
      <c r="O71" s="42">
        <v>174.75</v>
      </c>
      <c r="P71" s="43" t="s">
        <v>4488</v>
      </c>
      <c r="Q71" s="11">
        <v>1288256.51</v>
      </c>
      <c r="R71" s="11" t="s">
        <v>481</v>
      </c>
      <c r="S71" s="11" t="s">
        <v>69</v>
      </c>
      <c r="T71" s="11">
        <v>0</v>
      </c>
      <c r="V71" s="11" t="s">
        <v>41</v>
      </c>
    </row>
    <row r="72" spans="1:22" x14ac:dyDescent="0.25">
      <c r="A72" s="11">
        <v>101060401</v>
      </c>
      <c r="B72" s="11" t="s">
        <v>34</v>
      </c>
      <c r="C72" s="41">
        <v>44840</v>
      </c>
      <c r="D72" s="41">
        <v>44840</v>
      </c>
      <c r="E72" s="11" t="s">
        <v>42</v>
      </c>
      <c r="F72" s="11" t="s">
        <v>482</v>
      </c>
      <c r="G72" s="11">
        <v>106612</v>
      </c>
      <c r="H72" s="11" t="s">
        <v>483</v>
      </c>
      <c r="J72" s="11" t="s">
        <v>38</v>
      </c>
      <c r="K72" s="11" t="s">
        <v>484</v>
      </c>
      <c r="L72" s="11" t="s">
        <v>485</v>
      </c>
      <c r="M72" s="11">
        <v>1233.1199999999999</v>
      </c>
      <c r="N72" s="11"/>
      <c r="O72" s="42">
        <v>1233.1199999999999</v>
      </c>
      <c r="P72" s="43" t="s">
        <v>4488</v>
      </c>
      <c r="Q72" s="11">
        <v>1289489.6299999999</v>
      </c>
      <c r="R72" s="11" t="s">
        <v>486</v>
      </c>
      <c r="S72" s="11" t="s">
        <v>69</v>
      </c>
      <c r="T72" s="11">
        <v>0</v>
      </c>
      <c r="V72" s="11" t="s">
        <v>41</v>
      </c>
    </row>
    <row r="73" spans="1:22" x14ac:dyDescent="0.25">
      <c r="A73" s="11">
        <v>101060401</v>
      </c>
      <c r="B73" s="11" t="s">
        <v>34</v>
      </c>
      <c r="C73" s="41">
        <v>44840</v>
      </c>
      <c r="D73" s="41">
        <v>44840</v>
      </c>
      <c r="E73" s="11" t="s">
        <v>42</v>
      </c>
      <c r="F73" s="11" t="s">
        <v>487</v>
      </c>
      <c r="G73" s="11">
        <v>106613</v>
      </c>
      <c r="H73" s="11" t="s">
        <v>488</v>
      </c>
      <c r="J73" s="11" t="s">
        <v>38</v>
      </c>
      <c r="K73" s="11" t="s">
        <v>489</v>
      </c>
      <c r="L73" s="11" t="s">
        <v>490</v>
      </c>
      <c r="M73" s="11">
        <v>1425</v>
      </c>
      <c r="N73" s="11"/>
      <c r="O73" s="42">
        <v>1425</v>
      </c>
      <c r="P73" s="43" t="s">
        <v>4488</v>
      </c>
      <c r="Q73" s="11">
        <v>1290914.6299999999</v>
      </c>
      <c r="R73" s="11" t="s">
        <v>301</v>
      </c>
      <c r="S73" s="11" t="s">
        <v>69</v>
      </c>
      <c r="T73" s="11">
        <v>0</v>
      </c>
      <c r="V73" s="11" t="s">
        <v>41</v>
      </c>
    </row>
    <row r="74" spans="1:22" x14ac:dyDescent="0.25">
      <c r="A74" s="11">
        <v>101060401</v>
      </c>
      <c r="B74" s="11" t="s">
        <v>34</v>
      </c>
      <c r="C74" s="41">
        <v>44840</v>
      </c>
      <c r="D74" s="41">
        <v>44840</v>
      </c>
      <c r="E74" s="11" t="s">
        <v>42</v>
      </c>
      <c r="F74" s="11" t="s">
        <v>491</v>
      </c>
      <c r="G74" s="11">
        <v>106626</v>
      </c>
      <c r="H74" s="11" t="s">
        <v>67</v>
      </c>
      <c r="J74" s="11" t="s">
        <v>38</v>
      </c>
      <c r="K74" s="11">
        <v>51010101</v>
      </c>
      <c r="L74" s="11" t="s">
        <v>48</v>
      </c>
      <c r="M74" s="11"/>
      <c r="N74" s="11">
        <v>33.6</v>
      </c>
      <c r="O74" s="42">
        <v>-33.6</v>
      </c>
      <c r="P74" s="43" t="s">
        <v>4489</v>
      </c>
      <c r="Q74" s="11">
        <v>1290881.03</v>
      </c>
      <c r="R74" s="11" t="s">
        <v>304</v>
      </c>
      <c r="S74" s="11" t="s">
        <v>40</v>
      </c>
      <c r="T74" s="11">
        <v>0</v>
      </c>
      <c r="V74" s="11" t="s">
        <v>41</v>
      </c>
    </row>
    <row r="75" spans="1:22" x14ac:dyDescent="0.25">
      <c r="A75" s="11">
        <v>101060401</v>
      </c>
      <c r="B75" s="11" t="s">
        <v>34</v>
      </c>
      <c r="C75" s="41">
        <v>44840</v>
      </c>
      <c r="D75" s="41">
        <v>44840</v>
      </c>
      <c r="E75" s="11" t="s">
        <v>42</v>
      </c>
      <c r="F75" s="11" t="s">
        <v>492</v>
      </c>
      <c r="G75" s="11">
        <v>106628</v>
      </c>
      <c r="H75" s="11" t="s">
        <v>230</v>
      </c>
      <c r="J75" s="11" t="s">
        <v>38</v>
      </c>
      <c r="K75" s="11">
        <v>51010101</v>
      </c>
      <c r="L75" s="11" t="s">
        <v>48</v>
      </c>
      <c r="M75" s="11"/>
      <c r="N75" s="11">
        <v>554.59</v>
      </c>
      <c r="O75" s="42">
        <v>-554.59</v>
      </c>
      <c r="P75" s="43" t="s">
        <v>4489</v>
      </c>
      <c r="Q75" s="11">
        <v>1290326.44</v>
      </c>
      <c r="R75" s="11" t="s">
        <v>493</v>
      </c>
      <c r="S75" s="11" t="s">
        <v>40</v>
      </c>
      <c r="T75" s="11">
        <v>0</v>
      </c>
      <c r="V75" s="11" t="s">
        <v>41</v>
      </c>
    </row>
    <row r="76" spans="1:22" x14ac:dyDescent="0.25">
      <c r="A76" s="11">
        <v>101060401</v>
      </c>
      <c r="B76" s="11" t="s">
        <v>34</v>
      </c>
      <c r="C76" s="41">
        <v>44840</v>
      </c>
      <c r="D76" s="41">
        <v>44840</v>
      </c>
      <c r="E76" s="11" t="s">
        <v>42</v>
      </c>
      <c r="F76" s="11" t="s">
        <v>494</v>
      </c>
      <c r="G76" s="11">
        <v>106635</v>
      </c>
      <c r="H76" s="11" t="s">
        <v>50</v>
      </c>
      <c r="J76" s="11" t="s">
        <v>38</v>
      </c>
      <c r="K76" s="11">
        <v>51010101</v>
      </c>
      <c r="L76" s="11" t="s">
        <v>48</v>
      </c>
      <c r="M76" s="11"/>
      <c r="N76" s="11">
        <v>694.6</v>
      </c>
      <c r="O76" s="42">
        <v>-694.6</v>
      </c>
      <c r="P76" s="43" t="s">
        <v>4489</v>
      </c>
      <c r="Q76" s="11">
        <v>1289631.8400000001</v>
      </c>
      <c r="R76" s="11" t="s">
        <v>495</v>
      </c>
      <c r="S76" s="11" t="s">
        <v>40</v>
      </c>
      <c r="T76" s="11">
        <v>0</v>
      </c>
      <c r="V76" s="11" t="s">
        <v>41</v>
      </c>
    </row>
    <row r="77" spans="1:22" x14ac:dyDescent="0.25">
      <c r="A77" s="11">
        <v>101060401</v>
      </c>
      <c r="B77" s="11" t="s">
        <v>34</v>
      </c>
      <c r="C77" s="41">
        <v>44840</v>
      </c>
      <c r="D77" s="41">
        <v>44840</v>
      </c>
      <c r="E77" s="11" t="s">
        <v>42</v>
      </c>
      <c r="F77" s="11" t="s">
        <v>496</v>
      </c>
      <c r="G77" s="11">
        <v>106636</v>
      </c>
      <c r="H77" s="11" t="s">
        <v>212</v>
      </c>
      <c r="J77" s="11" t="s">
        <v>38</v>
      </c>
      <c r="K77" s="11">
        <v>51010101</v>
      </c>
      <c r="L77" s="11" t="s">
        <v>48</v>
      </c>
      <c r="M77" s="11"/>
      <c r="N77" s="11">
        <v>4536.63</v>
      </c>
      <c r="O77" s="42">
        <v>-4536.63</v>
      </c>
      <c r="P77" s="43" t="s">
        <v>4489</v>
      </c>
      <c r="Q77" s="11">
        <v>1285095.21</v>
      </c>
      <c r="R77" s="11" t="s">
        <v>497</v>
      </c>
      <c r="S77" s="11" t="s">
        <v>40</v>
      </c>
      <c r="T77" s="11">
        <v>0</v>
      </c>
      <c r="V77" s="11" t="s">
        <v>41</v>
      </c>
    </row>
    <row r="78" spans="1:22" x14ac:dyDescent="0.25">
      <c r="A78" s="11">
        <v>101060401</v>
      </c>
      <c r="B78" s="11" t="s">
        <v>34</v>
      </c>
      <c r="C78" s="41">
        <v>44840</v>
      </c>
      <c r="D78" s="41">
        <v>44840</v>
      </c>
      <c r="E78" s="11" t="s">
        <v>36</v>
      </c>
      <c r="F78" s="11" t="s">
        <v>498</v>
      </c>
      <c r="G78" s="11">
        <v>106647</v>
      </c>
      <c r="H78" s="11" t="s">
        <v>101</v>
      </c>
      <c r="K78" s="11">
        <v>201040506</v>
      </c>
      <c r="L78" s="11" t="s">
        <v>46</v>
      </c>
      <c r="M78" s="11">
        <v>35.36</v>
      </c>
      <c r="N78" s="11"/>
      <c r="O78" s="42">
        <v>35.36</v>
      </c>
      <c r="P78" s="43" t="s">
        <v>4480</v>
      </c>
      <c r="Q78" s="11">
        <v>1285130.57</v>
      </c>
      <c r="R78" s="11" t="s">
        <v>499</v>
      </c>
      <c r="S78" s="11" t="s">
        <v>40</v>
      </c>
      <c r="T78" s="11">
        <v>0</v>
      </c>
    </row>
    <row r="79" spans="1:22" x14ac:dyDescent="0.25">
      <c r="A79" s="11">
        <v>101060401</v>
      </c>
      <c r="B79" s="11" t="s">
        <v>34</v>
      </c>
      <c r="C79" s="41">
        <v>44840</v>
      </c>
      <c r="D79" s="41">
        <v>44840</v>
      </c>
      <c r="E79" s="11" t="s">
        <v>42</v>
      </c>
      <c r="F79" s="11" t="s">
        <v>500</v>
      </c>
      <c r="G79" s="11">
        <v>106650</v>
      </c>
      <c r="H79" s="11" t="s">
        <v>57</v>
      </c>
      <c r="K79" s="11">
        <v>101060402</v>
      </c>
      <c r="L79" s="11" t="s">
        <v>44</v>
      </c>
      <c r="M79" s="11"/>
      <c r="N79" s="11">
        <v>451.12</v>
      </c>
      <c r="O79" s="42">
        <v>-451.12</v>
      </c>
      <c r="P79" s="43" t="s">
        <v>4481</v>
      </c>
      <c r="Q79" s="11">
        <v>1284679.45</v>
      </c>
      <c r="R79" s="11" t="s">
        <v>501</v>
      </c>
      <c r="S79" s="11" t="s">
        <v>40</v>
      </c>
      <c r="T79" s="11">
        <v>0</v>
      </c>
    </row>
    <row r="80" spans="1:22" x14ac:dyDescent="0.25">
      <c r="A80" s="11">
        <v>101060401</v>
      </c>
      <c r="B80" s="11" t="s">
        <v>34</v>
      </c>
      <c r="C80" s="41">
        <v>44840</v>
      </c>
      <c r="D80" s="41">
        <v>44840</v>
      </c>
      <c r="E80" s="11" t="s">
        <v>42</v>
      </c>
      <c r="F80" s="11" t="s">
        <v>502</v>
      </c>
      <c r="G80" s="11">
        <v>106652</v>
      </c>
      <c r="H80" s="11" t="s">
        <v>158</v>
      </c>
      <c r="J80" s="11" t="s">
        <v>38</v>
      </c>
      <c r="K80" s="11">
        <v>51010101</v>
      </c>
      <c r="L80" s="11" t="s">
        <v>48</v>
      </c>
      <c r="M80" s="11"/>
      <c r="N80" s="11">
        <v>2766.66</v>
      </c>
      <c r="O80" s="42">
        <v>-2766.66</v>
      </c>
      <c r="P80" s="43" t="s">
        <v>4489</v>
      </c>
      <c r="Q80" s="11">
        <v>1281912.79</v>
      </c>
      <c r="R80" s="11" t="s">
        <v>503</v>
      </c>
      <c r="S80" s="11" t="s">
        <v>40</v>
      </c>
      <c r="T80" s="11">
        <v>0</v>
      </c>
      <c r="V80" s="11" t="s">
        <v>41</v>
      </c>
    </row>
    <row r="81" spans="1:22" x14ac:dyDescent="0.25">
      <c r="A81" s="11">
        <v>101060401</v>
      </c>
      <c r="B81" s="11" t="s">
        <v>34</v>
      </c>
      <c r="C81" s="41">
        <v>44840</v>
      </c>
      <c r="D81" s="41">
        <v>44840</v>
      </c>
      <c r="E81" s="11" t="s">
        <v>36</v>
      </c>
      <c r="F81" s="11" t="s">
        <v>504</v>
      </c>
      <c r="G81" s="11">
        <v>106663</v>
      </c>
      <c r="H81" s="11" t="s">
        <v>119</v>
      </c>
      <c r="K81" s="11">
        <v>201040506</v>
      </c>
      <c r="L81" s="11" t="s">
        <v>46</v>
      </c>
      <c r="M81" s="11">
        <v>6067</v>
      </c>
      <c r="N81" s="11"/>
      <c r="O81" s="42">
        <v>6067</v>
      </c>
      <c r="P81" s="43" t="s">
        <v>4480</v>
      </c>
      <c r="Q81" s="11">
        <v>1287979.79</v>
      </c>
      <c r="R81" s="11" t="s">
        <v>505</v>
      </c>
      <c r="S81" s="11" t="s">
        <v>40</v>
      </c>
      <c r="T81" s="11">
        <v>0</v>
      </c>
    </row>
    <row r="82" spans="1:22" x14ac:dyDescent="0.25">
      <c r="A82" s="11">
        <v>101060401</v>
      </c>
      <c r="B82" s="11" t="s">
        <v>34</v>
      </c>
      <c r="C82" s="41">
        <v>44840</v>
      </c>
      <c r="D82" s="41">
        <v>44840</v>
      </c>
      <c r="E82" s="11" t="s">
        <v>42</v>
      </c>
      <c r="F82" s="11" t="s">
        <v>506</v>
      </c>
      <c r="G82" s="11">
        <v>106667</v>
      </c>
      <c r="H82" s="11" t="s">
        <v>47</v>
      </c>
      <c r="J82" s="11" t="s">
        <v>38</v>
      </c>
      <c r="K82" s="11">
        <v>51010101</v>
      </c>
      <c r="L82" s="11" t="s">
        <v>48</v>
      </c>
      <c r="M82" s="11"/>
      <c r="N82" s="11">
        <v>6067</v>
      </c>
      <c r="O82" s="42">
        <v>-6067</v>
      </c>
      <c r="P82" s="43" t="s">
        <v>4489</v>
      </c>
      <c r="Q82" s="11">
        <v>1281912.79</v>
      </c>
      <c r="R82" s="11" t="s">
        <v>507</v>
      </c>
      <c r="S82" s="11" t="s">
        <v>40</v>
      </c>
      <c r="T82" s="11">
        <v>0</v>
      </c>
      <c r="V82" s="11" t="s">
        <v>41</v>
      </c>
    </row>
    <row r="83" spans="1:22" x14ac:dyDescent="0.25">
      <c r="A83" s="11">
        <v>101060401</v>
      </c>
      <c r="B83" s="11" t="s">
        <v>34</v>
      </c>
      <c r="C83" s="41">
        <v>44840</v>
      </c>
      <c r="D83" s="41">
        <v>44840</v>
      </c>
      <c r="E83" s="11" t="s">
        <v>42</v>
      </c>
      <c r="F83" s="11" t="s">
        <v>508</v>
      </c>
      <c r="G83" s="11">
        <v>106671</v>
      </c>
      <c r="H83" s="11" t="s">
        <v>64</v>
      </c>
      <c r="J83" s="11" t="s">
        <v>38</v>
      </c>
      <c r="K83" s="11">
        <v>51010101</v>
      </c>
      <c r="L83" s="11" t="s">
        <v>48</v>
      </c>
      <c r="M83" s="11"/>
      <c r="N83" s="11">
        <v>250.7</v>
      </c>
      <c r="O83" s="42">
        <v>-250.7</v>
      </c>
      <c r="P83" s="43" t="s">
        <v>4489</v>
      </c>
      <c r="Q83" s="11">
        <v>1281662.0900000001</v>
      </c>
      <c r="R83" s="11" t="s">
        <v>509</v>
      </c>
      <c r="S83" s="11" t="s">
        <v>40</v>
      </c>
      <c r="T83" s="11">
        <v>0</v>
      </c>
      <c r="V83" s="11" t="s">
        <v>41</v>
      </c>
    </row>
    <row r="84" spans="1:22" x14ac:dyDescent="0.25">
      <c r="A84" s="11">
        <v>101060401</v>
      </c>
      <c r="B84" s="11" t="s">
        <v>34</v>
      </c>
      <c r="C84" s="41">
        <v>44840</v>
      </c>
      <c r="D84" s="41">
        <v>44840</v>
      </c>
      <c r="E84" s="11" t="s">
        <v>42</v>
      </c>
      <c r="F84" s="11" t="s">
        <v>510</v>
      </c>
      <c r="G84" s="11">
        <v>106673</v>
      </c>
      <c r="H84" s="11" t="s">
        <v>50</v>
      </c>
      <c r="J84" s="11" t="s">
        <v>38</v>
      </c>
      <c r="K84" s="11">
        <v>51010101</v>
      </c>
      <c r="L84" s="11" t="s">
        <v>48</v>
      </c>
      <c r="M84" s="11"/>
      <c r="N84" s="11">
        <v>9.06</v>
      </c>
      <c r="O84" s="42">
        <v>-9.06</v>
      </c>
      <c r="P84" s="43" t="s">
        <v>4489</v>
      </c>
      <c r="Q84" s="11">
        <v>1281653.03</v>
      </c>
      <c r="R84" s="11" t="s">
        <v>263</v>
      </c>
      <c r="S84" s="11" t="s">
        <v>40</v>
      </c>
      <c r="T84" s="11">
        <v>0</v>
      </c>
      <c r="V84" s="11" t="s">
        <v>41</v>
      </c>
    </row>
    <row r="85" spans="1:22" x14ac:dyDescent="0.25">
      <c r="A85" s="11">
        <v>101060401</v>
      </c>
      <c r="B85" s="11" t="s">
        <v>34</v>
      </c>
      <c r="C85" s="41">
        <v>44840</v>
      </c>
      <c r="D85" s="41">
        <v>44840</v>
      </c>
      <c r="E85" s="11" t="s">
        <v>42</v>
      </c>
      <c r="F85" s="11" t="s">
        <v>511</v>
      </c>
      <c r="G85" s="11">
        <v>106675</v>
      </c>
      <c r="H85" s="11" t="s">
        <v>140</v>
      </c>
      <c r="J85" s="11" t="s">
        <v>38</v>
      </c>
      <c r="K85" s="11">
        <v>51010101</v>
      </c>
      <c r="L85" s="11" t="s">
        <v>48</v>
      </c>
      <c r="M85" s="11"/>
      <c r="N85" s="11">
        <v>158</v>
      </c>
      <c r="O85" s="42">
        <v>-158</v>
      </c>
      <c r="P85" s="43" t="s">
        <v>4489</v>
      </c>
      <c r="Q85" s="11">
        <v>1281495.03</v>
      </c>
      <c r="R85" s="11" t="s">
        <v>512</v>
      </c>
      <c r="S85" s="11" t="s">
        <v>40</v>
      </c>
      <c r="T85" s="11">
        <v>0</v>
      </c>
      <c r="V85" s="11" t="s">
        <v>41</v>
      </c>
    </row>
    <row r="86" spans="1:22" x14ac:dyDescent="0.25">
      <c r="A86" s="11">
        <v>101060401</v>
      </c>
      <c r="B86" s="11" t="s">
        <v>34</v>
      </c>
      <c r="C86" s="41">
        <v>44840</v>
      </c>
      <c r="D86" s="41">
        <v>44840</v>
      </c>
      <c r="E86" s="11" t="s">
        <v>36</v>
      </c>
      <c r="F86" s="11" t="s">
        <v>513</v>
      </c>
      <c r="G86" s="11">
        <v>106677</v>
      </c>
      <c r="H86" s="11" t="s">
        <v>213</v>
      </c>
      <c r="K86" s="11">
        <v>201040506</v>
      </c>
      <c r="L86" s="11" t="s">
        <v>46</v>
      </c>
      <c r="M86" s="11"/>
      <c r="N86" s="11">
        <v>1900</v>
      </c>
      <c r="O86" s="42">
        <v>-1900</v>
      </c>
      <c r="P86" s="43" t="s">
        <v>4491</v>
      </c>
      <c r="Q86" s="11">
        <v>1279595.03</v>
      </c>
      <c r="R86" s="11" t="s">
        <v>514</v>
      </c>
      <c r="S86" s="11" t="s">
        <v>40</v>
      </c>
      <c r="T86" s="11">
        <v>0</v>
      </c>
    </row>
    <row r="87" spans="1:22" x14ac:dyDescent="0.25">
      <c r="A87" s="11">
        <v>101060401</v>
      </c>
      <c r="B87" s="11" t="s">
        <v>34</v>
      </c>
      <c r="C87" s="41">
        <v>44840</v>
      </c>
      <c r="D87" s="41">
        <v>44840</v>
      </c>
      <c r="E87" s="11" t="s">
        <v>42</v>
      </c>
      <c r="F87" s="11" t="s">
        <v>515</v>
      </c>
      <c r="G87" s="11">
        <v>106678</v>
      </c>
      <c r="H87" s="11" t="s">
        <v>57</v>
      </c>
      <c r="K87" s="11">
        <v>101060402</v>
      </c>
      <c r="L87" s="11" t="s">
        <v>44</v>
      </c>
      <c r="M87" s="11"/>
      <c r="N87" s="11">
        <v>73.099999999999994</v>
      </c>
      <c r="O87" s="42">
        <v>-73.099999999999994</v>
      </c>
      <c r="P87" s="43" t="s">
        <v>4481</v>
      </c>
      <c r="Q87" s="11">
        <v>1279521.93</v>
      </c>
      <c r="R87" s="11" t="s">
        <v>516</v>
      </c>
      <c r="S87" s="11" t="s">
        <v>40</v>
      </c>
      <c r="T87" s="11">
        <v>0</v>
      </c>
    </row>
    <row r="88" spans="1:22" x14ac:dyDescent="0.25">
      <c r="A88" s="11">
        <v>101060401</v>
      </c>
      <c r="B88" s="11" t="s">
        <v>34</v>
      </c>
      <c r="C88" s="41">
        <v>44840</v>
      </c>
      <c r="D88" s="41">
        <v>44840</v>
      </c>
      <c r="E88" s="11" t="s">
        <v>42</v>
      </c>
      <c r="F88" s="11" t="s">
        <v>517</v>
      </c>
      <c r="G88" s="11">
        <v>106679</v>
      </c>
      <c r="H88" s="11" t="s">
        <v>57</v>
      </c>
      <c r="K88" s="11">
        <v>101060402</v>
      </c>
      <c r="L88" s="11" t="s">
        <v>44</v>
      </c>
      <c r="M88" s="11">
        <v>291.27</v>
      </c>
      <c r="N88" s="11"/>
      <c r="O88" s="42">
        <v>291.27</v>
      </c>
      <c r="P88" s="43" t="s">
        <v>4481</v>
      </c>
      <c r="Q88" s="11">
        <v>1279813.2</v>
      </c>
      <c r="R88" s="11" t="s">
        <v>518</v>
      </c>
      <c r="S88" s="11" t="s">
        <v>106</v>
      </c>
      <c r="T88" s="11">
        <v>0</v>
      </c>
    </row>
    <row r="89" spans="1:22" x14ac:dyDescent="0.25">
      <c r="A89" s="11">
        <v>101060401</v>
      </c>
      <c r="B89" s="11" t="s">
        <v>34</v>
      </c>
      <c r="C89" s="41">
        <v>44840</v>
      </c>
      <c r="D89" s="41">
        <v>44840</v>
      </c>
      <c r="E89" s="11" t="s">
        <v>60</v>
      </c>
      <c r="F89" s="11" t="s">
        <v>519</v>
      </c>
      <c r="G89" s="11">
        <v>106688</v>
      </c>
      <c r="H89" s="11" t="s">
        <v>61</v>
      </c>
      <c r="K89" s="11">
        <v>201040506</v>
      </c>
      <c r="L89" s="11" t="s">
        <v>46</v>
      </c>
      <c r="M89" s="11"/>
      <c r="N89" s="11">
        <v>35.36</v>
      </c>
      <c r="O89" s="42">
        <v>-35.36</v>
      </c>
      <c r="P89" s="43" t="s">
        <v>4480</v>
      </c>
      <c r="Q89" s="11">
        <v>1279777.8400000001</v>
      </c>
      <c r="R89" s="11" t="s">
        <v>520</v>
      </c>
      <c r="S89" s="11" t="s">
        <v>40</v>
      </c>
      <c r="T89" s="11">
        <v>0</v>
      </c>
    </row>
    <row r="90" spans="1:22" x14ac:dyDescent="0.25">
      <c r="A90" s="11">
        <v>101060401</v>
      </c>
      <c r="B90" s="11" t="s">
        <v>34</v>
      </c>
      <c r="C90" s="41">
        <v>44841</v>
      </c>
      <c r="D90" s="41">
        <v>44841</v>
      </c>
      <c r="E90" s="11" t="s">
        <v>42</v>
      </c>
      <c r="F90" s="11" t="s">
        <v>521</v>
      </c>
      <c r="G90" s="11">
        <v>106687</v>
      </c>
      <c r="H90" s="11" t="s">
        <v>43</v>
      </c>
      <c r="K90" s="11">
        <v>101060402</v>
      </c>
      <c r="L90" s="11" t="s">
        <v>44</v>
      </c>
      <c r="M90" s="11">
        <v>35.36</v>
      </c>
      <c r="N90" s="11"/>
      <c r="O90" s="42">
        <v>35.36</v>
      </c>
      <c r="P90" s="43" t="s">
        <v>4481</v>
      </c>
      <c r="Q90" s="11">
        <v>1279813.2</v>
      </c>
      <c r="R90" s="11" t="s">
        <v>499</v>
      </c>
      <c r="S90" s="11" t="s">
        <v>40</v>
      </c>
      <c r="T90" s="11">
        <v>0</v>
      </c>
    </row>
    <row r="91" spans="1:22" x14ac:dyDescent="0.25">
      <c r="A91" s="11">
        <v>101060401</v>
      </c>
      <c r="B91" s="11" t="s">
        <v>34</v>
      </c>
      <c r="C91" s="41">
        <v>44841</v>
      </c>
      <c r="D91" s="41">
        <v>44841</v>
      </c>
      <c r="E91" s="11" t="s">
        <v>36</v>
      </c>
      <c r="F91" s="11" t="s">
        <v>522</v>
      </c>
      <c r="G91" s="11">
        <v>106689</v>
      </c>
      <c r="H91" s="11" t="s">
        <v>101</v>
      </c>
      <c r="K91" s="11">
        <v>201040506</v>
      </c>
      <c r="L91" s="11" t="s">
        <v>46</v>
      </c>
      <c r="M91" s="11">
        <v>34.96</v>
      </c>
      <c r="N91" s="11"/>
      <c r="O91" s="42">
        <v>34.96</v>
      </c>
      <c r="P91" s="43" t="s">
        <v>4480</v>
      </c>
      <c r="Q91" s="11">
        <v>1279848.1599999999</v>
      </c>
      <c r="R91" s="11" t="s">
        <v>523</v>
      </c>
      <c r="S91" s="11" t="s">
        <v>40</v>
      </c>
      <c r="T91" s="11">
        <v>0</v>
      </c>
    </row>
    <row r="92" spans="1:22" x14ac:dyDescent="0.25">
      <c r="A92" s="11">
        <v>101060401</v>
      </c>
      <c r="B92" s="11" t="s">
        <v>34</v>
      </c>
      <c r="C92" s="41">
        <v>44841</v>
      </c>
      <c r="D92" s="41">
        <v>44841</v>
      </c>
      <c r="E92" s="11" t="s">
        <v>42</v>
      </c>
      <c r="F92" s="11" t="s">
        <v>524</v>
      </c>
      <c r="G92" s="11">
        <v>106690</v>
      </c>
      <c r="H92" s="11" t="s">
        <v>43</v>
      </c>
      <c r="K92" s="11">
        <v>101060402</v>
      </c>
      <c r="L92" s="11" t="s">
        <v>44</v>
      </c>
      <c r="M92" s="11"/>
      <c r="N92" s="11">
        <v>34.96</v>
      </c>
      <c r="O92" s="42">
        <v>-34.96</v>
      </c>
      <c r="P92" s="43" t="s">
        <v>4481</v>
      </c>
      <c r="Q92" s="11">
        <v>1279813.2</v>
      </c>
      <c r="R92" s="11" t="s">
        <v>525</v>
      </c>
      <c r="S92" s="11" t="s">
        <v>40</v>
      </c>
      <c r="T92" s="11">
        <v>0</v>
      </c>
    </row>
    <row r="93" spans="1:22" x14ac:dyDescent="0.25">
      <c r="A93" s="11">
        <v>101060401</v>
      </c>
      <c r="B93" s="11" t="s">
        <v>34</v>
      </c>
      <c r="C93" s="41">
        <v>44841</v>
      </c>
      <c r="D93" s="41">
        <v>44841</v>
      </c>
      <c r="E93" s="11" t="s">
        <v>36</v>
      </c>
      <c r="F93" s="11" t="s">
        <v>526</v>
      </c>
      <c r="G93" s="11">
        <v>106692</v>
      </c>
      <c r="H93" s="11" t="s">
        <v>259</v>
      </c>
      <c r="K93" s="11">
        <v>201040506</v>
      </c>
      <c r="L93" s="11" t="s">
        <v>46</v>
      </c>
      <c r="M93" s="11">
        <v>92.6</v>
      </c>
      <c r="N93" s="11"/>
      <c r="O93" s="42">
        <v>92.6</v>
      </c>
      <c r="P93" s="43" t="s">
        <v>4480</v>
      </c>
      <c r="Q93" s="11">
        <v>1279905.8</v>
      </c>
      <c r="R93" s="11" t="s">
        <v>527</v>
      </c>
      <c r="S93" s="11" t="s">
        <v>40</v>
      </c>
      <c r="T93" s="11">
        <v>0</v>
      </c>
    </row>
    <row r="94" spans="1:22" x14ac:dyDescent="0.25">
      <c r="A94" s="11">
        <v>101060401</v>
      </c>
      <c r="B94" s="11" t="s">
        <v>34</v>
      </c>
      <c r="C94" s="41">
        <v>44841</v>
      </c>
      <c r="D94" s="41">
        <v>44841</v>
      </c>
      <c r="E94" s="11" t="s">
        <v>42</v>
      </c>
      <c r="F94" s="11" t="s">
        <v>528</v>
      </c>
      <c r="G94" s="11">
        <v>106693</v>
      </c>
      <c r="H94" s="11" t="s">
        <v>158</v>
      </c>
      <c r="J94" s="11" t="s">
        <v>38</v>
      </c>
      <c r="K94" s="11">
        <v>51010101</v>
      </c>
      <c r="L94" s="11" t="s">
        <v>48</v>
      </c>
      <c r="M94" s="11"/>
      <c r="N94" s="11">
        <v>92.6</v>
      </c>
      <c r="O94" s="42">
        <v>-92.6</v>
      </c>
      <c r="P94" s="43" t="s">
        <v>4489</v>
      </c>
      <c r="Q94" s="11">
        <v>1279813.2</v>
      </c>
      <c r="R94" s="11" t="s">
        <v>529</v>
      </c>
      <c r="S94" s="11" t="s">
        <v>40</v>
      </c>
      <c r="T94" s="11">
        <v>0</v>
      </c>
      <c r="V94" s="11" t="s">
        <v>41</v>
      </c>
    </row>
    <row r="95" spans="1:22" x14ac:dyDescent="0.25">
      <c r="A95" s="11">
        <v>101060401</v>
      </c>
      <c r="B95" s="11" t="s">
        <v>34</v>
      </c>
      <c r="C95" s="41">
        <v>44841</v>
      </c>
      <c r="D95" s="41">
        <v>44841</v>
      </c>
      <c r="E95" s="11" t="s">
        <v>36</v>
      </c>
      <c r="F95" s="11" t="s">
        <v>530</v>
      </c>
      <c r="G95" s="11">
        <v>106704</v>
      </c>
      <c r="H95" s="11" t="s">
        <v>52</v>
      </c>
      <c r="K95" s="11">
        <v>201040506</v>
      </c>
      <c r="L95" s="11" t="s">
        <v>46</v>
      </c>
      <c r="M95" s="11">
        <v>291.45999999999998</v>
      </c>
      <c r="N95" s="11"/>
      <c r="O95" s="42">
        <v>291.45999999999998</v>
      </c>
      <c r="P95" s="43" t="s">
        <v>4480</v>
      </c>
      <c r="Q95" s="11">
        <v>1280104.6599999999</v>
      </c>
      <c r="R95" s="11" t="s">
        <v>531</v>
      </c>
      <c r="S95" s="11" t="s">
        <v>40</v>
      </c>
      <c r="T95" s="11">
        <v>0</v>
      </c>
    </row>
    <row r="96" spans="1:22" x14ac:dyDescent="0.25">
      <c r="A96" s="11">
        <v>101060401</v>
      </c>
      <c r="B96" s="11" t="s">
        <v>34</v>
      </c>
      <c r="C96" s="41">
        <v>44841</v>
      </c>
      <c r="D96" s="41">
        <v>44841</v>
      </c>
      <c r="E96" s="11" t="s">
        <v>36</v>
      </c>
      <c r="F96" s="11" t="s">
        <v>532</v>
      </c>
      <c r="G96" s="11">
        <v>106705</v>
      </c>
      <c r="H96" s="11" t="s">
        <v>52</v>
      </c>
      <c r="K96" s="11">
        <v>201040506</v>
      </c>
      <c r="L96" s="11" t="s">
        <v>46</v>
      </c>
      <c r="M96" s="11">
        <v>298.94</v>
      </c>
      <c r="N96" s="11"/>
      <c r="O96" s="42">
        <v>298.94</v>
      </c>
      <c r="P96" s="43" t="s">
        <v>4480</v>
      </c>
      <c r="Q96" s="11">
        <v>1280403.6000000001</v>
      </c>
      <c r="R96" s="11" t="s">
        <v>533</v>
      </c>
      <c r="S96" s="11" t="s">
        <v>40</v>
      </c>
      <c r="T96" s="11">
        <v>0</v>
      </c>
    </row>
    <row r="97" spans="1:22" x14ac:dyDescent="0.25">
      <c r="A97" s="11">
        <v>101060401</v>
      </c>
      <c r="B97" s="11" t="s">
        <v>34</v>
      </c>
      <c r="C97" s="41">
        <v>44841</v>
      </c>
      <c r="D97" s="41">
        <v>44841</v>
      </c>
      <c r="E97" s="11" t="s">
        <v>36</v>
      </c>
      <c r="F97" s="11" t="s">
        <v>534</v>
      </c>
      <c r="G97" s="11">
        <v>106706</v>
      </c>
      <c r="H97" s="11" t="s">
        <v>52</v>
      </c>
      <c r="K97" s="11">
        <v>201040506</v>
      </c>
      <c r="L97" s="11" t="s">
        <v>46</v>
      </c>
      <c r="M97" s="11">
        <v>26.77</v>
      </c>
      <c r="N97" s="11"/>
      <c r="O97" s="42">
        <v>26.77</v>
      </c>
      <c r="P97" s="43" t="s">
        <v>4480</v>
      </c>
      <c r="Q97" s="11">
        <v>1280430.3700000001</v>
      </c>
      <c r="R97" s="11" t="s">
        <v>535</v>
      </c>
      <c r="S97" s="11" t="s">
        <v>40</v>
      </c>
      <c r="T97" s="11">
        <v>0</v>
      </c>
    </row>
    <row r="98" spans="1:22" x14ac:dyDescent="0.25">
      <c r="A98" s="11">
        <v>101060401</v>
      </c>
      <c r="B98" s="11" t="s">
        <v>34</v>
      </c>
      <c r="C98" s="41">
        <v>44841</v>
      </c>
      <c r="D98" s="41">
        <v>44841</v>
      </c>
      <c r="E98" s="11" t="s">
        <v>36</v>
      </c>
      <c r="F98" s="11" t="s">
        <v>536</v>
      </c>
      <c r="G98" s="11">
        <v>106707</v>
      </c>
      <c r="H98" s="11" t="s">
        <v>100</v>
      </c>
      <c r="K98" s="11">
        <v>201040506</v>
      </c>
      <c r="L98" s="11" t="s">
        <v>46</v>
      </c>
      <c r="M98" s="11">
        <v>10.23</v>
      </c>
      <c r="N98" s="11"/>
      <c r="O98" s="42">
        <v>10.23</v>
      </c>
      <c r="P98" s="43" t="s">
        <v>4480</v>
      </c>
      <c r="Q98" s="11">
        <v>1280440.6000000001</v>
      </c>
      <c r="R98" s="11" t="s">
        <v>537</v>
      </c>
      <c r="S98" s="11" t="s">
        <v>40</v>
      </c>
      <c r="T98" s="11">
        <v>0</v>
      </c>
    </row>
    <row r="99" spans="1:22" x14ac:dyDescent="0.25">
      <c r="A99" s="11">
        <v>101060401</v>
      </c>
      <c r="B99" s="11" t="s">
        <v>34</v>
      </c>
      <c r="C99" s="41">
        <v>44841</v>
      </c>
      <c r="D99" s="41">
        <v>44841</v>
      </c>
      <c r="E99" s="11" t="s">
        <v>42</v>
      </c>
      <c r="F99" s="11" t="s">
        <v>538</v>
      </c>
      <c r="G99" s="11">
        <v>106708</v>
      </c>
      <c r="H99" s="11" t="s">
        <v>206</v>
      </c>
      <c r="J99" s="11" t="s">
        <v>38</v>
      </c>
      <c r="K99" s="11">
        <v>51010101</v>
      </c>
      <c r="L99" s="11" t="s">
        <v>48</v>
      </c>
      <c r="M99" s="11">
        <v>493.2</v>
      </c>
      <c r="N99" s="11"/>
      <c r="O99" s="42">
        <v>493.2</v>
      </c>
      <c r="P99" s="43" t="s">
        <v>4489</v>
      </c>
      <c r="Q99" s="11">
        <v>1280933.8</v>
      </c>
      <c r="R99" s="11" t="s">
        <v>332</v>
      </c>
      <c r="S99" s="11" t="s">
        <v>40</v>
      </c>
      <c r="T99" s="11">
        <v>0</v>
      </c>
      <c r="V99" s="11" t="s">
        <v>41</v>
      </c>
    </row>
    <row r="100" spans="1:22" x14ac:dyDescent="0.25">
      <c r="A100" s="11">
        <v>101060401</v>
      </c>
      <c r="B100" s="11" t="s">
        <v>34</v>
      </c>
      <c r="C100" s="41">
        <v>44841</v>
      </c>
      <c r="D100" s="41">
        <v>44841</v>
      </c>
      <c r="E100" s="11" t="s">
        <v>42</v>
      </c>
      <c r="F100" s="11" t="s">
        <v>539</v>
      </c>
      <c r="G100" s="11">
        <v>106710</v>
      </c>
      <c r="H100" s="11" t="s">
        <v>86</v>
      </c>
      <c r="J100" s="11" t="s">
        <v>38</v>
      </c>
      <c r="K100" s="11">
        <v>51010101</v>
      </c>
      <c r="L100" s="11" t="s">
        <v>48</v>
      </c>
      <c r="M100" s="11"/>
      <c r="N100" s="11">
        <v>493.2</v>
      </c>
      <c r="O100" s="42">
        <v>-493.2</v>
      </c>
      <c r="P100" s="43" t="s">
        <v>4489</v>
      </c>
      <c r="Q100" s="11">
        <v>1280440.6000000001</v>
      </c>
      <c r="R100" s="11" t="s">
        <v>333</v>
      </c>
      <c r="S100" s="11" t="s">
        <v>40</v>
      </c>
      <c r="T100" s="11">
        <v>0</v>
      </c>
      <c r="V100" s="11" t="s">
        <v>41</v>
      </c>
    </row>
    <row r="101" spans="1:22" x14ac:dyDescent="0.25">
      <c r="A101" s="11">
        <v>101060401</v>
      </c>
      <c r="B101" s="11" t="s">
        <v>34</v>
      </c>
      <c r="C101" s="41">
        <v>44841</v>
      </c>
      <c r="D101" s="41">
        <v>44841</v>
      </c>
      <c r="E101" s="11" t="s">
        <v>42</v>
      </c>
      <c r="F101" s="11" t="s">
        <v>540</v>
      </c>
      <c r="G101" s="11">
        <v>106711</v>
      </c>
      <c r="H101" s="11" t="s">
        <v>77</v>
      </c>
      <c r="J101" s="11" t="s">
        <v>38</v>
      </c>
      <c r="K101" s="11">
        <v>51010101</v>
      </c>
      <c r="L101" s="11" t="s">
        <v>48</v>
      </c>
      <c r="M101" s="11"/>
      <c r="N101" s="11">
        <v>224.48</v>
      </c>
      <c r="O101" s="42">
        <v>-224.48</v>
      </c>
      <c r="P101" s="43" t="s">
        <v>4489</v>
      </c>
      <c r="Q101" s="11">
        <v>1280216.1200000001</v>
      </c>
      <c r="R101" s="11" t="s">
        <v>541</v>
      </c>
      <c r="S101" s="11" t="s">
        <v>40</v>
      </c>
      <c r="T101" s="11">
        <v>0</v>
      </c>
      <c r="V101" s="11" t="s">
        <v>41</v>
      </c>
    </row>
    <row r="102" spans="1:22" x14ac:dyDescent="0.25">
      <c r="A102" s="11">
        <v>101060401</v>
      </c>
      <c r="B102" s="11" t="s">
        <v>34</v>
      </c>
      <c r="C102" s="41">
        <v>44841</v>
      </c>
      <c r="D102" s="41">
        <v>44841</v>
      </c>
      <c r="E102" s="11" t="s">
        <v>42</v>
      </c>
      <c r="F102" s="11" t="s">
        <v>542</v>
      </c>
      <c r="G102" s="11">
        <v>106712</v>
      </c>
      <c r="H102" s="11" t="s">
        <v>57</v>
      </c>
      <c r="K102" s="11">
        <v>101060409</v>
      </c>
      <c r="L102" s="11" t="s">
        <v>128</v>
      </c>
      <c r="M102" s="11"/>
      <c r="N102" s="11">
        <v>31.71</v>
      </c>
      <c r="O102" s="42">
        <v>-31.71</v>
      </c>
      <c r="P102" s="43" t="s">
        <v>4481</v>
      </c>
      <c r="Q102" s="11">
        <v>1280184.4099999999</v>
      </c>
      <c r="R102" s="11" t="s">
        <v>340</v>
      </c>
      <c r="S102" s="11" t="s">
        <v>40</v>
      </c>
      <c r="T102" s="11">
        <v>0</v>
      </c>
    </row>
    <row r="103" spans="1:22" x14ac:dyDescent="0.25">
      <c r="A103" s="11">
        <v>101060401</v>
      </c>
      <c r="B103" s="11" t="s">
        <v>34</v>
      </c>
      <c r="C103" s="41">
        <v>44841</v>
      </c>
      <c r="D103" s="41">
        <v>44841</v>
      </c>
      <c r="E103" s="11" t="s">
        <v>42</v>
      </c>
      <c r="F103" s="11" t="s">
        <v>543</v>
      </c>
      <c r="G103" s="11">
        <v>106723</v>
      </c>
      <c r="H103" s="11" t="s">
        <v>74</v>
      </c>
      <c r="J103" s="11" t="s">
        <v>38</v>
      </c>
      <c r="K103" s="11">
        <v>51010101</v>
      </c>
      <c r="L103" s="11" t="s">
        <v>48</v>
      </c>
      <c r="M103" s="11"/>
      <c r="N103" s="11">
        <v>55.43</v>
      </c>
      <c r="O103" s="42">
        <v>-55.43</v>
      </c>
      <c r="P103" s="43" t="s">
        <v>4489</v>
      </c>
      <c r="Q103" s="11">
        <v>1280128.98</v>
      </c>
      <c r="R103" s="11" t="s">
        <v>544</v>
      </c>
      <c r="S103" s="11" t="s">
        <v>40</v>
      </c>
      <c r="T103" s="11">
        <v>0</v>
      </c>
      <c r="V103" s="11" t="s">
        <v>41</v>
      </c>
    </row>
    <row r="104" spans="1:22" x14ac:dyDescent="0.25">
      <c r="A104" s="11">
        <v>101060401</v>
      </c>
      <c r="B104" s="11" t="s">
        <v>34</v>
      </c>
      <c r="C104" s="41">
        <v>44841</v>
      </c>
      <c r="D104" s="41">
        <v>44841</v>
      </c>
      <c r="E104" s="11" t="s">
        <v>42</v>
      </c>
      <c r="F104" s="11" t="s">
        <v>545</v>
      </c>
      <c r="G104" s="11">
        <v>106726</v>
      </c>
      <c r="H104" s="11" t="s">
        <v>47</v>
      </c>
      <c r="J104" s="11" t="s">
        <v>38</v>
      </c>
      <c r="K104" s="11">
        <v>51010101</v>
      </c>
      <c r="L104" s="11" t="s">
        <v>48</v>
      </c>
      <c r="M104" s="11"/>
      <c r="N104" s="11">
        <v>384.22</v>
      </c>
      <c r="O104" s="42">
        <v>-384.22</v>
      </c>
      <c r="P104" s="43" t="s">
        <v>4489</v>
      </c>
      <c r="Q104" s="11">
        <v>1279744.76</v>
      </c>
      <c r="R104" s="11" t="s">
        <v>546</v>
      </c>
      <c r="S104" s="11" t="s">
        <v>40</v>
      </c>
      <c r="T104" s="11">
        <v>0</v>
      </c>
      <c r="V104" s="11" t="s">
        <v>41</v>
      </c>
    </row>
    <row r="105" spans="1:22" x14ac:dyDescent="0.25">
      <c r="A105" s="11">
        <v>101060401</v>
      </c>
      <c r="B105" s="11" t="s">
        <v>34</v>
      </c>
      <c r="C105" s="41">
        <v>44841</v>
      </c>
      <c r="D105" s="41">
        <v>44841</v>
      </c>
      <c r="E105" s="11" t="s">
        <v>42</v>
      </c>
      <c r="F105" s="11" t="s">
        <v>547</v>
      </c>
      <c r="G105" s="11">
        <v>106727</v>
      </c>
      <c r="H105" s="11" t="s">
        <v>47</v>
      </c>
      <c r="J105" s="11" t="s">
        <v>38</v>
      </c>
      <c r="K105" s="11">
        <v>51010101</v>
      </c>
      <c r="L105" s="11" t="s">
        <v>48</v>
      </c>
      <c r="M105" s="11"/>
      <c r="N105" s="11">
        <v>26.77</v>
      </c>
      <c r="O105" s="42">
        <v>-26.77</v>
      </c>
      <c r="P105" s="43" t="s">
        <v>4489</v>
      </c>
      <c r="Q105" s="11">
        <v>1279717.99</v>
      </c>
      <c r="R105" s="11" t="s">
        <v>548</v>
      </c>
      <c r="S105" s="11" t="s">
        <v>40</v>
      </c>
      <c r="T105" s="11">
        <v>0</v>
      </c>
      <c r="V105" s="11" t="s">
        <v>41</v>
      </c>
    </row>
    <row r="106" spans="1:22" x14ac:dyDescent="0.25">
      <c r="A106" s="11">
        <v>101060401</v>
      </c>
      <c r="B106" s="11" t="s">
        <v>34</v>
      </c>
      <c r="C106" s="41">
        <v>44841</v>
      </c>
      <c r="D106" s="41">
        <v>44841</v>
      </c>
      <c r="E106" s="11" t="s">
        <v>42</v>
      </c>
      <c r="F106" s="11" t="s">
        <v>549</v>
      </c>
      <c r="G106" s="11">
        <v>106728</v>
      </c>
      <c r="H106" s="11" t="s">
        <v>57</v>
      </c>
      <c r="K106" s="11">
        <v>101060402</v>
      </c>
      <c r="L106" s="11" t="s">
        <v>44</v>
      </c>
      <c r="M106" s="11"/>
      <c r="N106" s="11">
        <v>4844.82</v>
      </c>
      <c r="O106" s="42">
        <v>-4844.82</v>
      </c>
      <c r="P106" s="43" t="s">
        <v>4481</v>
      </c>
      <c r="Q106" s="11">
        <v>1274873.17</v>
      </c>
      <c r="R106" s="11" t="s">
        <v>550</v>
      </c>
      <c r="S106" s="11" t="s">
        <v>106</v>
      </c>
      <c r="T106" s="11">
        <v>0</v>
      </c>
    </row>
    <row r="107" spans="1:22" x14ac:dyDescent="0.25">
      <c r="A107" s="11">
        <v>101060401</v>
      </c>
      <c r="B107" s="11" t="s">
        <v>34</v>
      </c>
      <c r="C107" s="41">
        <v>44841</v>
      </c>
      <c r="D107" s="41">
        <v>44841</v>
      </c>
      <c r="E107" s="11" t="s">
        <v>36</v>
      </c>
      <c r="F107" s="11" t="s">
        <v>551</v>
      </c>
      <c r="G107" s="11">
        <v>106730</v>
      </c>
      <c r="H107" s="11" t="s">
        <v>103</v>
      </c>
      <c r="K107" s="11">
        <v>201040506</v>
      </c>
      <c r="L107" s="11" t="s">
        <v>46</v>
      </c>
      <c r="M107" s="11">
        <v>3358.82</v>
      </c>
      <c r="N107" s="11"/>
      <c r="O107" s="42">
        <v>3358.82</v>
      </c>
      <c r="P107" s="43" t="s">
        <v>4480</v>
      </c>
      <c r="Q107" s="11">
        <v>1278231.99</v>
      </c>
      <c r="R107" s="11" t="s">
        <v>552</v>
      </c>
      <c r="S107" s="11" t="s">
        <v>40</v>
      </c>
      <c r="T107" s="11">
        <v>0</v>
      </c>
    </row>
    <row r="108" spans="1:22" x14ac:dyDescent="0.25">
      <c r="A108" s="11">
        <v>101060401</v>
      </c>
      <c r="B108" s="11" t="s">
        <v>34</v>
      </c>
      <c r="C108" s="41">
        <v>44841</v>
      </c>
      <c r="D108" s="41">
        <v>44841</v>
      </c>
      <c r="E108" s="11" t="s">
        <v>42</v>
      </c>
      <c r="F108" s="11" t="s">
        <v>553</v>
      </c>
      <c r="G108" s="11">
        <v>106731</v>
      </c>
      <c r="H108" s="11" t="s">
        <v>57</v>
      </c>
      <c r="K108" s="11">
        <v>101060402</v>
      </c>
      <c r="L108" s="11" t="s">
        <v>44</v>
      </c>
      <c r="M108" s="11"/>
      <c r="N108" s="11">
        <v>3411.35</v>
      </c>
      <c r="O108" s="42">
        <v>-3411.35</v>
      </c>
      <c r="P108" s="43" t="s">
        <v>4481</v>
      </c>
      <c r="Q108" s="11">
        <v>1274820.6399999999</v>
      </c>
      <c r="R108" s="11" t="s">
        <v>554</v>
      </c>
      <c r="S108" s="11" t="s">
        <v>40</v>
      </c>
      <c r="T108" s="11">
        <v>0</v>
      </c>
    </row>
    <row r="109" spans="1:22" x14ac:dyDescent="0.25">
      <c r="A109" s="11">
        <v>101060401</v>
      </c>
      <c r="B109" s="11" t="s">
        <v>34</v>
      </c>
      <c r="C109" s="41">
        <v>44841</v>
      </c>
      <c r="D109" s="41">
        <v>44841</v>
      </c>
      <c r="E109" s="11" t="s">
        <v>42</v>
      </c>
      <c r="F109" s="11" t="s">
        <v>555</v>
      </c>
      <c r="G109" s="11">
        <v>106732</v>
      </c>
      <c r="H109" s="11" t="s">
        <v>141</v>
      </c>
      <c r="J109" s="11" t="s">
        <v>38</v>
      </c>
      <c r="K109" s="11">
        <v>51010101</v>
      </c>
      <c r="L109" s="11" t="s">
        <v>48</v>
      </c>
      <c r="M109" s="11"/>
      <c r="N109" s="11">
        <v>599.76</v>
      </c>
      <c r="O109" s="42">
        <v>-599.76</v>
      </c>
      <c r="P109" s="43" t="s">
        <v>4489</v>
      </c>
      <c r="Q109" s="11">
        <v>1274220.8799999999</v>
      </c>
      <c r="R109" s="11" t="s">
        <v>556</v>
      </c>
      <c r="S109" s="11" t="s">
        <v>40</v>
      </c>
      <c r="T109" s="11">
        <v>0</v>
      </c>
      <c r="V109" s="11" t="s">
        <v>41</v>
      </c>
    </row>
    <row r="110" spans="1:22" x14ac:dyDescent="0.25">
      <c r="A110" s="11">
        <v>101060401</v>
      </c>
      <c r="B110" s="11" t="s">
        <v>34</v>
      </c>
      <c r="C110" s="41">
        <v>44841</v>
      </c>
      <c r="D110" s="41">
        <v>44841</v>
      </c>
      <c r="E110" s="11" t="s">
        <v>42</v>
      </c>
      <c r="F110" s="11" t="s">
        <v>557</v>
      </c>
      <c r="G110" s="11">
        <v>106733</v>
      </c>
      <c r="H110" s="11" t="s">
        <v>168</v>
      </c>
      <c r="J110" s="11" t="s">
        <v>38</v>
      </c>
      <c r="K110" s="11">
        <v>51010101</v>
      </c>
      <c r="L110" s="11" t="s">
        <v>48</v>
      </c>
      <c r="M110" s="11"/>
      <c r="N110" s="11">
        <v>1695.91</v>
      </c>
      <c r="O110" s="42">
        <v>-1695.91</v>
      </c>
      <c r="P110" s="43" t="s">
        <v>4489</v>
      </c>
      <c r="Q110" s="11">
        <v>1272524.97</v>
      </c>
      <c r="R110" s="11" t="s">
        <v>558</v>
      </c>
      <c r="S110" s="11" t="s">
        <v>40</v>
      </c>
      <c r="T110" s="11">
        <v>0</v>
      </c>
      <c r="V110" s="11" t="s">
        <v>41</v>
      </c>
    </row>
    <row r="111" spans="1:22" x14ac:dyDescent="0.25">
      <c r="A111" s="11">
        <v>101060401</v>
      </c>
      <c r="B111" s="11" t="s">
        <v>34</v>
      </c>
      <c r="C111" s="41">
        <v>44841</v>
      </c>
      <c r="D111" s="41">
        <v>44841</v>
      </c>
      <c r="E111" s="11" t="s">
        <v>42</v>
      </c>
      <c r="F111" s="11" t="s">
        <v>559</v>
      </c>
      <c r="G111" s="11">
        <v>106741</v>
      </c>
      <c r="H111" s="11" t="s">
        <v>57</v>
      </c>
      <c r="K111" s="11">
        <v>101060402</v>
      </c>
      <c r="L111" s="11" t="s">
        <v>44</v>
      </c>
      <c r="M111" s="11"/>
      <c r="N111" s="11">
        <v>157.44</v>
      </c>
      <c r="O111" s="42">
        <v>-157.44</v>
      </c>
      <c r="P111" s="43" t="s">
        <v>4481</v>
      </c>
      <c r="Q111" s="11">
        <v>1272367.53</v>
      </c>
      <c r="R111" s="11" t="s">
        <v>560</v>
      </c>
      <c r="S111" s="11" t="s">
        <v>106</v>
      </c>
      <c r="T111" s="11">
        <v>0</v>
      </c>
    </row>
    <row r="112" spans="1:22" x14ac:dyDescent="0.25">
      <c r="A112" s="11">
        <v>101060401</v>
      </c>
      <c r="B112" s="11" t="s">
        <v>34</v>
      </c>
      <c r="C112" s="41">
        <v>44841</v>
      </c>
      <c r="D112" s="41">
        <v>44841</v>
      </c>
      <c r="E112" s="11" t="s">
        <v>42</v>
      </c>
      <c r="F112" s="11" t="s">
        <v>561</v>
      </c>
      <c r="G112" s="11">
        <v>106743</v>
      </c>
      <c r="H112" s="11" t="s">
        <v>57</v>
      </c>
      <c r="K112" s="11">
        <v>101060402</v>
      </c>
      <c r="L112" s="11" t="s">
        <v>44</v>
      </c>
      <c r="M112" s="11">
        <v>4235.28</v>
      </c>
      <c r="N112" s="11"/>
      <c r="O112" s="42">
        <v>4235.28</v>
      </c>
      <c r="P112" s="43" t="s">
        <v>4481</v>
      </c>
      <c r="Q112" s="11">
        <v>1276602.81</v>
      </c>
      <c r="R112" s="11" t="s">
        <v>562</v>
      </c>
      <c r="S112" s="11" t="s">
        <v>106</v>
      </c>
      <c r="T112" s="11">
        <v>0</v>
      </c>
    </row>
    <row r="113" spans="1:22" x14ac:dyDescent="0.25">
      <c r="A113" s="11">
        <v>101060401</v>
      </c>
      <c r="B113" s="11" t="s">
        <v>34</v>
      </c>
      <c r="C113" s="41">
        <v>44845</v>
      </c>
      <c r="D113" s="41">
        <v>44845</v>
      </c>
      <c r="E113" s="11" t="s">
        <v>36</v>
      </c>
      <c r="F113" s="11" t="s">
        <v>563</v>
      </c>
      <c r="G113" s="11">
        <v>106744</v>
      </c>
      <c r="H113" s="11" t="s">
        <v>259</v>
      </c>
      <c r="K113" s="11">
        <v>201040506</v>
      </c>
      <c r="L113" s="11" t="s">
        <v>46</v>
      </c>
      <c r="M113" s="11">
        <v>136.5</v>
      </c>
      <c r="N113" s="11"/>
      <c r="O113" s="42">
        <v>136.5</v>
      </c>
      <c r="P113" s="43" t="s">
        <v>4480</v>
      </c>
      <c r="Q113" s="11">
        <v>1276739.31</v>
      </c>
      <c r="R113" s="11" t="s">
        <v>564</v>
      </c>
      <c r="S113" s="11" t="s">
        <v>40</v>
      </c>
      <c r="T113" s="11">
        <v>0</v>
      </c>
    </row>
    <row r="114" spans="1:22" x14ac:dyDescent="0.25">
      <c r="A114" s="11">
        <v>101060401</v>
      </c>
      <c r="B114" s="11" t="s">
        <v>34</v>
      </c>
      <c r="C114" s="41">
        <v>44845</v>
      </c>
      <c r="D114" s="41">
        <v>44845</v>
      </c>
      <c r="E114" s="11" t="s">
        <v>42</v>
      </c>
      <c r="F114" s="11" t="s">
        <v>565</v>
      </c>
      <c r="G114" s="11">
        <v>106745</v>
      </c>
      <c r="H114" s="11" t="s">
        <v>158</v>
      </c>
      <c r="J114" s="11" t="s">
        <v>38</v>
      </c>
      <c r="K114" s="11">
        <v>51010101</v>
      </c>
      <c r="L114" s="11" t="s">
        <v>48</v>
      </c>
      <c r="M114" s="11"/>
      <c r="N114" s="11">
        <v>136.5</v>
      </c>
      <c r="O114" s="42">
        <v>-136.5</v>
      </c>
      <c r="P114" s="43" t="s">
        <v>4489</v>
      </c>
      <c r="Q114" s="11">
        <v>1276602.81</v>
      </c>
      <c r="R114" s="11" t="s">
        <v>566</v>
      </c>
      <c r="S114" s="11" t="s">
        <v>40</v>
      </c>
      <c r="T114" s="11">
        <v>0</v>
      </c>
      <c r="V114" s="11" t="s">
        <v>41</v>
      </c>
    </row>
    <row r="115" spans="1:22" x14ac:dyDescent="0.25">
      <c r="A115" s="11">
        <v>101060401</v>
      </c>
      <c r="B115" s="11" t="s">
        <v>34</v>
      </c>
      <c r="C115" s="41">
        <v>44845</v>
      </c>
      <c r="D115" s="41">
        <v>44845</v>
      </c>
      <c r="E115" s="11" t="s">
        <v>42</v>
      </c>
      <c r="F115" s="11" t="s">
        <v>567</v>
      </c>
      <c r="G115" s="11">
        <v>106750</v>
      </c>
      <c r="H115" s="11" t="s">
        <v>74</v>
      </c>
      <c r="J115" s="11" t="s">
        <v>38</v>
      </c>
      <c r="K115" s="11">
        <v>51010101</v>
      </c>
      <c r="L115" s="11" t="s">
        <v>48</v>
      </c>
      <c r="M115" s="11"/>
      <c r="N115" s="11">
        <v>303.95</v>
      </c>
      <c r="O115" s="42">
        <v>-303.95</v>
      </c>
      <c r="P115" s="43" t="s">
        <v>4489</v>
      </c>
      <c r="Q115" s="11">
        <v>1276298.8600000001</v>
      </c>
      <c r="R115" s="11" t="s">
        <v>568</v>
      </c>
      <c r="S115" s="11" t="s">
        <v>40</v>
      </c>
      <c r="T115" s="11">
        <v>0</v>
      </c>
      <c r="V115" s="11" t="s">
        <v>41</v>
      </c>
    </row>
    <row r="116" spans="1:22" x14ac:dyDescent="0.25">
      <c r="A116" s="11">
        <v>101060401</v>
      </c>
      <c r="B116" s="11" t="s">
        <v>34</v>
      </c>
      <c r="C116" s="41">
        <v>44845</v>
      </c>
      <c r="D116" s="41">
        <v>44845</v>
      </c>
      <c r="E116" s="11" t="s">
        <v>42</v>
      </c>
      <c r="F116" s="11" t="s">
        <v>569</v>
      </c>
      <c r="G116" s="11">
        <v>106751</v>
      </c>
      <c r="H116" s="11" t="s">
        <v>71</v>
      </c>
      <c r="J116" s="11" t="s">
        <v>38</v>
      </c>
      <c r="K116" s="11">
        <v>51010101</v>
      </c>
      <c r="L116" s="11" t="s">
        <v>48</v>
      </c>
      <c r="M116" s="11"/>
      <c r="N116" s="11">
        <v>4245.34</v>
      </c>
      <c r="O116" s="42">
        <v>-4245.34</v>
      </c>
      <c r="P116" s="43" t="s">
        <v>4489</v>
      </c>
      <c r="Q116" s="11">
        <v>1272053.52</v>
      </c>
      <c r="R116" s="11" t="s">
        <v>570</v>
      </c>
      <c r="S116" s="11" t="s">
        <v>40</v>
      </c>
      <c r="T116" s="11">
        <v>0</v>
      </c>
      <c r="V116" s="11" t="s">
        <v>41</v>
      </c>
    </row>
    <row r="117" spans="1:22" x14ac:dyDescent="0.25">
      <c r="A117" s="11">
        <v>101060401</v>
      </c>
      <c r="B117" s="11" t="s">
        <v>34</v>
      </c>
      <c r="C117" s="41">
        <v>44845</v>
      </c>
      <c r="D117" s="41">
        <v>44845</v>
      </c>
      <c r="E117" s="11" t="s">
        <v>36</v>
      </c>
      <c r="F117" s="11" t="s">
        <v>571</v>
      </c>
      <c r="G117" s="11">
        <v>106765</v>
      </c>
      <c r="H117" s="11" t="s">
        <v>572</v>
      </c>
      <c r="J117" s="11" t="s">
        <v>38</v>
      </c>
      <c r="K117" s="11">
        <v>51010101</v>
      </c>
      <c r="L117" s="11" t="s">
        <v>48</v>
      </c>
      <c r="M117" s="11">
        <v>137.47</v>
      </c>
      <c r="N117" s="11"/>
      <c r="O117" s="42">
        <v>137.47</v>
      </c>
      <c r="P117" s="43" t="s">
        <v>4489</v>
      </c>
      <c r="Q117" s="11">
        <v>1272190.99</v>
      </c>
      <c r="R117" s="11" t="s">
        <v>573</v>
      </c>
      <c r="S117" s="11" t="s">
        <v>40</v>
      </c>
      <c r="T117" s="11">
        <v>0</v>
      </c>
      <c r="V117" s="11" t="s">
        <v>41</v>
      </c>
    </row>
    <row r="118" spans="1:22" x14ac:dyDescent="0.25">
      <c r="A118" s="11">
        <v>101060401</v>
      </c>
      <c r="B118" s="11" t="s">
        <v>34</v>
      </c>
      <c r="C118" s="41">
        <v>44845</v>
      </c>
      <c r="D118" s="41">
        <v>44845</v>
      </c>
      <c r="E118" s="11" t="s">
        <v>36</v>
      </c>
      <c r="F118" s="11" t="s">
        <v>574</v>
      </c>
      <c r="G118" s="11">
        <v>106770</v>
      </c>
      <c r="H118" s="11" t="s">
        <v>572</v>
      </c>
      <c r="J118" s="11" t="s">
        <v>38</v>
      </c>
      <c r="K118" s="11">
        <v>51010101</v>
      </c>
      <c r="L118" s="11" t="s">
        <v>48</v>
      </c>
      <c r="M118" s="11">
        <v>285.76</v>
      </c>
      <c r="N118" s="11"/>
      <c r="O118" s="42">
        <v>285.76</v>
      </c>
      <c r="P118" s="43" t="s">
        <v>4489</v>
      </c>
      <c r="Q118" s="11">
        <v>1272476.75</v>
      </c>
      <c r="R118" s="11" t="s">
        <v>575</v>
      </c>
      <c r="S118" s="11" t="s">
        <v>40</v>
      </c>
      <c r="T118" s="11">
        <v>0</v>
      </c>
      <c r="V118" s="11" t="s">
        <v>41</v>
      </c>
    </row>
    <row r="119" spans="1:22" x14ac:dyDescent="0.25">
      <c r="A119" s="11">
        <v>101060401</v>
      </c>
      <c r="B119" s="11" t="s">
        <v>34</v>
      </c>
      <c r="C119" s="41">
        <v>44845</v>
      </c>
      <c r="D119" s="41">
        <v>44845</v>
      </c>
      <c r="E119" s="11" t="s">
        <v>36</v>
      </c>
      <c r="F119" s="11" t="s">
        <v>576</v>
      </c>
      <c r="G119" s="11">
        <v>106772</v>
      </c>
      <c r="H119" s="11" t="s">
        <v>324</v>
      </c>
      <c r="K119" s="11">
        <v>201040506</v>
      </c>
      <c r="L119" s="11" t="s">
        <v>46</v>
      </c>
      <c r="M119" s="11">
        <v>41.16</v>
      </c>
      <c r="N119" s="11"/>
      <c r="O119" s="42">
        <v>41.16</v>
      </c>
      <c r="P119" s="43" t="s">
        <v>4480</v>
      </c>
      <c r="Q119" s="11">
        <v>1272517.9099999999</v>
      </c>
      <c r="R119" s="11" t="s">
        <v>577</v>
      </c>
      <c r="S119" s="11" t="s">
        <v>40</v>
      </c>
      <c r="T119" s="11">
        <v>0</v>
      </c>
    </row>
    <row r="120" spans="1:22" x14ac:dyDescent="0.25">
      <c r="A120" s="11">
        <v>101060401</v>
      </c>
      <c r="B120" s="11" t="s">
        <v>34</v>
      </c>
      <c r="C120" s="41">
        <v>44845</v>
      </c>
      <c r="D120" s="41">
        <v>44845</v>
      </c>
      <c r="E120" s="11" t="s">
        <v>42</v>
      </c>
      <c r="F120" s="11" t="s">
        <v>578</v>
      </c>
      <c r="G120" s="11">
        <v>106793</v>
      </c>
      <c r="H120" s="11" t="s">
        <v>64</v>
      </c>
      <c r="J120" s="11" t="s">
        <v>38</v>
      </c>
      <c r="K120" s="11">
        <v>51010101</v>
      </c>
      <c r="L120" s="11" t="s">
        <v>48</v>
      </c>
      <c r="M120" s="11"/>
      <c r="N120" s="11">
        <v>19.61</v>
      </c>
      <c r="O120" s="42">
        <v>-19.61</v>
      </c>
      <c r="P120" s="43" t="s">
        <v>4489</v>
      </c>
      <c r="Q120" s="11">
        <v>1272498.3</v>
      </c>
      <c r="R120" s="11" t="s">
        <v>579</v>
      </c>
      <c r="S120" s="11" t="s">
        <v>40</v>
      </c>
      <c r="T120" s="11">
        <v>0</v>
      </c>
      <c r="V120" s="11" t="s">
        <v>41</v>
      </c>
    </row>
    <row r="121" spans="1:22" x14ac:dyDescent="0.25">
      <c r="A121" s="11">
        <v>101060401</v>
      </c>
      <c r="B121" s="11" t="s">
        <v>34</v>
      </c>
      <c r="C121" s="41">
        <v>44845</v>
      </c>
      <c r="D121" s="41">
        <v>44845</v>
      </c>
      <c r="E121" s="11" t="s">
        <v>42</v>
      </c>
      <c r="F121" s="11" t="s">
        <v>580</v>
      </c>
      <c r="G121" s="11">
        <v>106797</v>
      </c>
      <c r="H121" s="11" t="s">
        <v>237</v>
      </c>
      <c r="J121" s="11" t="s">
        <v>38</v>
      </c>
      <c r="K121" s="11">
        <v>51010101</v>
      </c>
      <c r="L121" s="11" t="s">
        <v>48</v>
      </c>
      <c r="M121" s="11"/>
      <c r="N121" s="11">
        <v>7.67</v>
      </c>
      <c r="O121" s="42">
        <v>-7.67</v>
      </c>
      <c r="P121" s="43" t="s">
        <v>4489</v>
      </c>
      <c r="Q121" s="11">
        <v>1272490.6299999999</v>
      </c>
      <c r="R121" s="11" t="s">
        <v>581</v>
      </c>
      <c r="S121" s="11" t="s">
        <v>40</v>
      </c>
      <c r="T121" s="11">
        <v>0</v>
      </c>
      <c r="V121" s="11" t="s">
        <v>41</v>
      </c>
    </row>
    <row r="122" spans="1:22" x14ac:dyDescent="0.25">
      <c r="A122" s="11">
        <v>101060401</v>
      </c>
      <c r="B122" s="11" t="s">
        <v>34</v>
      </c>
      <c r="C122" s="41">
        <v>44845</v>
      </c>
      <c r="D122" s="41">
        <v>44845</v>
      </c>
      <c r="E122" s="11" t="s">
        <v>36</v>
      </c>
      <c r="F122" s="11" t="s">
        <v>582</v>
      </c>
      <c r="G122" s="11">
        <v>106806</v>
      </c>
      <c r="H122" s="11" t="s">
        <v>52</v>
      </c>
      <c r="K122" s="11">
        <v>201040506</v>
      </c>
      <c r="L122" s="11" t="s">
        <v>46</v>
      </c>
      <c r="M122" s="11">
        <v>1786.31</v>
      </c>
      <c r="N122" s="11"/>
      <c r="O122" s="42">
        <v>1786.31</v>
      </c>
      <c r="P122" s="43" t="s">
        <v>4480</v>
      </c>
      <c r="Q122" s="11">
        <v>1274276.94</v>
      </c>
      <c r="R122" s="11" t="s">
        <v>583</v>
      </c>
      <c r="S122" s="11" t="s">
        <v>40</v>
      </c>
      <c r="T122" s="11">
        <v>0</v>
      </c>
    </row>
    <row r="123" spans="1:22" x14ac:dyDescent="0.25">
      <c r="A123" s="11">
        <v>101060401</v>
      </c>
      <c r="B123" s="11" t="s">
        <v>34</v>
      </c>
      <c r="C123" s="41">
        <v>44845</v>
      </c>
      <c r="D123" s="41">
        <v>44845</v>
      </c>
      <c r="E123" s="11" t="s">
        <v>42</v>
      </c>
      <c r="F123" s="11" t="s">
        <v>584</v>
      </c>
      <c r="G123" s="11">
        <v>106807</v>
      </c>
      <c r="H123" s="11" t="s">
        <v>47</v>
      </c>
      <c r="J123" s="11" t="s">
        <v>38</v>
      </c>
      <c r="K123" s="11">
        <v>51010101</v>
      </c>
      <c r="L123" s="11" t="s">
        <v>48</v>
      </c>
      <c r="M123" s="11"/>
      <c r="N123" s="11">
        <v>1857.11</v>
      </c>
      <c r="O123" s="42">
        <v>-1857.11</v>
      </c>
      <c r="P123" s="43" t="s">
        <v>4489</v>
      </c>
      <c r="Q123" s="11">
        <v>1272419.83</v>
      </c>
      <c r="R123" s="11" t="s">
        <v>585</v>
      </c>
      <c r="S123" s="11" t="s">
        <v>40</v>
      </c>
      <c r="T123" s="11">
        <v>0</v>
      </c>
      <c r="V123" s="11" t="s">
        <v>41</v>
      </c>
    </row>
    <row r="124" spans="1:22" x14ac:dyDescent="0.25">
      <c r="A124" s="11">
        <v>101060401</v>
      </c>
      <c r="B124" s="11" t="s">
        <v>34</v>
      </c>
      <c r="C124" s="41">
        <v>44845</v>
      </c>
      <c r="D124" s="41">
        <v>44845</v>
      </c>
      <c r="E124" s="11" t="s">
        <v>36</v>
      </c>
      <c r="F124" s="11" t="s">
        <v>586</v>
      </c>
      <c r="G124" s="11">
        <v>106817</v>
      </c>
      <c r="H124" s="11" t="s">
        <v>59</v>
      </c>
      <c r="K124" s="11">
        <v>201040506</v>
      </c>
      <c r="L124" s="11" t="s">
        <v>46</v>
      </c>
      <c r="M124" s="11">
        <v>1433.2</v>
      </c>
      <c r="N124" s="11"/>
      <c r="O124" s="42">
        <v>1433.2</v>
      </c>
      <c r="P124" s="43" t="s">
        <v>4480</v>
      </c>
      <c r="Q124" s="11">
        <v>1273853.03</v>
      </c>
      <c r="R124" s="11" t="s">
        <v>587</v>
      </c>
      <c r="S124" s="11" t="s">
        <v>40</v>
      </c>
      <c r="T124" s="11">
        <v>0</v>
      </c>
    </row>
    <row r="125" spans="1:22" x14ac:dyDescent="0.25">
      <c r="A125" s="11">
        <v>101060401</v>
      </c>
      <c r="B125" s="11" t="s">
        <v>34</v>
      </c>
      <c r="C125" s="41">
        <v>44845</v>
      </c>
      <c r="D125" s="41">
        <v>44845</v>
      </c>
      <c r="E125" s="11" t="s">
        <v>36</v>
      </c>
      <c r="F125" s="11" t="s">
        <v>588</v>
      </c>
      <c r="G125" s="11">
        <v>106825</v>
      </c>
      <c r="H125" s="11" t="s">
        <v>37</v>
      </c>
      <c r="J125" s="11" t="s">
        <v>38</v>
      </c>
      <c r="K125" s="11">
        <v>401030105</v>
      </c>
      <c r="L125" s="11" t="s">
        <v>54</v>
      </c>
      <c r="M125" s="26">
        <v>7.92</v>
      </c>
      <c r="O125" s="44">
        <v>7.92</v>
      </c>
      <c r="P125" s="43" t="s">
        <v>4494</v>
      </c>
      <c r="Q125" s="11">
        <v>1273860.95</v>
      </c>
      <c r="R125" s="11" t="s">
        <v>589</v>
      </c>
      <c r="S125" s="11" t="s">
        <v>40</v>
      </c>
      <c r="T125" s="11">
        <v>0</v>
      </c>
      <c r="V125" s="11" t="s">
        <v>41</v>
      </c>
    </row>
    <row r="126" spans="1:22" x14ac:dyDescent="0.25">
      <c r="A126" s="11">
        <v>101060401</v>
      </c>
      <c r="B126" s="11" t="s">
        <v>34</v>
      </c>
      <c r="C126" s="41">
        <v>44845</v>
      </c>
      <c r="D126" s="41">
        <v>44845</v>
      </c>
      <c r="E126" s="11" t="s">
        <v>42</v>
      </c>
      <c r="F126" s="11" t="s">
        <v>590</v>
      </c>
      <c r="G126" s="11">
        <v>106826</v>
      </c>
      <c r="H126" s="11" t="s">
        <v>58</v>
      </c>
      <c r="J126" s="11" t="s">
        <v>38</v>
      </c>
      <c r="K126" s="11">
        <v>51010101</v>
      </c>
      <c r="L126" s="11" t="s">
        <v>48</v>
      </c>
      <c r="M126" s="11"/>
      <c r="N126" s="11">
        <v>7.92</v>
      </c>
      <c r="O126" s="42">
        <v>-7.92</v>
      </c>
      <c r="P126" s="43" t="s">
        <v>4489</v>
      </c>
      <c r="Q126" s="11">
        <v>1273853.03</v>
      </c>
      <c r="R126" s="11" t="s">
        <v>591</v>
      </c>
      <c r="S126" s="11" t="s">
        <v>40</v>
      </c>
      <c r="T126" s="11">
        <v>0</v>
      </c>
      <c r="V126" s="11" t="s">
        <v>41</v>
      </c>
    </row>
    <row r="127" spans="1:22" x14ac:dyDescent="0.25">
      <c r="A127" s="11">
        <v>101060401</v>
      </c>
      <c r="B127" s="11" t="s">
        <v>34</v>
      </c>
      <c r="C127" s="41">
        <v>44845</v>
      </c>
      <c r="D127" s="41">
        <v>44845</v>
      </c>
      <c r="E127" s="11" t="s">
        <v>42</v>
      </c>
      <c r="F127" s="11" t="s">
        <v>592</v>
      </c>
      <c r="G127" s="11">
        <v>106853</v>
      </c>
      <c r="H127" s="11" t="s">
        <v>210</v>
      </c>
      <c r="J127" s="11" t="s">
        <v>38</v>
      </c>
      <c r="K127" s="11">
        <v>51010101</v>
      </c>
      <c r="L127" s="11" t="s">
        <v>48</v>
      </c>
      <c r="M127" s="11">
        <v>303.95</v>
      </c>
      <c r="N127" s="11"/>
      <c r="O127" s="42">
        <v>303.95</v>
      </c>
      <c r="P127" s="43" t="s">
        <v>4489</v>
      </c>
      <c r="Q127" s="11">
        <v>1274156.98</v>
      </c>
      <c r="R127" s="11" t="s">
        <v>593</v>
      </c>
      <c r="S127" s="11" t="s">
        <v>40</v>
      </c>
      <c r="T127" s="11">
        <v>0</v>
      </c>
      <c r="V127" s="11" t="s">
        <v>41</v>
      </c>
    </row>
    <row r="128" spans="1:22" x14ac:dyDescent="0.25">
      <c r="A128" s="11">
        <v>101060401</v>
      </c>
      <c r="B128" s="11" t="s">
        <v>34</v>
      </c>
      <c r="C128" s="41">
        <v>44846</v>
      </c>
      <c r="D128" s="41">
        <v>44846</v>
      </c>
      <c r="E128" s="11" t="s">
        <v>42</v>
      </c>
      <c r="F128" s="11" t="s">
        <v>594</v>
      </c>
      <c r="G128" s="11">
        <v>106844</v>
      </c>
      <c r="H128" s="11" t="s">
        <v>64</v>
      </c>
      <c r="J128" s="11" t="s">
        <v>38</v>
      </c>
      <c r="K128" s="11">
        <v>51010101</v>
      </c>
      <c r="L128" s="11" t="s">
        <v>48</v>
      </c>
      <c r="M128" s="11"/>
      <c r="N128" s="11">
        <v>342.62</v>
      </c>
      <c r="O128" s="42">
        <v>-342.62</v>
      </c>
      <c r="P128" s="43" t="s">
        <v>4489</v>
      </c>
      <c r="Q128" s="11">
        <v>1273814.3600000001</v>
      </c>
      <c r="R128" s="11" t="s">
        <v>595</v>
      </c>
      <c r="S128" s="11" t="s">
        <v>40</v>
      </c>
      <c r="T128" s="11">
        <v>0</v>
      </c>
      <c r="V128" s="11" t="s">
        <v>41</v>
      </c>
    </row>
    <row r="129" spans="1:22" x14ac:dyDescent="0.25">
      <c r="A129" s="11">
        <v>101060401</v>
      </c>
      <c r="B129" s="11" t="s">
        <v>34</v>
      </c>
      <c r="C129" s="41">
        <v>44846</v>
      </c>
      <c r="D129" s="41">
        <v>44846</v>
      </c>
      <c r="E129" s="11" t="s">
        <v>42</v>
      </c>
      <c r="F129" s="11" t="s">
        <v>596</v>
      </c>
      <c r="G129" s="11">
        <v>106854</v>
      </c>
      <c r="H129" s="11" t="s">
        <v>72</v>
      </c>
      <c r="J129" s="11" t="s">
        <v>38</v>
      </c>
      <c r="K129" s="11">
        <v>51010101</v>
      </c>
      <c r="L129" s="11" t="s">
        <v>48</v>
      </c>
      <c r="M129" s="11"/>
      <c r="N129" s="11">
        <v>17.38</v>
      </c>
      <c r="O129" s="42">
        <v>-17.38</v>
      </c>
      <c r="P129" s="43" t="s">
        <v>4489</v>
      </c>
      <c r="Q129" s="11">
        <v>1273796.98</v>
      </c>
      <c r="R129" s="11" t="s">
        <v>597</v>
      </c>
      <c r="S129" s="11" t="s">
        <v>40</v>
      </c>
      <c r="T129" s="11">
        <v>0</v>
      </c>
      <c r="V129" s="11" t="s">
        <v>41</v>
      </c>
    </row>
    <row r="130" spans="1:22" x14ac:dyDescent="0.25">
      <c r="A130" s="11">
        <v>101060401</v>
      </c>
      <c r="B130" s="11" t="s">
        <v>34</v>
      </c>
      <c r="C130" s="41">
        <v>44846</v>
      </c>
      <c r="D130" s="41">
        <v>44846</v>
      </c>
      <c r="E130" s="11" t="s">
        <v>42</v>
      </c>
      <c r="F130" s="11" t="s">
        <v>598</v>
      </c>
      <c r="G130" s="11">
        <v>106855</v>
      </c>
      <c r="H130" s="11" t="s">
        <v>57</v>
      </c>
      <c r="K130" s="11">
        <v>101060408</v>
      </c>
      <c r="L130" s="11" t="s">
        <v>82</v>
      </c>
      <c r="M130" s="11">
        <v>3136.94</v>
      </c>
      <c r="N130" s="11"/>
      <c r="O130" s="42">
        <v>3136.94</v>
      </c>
      <c r="P130" s="43" t="s">
        <v>4481</v>
      </c>
      <c r="Q130" s="11">
        <v>1276933.92</v>
      </c>
      <c r="R130" s="11" t="s">
        <v>599</v>
      </c>
      <c r="S130" s="11" t="s">
        <v>40</v>
      </c>
      <c r="T130" s="11">
        <v>0</v>
      </c>
    </row>
    <row r="131" spans="1:22" x14ac:dyDescent="0.25">
      <c r="A131" s="11">
        <v>101060401</v>
      </c>
      <c r="B131" s="11" t="s">
        <v>34</v>
      </c>
      <c r="C131" s="41">
        <v>44846</v>
      </c>
      <c r="D131" s="41">
        <v>44846</v>
      </c>
      <c r="E131" s="11" t="s">
        <v>42</v>
      </c>
      <c r="F131" s="11" t="s">
        <v>600</v>
      </c>
      <c r="G131" s="11">
        <v>106856</v>
      </c>
      <c r="H131" s="11" t="s">
        <v>57</v>
      </c>
      <c r="K131" s="11">
        <v>101060408</v>
      </c>
      <c r="L131" s="11" t="s">
        <v>82</v>
      </c>
      <c r="M131" s="11">
        <v>12321.52</v>
      </c>
      <c r="N131" s="11"/>
      <c r="O131" s="42">
        <v>12321.52</v>
      </c>
      <c r="P131" s="43" t="s">
        <v>4481</v>
      </c>
      <c r="Q131" s="11">
        <v>1289255.44</v>
      </c>
      <c r="R131" s="11" t="s">
        <v>601</v>
      </c>
      <c r="S131" s="11" t="s">
        <v>40</v>
      </c>
      <c r="T131" s="11">
        <v>0</v>
      </c>
    </row>
    <row r="132" spans="1:22" x14ac:dyDescent="0.25">
      <c r="A132" s="11">
        <v>101060401</v>
      </c>
      <c r="B132" s="11" t="s">
        <v>34</v>
      </c>
      <c r="C132" s="41">
        <v>44846</v>
      </c>
      <c r="D132" s="41">
        <v>44846</v>
      </c>
      <c r="E132" s="11" t="s">
        <v>42</v>
      </c>
      <c r="F132" s="11" t="s">
        <v>602</v>
      </c>
      <c r="G132" s="11">
        <v>106857</v>
      </c>
      <c r="H132" s="11" t="s">
        <v>47</v>
      </c>
      <c r="J132" s="11" t="s">
        <v>38</v>
      </c>
      <c r="K132" s="11">
        <v>51010101</v>
      </c>
      <c r="L132" s="11" t="s">
        <v>48</v>
      </c>
      <c r="M132" s="11"/>
      <c r="N132" s="11">
        <v>12321.52</v>
      </c>
      <c r="O132" s="42">
        <v>-12321.52</v>
      </c>
      <c r="P132" s="43" t="s">
        <v>4489</v>
      </c>
      <c r="Q132" s="11">
        <v>1276933.92</v>
      </c>
      <c r="R132" s="11" t="s">
        <v>603</v>
      </c>
      <c r="S132" s="11" t="s">
        <v>40</v>
      </c>
      <c r="T132" s="11">
        <v>0</v>
      </c>
      <c r="V132" s="11" t="s">
        <v>41</v>
      </c>
    </row>
    <row r="133" spans="1:22" x14ac:dyDescent="0.25">
      <c r="A133" s="11">
        <v>101060401</v>
      </c>
      <c r="B133" s="11" t="s">
        <v>34</v>
      </c>
      <c r="C133" s="41">
        <v>44846</v>
      </c>
      <c r="D133" s="41">
        <v>44846</v>
      </c>
      <c r="E133" s="11" t="s">
        <v>36</v>
      </c>
      <c r="F133" s="11" t="s">
        <v>604</v>
      </c>
      <c r="G133" s="11">
        <v>106875</v>
      </c>
      <c r="H133" s="11" t="s">
        <v>605</v>
      </c>
      <c r="J133" s="11" t="s">
        <v>38</v>
      </c>
      <c r="K133" s="11">
        <v>51010101</v>
      </c>
      <c r="L133" s="11" t="s">
        <v>48</v>
      </c>
      <c r="M133" s="11"/>
      <c r="N133" s="11">
        <v>277.99</v>
      </c>
      <c r="O133" s="42">
        <v>-277.99</v>
      </c>
      <c r="P133" s="43" t="s">
        <v>4489</v>
      </c>
      <c r="Q133" s="11">
        <v>1276655.93</v>
      </c>
      <c r="R133" s="11" t="s">
        <v>606</v>
      </c>
      <c r="S133" s="11" t="s">
        <v>137</v>
      </c>
      <c r="T133" s="11">
        <v>0</v>
      </c>
      <c r="V133" s="11" t="s">
        <v>41</v>
      </c>
    </row>
    <row r="134" spans="1:22" x14ac:dyDescent="0.25">
      <c r="A134" s="11">
        <v>101060401</v>
      </c>
      <c r="B134" s="11" t="s">
        <v>34</v>
      </c>
      <c r="C134" s="41">
        <v>44846</v>
      </c>
      <c r="D134" s="41">
        <v>44846</v>
      </c>
      <c r="E134" s="11" t="s">
        <v>42</v>
      </c>
      <c r="F134" s="11" t="s">
        <v>607</v>
      </c>
      <c r="G134" s="11">
        <v>106876</v>
      </c>
      <c r="H134" s="11" t="s">
        <v>47</v>
      </c>
      <c r="J134" s="11" t="s">
        <v>38</v>
      </c>
      <c r="K134" s="11">
        <v>51010101</v>
      </c>
      <c r="L134" s="11" t="s">
        <v>48</v>
      </c>
      <c r="M134" s="11"/>
      <c r="N134" s="11">
        <v>249.18</v>
      </c>
      <c r="O134" s="42">
        <v>-249.18</v>
      </c>
      <c r="P134" s="43" t="s">
        <v>4489</v>
      </c>
      <c r="Q134" s="11">
        <v>1276406.75</v>
      </c>
      <c r="R134" s="11" t="s">
        <v>608</v>
      </c>
      <c r="S134" s="11" t="s">
        <v>40</v>
      </c>
      <c r="T134" s="11">
        <v>0</v>
      </c>
      <c r="V134" s="11" t="s">
        <v>41</v>
      </c>
    </row>
    <row r="135" spans="1:22" x14ac:dyDescent="0.25">
      <c r="A135" s="11">
        <v>101060401</v>
      </c>
      <c r="B135" s="11" t="s">
        <v>34</v>
      </c>
      <c r="C135" s="41">
        <v>44846</v>
      </c>
      <c r="D135" s="41">
        <v>44846</v>
      </c>
      <c r="E135" s="11" t="s">
        <v>42</v>
      </c>
      <c r="F135" s="11" t="s">
        <v>609</v>
      </c>
      <c r="G135" s="11">
        <v>106881</v>
      </c>
      <c r="H135" s="11" t="s">
        <v>141</v>
      </c>
      <c r="J135" s="11" t="s">
        <v>38</v>
      </c>
      <c r="K135" s="11">
        <v>51010101</v>
      </c>
      <c r="L135" s="11" t="s">
        <v>48</v>
      </c>
      <c r="M135" s="11"/>
      <c r="N135" s="11">
        <v>1433.2</v>
      </c>
      <c r="O135" s="42">
        <v>-1433.2</v>
      </c>
      <c r="P135" s="43" t="s">
        <v>4489</v>
      </c>
      <c r="Q135" s="11">
        <v>1274973.55</v>
      </c>
      <c r="R135" s="11" t="s">
        <v>610</v>
      </c>
      <c r="S135" s="11" t="s">
        <v>40</v>
      </c>
      <c r="T135" s="11">
        <v>0</v>
      </c>
      <c r="V135" s="11" t="s">
        <v>41</v>
      </c>
    </row>
    <row r="136" spans="1:22" x14ac:dyDescent="0.25">
      <c r="A136" s="11">
        <v>101060401</v>
      </c>
      <c r="B136" s="11" t="s">
        <v>34</v>
      </c>
      <c r="C136" s="41">
        <v>44846</v>
      </c>
      <c r="D136" s="41">
        <v>44846</v>
      </c>
      <c r="E136" s="11" t="s">
        <v>42</v>
      </c>
      <c r="F136" s="11" t="s">
        <v>611</v>
      </c>
      <c r="G136" s="11">
        <v>106899</v>
      </c>
      <c r="H136" s="11" t="s">
        <v>57</v>
      </c>
      <c r="K136" s="11">
        <v>101060402</v>
      </c>
      <c r="L136" s="11" t="s">
        <v>44</v>
      </c>
      <c r="M136" s="11">
        <v>4487.71</v>
      </c>
      <c r="N136" s="11"/>
      <c r="O136" s="42">
        <v>4487.71</v>
      </c>
      <c r="P136" s="43" t="s">
        <v>4481</v>
      </c>
      <c r="Q136" s="11">
        <v>1279461.26</v>
      </c>
      <c r="R136" s="11" t="s">
        <v>612</v>
      </c>
      <c r="S136" s="11" t="s">
        <v>106</v>
      </c>
      <c r="T136" s="11">
        <v>0</v>
      </c>
    </row>
    <row r="137" spans="1:22" x14ac:dyDescent="0.25">
      <c r="A137" s="11">
        <v>101060401</v>
      </c>
      <c r="B137" s="11" t="s">
        <v>34</v>
      </c>
      <c r="C137" s="41">
        <v>44846</v>
      </c>
      <c r="D137" s="41">
        <v>44846</v>
      </c>
      <c r="E137" s="11" t="s">
        <v>42</v>
      </c>
      <c r="F137" s="11" t="s">
        <v>611</v>
      </c>
      <c r="G137" s="11">
        <v>106899</v>
      </c>
      <c r="H137" s="11" t="s">
        <v>57</v>
      </c>
      <c r="K137" s="11">
        <v>101060402</v>
      </c>
      <c r="L137" s="11" t="s">
        <v>44</v>
      </c>
      <c r="M137" s="11"/>
      <c r="N137" s="11">
        <v>486.92</v>
      </c>
      <c r="O137" s="42">
        <v>-486.92</v>
      </c>
      <c r="P137" s="43" t="s">
        <v>4481</v>
      </c>
      <c r="Q137" s="11">
        <v>1278974.3400000001</v>
      </c>
      <c r="R137" s="11" t="s">
        <v>613</v>
      </c>
      <c r="S137" s="11" t="s">
        <v>106</v>
      </c>
      <c r="T137" s="11">
        <v>0</v>
      </c>
    </row>
    <row r="138" spans="1:22" x14ac:dyDescent="0.25">
      <c r="A138" s="11">
        <v>101060401</v>
      </c>
      <c r="B138" s="11" t="s">
        <v>34</v>
      </c>
      <c r="C138" s="41">
        <v>44846</v>
      </c>
      <c r="D138" s="41">
        <v>44846</v>
      </c>
      <c r="E138" s="11" t="s">
        <v>42</v>
      </c>
      <c r="F138" s="11" t="s">
        <v>614</v>
      </c>
      <c r="G138" s="11">
        <v>106902</v>
      </c>
      <c r="H138" s="11" t="s">
        <v>207</v>
      </c>
      <c r="J138" s="11" t="s">
        <v>38</v>
      </c>
      <c r="K138" s="11">
        <v>51010101</v>
      </c>
      <c r="L138" s="11" t="s">
        <v>48</v>
      </c>
      <c r="M138" s="11"/>
      <c r="N138" s="11">
        <v>33.25</v>
      </c>
      <c r="O138" s="42">
        <v>-33.25</v>
      </c>
      <c r="P138" s="43" t="s">
        <v>4489</v>
      </c>
      <c r="Q138" s="11">
        <v>1278941.0900000001</v>
      </c>
      <c r="R138" s="11" t="s">
        <v>615</v>
      </c>
      <c r="S138" s="11" t="s">
        <v>40</v>
      </c>
      <c r="T138" s="11">
        <v>0</v>
      </c>
      <c r="V138" s="11" t="s">
        <v>41</v>
      </c>
    </row>
    <row r="139" spans="1:22" x14ac:dyDescent="0.25">
      <c r="A139" s="11">
        <v>101060401</v>
      </c>
      <c r="B139" s="11" t="s">
        <v>34</v>
      </c>
      <c r="C139" s="41">
        <v>44847</v>
      </c>
      <c r="D139" s="41">
        <v>44847</v>
      </c>
      <c r="E139" s="11" t="s">
        <v>42</v>
      </c>
      <c r="F139" s="11" t="s">
        <v>616</v>
      </c>
      <c r="G139" s="11">
        <v>106905</v>
      </c>
      <c r="H139" s="11" t="s">
        <v>50</v>
      </c>
      <c r="J139" s="11" t="s">
        <v>38</v>
      </c>
      <c r="K139" s="11">
        <v>51010101</v>
      </c>
      <c r="L139" s="11" t="s">
        <v>48</v>
      </c>
      <c r="M139" s="11"/>
      <c r="N139" s="11">
        <v>24.49</v>
      </c>
      <c r="O139" s="42">
        <v>-24.49</v>
      </c>
      <c r="P139" s="43" t="s">
        <v>4489</v>
      </c>
      <c r="Q139" s="11">
        <v>1278916.6000000001</v>
      </c>
      <c r="R139" s="11" t="s">
        <v>617</v>
      </c>
      <c r="S139" s="11" t="s">
        <v>40</v>
      </c>
      <c r="T139" s="11">
        <v>0</v>
      </c>
      <c r="V139" s="11" t="s">
        <v>41</v>
      </c>
    </row>
    <row r="140" spans="1:22" x14ac:dyDescent="0.25">
      <c r="A140" s="11">
        <v>101060401</v>
      </c>
      <c r="B140" s="11" t="s">
        <v>34</v>
      </c>
      <c r="C140" s="41">
        <v>44847</v>
      </c>
      <c r="D140" s="41">
        <v>44847</v>
      </c>
      <c r="E140" s="11" t="s">
        <v>36</v>
      </c>
      <c r="F140" s="11" t="s">
        <v>618</v>
      </c>
      <c r="G140" s="11">
        <v>106919</v>
      </c>
      <c r="H140" s="11" t="s">
        <v>619</v>
      </c>
      <c r="J140" s="11" t="s">
        <v>38</v>
      </c>
      <c r="K140" s="11">
        <v>51010102</v>
      </c>
      <c r="L140" s="11" t="s">
        <v>194</v>
      </c>
      <c r="M140" s="11">
        <v>73.099999999999994</v>
      </c>
      <c r="N140" s="11"/>
      <c r="O140" s="42">
        <v>73.099999999999994</v>
      </c>
      <c r="P140" s="43" t="s">
        <v>4489</v>
      </c>
      <c r="Q140" s="11">
        <v>1278989.7</v>
      </c>
      <c r="R140" s="11" t="s">
        <v>400</v>
      </c>
      <c r="S140" s="11" t="s">
        <v>106</v>
      </c>
      <c r="T140" s="11">
        <v>0</v>
      </c>
      <c r="V140" s="11" t="s">
        <v>41</v>
      </c>
    </row>
    <row r="141" spans="1:22" x14ac:dyDescent="0.25">
      <c r="A141" s="11">
        <v>101060401</v>
      </c>
      <c r="B141" s="11" t="s">
        <v>34</v>
      </c>
      <c r="C141" s="41">
        <v>44847</v>
      </c>
      <c r="D141" s="41">
        <v>44847</v>
      </c>
      <c r="E141" s="11" t="s">
        <v>36</v>
      </c>
      <c r="F141" s="11" t="s">
        <v>620</v>
      </c>
      <c r="G141" s="11">
        <v>106921</v>
      </c>
      <c r="H141" s="11" t="s">
        <v>52</v>
      </c>
      <c r="K141" s="11">
        <v>201040506</v>
      </c>
      <c r="L141" s="11" t="s">
        <v>46</v>
      </c>
      <c r="M141" s="11">
        <v>520.9</v>
      </c>
      <c r="N141" s="11"/>
      <c r="O141" s="42">
        <v>520.9</v>
      </c>
      <c r="P141" s="43" t="s">
        <v>4480</v>
      </c>
      <c r="Q141" s="11">
        <v>1279510.6000000001</v>
      </c>
      <c r="R141" s="11" t="s">
        <v>621</v>
      </c>
      <c r="S141" s="11" t="s">
        <v>40</v>
      </c>
      <c r="T141" s="11">
        <v>0</v>
      </c>
    </row>
    <row r="142" spans="1:22" x14ac:dyDescent="0.25">
      <c r="A142" s="11">
        <v>101060401</v>
      </c>
      <c r="B142" s="11" t="s">
        <v>34</v>
      </c>
      <c r="C142" s="41">
        <v>44847</v>
      </c>
      <c r="D142" s="41">
        <v>44847</v>
      </c>
      <c r="E142" s="11" t="s">
        <v>42</v>
      </c>
      <c r="F142" s="11" t="s">
        <v>622</v>
      </c>
      <c r="G142" s="11">
        <v>106923</v>
      </c>
      <c r="H142" s="11" t="s">
        <v>623</v>
      </c>
      <c r="J142" s="11" t="s">
        <v>38</v>
      </c>
      <c r="K142" s="11">
        <v>51010101</v>
      </c>
      <c r="L142" s="11" t="s">
        <v>48</v>
      </c>
      <c r="M142" s="11"/>
      <c r="N142" s="11">
        <v>654.98</v>
      </c>
      <c r="O142" s="42">
        <v>-654.98</v>
      </c>
      <c r="P142" s="43" t="s">
        <v>4489</v>
      </c>
      <c r="Q142" s="11">
        <v>1278855.6200000001</v>
      </c>
      <c r="R142" s="11" t="s">
        <v>624</v>
      </c>
      <c r="S142" s="11" t="s">
        <v>40</v>
      </c>
      <c r="T142" s="11">
        <v>0</v>
      </c>
      <c r="V142" s="11" t="s">
        <v>41</v>
      </c>
    </row>
    <row r="143" spans="1:22" x14ac:dyDescent="0.25">
      <c r="A143" s="11">
        <v>101060401</v>
      </c>
      <c r="B143" s="11" t="s">
        <v>34</v>
      </c>
      <c r="C143" s="41">
        <v>44847</v>
      </c>
      <c r="D143" s="41">
        <v>44847</v>
      </c>
      <c r="E143" s="11" t="s">
        <v>42</v>
      </c>
      <c r="F143" s="11" t="s">
        <v>625</v>
      </c>
      <c r="G143" s="11">
        <v>106938</v>
      </c>
      <c r="H143" s="11" t="s">
        <v>626</v>
      </c>
      <c r="J143" s="11" t="s">
        <v>38</v>
      </c>
      <c r="K143" s="11">
        <v>51010101</v>
      </c>
      <c r="L143" s="11" t="s">
        <v>48</v>
      </c>
      <c r="M143" s="11">
        <v>654.98</v>
      </c>
      <c r="N143" s="11"/>
      <c r="O143" s="42">
        <v>654.98</v>
      </c>
      <c r="P143" s="43" t="s">
        <v>4489</v>
      </c>
      <c r="Q143" s="11">
        <v>1279510.6000000001</v>
      </c>
      <c r="R143" s="11" t="s">
        <v>627</v>
      </c>
      <c r="S143" s="11" t="s">
        <v>40</v>
      </c>
      <c r="T143" s="11">
        <v>0</v>
      </c>
      <c r="V143" s="11" t="s">
        <v>41</v>
      </c>
    </row>
    <row r="144" spans="1:22" x14ac:dyDescent="0.25">
      <c r="A144" s="11">
        <v>101060401</v>
      </c>
      <c r="B144" s="11" t="s">
        <v>34</v>
      </c>
      <c r="C144" s="41">
        <v>44847</v>
      </c>
      <c r="D144" s="41">
        <v>44847</v>
      </c>
      <c r="E144" s="11" t="s">
        <v>60</v>
      </c>
      <c r="F144" s="11" t="s">
        <v>628</v>
      </c>
      <c r="G144" s="11">
        <v>106939</v>
      </c>
      <c r="H144" s="11" t="s">
        <v>61</v>
      </c>
      <c r="K144" s="11">
        <v>201040506</v>
      </c>
      <c r="L144" s="11" t="s">
        <v>46</v>
      </c>
      <c r="M144" s="11"/>
      <c r="N144" s="11">
        <v>520.9</v>
      </c>
      <c r="O144" s="42">
        <v>-520.9</v>
      </c>
      <c r="P144" s="43" t="s">
        <v>4480</v>
      </c>
      <c r="Q144" s="11">
        <v>1278989.7</v>
      </c>
      <c r="R144" s="11" t="s">
        <v>629</v>
      </c>
      <c r="S144" s="11" t="s">
        <v>40</v>
      </c>
      <c r="T144" s="11">
        <v>0</v>
      </c>
    </row>
    <row r="145" spans="1:22" x14ac:dyDescent="0.25">
      <c r="A145" s="11">
        <v>101060401</v>
      </c>
      <c r="B145" s="11" t="s">
        <v>34</v>
      </c>
      <c r="C145" s="41">
        <v>44847</v>
      </c>
      <c r="D145" s="41">
        <v>44847</v>
      </c>
      <c r="E145" s="11" t="s">
        <v>42</v>
      </c>
      <c r="F145" s="11" t="s">
        <v>630</v>
      </c>
      <c r="G145" s="11">
        <v>106944</v>
      </c>
      <c r="H145" s="11" t="s">
        <v>50</v>
      </c>
      <c r="J145" s="11" t="s">
        <v>38</v>
      </c>
      <c r="K145" s="11">
        <v>51010101</v>
      </c>
      <c r="L145" s="11" t="s">
        <v>48</v>
      </c>
      <c r="M145" s="11"/>
      <c r="N145" s="11">
        <v>22.35</v>
      </c>
      <c r="O145" s="42">
        <v>-22.35</v>
      </c>
      <c r="P145" s="43" t="s">
        <v>4489</v>
      </c>
      <c r="Q145" s="11">
        <v>1278967.3500000001</v>
      </c>
      <c r="R145" s="11" t="s">
        <v>631</v>
      </c>
      <c r="S145" s="11" t="s">
        <v>40</v>
      </c>
      <c r="T145" s="11">
        <v>0</v>
      </c>
      <c r="V145" s="11" t="s">
        <v>41</v>
      </c>
    </row>
    <row r="146" spans="1:22" x14ac:dyDescent="0.25">
      <c r="A146" s="11">
        <v>101060401</v>
      </c>
      <c r="B146" s="11" t="s">
        <v>34</v>
      </c>
      <c r="C146" s="41">
        <v>44847</v>
      </c>
      <c r="D146" s="41">
        <v>44847</v>
      </c>
      <c r="E146" s="11" t="s">
        <v>42</v>
      </c>
      <c r="F146" s="11" t="s">
        <v>632</v>
      </c>
      <c r="G146" s="11">
        <v>106946</v>
      </c>
      <c r="H146" s="11" t="s">
        <v>94</v>
      </c>
      <c r="J146" s="11" t="s">
        <v>38</v>
      </c>
      <c r="K146" s="11">
        <v>51010101</v>
      </c>
      <c r="L146" s="11" t="s">
        <v>48</v>
      </c>
      <c r="M146" s="11"/>
      <c r="N146" s="11">
        <v>79.44</v>
      </c>
      <c r="O146" s="42">
        <v>-79.44</v>
      </c>
      <c r="P146" s="43" t="s">
        <v>4489</v>
      </c>
      <c r="Q146" s="11">
        <v>1278887.9099999999</v>
      </c>
      <c r="R146" s="11" t="s">
        <v>633</v>
      </c>
      <c r="S146" s="11" t="s">
        <v>40</v>
      </c>
      <c r="T146" s="11">
        <v>0</v>
      </c>
      <c r="V146" s="11" t="s">
        <v>41</v>
      </c>
    </row>
    <row r="147" spans="1:22" x14ac:dyDescent="0.25">
      <c r="A147" s="11">
        <v>101060401</v>
      </c>
      <c r="B147" s="11" t="s">
        <v>34</v>
      </c>
      <c r="C147" s="41">
        <v>44847</v>
      </c>
      <c r="D147" s="41">
        <v>44847</v>
      </c>
      <c r="E147" s="11" t="s">
        <v>36</v>
      </c>
      <c r="F147" s="11" t="s">
        <v>634</v>
      </c>
      <c r="G147" s="11">
        <v>106947</v>
      </c>
      <c r="H147" s="11" t="s">
        <v>52</v>
      </c>
      <c r="K147" s="11">
        <v>201040506</v>
      </c>
      <c r="L147" s="11" t="s">
        <v>46</v>
      </c>
      <c r="M147" s="11">
        <v>319.10000000000002</v>
      </c>
      <c r="N147" s="11"/>
      <c r="O147" s="42">
        <v>319.10000000000002</v>
      </c>
      <c r="P147" s="43" t="s">
        <v>4480</v>
      </c>
      <c r="Q147" s="11">
        <v>1279207.01</v>
      </c>
      <c r="R147" s="11" t="s">
        <v>635</v>
      </c>
      <c r="S147" s="11" t="s">
        <v>40</v>
      </c>
      <c r="T147" s="11">
        <v>0</v>
      </c>
    </row>
    <row r="148" spans="1:22" x14ac:dyDescent="0.25">
      <c r="A148" s="11">
        <v>101060401</v>
      </c>
      <c r="B148" s="11" t="s">
        <v>34</v>
      </c>
      <c r="C148" s="41">
        <v>44847</v>
      </c>
      <c r="D148" s="41">
        <v>44847</v>
      </c>
      <c r="E148" s="11" t="s">
        <v>42</v>
      </c>
      <c r="F148" s="11" t="s">
        <v>636</v>
      </c>
      <c r="G148" s="11">
        <v>106948</v>
      </c>
      <c r="H148" s="11" t="s">
        <v>623</v>
      </c>
      <c r="J148" s="11" t="s">
        <v>38</v>
      </c>
      <c r="K148" s="11">
        <v>51010101</v>
      </c>
      <c r="L148" s="11" t="s">
        <v>48</v>
      </c>
      <c r="M148" s="11"/>
      <c r="N148" s="11">
        <v>453.18</v>
      </c>
      <c r="O148" s="42">
        <v>-453.18</v>
      </c>
      <c r="P148" s="43" t="s">
        <v>4489</v>
      </c>
      <c r="Q148" s="11">
        <v>1278753.83</v>
      </c>
      <c r="R148" s="11" t="s">
        <v>236</v>
      </c>
      <c r="S148" s="11" t="s">
        <v>40</v>
      </c>
      <c r="T148" s="11">
        <v>0</v>
      </c>
      <c r="V148" s="11" t="s">
        <v>41</v>
      </c>
    </row>
    <row r="149" spans="1:22" x14ac:dyDescent="0.25">
      <c r="A149" s="11">
        <v>101060401</v>
      </c>
      <c r="B149" s="11" t="s">
        <v>34</v>
      </c>
      <c r="C149" s="41">
        <v>44847</v>
      </c>
      <c r="D149" s="41">
        <v>44847</v>
      </c>
      <c r="E149" s="11" t="s">
        <v>42</v>
      </c>
      <c r="F149" s="11" t="s">
        <v>637</v>
      </c>
      <c r="G149" s="11">
        <v>106951</v>
      </c>
      <c r="H149" s="11" t="s">
        <v>57</v>
      </c>
      <c r="K149" s="11">
        <v>101060408</v>
      </c>
      <c r="L149" s="11" t="s">
        <v>82</v>
      </c>
      <c r="M149" s="11">
        <v>100809.27</v>
      </c>
      <c r="N149" s="11"/>
      <c r="O149" s="42">
        <v>100809.27</v>
      </c>
      <c r="P149" s="43" t="s">
        <v>4481</v>
      </c>
      <c r="Q149" s="11">
        <v>1379563.1</v>
      </c>
      <c r="R149" s="11" t="s">
        <v>638</v>
      </c>
      <c r="S149" s="11" t="s">
        <v>40</v>
      </c>
      <c r="T149" s="11">
        <v>0</v>
      </c>
    </row>
    <row r="150" spans="1:22" x14ac:dyDescent="0.25">
      <c r="A150" s="11">
        <v>101060401</v>
      </c>
      <c r="B150" s="11" t="s">
        <v>34</v>
      </c>
      <c r="C150" s="41">
        <v>44847</v>
      </c>
      <c r="D150" s="41">
        <v>44847</v>
      </c>
      <c r="E150" s="11" t="s">
        <v>42</v>
      </c>
      <c r="F150" s="11" t="s">
        <v>639</v>
      </c>
      <c r="G150" s="11">
        <v>106952</v>
      </c>
      <c r="H150" s="11" t="s">
        <v>141</v>
      </c>
      <c r="J150" s="11" t="s">
        <v>38</v>
      </c>
      <c r="K150" s="11">
        <v>51010101</v>
      </c>
      <c r="L150" s="11" t="s">
        <v>48</v>
      </c>
      <c r="M150" s="11"/>
      <c r="N150" s="11">
        <v>89.49</v>
      </c>
      <c r="O150" s="42">
        <v>-89.49</v>
      </c>
      <c r="P150" s="43" t="s">
        <v>4489</v>
      </c>
      <c r="Q150" s="11">
        <v>1379473.61</v>
      </c>
      <c r="R150" s="11" t="s">
        <v>640</v>
      </c>
      <c r="S150" s="11" t="s">
        <v>40</v>
      </c>
      <c r="T150" s="11">
        <v>0</v>
      </c>
      <c r="V150" s="11" t="s">
        <v>41</v>
      </c>
    </row>
    <row r="151" spans="1:22" x14ac:dyDescent="0.25">
      <c r="A151" s="11">
        <v>101060401</v>
      </c>
      <c r="B151" s="11" t="s">
        <v>34</v>
      </c>
      <c r="C151" s="41">
        <v>44847</v>
      </c>
      <c r="D151" s="41">
        <v>44847</v>
      </c>
      <c r="E151" s="11" t="s">
        <v>42</v>
      </c>
      <c r="F151" s="11" t="s">
        <v>641</v>
      </c>
      <c r="G151" s="11">
        <v>106953</v>
      </c>
      <c r="H151" s="11" t="s">
        <v>57</v>
      </c>
      <c r="K151" s="11">
        <v>101060402</v>
      </c>
      <c r="L151" s="11" t="s">
        <v>44</v>
      </c>
      <c r="M151" s="11"/>
      <c r="N151" s="11">
        <v>139240</v>
      </c>
      <c r="O151" s="42">
        <v>-139240</v>
      </c>
      <c r="P151" s="43" t="s">
        <v>4481</v>
      </c>
      <c r="Q151" s="11">
        <v>1240233.6100000001</v>
      </c>
      <c r="R151" s="11" t="s">
        <v>642</v>
      </c>
      <c r="S151" s="11" t="s">
        <v>40</v>
      </c>
      <c r="T151" s="11">
        <v>0</v>
      </c>
    </row>
    <row r="152" spans="1:22" x14ac:dyDescent="0.25">
      <c r="A152" s="11">
        <v>101060401</v>
      </c>
      <c r="B152" s="11" t="s">
        <v>34</v>
      </c>
      <c r="C152" s="41">
        <v>44847</v>
      </c>
      <c r="D152" s="41">
        <v>44847</v>
      </c>
      <c r="E152" s="11" t="s">
        <v>42</v>
      </c>
      <c r="F152" s="11" t="s">
        <v>643</v>
      </c>
      <c r="G152" s="11">
        <v>106956</v>
      </c>
      <c r="H152" s="11" t="s">
        <v>43</v>
      </c>
      <c r="K152" s="11">
        <v>101060402</v>
      </c>
      <c r="L152" s="11" t="s">
        <v>44</v>
      </c>
      <c r="M152" s="11">
        <v>139233.51</v>
      </c>
      <c r="N152" s="11"/>
      <c r="O152" s="42">
        <v>139233.51</v>
      </c>
      <c r="P152" s="43" t="s">
        <v>4481</v>
      </c>
      <c r="Q152" s="11">
        <v>1379467.12</v>
      </c>
      <c r="R152" s="11" t="s">
        <v>644</v>
      </c>
      <c r="S152" s="11" t="s">
        <v>40</v>
      </c>
      <c r="T152" s="11">
        <v>0</v>
      </c>
    </row>
    <row r="153" spans="1:22" x14ac:dyDescent="0.25">
      <c r="A153" s="11">
        <v>101060401</v>
      </c>
      <c r="B153" s="11" t="s">
        <v>34</v>
      </c>
      <c r="C153" s="41">
        <v>44847</v>
      </c>
      <c r="D153" s="41">
        <v>44847</v>
      </c>
      <c r="E153" s="11" t="s">
        <v>42</v>
      </c>
      <c r="F153" s="11" t="s">
        <v>645</v>
      </c>
      <c r="G153" s="11">
        <v>106957</v>
      </c>
      <c r="H153" s="11" t="s">
        <v>57</v>
      </c>
      <c r="K153" s="11">
        <v>101060402</v>
      </c>
      <c r="L153" s="11" t="s">
        <v>44</v>
      </c>
      <c r="M153" s="11">
        <v>251.68</v>
      </c>
      <c r="N153" s="11"/>
      <c r="O153" s="42">
        <v>251.68</v>
      </c>
      <c r="P153" s="43" t="s">
        <v>4481</v>
      </c>
      <c r="Q153" s="11">
        <v>1379718.8</v>
      </c>
      <c r="R153" s="11" t="s">
        <v>646</v>
      </c>
      <c r="S153" s="11" t="s">
        <v>40</v>
      </c>
      <c r="T153" s="11">
        <v>0</v>
      </c>
    </row>
    <row r="154" spans="1:22" x14ac:dyDescent="0.25">
      <c r="A154" s="11">
        <v>101060401</v>
      </c>
      <c r="B154" s="11" t="s">
        <v>34</v>
      </c>
      <c r="C154" s="41">
        <v>44847</v>
      </c>
      <c r="D154" s="41">
        <v>44847</v>
      </c>
      <c r="E154" s="11" t="s">
        <v>42</v>
      </c>
      <c r="F154" s="11" t="s">
        <v>647</v>
      </c>
      <c r="G154" s="11">
        <v>106958</v>
      </c>
      <c r="H154" s="11" t="s">
        <v>43</v>
      </c>
      <c r="K154" s="11">
        <v>101060402</v>
      </c>
      <c r="L154" s="11" t="s">
        <v>44</v>
      </c>
      <c r="M154" s="11"/>
      <c r="N154" s="11">
        <v>251.68</v>
      </c>
      <c r="O154" s="42">
        <v>-251.68</v>
      </c>
      <c r="P154" s="43" t="s">
        <v>4481</v>
      </c>
      <c r="Q154" s="11">
        <v>1379467.12</v>
      </c>
      <c r="R154" s="11" t="s">
        <v>648</v>
      </c>
      <c r="S154" s="11" t="s">
        <v>40</v>
      </c>
      <c r="T154" s="11">
        <v>0</v>
      </c>
    </row>
    <row r="155" spans="1:22" x14ac:dyDescent="0.25">
      <c r="A155" s="11">
        <v>101060401</v>
      </c>
      <c r="B155" s="11" t="s">
        <v>34</v>
      </c>
      <c r="C155" s="41">
        <v>44847</v>
      </c>
      <c r="D155" s="41">
        <v>44847</v>
      </c>
      <c r="E155" s="11" t="s">
        <v>36</v>
      </c>
      <c r="F155" s="11" t="s">
        <v>649</v>
      </c>
      <c r="G155" s="11">
        <v>106963</v>
      </c>
      <c r="H155" s="11" t="s">
        <v>52</v>
      </c>
      <c r="K155" s="11">
        <v>201040506</v>
      </c>
      <c r="L155" s="11" t="s">
        <v>46</v>
      </c>
      <c r="M155" s="11">
        <v>774.54</v>
      </c>
      <c r="N155" s="11"/>
      <c r="O155" s="42">
        <v>774.54</v>
      </c>
      <c r="P155" s="43" t="s">
        <v>4480</v>
      </c>
      <c r="Q155" s="11">
        <v>1380241.66</v>
      </c>
      <c r="R155" s="11" t="s">
        <v>650</v>
      </c>
      <c r="S155" s="11" t="s">
        <v>40</v>
      </c>
      <c r="T155" s="11">
        <v>0</v>
      </c>
    </row>
    <row r="156" spans="1:22" x14ac:dyDescent="0.25">
      <c r="A156" s="11">
        <v>101060401</v>
      </c>
      <c r="B156" s="11" t="s">
        <v>34</v>
      </c>
      <c r="C156" s="41">
        <v>44847</v>
      </c>
      <c r="D156" s="41">
        <v>44847</v>
      </c>
      <c r="E156" s="11" t="s">
        <v>42</v>
      </c>
      <c r="F156" s="11" t="s">
        <v>651</v>
      </c>
      <c r="G156" s="11">
        <v>106964</v>
      </c>
      <c r="H156" s="11" t="s">
        <v>57</v>
      </c>
      <c r="K156" s="11">
        <v>101060402</v>
      </c>
      <c r="L156" s="11" t="s">
        <v>44</v>
      </c>
      <c r="M156" s="11"/>
      <c r="N156" s="11">
        <v>774.54</v>
      </c>
      <c r="O156" s="42">
        <v>-774.54</v>
      </c>
      <c r="P156" s="43" t="s">
        <v>4481</v>
      </c>
      <c r="Q156" s="11">
        <v>1379467.12</v>
      </c>
      <c r="R156" s="11" t="s">
        <v>652</v>
      </c>
      <c r="S156" s="11" t="s">
        <v>40</v>
      </c>
      <c r="T156" s="11">
        <v>0</v>
      </c>
    </row>
    <row r="157" spans="1:22" x14ac:dyDescent="0.25">
      <c r="A157" s="11">
        <v>101060401</v>
      </c>
      <c r="B157" s="11" t="s">
        <v>34</v>
      </c>
      <c r="C157" s="41">
        <v>44847</v>
      </c>
      <c r="D157" s="41">
        <v>44847</v>
      </c>
      <c r="E157" s="11" t="s">
        <v>42</v>
      </c>
      <c r="F157" s="11" t="s">
        <v>653</v>
      </c>
      <c r="G157" s="11">
        <v>106974</v>
      </c>
      <c r="H157" s="11" t="s">
        <v>65</v>
      </c>
      <c r="J157" s="11" t="s">
        <v>38</v>
      </c>
      <c r="K157" s="11">
        <v>51010101</v>
      </c>
      <c r="L157" s="11" t="s">
        <v>48</v>
      </c>
      <c r="M157" s="11"/>
      <c r="N157" s="11">
        <v>16.420000000000002</v>
      </c>
      <c r="O157" s="42">
        <v>-16.420000000000002</v>
      </c>
      <c r="P157" s="43" t="s">
        <v>4489</v>
      </c>
      <c r="Q157" s="11">
        <v>1379450.7</v>
      </c>
      <c r="R157" s="11" t="s">
        <v>345</v>
      </c>
      <c r="S157" s="11" t="s">
        <v>40</v>
      </c>
      <c r="T157" s="11">
        <v>0</v>
      </c>
      <c r="V157" s="11" t="s">
        <v>41</v>
      </c>
    </row>
    <row r="158" spans="1:22" x14ac:dyDescent="0.25">
      <c r="A158" s="11">
        <v>101060401</v>
      </c>
      <c r="B158" s="11" t="s">
        <v>34</v>
      </c>
      <c r="C158" s="41">
        <v>44847</v>
      </c>
      <c r="D158" s="41">
        <v>44847</v>
      </c>
      <c r="E158" s="11" t="s">
        <v>42</v>
      </c>
      <c r="F158" s="11" t="s">
        <v>654</v>
      </c>
      <c r="G158" s="11">
        <v>106979</v>
      </c>
      <c r="H158" s="11" t="s">
        <v>57</v>
      </c>
      <c r="K158" s="11">
        <v>101060402</v>
      </c>
      <c r="L158" s="11" t="s">
        <v>44</v>
      </c>
      <c r="M158" s="11">
        <v>73.099999999999994</v>
      </c>
      <c r="N158" s="11"/>
      <c r="O158" s="42">
        <v>73.099999999999994</v>
      </c>
      <c r="P158" s="43" t="s">
        <v>4481</v>
      </c>
      <c r="Q158" s="11">
        <v>1379523.8</v>
      </c>
      <c r="R158" s="11" t="s">
        <v>400</v>
      </c>
      <c r="S158" s="11" t="s">
        <v>106</v>
      </c>
      <c r="T158" s="11">
        <v>0</v>
      </c>
    </row>
    <row r="159" spans="1:22" x14ac:dyDescent="0.25">
      <c r="A159" s="11">
        <v>101060401</v>
      </c>
      <c r="B159" s="11" t="s">
        <v>34</v>
      </c>
      <c r="C159" s="41">
        <v>44847</v>
      </c>
      <c r="D159" s="41">
        <v>44847</v>
      </c>
      <c r="E159" s="11" t="s">
        <v>42</v>
      </c>
      <c r="F159" s="11" t="s">
        <v>655</v>
      </c>
      <c r="G159" s="11">
        <v>106985</v>
      </c>
      <c r="H159" s="11" t="s">
        <v>57</v>
      </c>
      <c r="K159" s="11">
        <v>101060408</v>
      </c>
      <c r="L159" s="11" t="s">
        <v>82</v>
      </c>
      <c r="M159" s="11"/>
      <c r="N159" s="11">
        <v>1452.63</v>
      </c>
      <c r="O159" s="42">
        <v>-1452.63</v>
      </c>
      <c r="P159" s="43" t="s">
        <v>4481</v>
      </c>
      <c r="Q159" s="11">
        <v>1378071.17</v>
      </c>
      <c r="R159" s="11" t="s">
        <v>656</v>
      </c>
      <c r="S159" s="11" t="s">
        <v>40</v>
      </c>
      <c r="T159" s="11">
        <v>0</v>
      </c>
    </row>
    <row r="160" spans="1:22" x14ac:dyDescent="0.25">
      <c r="A160" s="11">
        <v>101060401</v>
      </c>
      <c r="B160" s="11" t="s">
        <v>34</v>
      </c>
      <c r="C160" s="41">
        <v>44847</v>
      </c>
      <c r="D160" s="41">
        <v>44847</v>
      </c>
      <c r="E160" s="11" t="s">
        <v>42</v>
      </c>
      <c r="F160" s="11" t="s">
        <v>657</v>
      </c>
      <c r="G160" s="11">
        <v>106986</v>
      </c>
      <c r="H160" s="11" t="s">
        <v>74</v>
      </c>
      <c r="J160" s="11" t="s">
        <v>38</v>
      </c>
      <c r="K160" s="11">
        <v>51010101</v>
      </c>
      <c r="L160" s="11" t="s">
        <v>48</v>
      </c>
      <c r="M160" s="11"/>
      <c r="N160" s="11">
        <v>303.95</v>
      </c>
      <c r="O160" s="42">
        <v>-303.95</v>
      </c>
      <c r="P160" s="43" t="s">
        <v>4489</v>
      </c>
      <c r="Q160" s="11">
        <v>1377767.22</v>
      </c>
      <c r="R160" s="11" t="s">
        <v>568</v>
      </c>
      <c r="S160" s="11" t="s">
        <v>40</v>
      </c>
      <c r="T160" s="11">
        <v>0</v>
      </c>
      <c r="V160" s="11" t="s">
        <v>41</v>
      </c>
    </row>
    <row r="161" spans="1:22" x14ac:dyDescent="0.25">
      <c r="A161" s="11">
        <v>101060401</v>
      </c>
      <c r="B161" s="11" t="s">
        <v>34</v>
      </c>
      <c r="C161" s="41">
        <v>44847</v>
      </c>
      <c r="D161" s="41">
        <v>44847</v>
      </c>
      <c r="E161" s="11" t="s">
        <v>42</v>
      </c>
      <c r="F161" s="11" t="s">
        <v>658</v>
      </c>
      <c r="G161" s="11">
        <v>106990</v>
      </c>
      <c r="H161" s="11" t="s">
        <v>47</v>
      </c>
      <c r="J161" s="11" t="s">
        <v>38</v>
      </c>
      <c r="K161" s="11">
        <v>51010101</v>
      </c>
      <c r="L161" s="11" t="s">
        <v>48</v>
      </c>
      <c r="M161" s="11"/>
      <c r="N161" s="11">
        <v>29.75</v>
      </c>
      <c r="O161" s="42">
        <v>-29.75</v>
      </c>
      <c r="P161" s="43" t="s">
        <v>4489</v>
      </c>
      <c r="Q161" s="11">
        <v>1377737.47</v>
      </c>
      <c r="R161" s="11" t="s">
        <v>172</v>
      </c>
      <c r="S161" s="11" t="s">
        <v>40</v>
      </c>
      <c r="T161" s="11">
        <v>0</v>
      </c>
      <c r="V161" s="11" t="s">
        <v>41</v>
      </c>
    </row>
    <row r="162" spans="1:22" x14ac:dyDescent="0.25">
      <c r="A162" s="11">
        <v>101060401</v>
      </c>
      <c r="B162" s="11" t="s">
        <v>34</v>
      </c>
      <c r="C162" s="41">
        <v>44847</v>
      </c>
      <c r="D162" s="41">
        <v>44847</v>
      </c>
      <c r="E162" s="11" t="s">
        <v>42</v>
      </c>
      <c r="F162" s="11" t="s">
        <v>659</v>
      </c>
      <c r="G162" s="11">
        <v>106991</v>
      </c>
      <c r="H162" s="11" t="s">
        <v>47</v>
      </c>
      <c r="J162" s="11" t="s">
        <v>38</v>
      </c>
      <c r="K162" s="11">
        <v>51010101</v>
      </c>
      <c r="L162" s="11" t="s">
        <v>48</v>
      </c>
      <c r="M162" s="11"/>
      <c r="N162" s="11">
        <v>185.58</v>
      </c>
      <c r="O162" s="42">
        <v>-185.58</v>
      </c>
      <c r="P162" s="43" t="s">
        <v>4489</v>
      </c>
      <c r="Q162" s="11">
        <v>1377551.89</v>
      </c>
      <c r="R162" s="11" t="s">
        <v>328</v>
      </c>
      <c r="S162" s="11" t="s">
        <v>40</v>
      </c>
      <c r="T162" s="11">
        <v>0</v>
      </c>
      <c r="V162" s="11" t="s">
        <v>41</v>
      </c>
    </row>
    <row r="163" spans="1:22" x14ac:dyDescent="0.25">
      <c r="A163" s="11">
        <v>101060401</v>
      </c>
      <c r="B163" s="11" t="s">
        <v>34</v>
      </c>
      <c r="C163" s="41">
        <v>44847</v>
      </c>
      <c r="D163" s="41">
        <v>44847</v>
      </c>
      <c r="E163" s="11" t="s">
        <v>42</v>
      </c>
      <c r="F163" s="11" t="s">
        <v>660</v>
      </c>
      <c r="G163" s="11">
        <v>106992</v>
      </c>
      <c r="H163" s="11" t="s">
        <v>47</v>
      </c>
      <c r="J163" s="11" t="s">
        <v>38</v>
      </c>
      <c r="K163" s="11">
        <v>51010101</v>
      </c>
      <c r="L163" s="11" t="s">
        <v>48</v>
      </c>
      <c r="M163" s="11"/>
      <c r="N163" s="11">
        <v>658.35</v>
      </c>
      <c r="O163" s="42">
        <v>-658.35</v>
      </c>
      <c r="P163" s="43" t="s">
        <v>4489</v>
      </c>
      <c r="Q163" s="11">
        <v>1376893.54</v>
      </c>
      <c r="R163" s="11" t="s">
        <v>661</v>
      </c>
      <c r="S163" s="11" t="s">
        <v>40</v>
      </c>
      <c r="T163" s="11">
        <v>0</v>
      </c>
      <c r="V163" s="11" t="s">
        <v>41</v>
      </c>
    </row>
    <row r="164" spans="1:22" x14ac:dyDescent="0.25">
      <c r="A164" s="11">
        <v>101060401</v>
      </c>
      <c r="B164" s="11" t="s">
        <v>34</v>
      </c>
      <c r="C164" s="41">
        <v>44847</v>
      </c>
      <c r="D164" s="41">
        <v>44847</v>
      </c>
      <c r="E164" s="11" t="s">
        <v>42</v>
      </c>
      <c r="F164" s="11" t="s">
        <v>662</v>
      </c>
      <c r="G164" s="11">
        <v>107000</v>
      </c>
      <c r="H164" s="11" t="s">
        <v>63</v>
      </c>
      <c r="J164" s="11" t="s">
        <v>38</v>
      </c>
      <c r="K164" s="11">
        <v>51010101</v>
      </c>
      <c r="L164" s="11" t="s">
        <v>48</v>
      </c>
      <c r="M164" s="11"/>
      <c r="N164" s="11">
        <v>53.77</v>
      </c>
      <c r="O164" s="42">
        <v>-53.77</v>
      </c>
      <c r="P164" s="43" t="s">
        <v>4489</v>
      </c>
      <c r="Q164" s="11">
        <v>1376839.77</v>
      </c>
      <c r="R164" s="11" t="s">
        <v>663</v>
      </c>
      <c r="S164" s="11" t="s">
        <v>40</v>
      </c>
      <c r="T164" s="11">
        <v>0</v>
      </c>
      <c r="V164" s="11" t="s">
        <v>41</v>
      </c>
    </row>
    <row r="165" spans="1:22" x14ac:dyDescent="0.25">
      <c r="A165" s="11">
        <v>101060401</v>
      </c>
      <c r="B165" s="11" t="s">
        <v>34</v>
      </c>
      <c r="C165" s="41">
        <v>44847</v>
      </c>
      <c r="D165" s="41">
        <v>44847</v>
      </c>
      <c r="E165" s="11" t="s">
        <v>42</v>
      </c>
      <c r="F165" s="11" t="s">
        <v>664</v>
      </c>
      <c r="G165" s="11">
        <v>107002</v>
      </c>
      <c r="H165" s="11" t="s">
        <v>239</v>
      </c>
      <c r="J165" s="11" t="s">
        <v>38</v>
      </c>
      <c r="K165" s="11">
        <v>51010101</v>
      </c>
      <c r="L165" s="11" t="s">
        <v>48</v>
      </c>
      <c r="M165" s="11"/>
      <c r="N165" s="11">
        <v>31.43</v>
      </c>
      <c r="O165" s="42">
        <v>-31.43</v>
      </c>
      <c r="P165" s="43" t="s">
        <v>4489</v>
      </c>
      <c r="Q165" s="11">
        <v>1376808.34</v>
      </c>
      <c r="R165" s="11" t="s">
        <v>665</v>
      </c>
      <c r="S165" s="11" t="s">
        <v>40</v>
      </c>
      <c r="T165" s="11">
        <v>0</v>
      </c>
      <c r="V165" s="11" t="s">
        <v>41</v>
      </c>
    </row>
    <row r="166" spans="1:22" x14ac:dyDescent="0.25">
      <c r="A166" s="11">
        <v>101060401</v>
      </c>
      <c r="B166" s="11" t="s">
        <v>34</v>
      </c>
      <c r="C166" s="41">
        <v>44847</v>
      </c>
      <c r="D166" s="41">
        <v>44847</v>
      </c>
      <c r="E166" s="11" t="s">
        <v>36</v>
      </c>
      <c r="F166" s="11" t="s">
        <v>666</v>
      </c>
      <c r="G166" s="11">
        <v>107008</v>
      </c>
      <c r="H166" s="11" t="s">
        <v>259</v>
      </c>
      <c r="K166" s="11">
        <v>201040506</v>
      </c>
      <c r="L166" s="11" t="s">
        <v>46</v>
      </c>
      <c r="M166" s="11">
        <v>264.25</v>
      </c>
      <c r="N166" s="11"/>
      <c r="O166" s="42">
        <v>264.25</v>
      </c>
      <c r="P166" s="43" t="s">
        <v>4480</v>
      </c>
      <c r="Q166" s="11">
        <v>1377072.59</v>
      </c>
      <c r="R166" s="11" t="s">
        <v>667</v>
      </c>
      <c r="S166" s="11" t="s">
        <v>40</v>
      </c>
      <c r="T166" s="11">
        <v>0</v>
      </c>
    </row>
    <row r="167" spans="1:22" x14ac:dyDescent="0.25">
      <c r="A167" s="11">
        <v>101060401</v>
      </c>
      <c r="B167" s="11" t="s">
        <v>34</v>
      </c>
      <c r="C167" s="41">
        <v>44847</v>
      </c>
      <c r="D167" s="41">
        <v>44847</v>
      </c>
      <c r="E167" s="11" t="s">
        <v>42</v>
      </c>
      <c r="F167" s="11" t="s">
        <v>668</v>
      </c>
      <c r="G167" s="11">
        <v>107009</v>
      </c>
      <c r="H167" s="11" t="s">
        <v>57</v>
      </c>
      <c r="K167" s="11">
        <v>101060402</v>
      </c>
      <c r="L167" s="11" t="s">
        <v>44</v>
      </c>
      <c r="M167" s="11"/>
      <c r="N167" s="11">
        <v>264.25</v>
      </c>
      <c r="O167" s="42">
        <v>-264.25</v>
      </c>
      <c r="P167" s="43" t="s">
        <v>4481</v>
      </c>
      <c r="Q167" s="11">
        <v>1376808.34</v>
      </c>
      <c r="R167" s="11" t="s">
        <v>669</v>
      </c>
      <c r="S167" s="11" t="s">
        <v>40</v>
      </c>
      <c r="T167" s="11">
        <v>0</v>
      </c>
    </row>
    <row r="168" spans="1:22" x14ac:dyDescent="0.25">
      <c r="A168" s="11">
        <v>101060401</v>
      </c>
      <c r="B168" s="11" t="s">
        <v>34</v>
      </c>
      <c r="C168" s="41">
        <v>44848</v>
      </c>
      <c r="D168" s="41">
        <v>44848</v>
      </c>
      <c r="E168" s="11" t="s">
        <v>36</v>
      </c>
      <c r="F168" s="11" t="s">
        <v>670</v>
      </c>
      <c r="G168" s="11">
        <v>107011</v>
      </c>
      <c r="H168" s="11" t="s">
        <v>52</v>
      </c>
      <c r="K168" s="11">
        <v>201040506</v>
      </c>
      <c r="L168" s="11" t="s">
        <v>46</v>
      </c>
      <c r="M168" s="11">
        <v>389.76</v>
      </c>
      <c r="N168" s="11"/>
      <c r="O168" s="42">
        <v>389.76</v>
      </c>
      <c r="P168" s="43" t="s">
        <v>4480</v>
      </c>
      <c r="Q168" s="11">
        <v>1377198.1</v>
      </c>
      <c r="R168" s="11" t="s">
        <v>671</v>
      </c>
      <c r="S168" s="11" t="s">
        <v>40</v>
      </c>
      <c r="T168" s="11">
        <v>0</v>
      </c>
    </row>
    <row r="169" spans="1:22" x14ac:dyDescent="0.25">
      <c r="A169" s="11">
        <v>101060401</v>
      </c>
      <c r="B169" s="11" t="s">
        <v>34</v>
      </c>
      <c r="C169" s="41">
        <v>44848</v>
      </c>
      <c r="D169" s="41">
        <v>44848</v>
      </c>
      <c r="E169" s="11" t="s">
        <v>36</v>
      </c>
      <c r="F169" s="11" t="s">
        <v>672</v>
      </c>
      <c r="G169" s="11">
        <v>107012</v>
      </c>
      <c r="H169" s="11" t="s">
        <v>209</v>
      </c>
      <c r="K169" s="11">
        <v>201040506</v>
      </c>
      <c r="L169" s="11" t="s">
        <v>46</v>
      </c>
      <c r="M169" s="11">
        <v>2222.4</v>
      </c>
      <c r="N169" s="11"/>
      <c r="O169" s="42">
        <v>2222.4</v>
      </c>
      <c r="P169" s="43" t="s">
        <v>4480</v>
      </c>
      <c r="Q169" s="11">
        <v>1379420.5</v>
      </c>
      <c r="R169" s="11" t="s">
        <v>673</v>
      </c>
      <c r="S169" s="11" t="s">
        <v>40</v>
      </c>
      <c r="T169" s="11">
        <v>0</v>
      </c>
    </row>
    <row r="170" spans="1:22" x14ac:dyDescent="0.25">
      <c r="A170" s="11">
        <v>101060401</v>
      </c>
      <c r="B170" s="11" t="s">
        <v>34</v>
      </c>
      <c r="C170" s="41">
        <v>44848</v>
      </c>
      <c r="D170" s="41">
        <v>44848</v>
      </c>
      <c r="E170" s="11" t="s">
        <v>42</v>
      </c>
      <c r="F170" s="11" t="s">
        <v>674</v>
      </c>
      <c r="G170" s="11">
        <v>107013</v>
      </c>
      <c r="H170" s="11" t="s">
        <v>57</v>
      </c>
      <c r="K170" s="11">
        <v>101060402</v>
      </c>
      <c r="L170" s="11" t="s">
        <v>44</v>
      </c>
      <c r="M170" s="11">
        <v>399.56</v>
      </c>
      <c r="N170" s="11"/>
      <c r="O170" s="42">
        <v>399.56</v>
      </c>
      <c r="P170" s="43" t="s">
        <v>4481</v>
      </c>
      <c r="Q170" s="11">
        <v>1379820.06</v>
      </c>
      <c r="R170" s="11" t="s">
        <v>675</v>
      </c>
      <c r="S170" s="11" t="s">
        <v>106</v>
      </c>
      <c r="T170" s="11">
        <v>0</v>
      </c>
    </row>
    <row r="171" spans="1:22" x14ac:dyDescent="0.25">
      <c r="A171" s="11">
        <v>101060401</v>
      </c>
      <c r="B171" s="11" t="s">
        <v>34</v>
      </c>
      <c r="C171" s="41">
        <v>44848</v>
      </c>
      <c r="D171" s="41">
        <v>44848</v>
      </c>
      <c r="E171" s="11" t="s">
        <v>42</v>
      </c>
      <c r="F171" s="11" t="s">
        <v>676</v>
      </c>
      <c r="G171" s="11">
        <v>107014</v>
      </c>
      <c r="H171" s="11" t="s">
        <v>57</v>
      </c>
      <c r="K171" s="11">
        <v>101060402</v>
      </c>
      <c r="L171" s="11" t="s">
        <v>44</v>
      </c>
      <c r="M171" s="11"/>
      <c r="N171" s="11">
        <v>133.19</v>
      </c>
      <c r="O171" s="42">
        <v>-133.19</v>
      </c>
      <c r="P171" s="43" t="s">
        <v>4481</v>
      </c>
      <c r="Q171" s="11">
        <v>1379686.87</v>
      </c>
      <c r="R171" s="11" t="s">
        <v>227</v>
      </c>
      <c r="S171" s="11" t="s">
        <v>40</v>
      </c>
      <c r="T171" s="11">
        <v>0</v>
      </c>
    </row>
    <row r="172" spans="1:22" x14ac:dyDescent="0.25">
      <c r="A172" s="11">
        <v>101060401</v>
      </c>
      <c r="B172" s="11" t="s">
        <v>34</v>
      </c>
      <c r="C172" s="41">
        <v>44848</v>
      </c>
      <c r="D172" s="41">
        <v>44848</v>
      </c>
      <c r="E172" s="11" t="s">
        <v>42</v>
      </c>
      <c r="F172" s="11" t="s">
        <v>677</v>
      </c>
      <c r="G172" s="11">
        <v>107015</v>
      </c>
      <c r="H172" s="11" t="s">
        <v>62</v>
      </c>
      <c r="J172" s="11" t="s">
        <v>38</v>
      </c>
      <c r="K172" s="11">
        <v>51010101</v>
      </c>
      <c r="L172" s="11" t="s">
        <v>48</v>
      </c>
      <c r="M172" s="11"/>
      <c r="N172" s="11">
        <v>2861.84</v>
      </c>
      <c r="O172" s="42">
        <v>-2861.84</v>
      </c>
      <c r="P172" s="43" t="s">
        <v>4489</v>
      </c>
      <c r="Q172" s="11">
        <v>1376825.03</v>
      </c>
      <c r="R172" s="11" t="s">
        <v>678</v>
      </c>
      <c r="S172" s="11" t="s">
        <v>40</v>
      </c>
      <c r="T172" s="11">
        <v>0</v>
      </c>
      <c r="V172" s="11" t="s">
        <v>41</v>
      </c>
    </row>
    <row r="173" spans="1:22" x14ac:dyDescent="0.25">
      <c r="A173" s="11">
        <v>101060401</v>
      </c>
      <c r="B173" s="11" t="s">
        <v>34</v>
      </c>
      <c r="C173" s="41">
        <v>44848</v>
      </c>
      <c r="D173" s="41">
        <v>44848</v>
      </c>
      <c r="E173" s="11" t="s">
        <v>42</v>
      </c>
      <c r="F173" s="11" t="s">
        <v>679</v>
      </c>
      <c r="G173" s="11">
        <v>107016</v>
      </c>
      <c r="H173" s="11" t="s">
        <v>49</v>
      </c>
      <c r="J173" s="11" t="s">
        <v>38</v>
      </c>
      <c r="K173" s="11">
        <v>51010101</v>
      </c>
      <c r="L173" s="11" t="s">
        <v>48</v>
      </c>
      <c r="M173" s="11"/>
      <c r="N173" s="11">
        <v>73.91</v>
      </c>
      <c r="O173" s="42">
        <v>-73.91</v>
      </c>
      <c r="P173" s="43" t="s">
        <v>4489</v>
      </c>
      <c r="Q173" s="11">
        <v>1376751.12</v>
      </c>
      <c r="R173" s="11" t="s">
        <v>680</v>
      </c>
      <c r="S173" s="11" t="s">
        <v>40</v>
      </c>
      <c r="T173" s="11">
        <v>0</v>
      </c>
      <c r="V173" s="11" t="s">
        <v>41</v>
      </c>
    </row>
    <row r="174" spans="1:22" x14ac:dyDescent="0.25">
      <c r="A174" s="11">
        <v>101060401</v>
      </c>
      <c r="B174" s="11" t="s">
        <v>34</v>
      </c>
      <c r="C174" s="41">
        <v>44848</v>
      </c>
      <c r="D174" s="41">
        <v>44848</v>
      </c>
      <c r="E174" s="11" t="s">
        <v>42</v>
      </c>
      <c r="F174" s="11" t="s">
        <v>681</v>
      </c>
      <c r="G174" s="11">
        <v>107017</v>
      </c>
      <c r="H174" s="11" t="s">
        <v>57</v>
      </c>
      <c r="K174" s="11">
        <v>101060408</v>
      </c>
      <c r="L174" s="11" t="s">
        <v>82</v>
      </c>
      <c r="M174" s="11">
        <v>146896.03</v>
      </c>
      <c r="N174" s="11"/>
      <c r="O174" s="42">
        <v>146896.03</v>
      </c>
      <c r="P174" s="43" t="s">
        <v>4481</v>
      </c>
      <c r="Q174" s="11">
        <v>1523647.15</v>
      </c>
      <c r="R174" s="11" t="s">
        <v>682</v>
      </c>
      <c r="S174" s="11" t="s">
        <v>40</v>
      </c>
      <c r="T174" s="11">
        <v>0</v>
      </c>
    </row>
    <row r="175" spans="1:22" x14ac:dyDescent="0.25">
      <c r="A175" s="11">
        <v>101060401</v>
      </c>
      <c r="B175" s="11" t="s">
        <v>34</v>
      </c>
      <c r="C175" s="41">
        <v>44848</v>
      </c>
      <c r="D175" s="41">
        <v>44848</v>
      </c>
      <c r="E175" s="11" t="s">
        <v>42</v>
      </c>
      <c r="F175" s="11" t="s">
        <v>683</v>
      </c>
      <c r="G175" s="11">
        <v>107018</v>
      </c>
      <c r="H175" s="11" t="s">
        <v>43</v>
      </c>
      <c r="K175" s="11">
        <v>101060402</v>
      </c>
      <c r="L175" s="11" t="s">
        <v>44</v>
      </c>
      <c r="M175" s="11"/>
      <c r="N175" s="11">
        <v>146896.03</v>
      </c>
      <c r="O175" s="42">
        <v>-146896.03</v>
      </c>
      <c r="P175" s="43" t="s">
        <v>4481</v>
      </c>
      <c r="Q175" s="11">
        <v>1376751.12</v>
      </c>
      <c r="R175" s="11" t="s">
        <v>684</v>
      </c>
      <c r="S175" s="11" t="s">
        <v>40</v>
      </c>
      <c r="T175" s="11">
        <v>0</v>
      </c>
    </row>
    <row r="176" spans="1:22" x14ac:dyDescent="0.25">
      <c r="A176" s="11">
        <v>101060401</v>
      </c>
      <c r="B176" s="11" t="s">
        <v>34</v>
      </c>
      <c r="C176" s="41">
        <v>44848</v>
      </c>
      <c r="D176" s="41">
        <v>44848</v>
      </c>
      <c r="E176" s="11" t="s">
        <v>42</v>
      </c>
      <c r="F176" s="11" t="s">
        <v>685</v>
      </c>
      <c r="G176" s="11">
        <v>107019</v>
      </c>
      <c r="H176" s="11" t="s">
        <v>57</v>
      </c>
      <c r="K176" s="11">
        <v>101060402</v>
      </c>
      <c r="L176" s="11" t="s">
        <v>44</v>
      </c>
      <c r="M176" s="11"/>
      <c r="N176" s="11">
        <v>73.099999999999994</v>
      </c>
      <c r="O176" s="42">
        <v>-73.099999999999994</v>
      </c>
      <c r="P176" s="43" t="s">
        <v>4481</v>
      </c>
      <c r="Q176" s="11">
        <v>1376678.02</v>
      </c>
      <c r="R176" s="11" t="s">
        <v>516</v>
      </c>
      <c r="S176" s="11" t="s">
        <v>40</v>
      </c>
      <c r="T176" s="11">
        <v>0</v>
      </c>
    </row>
    <row r="177" spans="1:22" x14ac:dyDescent="0.25">
      <c r="A177" s="11">
        <v>101060401</v>
      </c>
      <c r="B177" s="11" t="s">
        <v>34</v>
      </c>
      <c r="C177" s="41">
        <v>44848</v>
      </c>
      <c r="D177" s="41">
        <v>44848</v>
      </c>
      <c r="E177" s="11" t="s">
        <v>42</v>
      </c>
      <c r="F177" s="11" t="s">
        <v>686</v>
      </c>
      <c r="G177" s="11">
        <v>107020</v>
      </c>
      <c r="H177" s="11" t="s">
        <v>43</v>
      </c>
      <c r="K177" s="11">
        <v>101060402</v>
      </c>
      <c r="L177" s="11" t="s">
        <v>44</v>
      </c>
      <c r="M177" s="11">
        <v>73.099999999999994</v>
      </c>
      <c r="N177" s="11"/>
      <c r="O177" s="42">
        <v>73.099999999999994</v>
      </c>
      <c r="P177" s="43" t="s">
        <v>4481</v>
      </c>
      <c r="Q177" s="11">
        <v>1376751.12</v>
      </c>
      <c r="R177" s="11" t="s">
        <v>400</v>
      </c>
      <c r="S177" s="11" t="s">
        <v>40</v>
      </c>
      <c r="T177" s="11">
        <v>0</v>
      </c>
    </row>
    <row r="178" spans="1:22" x14ac:dyDescent="0.25">
      <c r="A178" s="11">
        <v>101060401</v>
      </c>
      <c r="B178" s="11" t="s">
        <v>34</v>
      </c>
      <c r="C178" s="41">
        <v>44848</v>
      </c>
      <c r="D178" s="41">
        <v>44848</v>
      </c>
      <c r="E178" s="11" t="s">
        <v>42</v>
      </c>
      <c r="F178" s="11" t="s">
        <v>687</v>
      </c>
      <c r="G178" s="11">
        <v>107025</v>
      </c>
      <c r="H178" s="11" t="s">
        <v>623</v>
      </c>
      <c r="J178" s="11" t="s">
        <v>38</v>
      </c>
      <c r="K178" s="11">
        <v>51010101</v>
      </c>
      <c r="L178" s="11" t="s">
        <v>48</v>
      </c>
      <c r="M178" s="11"/>
      <c r="N178" s="11">
        <v>85.11</v>
      </c>
      <c r="O178" s="42">
        <v>-85.11</v>
      </c>
      <c r="P178" s="43" t="s">
        <v>4489</v>
      </c>
      <c r="Q178" s="11">
        <v>1376666.01</v>
      </c>
      <c r="R178" s="11" t="s">
        <v>688</v>
      </c>
      <c r="S178" s="11" t="s">
        <v>40</v>
      </c>
      <c r="T178" s="11">
        <v>0</v>
      </c>
      <c r="V178" s="11" t="s">
        <v>41</v>
      </c>
    </row>
    <row r="179" spans="1:22" x14ac:dyDescent="0.25">
      <c r="A179" s="11">
        <v>101060401</v>
      </c>
      <c r="B179" s="11" t="s">
        <v>34</v>
      </c>
      <c r="C179" s="41">
        <v>44848</v>
      </c>
      <c r="D179" s="41">
        <v>44848</v>
      </c>
      <c r="E179" s="11" t="s">
        <v>42</v>
      </c>
      <c r="F179" s="11" t="s">
        <v>689</v>
      </c>
      <c r="G179" s="11">
        <v>107026</v>
      </c>
      <c r="H179" s="11" t="s">
        <v>281</v>
      </c>
      <c r="J179" s="11" t="s">
        <v>38</v>
      </c>
      <c r="K179" s="11">
        <v>51010101</v>
      </c>
      <c r="L179" s="11" t="s">
        <v>48</v>
      </c>
      <c r="M179" s="11">
        <v>73.91</v>
      </c>
      <c r="N179" s="11"/>
      <c r="O179" s="42">
        <v>73.91</v>
      </c>
      <c r="P179" s="43" t="s">
        <v>4489</v>
      </c>
      <c r="Q179" s="11">
        <v>1376739.92</v>
      </c>
      <c r="R179" s="11" t="s">
        <v>690</v>
      </c>
      <c r="S179" s="11" t="s">
        <v>40</v>
      </c>
      <c r="T179" s="11">
        <v>0</v>
      </c>
      <c r="V179" s="11" t="s">
        <v>41</v>
      </c>
    </row>
    <row r="180" spans="1:22" x14ac:dyDescent="0.25">
      <c r="A180" s="11">
        <v>101060401</v>
      </c>
      <c r="B180" s="11" t="s">
        <v>34</v>
      </c>
      <c r="C180" s="41">
        <v>44848</v>
      </c>
      <c r="D180" s="41">
        <v>44848</v>
      </c>
      <c r="E180" s="11" t="s">
        <v>42</v>
      </c>
      <c r="F180" s="11" t="s">
        <v>691</v>
      </c>
      <c r="G180" s="11">
        <v>107027</v>
      </c>
      <c r="H180" s="11" t="s">
        <v>49</v>
      </c>
      <c r="J180" s="11" t="s">
        <v>38</v>
      </c>
      <c r="K180" s="11">
        <v>51010101</v>
      </c>
      <c r="L180" s="11" t="s">
        <v>48</v>
      </c>
      <c r="M180" s="11"/>
      <c r="N180" s="11">
        <v>136.15</v>
      </c>
      <c r="O180" s="42">
        <v>-136.15</v>
      </c>
      <c r="P180" s="43" t="s">
        <v>4489</v>
      </c>
      <c r="Q180" s="11">
        <v>1376603.77</v>
      </c>
      <c r="R180" s="11" t="s">
        <v>692</v>
      </c>
      <c r="S180" s="11" t="s">
        <v>40</v>
      </c>
      <c r="T180" s="11">
        <v>0</v>
      </c>
      <c r="V180" s="11" t="s">
        <v>41</v>
      </c>
    </row>
    <row r="181" spans="1:22" x14ac:dyDescent="0.25">
      <c r="A181" s="11">
        <v>101060401</v>
      </c>
      <c r="B181" s="11" t="s">
        <v>34</v>
      </c>
      <c r="C181" s="41">
        <v>44848</v>
      </c>
      <c r="D181" s="41">
        <v>44848</v>
      </c>
      <c r="E181" s="11" t="s">
        <v>42</v>
      </c>
      <c r="F181" s="11" t="s">
        <v>693</v>
      </c>
      <c r="G181" s="11">
        <v>107031</v>
      </c>
      <c r="H181" s="11" t="s">
        <v>155</v>
      </c>
      <c r="J181" s="11" t="s">
        <v>38</v>
      </c>
      <c r="K181" s="11">
        <v>51010101</v>
      </c>
      <c r="L181" s="11" t="s">
        <v>48</v>
      </c>
      <c r="M181" s="11"/>
      <c r="N181" s="11">
        <v>11.28</v>
      </c>
      <c r="O181" s="42">
        <v>-11.28</v>
      </c>
      <c r="P181" s="43" t="s">
        <v>4489</v>
      </c>
      <c r="Q181" s="11">
        <v>1376592.49</v>
      </c>
      <c r="R181" s="11" t="s">
        <v>694</v>
      </c>
      <c r="S181" s="11" t="s">
        <v>40</v>
      </c>
      <c r="T181" s="11">
        <v>0</v>
      </c>
      <c r="V181" s="11" t="s">
        <v>41</v>
      </c>
    </row>
    <row r="182" spans="1:22" x14ac:dyDescent="0.25">
      <c r="A182" s="11">
        <v>101060401</v>
      </c>
      <c r="B182" s="11" t="s">
        <v>34</v>
      </c>
      <c r="C182" s="41">
        <v>44848</v>
      </c>
      <c r="D182" s="41">
        <v>44848</v>
      </c>
      <c r="E182" s="11" t="s">
        <v>42</v>
      </c>
      <c r="F182" s="11" t="s">
        <v>695</v>
      </c>
      <c r="G182" s="11">
        <v>107032</v>
      </c>
      <c r="H182" s="11" t="s">
        <v>623</v>
      </c>
      <c r="J182" s="11" t="s">
        <v>38</v>
      </c>
      <c r="K182" s="11">
        <v>51010101</v>
      </c>
      <c r="L182" s="11" t="s">
        <v>48</v>
      </c>
      <c r="M182" s="11"/>
      <c r="N182" s="11">
        <v>47.76</v>
      </c>
      <c r="O182" s="42">
        <v>-47.76</v>
      </c>
      <c r="P182" s="43" t="s">
        <v>4489</v>
      </c>
      <c r="Q182" s="11">
        <v>1376544.73</v>
      </c>
      <c r="R182" s="11" t="s">
        <v>696</v>
      </c>
      <c r="S182" s="11" t="s">
        <v>40</v>
      </c>
      <c r="T182" s="11">
        <v>0</v>
      </c>
      <c r="V182" s="11" t="s">
        <v>41</v>
      </c>
    </row>
    <row r="183" spans="1:22" x14ac:dyDescent="0.25">
      <c r="A183" s="11">
        <v>101060401</v>
      </c>
      <c r="B183" s="11" t="s">
        <v>34</v>
      </c>
      <c r="C183" s="41">
        <v>44848</v>
      </c>
      <c r="D183" s="41">
        <v>44848</v>
      </c>
      <c r="E183" s="11" t="s">
        <v>42</v>
      </c>
      <c r="F183" s="11" t="s">
        <v>697</v>
      </c>
      <c r="G183" s="11">
        <v>107033</v>
      </c>
      <c r="H183" s="11" t="s">
        <v>623</v>
      </c>
      <c r="J183" s="11" t="s">
        <v>38</v>
      </c>
      <c r="K183" s="11">
        <v>51010101</v>
      </c>
      <c r="L183" s="11" t="s">
        <v>48</v>
      </c>
      <c r="M183" s="11"/>
      <c r="N183" s="11">
        <v>73.099999999999994</v>
      </c>
      <c r="O183" s="42">
        <v>-73.099999999999994</v>
      </c>
      <c r="P183" s="43" t="s">
        <v>4489</v>
      </c>
      <c r="Q183" s="11">
        <v>1376471.63</v>
      </c>
      <c r="R183" s="11" t="s">
        <v>516</v>
      </c>
      <c r="S183" s="11" t="s">
        <v>40</v>
      </c>
      <c r="T183" s="11">
        <v>0</v>
      </c>
      <c r="V183" s="11" t="s">
        <v>41</v>
      </c>
    </row>
    <row r="184" spans="1:22" x14ac:dyDescent="0.25">
      <c r="A184" s="11">
        <v>101060401</v>
      </c>
      <c r="B184" s="11" t="s">
        <v>34</v>
      </c>
      <c r="C184" s="41">
        <v>44848</v>
      </c>
      <c r="D184" s="41">
        <v>44848</v>
      </c>
      <c r="E184" s="11" t="s">
        <v>42</v>
      </c>
      <c r="F184" s="11" t="s">
        <v>698</v>
      </c>
      <c r="G184" s="11">
        <v>107035</v>
      </c>
      <c r="H184" s="11" t="s">
        <v>155</v>
      </c>
      <c r="J184" s="11" t="s">
        <v>38</v>
      </c>
      <c r="K184" s="11">
        <v>51010101</v>
      </c>
      <c r="L184" s="11" t="s">
        <v>48</v>
      </c>
      <c r="M184" s="11"/>
      <c r="N184" s="11">
        <v>20.07</v>
      </c>
      <c r="O184" s="42">
        <v>-20.07</v>
      </c>
      <c r="P184" s="43" t="s">
        <v>4489</v>
      </c>
      <c r="Q184" s="11">
        <v>1376451.56</v>
      </c>
      <c r="R184" s="11" t="s">
        <v>699</v>
      </c>
      <c r="S184" s="11" t="s">
        <v>40</v>
      </c>
      <c r="T184" s="11">
        <v>0</v>
      </c>
      <c r="V184" s="11" t="s">
        <v>41</v>
      </c>
    </row>
    <row r="185" spans="1:22" x14ac:dyDescent="0.25">
      <c r="A185" s="11">
        <v>101060401</v>
      </c>
      <c r="B185" s="11" t="s">
        <v>34</v>
      </c>
      <c r="C185" s="41">
        <v>44848</v>
      </c>
      <c r="D185" s="41">
        <v>44848</v>
      </c>
      <c r="E185" s="11" t="s">
        <v>42</v>
      </c>
      <c r="F185" s="11" t="s">
        <v>700</v>
      </c>
      <c r="G185" s="11">
        <v>107052</v>
      </c>
      <c r="H185" s="11" t="s">
        <v>176</v>
      </c>
      <c r="J185" s="11" t="s">
        <v>38</v>
      </c>
      <c r="K185" s="11">
        <v>51010101</v>
      </c>
      <c r="L185" s="11" t="s">
        <v>48</v>
      </c>
      <c r="M185" s="11"/>
      <c r="N185" s="11">
        <v>76.599999999999994</v>
      </c>
      <c r="O185" s="42">
        <v>-76.599999999999994</v>
      </c>
      <c r="P185" s="43" t="s">
        <v>4489</v>
      </c>
      <c r="Q185" s="11">
        <v>1376374.96</v>
      </c>
      <c r="R185" s="11" t="s">
        <v>701</v>
      </c>
      <c r="S185" s="11" t="s">
        <v>40</v>
      </c>
      <c r="T185" s="11">
        <v>0</v>
      </c>
      <c r="V185" s="11" t="s">
        <v>41</v>
      </c>
    </row>
    <row r="186" spans="1:22" x14ac:dyDescent="0.25">
      <c r="A186" s="11">
        <v>101060401</v>
      </c>
      <c r="B186" s="11" t="s">
        <v>34</v>
      </c>
      <c r="C186" s="41">
        <v>44848</v>
      </c>
      <c r="D186" s="41">
        <v>44848</v>
      </c>
      <c r="E186" s="11" t="s">
        <v>42</v>
      </c>
      <c r="F186" s="11" t="s">
        <v>702</v>
      </c>
      <c r="G186" s="11">
        <v>107053</v>
      </c>
      <c r="H186" s="11" t="s">
        <v>159</v>
      </c>
      <c r="J186" s="11" t="s">
        <v>38</v>
      </c>
      <c r="K186" s="11">
        <v>51010101</v>
      </c>
      <c r="L186" s="11" t="s">
        <v>48</v>
      </c>
      <c r="M186" s="11"/>
      <c r="N186" s="11">
        <v>50.24</v>
      </c>
      <c r="O186" s="42">
        <v>-50.24</v>
      </c>
      <c r="P186" s="43" t="s">
        <v>4489</v>
      </c>
      <c r="Q186" s="11">
        <v>1376324.72</v>
      </c>
      <c r="R186" s="11" t="s">
        <v>703</v>
      </c>
      <c r="S186" s="11" t="s">
        <v>40</v>
      </c>
      <c r="T186" s="11">
        <v>0</v>
      </c>
      <c r="V186" s="11" t="s">
        <v>41</v>
      </c>
    </row>
    <row r="187" spans="1:22" x14ac:dyDescent="0.25">
      <c r="A187" s="11">
        <v>101060401</v>
      </c>
      <c r="B187" s="11" t="s">
        <v>34</v>
      </c>
      <c r="C187" s="41">
        <v>44851</v>
      </c>
      <c r="D187" s="41">
        <v>44851</v>
      </c>
      <c r="E187" s="11" t="s">
        <v>42</v>
      </c>
      <c r="F187" s="11" t="s">
        <v>704</v>
      </c>
      <c r="G187" s="11">
        <v>107061</v>
      </c>
      <c r="H187" s="11" t="s">
        <v>102</v>
      </c>
      <c r="J187" s="11" t="s">
        <v>38</v>
      </c>
      <c r="K187" s="11">
        <v>51010101</v>
      </c>
      <c r="L187" s="11" t="s">
        <v>48</v>
      </c>
      <c r="M187" s="11"/>
      <c r="N187" s="11">
        <v>1996.34</v>
      </c>
      <c r="O187" s="42">
        <v>-1996.34</v>
      </c>
      <c r="P187" s="43" t="s">
        <v>4489</v>
      </c>
      <c r="Q187" s="11">
        <v>1374328.38</v>
      </c>
      <c r="R187" s="11" t="s">
        <v>705</v>
      </c>
      <c r="S187" s="11" t="s">
        <v>40</v>
      </c>
      <c r="T187" s="11">
        <v>0</v>
      </c>
      <c r="V187" s="11" t="s">
        <v>41</v>
      </c>
    </row>
    <row r="188" spans="1:22" x14ac:dyDescent="0.25">
      <c r="A188" s="11">
        <v>101060401</v>
      </c>
      <c r="B188" s="11" t="s">
        <v>34</v>
      </c>
      <c r="C188" s="41">
        <v>44851</v>
      </c>
      <c r="D188" s="41">
        <v>44851</v>
      </c>
      <c r="E188" s="11" t="s">
        <v>42</v>
      </c>
      <c r="F188" s="11" t="s">
        <v>706</v>
      </c>
      <c r="G188" s="11">
        <v>107062</v>
      </c>
      <c r="H188" s="11" t="s">
        <v>141</v>
      </c>
      <c r="J188" s="11" t="s">
        <v>38</v>
      </c>
      <c r="K188" s="11">
        <v>51010101</v>
      </c>
      <c r="L188" s="11" t="s">
        <v>48</v>
      </c>
      <c r="M188" s="11"/>
      <c r="N188" s="11">
        <v>9.56</v>
      </c>
      <c r="O188" s="42">
        <v>-9.56</v>
      </c>
      <c r="P188" s="43" t="s">
        <v>4489</v>
      </c>
      <c r="Q188" s="11">
        <v>1374318.82</v>
      </c>
      <c r="R188" s="11" t="s">
        <v>707</v>
      </c>
      <c r="S188" s="11" t="s">
        <v>40</v>
      </c>
      <c r="T188" s="11">
        <v>0</v>
      </c>
      <c r="V188" s="11" t="s">
        <v>41</v>
      </c>
    </row>
    <row r="189" spans="1:22" x14ac:dyDescent="0.25">
      <c r="A189" s="11">
        <v>101060401</v>
      </c>
      <c r="B189" s="11" t="s">
        <v>34</v>
      </c>
      <c r="C189" s="41">
        <v>44851</v>
      </c>
      <c r="D189" s="41">
        <v>44851</v>
      </c>
      <c r="E189" s="11" t="s">
        <v>42</v>
      </c>
      <c r="F189" s="11" t="s">
        <v>708</v>
      </c>
      <c r="G189" s="11">
        <v>107063</v>
      </c>
      <c r="H189" s="11" t="s">
        <v>71</v>
      </c>
      <c r="J189" s="11" t="s">
        <v>38</v>
      </c>
      <c r="K189" s="11">
        <v>51010101</v>
      </c>
      <c r="L189" s="11" t="s">
        <v>48</v>
      </c>
      <c r="M189" s="11"/>
      <c r="N189" s="11">
        <v>49.54</v>
      </c>
      <c r="O189" s="42">
        <v>-49.54</v>
      </c>
      <c r="P189" s="43" t="s">
        <v>4489</v>
      </c>
      <c r="Q189" s="11">
        <v>1374269.28</v>
      </c>
      <c r="R189" s="11" t="s">
        <v>709</v>
      </c>
      <c r="S189" s="11" t="s">
        <v>40</v>
      </c>
      <c r="T189" s="11">
        <v>0</v>
      </c>
      <c r="V189" s="11" t="s">
        <v>41</v>
      </c>
    </row>
    <row r="190" spans="1:22" x14ac:dyDescent="0.25">
      <c r="A190" s="11">
        <v>101060401</v>
      </c>
      <c r="B190" s="11" t="s">
        <v>34</v>
      </c>
      <c r="C190" s="41">
        <v>44851</v>
      </c>
      <c r="D190" s="41">
        <v>44851</v>
      </c>
      <c r="E190" s="11" t="s">
        <v>42</v>
      </c>
      <c r="F190" s="11" t="s">
        <v>710</v>
      </c>
      <c r="G190" s="11">
        <v>107064</v>
      </c>
      <c r="H190" s="11" t="s">
        <v>71</v>
      </c>
      <c r="J190" s="11" t="s">
        <v>38</v>
      </c>
      <c r="K190" s="11">
        <v>51010101</v>
      </c>
      <c r="L190" s="11" t="s">
        <v>48</v>
      </c>
      <c r="M190" s="11"/>
      <c r="N190" s="11">
        <v>54.32</v>
      </c>
      <c r="O190" s="42">
        <v>-54.32</v>
      </c>
      <c r="P190" s="43" t="s">
        <v>4489</v>
      </c>
      <c r="Q190" s="11">
        <v>1374214.96</v>
      </c>
      <c r="R190" s="11" t="s">
        <v>711</v>
      </c>
      <c r="S190" s="11" t="s">
        <v>40</v>
      </c>
      <c r="T190" s="11">
        <v>0</v>
      </c>
      <c r="V190" s="11" t="s">
        <v>41</v>
      </c>
    </row>
    <row r="191" spans="1:22" x14ac:dyDescent="0.25">
      <c r="A191" s="11">
        <v>101060401</v>
      </c>
      <c r="B191" s="11" t="s">
        <v>34</v>
      </c>
      <c r="C191" s="41">
        <v>44851</v>
      </c>
      <c r="D191" s="41">
        <v>44851</v>
      </c>
      <c r="E191" s="11" t="s">
        <v>42</v>
      </c>
      <c r="F191" s="11" t="s">
        <v>712</v>
      </c>
      <c r="G191" s="11">
        <v>107071</v>
      </c>
      <c r="H191" s="11" t="s">
        <v>57</v>
      </c>
      <c r="K191" s="11">
        <v>101060401</v>
      </c>
      <c r="L191" s="11" t="s">
        <v>34</v>
      </c>
      <c r="M191" s="11"/>
      <c r="N191" s="11">
        <v>3640</v>
      </c>
      <c r="O191" s="42">
        <v>-3640</v>
      </c>
      <c r="P191" s="43" t="s">
        <v>4481</v>
      </c>
      <c r="Q191" s="11">
        <v>1370574.96</v>
      </c>
      <c r="R191" s="11" t="s">
        <v>713</v>
      </c>
      <c r="S191" s="11" t="s">
        <v>40</v>
      </c>
      <c r="T191" s="11">
        <v>0</v>
      </c>
    </row>
    <row r="192" spans="1:22" x14ac:dyDescent="0.25">
      <c r="A192" s="11">
        <v>101060401</v>
      </c>
      <c r="B192" s="11" t="s">
        <v>34</v>
      </c>
      <c r="C192" s="41">
        <v>44851</v>
      </c>
      <c r="D192" s="41">
        <v>44851</v>
      </c>
      <c r="E192" s="11" t="s">
        <v>42</v>
      </c>
      <c r="F192" s="11" t="s">
        <v>712</v>
      </c>
      <c r="G192" s="11">
        <v>107071</v>
      </c>
      <c r="H192" s="11" t="s">
        <v>57</v>
      </c>
      <c r="K192" s="11">
        <v>101060401</v>
      </c>
      <c r="L192" s="11" t="s">
        <v>34</v>
      </c>
      <c r="M192" s="11">
        <v>4160</v>
      </c>
      <c r="N192" s="11"/>
      <c r="O192" s="42">
        <v>4160</v>
      </c>
      <c r="P192" s="43" t="s">
        <v>4481</v>
      </c>
      <c r="Q192" s="11">
        <v>1374734.96</v>
      </c>
      <c r="R192" s="11" t="s">
        <v>195</v>
      </c>
      <c r="S192" s="11" t="s">
        <v>40</v>
      </c>
      <c r="T192" s="11">
        <v>0</v>
      </c>
    </row>
    <row r="193" spans="1:22" x14ac:dyDescent="0.25">
      <c r="A193" s="11">
        <v>101060401</v>
      </c>
      <c r="B193" s="11" t="s">
        <v>34</v>
      </c>
      <c r="C193" s="41">
        <v>44851</v>
      </c>
      <c r="D193" s="41">
        <v>44851</v>
      </c>
      <c r="E193" s="11" t="s">
        <v>42</v>
      </c>
      <c r="F193" s="11" t="s">
        <v>714</v>
      </c>
      <c r="G193" s="11">
        <v>107075</v>
      </c>
      <c r="H193" s="11" t="s">
        <v>47</v>
      </c>
      <c r="J193" s="11" t="s">
        <v>38</v>
      </c>
      <c r="K193" s="11">
        <v>51010101</v>
      </c>
      <c r="L193" s="11" t="s">
        <v>48</v>
      </c>
      <c r="M193" s="11"/>
      <c r="N193" s="11">
        <v>248.19</v>
      </c>
      <c r="O193" s="42">
        <v>-248.19</v>
      </c>
      <c r="P193" s="43" t="s">
        <v>4489</v>
      </c>
      <c r="Q193" s="11">
        <v>1374486.77</v>
      </c>
      <c r="R193" s="11" t="s">
        <v>715</v>
      </c>
      <c r="S193" s="11" t="s">
        <v>40</v>
      </c>
      <c r="T193" s="11">
        <v>0</v>
      </c>
      <c r="V193" s="11" t="s">
        <v>41</v>
      </c>
    </row>
    <row r="194" spans="1:22" x14ac:dyDescent="0.25">
      <c r="A194" s="11">
        <v>101060401</v>
      </c>
      <c r="B194" s="11" t="s">
        <v>34</v>
      </c>
      <c r="C194" s="41">
        <v>44851</v>
      </c>
      <c r="D194" s="41">
        <v>44851</v>
      </c>
      <c r="E194" s="11" t="s">
        <v>42</v>
      </c>
      <c r="F194" s="11" t="s">
        <v>716</v>
      </c>
      <c r="G194" s="11">
        <v>107077</v>
      </c>
      <c r="H194" s="11" t="s">
        <v>47</v>
      </c>
      <c r="J194" s="11" t="s">
        <v>38</v>
      </c>
      <c r="K194" s="11">
        <v>51010101</v>
      </c>
      <c r="L194" s="11" t="s">
        <v>48</v>
      </c>
      <c r="M194" s="11"/>
      <c r="N194" s="11">
        <v>25.92</v>
      </c>
      <c r="O194" s="42">
        <v>-25.92</v>
      </c>
      <c r="P194" s="43" t="s">
        <v>4489</v>
      </c>
      <c r="Q194" s="11">
        <v>1374460.85</v>
      </c>
      <c r="R194" s="11" t="s">
        <v>335</v>
      </c>
      <c r="S194" s="11" t="s">
        <v>40</v>
      </c>
      <c r="T194" s="11">
        <v>0</v>
      </c>
      <c r="V194" s="11" t="s">
        <v>41</v>
      </c>
    </row>
    <row r="195" spans="1:22" x14ac:dyDescent="0.25">
      <c r="A195" s="11">
        <v>101060401</v>
      </c>
      <c r="B195" s="11" t="s">
        <v>34</v>
      </c>
      <c r="C195" s="41">
        <v>44851</v>
      </c>
      <c r="D195" s="41">
        <v>44851</v>
      </c>
      <c r="E195" s="11" t="s">
        <v>36</v>
      </c>
      <c r="F195" s="11" t="s">
        <v>717</v>
      </c>
      <c r="G195" s="11">
        <v>107083</v>
      </c>
      <c r="H195" s="11" t="s">
        <v>80</v>
      </c>
      <c r="K195" s="11">
        <v>201040506</v>
      </c>
      <c r="L195" s="11" t="s">
        <v>46</v>
      </c>
      <c r="M195" s="11">
        <v>2560</v>
      </c>
      <c r="N195" s="11"/>
      <c r="O195" s="42">
        <v>2560</v>
      </c>
      <c r="P195" s="43" t="s">
        <v>4480</v>
      </c>
      <c r="Q195" s="11">
        <v>1377020.85</v>
      </c>
      <c r="R195" s="11" t="s">
        <v>718</v>
      </c>
      <c r="S195" s="11" t="s">
        <v>40</v>
      </c>
      <c r="T195" s="11">
        <v>0</v>
      </c>
    </row>
    <row r="196" spans="1:22" x14ac:dyDescent="0.25">
      <c r="A196" s="11">
        <v>101060401</v>
      </c>
      <c r="B196" s="11" t="s">
        <v>34</v>
      </c>
      <c r="C196" s="41">
        <v>44851</v>
      </c>
      <c r="D196" s="41">
        <v>44851</v>
      </c>
      <c r="E196" s="11" t="s">
        <v>42</v>
      </c>
      <c r="F196" s="11" t="s">
        <v>719</v>
      </c>
      <c r="G196" s="11">
        <v>107084</v>
      </c>
      <c r="H196" s="11" t="s">
        <v>57</v>
      </c>
      <c r="K196" s="11">
        <v>101060402</v>
      </c>
      <c r="L196" s="11" t="s">
        <v>44</v>
      </c>
      <c r="M196" s="11"/>
      <c r="N196" s="11">
        <v>57178.87</v>
      </c>
      <c r="O196" s="42">
        <v>-57178.87</v>
      </c>
      <c r="P196" s="43" t="s">
        <v>4481</v>
      </c>
      <c r="Q196" s="11">
        <v>1319841.98</v>
      </c>
      <c r="R196" s="11" t="s">
        <v>720</v>
      </c>
      <c r="S196" s="11" t="s">
        <v>40</v>
      </c>
      <c r="T196" s="11">
        <v>0</v>
      </c>
    </row>
    <row r="197" spans="1:22" x14ac:dyDescent="0.25">
      <c r="A197" s="11">
        <v>101060401</v>
      </c>
      <c r="B197" s="11" t="s">
        <v>34</v>
      </c>
      <c r="C197" s="41">
        <v>44851</v>
      </c>
      <c r="D197" s="41">
        <v>44851</v>
      </c>
      <c r="E197" s="11" t="s">
        <v>42</v>
      </c>
      <c r="F197" s="11" t="s">
        <v>721</v>
      </c>
      <c r="G197" s="11">
        <v>107085</v>
      </c>
      <c r="H197" s="11" t="s">
        <v>47</v>
      </c>
      <c r="J197" s="11" t="s">
        <v>38</v>
      </c>
      <c r="K197" s="11">
        <v>51010101</v>
      </c>
      <c r="L197" s="11" t="s">
        <v>48</v>
      </c>
      <c r="M197" s="11"/>
      <c r="N197" s="11">
        <v>2560</v>
      </c>
      <c r="O197" s="42">
        <v>-2560</v>
      </c>
      <c r="P197" s="43" t="s">
        <v>4489</v>
      </c>
      <c r="Q197" s="11">
        <v>1317281.98</v>
      </c>
      <c r="R197" s="11" t="s">
        <v>722</v>
      </c>
      <c r="S197" s="11" t="s">
        <v>40</v>
      </c>
      <c r="T197" s="11">
        <v>0</v>
      </c>
      <c r="V197" s="11" t="s">
        <v>41</v>
      </c>
    </row>
    <row r="198" spans="1:22" x14ac:dyDescent="0.25">
      <c r="A198" s="11">
        <v>101060401</v>
      </c>
      <c r="B198" s="11" t="s">
        <v>34</v>
      </c>
      <c r="C198" s="41">
        <v>44851</v>
      </c>
      <c r="D198" s="41">
        <v>44851</v>
      </c>
      <c r="E198" s="11" t="s">
        <v>36</v>
      </c>
      <c r="F198" s="11" t="s">
        <v>723</v>
      </c>
      <c r="G198" s="11">
        <v>107086</v>
      </c>
      <c r="H198" s="11" t="s">
        <v>52</v>
      </c>
      <c r="K198" s="11">
        <v>201040506</v>
      </c>
      <c r="L198" s="11" t="s">
        <v>46</v>
      </c>
      <c r="M198" s="11">
        <v>61.11</v>
      </c>
      <c r="N198" s="11"/>
      <c r="O198" s="42">
        <v>61.11</v>
      </c>
      <c r="P198" s="43" t="s">
        <v>4480</v>
      </c>
      <c r="Q198" s="11">
        <v>1317343.0900000001</v>
      </c>
      <c r="R198" s="11" t="s">
        <v>724</v>
      </c>
      <c r="S198" s="11" t="s">
        <v>40</v>
      </c>
      <c r="T198" s="11">
        <v>0</v>
      </c>
    </row>
    <row r="199" spans="1:22" x14ac:dyDescent="0.25">
      <c r="A199" s="11">
        <v>101060401</v>
      </c>
      <c r="B199" s="11" t="s">
        <v>34</v>
      </c>
      <c r="C199" s="41">
        <v>44851</v>
      </c>
      <c r="D199" s="41">
        <v>44851</v>
      </c>
      <c r="E199" s="11" t="s">
        <v>36</v>
      </c>
      <c r="F199" s="11" t="s">
        <v>725</v>
      </c>
      <c r="G199" s="11">
        <v>107087</v>
      </c>
      <c r="H199" s="11" t="s">
        <v>52</v>
      </c>
      <c r="K199" s="11">
        <v>201040506</v>
      </c>
      <c r="L199" s="11" t="s">
        <v>46</v>
      </c>
      <c r="M199" s="11">
        <v>805.8</v>
      </c>
      <c r="N199" s="11"/>
      <c r="O199" s="42">
        <v>805.8</v>
      </c>
      <c r="P199" s="43" t="s">
        <v>4480</v>
      </c>
      <c r="Q199" s="11">
        <v>1318148.8899999999</v>
      </c>
      <c r="R199" s="11" t="s">
        <v>726</v>
      </c>
      <c r="S199" s="11" t="s">
        <v>40</v>
      </c>
      <c r="T199" s="11">
        <v>0</v>
      </c>
    </row>
    <row r="200" spans="1:22" x14ac:dyDescent="0.25">
      <c r="A200" s="11">
        <v>101060401</v>
      </c>
      <c r="B200" s="11" t="s">
        <v>34</v>
      </c>
      <c r="C200" s="41">
        <v>44851</v>
      </c>
      <c r="D200" s="41">
        <v>44851</v>
      </c>
      <c r="E200" s="11" t="s">
        <v>36</v>
      </c>
      <c r="F200" s="11" t="s">
        <v>727</v>
      </c>
      <c r="G200" s="11">
        <v>107088</v>
      </c>
      <c r="H200" s="11" t="s">
        <v>52</v>
      </c>
      <c r="K200" s="11">
        <v>201040506</v>
      </c>
      <c r="L200" s="11" t="s">
        <v>46</v>
      </c>
      <c r="M200" s="11">
        <v>25.33</v>
      </c>
      <c r="N200" s="11"/>
      <c r="O200" s="42">
        <v>25.33</v>
      </c>
      <c r="P200" s="43" t="s">
        <v>4480</v>
      </c>
      <c r="Q200" s="11">
        <v>1318174.22</v>
      </c>
      <c r="R200" s="11" t="s">
        <v>728</v>
      </c>
      <c r="S200" s="11" t="s">
        <v>40</v>
      </c>
      <c r="T200" s="11">
        <v>0</v>
      </c>
    </row>
    <row r="201" spans="1:22" x14ac:dyDescent="0.25">
      <c r="A201" s="11">
        <v>101060401</v>
      </c>
      <c r="B201" s="11" t="s">
        <v>34</v>
      </c>
      <c r="C201" s="41">
        <v>44851</v>
      </c>
      <c r="D201" s="41">
        <v>44851</v>
      </c>
      <c r="E201" s="11" t="s">
        <v>42</v>
      </c>
      <c r="F201" s="11" t="s">
        <v>729</v>
      </c>
      <c r="G201" s="11">
        <v>107089</v>
      </c>
      <c r="H201" s="11" t="s">
        <v>47</v>
      </c>
      <c r="J201" s="11" t="s">
        <v>38</v>
      </c>
      <c r="K201" s="11">
        <v>51010101</v>
      </c>
      <c r="L201" s="11" t="s">
        <v>48</v>
      </c>
      <c r="M201" s="11"/>
      <c r="N201" s="11">
        <v>61.11</v>
      </c>
      <c r="O201" s="42">
        <v>-61.11</v>
      </c>
      <c r="P201" s="43" t="s">
        <v>4489</v>
      </c>
      <c r="Q201" s="11">
        <v>1318113.1100000001</v>
      </c>
      <c r="R201" s="11" t="s">
        <v>730</v>
      </c>
      <c r="S201" s="11" t="s">
        <v>40</v>
      </c>
      <c r="T201" s="11">
        <v>0</v>
      </c>
      <c r="V201" s="11" t="s">
        <v>41</v>
      </c>
    </row>
    <row r="202" spans="1:22" x14ac:dyDescent="0.25">
      <c r="A202" s="11">
        <v>101060401</v>
      </c>
      <c r="B202" s="11" t="s">
        <v>34</v>
      </c>
      <c r="C202" s="41">
        <v>44851</v>
      </c>
      <c r="D202" s="41">
        <v>44851</v>
      </c>
      <c r="E202" s="11" t="s">
        <v>42</v>
      </c>
      <c r="F202" s="11" t="s">
        <v>731</v>
      </c>
      <c r="G202" s="11">
        <v>107090</v>
      </c>
      <c r="H202" s="11" t="s">
        <v>47</v>
      </c>
      <c r="J202" s="11" t="s">
        <v>38</v>
      </c>
      <c r="K202" s="11">
        <v>51010101</v>
      </c>
      <c r="L202" s="11" t="s">
        <v>48</v>
      </c>
      <c r="M202" s="11"/>
      <c r="N202" s="11">
        <v>25.33</v>
      </c>
      <c r="O202" s="42">
        <v>-25.33</v>
      </c>
      <c r="P202" s="43" t="s">
        <v>4489</v>
      </c>
      <c r="Q202" s="11">
        <v>1318087.78</v>
      </c>
      <c r="R202" s="11" t="s">
        <v>732</v>
      </c>
      <c r="S202" s="11" t="s">
        <v>40</v>
      </c>
      <c r="T202" s="11">
        <v>0</v>
      </c>
      <c r="V202" s="11" t="s">
        <v>41</v>
      </c>
    </row>
    <row r="203" spans="1:22" x14ac:dyDescent="0.25">
      <c r="A203" s="11">
        <v>101060401</v>
      </c>
      <c r="B203" s="11" t="s">
        <v>34</v>
      </c>
      <c r="C203" s="41">
        <v>44851</v>
      </c>
      <c r="D203" s="41">
        <v>44851</v>
      </c>
      <c r="E203" s="11" t="s">
        <v>42</v>
      </c>
      <c r="F203" s="11" t="s">
        <v>733</v>
      </c>
      <c r="G203" s="11">
        <v>107091</v>
      </c>
      <c r="H203" s="11" t="s">
        <v>74</v>
      </c>
      <c r="J203" s="11" t="s">
        <v>38</v>
      </c>
      <c r="K203" s="11">
        <v>51010101</v>
      </c>
      <c r="L203" s="11" t="s">
        <v>48</v>
      </c>
      <c r="M203" s="11"/>
      <c r="N203" s="11">
        <v>805.8</v>
      </c>
      <c r="O203" s="42">
        <v>-805.8</v>
      </c>
      <c r="P203" s="43" t="s">
        <v>4489</v>
      </c>
      <c r="Q203" s="11">
        <v>1317281.98</v>
      </c>
      <c r="R203" s="11" t="s">
        <v>734</v>
      </c>
      <c r="S203" s="11" t="s">
        <v>40</v>
      </c>
      <c r="T203" s="11">
        <v>0</v>
      </c>
      <c r="V203" s="11" t="s">
        <v>41</v>
      </c>
    </row>
    <row r="204" spans="1:22" x14ac:dyDescent="0.25">
      <c r="A204" s="11">
        <v>101060401</v>
      </c>
      <c r="B204" s="11" t="s">
        <v>34</v>
      </c>
      <c r="C204" s="41">
        <v>44851</v>
      </c>
      <c r="D204" s="41">
        <v>44851</v>
      </c>
      <c r="E204" s="11" t="s">
        <v>42</v>
      </c>
      <c r="F204" s="11" t="s">
        <v>735</v>
      </c>
      <c r="G204" s="11">
        <v>107092</v>
      </c>
      <c r="H204" s="11" t="s">
        <v>93</v>
      </c>
      <c r="J204" s="11" t="s">
        <v>38</v>
      </c>
      <c r="K204" s="11">
        <v>51010101</v>
      </c>
      <c r="L204" s="11" t="s">
        <v>48</v>
      </c>
      <c r="M204" s="11"/>
      <c r="N204" s="11">
        <v>218.09</v>
      </c>
      <c r="O204" s="42">
        <v>-218.09</v>
      </c>
      <c r="P204" s="43" t="s">
        <v>4489</v>
      </c>
      <c r="Q204" s="11">
        <v>1317063.8899999999</v>
      </c>
      <c r="R204" s="11" t="s">
        <v>736</v>
      </c>
      <c r="S204" s="11" t="s">
        <v>40</v>
      </c>
      <c r="T204" s="11">
        <v>0</v>
      </c>
      <c r="V204" s="11" t="s">
        <v>41</v>
      </c>
    </row>
    <row r="205" spans="1:22" x14ac:dyDescent="0.25">
      <c r="A205" s="11">
        <v>101060401</v>
      </c>
      <c r="B205" s="11" t="s">
        <v>34</v>
      </c>
      <c r="C205" s="41">
        <v>44851</v>
      </c>
      <c r="D205" s="41">
        <v>44851</v>
      </c>
      <c r="E205" s="11" t="s">
        <v>36</v>
      </c>
      <c r="F205" s="11" t="s">
        <v>737</v>
      </c>
      <c r="G205" s="11">
        <v>107093</v>
      </c>
      <c r="H205" s="11" t="s">
        <v>52</v>
      </c>
      <c r="K205" s="11">
        <v>201040506</v>
      </c>
      <c r="L205" s="11" t="s">
        <v>46</v>
      </c>
      <c r="M205" s="11">
        <v>115.2</v>
      </c>
      <c r="N205" s="11"/>
      <c r="O205" s="42">
        <v>115.2</v>
      </c>
      <c r="P205" s="43" t="s">
        <v>4480</v>
      </c>
      <c r="Q205" s="11">
        <v>1317179.0900000001</v>
      </c>
      <c r="R205" s="11" t="s">
        <v>738</v>
      </c>
      <c r="S205" s="11" t="s">
        <v>40</v>
      </c>
      <c r="T205" s="11">
        <v>0</v>
      </c>
    </row>
    <row r="206" spans="1:22" x14ac:dyDescent="0.25">
      <c r="A206" s="11">
        <v>101060401</v>
      </c>
      <c r="B206" s="11" t="s">
        <v>34</v>
      </c>
      <c r="C206" s="41">
        <v>44851</v>
      </c>
      <c r="D206" s="41">
        <v>44851</v>
      </c>
      <c r="E206" s="11" t="s">
        <v>42</v>
      </c>
      <c r="F206" s="11" t="s">
        <v>739</v>
      </c>
      <c r="G206" s="11">
        <v>107094</v>
      </c>
      <c r="H206" s="11" t="s">
        <v>107</v>
      </c>
      <c r="J206" s="11" t="s">
        <v>38</v>
      </c>
      <c r="K206" s="11">
        <v>51010101</v>
      </c>
      <c r="L206" s="11" t="s">
        <v>48</v>
      </c>
      <c r="M206" s="11"/>
      <c r="N206" s="11">
        <v>115.2</v>
      </c>
      <c r="O206" s="42">
        <v>-115.2</v>
      </c>
      <c r="P206" s="43" t="s">
        <v>4489</v>
      </c>
      <c r="Q206" s="11">
        <v>1317063.8899999999</v>
      </c>
      <c r="R206" s="11" t="s">
        <v>740</v>
      </c>
      <c r="S206" s="11" t="s">
        <v>40</v>
      </c>
      <c r="T206" s="11">
        <v>0</v>
      </c>
      <c r="V206" s="11" t="s">
        <v>41</v>
      </c>
    </row>
    <row r="207" spans="1:22" x14ac:dyDescent="0.25">
      <c r="A207" s="11">
        <v>101060401</v>
      </c>
      <c r="B207" s="11" t="s">
        <v>34</v>
      </c>
      <c r="C207" s="41">
        <v>44851</v>
      </c>
      <c r="D207" s="41">
        <v>44851</v>
      </c>
      <c r="E207" s="11" t="s">
        <v>36</v>
      </c>
      <c r="F207" s="11" t="s">
        <v>741</v>
      </c>
      <c r="G207" s="11">
        <v>107095</v>
      </c>
      <c r="H207" s="11" t="s">
        <v>52</v>
      </c>
      <c r="K207" s="11">
        <v>201040506</v>
      </c>
      <c r="L207" s="11" t="s">
        <v>46</v>
      </c>
      <c r="M207" s="11">
        <v>4.16</v>
      </c>
      <c r="N207" s="11"/>
      <c r="O207" s="42">
        <v>4.16</v>
      </c>
      <c r="P207" s="43" t="s">
        <v>4480</v>
      </c>
      <c r="Q207" s="11">
        <v>1317068.05</v>
      </c>
      <c r="R207" s="11" t="s">
        <v>742</v>
      </c>
      <c r="S207" s="11" t="s">
        <v>40</v>
      </c>
      <c r="T207" s="11">
        <v>0</v>
      </c>
    </row>
    <row r="208" spans="1:22" x14ac:dyDescent="0.25">
      <c r="A208" s="11">
        <v>101060401</v>
      </c>
      <c r="B208" s="11" t="s">
        <v>34</v>
      </c>
      <c r="C208" s="41">
        <v>44851</v>
      </c>
      <c r="D208" s="41">
        <v>44851</v>
      </c>
      <c r="E208" s="11" t="s">
        <v>42</v>
      </c>
      <c r="F208" s="11" t="s">
        <v>743</v>
      </c>
      <c r="G208" s="11">
        <v>107096</v>
      </c>
      <c r="H208" s="11" t="s">
        <v>151</v>
      </c>
      <c r="J208" s="11" t="s">
        <v>38</v>
      </c>
      <c r="K208" s="11">
        <v>51010101</v>
      </c>
      <c r="L208" s="11" t="s">
        <v>48</v>
      </c>
      <c r="M208" s="11"/>
      <c r="N208" s="11">
        <v>575.16</v>
      </c>
      <c r="O208" s="42">
        <v>-575.16</v>
      </c>
      <c r="P208" s="43" t="s">
        <v>4489</v>
      </c>
      <c r="Q208" s="11">
        <v>1316492.8899999999</v>
      </c>
      <c r="R208" s="11" t="s">
        <v>744</v>
      </c>
      <c r="S208" s="11" t="s">
        <v>40</v>
      </c>
      <c r="T208" s="11">
        <v>0</v>
      </c>
      <c r="V208" s="11" t="s">
        <v>41</v>
      </c>
    </row>
    <row r="209" spans="1:22" x14ac:dyDescent="0.25">
      <c r="A209" s="11">
        <v>101060401</v>
      </c>
      <c r="B209" s="11" t="s">
        <v>34</v>
      </c>
      <c r="C209" s="41">
        <v>44851</v>
      </c>
      <c r="D209" s="41">
        <v>44851</v>
      </c>
      <c r="E209" s="11" t="s">
        <v>42</v>
      </c>
      <c r="F209" s="11" t="s">
        <v>745</v>
      </c>
      <c r="G209" s="11">
        <v>107097</v>
      </c>
      <c r="H209" s="11" t="s">
        <v>112</v>
      </c>
      <c r="J209" s="11" t="s">
        <v>38</v>
      </c>
      <c r="K209" s="11">
        <v>51010101</v>
      </c>
      <c r="L209" s="11" t="s">
        <v>48</v>
      </c>
      <c r="M209" s="11"/>
      <c r="N209" s="11">
        <v>51.74</v>
      </c>
      <c r="O209" s="42">
        <v>-51.74</v>
      </c>
      <c r="P209" s="43" t="s">
        <v>4489</v>
      </c>
      <c r="Q209" s="11">
        <v>1316441.1499999999</v>
      </c>
      <c r="R209" s="11" t="s">
        <v>746</v>
      </c>
      <c r="S209" s="11" t="s">
        <v>40</v>
      </c>
      <c r="T209" s="11">
        <v>0</v>
      </c>
      <c r="V209" s="11" t="s">
        <v>41</v>
      </c>
    </row>
    <row r="210" spans="1:22" x14ac:dyDescent="0.25">
      <c r="A210" s="11">
        <v>101060401</v>
      </c>
      <c r="B210" s="11" t="s">
        <v>34</v>
      </c>
      <c r="C210" s="41">
        <v>44851</v>
      </c>
      <c r="D210" s="41">
        <v>44851</v>
      </c>
      <c r="E210" s="11" t="s">
        <v>42</v>
      </c>
      <c r="F210" s="11" t="s">
        <v>747</v>
      </c>
      <c r="G210" s="11">
        <v>107098</v>
      </c>
      <c r="H210" s="11" t="s">
        <v>49</v>
      </c>
      <c r="J210" s="11" t="s">
        <v>38</v>
      </c>
      <c r="K210" s="11">
        <v>51010101</v>
      </c>
      <c r="L210" s="11" t="s">
        <v>48</v>
      </c>
      <c r="M210" s="11"/>
      <c r="N210" s="11">
        <v>167.15</v>
      </c>
      <c r="O210" s="42">
        <v>-167.15</v>
      </c>
      <c r="P210" s="43" t="s">
        <v>4489</v>
      </c>
      <c r="Q210" s="11">
        <v>1316274</v>
      </c>
      <c r="R210" s="11" t="s">
        <v>371</v>
      </c>
      <c r="S210" s="11" t="s">
        <v>40</v>
      </c>
      <c r="T210" s="11">
        <v>0</v>
      </c>
      <c r="V210" s="11" t="s">
        <v>41</v>
      </c>
    </row>
    <row r="211" spans="1:22" x14ac:dyDescent="0.25">
      <c r="A211" s="11">
        <v>101060401</v>
      </c>
      <c r="B211" s="11" t="s">
        <v>34</v>
      </c>
      <c r="C211" s="41">
        <v>44851</v>
      </c>
      <c r="D211" s="41">
        <v>44851</v>
      </c>
      <c r="E211" s="11" t="s">
        <v>42</v>
      </c>
      <c r="F211" s="11" t="s">
        <v>748</v>
      </c>
      <c r="G211" s="11">
        <v>107110</v>
      </c>
      <c r="H211" s="11" t="s">
        <v>749</v>
      </c>
      <c r="J211" s="11" t="s">
        <v>38</v>
      </c>
      <c r="K211" s="11">
        <v>51010101</v>
      </c>
      <c r="L211" s="11" t="s">
        <v>48</v>
      </c>
      <c r="M211" s="11">
        <v>115.2</v>
      </c>
      <c r="N211" s="11"/>
      <c r="O211" s="42">
        <v>115.2</v>
      </c>
      <c r="P211" s="43" t="s">
        <v>4489</v>
      </c>
      <c r="Q211" s="11">
        <v>1316389.2</v>
      </c>
      <c r="R211" s="11" t="s">
        <v>738</v>
      </c>
      <c r="S211" s="11" t="s">
        <v>40</v>
      </c>
      <c r="T211" s="11">
        <v>0</v>
      </c>
      <c r="V211" s="11" t="s">
        <v>41</v>
      </c>
    </row>
    <row r="212" spans="1:22" x14ac:dyDescent="0.25">
      <c r="A212" s="11">
        <v>101060401</v>
      </c>
      <c r="B212" s="11" t="s">
        <v>34</v>
      </c>
      <c r="C212" s="41">
        <v>44851</v>
      </c>
      <c r="D212" s="41">
        <v>44851</v>
      </c>
      <c r="E212" s="11" t="s">
        <v>60</v>
      </c>
      <c r="F212" s="11" t="s">
        <v>750</v>
      </c>
      <c r="G212" s="11">
        <v>107111</v>
      </c>
      <c r="H212" s="11" t="s">
        <v>61</v>
      </c>
      <c r="K212" s="11">
        <v>201040506</v>
      </c>
      <c r="L212" s="11" t="s">
        <v>46</v>
      </c>
      <c r="M212" s="11"/>
      <c r="N212" s="11">
        <v>115.2</v>
      </c>
      <c r="O212" s="42">
        <v>-115.2</v>
      </c>
      <c r="P212" s="43" t="s">
        <v>4480</v>
      </c>
      <c r="Q212" s="11">
        <v>1316274</v>
      </c>
      <c r="R212" s="11" t="s">
        <v>740</v>
      </c>
      <c r="S212" s="11" t="s">
        <v>40</v>
      </c>
      <c r="T212" s="11">
        <v>0</v>
      </c>
    </row>
    <row r="213" spans="1:22" x14ac:dyDescent="0.25">
      <c r="A213" s="11">
        <v>101060401</v>
      </c>
      <c r="B213" s="11" t="s">
        <v>34</v>
      </c>
      <c r="C213" s="41">
        <v>44852</v>
      </c>
      <c r="D213" s="41">
        <v>44852</v>
      </c>
      <c r="E213" s="11" t="s">
        <v>36</v>
      </c>
      <c r="F213" s="11" t="s">
        <v>751</v>
      </c>
      <c r="G213" s="11">
        <v>107112</v>
      </c>
      <c r="H213" s="11" t="s">
        <v>52</v>
      </c>
      <c r="K213" s="11">
        <v>201040506</v>
      </c>
      <c r="L213" s="11" t="s">
        <v>46</v>
      </c>
      <c r="M213" s="11">
        <v>115.2</v>
      </c>
      <c r="N213" s="11"/>
      <c r="O213" s="42">
        <v>115.2</v>
      </c>
      <c r="P213" s="43" t="s">
        <v>4480</v>
      </c>
      <c r="Q213" s="11">
        <v>1316389.2</v>
      </c>
      <c r="R213" s="11" t="s">
        <v>738</v>
      </c>
      <c r="S213" s="11" t="s">
        <v>40</v>
      </c>
      <c r="T213" s="11">
        <v>0</v>
      </c>
    </row>
    <row r="214" spans="1:22" x14ac:dyDescent="0.25">
      <c r="A214" s="11">
        <v>101060401</v>
      </c>
      <c r="B214" s="11" t="s">
        <v>34</v>
      </c>
      <c r="C214" s="41">
        <v>44852</v>
      </c>
      <c r="D214" s="41">
        <v>44852</v>
      </c>
      <c r="E214" s="11" t="s">
        <v>42</v>
      </c>
      <c r="F214" s="11" t="s">
        <v>752</v>
      </c>
      <c r="G214" s="11">
        <v>107116</v>
      </c>
      <c r="H214" s="11" t="s">
        <v>107</v>
      </c>
      <c r="J214" s="11" t="s">
        <v>38</v>
      </c>
      <c r="K214" s="11">
        <v>51010101</v>
      </c>
      <c r="L214" s="11" t="s">
        <v>48</v>
      </c>
      <c r="M214" s="11"/>
      <c r="N214" s="11">
        <v>115.2</v>
      </c>
      <c r="O214" s="42">
        <v>-115.2</v>
      </c>
      <c r="P214" s="43" t="s">
        <v>4489</v>
      </c>
      <c r="Q214" s="11">
        <v>1316274</v>
      </c>
      <c r="R214" s="11" t="s">
        <v>740</v>
      </c>
      <c r="S214" s="11" t="s">
        <v>40</v>
      </c>
      <c r="T214" s="11">
        <v>0</v>
      </c>
      <c r="V214" s="11" t="s">
        <v>41</v>
      </c>
    </row>
    <row r="215" spans="1:22" x14ac:dyDescent="0.25">
      <c r="A215" s="11">
        <v>101060401</v>
      </c>
      <c r="B215" s="11" t="s">
        <v>34</v>
      </c>
      <c r="C215" s="41">
        <v>44852</v>
      </c>
      <c r="D215" s="41">
        <v>44852</v>
      </c>
      <c r="E215" s="11" t="s">
        <v>42</v>
      </c>
      <c r="F215" s="11" t="s">
        <v>753</v>
      </c>
      <c r="G215" s="11">
        <v>107121</v>
      </c>
      <c r="H215" s="11" t="s">
        <v>754</v>
      </c>
      <c r="J215" s="11" t="s">
        <v>38</v>
      </c>
      <c r="K215" s="11">
        <v>51010101</v>
      </c>
      <c r="L215" s="11" t="s">
        <v>48</v>
      </c>
      <c r="M215" s="11"/>
      <c r="N215" s="11">
        <v>95.65</v>
      </c>
      <c r="O215" s="42">
        <v>-95.65</v>
      </c>
      <c r="P215" s="43" t="s">
        <v>4489</v>
      </c>
      <c r="Q215" s="11">
        <v>1316178.3500000001</v>
      </c>
      <c r="R215" s="11" t="s">
        <v>755</v>
      </c>
      <c r="S215" s="11" t="s">
        <v>40</v>
      </c>
      <c r="T215" s="11">
        <v>0</v>
      </c>
      <c r="V215" s="11" t="s">
        <v>41</v>
      </c>
    </row>
    <row r="216" spans="1:22" x14ac:dyDescent="0.25">
      <c r="A216" s="11">
        <v>101060401</v>
      </c>
      <c r="B216" s="11" t="s">
        <v>34</v>
      </c>
      <c r="C216" s="41">
        <v>44852</v>
      </c>
      <c r="D216" s="41">
        <v>44852</v>
      </c>
      <c r="E216" s="11" t="s">
        <v>36</v>
      </c>
      <c r="F216" s="11" t="s">
        <v>756</v>
      </c>
      <c r="G216" s="11">
        <v>107134</v>
      </c>
      <c r="H216" s="11" t="s">
        <v>37</v>
      </c>
      <c r="J216" s="11" t="s">
        <v>38</v>
      </c>
      <c r="K216" s="11">
        <v>401030105</v>
      </c>
      <c r="L216" s="11" t="s">
        <v>54</v>
      </c>
      <c r="M216" s="26">
        <v>11.41</v>
      </c>
      <c r="O216" s="44">
        <v>11.41</v>
      </c>
      <c r="P216" s="43" t="s">
        <v>4494</v>
      </c>
      <c r="Q216" s="11">
        <v>1316189.76</v>
      </c>
      <c r="R216" s="11" t="s">
        <v>757</v>
      </c>
      <c r="S216" s="11" t="s">
        <v>40</v>
      </c>
      <c r="T216" s="11">
        <v>0</v>
      </c>
      <c r="V216" s="11" t="s">
        <v>41</v>
      </c>
    </row>
    <row r="217" spans="1:22" x14ac:dyDescent="0.25">
      <c r="A217" s="11">
        <v>101060401</v>
      </c>
      <c r="B217" s="11" t="s">
        <v>34</v>
      </c>
      <c r="C217" s="41">
        <v>44852</v>
      </c>
      <c r="D217" s="41">
        <v>44852</v>
      </c>
      <c r="E217" s="11" t="s">
        <v>42</v>
      </c>
      <c r="F217" s="11" t="s">
        <v>758</v>
      </c>
      <c r="G217" s="11">
        <v>107135</v>
      </c>
      <c r="H217" s="11" t="s">
        <v>139</v>
      </c>
      <c r="J217" s="11" t="s">
        <v>38</v>
      </c>
      <c r="K217" s="11">
        <v>51010101</v>
      </c>
      <c r="L217" s="11" t="s">
        <v>48</v>
      </c>
      <c r="M217" s="11"/>
      <c r="N217" s="11">
        <v>36.65</v>
      </c>
      <c r="O217" s="42">
        <v>-36.65</v>
      </c>
      <c r="P217" s="43" t="s">
        <v>4489</v>
      </c>
      <c r="Q217" s="11">
        <v>1316153.1100000001</v>
      </c>
      <c r="R217" s="11" t="s">
        <v>223</v>
      </c>
      <c r="S217" s="11" t="s">
        <v>40</v>
      </c>
      <c r="T217" s="11">
        <v>0</v>
      </c>
      <c r="V217" s="11" t="s">
        <v>41</v>
      </c>
    </row>
    <row r="218" spans="1:22" x14ac:dyDescent="0.25">
      <c r="A218" s="11">
        <v>101060401</v>
      </c>
      <c r="B218" s="11" t="s">
        <v>34</v>
      </c>
      <c r="C218" s="41">
        <v>44852</v>
      </c>
      <c r="D218" s="41">
        <v>44852</v>
      </c>
      <c r="E218" s="11" t="s">
        <v>42</v>
      </c>
      <c r="F218" s="11" t="s">
        <v>759</v>
      </c>
      <c r="G218" s="11">
        <v>107139</v>
      </c>
      <c r="H218" s="11" t="s">
        <v>140</v>
      </c>
      <c r="J218" s="11" t="s">
        <v>38</v>
      </c>
      <c r="K218" s="11">
        <v>51010101</v>
      </c>
      <c r="L218" s="11" t="s">
        <v>48</v>
      </c>
      <c r="M218" s="11"/>
      <c r="N218" s="11">
        <v>1913.31</v>
      </c>
      <c r="O218" s="42">
        <v>-1913.31</v>
      </c>
      <c r="P218" s="43" t="s">
        <v>4489</v>
      </c>
      <c r="Q218" s="11">
        <v>1314239.8</v>
      </c>
      <c r="R218" s="11" t="s">
        <v>760</v>
      </c>
      <c r="S218" s="11" t="s">
        <v>40</v>
      </c>
      <c r="T218" s="11">
        <v>0</v>
      </c>
      <c r="V218" s="11" t="s">
        <v>41</v>
      </c>
    </row>
    <row r="219" spans="1:22" x14ac:dyDescent="0.25">
      <c r="A219" s="11">
        <v>101060401</v>
      </c>
      <c r="B219" s="11" t="s">
        <v>34</v>
      </c>
      <c r="C219" s="41">
        <v>44852</v>
      </c>
      <c r="D219" s="41">
        <v>44852</v>
      </c>
      <c r="E219" s="11" t="s">
        <v>42</v>
      </c>
      <c r="F219" s="11" t="s">
        <v>761</v>
      </c>
      <c r="G219" s="11">
        <v>107153</v>
      </c>
      <c r="H219" s="11" t="s">
        <v>51</v>
      </c>
      <c r="J219" s="11" t="s">
        <v>38</v>
      </c>
      <c r="K219" s="11">
        <v>51010101</v>
      </c>
      <c r="L219" s="11" t="s">
        <v>48</v>
      </c>
      <c r="M219" s="11"/>
      <c r="N219" s="11">
        <v>23.89</v>
      </c>
      <c r="O219" s="42">
        <v>-23.89</v>
      </c>
      <c r="P219" s="43" t="s">
        <v>4489</v>
      </c>
      <c r="Q219" s="11">
        <v>1314215.9099999999</v>
      </c>
      <c r="R219" s="11" t="s">
        <v>166</v>
      </c>
      <c r="S219" s="11" t="s">
        <v>40</v>
      </c>
      <c r="T219" s="11">
        <v>0</v>
      </c>
      <c r="V219" s="11" t="s">
        <v>41</v>
      </c>
    </row>
    <row r="220" spans="1:22" x14ac:dyDescent="0.25">
      <c r="A220" s="11">
        <v>101060401</v>
      </c>
      <c r="B220" s="11" t="s">
        <v>34</v>
      </c>
      <c r="C220" s="41">
        <v>44852</v>
      </c>
      <c r="D220" s="41">
        <v>44852</v>
      </c>
      <c r="E220" s="11" t="s">
        <v>36</v>
      </c>
      <c r="F220" s="11" t="s">
        <v>762</v>
      </c>
      <c r="G220" s="11">
        <v>107158</v>
      </c>
      <c r="H220" s="11" t="s">
        <v>572</v>
      </c>
      <c r="J220" s="11" t="s">
        <v>38</v>
      </c>
      <c r="K220" s="11">
        <v>51010101</v>
      </c>
      <c r="L220" s="11" t="s">
        <v>48</v>
      </c>
      <c r="M220" s="11">
        <v>45.77</v>
      </c>
      <c r="N220" s="11"/>
      <c r="O220" s="42">
        <v>45.77</v>
      </c>
      <c r="P220" s="43" t="s">
        <v>4489</v>
      </c>
      <c r="Q220" s="11">
        <v>1314261.68</v>
      </c>
      <c r="R220" s="11" t="s">
        <v>763</v>
      </c>
      <c r="S220" s="11" t="s">
        <v>40</v>
      </c>
      <c r="T220" s="11">
        <v>0</v>
      </c>
      <c r="V220" s="11" t="s">
        <v>41</v>
      </c>
    </row>
    <row r="221" spans="1:22" x14ac:dyDescent="0.25">
      <c r="A221" s="11">
        <v>101060401</v>
      </c>
      <c r="B221" s="11" t="s">
        <v>34</v>
      </c>
      <c r="C221" s="41">
        <v>44852</v>
      </c>
      <c r="D221" s="41">
        <v>44852</v>
      </c>
      <c r="E221" s="11" t="s">
        <v>42</v>
      </c>
      <c r="F221" s="11" t="s">
        <v>764</v>
      </c>
      <c r="G221" s="11">
        <v>107160</v>
      </c>
      <c r="H221" s="11" t="s">
        <v>57</v>
      </c>
      <c r="K221" s="11">
        <v>101060409</v>
      </c>
      <c r="L221" s="11" t="s">
        <v>128</v>
      </c>
      <c r="M221" s="11"/>
      <c r="N221" s="11">
        <v>45.77</v>
      </c>
      <c r="O221" s="42">
        <v>-45.77</v>
      </c>
      <c r="P221" s="43" t="s">
        <v>4481</v>
      </c>
      <c r="Q221" s="11">
        <v>1314215.9099999999</v>
      </c>
      <c r="R221" s="11" t="s">
        <v>344</v>
      </c>
      <c r="S221" s="11" t="s">
        <v>40</v>
      </c>
      <c r="T221" s="11">
        <v>0</v>
      </c>
    </row>
    <row r="222" spans="1:22" x14ac:dyDescent="0.25">
      <c r="A222" s="11">
        <v>101060401</v>
      </c>
      <c r="B222" s="11" t="s">
        <v>34</v>
      </c>
      <c r="C222" s="41">
        <v>44852</v>
      </c>
      <c r="D222" s="41">
        <v>44852</v>
      </c>
      <c r="E222" s="11" t="s">
        <v>42</v>
      </c>
      <c r="F222" s="11" t="s">
        <v>765</v>
      </c>
      <c r="G222" s="11">
        <v>107170</v>
      </c>
      <c r="H222" s="11" t="s">
        <v>766</v>
      </c>
      <c r="J222" s="11" t="s">
        <v>38</v>
      </c>
      <c r="K222" s="11" t="s">
        <v>767</v>
      </c>
      <c r="L222" s="11" t="s">
        <v>768</v>
      </c>
      <c r="M222" s="11">
        <v>23.89</v>
      </c>
      <c r="N222" s="11"/>
      <c r="O222" s="42">
        <v>23.89</v>
      </c>
      <c r="P222" s="43" t="s">
        <v>4488</v>
      </c>
      <c r="Q222" s="11">
        <v>1314239.8</v>
      </c>
      <c r="R222" s="11" t="s">
        <v>769</v>
      </c>
      <c r="S222" s="11" t="s">
        <v>69</v>
      </c>
      <c r="T222" s="11">
        <v>0</v>
      </c>
      <c r="V222" s="11" t="s">
        <v>41</v>
      </c>
    </row>
    <row r="223" spans="1:22" x14ac:dyDescent="0.25">
      <c r="A223" s="11">
        <v>101060401</v>
      </c>
      <c r="B223" s="11" t="s">
        <v>34</v>
      </c>
      <c r="C223" s="41">
        <v>44852</v>
      </c>
      <c r="D223" s="41">
        <v>44852</v>
      </c>
      <c r="E223" s="11" t="s">
        <v>42</v>
      </c>
      <c r="F223" s="11" t="s">
        <v>770</v>
      </c>
      <c r="G223" s="11">
        <v>107172</v>
      </c>
      <c r="H223" s="11" t="s">
        <v>174</v>
      </c>
      <c r="J223" s="11" t="s">
        <v>38</v>
      </c>
      <c r="K223" s="11">
        <v>51010101</v>
      </c>
      <c r="L223" s="11" t="s">
        <v>48</v>
      </c>
      <c r="M223" s="11"/>
      <c r="N223" s="11">
        <v>10.68</v>
      </c>
      <c r="O223" s="42">
        <v>-10.68</v>
      </c>
      <c r="P223" s="43" t="s">
        <v>4489</v>
      </c>
      <c r="Q223" s="11">
        <v>1314229.1200000001</v>
      </c>
      <c r="R223" s="11" t="s">
        <v>352</v>
      </c>
      <c r="S223" s="11" t="s">
        <v>40</v>
      </c>
      <c r="T223" s="11">
        <v>0</v>
      </c>
      <c r="V223" s="11" t="s">
        <v>41</v>
      </c>
    </row>
    <row r="224" spans="1:22" x14ac:dyDescent="0.25">
      <c r="A224" s="11">
        <v>101060401</v>
      </c>
      <c r="B224" s="11" t="s">
        <v>34</v>
      </c>
      <c r="C224" s="41">
        <v>44852</v>
      </c>
      <c r="D224" s="41">
        <v>44852</v>
      </c>
      <c r="E224" s="11" t="s">
        <v>42</v>
      </c>
      <c r="F224" s="11" t="s">
        <v>771</v>
      </c>
      <c r="G224" s="11">
        <v>107181</v>
      </c>
      <c r="H224" s="11" t="s">
        <v>47</v>
      </c>
      <c r="J224" s="11" t="s">
        <v>38</v>
      </c>
      <c r="K224" s="11">
        <v>51010101</v>
      </c>
      <c r="L224" s="11" t="s">
        <v>48</v>
      </c>
      <c r="M224" s="11"/>
      <c r="N224" s="11">
        <v>743.99</v>
      </c>
      <c r="O224" s="42">
        <v>-743.99</v>
      </c>
      <c r="P224" s="43" t="s">
        <v>4489</v>
      </c>
      <c r="Q224" s="11">
        <v>1313485.1299999999</v>
      </c>
      <c r="R224" s="11" t="s">
        <v>772</v>
      </c>
      <c r="S224" s="11" t="s">
        <v>40</v>
      </c>
      <c r="T224" s="11">
        <v>0</v>
      </c>
      <c r="V224" s="11" t="s">
        <v>41</v>
      </c>
    </row>
    <row r="225" spans="1:22" x14ac:dyDescent="0.25">
      <c r="A225" s="11">
        <v>101060401</v>
      </c>
      <c r="B225" s="11" t="s">
        <v>34</v>
      </c>
      <c r="C225" s="41">
        <v>44852</v>
      </c>
      <c r="D225" s="41">
        <v>44852</v>
      </c>
      <c r="E225" s="11" t="s">
        <v>42</v>
      </c>
      <c r="F225" s="11" t="s">
        <v>773</v>
      </c>
      <c r="G225" s="11">
        <v>107182</v>
      </c>
      <c r="H225" s="11" t="s">
        <v>88</v>
      </c>
      <c r="J225" s="11" t="s">
        <v>38</v>
      </c>
      <c r="K225" s="11">
        <v>51010101</v>
      </c>
      <c r="L225" s="11" t="s">
        <v>48</v>
      </c>
      <c r="M225" s="11">
        <v>743.99</v>
      </c>
      <c r="N225" s="11"/>
      <c r="O225" s="42">
        <v>743.99</v>
      </c>
      <c r="P225" s="43" t="s">
        <v>4489</v>
      </c>
      <c r="Q225" s="11">
        <v>1314229.1200000001</v>
      </c>
      <c r="R225" s="11" t="s">
        <v>774</v>
      </c>
      <c r="S225" s="11" t="s">
        <v>40</v>
      </c>
      <c r="T225" s="11">
        <v>0</v>
      </c>
      <c r="V225" s="11" t="s">
        <v>41</v>
      </c>
    </row>
    <row r="226" spans="1:22" x14ac:dyDescent="0.25">
      <c r="A226" s="11">
        <v>101060401</v>
      </c>
      <c r="B226" s="11" t="s">
        <v>34</v>
      </c>
      <c r="C226" s="41">
        <v>44852</v>
      </c>
      <c r="D226" s="41">
        <v>44852</v>
      </c>
      <c r="E226" s="11" t="s">
        <v>42</v>
      </c>
      <c r="F226" s="11" t="s">
        <v>775</v>
      </c>
      <c r="G226" s="11">
        <v>107184</v>
      </c>
      <c r="H226" s="11" t="s">
        <v>47</v>
      </c>
      <c r="J226" s="11" t="s">
        <v>38</v>
      </c>
      <c r="K226" s="11">
        <v>51010101</v>
      </c>
      <c r="L226" s="11" t="s">
        <v>48</v>
      </c>
      <c r="M226" s="11"/>
      <c r="N226" s="11">
        <v>743.99</v>
      </c>
      <c r="O226" s="42">
        <v>-743.99</v>
      </c>
      <c r="P226" s="43" t="s">
        <v>4489</v>
      </c>
      <c r="Q226" s="11">
        <v>1313485.1299999999</v>
      </c>
      <c r="R226" s="11" t="s">
        <v>772</v>
      </c>
      <c r="S226" s="11" t="s">
        <v>40</v>
      </c>
      <c r="T226" s="11">
        <v>0</v>
      </c>
      <c r="V226" s="11" t="s">
        <v>41</v>
      </c>
    </row>
    <row r="227" spans="1:22" x14ac:dyDescent="0.25">
      <c r="A227" s="11">
        <v>101060401</v>
      </c>
      <c r="B227" s="11" t="s">
        <v>34</v>
      </c>
      <c r="C227" s="41">
        <v>44852</v>
      </c>
      <c r="D227" s="41">
        <v>44852</v>
      </c>
      <c r="E227" s="11" t="s">
        <v>42</v>
      </c>
      <c r="F227" s="11" t="s">
        <v>776</v>
      </c>
      <c r="G227" s="11">
        <v>107190</v>
      </c>
      <c r="H227" s="11" t="s">
        <v>57</v>
      </c>
      <c r="K227" s="11">
        <v>101060402</v>
      </c>
      <c r="L227" s="11" t="s">
        <v>44</v>
      </c>
      <c r="M227" s="11"/>
      <c r="N227" s="11">
        <v>351.52</v>
      </c>
      <c r="O227" s="42">
        <v>-351.52</v>
      </c>
      <c r="P227" s="43" t="s">
        <v>4481</v>
      </c>
      <c r="Q227" s="11">
        <v>1313133.6100000001</v>
      </c>
      <c r="R227" s="11" t="s">
        <v>777</v>
      </c>
      <c r="S227" s="11" t="s">
        <v>40</v>
      </c>
      <c r="T227" s="11">
        <v>0</v>
      </c>
    </row>
    <row r="228" spans="1:22" x14ac:dyDescent="0.25">
      <c r="A228" s="11">
        <v>101060401</v>
      </c>
      <c r="B228" s="11" t="s">
        <v>34</v>
      </c>
      <c r="C228" s="41">
        <v>44853</v>
      </c>
      <c r="D228" s="41">
        <v>44853</v>
      </c>
      <c r="E228" s="11" t="s">
        <v>36</v>
      </c>
      <c r="F228" s="11" t="s">
        <v>778</v>
      </c>
      <c r="G228" s="11">
        <v>107216</v>
      </c>
      <c r="H228" s="11" t="s">
        <v>100</v>
      </c>
      <c r="K228" s="11">
        <v>201040506</v>
      </c>
      <c r="L228" s="11" t="s">
        <v>46</v>
      </c>
      <c r="M228" s="11">
        <v>129</v>
      </c>
      <c r="N228" s="11"/>
      <c r="O228" s="42">
        <v>129</v>
      </c>
      <c r="P228" s="43" t="s">
        <v>4480</v>
      </c>
      <c r="Q228" s="11">
        <v>1313262.6100000001</v>
      </c>
      <c r="R228" s="11" t="s">
        <v>779</v>
      </c>
      <c r="S228" s="11" t="s">
        <v>40</v>
      </c>
      <c r="T228" s="11">
        <v>0</v>
      </c>
    </row>
    <row r="229" spans="1:22" x14ac:dyDescent="0.25">
      <c r="A229" s="11">
        <v>101060401</v>
      </c>
      <c r="B229" s="11" t="s">
        <v>34</v>
      </c>
      <c r="C229" s="41">
        <v>44853</v>
      </c>
      <c r="D229" s="41">
        <v>44853</v>
      </c>
      <c r="E229" s="11" t="s">
        <v>42</v>
      </c>
      <c r="F229" s="11" t="s">
        <v>780</v>
      </c>
      <c r="G229" s="11">
        <v>107217</v>
      </c>
      <c r="H229" s="11" t="s">
        <v>174</v>
      </c>
      <c r="J229" s="11" t="s">
        <v>38</v>
      </c>
      <c r="K229" s="11">
        <v>51010101</v>
      </c>
      <c r="L229" s="11" t="s">
        <v>48</v>
      </c>
      <c r="M229" s="11"/>
      <c r="N229" s="11">
        <v>129</v>
      </c>
      <c r="O229" s="42">
        <v>-129</v>
      </c>
      <c r="P229" s="43" t="s">
        <v>4489</v>
      </c>
      <c r="Q229" s="11">
        <v>1313133.6100000001</v>
      </c>
      <c r="R229" s="11" t="s">
        <v>781</v>
      </c>
      <c r="S229" s="11" t="s">
        <v>40</v>
      </c>
      <c r="T229" s="11">
        <v>0</v>
      </c>
      <c r="V229" s="11" t="s">
        <v>41</v>
      </c>
    </row>
    <row r="230" spans="1:22" x14ac:dyDescent="0.25">
      <c r="A230" s="11">
        <v>101060401</v>
      </c>
      <c r="B230" s="11" t="s">
        <v>34</v>
      </c>
      <c r="C230" s="41">
        <v>44853</v>
      </c>
      <c r="D230" s="41">
        <v>44853</v>
      </c>
      <c r="E230" s="11" t="s">
        <v>36</v>
      </c>
      <c r="F230" s="11" t="s">
        <v>782</v>
      </c>
      <c r="G230" s="11">
        <v>107218</v>
      </c>
      <c r="H230" s="11" t="s">
        <v>73</v>
      </c>
      <c r="K230" s="11">
        <v>201040506</v>
      </c>
      <c r="L230" s="11" t="s">
        <v>46</v>
      </c>
      <c r="M230" s="11">
        <v>2400</v>
      </c>
      <c r="N230" s="11"/>
      <c r="O230" s="42">
        <v>2400</v>
      </c>
      <c r="P230" s="43" t="s">
        <v>4480</v>
      </c>
      <c r="Q230" s="11">
        <v>1315533.6100000001</v>
      </c>
      <c r="R230" s="11" t="s">
        <v>783</v>
      </c>
      <c r="S230" s="11" t="s">
        <v>40</v>
      </c>
      <c r="T230" s="11">
        <v>0</v>
      </c>
    </row>
    <row r="231" spans="1:22" x14ac:dyDescent="0.25">
      <c r="A231" s="11">
        <v>101060401</v>
      </c>
      <c r="B231" s="11" t="s">
        <v>34</v>
      </c>
      <c r="C231" s="41">
        <v>44853</v>
      </c>
      <c r="D231" s="41">
        <v>44853</v>
      </c>
      <c r="E231" s="11" t="s">
        <v>42</v>
      </c>
      <c r="F231" s="11" t="s">
        <v>784</v>
      </c>
      <c r="G231" s="11">
        <v>107219</v>
      </c>
      <c r="H231" s="11" t="s">
        <v>151</v>
      </c>
      <c r="J231" s="11" t="s">
        <v>38</v>
      </c>
      <c r="K231" s="11">
        <v>51010101</v>
      </c>
      <c r="L231" s="11" t="s">
        <v>48</v>
      </c>
      <c r="M231" s="11"/>
      <c r="N231" s="11">
        <v>2400</v>
      </c>
      <c r="O231" s="42">
        <v>-2400</v>
      </c>
      <c r="P231" s="43" t="s">
        <v>4489</v>
      </c>
      <c r="Q231" s="11">
        <v>1313133.6100000001</v>
      </c>
      <c r="R231" s="11" t="s">
        <v>785</v>
      </c>
      <c r="S231" s="11" t="s">
        <v>40</v>
      </c>
      <c r="T231" s="11">
        <v>0</v>
      </c>
      <c r="V231" s="11" t="s">
        <v>41</v>
      </c>
    </row>
    <row r="232" spans="1:22" x14ac:dyDescent="0.25">
      <c r="A232" s="11">
        <v>101060401</v>
      </c>
      <c r="B232" s="11" t="s">
        <v>34</v>
      </c>
      <c r="C232" s="41">
        <v>44853</v>
      </c>
      <c r="D232" s="41">
        <v>44853</v>
      </c>
      <c r="E232" s="11" t="s">
        <v>42</v>
      </c>
      <c r="F232" s="11" t="s">
        <v>786</v>
      </c>
      <c r="G232" s="11">
        <v>107226</v>
      </c>
      <c r="H232" s="11" t="s">
        <v>47</v>
      </c>
      <c r="J232" s="11" t="s">
        <v>38</v>
      </c>
      <c r="K232" s="11">
        <v>51010101</v>
      </c>
      <c r="L232" s="11" t="s">
        <v>48</v>
      </c>
      <c r="M232" s="11"/>
      <c r="N232" s="11">
        <v>490.77</v>
      </c>
      <c r="O232" s="42">
        <v>-490.77</v>
      </c>
      <c r="P232" s="43" t="s">
        <v>4489</v>
      </c>
      <c r="Q232" s="11">
        <v>1312642.8400000001</v>
      </c>
      <c r="R232" s="11" t="s">
        <v>787</v>
      </c>
      <c r="S232" s="11" t="s">
        <v>40</v>
      </c>
      <c r="T232" s="11">
        <v>0</v>
      </c>
      <c r="V232" s="11" t="s">
        <v>41</v>
      </c>
    </row>
    <row r="233" spans="1:22" x14ac:dyDescent="0.25">
      <c r="A233" s="11">
        <v>101060401</v>
      </c>
      <c r="B233" s="11" t="s">
        <v>34</v>
      </c>
      <c r="C233" s="41">
        <v>44853</v>
      </c>
      <c r="D233" s="41">
        <v>44853</v>
      </c>
      <c r="E233" s="11" t="s">
        <v>42</v>
      </c>
      <c r="F233" s="11" t="s">
        <v>788</v>
      </c>
      <c r="G233" s="11">
        <v>107240</v>
      </c>
      <c r="H233" s="11" t="s">
        <v>789</v>
      </c>
      <c r="J233" s="11" t="s">
        <v>38</v>
      </c>
      <c r="K233" s="11">
        <v>51010101</v>
      </c>
      <c r="L233" s="11" t="s">
        <v>48</v>
      </c>
      <c r="M233" s="11"/>
      <c r="N233" s="11">
        <v>10.5</v>
      </c>
      <c r="O233" s="42">
        <v>-10.5</v>
      </c>
      <c r="P233" s="43" t="s">
        <v>4489</v>
      </c>
      <c r="Q233" s="11">
        <v>1312632.3400000001</v>
      </c>
      <c r="R233" s="11" t="s">
        <v>173</v>
      </c>
      <c r="S233" s="11" t="s">
        <v>40</v>
      </c>
      <c r="T233" s="11">
        <v>0</v>
      </c>
      <c r="V233" s="11" t="s">
        <v>41</v>
      </c>
    </row>
    <row r="234" spans="1:22" x14ac:dyDescent="0.25">
      <c r="A234" s="11">
        <v>101060401</v>
      </c>
      <c r="B234" s="11" t="s">
        <v>34</v>
      </c>
      <c r="C234" s="41">
        <v>44853</v>
      </c>
      <c r="D234" s="41">
        <v>44853</v>
      </c>
      <c r="E234" s="11" t="s">
        <v>42</v>
      </c>
      <c r="F234" s="11" t="s">
        <v>790</v>
      </c>
      <c r="G234" s="11">
        <v>107242</v>
      </c>
      <c r="H234" s="11" t="s">
        <v>140</v>
      </c>
      <c r="J234" s="11" t="s">
        <v>38</v>
      </c>
      <c r="K234" s="11">
        <v>51010101</v>
      </c>
      <c r="L234" s="11" t="s">
        <v>48</v>
      </c>
      <c r="M234" s="11"/>
      <c r="N234" s="11">
        <v>606.84</v>
      </c>
      <c r="O234" s="42">
        <v>-606.84</v>
      </c>
      <c r="P234" s="43" t="s">
        <v>4489</v>
      </c>
      <c r="Q234" s="11">
        <v>1312025.5</v>
      </c>
      <c r="R234" s="11" t="s">
        <v>791</v>
      </c>
      <c r="S234" s="11" t="s">
        <v>40</v>
      </c>
      <c r="T234" s="11">
        <v>0</v>
      </c>
      <c r="V234" s="11" t="s">
        <v>41</v>
      </c>
    </row>
    <row r="235" spans="1:22" x14ac:dyDescent="0.25">
      <c r="A235" s="11">
        <v>101060401</v>
      </c>
      <c r="B235" s="11" t="s">
        <v>34</v>
      </c>
      <c r="C235" s="41">
        <v>44853</v>
      </c>
      <c r="D235" s="41">
        <v>44853</v>
      </c>
      <c r="E235" s="11" t="s">
        <v>42</v>
      </c>
      <c r="F235" s="11" t="s">
        <v>792</v>
      </c>
      <c r="G235" s="11">
        <v>107243</v>
      </c>
      <c r="H235" s="11" t="s">
        <v>57</v>
      </c>
      <c r="K235" s="11">
        <v>101060408</v>
      </c>
      <c r="L235" s="11" t="s">
        <v>82</v>
      </c>
      <c r="M235" s="11">
        <v>27403.56</v>
      </c>
      <c r="N235" s="11"/>
      <c r="O235" s="42">
        <v>27403.56</v>
      </c>
      <c r="P235" s="43" t="s">
        <v>4481</v>
      </c>
      <c r="Q235" s="11">
        <v>1339429.06</v>
      </c>
      <c r="R235" s="11" t="s">
        <v>793</v>
      </c>
      <c r="S235" s="11" t="s">
        <v>40</v>
      </c>
      <c r="T235" s="11">
        <v>0</v>
      </c>
    </row>
    <row r="236" spans="1:22" x14ac:dyDescent="0.25">
      <c r="A236" s="11">
        <v>101060401</v>
      </c>
      <c r="B236" s="11" t="s">
        <v>34</v>
      </c>
      <c r="C236" s="41">
        <v>44853</v>
      </c>
      <c r="D236" s="41">
        <v>44853</v>
      </c>
      <c r="E236" s="11" t="s">
        <v>42</v>
      </c>
      <c r="F236" s="11" t="s">
        <v>794</v>
      </c>
      <c r="G236" s="11">
        <v>107244</v>
      </c>
      <c r="H236" s="11" t="s">
        <v>57</v>
      </c>
      <c r="K236" s="11">
        <v>101060408</v>
      </c>
      <c r="L236" s="11" t="s">
        <v>82</v>
      </c>
      <c r="M236" s="11">
        <v>23905.69</v>
      </c>
      <c r="N236" s="11"/>
      <c r="O236" s="42">
        <v>23905.69</v>
      </c>
      <c r="P236" s="43" t="s">
        <v>4481</v>
      </c>
      <c r="Q236" s="11">
        <v>1363334.75</v>
      </c>
      <c r="R236" s="11" t="s">
        <v>795</v>
      </c>
      <c r="S236" s="11" t="s">
        <v>40</v>
      </c>
      <c r="T236" s="11">
        <v>0</v>
      </c>
    </row>
    <row r="237" spans="1:22" x14ac:dyDescent="0.25">
      <c r="A237" s="11">
        <v>101060401</v>
      </c>
      <c r="B237" s="11" t="s">
        <v>34</v>
      </c>
      <c r="C237" s="41">
        <v>44853</v>
      </c>
      <c r="D237" s="41">
        <v>44853</v>
      </c>
      <c r="E237" s="11" t="s">
        <v>42</v>
      </c>
      <c r="F237" s="11" t="s">
        <v>796</v>
      </c>
      <c r="G237" s="11">
        <v>107245</v>
      </c>
      <c r="H237" s="11" t="s">
        <v>57</v>
      </c>
      <c r="K237" s="11">
        <v>101060408</v>
      </c>
      <c r="L237" s="11" t="s">
        <v>82</v>
      </c>
      <c r="M237" s="11">
        <v>263.05</v>
      </c>
      <c r="N237" s="11"/>
      <c r="O237" s="42">
        <v>263.05</v>
      </c>
      <c r="P237" s="43" t="s">
        <v>4481</v>
      </c>
      <c r="Q237" s="11">
        <v>1363597.8</v>
      </c>
      <c r="R237" s="11" t="s">
        <v>797</v>
      </c>
      <c r="S237" s="11" t="s">
        <v>40</v>
      </c>
      <c r="T237" s="11">
        <v>0</v>
      </c>
    </row>
    <row r="238" spans="1:22" x14ac:dyDescent="0.25">
      <c r="A238" s="11">
        <v>101060401</v>
      </c>
      <c r="B238" s="11" t="s">
        <v>34</v>
      </c>
      <c r="C238" s="41">
        <v>44853</v>
      </c>
      <c r="D238" s="41">
        <v>44853</v>
      </c>
      <c r="E238" s="11" t="s">
        <v>42</v>
      </c>
      <c r="F238" s="11" t="s">
        <v>798</v>
      </c>
      <c r="G238" s="11">
        <v>107246</v>
      </c>
      <c r="H238" s="11" t="s">
        <v>57</v>
      </c>
      <c r="K238" s="11">
        <v>101060402</v>
      </c>
      <c r="L238" s="11" t="s">
        <v>44</v>
      </c>
      <c r="M238" s="11">
        <v>33.44</v>
      </c>
      <c r="N238" s="11"/>
      <c r="O238" s="42">
        <v>33.44</v>
      </c>
      <c r="P238" s="43" t="s">
        <v>4481</v>
      </c>
      <c r="Q238" s="11">
        <v>1363631.24</v>
      </c>
      <c r="R238" s="11" t="s">
        <v>799</v>
      </c>
      <c r="S238" s="11" t="s">
        <v>106</v>
      </c>
      <c r="T238" s="11">
        <v>0</v>
      </c>
    </row>
    <row r="239" spans="1:22" x14ac:dyDescent="0.25">
      <c r="A239" s="11">
        <v>101060401</v>
      </c>
      <c r="B239" s="11" t="s">
        <v>34</v>
      </c>
      <c r="C239" s="41">
        <v>44853</v>
      </c>
      <c r="D239" s="41">
        <v>44853</v>
      </c>
      <c r="E239" s="11" t="s">
        <v>42</v>
      </c>
      <c r="F239" s="11" t="s">
        <v>800</v>
      </c>
      <c r="G239" s="11">
        <v>107247</v>
      </c>
      <c r="H239" s="11" t="s">
        <v>57</v>
      </c>
      <c r="K239" s="11">
        <v>101060402</v>
      </c>
      <c r="L239" s="11" t="s">
        <v>44</v>
      </c>
      <c r="M239" s="11"/>
      <c r="N239" s="11">
        <v>87887.08</v>
      </c>
      <c r="O239" s="42">
        <v>-87887.08</v>
      </c>
      <c r="P239" s="43" t="s">
        <v>4481</v>
      </c>
      <c r="Q239" s="11">
        <v>1275744.1599999999</v>
      </c>
      <c r="R239" s="11" t="s">
        <v>801</v>
      </c>
      <c r="S239" s="11" t="s">
        <v>40</v>
      </c>
      <c r="T239" s="11">
        <v>0</v>
      </c>
    </row>
    <row r="240" spans="1:22" x14ac:dyDescent="0.25">
      <c r="A240" s="11">
        <v>101060401</v>
      </c>
      <c r="B240" s="11" t="s">
        <v>34</v>
      </c>
      <c r="C240" s="41">
        <v>44853</v>
      </c>
      <c r="D240" s="41">
        <v>44853</v>
      </c>
      <c r="E240" s="11" t="s">
        <v>42</v>
      </c>
      <c r="F240" s="11" t="s">
        <v>802</v>
      </c>
      <c r="G240" s="11">
        <v>107248</v>
      </c>
      <c r="H240" s="11" t="s">
        <v>43</v>
      </c>
      <c r="K240" s="11">
        <v>101060402</v>
      </c>
      <c r="L240" s="11" t="s">
        <v>44</v>
      </c>
      <c r="M240" s="11">
        <v>88083.98</v>
      </c>
      <c r="N240" s="11"/>
      <c r="O240" s="42">
        <v>88083.98</v>
      </c>
      <c r="P240" s="43" t="s">
        <v>4481</v>
      </c>
      <c r="Q240" s="11">
        <v>1363828.14</v>
      </c>
      <c r="R240" s="11" t="s">
        <v>803</v>
      </c>
      <c r="S240" s="11" t="s">
        <v>40</v>
      </c>
      <c r="T240" s="11">
        <v>0</v>
      </c>
    </row>
    <row r="241" spans="1:22" x14ac:dyDescent="0.25">
      <c r="A241" s="11">
        <v>101060401</v>
      </c>
      <c r="B241" s="11" t="s">
        <v>34</v>
      </c>
      <c r="C241" s="41">
        <v>44853</v>
      </c>
      <c r="D241" s="41">
        <v>44853</v>
      </c>
      <c r="E241" s="11" t="s">
        <v>42</v>
      </c>
      <c r="F241" s="11" t="s">
        <v>804</v>
      </c>
      <c r="G241" s="11">
        <v>107249</v>
      </c>
      <c r="H241" s="11" t="s">
        <v>57</v>
      </c>
      <c r="K241" s="11">
        <v>101060402</v>
      </c>
      <c r="L241" s="11" t="s">
        <v>44</v>
      </c>
      <c r="M241" s="11">
        <v>77880.73</v>
      </c>
      <c r="N241" s="11"/>
      <c r="O241" s="42">
        <v>77880.73</v>
      </c>
      <c r="P241" s="43" t="s">
        <v>4481</v>
      </c>
      <c r="Q241" s="11">
        <v>1441708.87</v>
      </c>
      <c r="R241" s="11" t="s">
        <v>805</v>
      </c>
      <c r="S241" s="11" t="s">
        <v>40</v>
      </c>
      <c r="T241" s="11">
        <v>0</v>
      </c>
    </row>
    <row r="242" spans="1:22" x14ac:dyDescent="0.25">
      <c r="A242" s="11">
        <v>101060401</v>
      </c>
      <c r="B242" s="11" t="s">
        <v>34</v>
      </c>
      <c r="C242" s="41">
        <v>44853</v>
      </c>
      <c r="D242" s="41">
        <v>44853</v>
      </c>
      <c r="E242" s="11" t="s">
        <v>42</v>
      </c>
      <c r="F242" s="11" t="s">
        <v>806</v>
      </c>
      <c r="G242" s="11">
        <v>107250</v>
      </c>
      <c r="H242" s="11" t="s">
        <v>43</v>
      </c>
      <c r="K242" s="11">
        <v>101060402</v>
      </c>
      <c r="L242" s="11" t="s">
        <v>44</v>
      </c>
      <c r="M242" s="11"/>
      <c r="N242" s="11">
        <v>77880.73</v>
      </c>
      <c r="O242" s="42">
        <v>-77880.73</v>
      </c>
      <c r="P242" s="43" t="s">
        <v>4481</v>
      </c>
      <c r="Q242" s="11">
        <v>1363828.14</v>
      </c>
      <c r="R242" s="11" t="s">
        <v>807</v>
      </c>
      <c r="S242" s="11" t="s">
        <v>40</v>
      </c>
      <c r="T242" s="11">
        <v>0</v>
      </c>
    </row>
    <row r="243" spans="1:22" x14ac:dyDescent="0.25">
      <c r="A243" s="11">
        <v>101060401</v>
      </c>
      <c r="B243" s="11" t="s">
        <v>34</v>
      </c>
      <c r="C243" s="41">
        <v>44853</v>
      </c>
      <c r="D243" s="41">
        <v>44853</v>
      </c>
      <c r="E243" s="11" t="s">
        <v>42</v>
      </c>
      <c r="F243" s="11" t="s">
        <v>808</v>
      </c>
      <c r="G243" s="11">
        <v>107251</v>
      </c>
      <c r="H243" s="11" t="s">
        <v>57</v>
      </c>
      <c r="K243" s="11">
        <v>101060408</v>
      </c>
      <c r="L243" s="11" t="s">
        <v>82</v>
      </c>
      <c r="M243" s="11">
        <v>58725.97</v>
      </c>
      <c r="N243" s="11"/>
      <c r="O243" s="42">
        <v>58725.97</v>
      </c>
      <c r="P243" s="43" t="s">
        <v>4481</v>
      </c>
      <c r="Q243" s="11">
        <v>1422554.11</v>
      </c>
      <c r="R243" s="11" t="s">
        <v>809</v>
      </c>
      <c r="S243" s="11" t="s">
        <v>40</v>
      </c>
      <c r="T243" s="11">
        <v>0</v>
      </c>
    </row>
    <row r="244" spans="1:22" x14ac:dyDescent="0.25">
      <c r="A244" s="11">
        <v>101060401</v>
      </c>
      <c r="B244" s="11" t="s">
        <v>34</v>
      </c>
      <c r="C244" s="41">
        <v>44853</v>
      </c>
      <c r="D244" s="41">
        <v>44853</v>
      </c>
      <c r="E244" s="11" t="s">
        <v>42</v>
      </c>
      <c r="F244" s="11" t="s">
        <v>810</v>
      </c>
      <c r="G244" s="11">
        <v>107252</v>
      </c>
      <c r="H244" s="11" t="s">
        <v>43</v>
      </c>
      <c r="K244" s="11">
        <v>101060402</v>
      </c>
      <c r="L244" s="11" t="s">
        <v>44</v>
      </c>
      <c r="M244" s="11"/>
      <c r="N244" s="11">
        <v>58725.97</v>
      </c>
      <c r="O244" s="42">
        <v>-58725.97</v>
      </c>
      <c r="P244" s="43" t="s">
        <v>4481</v>
      </c>
      <c r="Q244" s="11">
        <v>1363828.14</v>
      </c>
      <c r="R244" s="11" t="s">
        <v>811</v>
      </c>
      <c r="S244" s="11" t="s">
        <v>40</v>
      </c>
      <c r="T244" s="11">
        <v>0</v>
      </c>
    </row>
    <row r="245" spans="1:22" x14ac:dyDescent="0.25">
      <c r="A245" s="11">
        <v>101060401</v>
      </c>
      <c r="B245" s="11" t="s">
        <v>34</v>
      </c>
      <c r="C245" s="41">
        <v>44853</v>
      </c>
      <c r="D245" s="41">
        <v>44853</v>
      </c>
      <c r="E245" s="11" t="s">
        <v>42</v>
      </c>
      <c r="F245" s="11" t="s">
        <v>812</v>
      </c>
      <c r="G245" s="11">
        <v>107253</v>
      </c>
      <c r="H245" s="11" t="s">
        <v>43</v>
      </c>
      <c r="K245" s="11">
        <v>101060402</v>
      </c>
      <c r="L245" s="11" t="s">
        <v>44</v>
      </c>
      <c r="M245" s="11">
        <v>58725.97</v>
      </c>
      <c r="N245" s="11"/>
      <c r="O245" s="42">
        <v>58725.97</v>
      </c>
      <c r="P245" s="43" t="s">
        <v>4481</v>
      </c>
      <c r="Q245" s="11">
        <v>1422554.11</v>
      </c>
      <c r="R245" s="11" t="s">
        <v>809</v>
      </c>
      <c r="S245" s="11" t="s">
        <v>40</v>
      </c>
      <c r="T245" s="11">
        <v>0</v>
      </c>
    </row>
    <row r="246" spans="1:22" x14ac:dyDescent="0.25">
      <c r="A246" s="11">
        <v>101060401</v>
      </c>
      <c r="B246" s="11" t="s">
        <v>34</v>
      </c>
      <c r="C246" s="41">
        <v>44853</v>
      </c>
      <c r="D246" s="41">
        <v>44853</v>
      </c>
      <c r="E246" s="11" t="s">
        <v>36</v>
      </c>
      <c r="F246" s="11" t="s">
        <v>813</v>
      </c>
      <c r="G246" s="11">
        <v>107254</v>
      </c>
      <c r="H246" s="11" t="s">
        <v>52</v>
      </c>
      <c r="K246" s="11">
        <v>201040506</v>
      </c>
      <c r="L246" s="11" t="s">
        <v>46</v>
      </c>
      <c r="M246" s="11">
        <v>1824.32</v>
      </c>
      <c r="N246" s="11"/>
      <c r="O246" s="42">
        <v>1824.32</v>
      </c>
      <c r="P246" s="43" t="s">
        <v>4480</v>
      </c>
      <c r="Q246" s="11">
        <v>1424378.43</v>
      </c>
      <c r="R246" s="11" t="s">
        <v>814</v>
      </c>
      <c r="S246" s="11" t="s">
        <v>40</v>
      </c>
      <c r="T246" s="11">
        <v>0</v>
      </c>
    </row>
    <row r="247" spans="1:22" x14ac:dyDescent="0.25">
      <c r="A247" s="11">
        <v>101060401</v>
      </c>
      <c r="B247" s="11" t="s">
        <v>34</v>
      </c>
      <c r="C247" s="41">
        <v>44853</v>
      </c>
      <c r="D247" s="41">
        <v>44853</v>
      </c>
      <c r="E247" s="11" t="s">
        <v>42</v>
      </c>
      <c r="F247" s="11" t="s">
        <v>815</v>
      </c>
      <c r="G247" s="11">
        <v>107255</v>
      </c>
      <c r="H247" s="11" t="s">
        <v>57</v>
      </c>
      <c r="K247" s="11">
        <v>101060402</v>
      </c>
      <c r="L247" s="11" t="s">
        <v>44</v>
      </c>
      <c r="M247" s="11"/>
      <c r="N247" s="11">
        <v>2289.21</v>
      </c>
      <c r="O247" s="42">
        <v>-2289.21</v>
      </c>
      <c r="P247" s="43" t="s">
        <v>4481</v>
      </c>
      <c r="Q247" s="11">
        <v>1422089.22</v>
      </c>
      <c r="R247" s="11" t="s">
        <v>816</v>
      </c>
      <c r="S247" s="11" t="s">
        <v>40</v>
      </c>
      <c r="T247" s="11">
        <v>0</v>
      </c>
    </row>
    <row r="248" spans="1:22" x14ac:dyDescent="0.25">
      <c r="A248" s="11">
        <v>101060401</v>
      </c>
      <c r="B248" s="11" t="s">
        <v>34</v>
      </c>
      <c r="C248" s="41">
        <v>44853</v>
      </c>
      <c r="D248" s="41">
        <v>44853</v>
      </c>
      <c r="E248" s="11" t="s">
        <v>60</v>
      </c>
      <c r="F248" s="11" t="s">
        <v>817</v>
      </c>
      <c r="G248" s="11">
        <v>107270</v>
      </c>
      <c r="H248" s="11" t="s">
        <v>61</v>
      </c>
      <c r="K248" s="11">
        <v>201040506</v>
      </c>
      <c r="L248" s="11" t="s">
        <v>46</v>
      </c>
      <c r="M248" s="11"/>
      <c r="N248" s="11">
        <v>1824.32</v>
      </c>
      <c r="O248" s="42">
        <v>-1824.32</v>
      </c>
      <c r="P248" s="43" t="s">
        <v>4480</v>
      </c>
      <c r="Q248" s="11">
        <v>1420264.9</v>
      </c>
      <c r="R248" s="11" t="s">
        <v>818</v>
      </c>
      <c r="S248" s="11" t="s">
        <v>40</v>
      </c>
      <c r="T248" s="11">
        <v>0</v>
      </c>
    </row>
    <row r="249" spans="1:22" x14ac:dyDescent="0.25">
      <c r="A249" s="11">
        <v>101060401</v>
      </c>
      <c r="B249" s="11" t="s">
        <v>34</v>
      </c>
      <c r="C249" s="41">
        <v>44854</v>
      </c>
      <c r="D249" s="41">
        <v>44854</v>
      </c>
      <c r="E249" s="11" t="s">
        <v>42</v>
      </c>
      <c r="F249" s="11" t="s">
        <v>819</v>
      </c>
      <c r="G249" s="11">
        <v>107260</v>
      </c>
      <c r="H249" s="11" t="s">
        <v>57</v>
      </c>
      <c r="K249" s="11">
        <v>101060402</v>
      </c>
      <c r="L249" s="11" t="s">
        <v>44</v>
      </c>
      <c r="M249" s="11"/>
      <c r="N249" s="11">
        <v>399.56</v>
      </c>
      <c r="O249" s="42">
        <v>-399.56</v>
      </c>
      <c r="P249" s="43" t="s">
        <v>4481</v>
      </c>
      <c r="Q249" s="11">
        <v>1419865.34</v>
      </c>
      <c r="R249" s="11" t="s">
        <v>820</v>
      </c>
      <c r="S249" s="11" t="s">
        <v>40</v>
      </c>
      <c r="T249" s="11">
        <v>0</v>
      </c>
    </row>
    <row r="250" spans="1:22" x14ac:dyDescent="0.25">
      <c r="A250" s="11">
        <v>101060401</v>
      </c>
      <c r="B250" s="11" t="s">
        <v>34</v>
      </c>
      <c r="C250" s="41">
        <v>44854</v>
      </c>
      <c r="D250" s="41">
        <v>44854</v>
      </c>
      <c r="E250" s="11" t="s">
        <v>42</v>
      </c>
      <c r="F250" s="11" t="s">
        <v>821</v>
      </c>
      <c r="G250" s="11">
        <v>107262</v>
      </c>
      <c r="H250" s="11" t="s">
        <v>141</v>
      </c>
      <c r="J250" s="11" t="s">
        <v>38</v>
      </c>
      <c r="K250" s="11">
        <v>51010101</v>
      </c>
      <c r="L250" s="11" t="s">
        <v>48</v>
      </c>
      <c r="M250" s="11"/>
      <c r="N250" s="11">
        <v>41.1</v>
      </c>
      <c r="O250" s="42">
        <v>-41.1</v>
      </c>
      <c r="P250" s="43" t="s">
        <v>4489</v>
      </c>
      <c r="Q250" s="11">
        <v>1419824.24</v>
      </c>
      <c r="R250" s="11" t="s">
        <v>822</v>
      </c>
      <c r="S250" s="11" t="s">
        <v>40</v>
      </c>
      <c r="T250" s="11">
        <v>0</v>
      </c>
      <c r="V250" s="11" t="s">
        <v>41</v>
      </c>
    </row>
    <row r="251" spans="1:22" x14ac:dyDescent="0.25">
      <c r="A251" s="11">
        <v>101060401</v>
      </c>
      <c r="B251" s="11" t="s">
        <v>34</v>
      </c>
      <c r="C251" s="41">
        <v>44854</v>
      </c>
      <c r="D251" s="41">
        <v>44854</v>
      </c>
      <c r="E251" s="11" t="s">
        <v>42</v>
      </c>
      <c r="F251" s="11" t="s">
        <v>823</v>
      </c>
      <c r="G251" s="11">
        <v>107264</v>
      </c>
      <c r="H251" s="11" t="s">
        <v>141</v>
      </c>
      <c r="J251" s="11" t="s">
        <v>38</v>
      </c>
      <c r="K251" s="11">
        <v>51010101</v>
      </c>
      <c r="L251" s="11" t="s">
        <v>48</v>
      </c>
      <c r="M251" s="11"/>
      <c r="N251" s="11">
        <v>107.46</v>
      </c>
      <c r="O251" s="42">
        <v>-107.46</v>
      </c>
      <c r="P251" s="43" t="s">
        <v>4489</v>
      </c>
      <c r="Q251" s="11">
        <v>1419716.78</v>
      </c>
      <c r="R251" s="11" t="s">
        <v>824</v>
      </c>
      <c r="S251" s="11" t="s">
        <v>40</v>
      </c>
      <c r="T251" s="11">
        <v>0</v>
      </c>
      <c r="V251" s="11" t="s">
        <v>41</v>
      </c>
    </row>
    <row r="252" spans="1:22" x14ac:dyDescent="0.25">
      <c r="A252" s="11">
        <v>101060401</v>
      </c>
      <c r="B252" s="11" t="s">
        <v>34</v>
      </c>
      <c r="C252" s="41">
        <v>44854</v>
      </c>
      <c r="D252" s="41">
        <v>44854</v>
      </c>
      <c r="E252" s="11" t="s">
        <v>36</v>
      </c>
      <c r="F252" s="11" t="s">
        <v>825</v>
      </c>
      <c r="G252" s="11">
        <v>107266</v>
      </c>
      <c r="H252" s="11" t="s">
        <v>103</v>
      </c>
      <c r="K252" s="11">
        <v>201040506</v>
      </c>
      <c r="L252" s="11" t="s">
        <v>46</v>
      </c>
      <c r="M252" s="11">
        <v>71</v>
      </c>
      <c r="N252" s="11"/>
      <c r="O252" s="42">
        <v>71</v>
      </c>
      <c r="P252" s="43" t="s">
        <v>4480</v>
      </c>
      <c r="Q252" s="11">
        <v>1419787.78</v>
      </c>
      <c r="R252" s="11" t="s">
        <v>826</v>
      </c>
      <c r="S252" s="11" t="s">
        <v>40</v>
      </c>
      <c r="T252" s="11">
        <v>0</v>
      </c>
    </row>
    <row r="253" spans="1:22" x14ac:dyDescent="0.25">
      <c r="A253" s="11">
        <v>101060401</v>
      </c>
      <c r="B253" s="11" t="s">
        <v>34</v>
      </c>
      <c r="C253" s="41">
        <v>44854</v>
      </c>
      <c r="D253" s="41">
        <v>44854</v>
      </c>
      <c r="E253" s="11" t="s">
        <v>42</v>
      </c>
      <c r="F253" s="11" t="s">
        <v>827</v>
      </c>
      <c r="G253" s="11">
        <v>107269</v>
      </c>
      <c r="H253" s="11" t="s">
        <v>43</v>
      </c>
      <c r="K253" s="11">
        <v>101060402</v>
      </c>
      <c r="L253" s="11" t="s">
        <v>44</v>
      </c>
      <c r="M253" s="11">
        <v>2289.21</v>
      </c>
      <c r="N253" s="11"/>
      <c r="O253" s="42">
        <v>2289.21</v>
      </c>
      <c r="P253" s="43" t="s">
        <v>4481</v>
      </c>
      <c r="Q253" s="11">
        <v>1422076.99</v>
      </c>
      <c r="R253" s="11" t="s">
        <v>828</v>
      </c>
      <c r="S253" s="11" t="s">
        <v>40</v>
      </c>
      <c r="T253" s="11">
        <v>0</v>
      </c>
    </row>
    <row r="254" spans="1:22" x14ac:dyDescent="0.25">
      <c r="A254" s="11">
        <v>101060401</v>
      </c>
      <c r="B254" s="11" t="s">
        <v>34</v>
      </c>
      <c r="C254" s="41">
        <v>44854</v>
      </c>
      <c r="D254" s="41">
        <v>44854</v>
      </c>
      <c r="E254" s="11" t="s">
        <v>36</v>
      </c>
      <c r="F254" s="11" t="s">
        <v>829</v>
      </c>
      <c r="G254" s="11">
        <v>107271</v>
      </c>
      <c r="H254" s="11" t="s">
        <v>52</v>
      </c>
      <c r="K254" s="11">
        <v>201040506</v>
      </c>
      <c r="L254" s="11" t="s">
        <v>46</v>
      </c>
      <c r="M254" s="11">
        <v>1824.32</v>
      </c>
      <c r="N254" s="11"/>
      <c r="O254" s="42">
        <v>1824.32</v>
      </c>
      <c r="P254" s="43" t="s">
        <v>4480</v>
      </c>
      <c r="Q254" s="11">
        <v>1423901.31</v>
      </c>
      <c r="R254" s="11" t="s">
        <v>814</v>
      </c>
      <c r="S254" s="11" t="s">
        <v>40</v>
      </c>
      <c r="T254" s="11">
        <v>0</v>
      </c>
    </row>
    <row r="255" spans="1:22" x14ac:dyDescent="0.25">
      <c r="A255" s="11">
        <v>101060401</v>
      </c>
      <c r="B255" s="11" t="s">
        <v>34</v>
      </c>
      <c r="C255" s="41">
        <v>44854</v>
      </c>
      <c r="D255" s="41">
        <v>44854</v>
      </c>
      <c r="E255" s="11" t="s">
        <v>42</v>
      </c>
      <c r="F255" s="11" t="s">
        <v>830</v>
      </c>
      <c r="G255" s="11">
        <v>107272</v>
      </c>
      <c r="H255" s="11" t="s">
        <v>43</v>
      </c>
      <c r="K255" s="11">
        <v>101060402</v>
      </c>
      <c r="L255" s="11" t="s">
        <v>44</v>
      </c>
      <c r="M255" s="11"/>
      <c r="N255" s="11">
        <v>2289.21</v>
      </c>
      <c r="O255" s="42">
        <v>-2289.21</v>
      </c>
      <c r="P255" s="43" t="s">
        <v>4481</v>
      </c>
      <c r="Q255" s="11">
        <v>1421612.1</v>
      </c>
      <c r="R255" s="11" t="s">
        <v>816</v>
      </c>
      <c r="S255" s="11" t="s">
        <v>40</v>
      </c>
      <c r="T255" s="11">
        <v>0</v>
      </c>
    </row>
    <row r="256" spans="1:22" x14ac:dyDescent="0.25">
      <c r="A256" s="11">
        <v>101060401</v>
      </c>
      <c r="B256" s="11" t="s">
        <v>34</v>
      </c>
      <c r="C256" s="41">
        <v>44854</v>
      </c>
      <c r="D256" s="41">
        <v>44854</v>
      </c>
      <c r="E256" s="11" t="s">
        <v>42</v>
      </c>
      <c r="F256" s="11" t="s">
        <v>831</v>
      </c>
      <c r="G256" s="11">
        <v>107273</v>
      </c>
      <c r="H256" s="11" t="s">
        <v>50</v>
      </c>
      <c r="J256" s="11" t="s">
        <v>38</v>
      </c>
      <c r="K256" s="11">
        <v>51010101</v>
      </c>
      <c r="L256" s="11" t="s">
        <v>48</v>
      </c>
      <c r="M256" s="11"/>
      <c r="N256" s="11">
        <v>354.31</v>
      </c>
      <c r="O256" s="42">
        <v>-354.31</v>
      </c>
      <c r="P256" s="43" t="s">
        <v>4489</v>
      </c>
      <c r="Q256" s="11">
        <v>1421257.79</v>
      </c>
      <c r="R256" s="11" t="s">
        <v>832</v>
      </c>
      <c r="S256" s="11" t="s">
        <v>40</v>
      </c>
      <c r="T256" s="11">
        <v>0</v>
      </c>
      <c r="V256" s="11" t="s">
        <v>41</v>
      </c>
    </row>
    <row r="257" spans="1:22" x14ac:dyDescent="0.25">
      <c r="A257" s="11">
        <v>101060401</v>
      </c>
      <c r="B257" s="11" t="s">
        <v>34</v>
      </c>
      <c r="C257" s="41">
        <v>44854</v>
      </c>
      <c r="D257" s="41">
        <v>44854</v>
      </c>
      <c r="E257" s="11" t="s">
        <v>42</v>
      </c>
      <c r="F257" s="11" t="s">
        <v>833</v>
      </c>
      <c r="G257" s="11">
        <v>107277</v>
      </c>
      <c r="H257" s="11" t="s">
        <v>87</v>
      </c>
      <c r="J257" s="11" t="s">
        <v>38</v>
      </c>
      <c r="K257" s="11">
        <v>51010101</v>
      </c>
      <c r="L257" s="11" t="s">
        <v>48</v>
      </c>
      <c r="M257" s="11"/>
      <c r="N257" s="11">
        <v>173.97</v>
      </c>
      <c r="O257" s="42">
        <v>-173.97</v>
      </c>
      <c r="P257" s="43" t="s">
        <v>4489</v>
      </c>
      <c r="Q257" s="11">
        <v>1421083.82</v>
      </c>
      <c r="R257" s="11" t="s">
        <v>834</v>
      </c>
      <c r="S257" s="11" t="s">
        <v>40</v>
      </c>
      <c r="T257" s="11">
        <v>0</v>
      </c>
      <c r="V257" s="11" t="s">
        <v>41</v>
      </c>
    </row>
    <row r="258" spans="1:22" x14ac:dyDescent="0.25">
      <c r="A258" s="11">
        <v>101060401</v>
      </c>
      <c r="B258" s="11" t="s">
        <v>34</v>
      </c>
      <c r="C258" s="41">
        <v>44854</v>
      </c>
      <c r="D258" s="41">
        <v>44854</v>
      </c>
      <c r="E258" s="11" t="s">
        <v>42</v>
      </c>
      <c r="F258" s="11" t="s">
        <v>835</v>
      </c>
      <c r="G258" s="11">
        <v>107278</v>
      </c>
      <c r="H258" s="11" t="s">
        <v>57</v>
      </c>
      <c r="K258" s="11">
        <v>101060402</v>
      </c>
      <c r="L258" s="11" t="s">
        <v>44</v>
      </c>
      <c r="M258" s="11">
        <v>2772.75</v>
      </c>
      <c r="N258" s="11"/>
      <c r="O258" s="42">
        <v>2772.75</v>
      </c>
      <c r="P258" s="43" t="s">
        <v>4481</v>
      </c>
      <c r="Q258" s="11">
        <v>1423856.57</v>
      </c>
      <c r="R258" s="11" t="s">
        <v>836</v>
      </c>
      <c r="S258" s="11" t="s">
        <v>106</v>
      </c>
      <c r="T258" s="11">
        <v>0</v>
      </c>
    </row>
    <row r="259" spans="1:22" x14ac:dyDescent="0.25">
      <c r="A259" s="11">
        <v>101060401</v>
      </c>
      <c r="B259" s="11" t="s">
        <v>34</v>
      </c>
      <c r="C259" s="41">
        <v>44854</v>
      </c>
      <c r="D259" s="41">
        <v>44854</v>
      </c>
      <c r="E259" s="11" t="s">
        <v>42</v>
      </c>
      <c r="F259" s="11" t="s">
        <v>837</v>
      </c>
      <c r="G259" s="11">
        <v>107279</v>
      </c>
      <c r="H259" s="11" t="s">
        <v>57</v>
      </c>
      <c r="K259" s="11">
        <v>101060402</v>
      </c>
      <c r="L259" s="11" t="s">
        <v>44</v>
      </c>
      <c r="M259" s="11"/>
      <c r="N259" s="11">
        <v>10536.18</v>
      </c>
      <c r="O259" s="42">
        <v>-10536.18</v>
      </c>
      <c r="P259" s="43" t="s">
        <v>4481</v>
      </c>
      <c r="Q259" s="11">
        <v>1413320.39</v>
      </c>
      <c r="R259" s="11" t="s">
        <v>838</v>
      </c>
      <c r="S259" s="11" t="s">
        <v>40</v>
      </c>
      <c r="T259" s="11">
        <v>0</v>
      </c>
    </row>
    <row r="260" spans="1:22" x14ac:dyDescent="0.25">
      <c r="A260" s="11">
        <v>101060401</v>
      </c>
      <c r="B260" s="11" t="s">
        <v>34</v>
      </c>
      <c r="C260" s="41">
        <v>44854</v>
      </c>
      <c r="D260" s="41">
        <v>44854</v>
      </c>
      <c r="E260" s="11" t="s">
        <v>42</v>
      </c>
      <c r="F260" s="11" t="s">
        <v>839</v>
      </c>
      <c r="G260" s="11">
        <v>107280</v>
      </c>
      <c r="H260" s="11" t="s">
        <v>57</v>
      </c>
      <c r="K260" s="11">
        <v>101060402</v>
      </c>
      <c r="L260" s="11" t="s">
        <v>44</v>
      </c>
      <c r="M260" s="11"/>
      <c r="N260" s="11">
        <v>23045.16</v>
      </c>
      <c r="O260" s="42">
        <v>-23045.16</v>
      </c>
      <c r="P260" s="43" t="s">
        <v>4481</v>
      </c>
      <c r="Q260" s="11">
        <v>1390275.23</v>
      </c>
      <c r="R260" s="11" t="s">
        <v>840</v>
      </c>
      <c r="S260" s="11" t="s">
        <v>40</v>
      </c>
      <c r="T260" s="11">
        <v>0</v>
      </c>
    </row>
    <row r="261" spans="1:22" x14ac:dyDescent="0.25">
      <c r="A261" s="11">
        <v>101060401</v>
      </c>
      <c r="B261" s="11" t="s">
        <v>34</v>
      </c>
      <c r="C261" s="41">
        <v>44854</v>
      </c>
      <c r="D261" s="41">
        <v>44854</v>
      </c>
      <c r="E261" s="11" t="s">
        <v>42</v>
      </c>
      <c r="F261" s="11" t="s">
        <v>841</v>
      </c>
      <c r="G261" s="11">
        <v>107281</v>
      </c>
      <c r="H261" s="11" t="s">
        <v>842</v>
      </c>
      <c r="J261" s="11" t="s">
        <v>38</v>
      </c>
      <c r="K261" s="11" t="s">
        <v>843</v>
      </c>
      <c r="L261" s="11" t="s">
        <v>844</v>
      </c>
      <c r="M261" s="11">
        <v>63.8</v>
      </c>
      <c r="N261" s="11"/>
      <c r="O261" s="42">
        <v>63.8</v>
      </c>
      <c r="P261" s="43" t="s">
        <v>4488</v>
      </c>
      <c r="Q261" s="11">
        <v>1390339.03</v>
      </c>
      <c r="R261" s="11" t="s">
        <v>845</v>
      </c>
      <c r="S261" s="11" t="s">
        <v>69</v>
      </c>
      <c r="T261" s="11">
        <v>0</v>
      </c>
      <c r="V261" s="11" t="s">
        <v>41</v>
      </c>
    </row>
    <row r="262" spans="1:22" x14ac:dyDescent="0.25">
      <c r="A262" s="11">
        <v>101060401</v>
      </c>
      <c r="B262" s="11" t="s">
        <v>34</v>
      </c>
      <c r="C262" s="41">
        <v>44854</v>
      </c>
      <c r="D262" s="41">
        <v>44854</v>
      </c>
      <c r="E262" s="11" t="s">
        <v>42</v>
      </c>
      <c r="F262" s="11" t="s">
        <v>846</v>
      </c>
      <c r="G262" s="11">
        <v>107284</v>
      </c>
      <c r="H262" s="11" t="s">
        <v>57</v>
      </c>
      <c r="K262" s="11">
        <v>101060402</v>
      </c>
      <c r="L262" s="11" t="s">
        <v>44</v>
      </c>
      <c r="M262" s="11">
        <v>5.86</v>
      </c>
      <c r="N262" s="11"/>
      <c r="O262" s="42">
        <v>5.86</v>
      </c>
      <c r="P262" s="43" t="s">
        <v>4481</v>
      </c>
      <c r="Q262" s="11">
        <v>1390344.89</v>
      </c>
      <c r="R262" s="11" t="s">
        <v>847</v>
      </c>
      <c r="S262" s="11" t="s">
        <v>106</v>
      </c>
      <c r="T262" s="11">
        <v>0</v>
      </c>
    </row>
    <row r="263" spans="1:22" x14ac:dyDescent="0.25">
      <c r="A263" s="11">
        <v>101060401</v>
      </c>
      <c r="B263" s="11" t="s">
        <v>34</v>
      </c>
      <c r="C263" s="41">
        <v>44854</v>
      </c>
      <c r="D263" s="41">
        <v>44854</v>
      </c>
      <c r="E263" s="11" t="s">
        <v>42</v>
      </c>
      <c r="F263" s="11" t="s">
        <v>848</v>
      </c>
      <c r="G263" s="11">
        <v>107285</v>
      </c>
      <c r="H263" s="11" t="s">
        <v>849</v>
      </c>
      <c r="J263" s="11" t="s">
        <v>38</v>
      </c>
      <c r="K263" s="11">
        <v>51010101</v>
      </c>
      <c r="L263" s="11" t="s">
        <v>48</v>
      </c>
      <c r="M263" s="11"/>
      <c r="N263" s="11">
        <v>109.59</v>
      </c>
      <c r="O263" s="42">
        <v>-109.59</v>
      </c>
      <c r="P263" s="43" t="s">
        <v>4489</v>
      </c>
      <c r="Q263" s="11">
        <v>1390235.3</v>
      </c>
      <c r="R263" s="11" t="s">
        <v>850</v>
      </c>
      <c r="S263" s="11" t="s">
        <v>40</v>
      </c>
      <c r="T263" s="11">
        <v>0</v>
      </c>
      <c r="V263" s="11" t="s">
        <v>41</v>
      </c>
    </row>
    <row r="264" spans="1:22" x14ac:dyDescent="0.25">
      <c r="A264" s="11">
        <v>101060401</v>
      </c>
      <c r="B264" s="11" t="s">
        <v>34</v>
      </c>
      <c r="C264" s="41">
        <v>44854</v>
      </c>
      <c r="D264" s="41">
        <v>44854</v>
      </c>
      <c r="E264" s="11" t="s">
        <v>36</v>
      </c>
      <c r="F264" s="11" t="s">
        <v>851</v>
      </c>
      <c r="G264" s="11">
        <v>107289</v>
      </c>
      <c r="H264" s="11" t="s">
        <v>284</v>
      </c>
      <c r="K264" s="11">
        <v>201040506</v>
      </c>
      <c r="L264" s="11" t="s">
        <v>46</v>
      </c>
      <c r="M264" s="11">
        <v>292.68</v>
      </c>
      <c r="N264" s="11"/>
      <c r="O264" s="42">
        <v>292.68</v>
      </c>
      <c r="P264" s="43" t="s">
        <v>4480</v>
      </c>
      <c r="Q264" s="11">
        <v>1390527.98</v>
      </c>
      <c r="R264" s="11" t="s">
        <v>852</v>
      </c>
      <c r="S264" s="11" t="s">
        <v>40</v>
      </c>
      <c r="T264" s="11">
        <v>0</v>
      </c>
    </row>
    <row r="265" spans="1:22" x14ac:dyDescent="0.25">
      <c r="A265" s="11">
        <v>101060401</v>
      </c>
      <c r="B265" s="11" t="s">
        <v>34</v>
      </c>
      <c r="C265" s="41">
        <v>44854</v>
      </c>
      <c r="D265" s="41">
        <v>44854</v>
      </c>
      <c r="E265" s="11" t="s">
        <v>42</v>
      </c>
      <c r="F265" s="11" t="s">
        <v>853</v>
      </c>
      <c r="G265" s="11">
        <v>107290</v>
      </c>
      <c r="H265" s="11" t="s">
        <v>57</v>
      </c>
      <c r="K265" s="11">
        <v>101060402</v>
      </c>
      <c r="L265" s="11" t="s">
        <v>44</v>
      </c>
      <c r="M265" s="11"/>
      <c r="N265" s="11">
        <v>292.68</v>
      </c>
      <c r="O265" s="42">
        <v>-292.68</v>
      </c>
      <c r="P265" s="43" t="s">
        <v>4481</v>
      </c>
      <c r="Q265" s="11">
        <v>1390235.3</v>
      </c>
      <c r="R265" s="11" t="s">
        <v>854</v>
      </c>
      <c r="S265" s="11" t="s">
        <v>40</v>
      </c>
      <c r="T265" s="11">
        <v>0</v>
      </c>
    </row>
    <row r="266" spans="1:22" x14ac:dyDescent="0.25">
      <c r="A266" s="11">
        <v>101060401</v>
      </c>
      <c r="B266" s="11" t="s">
        <v>34</v>
      </c>
      <c r="C266" s="41">
        <v>44854</v>
      </c>
      <c r="D266" s="41">
        <v>44854</v>
      </c>
      <c r="E266" s="11" t="s">
        <v>60</v>
      </c>
      <c r="F266" s="11" t="s">
        <v>855</v>
      </c>
      <c r="G266" s="11">
        <v>107319</v>
      </c>
      <c r="H266" s="11" t="s">
        <v>61</v>
      </c>
      <c r="K266" s="11">
        <v>201040506</v>
      </c>
      <c r="L266" s="11" t="s">
        <v>46</v>
      </c>
      <c r="M266" s="11"/>
      <c r="N266" s="11">
        <v>292.68</v>
      </c>
      <c r="O266" s="42">
        <v>-292.68</v>
      </c>
      <c r="P266" s="43" t="s">
        <v>4480</v>
      </c>
      <c r="Q266" s="11">
        <v>1389942.62</v>
      </c>
      <c r="R266" s="11" t="s">
        <v>854</v>
      </c>
      <c r="S266" s="11" t="s">
        <v>40</v>
      </c>
      <c r="T266" s="11">
        <v>0</v>
      </c>
    </row>
    <row r="267" spans="1:22" x14ac:dyDescent="0.25">
      <c r="A267" s="11">
        <v>101060401</v>
      </c>
      <c r="B267" s="11" t="s">
        <v>34</v>
      </c>
      <c r="C267" s="41">
        <v>44855</v>
      </c>
      <c r="D267" s="41">
        <v>44855</v>
      </c>
      <c r="E267" s="11" t="s">
        <v>42</v>
      </c>
      <c r="F267" s="11" t="s">
        <v>856</v>
      </c>
      <c r="G267" s="11">
        <v>107316</v>
      </c>
      <c r="H267" s="11" t="s">
        <v>74</v>
      </c>
      <c r="J267" s="11" t="s">
        <v>38</v>
      </c>
      <c r="K267" s="11">
        <v>51010101</v>
      </c>
      <c r="L267" s="11" t="s">
        <v>48</v>
      </c>
      <c r="M267" s="11"/>
      <c r="N267" s="11">
        <v>1906.06</v>
      </c>
      <c r="O267" s="42">
        <v>-1906.06</v>
      </c>
      <c r="P267" s="43" t="s">
        <v>4489</v>
      </c>
      <c r="Q267" s="11">
        <v>1388036.56</v>
      </c>
      <c r="R267" s="11" t="s">
        <v>857</v>
      </c>
      <c r="S267" s="11" t="s">
        <v>40</v>
      </c>
      <c r="T267" s="11">
        <v>0</v>
      </c>
      <c r="V267" s="11" t="s">
        <v>41</v>
      </c>
    </row>
    <row r="268" spans="1:22" x14ac:dyDescent="0.25">
      <c r="A268" s="11">
        <v>101060401</v>
      </c>
      <c r="B268" s="11" t="s">
        <v>34</v>
      </c>
      <c r="C268" s="41">
        <v>44855</v>
      </c>
      <c r="D268" s="41">
        <v>44855</v>
      </c>
      <c r="E268" s="11" t="s">
        <v>42</v>
      </c>
      <c r="F268" s="11" t="s">
        <v>858</v>
      </c>
      <c r="G268" s="11">
        <v>107317</v>
      </c>
      <c r="H268" s="11" t="s">
        <v>74</v>
      </c>
      <c r="J268" s="11" t="s">
        <v>38</v>
      </c>
      <c r="K268" s="11">
        <v>51010101</v>
      </c>
      <c r="L268" s="11" t="s">
        <v>48</v>
      </c>
      <c r="M268" s="11"/>
      <c r="N268" s="11">
        <v>61.8</v>
      </c>
      <c r="O268" s="42">
        <v>-61.8</v>
      </c>
      <c r="P268" s="43" t="s">
        <v>4489</v>
      </c>
      <c r="Q268" s="11">
        <v>1387974.76</v>
      </c>
      <c r="R268" s="11" t="s">
        <v>859</v>
      </c>
      <c r="S268" s="11" t="s">
        <v>40</v>
      </c>
      <c r="T268" s="11">
        <v>0</v>
      </c>
      <c r="V268" s="11" t="s">
        <v>41</v>
      </c>
    </row>
    <row r="269" spans="1:22" x14ac:dyDescent="0.25">
      <c r="A269" s="11">
        <v>101060401</v>
      </c>
      <c r="B269" s="11" t="s">
        <v>34</v>
      </c>
      <c r="C269" s="41">
        <v>44855</v>
      </c>
      <c r="D269" s="41">
        <v>44855</v>
      </c>
      <c r="E269" s="11" t="s">
        <v>42</v>
      </c>
      <c r="F269" s="11" t="s">
        <v>860</v>
      </c>
      <c r="G269" s="11">
        <v>107318</v>
      </c>
      <c r="H269" s="11" t="s">
        <v>43</v>
      </c>
      <c r="K269" s="11">
        <v>101060402</v>
      </c>
      <c r="L269" s="11" t="s">
        <v>44</v>
      </c>
      <c r="M269" s="11">
        <v>292.68</v>
      </c>
      <c r="N269" s="11"/>
      <c r="O269" s="42">
        <v>292.68</v>
      </c>
      <c r="P269" s="43" t="s">
        <v>4481</v>
      </c>
      <c r="Q269" s="11">
        <v>1388267.44</v>
      </c>
      <c r="R269" s="11" t="s">
        <v>852</v>
      </c>
      <c r="S269" s="11" t="s">
        <v>40</v>
      </c>
      <c r="T269" s="11">
        <v>0</v>
      </c>
    </row>
    <row r="270" spans="1:22" x14ac:dyDescent="0.25">
      <c r="A270" s="11">
        <v>101060401</v>
      </c>
      <c r="B270" s="11" t="s">
        <v>34</v>
      </c>
      <c r="C270" s="41">
        <v>44855</v>
      </c>
      <c r="D270" s="41">
        <v>44855</v>
      </c>
      <c r="E270" s="11" t="s">
        <v>36</v>
      </c>
      <c r="F270" s="11" t="s">
        <v>861</v>
      </c>
      <c r="G270" s="11">
        <v>107320</v>
      </c>
      <c r="H270" s="11" t="s">
        <v>284</v>
      </c>
      <c r="K270" s="11">
        <v>201040506</v>
      </c>
      <c r="L270" s="11" t="s">
        <v>46</v>
      </c>
      <c r="M270" s="11">
        <v>234.14</v>
      </c>
      <c r="N270" s="11"/>
      <c r="O270" s="42">
        <v>234.14</v>
      </c>
      <c r="P270" s="43" t="s">
        <v>4480</v>
      </c>
      <c r="Q270" s="11">
        <v>1388501.58</v>
      </c>
      <c r="R270" s="11" t="s">
        <v>862</v>
      </c>
      <c r="S270" s="11" t="s">
        <v>40</v>
      </c>
      <c r="T270" s="11">
        <v>0</v>
      </c>
    </row>
    <row r="271" spans="1:22" x14ac:dyDescent="0.25">
      <c r="A271" s="11">
        <v>101060401</v>
      </c>
      <c r="B271" s="11" t="s">
        <v>34</v>
      </c>
      <c r="C271" s="41">
        <v>44855</v>
      </c>
      <c r="D271" s="41">
        <v>44855</v>
      </c>
      <c r="E271" s="11" t="s">
        <v>42</v>
      </c>
      <c r="F271" s="11" t="s">
        <v>863</v>
      </c>
      <c r="G271" s="11">
        <v>107321</v>
      </c>
      <c r="H271" s="11" t="s">
        <v>43</v>
      </c>
      <c r="K271" s="11">
        <v>101060402</v>
      </c>
      <c r="L271" s="11" t="s">
        <v>44</v>
      </c>
      <c r="M271" s="11"/>
      <c r="N271" s="11">
        <v>234.14</v>
      </c>
      <c r="O271" s="42">
        <v>-234.14</v>
      </c>
      <c r="P271" s="43" t="s">
        <v>4481</v>
      </c>
      <c r="Q271" s="11">
        <v>1388267.44</v>
      </c>
      <c r="R271" s="11" t="s">
        <v>864</v>
      </c>
      <c r="S271" s="11" t="s">
        <v>40</v>
      </c>
      <c r="T271" s="11">
        <v>0</v>
      </c>
    </row>
    <row r="272" spans="1:22" x14ac:dyDescent="0.25">
      <c r="A272" s="11">
        <v>101060401</v>
      </c>
      <c r="B272" s="11" t="s">
        <v>34</v>
      </c>
      <c r="C272" s="41">
        <v>44855</v>
      </c>
      <c r="D272" s="41">
        <v>44855</v>
      </c>
      <c r="E272" s="11" t="s">
        <v>42</v>
      </c>
      <c r="F272" s="11" t="s">
        <v>865</v>
      </c>
      <c r="G272" s="11">
        <v>107322</v>
      </c>
      <c r="H272" s="11" t="s">
        <v>71</v>
      </c>
      <c r="J272" s="11" t="s">
        <v>38</v>
      </c>
      <c r="K272" s="11">
        <v>51010101</v>
      </c>
      <c r="L272" s="11" t="s">
        <v>48</v>
      </c>
      <c r="M272" s="11"/>
      <c r="N272" s="11">
        <v>5.86</v>
      </c>
      <c r="O272" s="42">
        <v>-5.86</v>
      </c>
      <c r="P272" s="43" t="s">
        <v>4489</v>
      </c>
      <c r="Q272" s="11">
        <v>1388261.58</v>
      </c>
      <c r="R272" s="11" t="s">
        <v>311</v>
      </c>
      <c r="S272" s="11" t="s">
        <v>40</v>
      </c>
      <c r="T272" s="11">
        <v>0</v>
      </c>
      <c r="V272" s="11" t="s">
        <v>41</v>
      </c>
    </row>
    <row r="273" spans="1:22" x14ac:dyDescent="0.25">
      <c r="A273" s="11">
        <v>101060401</v>
      </c>
      <c r="B273" s="11" t="s">
        <v>34</v>
      </c>
      <c r="C273" s="41">
        <v>44855</v>
      </c>
      <c r="D273" s="41">
        <v>44855</v>
      </c>
      <c r="E273" s="11" t="s">
        <v>42</v>
      </c>
      <c r="F273" s="11" t="s">
        <v>866</v>
      </c>
      <c r="G273" s="11">
        <v>107327</v>
      </c>
      <c r="H273" s="11" t="s">
        <v>71</v>
      </c>
      <c r="J273" s="11" t="s">
        <v>38</v>
      </c>
      <c r="K273" s="11">
        <v>51010101</v>
      </c>
      <c r="L273" s="11" t="s">
        <v>48</v>
      </c>
      <c r="M273" s="11"/>
      <c r="N273" s="11">
        <v>102.93</v>
      </c>
      <c r="O273" s="42">
        <v>-102.93</v>
      </c>
      <c r="P273" s="43" t="s">
        <v>4489</v>
      </c>
      <c r="Q273" s="11">
        <v>1388158.65</v>
      </c>
      <c r="R273" s="11" t="s">
        <v>867</v>
      </c>
      <c r="S273" s="11" t="s">
        <v>40</v>
      </c>
      <c r="T273" s="11">
        <v>0</v>
      </c>
      <c r="V273" s="11" t="s">
        <v>41</v>
      </c>
    </row>
    <row r="274" spans="1:22" x14ac:dyDescent="0.25">
      <c r="A274" s="11">
        <v>101060401</v>
      </c>
      <c r="B274" s="11" t="s">
        <v>34</v>
      </c>
      <c r="C274" s="41">
        <v>44855</v>
      </c>
      <c r="D274" s="41">
        <v>44855</v>
      </c>
      <c r="E274" s="11" t="s">
        <v>42</v>
      </c>
      <c r="F274" s="11" t="s">
        <v>868</v>
      </c>
      <c r="G274" s="11">
        <v>107328</v>
      </c>
      <c r="H274" s="11" t="s">
        <v>139</v>
      </c>
      <c r="J274" s="11" t="s">
        <v>38</v>
      </c>
      <c r="K274" s="11">
        <v>51010101</v>
      </c>
      <c r="L274" s="11" t="s">
        <v>48</v>
      </c>
      <c r="M274" s="11"/>
      <c r="N274" s="11">
        <v>781.39</v>
      </c>
      <c r="O274" s="42">
        <v>-781.39</v>
      </c>
      <c r="P274" s="43" t="s">
        <v>4489</v>
      </c>
      <c r="Q274" s="11">
        <v>1387377.26</v>
      </c>
      <c r="R274" s="11" t="s">
        <v>869</v>
      </c>
      <c r="S274" s="11" t="s">
        <v>40</v>
      </c>
      <c r="T274" s="11">
        <v>0</v>
      </c>
      <c r="V274" s="11" t="s">
        <v>41</v>
      </c>
    </row>
    <row r="275" spans="1:22" x14ac:dyDescent="0.25">
      <c r="A275" s="11">
        <v>101060401</v>
      </c>
      <c r="B275" s="11" t="s">
        <v>34</v>
      </c>
      <c r="C275" s="41">
        <v>44855</v>
      </c>
      <c r="D275" s="41">
        <v>44855</v>
      </c>
      <c r="E275" s="11" t="s">
        <v>36</v>
      </c>
      <c r="F275" s="11" t="s">
        <v>870</v>
      </c>
      <c r="G275" s="11">
        <v>107334</v>
      </c>
      <c r="H275" s="11" t="s">
        <v>52</v>
      </c>
      <c r="K275" s="11">
        <v>201040506</v>
      </c>
      <c r="L275" s="11" t="s">
        <v>46</v>
      </c>
      <c r="M275" s="11">
        <v>41.6</v>
      </c>
      <c r="N275" s="11"/>
      <c r="O275" s="42">
        <v>41.6</v>
      </c>
      <c r="P275" s="43" t="s">
        <v>4480</v>
      </c>
      <c r="Q275" s="11">
        <v>1387418.86</v>
      </c>
      <c r="R275" s="11" t="s">
        <v>303</v>
      </c>
      <c r="S275" s="11" t="s">
        <v>40</v>
      </c>
      <c r="T275" s="11">
        <v>0</v>
      </c>
    </row>
    <row r="276" spans="1:22" x14ac:dyDescent="0.25">
      <c r="A276" s="11">
        <v>101060401</v>
      </c>
      <c r="B276" s="11" t="s">
        <v>34</v>
      </c>
      <c r="C276" s="41">
        <v>44855</v>
      </c>
      <c r="D276" s="41">
        <v>44855</v>
      </c>
      <c r="E276" s="11" t="s">
        <v>36</v>
      </c>
      <c r="F276" s="11" t="s">
        <v>871</v>
      </c>
      <c r="G276" s="11">
        <v>107335</v>
      </c>
      <c r="H276" s="11" t="s">
        <v>52</v>
      </c>
      <c r="K276" s="11">
        <v>201040506</v>
      </c>
      <c r="L276" s="11" t="s">
        <v>46</v>
      </c>
      <c r="M276" s="11">
        <v>223.11</v>
      </c>
      <c r="N276" s="11"/>
      <c r="O276" s="42">
        <v>223.11</v>
      </c>
      <c r="P276" s="43" t="s">
        <v>4480</v>
      </c>
      <c r="Q276" s="11">
        <v>1387641.97</v>
      </c>
      <c r="R276" s="11" t="s">
        <v>872</v>
      </c>
      <c r="S276" s="11" t="s">
        <v>40</v>
      </c>
      <c r="T276" s="11">
        <v>0</v>
      </c>
    </row>
    <row r="277" spans="1:22" x14ac:dyDescent="0.25">
      <c r="A277" s="11">
        <v>101060401</v>
      </c>
      <c r="B277" s="11" t="s">
        <v>34</v>
      </c>
      <c r="C277" s="41">
        <v>44855</v>
      </c>
      <c r="D277" s="41">
        <v>44855</v>
      </c>
      <c r="E277" s="11" t="s">
        <v>42</v>
      </c>
      <c r="F277" s="11" t="s">
        <v>873</v>
      </c>
      <c r="G277" s="11">
        <v>107336</v>
      </c>
      <c r="H277" s="11" t="s">
        <v>47</v>
      </c>
      <c r="J277" s="11" t="s">
        <v>38</v>
      </c>
      <c r="K277" s="11">
        <v>51010101</v>
      </c>
      <c r="L277" s="11" t="s">
        <v>48</v>
      </c>
      <c r="M277" s="11"/>
      <c r="N277" s="11">
        <v>53.11</v>
      </c>
      <c r="O277" s="42">
        <v>-53.11</v>
      </c>
      <c r="P277" s="43" t="s">
        <v>4489</v>
      </c>
      <c r="Q277" s="11">
        <v>1387588.86</v>
      </c>
      <c r="R277" s="11" t="s">
        <v>874</v>
      </c>
      <c r="S277" s="11" t="s">
        <v>40</v>
      </c>
      <c r="T277" s="11">
        <v>0</v>
      </c>
      <c r="V277" s="11" t="s">
        <v>41</v>
      </c>
    </row>
    <row r="278" spans="1:22" x14ac:dyDescent="0.25">
      <c r="A278" s="11">
        <v>101060401</v>
      </c>
      <c r="B278" s="11" t="s">
        <v>34</v>
      </c>
      <c r="C278" s="41">
        <v>44855</v>
      </c>
      <c r="D278" s="41">
        <v>44855</v>
      </c>
      <c r="E278" s="11" t="s">
        <v>42</v>
      </c>
      <c r="F278" s="11" t="s">
        <v>875</v>
      </c>
      <c r="G278" s="11">
        <v>107337</v>
      </c>
      <c r="H278" s="11" t="s">
        <v>47</v>
      </c>
      <c r="J278" s="11" t="s">
        <v>38</v>
      </c>
      <c r="K278" s="11">
        <v>51010101</v>
      </c>
      <c r="L278" s="11" t="s">
        <v>48</v>
      </c>
      <c r="M278" s="11"/>
      <c r="N278" s="11">
        <v>226.05</v>
      </c>
      <c r="O278" s="42">
        <v>-226.05</v>
      </c>
      <c r="P278" s="43" t="s">
        <v>4489</v>
      </c>
      <c r="Q278" s="11">
        <v>1387362.81</v>
      </c>
      <c r="R278" s="11" t="s">
        <v>876</v>
      </c>
      <c r="S278" s="11" t="s">
        <v>40</v>
      </c>
      <c r="T278" s="11">
        <v>0</v>
      </c>
      <c r="V278" s="11" t="s">
        <v>41</v>
      </c>
    </row>
    <row r="279" spans="1:22" x14ac:dyDescent="0.25">
      <c r="A279" s="11">
        <v>101060401</v>
      </c>
      <c r="B279" s="11" t="s">
        <v>34</v>
      </c>
      <c r="C279" s="41">
        <v>44855</v>
      </c>
      <c r="D279" s="41">
        <v>44855</v>
      </c>
      <c r="E279" s="11" t="s">
        <v>42</v>
      </c>
      <c r="F279" s="11" t="s">
        <v>877</v>
      </c>
      <c r="G279" s="11">
        <v>107338</v>
      </c>
      <c r="H279" s="11" t="s">
        <v>50</v>
      </c>
      <c r="J279" s="11" t="s">
        <v>38</v>
      </c>
      <c r="K279" s="11">
        <v>51010101</v>
      </c>
      <c r="L279" s="11" t="s">
        <v>48</v>
      </c>
      <c r="M279" s="11"/>
      <c r="N279" s="11">
        <v>22.17</v>
      </c>
      <c r="O279" s="42">
        <v>-22.17</v>
      </c>
      <c r="P279" s="43" t="s">
        <v>4489</v>
      </c>
      <c r="Q279" s="11">
        <v>1387340.64</v>
      </c>
      <c r="R279" s="11" t="s">
        <v>243</v>
      </c>
      <c r="S279" s="11" t="s">
        <v>40</v>
      </c>
      <c r="T279" s="11">
        <v>0</v>
      </c>
      <c r="V279" s="11" t="s">
        <v>41</v>
      </c>
    </row>
    <row r="280" spans="1:22" x14ac:dyDescent="0.25">
      <c r="A280" s="11">
        <v>101060401</v>
      </c>
      <c r="B280" s="11" t="s">
        <v>34</v>
      </c>
      <c r="C280" s="41">
        <v>44855</v>
      </c>
      <c r="D280" s="41">
        <v>44855</v>
      </c>
      <c r="E280" s="11" t="s">
        <v>42</v>
      </c>
      <c r="F280" s="11" t="s">
        <v>878</v>
      </c>
      <c r="G280" s="11">
        <v>107344</v>
      </c>
      <c r="H280" s="11" t="s">
        <v>57</v>
      </c>
      <c r="K280" s="11">
        <v>101060402</v>
      </c>
      <c r="L280" s="11" t="s">
        <v>44</v>
      </c>
      <c r="M280" s="11"/>
      <c r="N280" s="11">
        <v>871.3</v>
      </c>
      <c r="O280" s="42">
        <v>-871.3</v>
      </c>
      <c r="P280" s="43" t="s">
        <v>4481</v>
      </c>
      <c r="Q280" s="11">
        <v>1386469.34</v>
      </c>
      <c r="R280" s="11" t="s">
        <v>879</v>
      </c>
      <c r="S280" s="11" t="s">
        <v>40</v>
      </c>
      <c r="T280" s="11">
        <v>0</v>
      </c>
    </row>
    <row r="281" spans="1:22" x14ac:dyDescent="0.25">
      <c r="A281" s="11">
        <v>101060401</v>
      </c>
      <c r="B281" s="11" t="s">
        <v>34</v>
      </c>
      <c r="C281" s="41">
        <v>44855</v>
      </c>
      <c r="D281" s="41">
        <v>44855</v>
      </c>
      <c r="E281" s="11" t="s">
        <v>42</v>
      </c>
      <c r="F281" s="11" t="s">
        <v>880</v>
      </c>
      <c r="G281" s="11">
        <v>107348</v>
      </c>
      <c r="H281" s="11" t="s">
        <v>57</v>
      </c>
      <c r="K281" s="11">
        <v>101060402</v>
      </c>
      <c r="L281" s="11" t="s">
        <v>44</v>
      </c>
      <c r="M281" s="11">
        <v>11.85</v>
      </c>
      <c r="N281" s="11"/>
      <c r="O281" s="42">
        <v>11.85</v>
      </c>
      <c r="P281" s="43" t="s">
        <v>4481</v>
      </c>
      <c r="Q281" s="11">
        <v>1386481.19</v>
      </c>
      <c r="R281" s="11" t="s">
        <v>881</v>
      </c>
      <c r="S281" s="11" t="s">
        <v>106</v>
      </c>
      <c r="T281" s="11">
        <v>0</v>
      </c>
    </row>
    <row r="282" spans="1:22" x14ac:dyDescent="0.25">
      <c r="A282" s="11">
        <v>101060401</v>
      </c>
      <c r="B282" s="11" t="s">
        <v>34</v>
      </c>
      <c r="C282" s="41">
        <v>44855</v>
      </c>
      <c r="D282" s="41">
        <v>44855</v>
      </c>
      <c r="E282" s="11" t="s">
        <v>42</v>
      </c>
      <c r="F282" s="11" t="s">
        <v>882</v>
      </c>
      <c r="G282" s="11">
        <v>107356</v>
      </c>
      <c r="H282" s="11" t="s">
        <v>55</v>
      </c>
      <c r="J282" s="11" t="s">
        <v>38</v>
      </c>
      <c r="K282" s="11">
        <v>51010101</v>
      </c>
      <c r="L282" s="11" t="s">
        <v>48</v>
      </c>
      <c r="M282" s="11"/>
      <c r="N282" s="11">
        <v>561.63</v>
      </c>
      <c r="O282" s="42">
        <v>-561.63</v>
      </c>
      <c r="P282" s="43" t="s">
        <v>4489</v>
      </c>
      <c r="Q282" s="11">
        <v>1385919.56</v>
      </c>
      <c r="R282" s="11" t="s">
        <v>883</v>
      </c>
      <c r="S282" s="11" t="s">
        <v>40</v>
      </c>
      <c r="T282" s="11">
        <v>0</v>
      </c>
      <c r="V282" s="11" t="s">
        <v>41</v>
      </c>
    </row>
    <row r="283" spans="1:22" x14ac:dyDescent="0.25">
      <c r="A283" s="11">
        <v>101060401</v>
      </c>
      <c r="B283" s="11" t="s">
        <v>34</v>
      </c>
      <c r="C283" s="41">
        <v>44855</v>
      </c>
      <c r="D283" s="41">
        <v>44855</v>
      </c>
      <c r="E283" s="11" t="s">
        <v>36</v>
      </c>
      <c r="F283" s="11" t="s">
        <v>884</v>
      </c>
      <c r="G283" s="11">
        <v>107374</v>
      </c>
      <c r="H283" s="11" t="s">
        <v>52</v>
      </c>
      <c r="K283" s="11">
        <v>201040506</v>
      </c>
      <c r="L283" s="11" t="s">
        <v>46</v>
      </c>
      <c r="M283" s="11">
        <v>289</v>
      </c>
      <c r="N283" s="11"/>
      <c r="O283" s="42">
        <v>289</v>
      </c>
      <c r="P283" s="43" t="s">
        <v>4480</v>
      </c>
      <c r="Q283" s="11">
        <v>1386208.56</v>
      </c>
      <c r="R283" s="11" t="s">
        <v>885</v>
      </c>
      <c r="S283" s="11" t="s">
        <v>40</v>
      </c>
      <c r="T283" s="11">
        <v>0</v>
      </c>
    </row>
    <row r="284" spans="1:22" x14ac:dyDescent="0.25">
      <c r="A284" s="11">
        <v>101060401</v>
      </c>
      <c r="B284" s="11" t="s">
        <v>34</v>
      </c>
      <c r="C284" s="41">
        <v>44855</v>
      </c>
      <c r="D284" s="41">
        <v>44855</v>
      </c>
      <c r="E284" s="11" t="s">
        <v>42</v>
      </c>
      <c r="F284" s="11" t="s">
        <v>886</v>
      </c>
      <c r="G284" s="11">
        <v>107375</v>
      </c>
      <c r="H284" s="11" t="s">
        <v>57</v>
      </c>
      <c r="K284" s="11">
        <v>101060402</v>
      </c>
      <c r="L284" s="11" t="s">
        <v>44</v>
      </c>
      <c r="M284" s="11"/>
      <c r="N284" s="11">
        <v>289</v>
      </c>
      <c r="O284" s="42">
        <v>-289</v>
      </c>
      <c r="P284" s="43" t="s">
        <v>4481</v>
      </c>
      <c r="Q284" s="11">
        <v>1385919.56</v>
      </c>
      <c r="R284" s="11" t="s">
        <v>887</v>
      </c>
      <c r="S284" s="11" t="s">
        <v>40</v>
      </c>
      <c r="T284" s="11">
        <v>0</v>
      </c>
    </row>
    <row r="285" spans="1:22" x14ac:dyDescent="0.25">
      <c r="A285" s="11">
        <v>101060401</v>
      </c>
      <c r="B285" s="11" t="s">
        <v>34</v>
      </c>
      <c r="C285" s="41">
        <v>44856</v>
      </c>
      <c r="D285" s="41">
        <v>44856</v>
      </c>
      <c r="E285" s="11" t="s">
        <v>42</v>
      </c>
      <c r="F285" s="11" t="s">
        <v>888</v>
      </c>
      <c r="G285" s="11">
        <v>107387</v>
      </c>
      <c r="H285" s="11" t="s">
        <v>57</v>
      </c>
      <c r="K285" s="11">
        <v>101060402</v>
      </c>
      <c r="L285" s="11" t="s">
        <v>44</v>
      </c>
      <c r="M285" s="11">
        <v>214.86</v>
      </c>
      <c r="N285" s="11"/>
      <c r="O285" s="42">
        <v>214.86</v>
      </c>
      <c r="P285" s="43" t="s">
        <v>4481</v>
      </c>
      <c r="Q285" s="11">
        <v>1386134.42</v>
      </c>
      <c r="R285" s="11" t="s">
        <v>889</v>
      </c>
      <c r="S285" s="11" t="s">
        <v>106</v>
      </c>
      <c r="T285" s="11">
        <v>0</v>
      </c>
    </row>
    <row r="286" spans="1:22" x14ac:dyDescent="0.25">
      <c r="A286" s="11">
        <v>101060401</v>
      </c>
      <c r="B286" s="11" t="s">
        <v>34</v>
      </c>
      <c r="C286" s="41">
        <v>44858</v>
      </c>
      <c r="D286" s="41">
        <v>44858</v>
      </c>
      <c r="E286" s="11" t="s">
        <v>36</v>
      </c>
      <c r="F286" s="11" t="s">
        <v>890</v>
      </c>
      <c r="G286" s="11">
        <v>107399</v>
      </c>
      <c r="H286" s="11" t="s">
        <v>52</v>
      </c>
      <c r="K286" s="11">
        <v>201040506</v>
      </c>
      <c r="L286" s="11" t="s">
        <v>46</v>
      </c>
      <c r="M286" s="11">
        <v>205.7</v>
      </c>
      <c r="N286" s="11"/>
      <c r="O286" s="42">
        <v>205.7</v>
      </c>
      <c r="P286" s="43" t="s">
        <v>4480</v>
      </c>
      <c r="Q286" s="11">
        <v>1386340.12</v>
      </c>
      <c r="R286" s="11" t="s">
        <v>891</v>
      </c>
      <c r="S286" s="11" t="s">
        <v>40</v>
      </c>
      <c r="T286" s="11">
        <v>0</v>
      </c>
    </row>
    <row r="287" spans="1:22" x14ac:dyDescent="0.25">
      <c r="A287" s="11">
        <v>101060401</v>
      </c>
      <c r="B287" s="11" t="s">
        <v>34</v>
      </c>
      <c r="C287" s="41">
        <v>44858</v>
      </c>
      <c r="D287" s="41">
        <v>44858</v>
      </c>
      <c r="E287" s="11" t="s">
        <v>42</v>
      </c>
      <c r="F287" s="11" t="s">
        <v>892</v>
      </c>
      <c r="G287" s="11">
        <v>107402</v>
      </c>
      <c r="H287" s="11" t="s">
        <v>86</v>
      </c>
      <c r="J287" s="11" t="s">
        <v>38</v>
      </c>
      <c r="K287" s="11">
        <v>51010101</v>
      </c>
      <c r="L287" s="11" t="s">
        <v>48</v>
      </c>
      <c r="M287" s="11"/>
      <c r="N287" s="11">
        <v>13651.19</v>
      </c>
      <c r="O287" s="42">
        <v>-13651.19</v>
      </c>
      <c r="P287" s="43" t="s">
        <v>4489</v>
      </c>
      <c r="Q287" s="11">
        <v>1372688.93</v>
      </c>
      <c r="R287" s="11" t="s">
        <v>893</v>
      </c>
      <c r="S287" s="11" t="s">
        <v>40</v>
      </c>
      <c r="T287" s="11">
        <v>0</v>
      </c>
      <c r="V287" s="11" t="s">
        <v>41</v>
      </c>
    </row>
    <row r="288" spans="1:22" x14ac:dyDescent="0.25">
      <c r="A288" s="11">
        <v>101060401</v>
      </c>
      <c r="B288" s="11" t="s">
        <v>34</v>
      </c>
      <c r="C288" s="41">
        <v>44858</v>
      </c>
      <c r="D288" s="41">
        <v>44858</v>
      </c>
      <c r="E288" s="11" t="s">
        <v>36</v>
      </c>
      <c r="F288" s="11" t="s">
        <v>894</v>
      </c>
      <c r="G288" s="11">
        <v>107417</v>
      </c>
      <c r="H288" s="11" t="s">
        <v>895</v>
      </c>
      <c r="J288" s="11" t="s">
        <v>38</v>
      </c>
      <c r="K288" s="11">
        <v>401030105</v>
      </c>
      <c r="L288" s="11" t="s">
        <v>54</v>
      </c>
      <c r="M288" s="26">
        <v>2</v>
      </c>
      <c r="O288" s="44">
        <v>2</v>
      </c>
      <c r="P288" s="43" t="s">
        <v>4494</v>
      </c>
      <c r="Q288" s="11">
        <v>1372690.93</v>
      </c>
      <c r="R288" s="11" t="s">
        <v>169</v>
      </c>
      <c r="S288" s="11" t="s">
        <v>273</v>
      </c>
      <c r="T288" s="11">
        <v>0</v>
      </c>
      <c r="V288" s="11" t="s">
        <v>41</v>
      </c>
    </row>
    <row r="289" spans="1:22" x14ac:dyDescent="0.25">
      <c r="A289" s="11">
        <v>101060401</v>
      </c>
      <c r="B289" s="11" t="s">
        <v>34</v>
      </c>
      <c r="C289" s="41">
        <v>44858</v>
      </c>
      <c r="D289" s="41">
        <v>44858</v>
      </c>
      <c r="E289" s="11" t="s">
        <v>42</v>
      </c>
      <c r="F289" s="11" t="s">
        <v>896</v>
      </c>
      <c r="G289" s="11">
        <v>107418</v>
      </c>
      <c r="H289" s="11" t="s">
        <v>49</v>
      </c>
      <c r="J289" s="11" t="s">
        <v>38</v>
      </c>
      <c r="K289" s="11">
        <v>51010101</v>
      </c>
      <c r="L289" s="11" t="s">
        <v>48</v>
      </c>
      <c r="M289" s="11"/>
      <c r="N289" s="11">
        <v>121.18</v>
      </c>
      <c r="O289" s="42">
        <v>-121.18</v>
      </c>
      <c r="P289" s="43" t="s">
        <v>4489</v>
      </c>
      <c r="Q289" s="11">
        <v>1372569.75</v>
      </c>
      <c r="R289" s="11" t="s">
        <v>897</v>
      </c>
      <c r="S289" s="11" t="s">
        <v>40</v>
      </c>
      <c r="T289" s="11">
        <v>0</v>
      </c>
      <c r="V289" s="11" t="s">
        <v>41</v>
      </c>
    </row>
    <row r="290" spans="1:22" x14ac:dyDescent="0.25">
      <c r="A290" s="11">
        <v>101060401</v>
      </c>
      <c r="B290" s="11" t="s">
        <v>34</v>
      </c>
      <c r="C290" s="41">
        <v>44858</v>
      </c>
      <c r="D290" s="41">
        <v>44858</v>
      </c>
      <c r="E290" s="11" t="s">
        <v>36</v>
      </c>
      <c r="F290" s="11" t="s">
        <v>898</v>
      </c>
      <c r="G290" s="11">
        <v>107419</v>
      </c>
      <c r="H290" s="11" t="s">
        <v>231</v>
      </c>
      <c r="K290" s="11">
        <v>201040506</v>
      </c>
      <c r="L290" s="11" t="s">
        <v>46</v>
      </c>
      <c r="M290" s="11">
        <v>17.239999999999998</v>
      </c>
      <c r="N290" s="11"/>
      <c r="O290" s="42">
        <v>17.239999999999998</v>
      </c>
      <c r="P290" s="43" t="s">
        <v>4480</v>
      </c>
      <c r="Q290" s="11">
        <v>1372586.99</v>
      </c>
      <c r="R290" s="11" t="s">
        <v>899</v>
      </c>
      <c r="S290" s="11" t="s">
        <v>40</v>
      </c>
      <c r="T290" s="11">
        <v>0</v>
      </c>
    </row>
    <row r="291" spans="1:22" x14ac:dyDescent="0.25">
      <c r="A291" s="11">
        <v>101060401</v>
      </c>
      <c r="B291" s="11" t="s">
        <v>34</v>
      </c>
      <c r="C291" s="41">
        <v>44858</v>
      </c>
      <c r="D291" s="41">
        <v>44858</v>
      </c>
      <c r="E291" s="11" t="s">
        <v>42</v>
      </c>
      <c r="F291" s="11" t="s">
        <v>900</v>
      </c>
      <c r="G291" s="11">
        <v>107421</v>
      </c>
      <c r="H291" s="11" t="s">
        <v>57</v>
      </c>
      <c r="K291" s="11">
        <v>101060402</v>
      </c>
      <c r="L291" s="11" t="s">
        <v>44</v>
      </c>
      <c r="M291" s="11"/>
      <c r="N291" s="11">
        <v>17.239999999999998</v>
      </c>
      <c r="O291" s="42">
        <v>-17.239999999999998</v>
      </c>
      <c r="P291" s="43" t="s">
        <v>4481</v>
      </c>
      <c r="Q291" s="11">
        <v>1372569.75</v>
      </c>
      <c r="R291" s="11" t="s">
        <v>901</v>
      </c>
      <c r="S291" s="11" t="s">
        <v>40</v>
      </c>
      <c r="T291" s="11">
        <v>0</v>
      </c>
    </row>
    <row r="292" spans="1:22" x14ac:dyDescent="0.25">
      <c r="A292" s="11">
        <v>101060401</v>
      </c>
      <c r="B292" s="11" t="s">
        <v>34</v>
      </c>
      <c r="C292" s="41">
        <v>44858</v>
      </c>
      <c r="D292" s="41">
        <v>44858</v>
      </c>
      <c r="E292" s="11" t="s">
        <v>42</v>
      </c>
      <c r="F292" s="11" t="s">
        <v>902</v>
      </c>
      <c r="G292" s="11">
        <v>107423</v>
      </c>
      <c r="H292" s="11" t="s">
        <v>57</v>
      </c>
      <c r="K292" s="11">
        <v>101060402</v>
      </c>
      <c r="L292" s="11" t="s">
        <v>44</v>
      </c>
      <c r="M292" s="11"/>
      <c r="N292" s="11">
        <v>2</v>
      </c>
      <c r="O292" s="42">
        <v>-2</v>
      </c>
      <c r="P292" s="43" t="s">
        <v>4481</v>
      </c>
      <c r="Q292" s="11">
        <v>1372567.75</v>
      </c>
      <c r="R292" s="11" t="s">
        <v>170</v>
      </c>
      <c r="S292" s="11" t="s">
        <v>40</v>
      </c>
      <c r="T292" s="11">
        <v>0</v>
      </c>
    </row>
    <row r="293" spans="1:22" x14ac:dyDescent="0.25">
      <c r="A293" s="11">
        <v>101060401</v>
      </c>
      <c r="B293" s="11" t="s">
        <v>34</v>
      </c>
      <c r="C293" s="41">
        <v>44858</v>
      </c>
      <c r="D293" s="41">
        <v>44858</v>
      </c>
      <c r="E293" s="11" t="s">
        <v>42</v>
      </c>
      <c r="F293" s="11" t="s">
        <v>903</v>
      </c>
      <c r="G293" s="11">
        <v>107427</v>
      </c>
      <c r="H293" s="11" t="s">
        <v>47</v>
      </c>
      <c r="J293" s="11" t="s">
        <v>38</v>
      </c>
      <c r="K293" s="11">
        <v>51010101</v>
      </c>
      <c r="L293" s="11" t="s">
        <v>48</v>
      </c>
      <c r="M293" s="11"/>
      <c r="N293" s="11">
        <v>525.51</v>
      </c>
      <c r="O293" s="42">
        <v>-525.51</v>
      </c>
      <c r="P293" s="43" t="s">
        <v>4489</v>
      </c>
      <c r="Q293" s="11">
        <v>1372042.24</v>
      </c>
      <c r="R293" s="11" t="s">
        <v>214</v>
      </c>
      <c r="S293" s="11" t="s">
        <v>40</v>
      </c>
      <c r="T293" s="11">
        <v>0</v>
      </c>
      <c r="V293" s="11" t="s">
        <v>41</v>
      </c>
    </row>
    <row r="294" spans="1:22" x14ac:dyDescent="0.25">
      <c r="A294" s="11">
        <v>101060401</v>
      </c>
      <c r="B294" s="11" t="s">
        <v>34</v>
      </c>
      <c r="C294" s="41">
        <v>44858</v>
      </c>
      <c r="D294" s="41">
        <v>44858</v>
      </c>
      <c r="E294" s="11" t="s">
        <v>42</v>
      </c>
      <c r="F294" s="11" t="s">
        <v>904</v>
      </c>
      <c r="G294" s="11">
        <v>107428</v>
      </c>
      <c r="H294" s="11" t="s">
        <v>47</v>
      </c>
      <c r="J294" s="11" t="s">
        <v>38</v>
      </c>
      <c r="K294" s="11">
        <v>51010101</v>
      </c>
      <c r="L294" s="11" t="s">
        <v>48</v>
      </c>
      <c r="M294" s="11"/>
      <c r="N294" s="11">
        <v>645.17999999999995</v>
      </c>
      <c r="O294" s="42">
        <v>-645.17999999999995</v>
      </c>
      <c r="P294" s="43" t="s">
        <v>4489</v>
      </c>
      <c r="Q294" s="11">
        <v>1371397.06</v>
      </c>
      <c r="R294" s="11" t="s">
        <v>905</v>
      </c>
      <c r="S294" s="11" t="s">
        <v>40</v>
      </c>
      <c r="T294" s="11">
        <v>0</v>
      </c>
      <c r="V294" s="11" t="s">
        <v>41</v>
      </c>
    </row>
    <row r="295" spans="1:22" x14ac:dyDescent="0.25">
      <c r="A295" s="11">
        <v>101060401</v>
      </c>
      <c r="B295" s="11" t="s">
        <v>34</v>
      </c>
      <c r="C295" s="41">
        <v>44858</v>
      </c>
      <c r="D295" s="41">
        <v>44858</v>
      </c>
      <c r="E295" s="11" t="s">
        <v>42</v>
      </c>
      <c r="F295" s="11" t="s">
        <v>906</v>
      </c>
      <c r="G295" s="11">
        <v>107433</v>
      </c>
      <c r="H295" s="11" t="s">
        <v>77</v>
      </c>
      <c r="J295" s="11" t="s">
        <v>38</v>
      </c>
      <c r="K295" s="11">
        <v>51010101</v>
      </c>
      <c r="L295" s="11" t="s">
        <v>48</v>
      </c>
      <c r="M295" s="11"/>
      <c r="N295" s="11">
        <v>150.97</v>
      </c>
      <c r="O295" s="42">
        <v>-150.97</v>
      </c>
      <c r="P295" s="43" t="s">
        <v>4489</v>
      </c>
      <c r="Q295" s="11">
        <v>1371246.09</v>
      </c>
      <c r="R295" s="11" t="s">
        <v>907</v>
      </c>
      <c r="S295" s="11" t="s">
        <v>40</v>
      </c>
      <c r="T295" s="11">
        <v>0</v>
      </c>
      <c r="V295" s="11" t="s">
        <v>41</v>
      </c>
    </row>
    <row r="296" spans="1:22" x14ac:dyDescent="0.25">
      <c r="A296" s="11">
        <v>101060401</v>
      </c>
      <c r="B296" s="11" t="s">
        <v>34</v>
      </c>
      <c r="C296" s="41">
        <v>44858</v>
      </c>
      <c r="D296" s="41">
        <v>44858</v>
      </c>
      <c r="E296" s="11" t="s">
        <v>42</v>
      </c>
      <c r="F296" s="11" t="s">
        <v>908</v>
      </c>
      <c r="G296" s="11">
        <v>107441</v>
      </c>
      <c r="H296" s="11" t="s">
        <v>133</v>
      </c>
      <c r="J296" s="11" t="s">
        <v>38</v>
      </c>
      <c r="K296" s="11">
        <v>51010101</v>
      </c>
      <c r="L296" s="11" t="s">
        <v>48</v>
      </c>
      <c r="M296" s="11"/>
      <c r="N296" s="11">
        <v>394.02</v>
      </c>
      <c r="O296" s="42">
        <v>-394.02</v>
      </c>
      <c r="P296" s="43" t="s">
        <v>4489</v>
      </c>
      <c r="Q296" s="11">
        <v>1370852.07</v>
      </c>
      <c r="R296" s="11" t="s">
        <v>909</v>
      </c>
      <c r="S296" s="11" t="s">
        <v>40</v>
      </c>
      <c r="T296" s="11">
        <v>0</v>
      </c>
      <c r="V296" s="11" t="s">
        <v>41</v>
      </c>
    </row>
    <row r="297" spans="1:22" x14ac:dyDescent="0.25">
      <c r="A297" s="11">
        <v>101060401</v>
      </c>
      <c r="B297" s="11" t="s">
        <v>34</v>
      </c>
      <c r="C297" s="41">
        <v>44858</v>
      </c>
      <c r="D297" s="41">
        <v>44858</v>
      </c>
      <c r="E297" s="11" t="s">
        <v>42</v>
      </c>
      <c r="F297" s="11" t="s">
        <v>910</v>
      </c>
      <c r="G297" s="11">
        <v>107444</v>
      </c>
      <c r="H297" s="11" t="s">
        <v>66</v>
      </c>
      <c r="J297" s="11" t="s">
        <v>38</v>
      </c>
      <c r="K297" s="11">
        <v>51010101</v>
      </c>
      <c r="L297" s="11" t="s">
        <v>48</v>
      </c>
      <c r="M297" s="11"/>
      <c r="N297" s="11">
        <v>254.55</v>
      </c>
      <c r="O297" s="42">
        <v>-254.55</v>
      </c>
      <c r="P297" s="43" t="s">
        <v>4489</v>
      </c>
      <c r="Q297" s="11">
        <v>1370597.52</v>
      </c>
      <c r="R297" s="11" t="s">
        <v>911</v>
      </c>
      <c r="S297" s="11" t="s">
        <v>40</v>
      </c>
      <c r="T297" s="11">
        <v>0</v>
      </c>
      <c r="V297" s="11" t="s">
        <v>41</v>
      </c>
    </row>
    <row r="298" spans="1:22" x14ac:dyDescent="0.25">
      <c r="A298" s="11">
        <v>101060401</v>
      </c>
      <c r="B298" s="11" t="s">
        <v>34</v>
      </c>
      <c r="C298" s="41">
        <v>44858</v>
      </c>
      <c r="D298" s="41">
        <v>44858</v>
      </c>
      <c r="E298" s="11" t="s">
        <v>42</v>
      </c>
      <c r="F298" s="11" t="s">
        <v>912</v>
      </c>
      <c r="G298" s="11">
        <v>107446</v>
      </c>
      <c r="H298" s="11" t="s">
        <v>913</v>
      </c>
      <c r="J298" s="11" t="s">
        <v>38</v>
      </c>
      <c r="K298" s="11" t="s">
        <v>914</v>
      </c>
      <c r="L298" s="11" t="s">
        <v>915</v>
      </c>
      <c r="M298" s="11">
        <v>17.239999999999998</v>
      </c>
      <c r="N298" s="11"/>
      <c r="O298" s="42">
        <v>17.239999999999998</v>
      </c>
      <c r="P298" s="43" t="s">
        <v>4488</v>
      </c>
      <c r="Q298" s="11">
        <v>1370614.76</v>
      </c>
      <c r="R298" s="11" t="s">
        <v>899</v>
      </c>
      <c r="S298" s="11" t="s">
        <v>69</v>
      </c>
      <c r="T298" s="11">
        <v>0</v>
      </c>
      <c r="V298" s="11" t="s">
        <v>41</v>
      </c>
    </row>
    <row r="299" spans="1:22" x14ac:dyDescent="0.25">
      <c r="A299" s="11">
        <v>101060401</v>
      </c>
      <c r="B299" s="11" t="s">
        <v>34</v>
      </c>
      <c r="C299" s="41">
        <v>44858</v>
      </c>
      <c r="D299" s="41">
        <v>44858</v>
      </c>
      <c r="E299" s="11" t="s">
        <v>42</v>
      </c>
      <c r="F299" s="11" t="s">
        <v>916</v>
      </c>
      <c r="G299" s="11">
        <v>107454</v>
      </c>
      <c r="H299" s="11" t="s">
        <v>754</v>
      </c>
      <c r="J299" s="11" t="s">
        <v>38</v>
      </c>
      <c r="K299" s="11">
        <v>51010101</v>
      </c>
      <c r="L299" s="11" t="s">
        <v>48</v>
      </c>
      <c r="M299" s="11"/>
      <c r="N299" s="11">
        <v>51.91</v>
      </c>
      <c r="O299" s="42">
        <v>-51.91</v>
      </c>
      <c r="P299" s="43" t="s">
        <v>4489</v>
      </c>
      <c r="Q299" s="11">
        <v>1370562.85</v>
      </c>
      <c r="R299" s="11" t="s">
        <v>917</v>
      </c>
      <c r="S299" s="11" t="s">
        <v>40</v>
      </c>
      <c r="T299" s="11">
        <v>0</v>
      </c>
      <c r="V299" s="11" t="s">
        <v>41</v>
      </c>
    </row>
    <row r="300" spans="1:22" x14ac:dyDescent="0.25">
      <c r="A300" s="11">
        <v>101060401</v>
      </c>
      <c r="B300" s="11" t="s">
        <v>34</v>
      </c>
      <c r="C300" s="41">
        <v>44858</v>
      </c>
      <c r="D300" s="41">
        <v>44858</v>
      </c>
      <c r="E300" s="11" t="s">
        <v>42</v>
      </c>
      <c r="F300" s="11" t="s">
        <v>918</v>
      </c>
      <c r="G300" s="11">
        <v>107459</v>
      </c>
      <c r="H300" s="11" t="s">
        <v>57</v>
      </c>
      <c r="K300" s="11">
        <v>101060402</v>
      </c>
      <c r="L300" s="11" t="s">
        <v>44</v>
      </c>
      <c r="M300" s="11"/>
      <c r="N300" s="11">
        <v>10701.24</v>
      </c>
      <c r="O300" s="42">
        <v>-10701.24</v>
      </c>
      <c r="P300" s="43" t="s">
        <v>4481</v>
      </c>
      <c r="Q300" s="11">
        <v>1359861.61</v>
      </c>
      <c r="R300" s="11" t="s">
        <v>919</v>
      </c>
      <c r="S300" s="11" t="s">
        <v>40</v>
      </c>
      <c r="T300" s="11">
        <v>0</v>
      </c>
    </row>
    <row r="301" spans="1:22" x14ac:dyDescent="0.25">
      <c r="A301" s="11">
        <v>101060401</v>
      </c>
      <c r="B301" s="11" t="s">
        <v>34</v>
      </c>
      <c r="C301" s="41">
        <v>44858</v>
      </c>
      <c r="D301" s="41">
        <v>44858</v>
      </c>
      <c r="E301" s="11" t="s">
        <v>60</v>
      </c>
      <c r="F301" s="11" t="s">
        <v>920</v>
      </c>
      <c r="G301" s="11">
        <v>108802</v>
      </c>
      <c r="H301" s="11" t="s">
        <v>61</v>
      </c>
      <c r="K301" s="11">
        <v>201040506</v>
      </c>
      <c r="L301" s="11" t="s">
        <v>46</v>
      </c>
      <c r="M301" s="11"/>
      <c r="N301" s="11">
        <v>17.239999999999998</v>
      </c>
      <c r="O301" s="42">
        <v>-17.239999999999998</v>
      </c>
      <c r="P301" s="43" t="s">
        <v>4480</v>
      </c>
      <c r="Q301" s="11">
        <v>1359844.37</v>
      </c>
      <c r="R301" s="11" t="s">
        <v>901</v>
      </c>
      <c r="S301" s="11" t="s">
        <v>40</v>
      </c>
      <c r="T301" s="11">
        <v>0</v>
      </c>
    </row>
    <row r="302" spans="1:22" x14ac:dyDescent="0.25">
      <c r="A302" s="11">
        <v>101060401</v>
      </c>
      <c r="B302" s="11" t="s">
        <v>34</v>
      </c>
      <c r="C302" s="41">
        <v>44859</v>
      </c>
      <c r="D302" s="41">
        <v>44859</v>
      </c>
      <c r="E302" s="11" t="s">
        <v>42</v>
      </c>
      <c r="F302" s="11" t="s">
        <v>921</v>
      </c>
      <c r="G302" s="11">
        <v>107472</v>
      </c>
      <c r="H302" s="11" t="s">
        <v>174</v>
      </c>
      <c r="J302" s="11" t="s">
        <v>38</v>
      </c>
      <c r="K302" s="11">
        <v>51010101</v>
      </c>
      <c r="L302" s="11" t="s">
        <v>48</v>
      </c>
      <c r="M302" s="11"/>
      <c r="N302" s="11">
        <v>136.93</v>
      </c>
      <c r="O302" s="42">
        <v>-136.93</v>
      </c>
      <c r="P302" s="43" t="s">
        <v>4489</v>
      </c>
      <c r="Q302" s="11">
        <v>1359707.44</v>
      </c>
      <c r="R302" s="11" t="s">
        <v>922</v>
      </c>
      <c r="S302" s="11" t="s">
        <v>40</v>
      </c>
      <c r="T302" s="11">
        <v>0</v>
      </c>
      <c r="V302" s="11" t="s">
        <v>41</v>
      </c>
    </row>
    <row r="303" spans="1:22" x14ac:dyDescent="0.25">
      <c r="A303" s="11">
        <v>101060401</v>
      </c>
      <c r="B303" s="11" t="s">
        <v>34</v>
      </c>
      <c r="C303" s="41">
        <v>44859</v>
      </c>
      <c r="D303" s="41">
        <v>44859</v>
      </c>
      <c r="E303" s="11" t="s">
        <v>42</v>
      </c>
      <c r="F303" s="11" t="s">
        <v>923</v>
      </c>
      <c r="G303" s="11">
        <v>107479</v>
      </c>
      <c r="H303" s="11" t="s">
        <v>96</v>
      </c>
      <c r="J303" s="11" t="s">
        <v>38</v>
      </c>
      <c r="K303" s="11">
        <v>51010101</v>
      </c>
      <c r="L303" s="11" t="s">
        <v>48</v>
      </c>
      <c r="M303" s="11"/>
      <c r="N303" s="11">
        <v>16.62</v>
      </c>
      <c r="O303" s="42">
        <v>-16.62</v>
      </c>
      <c r="P303" s="43" t="s">
        <v>4489</v>
      </c>
      <c r="Q303" s="11">
        <v>1359690.82</v>
      </c>
      <c r="R303" s="11" t="s">
        <v>924</v>
      </c>
      <c r="S303" s="11" t="s">
        <v>40</v>
      </c>
      <c r="T303" s="11">
        <v>0</v>
      </c>
      <c r="V303" s="11" t="s">
        <v>41</v>
      </c>
    </row>
    <row r="304" spans="1:22" x14ac:dyDescent="0.25">
      <c r="A304" s="11">
        <v>101060401</v>
      </c>
      <c r="B304" s="11" t="s">
        <v>34</v>
      </c>
      <c r="C304" s="41">
        <v>44859</v>
      </c>
      <c r="D304" s="41">
        <v>44859</v>
      </c>
      <c r="E304" s="11" t="s">
        <v>42</v>
      </c>
      <c r="F304" s="11" t="s">
        <v>925</v>
      </c>
      <c r="G304" s="11">
        <v>107482</v>
      </c>
      <c r="H304" s="11" t="s">
        <v>57</v>
      </c>
      <c r="K304" s="11">
        <v>101060402</v>
      </c>
      <c r="L304" s="11" t="s">
        <v>44</v>
      </c>
      <c r="M304" s="11"/>
      <c r="N304" s="11">
        <v>3544.26</v>
      </c>
      <c r="O304" s="42">
        <v>-3544.26</v>
      </c>
      <c r="P304" s="43" t="s">
        <v>4481</v>
      </c>
      <c r="Q304" s="11">
        <v>1356146.56</v>
      </c>
      <c r="R304" s="11" t="s">
        <v>926</v>
      </c>
      <c r="S304" s="11" t="s">
        <v>40</v>
      </c>
      <c r="T304" s="11">
        <v>0</v>
      </c>
    </row>
    <row r="305" spans="1:22" x14ac:dyDescent="0.25">
      <c r="A305" s="11">
        <v>101060401</v>
      </c>
      <c r="B305" s="11" t="s">
        <v>34</v>
      </c>
      <c r="C305" s="41">
        <v>44859</v>
      </c>
      <c r="D305" s="41">
        <v>44859</v>
      </c>
      <c r="E305" s="11" t="s">
        <v>42</v>
      </c>
      <c r="F305" s="11" t="s">
        <v>927</v>
      </c>
      <c r="G305" s="11">
        <v>107485</v>
      </c>
      <c r="H305" s="11" t="s">
        <v>50</v>
      </c>
      <c r="J305" s="11" t="s">
        <v>38</v>
      </c>
      <c r="K305" s="11">
        <v>51010101</v>
      </c>
      <c r="L305" s="11" t="s">
        <v>48</v>
      </c>
      <c r="M305" s="11"/>
      <c r="N305" s="11">
        <v>21.3</v>
      </c>
      <c r="O305" s="42">
        <v>-21.3</v>
      </c>
      <c r="P305" s="43" t="s">
        <v>4489</v>
      </c>
      <c r="Q305" s="11">
        <v>1356125.26</v>
      </c>
      <c r="R305" s="11" t="s">
        <v>928</v>
      </c>
      <c r="S305" s="11" t="s">
        <v>40</v>
      </c>
      <c r="T305" s="11">
        <v>0</v>
      </c>
      <c r="V305" s="11" t="s">
        <v>41</v>
      </c>
    </row>
    <row r="306" spans="1:22" x14ac:dyDescent="0.25">
      <c r="A306" s="11">
        <v>101060401</v>
      </c>
      <c r="B306" s="11" t="s">
        <v>34</v>
      </c>
      <c r="C306" s="41">
        <v>44859</v>
      </c>
      <c r="D306" s="41">
        <v>44859</v>
      </c>
      <c r="E306" s="11" t="s">
        <v>42</v>
      </c>
      <c r="F306" s="11" t="s">
        <v>929</v>
      </c>
      <c r="G306" s="11">
        <v>107518</v>
      </c>
      <c r="H306" s="11" t="s">
        <v>56</v>
      </c>
      <c r="J306" s="11" t="s">
        <v>38</v>
      </c>
      <c r="K306" s="11">
        <v>51010101</v>
      </c>
      <c r="L306" s="11" t="s">
        <v>48</v>
      </c>
      <c r="M306" s="11"/>
      <c r="N306" s="11">
        <v>334.89</v>
      </c>
      <c r="O306" s="42">
        <v>-334.89</v>
      </c>
      <c r="P306" s="43" t="s">
        <v>4489</v>
      </c>
      <c r="Q306" s="11">
        <v>1355790.37</v>
      </c>
      <c r="R306" s="11" t="s">
        <v>930</v>
      </c>
      <c r="S306" s="11" t="s">
        <v>40</v>
      </c>
      <c r="T306" s="11">
        <v>0</v>
      </c>
      <c r="V306" s="11" t="s">
        <v>41</v>
      </c>
    </row>
    <row r="307" spans="1:22" x14ac:dyDescent="0.25">
      <c r="A307" s="11">
        <v>101060401</v>
      </c>
      <c r="B307" s="11" t="s">
        <v>34</v>
      </c>
      <c r="C307" s="41">
        <v>44859</v>
      </c>
      <c r="D307" s="41">
        <v>44859</v>
      </c>
      <c r="E307" s="11" t="s">
        <v>42</v>
      </c>
      <c r="F307" s="11" t="s">
        <v>931</v>
      </c>
      <c r="G307" s="11">
        <v>107524</v>
      </c>
      <c r="H307" s="11" t="s">
        <v>66</v>
      </c>
      <c r="J307" s="11" t="s">
        <v>38</v>
      </c>
      <c r="K307" s="11">
        <v>51010101</v>
      </c>
      <c r="L307" s="11" t="s">
        <v>48</v>
      </c>
      <c r="M307" s="11"/>
      <c r="N307" s="11">
        <v>11.35</v>
      </c>
      <c r="O307" s="42">
        <v>-11.35</v>
      </c>
      <c r="P307" s="43" t="s">
        <v>4489</v>
      </c>
      <c r="Q307" s="11">
        <v>1355779.02</v>
      </c>
      <c r="R307" s="11" t="s">
        <v>932</v>
      </c>
      <c r="S307" s="11" t="s">
        <v>40</v>
      </c>
      <c r="T307" s="11">
        <v>0</v>
      </c>
      <c r="V307" s="11" t="s">
        <v>41</v>
      </c>
    </row>
    <row r="308" spans="1:22" x14ac:dyDescent="0.25">
      <c r="A308" s="11">
        <v>101060401</v>
      </c>
      <c r="B308" s="11" t="s">
        <v>34</v>
      </c>
      <c r="C308" s="41">
        <v>44859</v>
      </c>
      <c r="D308" s="41">
        <v>44859</v>
      </c>
      <c r="E308" s="11" t="s">
        <v>42</v>
      </c>
      <c r="F308" s="11" t="s">
        <v>933</v>
      </c>
      <c r="G308" s="11">
        <v>107527</v>
      </c>
      <c r="H308" s="11" t="s">
        <v>107</v>
      </c>
      <c r="J308" s="11" t="s">
        <v>38</v>
      </c>
      <c r="K308" s="11">
        <v>51010101</v>
      </c>
      <c r="L308" s="11" t="s">
        <v>48</v>
      </c>
      <c r="M308" s="11"/>
      <c r="N308" s="11">
        <v>523.63</v>
      </c>
      <c r="O308" s="42">
        <v>-523.63</v>
      </c>
      <c r="P308" s="43" t="s">
        <v>4489</v>
      </c>
      <c r="Q308" s="11">
        <v>1355255.39</v>
      </c>
      <c r="R308" s="11" t="s">
        <v>934</v>
      </c>
      <c r="S308" s="11" t="s">
        <v>40</v>
      </c>
      <c r="T308" s="11">
        <v>0</v>
      </c>
      <c r="V308" s="11" t="s">
        <v>41</v>
      </c>
    </row>
    <row r="309" spans="1:22" x14ac:dyDescent="0.25">
      <c r="A309" s="11">
        <v>101060401</v>
      </c>
      <c r="B309" s="11" t="s">
        <v>34</v>
      </c>
      <c r="C309" s="41">
        <v>44859</v>
      </c>
      <c r="D309" s="41">
        <v>44859</v>
      </c>
      <c r="E309" s="11" t="s">
        <v>42</v>
      </c>
      <c r="F309" s="11" t="s">
        <v>935</v>
      </c>
      <c r="G309" s="11">
        <v>107528</v>
      </c>
      <c r="H309" s="11" t="s">
        <v>120</v>
      </c>
      <c r="J309" s="11" t="s">
        <v>38</v>
      </c>
      <c r="K309" s="11">
        <v>51010101</v>
      </c>
      <c r="L309" s="11" t="s">
        <v>48</v>
      </c>
      <c r="M309" s="11">
        <v>334.89</v>
      </c>
      <c r="N309" s="11"/>
      <c r="O309" s="42">
        <v>334.89</v>
      </c>
      <c r="P309" s="43" t="s">
        <v>4489</v>
      </c>
      <c r="Q309" s="11">
        <v>1355590.28</v>
      </c>
      <c r="R309" s="11" t="s">
        <v>936</v>
      </c>
      <c r="S309" s="11" t="s">
        <v>40</v>
      </c>
      <c r="T309" s="11">
        <v>0</v>
      </c>
      <c r="V309" s="11" t="s">
        <v>41</v>
      </c>
    </row>
    <row r="310" spans="1:22" x14ac:dyDescent="0.25">
      <c r="A310" s="11">
        <v>101060401</v>
      </c>
      <c r="B310" s="11" t="s">
        <v>34</v>
      </c>
      <c r="C310" s="41">
        <v>44859</v>
      </c>
      <c r="D310" s="41">
        <v>44859</v>
      </c>
      <c r="E310" s="11" t="s">
        <v>42</v>
      </c>
      <c r="F310" s="11" t="s">
        <v>937</v>
      </c>
      <c r="G310" s="11">
        <v>107529</v>
      </c>
      <c r="H310" s="11" t="s">
        <v>56</v>
      </c>
      <c r="J310" s="11" t="s">
        <v>38</v>
      </c>
      <c r="K310" s="11">
        <v>51010101</v>
      </c>
      <c r="L310" s="11" t="s">
        <v>48</v>
      </c>
      <c r="M310" s="11"/>
      <c r="N310" s="11">
        <v>269.04000000000002</v>
      </c>
      <c r="O310" s="42">
        <v>-269.04000000000002</v>
      </c>
      <c r="P310" s="43" t="s">
        <v>4489</v>
      </c>
      <c r="Q310" s="11">
        <v>1355321.24</v>
      </c>
      <c r="R310" s="11" t="s">
        <v>938</v>
      </c>
      <c r="S310" s="11" t="s">
        <v>40</v>
      </c>
      <c r="T310" s="11">
        <v>0</v>
      </c>
      <c r="V310" s="11" t="s">
        <v>41</v>
      </c>
    </row>
    <row r="311" spans="1:22" x14ac:dyDescent="0.25">
      <c r="A311" s="11">
        <v>101060401</v>
      </c>
      <c r="B311" s="11" t="s">
        <v>34</v>
      </c>
      <c r="C311" s="41">
        <v>44859</v>
      </c>
      <c r="D311" s="41">
        <v>44859</v>
      </c>
      <c r="E311" s="11" t="s">
        <v>36</v>
      </c>
      <c r="F311" s="11" t="s">
        <v>939</v>
      </c>
      <c r="G311" s="11">
        <v>107530</v>
      </c>
      <c r="H311" s="11" t="s">
        <v>52</v>
      </c>
      <c r="K311" s="11">
        <v>201040506</v>
      </c>
      <c r="L311" s="11" t="s">
        <v>46</v>
      </c>
      <c r="M311" s="11">
        <v>152.80000000000001</v>
      </c>
      <c r="N311" s="11"/>
      <c r="O311" s="42">
        <v>152.80000000000001</v>
      </c>
      <c r="P311" s="43" t="s">
        <v>4480</v>
      </c>
      <c r="Q311" s="11">
        <v>1355474.04</v>
      </c>
      <c r="R311" s="11" t="s">
        <v>940</v>
      </c>
      <c r="S311" s="11" t="s">
        <v>40</v>
      </c>
      <c r="T311" s="11">
        <v>0</v>
      </c>
    </row>
    <row r="312" spans="1:22" x14ac:dyDescent="0.25">
      <c r="A312" s="11">
        <v>101060401</v>
      </c>
      <c r="B312" s="11" t="s">
        <v>34</v>
      </c>
      <c r="C312" s="41">
        <v>44859</v>
      </c>
      <c r="D312" s="41">
        <v>44859</v>
      </c>
      <c r="E312" s="11" t="s">
        <v>36</v>
      </c>
      <c r="F312" s="11" t="s">
        <v>941</v>
      </c>
      <c r="G312" s="11">
        <v>107531</v>
      </c>
      <c r="H312" s="11" t="s">
        <v>52</v>
      </c>
      <c r="K312" s="11">
        <v>201040506</v>
      </c>
      <c r="L312" s="11" t="s">
        <v>46</v>
      </c>
      <c r="M312" s="11">
        <v>418.4</v>
      </c>
      <c r="N312" s="11"/>
      <c r="O312" s="42">
        <v>418.4</v>
      </c>
      <c r="P312" s="43" t="s">
        <v>4480</v>
      </c>
      <c r="Q312" s="11">
        <v>1355892.44</v>
      </c>
      <c r="R312" s="11" t="s">
        <v>942</v>
      </c>
      <c r="S312" s="11" t="s">
        <v>40</v>
      </c>
      <c r="T312" s="11">
        <v>0</v>
      </c>
    </row>
    <row r="313" spans="1:22" x14ac:dyDescent="0.25">
      <c r="A313" s="11">
        <v>101060401</v>
      </c>
      <c r="B313" s="11" t="s">
        <v>34</v>
      </c>
      <c r="C313" s="41">
        <v>44859</v>
      </c>
      <c r="D313" s="41">
        <v>44859</v>
      </c>
      <c r="E313" s="11" t="s">
        <v>42</v>
      </c>
      <c r="F313" s="11" t="s">
        <v>943</v>
      </c>
      <c r="G313" s="11">
        <v>107532</v>
      </c>
      <c r="H313" s="11" t="s">
        <v>47</v>
      </c>
      <c r="J313" s="11" t="s">
        <v>38</v>
      </c>
      <c r="K313" s="11">
        <v>51010101</v>
      </c>
      <c r="L313" s="11" t="s">
        <v>48</v>
      </c>
      <c r="M313" s="11"/>
      <c r="N313" s="11">
        <v>152.80000000000001</v>
      </c>
      <c r="O313" s="42">
        <v>-152.80000000000001</v>
      </c>
      <c r="P313" s="43" t="s">
        <v>4489</v>
      </c>
      <c r="Q313" s="11">
        <v>1355739.64</v>
      </c>
      <c r="R313" s="11" t="s">
        <v>944</v>
      </c>
      <c r="S313" s="11" t="s">
        <v>40</v>
      </c>
      <c r="T313" s="11">
        <v>0</v>
      </c>
      <c r="V313" s="11" t="s">
        <v>41</v>
      </c>
    </row>
    <row r="314" spans="1:22" x14ac:dyDescent="0.25">
      <c r="A314" s="11">
        <v>101060401</v>
      </c>
      <c r="B314" s="11" t="s">
        <v>34</v>
      </c>
      <c r="C314" s="41">
        <v>44859</v>
      </c>
      <c r="D314" s="41">
        <v>44859</v>
      </c>
      <c r="E314" s="11" t="s">
        <v>42</v>
      </c>
      <c r="F314" s="11" t="s">
        <v>945</v>
      </c>
      <c r="G314" s="11">
        <v>107535</v>
      </c>
      <c r="H314" s="11" t="s">
        <v>47</v>
      </c>
      <c r="J314" s="11" t="s">
        <v>38</v>
      </c>
      <c r="K314" s="11">
        <v>51010101</v>
      </c>
      <c r="L314" s="11" t="s">
        <v>48</v>
      </c>
      <c r="M314" s="11"/>
      <c r="N314" s="11">
        <v>418.4</v>
      </c>
      <c r="O314" s="42">
        <v>-418.4</v>
      </c>
      <c r="P314" s="43" t="s">
        <v>4489</v>
      </c>
      <c r="Q314" s="11">
        <v>1355321.24</v>
      </c>
      <c r="R314" s="11" t="s">
        <v>946</v>
      </c>
      <c r="S314" s="11" t="s">
        <v>40</v>
      </c>
      <c r="T314" s="11">
        <v>0</v>
      </c>
      <c r="V314" s="11" t="s">
        <v>41</v>
      </c>
    </row>
    <row r="315" spans="1:22" x14ac:dyDescent="0.25">
      <c r="A315" s="11">
        <v>101060401</v>
      </c>
      <c r="B315" s="11" t="s">
        <v>34</v>
      </c>
      <c r="C315" s="41">
        <v>44859</v>
      </c>
      <c r="D315" s="41">
        <v>44859</v>
      </c>
      <c r="E315" s="11" t="s">
        <v>42</v>
      </c>
      <c r="F315" s="11" t="s">
        <v>947</v>
      </c>
      <c r="G315" s="11">
        <v>107537</v>
      </c>
      <c r="H315" s="11" t="s">
        <v>47</v>
      </c>
      <c r="J315" s="11" t="s">
        <v>38</v>
      </c>
      <c r="K315" s="11">
        <v>51010101</v>
      </c>
      <c r="L315" s="11" t="s">
        <v>48</v>
      </c>
      <c r="M315" s="11"/>
      <c r="N315" s="11">
        <v>1202.6500000000001</v>
      </c>
      <c r="O315" s="42">
        <v>-1202.6500000000001</v>
      </c>
      <c r="P315" s="43" t="s">
        <v>4489</v>
      </c>
      <c r="Q315" s="11">
        <v>1354118.59</v>
      </c>
      <c r="R315" s="11" t="s">
        <v>948</v>
      </c>
      <c r="S315" s="11" t="s">
        <v>40</v>
      </c>
      <c r="T315" s="11">
        <v>0</v>
      </c>
      <c r="V315" s="11" t="s">
        <v>41</v>
      </c>
    </row>
    <row r="316" spans="1:22" x14ac:dyDescent="0.25">
      <c r="A316" s="11">
        <v>101060401</v>
      </c>
      <c r="B316" s="11" t="s">
        <v>34</v>
      </c>
      <c r="C316" s="41">
        <v>44859</v>
      </c>
      <c r="D316" s="41">
        <v>44859</v>
      </c>
      <c r="E316" s="11" t="s">
        <v>42</v>
      </c>
      <c r="F316" s="11" t="s">
        <v>949</v>
      </c>
      <c r="G316" s="11">
        <v>107553</v>
      </c>
      <c r="H316" s="11" t="s">
        <v>950</v>
      </c>
      <c r="J316" s="11" t="s">
        <v>38</v>
      </c>
      <c r="K316" s="11">
        <v>51010101</v>
      </c>
      <c r="L316" s="11" t="s">
        <v>48</v>
      </c>
      <c r="M316" s="11"/>
      <c r="N316" s="11">
        <v>99.6</v>
      </c>
      <c r="O316" s="42">
        <v>-99.6</v>
      </c>
      <c r="P316" s="43" t="s">
        <v>4489</v>
      </c>
      <c r="Q316" s="11">
        <v>1354018.99</v>
      </c>
      <c r="R316" s="11" t="s">
        <v>951</v>
      </c>
      <c r="S316" s="11" t="s">
        <v>40</v>
      </c>
      <c r="T316" s="11">
        <v>0</v>
      </c>
      <c r="V316" s="11" t="s">
        <v>41</v>
      </c>
    </row>
    <row r="317" spans="1:22" x14ac:dyDescent="0.25">
      <c r="A317" s="11">
        <v>101060401</v>
      </c>
      <c r="B317" s="11" t="s">
        <v>34</v>
      </c>
      <c r="C317" s="41">
        <v>44859</v>
      </c>
      <c r="D317" s="41">
        <v>44859</v>
      </c>
      <c r="E317" s="11" t="s">
        <v>42</v>
      </c>
      <c r="F317" s="11" t="s">
        <v>952</v>
      </c>
      <c r="G317" s="11">
        <v>107558</v>
      </c>
      <c r="H317" s="11" t="s">
        <v>57</v>
      </c>
      <c r="K317" s="11">
        <v>101060402</v>
      </c>
      <c r="L317" s="11" t="s">
        <v>44</v>
      </c>
      <c r="M317" s="11">
        <v>1657.74</v>
      </c>
      <c r="N317" s="11"/>
      <c r="O317" s="42">
        <v>1657.74</v>
      </c>
      <c r="P317" s="43" t="s">
        <v>4481</v>
      </c>
      <c r="Q317" s="11">
        <v>1355676.73</v>
      </c>
      <c r="R317" s="11" t="s">
        <v>953</v>
      </c>
      <c r="S317" s="11" t="s">
        <v>40</v>
      </c>
      <c r="T317" s="11">
        <v>0</v>
      </c>
    </row>
    <row r="318" spans="1:22" x14ac:dyDescent="0.25">
      <c r="A318" s="11">
        <v>101060401</v>
      </c>
      <c r="B318" s="11" t="s">
        <v>34</v>
      </c>
      <c r="C318" s="41">
        <v>44859</v>
      </c>
      <c r="D318" s="41">
        <v>44859</v>
      </c>
      <c r="E318" s="11" t="s">
        <v>36</v>
      </c>
      <c r="F318" s="11" t="s">
        <v>954</v>
      </c>
      <c r="G318" s="11">
        <v>107560</v>
      </c>
      <c r="H318" s="11" t="s">
        <v>52</v>
      </c>
      <c r="K318" s="11">
        <v>201040506</v>
      </c>
      <c r="L318" s="11" t="s">
        <v>46</v>
      </c>
      <c r="M318" s="11">
        <v>640.6</v>
      </c>
      <c r="N318" s="11"/>
      <c r="O318" s="42">
        <v>640.6</v>
      </c>
      <c r="P318" s="43" t="s">
        <v>4480</v>
      </c>
      <c r="Q318" s="11">
        <v>1356317.33</v>
      </c>
      <c r="R318" s="11" t="s">
        <v>955</v>
      </c>
      <c r="S318" s="11" t="s">
        <v>40</v>
      </c>
      <c r="T318" s="11">
        <v>0</v>
      </c>
    </row>
    <row r="319" spans="1:22" x14ac:dyDescent="0.25">
      <c r="A319" s="11">
        <v>101060401</v>
      </c>
      <c r="B319" s="11" t="s">
        <v>34</v>
      </c>
      <c r="C319" s="41">
        <v>44859</v>
      </c>
      <c r="D319" s="41">
        <v>44859</v>
      </c>
      <c r="E319" s="11" t="s">
        <v>42</v>
      </c>
      <c r="F319" s="11" t="s">
        <v>956</v>
      </c>
      <c r="G319" s="11">
        <v>107561</v>
      </c>
      <c r="H319" s="11" t="s">
        <v>957</v>
      </c>
      <c r="J319" s="11" t="s">
        <v>38</v>
      </c>
      <c r="K319" s="11">
        <v>51010101</v>
      </c>
      <c r="L319" s="11" t="s">
        <v>48</v>
      </c>
      <c r="M319" s="11"/>
      <c r="N319" s="11">
        <v>5118.3999999999996</v>
      </c>
      <c r="O319" s="42">
        <v>-5118.3999999999996</v>
      </c>
      <c r="P319" s="43" t="s">
        <v>4489</v>
      </c>
      <c r="Q319" s="11">
        <v>1351198.93</v>
      </c>
      <c r="R319" s="11" t="s">
        <v>958</v>
      </c>
      <c r="S319" s="11" t="s">
        <v>40</v>
      </c>
      <c r="T319" s="11">
        <v>0</v>
      </c>
      <c r="V319" s="11" t="s">
        <v>41</v>
      </c>
    </row>
    <row r="320" spans="1:22" x14ac:dyDescent="0.25">
      <c r="A320" s="11">
        <v>101060401</v>
      </c>
      <c r="B320" s="11" t="s">
        <v>34</v>
      </c>
      <c r="C320" s="41">
        <v>44859</v>
      </c>
      <c r="D320" s="41">
        <v>44859</v>
      </c>
      <c r="E320" s="11" t="s">
        <v>42</v>
      </c>
      <c r="F320" s="11" t="s">
        <v>959</v>
      </c>
      <c r="G320" s="11">
        <v>107577</v>
      </c>
      <c r="H320" s="11" t="s">
        <v>50</v>
      </c>
      <c r="J320" s="11" t="s">
        <v>38</v>
      </c>
      <c r="K320" s="11">
        <v>51010101</v>
      </c>
      <c r="L320" s="11" t="s">
        <v>48</v>
      </c>
      <c r="M320" s="11"/>
      <c r="N320" s="11">
        <v>145.32</v>
      </c>
      <c r="O320" s="42">
        <v>-145.32</v>
      </c>
      <c r="P320" s="43" t="s">
        <v>4489</v>
      </c>
      <c r="Q320" s="11">
        <v>1351053.61</v>
      </c>
      <c r="R320" s="11" t="s">
        <v>960</v>
      </c>
      <c r="S320" s="11" t="s">
        <v>40</v>
      </c>
      <c r="T320" s="11">
        <v>0</v>
      </c>
      <c r="V320" s="11" t="s">
        <v>41</v>
      </c>
    </row>
    <row r="321" spans="1:22" x14ac:dyDescent="0.25">
      <c r="A321" s="11">
        <v>101060401</v>
      </c>
      <c r="B321" s="11" t="s">
        <v>34</v>
      </c>
      <c r="C321" s="41">
        <v>44859</v>
      </c>
      <c r="D321" s="41">
        <v>44859</v>
      </c>
      <c r="E321" s="11" t="s">
        <v>42</v>
      </c>
      <c r="F321" s="11" t="s">
        <v>961</v>
      </c>
      <c r="G321" s="11">
        <v>107597</v>
      </c>
      <c r="H321" s="11" t="s">
        <v>158</v>
      </c>
      <c r="J321" s="11" t="s">
        <v>38</v>
      </c>
      <c r="K321" s="11">
        <v>51010101</v>
      </c>
      <c r="L321" s="11" t="s">
        <v>48</v>
      </c>
      <c r="M321" s="11"/>
      <c r="N321" s="11">
        <v>24.83</v>
      </c>
      <c r="O321" s="42">
        <v>-24.83</v>
      </c>
      <c r="P321" s="43" t="s">
        <v>4489</v>
      </c>
      <c r="Q321" s="11">
        <v>1351028.78</v>
      </c>
      <c r="R321" s="11" t="s">
        <v>962</v>
      </c>
      <c r="S321" s="11" t="s">
        <v>40</v>
      </c>
      <c r="T321" s="11">
        <v>0</v>
      </c>
      <c r="V321" s="11" t="s">
        <v>41</v>
      </c>
    </row>
    <row r="322" spans="1:22" x14ac:dyDescent="0.25">
      <c r="A322" s="11">
        <v>101060401</v>
      </c>
      <c r="B322" s="11" t="s">
        <v>34</v>
      </c>
      <c r="C322" s="41">
        <v>44859</v>
      </c>
      <c r="D322" s="41">
        <v>44859</v>
      </c>
      <c r="E322" s="11" t="s">
        <v>42</v>
      </c>
      <c r="F322" s="11" t="s">
        <v>963</v>
      </c>
      <c r="G322" s="11">
        <v>108157</v>
      </c>
      <c r="H322" s="11" t="s">
        <v>88</v>
      </c>
      <c r="J322" s="11" t="s">
        <v>38</v>
      </c>
      <c r="K322" s="11">
        <v>51010101</v>
      </c>
      <c r="L322" s="11" t="s">
        <v>48</v>
      </c>
      <c r="M322" s="11">
        <v>418.4</v>
      </c>
      <c r="N322" s="11"/>
      <c r="O322" s="42">
        <v>418.4</v>
      </c>
      <c r="P322" s="43" t="s">
        <v>4489</v>
      </c>
      <c r="Q322" s="11">
        <v>1351447.18</v>
      </c>
      <c r="R322" s="11" t="s">
        <v>942</v>
      </c>
      <c r="S322" s="11" t="s">
        <v>40</v>
      </c>
      <c r="T322" s="11">
        <v>0</v>
      </c>
      <c r="V322" s="11" t="s">
        <v>41</v>
      </c>
    </row>
    <row r="323" spans="1:22" x14ac:dyDescent="0.25">
      <c r="A323" s="11">
        <v>101060401</v>
      </c>
      <c r="B323" s="11" t="s">
        <v>34</v>
      </c>
      <c r="C323" s="41">
        <v>44859</v>
      </c>
      <c r="D323" s="41">
        <v>44859</v>
      </c>
      <c r="E323" s="11" t="s">
        <v>60</v>
      </c>
      <c r="F323" s="11" t="s">
        <v>964</v>
      </c>
      <c r="G323" s="11">
        <v>108158</v>
      </c>
      <c r="H323" s="11" t="s">
        <v>61</v>
      </c>
      <c r="K323" s="11">
        <v>201040506</v>
      </c>
      <c r="L323" s="11" t="s">
        <v>46</v>
      </c>
      <c r="M323" s="11"/>
      <c r="N323" s="11">
        <v>418.4</v>
      </c>
      <c r="O323" s="42">
        <v>-418.4</v>
      </c>
      <c r="P323" s="43" t="s">
        <v>4480</v>
      </c>
      <c r="Q323" s="11">
        <v>1351028.78</v>
      </c>
      <c r="R323" s="11" t="s">
        <v>946</v>
      </c>
      <c r="S323" s="11" t="s">
        <v>40</v>
      </c>
      <c r="T323" s="11">
        <v>0</v>
      </c>
    </row>
    <row r="324" spans="1:22" x14ac:dyDescent="0.25">
      <c r="A324" s="11">
        <v>101060401</v>
      </c>
      <c r="B324" s="11" t="s">
        <v>34</v>
      </c>
      <c r="C324" s="41">
        <v>44860</v>
      </c>
      <c r="D324" s="41">
        <v>44860</v>
      </c>
      <c r="E324" s="11" t="s">
        <v>36</v>
      </c>
      <c r="F324" s="11" t="s">
        <v>965</v>
      </c>
      <c r="G324" s="11">
        <v>107615</v>
      </c>
      <c r="H324" s="11" t="s">
        <v>75</v>
      </c>
      <c r="J324" s="11" t="s">
        <v>38</v>
      </c>
      <c r="K324" s="11">
        <v>51010101</v>
      </c>
      <c r="L324" s="11" t="s">
        <v>48</v>
      </c>
      <c r="M324" s="11"/>
      <c r="N324" s="11">
        <v>51.37</v>
      </c>
      <c r="O324" s="42">
        <v>-51.37</v>
      </c>
      <c r="P324" s="43" t="s">
        <v>4489</v>
      </c>
      <c r="Q324" s="11">
        <v>1350977.41</v>
      </c>
      <c r="R324" s="11" t="s">
        <v>242</v>
      </c>
      <c r="S324" s="11" t="s">
        <v>40</v>
      </c>
      <c r="T324" s="11">
        <v>0</v>
      </c>
      <c r="V324" s="11" t="s">
        <v>41</v>
      </c>
    </row>
    <row r="325" spans="1:22" x14ac:dyDescent="0.25">
      <c r="A325" s="11">
        <v>101060401</v>
      </c>
      <c r="B325" s="11" t="s">
        <v>34</v>
      </c>
      <c r="C325" s="41">
        <v>44860</v>
      </c>
      <c r="D325" s="41">
        <v>44860</v>
      </c>
      <c r="E325" s="11" t="s">
        <v>36</v>
      </c>
      <c r="F325" s="11" t="s">
        <v>965</v>
      </c>
      <c r="G325" s="11">
        <v>107615</v>
      </c>
      <c r="H325" s="11" t="s">
        <v>75</v>
      </c>
      <c r="J325" s="11" t="s">
        <v>38</v>
      </c>
      <c r="K325" s="11">
        <v>51010103</v>
      </c>
      <c r="L325" s="11" t="s">
        <v>39</v>
      </c>
      <c r="N325" s="26">
        <v>1.68</v>
      </c>
      <c r="O325" s="44">
        <v>-1.68</v>
      </c>
      <c r="P325" s="43" t="s">
        <v>4493</v>
      </c>
      <c r="Q325" s="11">
        <v>1350975.73</v>
      </c>
      <c r="R325" s="11" t="s">
        <v>966</v>
      </c>
      <c r="S325" s="11" t="s">
        <v>40</v>
      </c>
      <c r="T325" s="11">
        <v>0</v>
      </c>
      <c r="V325" s="11" t="s">
        <v>41</v>
      </c>
    </row>
    <row r="326" spans="1:22" x14ac:dyDescent="0.25">
      <c r="A326" s="11">
        <v>101060401</v>
      </c>
      <c r="B326" s="11" t="s">
        <v>34</v>
      </c>
      <c r="C326" s="41">
        <v>44860</v>
      </c>
      <c r="D326" s="41">
        <v>44860</v>
      </c>
      <c r="E326" s="11" t="s">
        <v>42</v>
      </c>
      <c r="F326" s="11" t="s">
        <v>967</v>
      </c>
      <c r="G326" s="11">
        <v>107616</v>
      </c>
      <c r="H326" s="11" t="s">
        <v>754</v>
      </c>
      <c r="J326" s="11" t="s">
        <v>38</v>
      </c>
      <c r="K326" s="11">
        <v>51010101</v>
      </c>
      <c r="L326" s="11" t="s">
        <v>48</v>
      </c>
      <c r="M326" s="11"/>
      <c r="N326" s="11">
        <v>16.46</v>
      </c>
      <c r="O326" s="42">
        <v>-16.46</v>
      </c>
      <c r="P326" s="43" t="s">
        <v>4489</v>
      </c>
      <c r="Q326" s="11">
        <v>1350959.27</v>
      </c>
      <c r="R326" s="11" t="s">
        <v>968</v>
      </c>
      <c r="S326" s="11" t="s">
        <v>40</v>
      </c>
      <c r="T326" s="11">
        <v>0</v>
      </c>
      <c r="V326" s="11" t="s">
        <v>41</v>
      </c>
    </row>
    <row r="327" spans="1:22" x14ac:dyDescent="0.25">
      <c r="A327" s="11">
        <v>101060401</v>
      </c>
      <c r="B327" s="11" t="s">
        <v>34</v>
      </c>
      <c r="C327" s="41">
        <v>44860</v>
      </c>
      <c r="D327" s="41">
        <v>44860</v>
      </c>
      <c r="E327" s="11" t="s">
        <v>36</v>
      </c>
      <c r="F327" s="11" t="s">
        <v>969</v>
      </c>
      <c r="G327" s="11">
        <v>107617</v>
      </c>
      <c r="H327" s="11" t="s">
        <v>75</v>
      </c>
      <c r="J327" s="11" t="s">
        <v>38</v>
      </c>
      <c r="K327" s="11">
        <v>51010101</v>
      </c>
      <c r="L327" s="11" t="s">
        <v>48</v>
      </c>
      <c r="M327" s="11"/>
      <c r="N327" s="11">
        <v>15.09</v>
      </c>
      <c r="O327" s="42">
        <v>-15.09</v>
      </c>
      <c r="P327" s="43" t="s">
        <v>4489</v>
      </c>
      <c r="Q327" s="11">
        <v>1350944.18</v>
      </c>
      <c r="R327" s="11" t="s">
        <v>196</v>
      </c>
      <c r="S327" s="11" t="s">
        <v>40</v>
      </c>
      <c r="T327" s="11">
        <v>0</v>
      </c>
      <c r="V327" s="11" t="s">
        <v>41</v>
      </c>
    </row>
    <row r="328" spans="1:22" x14ac:dyDescent="0.25">
      <c r="A328" s="11">
        <v>101060401</v>
      </c>
      <c r="B328" s="11" t="s">
        <v>34</v>
      </c>
      <c r="C328" s="41">
        <v>44860</v>
      </c>
      <c r="D328" s="41">
        <v>44860</v>
      </c>
      <c r="E328" s="11" t="s">
        <v>36</v>
      </c>
      <c r="F328" s="11" t="s">
        <v>970</v>
      </c>
      <c r="G328" s="11">
        <v>107618</v>
      </c>
      <c r="H328" s="11" t="s">
        <v>37</v>
      </c>
      <c r="J328" s="11" t="s">
        <v>38</v>
      </c>
      <c r="K328" s="11">
        <v>401030105</v>
      </c>
      <c r="L328" s="11" t="s">
        <v>54</v>
      </c>
      <c r="M328" s="26">
        <v>60.12</v>
      </c>
      <c r="O328" s="44">
        <v>60.12</v>
      </c>
      <c r="P328" s="43" t="s">
        <v>4494</v>
      </c>
      <c r="Q328" s="11">
        <v>1351004.3</v>
      </c>
      <c r="R328" s="11" t="s">
        <v>971</v>
      </c>
      <c r="S328" s="11" t="s">
        <v>40</v>
      </c>
      <c r="T328" s="11">
        <v>0</v>
      </c>
      <c r="V328" s="11" t="s">
        <v>41</v>
      </c>
    </row>
    <row r="329" spans="1:22" x14ac:dyDescent="0.25">
      <c r="A329" s="11">
        <v>101060401</v>
      </c>
      <c r="B329" s="11" t="s">
        <v>34</v>
      </c>
      <c r="C329" s="41">
        <v>44860</v>
      </c>
      <c r="D329" s="41">
        <v>44860</v>
      </c>
      <c r="E329" s="11" t="s">
        <v>42</v>
      </c>
      <c r="F329" s="11" t="s">
        <v>972</v>
      </c>
      <c r="G329" s="11">
        <v>107621</v>
      </c>
      <c r="H329" s="11" t="s">
        <v>57</v>
      </c>
      <c r="K329" s="11">
        <v>101060402</v>
      </c>
      <c r="L329" s="11" t="s">
        <v>44</v>
      </c>
      <c r="M329" s="11">
        <v>72.2</v>
      </c>
      <c r="N329" s="11"/>
      <c r="O329" s="42">
        <v>72.2</v>
      </c>
      <c r="P329" s="43" t="s">
        <v>4481</v>
      </c>
      <c r="Q329" s="11">
        <v>1351076.5</v>
      </c>
      <c r="R329" s="11" t="s">
        <v>973</v>
      </c>
      <c r="S329" s="11" t="s">
        <v>106</v>
      </c>
      <c r="T329" s="11">
        <v>0</v>
      </c>
    </row>
    <row r="330" spans="1:22" x14ac:dyDescent="0.25">
      <c r="A330" s="11">
        <v>101060401</v>
      </c>
      <c r="B330" s="11" t="s">
        <v>34</v>
      </c>
      <c r="C330" s="41">
        <v>44860</v>
      </c>
      <c r="D330" s="41">
        <v>44860</v>
      </c>
      <c r="E330" s="11" t="s">
        <v>42</v>
      </c>
      <c r="F330" s="11" t="s">
        <v>974</v>
      </c>
      <c r="G330" s="11">
        <v>107628</v>
      </c>
      <c r="H330" s="11" t="s">
        <v>50</v>
      </c>
      <c r="J330" s="11" t="s">
        <v>38</v>
      </c>
      <c r="K330" s="11">
        <v>51010101</v>
      </c>
      <c r="L330" s="11" t="s">
        <v>48</v>
      </c>
      <c r="M330" s="11"/>
      <c r="N330" s="11">
        <v>76.03</v>
      </c>
      <c r="O330" s="42">
        <v>-76.03</v>
      </c>
      <c r="P330" s="43" t="s">
        <v>4489</v>
      </c>
      <c r="Q330" s="11">
        <v>1351000.47</v>
      </c>
      <c r="R330" s="11" t="s">
        <v>975</v>
      </c>
      <c r="S330" s="11" t="s">
        <v>40</v>
      </c>
      <c r="T330" s="11">
        <v>0</v>
      </c>
      <c r="V330" s="11" t="s">
        <v>41</v>
      </c>
    </row>
    <row r="331" spans="1:22" x14ac:dyDescent="0.25">
      <c r="A331" s="11">
        <v>101060401</v>
      </c>
      <c r="B331" s="11" t="s">
        <v>34</v>
      </c>
      <c r="C331" s="41">
        <v>44860</v>
      </c>
      <c r="D331" s="41">
        <v>44860</v>
      </c>
      <c r="E331" s="11" t="s">
        <v>42</v>
      </c>
      <c r="F331" s="11" t="s">
        <v>976</v>
      </c>
      <c r="G331" s="11">
        <v>107629</v>
      </c>
      <c r="H331" s="11" t="s">
        <v>55</v>
      </c>
      <c r="J331" s="11" t="s">
        <v>38</v>
      </c>
      <c r="K331" s="11">
        <v>51010101</v>
      </c>
      <c r="L331" s="11" t="s">
        <v>48</v>
      </c>
      <c r="M331" s="11"/>
      <c r="N331" s="11">
        <v>52.26</v>
      </c>
      <c r="O331" s="42">
        <v>-52.26</v>
      </c>
      <c r="P331" s="43" t="s">
        <v>4489</v>
      </c>
      <c r="Q331" s="11">
        <v>1350948.21</v>
      </c>
      <c r="R331" s="11" t="s">
        <v>977</v>
      </c>
      <c r="S331" s="11" t="s">
        <v>40</v>
      </c>
      <c r="T331" s="11">
        <v>0</v>
      </c>
      <c r="V331" s="11" t="s">
        <v>41</v>
      </c>
    </row>
    <row r="332" spans="1:22" x14ac:dyDescent="0.25">
      <c r="A332" s="11">
        <v>101060401</v>
      </c>
      <c r="B332" s="11" t="s">
        <v>34</v>
      </c>
      <c r="C332" s="41">
        <v>44860</v>
      </c>
      <c r="D332" s="41">
        <v>44860</v>
      </c>
      <c r="E332" s="11" t="s">
        <v>42</v>
      </c>
      <c r="F332" s="11" t="s">
        <v>978</v>
      </c>
      <c r="G332" s="11">
        <v>107631</v>
      </c>
      <c r="H332" s="11" t="s">
        <v>109</v>
      </c>
      <c r="J332" s="11" t="s">
        <v>38</v>
      </c>
      <c r="K332" s="11">
        <v>51010101</v>
      </c>
      <c r="L332" s="11" t="s">
        <v>48</v>
      </c>
      <c r="M332" s="11"/>
      <c r="N332" s="11">
        <v>18.64</v>
      </c>
      <c r="O332" s="42">
        <v>-18.64</v>
      </c>
      <c r="P332" s="43" t="s">
        <v>4489</v>
      </c>
      <c r="Q332" s="11">
        <v>1350929.57</v>
      </c>
      <c r="R332" s="11" t="s">
        <v>979</v>
      </c>
      <c r="S332" s="11" t="s">
        <v>40</v>
      </c>
      <c r="T332" s="11">
        <v>0</v>
      </c>
      <c r="V332" s="11" t="s">
        <v>41</v>
      </c>
    </row>
    <row r="333" spans="1:22" x14ac:dyDescent="0.25">
      <c r="A333" s="11">
        <v>101060401</v>
      </c>
      <c r="B333" s="11" t="s">
        <v>34</v>
      </c>
      <c r="C333" s="41">
        <v>44860</v>
      </c>
      <c r="D333" s="41">
        <v>44860</v>
      </c>
      <c r="E333" s="11" t="s">
        <v>42</v>
      </c>
      <c r="F333" s="11" t="s">
        <v>980</v>
      </c>
      <c r="G333" s="11">
        <v>107632</v>
      </c>
      <c r="H333" s="11" t="s">
        <v>56</v>
      </c>
      <c r="J333" s="11" t="s">
        <v>38</v>
      </c>
      <c r="K333" s="11">
        <v>51010101</v>
      </c>
      <c r="L333" s="11" t="s">
        <v>48</v>
      </c>
      <c r="M333" s="11"/>
      <c r="N333" s="11">
        <v>45.34</v>
      </c>
      <c r="O333" s="42">
        <v>-45.34</v>
      </c>
      <c r="P333" s="43" t="s">
        <v>4489</v>
      </c>
      <c r="Q333" s="11">
        <v>1350884.23</v>
      </c>
      <c r="R333" s="11" t="s">
        <v>981</v>
      </c>
      <c r="S333" s="11" t="s">
        <v>40</v>
      </c>
      <c r="T333" s="11">
        <v>0</v>
      </c>
      <c r="V333" s="11" t="s">
        <v>41</v>
      </c>
    </row>
    <row r="334" spans="1:22" x14ac:dyDescent="0.25">
      <c r="A334" s="11">
        <v>101060401</v>
      </c>
      <c r="B334" s="11" t="s">
        <v>34</v>
      </c>
      <c r="C334" s="41">
        <v>44860</v>
      </c>
      <c r="D334" s="41">
        <v>44860</v>
      </c>
      <c r="E334" s="11" t="s">
        <v>42</v>
      </c>
      <c r="F334" s="11" t="s">
        <v>982</v>
      </c>
      <c r="G334" s="11">
        <v>107633</v>
      </c>
      <c r="H334" s="11" t="s">
        <v>91</v>
      </c>
      <c r="J334" s="11" t="s">
        <v>38</v>
      </c>
      <c r="K334" s="11">
        <v>51010101</v>
      </c>
      <c r="L334" s="11" t="s">
        <v>48</v>
      </c>
      <c r="M334" s="11"/>
      <c r="N334" s="11">
        <v>117.19</v>
      </c>
      <c r="O334" s="42">
        <v>-117.19</v>
      </c>
      <c r="P334" s="43" t="s">
        <v>4489</v>
      </c>
      <c r="Q334" s="11">
        <v>1350767.04</v>
      </c>
      <c r="R334" s="11" t="s">
        <v>983</v>
      </c>
      <c r="S334" s="11" t="s">
        <v>40</v>
      </c>
      <c r="T334" s="11">
        <v>0</v>
      </c>
      <c r="V334" s="11" t="s">
        <v>41</v>
      </c>
    </row>
    <row r="335" spans="1:22" x14ac:dyDescent="0.25">
      <c r="A335" s="11">
        <v>101060401</v>
      </c>
      <c r="B335" s="11" t="s">
        <v>34</v>
      </c>
      <c r="C335" s="41">
        <v>44860</v>
      </c>
      <c r="D335" s="41">
        <v>44860</v>
      </c>
      <c r="E335" s="11" t="s">
        <v>42</v>
      </c>
      <c r="F335" s="11" t="s">
        <v>984</v>
      </c>
      <c r="G335" s="11">
        <v>107634</v>
      </c>
      <c r="H335" s="11" t="s">
        <v>57</v>
      </c>
      <c r="K335" s="11">
        <v>101060407</v>
      </c>
      <c r="L335" s="11" t="s">
        <v>78</v>
      </c>
      <c r="M335" s="11"/>
      <c r="N335" s="11">
        <v>99.39</v>
      </c>
      <c r="O335" s="42">
        <v>-99.39</v>
      </c>
      <c r="P335" s="43" t="s">
        <v>4481</v>
      </c>
      <c r="Q335" s="11">
        <v>1350667.65</v>
      </c>
      <c r="R335" s="11" t="s">
        <v>985</v>
      </c>
      <c r="S335" s="11" t="s">
        <v>40</v>
      </c>
      <c r="T335" s="11">
        <v>0</v>
      </c>
    </row>
    <row r="336" spans="1:22" x14ac:dyDescent="0.25">
      <c r="A336" s="11">
        <v>101060401</v>
      </c>
      <c r="B336" s="11" t="s">
        <v>34</v>
      </c>
      <c r="C336" s="41">
        <v>44860</v>
      </c>
      <c r="D336" s="41">
        <v>44860</v>
      </c>
      <c r="E336" s="11" t="s">
        <v>42</v>
      </c>
      <c r="F336" s="11" t="s">
        <v>986</v>
      </c>
      <c r="G336" s="11">
        <v>107635</v>
      </c>
      <c r="H336" s="11" t="s">
        <v>182</v>
      </c>
      <c r="J336" s="11" t="s">
        <v>38</v>
      </c>
      <c r="K336" s="11">
        <v>51010101</v>
      </c>
      <c r="L336" s="11" t="s">
        <v>48</v>
      </c>
      <c r="M336" s="11"/>
      <c r="N336" s="11">
        <v>29.31</v>
      </c>
      <c r="O336" s="42">
        <v>-29.31</v>
      </c>
      <c r="P336" s="43" t="s">
        <v>4489</v>
      </c>
      <c r="Q336" s="11">
        <v>1350638.34</v>
      </c>
      <c r="R336" s="11" t="s">
        <v>987</v>
      </c>
      <c r="S336" s="11" t="s">
        <v>40</v>
      </c>
      <c r="T336" s="11">
        <v>0</v>
      </c>
      <c r="V336" s="11" t="s">
        <v>41</v>
      </c>
    </row>
    <row r="337" spans="1:22" x14ac:dyDescent="0.25">
      <c r="A337" s="11">
        <v>101060401</v>
      </c>
      <c r="B337" s="11" t="s">
        <v>34</v>
      </c>
      <c r="C337" s="41">
        <v>44860</v>
      </c>
      <c r="D337" s="41">
        <v>44860</v>
      </c>
      <c r="E337" s="11" t="s">
        <v>42</v>
      </c>
      <c r="F337" s="11" t="s">
        <v>988</v>
      </c>
      <c r="G337" s="11">
        <v>107640</v>
      </c>
      <c r="H337" s="11" t="s">
        <v>57</v>
      </c>
      <c r="K337" s="11">
        <v>101060402</v>
      </c>
      <c r="L337" s="11" t="s">
        <v>44</v>
      </c>
      <c r="M337" s="11"/>
      <c r="N337" s="11">
        <v>14.29</v>
      </c>
      <c r="O337" s="42">
        <v>-14.29</v>
      </c>
      <c r="P337" s="43" t="s">
        <v>4481</v>
      </c>
      <c r="Q337" s="11">
        <v>1350624.05</v>
      </c>
      <c r="R337" s="11" t="s">
        <v>989</v>
      </c>
      <c r="S337" s="11" t="s">
        <v>40</v>
      </c>
      <c r="T337" s="11">
        <v>0</v>
      </c>
    </row>
    <row r="338" spans="1:22" x14ac:dyDescent="0.25">
      <c r="A338" s="11">
        <v>101060401</v>
      </c>
      <c r="B338" s="11" t="s">
        <v>34</v>
      </c>
      <c r="C338" s="41">
        <v>44860</v>
      </c>
      <c r="D338" s="41">
        <v>44860</v>
      </c>
      <c r="E338" s="11" t="s">
        <v>36</v>
      </c>
      <c r="F338" s="11" t="s">
        <v>990</v>
      </c>
      <c r="G338" s="11">
        <v>107644</v>
      </c>
      <c r="H338" s="11" t="s">
        <v>52</v>
      </c>
      <c r="K338" s="11">
        <v>201040506</v>
      </c>
      <c r="L338" s="11" t="s">
        <v>46</v>
      </c>
      <c r="M338" s="11">
        <v>346</v>
      </c>
      <c r="N338" s="11"/>
      <c r="O338" s="42">
        <v>346</v>
      </c>
      <c r="P338" s="43" t="s">
        <v>4480</v>
      </c>
      <c r="Q338" s="11">
        <v>1350970.05</v>
      </c>
      <c r="R338" s="11" t="s">
        <v>991</v>
      </c>
      <c r="S338" s="11" t="s">
        <v>40</v>
      </c>
      <c r="T338" s="11">
        <v>0</v>
      </c>
    </row>
    <row r="339" spans="1:22" x14ac:dyDescent="0.25">
      <c r="A339" s="11">
        <v>101060401</v>
      </c>
      <c r="B339" s="11" t="s">
        <v>34</v>
      </c>
      <c r="C339" s="41">
        <v>44860</v>
      </c>
      <c r="D339" s="41">
        <v>44860</v>
      </c>
      <c r="E339" s="11" t="s">
        <v>42</v>
      </c>
      <c r="F339" s="11" t="s">
        <v>992</v>
      </c>
      <c r="G339" s="11">
        <v>107645</v>
      </c>
      <c r="H339" s="11" t="s">
        <v>47</v>
      </c>
      <c r="J339" s="11" t="s">
        <v>38</v>
      </c>
      <c r="K339" s="11">
        <v>51010101</v>
      </c>
      <c r="L339" s="11" t="s">
        <v>48</v>
      </c>
      <c r="M339" s="11"/>
      <c r="N339" s="11">
        <v>346</v>
      </c>
      <c r="O339" s="42">
        <v>-346</v>
      </c>
      <c r="P339" s="43" t="s">
        <v>4489</v>
      </c>
      <c r="Q339" s="11">
        <v>1350624.05</v>
      </c>
      <c r="R339" s="11" t="s">
        <v>993</v>
      </c>
      <c r="S339" s="11" t="s">
        <v>40</v>
      </c>
      <c r="T339" s="11">
        <v>0</v>
      </c>
      <c r="V339" s="11" t="s">
        <v>41</v>
      </c>
    </row>
    <row r="340" spans="1:22" x14ac:dyDescent="0.25">
      <c r="A340" s="11">
        <v>101060401</v>
      </c>
      <c r="B340" s="11" t="s">
        <v>34</v>
      </c>
      <c r="C340" s="41">
        <v>44860</v>
      </c>
      <c r="D340" s="41">
        <v>44860</v>
      </c>
      <c r="E340" s="11" t="s">
        <v>36</v>
      </c>
      <c r="F340" s="11" t="s">
        <v>994</v>
      </c>
      <c r="G340" s="11">
        <v>107646</v>
      </c>
      <c r="H340" s="11" t="s">
        <v>75</v>
      </c>
      <c r="J340" s="11" t="s">
        <v>38</v>
      </c>
      <c r="K340" s="11">
        <v>51010101</v>
      </c>
      <c r="L340" s="11" t="s">
        <v>48</v>
      </c>
      <c r="M340" s="11"/>
      <c r="N340" s="11">
        <v>214.86</v>
      </c>
      <c r="O340" s="42">
        <v>-214.86</v>
      </c>
      <c r="P340" s="43" t="s">
        <v>4489</v>
      </c>
      <c r="Q340" s="11">
        <v>1350409.19</v>
      </c>
      <c r="R340" s="11" t="s">
        <v>995</v>
      </c>
      <c r="S340" s="11" t="s">
        <v>40</v>
      </c>
      <c r="T340" s="11">
        <v>0</v>
      </c>
      <c r="V340" s="11" t="s">
        <v>41</v>
      </c>
    </row>
    <row r="341" spans="1:22" x14ac:dyDescent="0.25">
      <c r="A341" s="11">
        <v>101060401</v>
      </c>
      <c r="B341" s="11" t="s">
        <v>34</v>
      </c>
      <c r="C341" s="41">
        <v>44860</v>
      </c>
      <c r="D341" s="41">
        <v>44860</v>
      </c>
      <c r="E341" s="11" t="s">
        <v>36</v>
      </c>
      <c r="F341" s="11" t="s">
        <v>996</v>
      </c>
      <c r="G341" s="11">
        <v>107647</v>
      </c>
      <c r="H341" s="11" t="s">
        <v>37</v>
      </c>
      <c r="J341" s="11" t="s">
        <v>38</v>
      </c>
      <c r="K341" s="11">
        <v>401030105</v>
      </c>
      <c r="L341" s="11" t="s">
        <v>54</v>
      </c>
      <c r="M341" s="26">
        <v>254.9</v>
      </c>
      <c r="O341" s="44">
        <v>254.9</v>
      </c>
      <c r="P341" s="43" t="s">
        <v>4494</v>
      </c>
      <c r="Q341" s="11">
        <v>1350664.09</v>
      </c>
      <c r="R341" s="11" t="s">
        <v>997</v>
      </c>
      <c r="S341" s="11" t="s">
        <v>40</v>
      </c>
      <c r="T341" s="11">
        <v>0</v>
      </c>
      <c r="V341" s="11" t="s">
        <v>41</v>
      </c>
    </row>
    <row r="342" spans="1:22" x14ac:dyDescent="0.25">
      <c r="A342" s="11">
        <v>101060401</v>
      </c>
      <c r="B342" s="11" t="s">
        <v>34</v>
      </c>
      <c r="C342" s="41">
        <v>44860</v>
      </c>
      <c r="D342" s="41">
        <v>44860</v>
      </c>
      <c r="E342" s="11" t="s">
        <v>42</v>
      </c>
      <c r="F342" s="11" t="s">
        <v>998</v>
      </c>
      <c r="G342" s="11">
        <v>107648</v>
      </c>
      <c r="H342" s="11" t="s">
        <v>141</v>
      </c>
      <c r="J342" s="11" t="s">
        <v>38</v>
      </c>
      <c r="K342" s="11">
        <v>51010101</v>
      </c>
      <c r="L342" s="11" t="s">
        <v>48</v>
      </c>
      <c r="M342" s="11"/>
      <c r="N342" s="11">
        <v>254.9</v>
      </c>
      <c r="O342" s="42">
        <v>-254.9</v>
      </c>
      <c r="P342" s="43" t="s">
        <v>4489</v>
      </c>
      <c r="Q342" s="11">
        <v>1350409.19</v>
      </c>
      <c r="R342" s="11" t="s">
        <v>999</v>
      </c>
      <c r="S342" s="11" t="s">
        <v>40</v>
      </c>
      <c r="T342" s="11">
        <v>0</v>
      </c>
      <c r="V342" s="11" t="s">
        <v>41</v>
      </c>
    </row>
    <row r="343" spans="1:22" x14ac:dyDescent="0.25">
      <c r="A343" s="11">
        <v>101060401</v>
      </c>
      <c r="B343" s="11" t="s">
        <v>34</v>
      </c>
      <c r="C343" s="41">
        <v>44860</v>
      </c>
      <c r="D343" s="41">
        <v>44860</v>
      </c>
      <c r="E343" s="11" t="s">
        <v>42</v>
      </c>
      <c r="F343" s="11" t="s">
        <v>1000</v>
      </c>
      <c r="G343" s="11">
        <v>107649</v>
      </c>
      <c r="H343" s="11" t="s">
        <v>251</v>
      </c>
      <c r="J343" s="11" t="s">
        <v>38</v>
      </c>
      <c r="K343" s="11" t="s">
        <v>252</v>
      </c>
      <c r="L343" s="11" t="s">
        <v>253</v>
      </c>
      <c r="M343" s="11">
        <v>136.53</v>
      </c>
      <c r="N343" s="11"/>
      <c r="O343" s="42">
        <v>136.53</v>
      </c>
      <c r="P343" s="43" t="s">
        <v>4488</v>
      </c>
      <c r="Q343" s="11">
        <v>1350545.72</v>
      </c>
      <c r="R343" s="11" t="s">
        <v>1001</v>
      </c>
      <c r="S343" s="11" t="s">
        <v>69</v>
      </c>
      <c r="T343" s="11">
        <v>0</v>
      </c>
      <c r="V343" s="11" t="s">
        <v>41</v>
      </c>
    </row>
    <row r="344" spans="1:22" x14ac:dyDescent="0.25">
      <c r="A344" s="11">
        <v>101060401</v>
      </c>
      <c r="B344" s="11" t="s">
        <v>34</v>
      </c>
      <c r="C344" s="41">
        <v>44860</v>
      </c>
      <c r="D344" s="41">
        <v>44860</v>
      </c>
      <c r="E344" s="11" t="s">
        <v>36</v>
      </c>
      <c r="F344" s="11" t="s">
        <v>1002</v>
      </c>
      <c r="G344" s="11">
        <v>107653</v>
      </c>
      <c r="H344" s="11" t="s">
        <v>85</v>
      </c>
      <c r="K344" s="11">
        <v>201040506</v>
      </c>
      <c r="L344" s="11" t="s">
        <v>46</v>
      </c>
      <c r="M344" s="11">
        <v>38.4</v>
      </c>
      <c r="N344" s="11"/>
      <c r="O344" s="42">
        <v>38.4</v>
      </c>
      <c r="P344" s="43" t="s">
        <v>4480</v>
      </c>
      <c r="Q344" s="11">
        <v>1350584.12</v>
      </c>
      <c r="R344" s="11" t="s">
        <v>1003</v>
      </c>
      <c r="S344" s="11" t="s">
        <v>40</v>
      </c>
      <c r="T344" s="11">
        <v>0</v>
      </c>
    </row>
    <row r="345" spans="1:22" x14ac:dyDescent="0.25">
      <c r="A345" s="11">
        <v>101060401</v>
      </c>
      <c r="B345" s="11" t="s">
        <v>34</v>
      </c>
      <c r="C345" s="41">
        <v>44860</v>
      </c>
      <c r="D345" s="41">
        <v>44860</v>
      </c>
      <c r="E345" s="11" t="s">
        <v>36</v>
      </c>
      <c r="F345" s="11" t="s">
        <v>1004</v>
      </c>
      <c r="G345" s="11">
        <v>107654</v>
      </c>
      <c r="H345" s="11" t="s">
        <v>153</v>
      </c>
      <c r="K345" s="11">
        <v>201040506</v>
      </c>
      <c r="L345" s="11" t="s">
        <v>46</v>
      </c>
      <c r="M345" s="11">
        <v>141.72</v>
      </c>
      <c r="N345" s="11"/>
      <c r="O345" s="42">
        <v>141.72</v>
      </c>
      <c r="P345" s="43" t="s">
        <v>4480</v>
      </c>
      <c r="Q345" s="11">
        <v>1350725.84</v>
      </c>
      <c r="R345" s="11" t="s">
        <v>1005</v>
      </c>
      <c r="S345" s="11" t="s">
        <v>40</v>
      </c>
      <c r="T345" s="11">
        <v>0</v>
      </c>
    </row>
    <row r="346" spans="1:22" x14ac:dyDescent="0.25">
      <c r="A346" s="11">
        <v>101060401</v>
      </c>
      <c r="B346" s="11" t="s">
        <v>34</v>
      </c>
      <c r="C346" s="41">
        <v>44860</v>
      </c>
      <c r="D346" s="41">
        <v>44860</v>
      </c>
      <c r="E346" s="11" t="s">
        <v>36</v>
      </c>
      <c r="F346" s="11" t="s">
        <v>1006</v>
      </c>
      <c r="G346" s="11">
        <v>107655</v>
      </c>
      <c r="H346" s="11" t="s">
        <v>75</v>
      </c>
      <c r="J346" s="11" t="s">
        <v>38</v>
      </c>
      <c r="K346" s="11">
        <v>51010101</v>
      </c>
      <c r="L346" s="11" t="s">
        <v>48</v>
      </c>
      <c r="M346" s="11"/>
      <c r="N346" s="11">
        <v>46.02</v>
      </c>
      <c r="O346" s="42">
        <v>-46.02</v>
      </c>
      <c r="P346" s="43" t="s">
        <v>4489</v>
      </c>
      <c r="Q346" s="11">
        <v>1350679.82</v>
      </c>
      <c r="R346" s="11" t="s">
        <v>1007</v>
      </c>
      <c r="S346" s="11" t="s">
        <v>40</v>
      </c>
      <c r="T346" s="11">
        <v>0</v>
      </c>
      <c r="V346" s="11" t="s">
        <v>41</v>
      </c>
    </row>
    <row r="347" spans="1:22" x14ac:dyDescent="0.25">
      <c r="A347" s="11">
        <v>101060401</v>
      </c>
      <c r="B347" s="11" t="s">
        <v>34</v>
      </c>
      <c r="C347" s="41">
        <v>44860</v>
      </c>
      <c r="D347" s="41">
        <v>44860</v>
      </c>
      <c r="E347" s="11" t="s">
        <v>36</v>
      </c>
      <c r="F347" s="11" t="s">
        <v>1008</v>
      </c>
      <c r="G347" s="11">
        <v>107656</v>
      </c>
      <c r="H347" s="11" t="s">
        <v>37</v>
      </c>
      <c r="J347" s="11" t="s">
        <v>38</v>
      </c>
      <c r="K347" s="11">
        <v>51010103</v>
      </c>
      <c r="L347" s="11" t="s">
        <v>39</v>
      </c>
      <c r="M347" s="26">
        <v>46.02</v>
      </c>
      <c r="O347" s="44">
        <v>46.02</v>
      </c>
      <c r="P347" s="43" t="s">
        <v>4493</v>
      </c>
      <c r="Q347" s="11">
        <v>1350725.84</v>
      </c>
      <c r="R347" s="11" t="s">
        <v>1009</v>
      </c>
      <c r="S347" s="11" t="s">
        <v>40</v>
      </c>
      <c r="T347" s="11">
        <v>0</v>
      </c>
      <c r="V347" s="11" t="s">
        <v>41</v>
      </c>
    </row>
    <row r="348" spans="1:22" x14ac:dyDescent="0.25">
      <c r="A348" s="11">
        <v>101060401</v>
      </c>
      <c r="B348" s="11" t="s">
        <v>34</v>
      </c>
      <c r="C348" s="41">
        <v>44860</v>
      </c>
      <c r="D348" s="41">
        <v>44860</v>
      </c>
      <c r="E348" s="11" t="s">
        <v>42</v>
      </c>
      <c r="F348" s="11" t="s">
        <v>1010</v>
      </c>
      <c r="G348" s="11">
        <v>107658</v>
      </c>
      <c r="H348" s="11" t="s">
        <v>57</v>
      </c>
      <c r="K348" s="11">
        <v>101060408</v>
      </c>
      <c r="L348" s="11" t="s">
        <v>82</v>
      </c>
      <c r="M348" s="11"/>
      <c r="N348" s="11">
        <v>141.84</v>
      </c>
      <c r="O348" s="42">
        <v>-141.84</v>
      </c>
      <c r="P348" s="43" t="s">
        <v>4481</v>
      </c>
      <c r="Q348" s="11">
        <v>1350584</v>
      </c>
      <c r="R348" s="11" t="s">
        <v>1011</v>
      </c>
      <c r="S348" s="11" t="s">
        <v>40</v>
      </c>
      <c r="T348" s="11">
        <v>0</v>
      </c>
    </row>
    <row r="349" spans="1:22" x14ac:dyDescent="0.25">
      <c r="A349" s="11">
        <v>101060401</v>
      </c>
      <c r="B349" s="11" t="s">
        <v>34</v>
      </c>
      <c r="C349" s="41">
        <v>44861</v>
      </c>
      <c r="D349" s="41">
        <v>44861</v>
      </c>
      <c r="E349" s="11" t="s">
        <v>42</v>
      </c>
      <c r="F349" s="11" t="s">
        <v>1012</v>
      </c>
      <c r="G349" s="11">
        <v>107662</v>
      </c>
      <c r="H349" s="11" t="s">
        <v>55</v>
      </c>
      <c r="J349" s="11" t="s">
        <v>38</v>
      </c>
      <c r="K349" s="11">
        <v>51010101</v>
      </c>
      <c r="L349" s="11" t="s">
        <v>48</v>
      </c>
      <c r="M349" s="11"/>
      <c r="N349" s="11">
        <v>547.29</v>
      </c>
      <c r="O349" s="42">
        <v>-547.29</v>
      </c>
      <c r="P349" s="43" t="s">
        <v>4489</v>
      </c>
      <c r="Q349" s="11">
        <v>1350036.71</v>
      </c>
      <c r="R349" s="11" t="s">
        <v>1013</v>
      </c>
      <c r="S349" s="11" t="s">
        <v>40</v>
      </c>
      <c r="T349" s="11">
        <v>0</v>
      </c>
      <c r="V349" s="11" t="s">
        <v>41</v>
      </c>
    </row>
    <row r="350" spans="1:22" x14ac:dyDescent="0.25">
      <c r="A350" s="11">
        <v>101060401</v>
      </c>
      <c r="B350" s="11" t="s">
        <v>34</v>
      </c>
      <c r="C350" s="41">
        <v>44861</v>
      </c>
      <c r="D350" s="41">
        <v>44861</v>
      </c>
      <c r="E350" s="11" t="s">
        <v>42</v>
      </c>
      <c r="F350" s="11" t="s">
        <v>1014</v>
      </c>
      <c r="G350" s="11">
        <v>107663</v>
      </c>
      <c r="H350" s="11" t="s">
        <v>130</v>
      </c>
      <c r="J350" s="11" t="s">
        <v>38</v>
      </c>
      <c r="K350" s="11" t="s">
        <v>131</v>
      </c>
      <c r="L350" s="11" t="s">
        <v>132</v>
      </c>
      <c r="M350" s="11">
        <v>561.63</v>
      </c>
      <c r="N350" s="11"/>
      <c r="O350" s="42">
        <v>561.63</v>
      </c>
      <c r="P350" s="43" t="s">
        <v>4488</v>
      </c>
      <c r="Q350" s="11">
        <v>1350598.34</v>
      </c>
      <c r="R350" s="11" t="s">
        <v>1015</v>
      </c>
      <c r="S350" s="11" t="s">
        <v>69</v>
      </c>
      <c r="T350" s="11">
        <v>0</v>
      </c>
      <c r="V350" s="11" t="s">
        <v>41</v>
      </c>
    </row>
    <row r="351" spans="1:22" x14ac:dyDescent="0.25">
      <c r="A351" s="11">
        <v>101060401</v>
      </c>
      <c r="B351" s="11" t="s">
        <v>34</v>
      </c>
      <c r="C351" s="41">
        <v>44861</v>
      </c>
      <c r="D351" s="41">
        <v>44861</v>
      </c>
      <c r="E351" s="11" t="s">
        <v>42</v>
      </c>
      <c r="F351" s="11" t="s">
        <v>1016</v>
      </c>
      <c r="G351" s="11">
        <v>107666</v>
      </c>
      <c r="H351" s="11" t="s">
        <v>95</v>
      </c>
      <c r="J351" s="11" t="s">
        <v>38</v>
      </c>
      <c r="K351" s="11">
        <v>51010101</v>
      </c>
      <c r="L351" s="11" t="s">
        <v>48</v>
      </c>
      <c r="M351" s="11"/>
      <c r="N351" s="11">
        <v>38.44</v>
      </c>
      <c r="O351" s="42">
        <v>-38.44</v>
      </c>
      <c r="P351" s="43" t="s">
        <v>4489</v>
      </c>
      <c r="Q351" s="11">
        <v>1350559.9</v>
      </c>
      <c r="R351" s="11" t="s">
        <v>218</v>
      </c>
      <c r="S351" s="11" t="s">
        <v>40</v>
      </c>
      <c r="T351" s="11">
        <v>0</v>
      </c>
      <c r="V351" s="11" t="s">
        <v>41</v>
      </c>
    </row>
    <row r="352" spans="1:22" x14ac:dyDescent="0.25">
      <c r="A352" s="11">
        <v>101060401</v>
      </c>
      <c r="B352" s="11" t="s">
        <v>34</v>
      </c>
      <c r="C352" s="41">
        <v>44861</v>
      </c>
      <c r="D352" s="41">
        <v>44861</v>
      </c>
      <c r="E352" s="11" t="s">
        <v>36</v>
      </c>
      <c r="F352" s="11" t="s">
        <v>1017</v>
      </c>
      <c r="G352" s="11">
        <v>107681</v>
      </c>
      <c r="H352" s="11" t="s">
        <v>52</v>
      </c>
      <c r="K352" s="11">
        <v>201040506</v>
      </c>
      <c r="L352" s="11" t="s">
        <v>46</v>
      </c>
      <c r="M352" s="11">
        <v>97.92</v>
      </c>
      <c r="N352" s="11"/>
      <c r="O352" s="42">
        <v>97.92</v>
      </c>
      <c r="P352" s="43" t="s">
        <v>4480</v>
      </c>
      <c r="Q352" s="11">
        <v>1350657.82</v>
      </c>
      <c r="R352" s="11" t="s">
        <v>1018</v>
      </c>
      <c r="S352" s="11" t="s">
        <v>40</v>
      </c>
      <c r="T352" s="11">
        <v>0</v>
      </c>
    </row>
    <row r="353" spans="1:22" x14ac:dyDescent="0.25">
      <c r="A353" s="11">
        <v>101060401</v>
      </c>
      <c r="B353" s="11" t="s">
        <v>34</v>
      </c>
      <c r="C353" s="41">
        <v>44861</v>
      </c>
      <c r="D353" s="41">
        <v>44861</v>
      </c>
      <c r="E353" s="11" t="s">
        <v>36</v>
      </c>
      <c r="F353" s="11" t="s">
        <v>1019</v>
      </c>
      <c r="G353" s="11">
        <v>107682</v>
      </c>
      <c r="H353" s="11" t="s">
        <v>52</v>
      </c>
      <c r="K353" s="11">
        <v>201040506</v>
      </c>
      <c r="L353" s="11" t="s">
        <v>46</v>
      </c>
      <c r="M353" s="11">
        <v>503.36</v>
      </c>
      <c r="N353" s="11"/>
      <c r="O353" s="42">
        <v>503.36</v>
      </c>
      <c r="P353" s="43" t="s">
        <v>4480</v>
      </c>
      <c r="Q353" s="11">
        <v>1351161.18</v>
      </c>
      <c r="R353" s="11" t="s">
        <v>1020</v>
      </c>
      <c r="S353" s="11" t="s">
        <v>40</v>
      </c>
      <c r="T353" s="11">
        <v>0</v>
      </c>
    </row>
    <row r="354" spans="1:22" x14ac:dyDescent="0.25">
      <c r="A354" s="11">
        <v>101060401</v>
      </c>
      <c r="B354" s="11" t="s">
        <v>34</v>
      </c>
      <c r="C354" s="41">
        <v>44861</v>
      </c>
      <c r="D354" s="41">
        <v>44861</v>
      </c>
      <c r="E354" s="11" t="s">
        <v>36</v>
      </c>
      <c r="F354" s="11" t="s">
        <v>1021</v>
      </c>
      <c r="G354" s="11">
        <v>107716</v>
      </c>
      <c r="H354" s="11" t="s">
        <v>89</v>
      </c>
      <c r="K354" s="11">
        <v>201040506</v>
      </c>
      <c r="L354" s="11" t="s">
        <v>46</v>
      </c>
      <c r="M354" s="11">
        <v>411</v>
      </c>
      <c r="N354" s="11"/>
      <c r="O354" s="42">
        <v>411</v>
      </c>
      <c r="P354" s="43" t="s">
        <v>4480</v>
      </c>
      <c r="Q354" s="11">
        <v>1351572.18</v>
      </c>
      <c r="R354" s="11" t="s">
        <v>1022</v>
      </c>
      <c r="S354" s="11" t="s">
        <v>40</v>
      </c>
      <c r="T354" s="11">
        <v>0</v>
      </c>
    </row>
    <row r="355" spans="1:22" x14ac:dyDescent="0.25">
      <c r="A355" s="11">
        <v>101060401</v>
      </c>
      <c r="B355" s="11" t="s">
        <v>34</v>
      </c>
      <c r="C355" s="41">
        <v>44861</v>
      </c>
      <c r="D355" s="41">
        <v>44861</v>
      </c>
      <c r="E355" s="11" t="s">
        <v>42</v>
      </c>
      <c r="F355" s="11" t="s">
        <v>1023</v>
      </c>
      <c r="G355" s="11">
        <v>107719</v>
      </c>
      <c r="H355" s="11" t="s">
        <v>57</v>
      </c>
      <c r="K355" s="11">
        <v>101060402</v>
      </c>
      <c r="L355" s="11" t="s">
        <v>44</v>
      </c>
      <c r="M355" s="11"/>
      <c r="N355" s="11">
        <v>411</v>
      </c>
      <c r="O355" s="42">
        <v>-411</v>
      </c>
      <c r="P355" s="43" t="s">
        <v>4481</v>
      </c>
      <c r="Q355" s="11">
        <v>1351161.18</v>
      </c>
      <c r="R355" s="11" t="s">
        <v>1024</v>
      </c>
      <c r="S355" s="11" t="s">
        <v>40</v>
      </c>
      <c r="T355" s="11">
        <v>0</v>
      </c>
    </row>
    <row r="356" spans="1:22" x14ac:dyDescent="0.25">
      <c r="A356" s="11">
        <v>101060401</v>
      </c>
      <c r="B356" s="11" t="s">
        <v>34</v>
      </c>
      <c r="C356" s="41">
        <v>44861</v>
      </c>
      <c r="D356" s="41">
        <v>44861</v>
      </c>
      <c r="E356" s="11" t="s">
        <v>42</v>
      </c>
      <c r="F356" s="11" t="s">
        <v>1025</v>
      </c>
      <c r="G356" s="11">
        <v>107720</v>
      </c>
      <c r="H356" s="11" t="s">
        <v>56</v>
      </c>
      <c r="J356" s="11" t="s">
        <v>38</v>
      </c>
      <c r="K356" s="11">
        <v>51010101</v>
      </c>
      <c r="L356" s="11" t="s">
        <v>48</v>
      </c>
      <c r="M356" s="11"/>
      <c r="N356" s="11">
        <v>5.17</v>
      </c>
      <c r="O356" s="42">
        <v>-5.17</v>
      </c>
      <c r="P356" s="43" t="s">
        <v>4489</v>
      </c>
      <c r="Q356" s="11">
        <v>1351156.01</v>
      </c>
      <c r="R356" s="11" t="s">
        <v>1026</v>
      </c>
      <c r="S356" s="11" t="s">
        <v>40</v>
      </c>
      <c r="T356" s="11">
        <v>0</v>
      </c>
      <c r="V356" s="11" t="s">
        <v>41</v>
      </c>
    </row>
    <row r="357" spans="1:22" x14ac:dyDescent="0.25">
      <c r="A357" s="11">
        <v>101060401</v>
      </c>
      <c r="B357" s="11" t="s">
        <v>34</v>
      </c>
      <c r="C357" s="41">
        <v>44861</v>
      </c>
      <c r="D357" s="41">
        <v>44861</v>
      </c>
      <c r="E357" s="11" t="s">
        <v>36</v>
      </c>
      <c r="F357" s="11" t="s">
        <v>1027</v>
      </c>
      <c r="G357" s="11">
        <v>107723</v>
      </c>
      <c r="H357" s="11" t="s">
        <v>52</v>
      </c>
      <c r="K357" s="11">
        <v>201040506</v>
      </c>
      <c r="L357" s="11" t="s">
        <v>46</v>
      </c>
      <c r="M357" s="11">
        <v>452.37</v>
      </c>
      <c r="N357" s="11"/>
      <c r="O357" s="42">
        <v>452.37</v>
      </c>
      <c r="P357" s="43" t="s">
        <v>4480</v>
      </c>
      <c r="Q357" s="11">
        <v>1351608.38</v>
      </c>
      <c r="R357" s="11" t="s">
        <v>1028</v>
      </c>
      <c r="S357" s="11" t="s">
        <v>40</v>
      </c>
      <c r="T357" s="11">
        <v>0</v>
      </c>
    </row>
    <row r="358" spans="1:22" x14ac:dyDescent="0.25">
      <c r="A358" s="11">
        <v>101060401</v>
      </c>
      <c r="B358" s="11" t="s">
        <v>34</v>
      </c>
      <c r="C358" s="41">
        <v>44861</v>
      </c>
      <c r="D358" s="41">
        <v>44861</v>
      </c>
      <c r="E358" s="11" t="s">
        <v>42</v>
      </c>
      <c r="F358" s="11" t="s">
        <v>1029</v>
      </c>
      <c r="G358" s="11">
        <v>107725</v>
      </c>
      <c r="H358" s="11" t="s">
        <v>47</v>
      </c>
      <c r="J358" s="11" t="s">
        <v>38</v>
      </c>
      <c r="K358" s="11">
        <v>51010101</v>
      </c>
      <c r="L358" s="11" t="s">
        <v>48</v>
      </c>
      <c r="M358" s="11"/>
      <c r="N358" s="11">
        <v>452.37</v>
      </c>
      <c r="O358" s="42">
        <v>-452.37</v>
      </c>
      <c r="P358" s="43" t="s">
        <v>4489</v>
      </c>
      <c r="Q358" s="11">
        <v>1351156.01</v>
      </c>
      <c r="R358" s="11" t="s">
        <v>1030</v>
      </c>
      <c r="S358" s="11" t="s">
        <v>40</v>
      </c>
      <c r="T358" s="11">
        <v>0</v>
      </c>
      <c r="V358" s="11" t="s">
        <v>41</v>
      </c>
    </row>
    <row r="359" spans="1:22" x14ac:dyDescent="0.25">
      <c r="A359" s="11">
        <v>101060401</v>
      </c>
      <c r="B359" s="11" t="s">
        <v>34</v>
      </c>
      <c r="C359" s="41">
        <v>44861</v>
      </c>
      <c r="D359" s="41">
        <v>44861</v>
      </c>
      <c r="E359" s="11" t="s">
        <v>36</v>
      </c>
      <c r="F359" s="11" t="s">
        <v>1031</v>
      </c>
      <c r="G359" s="11">
        <v>107729</v>
      </c>
      <c r="H359" s="11" t="s">
        <v>75</v>
      </c>
      <c r="J359" s="11" t="s">
        <v>38</v>
      </c>
      <c r="K359" s="11">
        <v>51010101</v>
      </c>
      <c r="L359" s="11" t="s">
        <v>48</v>
      </c>
      <c r="M359" s="11"/>
      <c r="N359" s="11">
        <v>166.5</v>
      </c>
      <c r="O359" s="42">
        <v>-166.5</v>
      </c>
      <c r="P359" s="43" t="s">
        <v>4489</v>
      </c>
      <c r="Q359" s="11">
        <v>1350989.51</v>
      </c>
      <c r="R359" s="11" t="s">
        <v>1032</v>
      </c>
      <c r="S359" s="11" t="s">
        <v>40</v>
      </c>
      <c r="T359" s="11">
        <v>0</v>
      </c>
      <c r="V359" s="11" t="s">
        <v>41</v>
      </c>
    </row>
    <row r="360" spans="1:22" x14ac:dyDescent="0.25">
      <c r="A360" s="11">
        <v>101060401</v>
      </c>
      <c r="B360" s="11" t="s">
        <v>34</v>
      </c>
      <c r="C360" s="41">
        <v>44861</v>
      </c>
      <c r="D360" s="41">
        <v>44861</v>
      </c>
      <c r="E360" s="11" t="s">
        <v>36</v>
      </c>
      <c r="F360" s="11" t="s">
        <v>1033</v>
      </c>
      <c r="G360" s="11">
        <v>107731</v>
      </c>
      <c r="H360" s="11" t="s">
        <v>37</v>
      </c>
      <c r="J360" s="11" t="s">
        <v>38</v>
      </c>
      <c r="K360" s="11">
        <v>401030105</v>
      </c>
      <c r="L360" s="11" t="s">
        <v>54</v>
      </c>
      <c r="M360" s="26">
        <v>270.54000000000002</v>
      </c>
      <c r="O360" s="44">
        <v>270.54000000000002</v>
      </c>
      <c r="P360" s="43" t="s">
        <v>4494</v>
      </c>
      <c r="Q360" s="11">
        <v>1351260.05</v>
      </c>
      <c r="R360" s="11" t="s">
        <v>1034</v>
      </c>
      <c r="S360" s="11" t="s">
        <v>40</v>
      </c>
      <c r="T360" s="11">
        <v>0</v>
      </c>
      <c r="V360" s="11" t="s">
        <v>41</v>
      </c>
    </row>
    <row r="361" spans="1:22" x14ac:dyDescent="0.25">
      <c r="A361" s="11">
        <v>101060401</v>
      </c>
      <c r="B361" s="11" t="s">
        <v>34</v>
      </c>
      <c r="C361" s="41">
        <v>44861</v>
      </c>
      <c r="D361" s="41">
        <v>44861</v>
      </c>
      <c r="E361" s="11" t="s">
        <v>42</v>
      </c>
      <c r="F361" s="11" t="s">
        <v>1035</v>
      </c>
      <c r="G361" s="11">
        <v>107732</v>
      </c>
      <c r="H361" s="11" t="s">
        <v>57</v>
      </c>
      <c r="K361" s="11">
        <v>101060402</v>
      </c>
      <c r="L361" s="11" t="s">
        <v>44</v>
      </c>
      <c r="M361" s="11"/>
      <c r="N361" s="11">
        <v>270.54000000000002</v>
      </c>
      <c r="O361" s="42">
        <v>-270.54000000000002</v>
      </c>
      <c r="P361" s="43" t="s">
        <v>4481</v>
      </c>
      <c r="Q361" s="11">
        <v>1350989.51</v>
      </c>
      <c r="R361" s="11" t="s">
        <v>1036</v>
      </c>
      <c r="S361" s="11" t="s">
        <v>40</v>
      </c>
      <c r="T361" s="11">
        <v>0</v>
      </c>
    </row>
    <row r="362" spans="1:22" x14ac:dyDescent="0.25">
      <c r="A362" s="11">
        <v>101060401</v>
      </c>
      <c r="B362" s="11" t="s">
        <v>34</v>
      </c>
      <c r="C362" s="41">
        <v>44861</v>
      </c>
      <c r="D362" s="41">
        <v>44861</v>
      </c>
      <c r="E362" s="11" t="s">
        <v>36</v>
      </c>
      <c r="F362" s="11" t="s">
        <v>1037</v>
      </c>
      <c r="G362" s="11">
        <v>107733</v>
      </c>
      <c r="H362" s="11" t="s">
        <v>52</v>
      </c>
      <c r="K362" s="11">
        <v>201040506</v>
      </c>
      <c r="L362" s="11" t="s">
        <v>46</v>
      </c>
      <c r="M362" s="11">
        <v>459.16</v>
      </c>
      <c r="N362" s="11"/>
      <c r="O362" s="42">
        <v>459.16</v>
      </c>
      <c r="P362" s="43" t="s">
        <v>4480</v>
      </c>
      <c r="Q362" s="11">
        <v>1351448.67</v>
      </c>
      <c r="R362" s="11" t="s">
        <v>1038</v>
      </c>
      <c r="S362" s="11" t="s">
        <v>40</v>
      </c>
      <c r="T362" s="11">
        <v>0</v>
      </c>
    </row>
    <row r="363" spans="1:22" x14ac:dyDescent="0.25">
      <c r="A363" s="11">
        <v>101060401</v>
      </c>
      <c r="B363" s="11" t="s">
        <v>34</v>
      </c>
      <c r="C363" s="41">
        <v>44861</v>
      </c>
      <c r="D363" s="41">
        <v>44861</v>
      </c>
      <c r="E363" s="11" t="s">
        <v>42</v>
      </c>
      <c r="F363" s="11" t="s">
        <v>1039</v>
      </c>
      <c r="G363" s="11">
        <v>107736</v>
      </c>
      <c r="H363" s="11" t="s">
        <v>57</v>
      </c>
      <c r="K363" s="11">
        <v>101060402</v>
      </c>
      <c r="L363" s="11" t="s">
        <v>44</v>
      </c>
      <c r="M363" s="11"/>
      <c r="N363" s="11">
        <v>458.41</v>
      </c>
      <c r="O363" s="42">
        <v>-458.41</v>
      </c>
      <c r="P363" s="43" t="s">
        <v>4481</v>
      </c>
      <c r="Q363" s="11">
        <v>1350990.26</v>
      </c>
      <c r="R363" s="11" t="s">
        <v>1040</v>
      </c>
      <c r="S363" s="11" t="s">
        <v>40</v>
      </c>
      <c r="T363" s="11">
        <v>0</v>
      </c>
    </row>
    <row r="364" spans="1:22" x14ac:dyDescent="0.25">
      <c r="A364" s="11">
        <v>101060401</v>
      </c>
      <c r="B364" s="11" t="s">
        <v>34</v>
      </c>
      <c r="C364" s="41">
        <v>44861</v>
      </c>
      <c r="D364" s="41">
        <v>44861</v>
      </c>
      <c r="E364" s="11" t="s">
        <v>36</v>
      </c>
      <c r="F364" s="11" t="s">
        <v>1041</v>
      </c>
      <c r="G364" s="11">
        <v>107739</v>
      </c>
      <c r="H364" s="11" t="s">
        <v>52</v>
      </c>
      <c r="K364" s="11">
        <v>201040506</v>
      </c>
      <c r="L364" s="11" t="s">
        <v>46</v>
      </c>
      <c r="M364" s="11">
        <v>1162.46</v>
      </c>
      <c r="N364" s="11"/>
      <c r="O364" s="42">
        <v>1162.46</v>
      </c>
      <c r="P364" s="43" t="s">
        <v>4480</v>
      </c>
      <c r="Q364" s="11">
        <v>1352152.72</v>
      </c>
      <c r="R364" s="11" t="s">
        <v>1042</v>
      </c>
      <c r="S364" s="11" t="s">
        <v>40</v>
      </c>
      <c r="T364" s="11">
        <v>0</v>
      </c>
    </row>
    <row r="365" spans="1:22" x14ac:dyDescent="0.25">
      <c r="A365" s="11">
        <v>101060401</v>
      </c>
      <c r="B365" s="11" t="s">
        <v>34</v>
      </c>
      <c r="C365" s="41">
        <v>44861</v>
      </c>
      <c r="D365" s="41">
        <v>44861</v>
      </c>
      <c r="E365" s="11" t="s">
        <v>42</v>
      </c>
      <c r="F365" s="11" t="s">
        <v>1043</v>
      </c>
      <c r="G365" s="11">
        <v>107741</v>
      </c>
      <c r="H365" s="11" t="s">
        <v>47</v>
      </c>
      <c r="J365" s="11" t="s">
        <v>38</v>
      </c>
      <c r="K365" s="11">
        <v>51010101</v>
      </c>
      <c r="L365" s="11" t="s">
        <v>48</v>
      </c>
      <c r="M365" s="11"/>
      <c r="N365" s="11">
        <v>1162.46</v>
      </c>
      <c r="O365" s="42">
        <v>-1162.46</v>
      </c>
      <c r="P365" s="43" t="s">
        <v>4489</v>
      </c>
      <c r="Q365" s="11">
        <v>1350990.26</v>
      </c>
      <c r="R365" s="11" t="s">
        <v>1044</v>
      </c>
      <c r="S365" s="11" t="s">
        <v>40</v>
      </c>
      <c r="T365" s="11">
        <v>0</v>
      </c>
      <c r="V365" s="11" t="s">
        <v>41</v>
      </c>
    </row>
    <row r="366" spans="1:22" x14ac:dyDescent="0.25">
      <c r="A366" s="11">
        <v>101060401</v>
      </c>
      <c r="B366" s="11" t="s">
        <v>34</v>
      </c>
      <c r="C366" s="41">
        <v>44861</v>
      </c>
      <c r="D366" s="41">
        <v>44861</v>
      </c>
      <c r="E366" s="11" t="s">
        <v>42</v>
      </c>
      <c r="F366" s="11" t="s">
        <v>1045</v>
      </c>
      <c r="G366" s="11">
        <v>107747</v>
      </c>
      <c r="H366" s="11" t="s">
        <v>53</v>
      </c>
      <c r="J366" s="11" t="s">
        <v>38</v>
      </c>
      <c r="K366" s="11">
        <v>51010101</v>
      </c>
      <c r="L366" s="11" t="s">
        <v>48</v>
      </c>
      <c r="M366" s="11"/>
      <c r="N366" s="11">
        <v>203.97</v>
      </c>
      <c r="O366" s="42">
        <v>-203.97</v>
      </c>
      <c r="P366" s="43" t="s">
        <v>4489</v>
      </c>
      <c r="Q366" s="11">
        <v>1350786.29</v>
      </c>
      <c r="R366" s="11" t="s">
        <v>1046</v>
      </c>
      <c r="S366" s="11" t="s">
        <v>40</v>
      </c>
      <c r="T366" s="11">
        <v>0</v>
      </c>
      <c r="V366" s="11" t="s">
        <v>41</v>
      </c>
    </row>
    <row r="367" spans="1:22" x14ac:dyDescent="0.25">
      <c r="A367" s="11">
        <v>101060401</v>
      </c>
      <c r="B367" s="11" t="s">
        <v>34</v>
      </c>
      <c r="C367" s="41">
        <v>44862</v>
      </c>
      <c r="D367" s="41">
        <v>44862</v>
      </c>
      <c r="E367" s="11" t="s">
        <v>42</v>
      </c>
      <c r="F367" s="11" t="s">
        <v>1047</v>
      </c>
      <c r="G367" s="11">
        <v>107754</v>
      </c>
      <c r="H367" s="11" t="s">
        <v>623</v>
      </c>
      <c r="J367" s="11" t="s">
        <v>38</v>
      </c>
      <c r="K367" s="11">
        <v>51010101</v>
      </c>
      <c r="L367" s="11" t="s">
        <v>48</v>
      </c>
      <c r="M367" s="11"/>
      <c r="N367" s="11">
        <v>503.36</v>
      </c>
      <c r="O367" s="42">
        <v>-503.36</v>
      </c>
      <c r="P367" s="43" t="s">
        <v>4489</v>
      </c>
      <c r="Q367" s="11">
        <v>1350282.93</v>
      </c>
      <c r="R367" s="11" t="s">
        <v>1048</v>
      </c>
      <c r="S367" s="11" t="s">
        <v>40</v>
      </c>
      <c r="T367" s="11">
        <v>0</v>
      </c>
      <c r="V367" s="11" t="s">
        <v>41</v>
      </c>
    </row>
    <row r="368" spans="1:22" x14ac:dyDescent="0.25">
      <c r="A368" s="11">
        <v>101060401</v>
      </c>
      <c r="B368" s="11" t="s">
        <v>34</v>
      </c>
      <c r="C368" s="41">
        <v>44862</v>
      </c>
      <c r="D368" s="41">
        <v>44862</v>
      </c>
      <c r="E368" s="11" t="s">
        <v>36</v>
      </c>
      <c r="F368" s="11" t="s">
        <v>1049</v>
      </c>
      <c r="G368" s="11">
        <v>107761</v>
      </c>
      <c r="H368" s="11" t="s">
        <v>52</v>
      </c>
      <c r="K368" s="11">
        <v>201040506</v>
      </c>
      <c r="L368" s="11" t="s">
        <v>46</v>
      </c>
      <c r="M368" s="11">
        <v>65.45</v>
      </c>
      <c r="N368" s="11"/>
      <c r="O368" s="42">
        <v>65.45</v>
      </c>
      <c r="P368" s="43" t="s">
        <v>4480</v>
      </c>
      <c r="Q368" s="11">
        <v>1350348.38</v>
      </c>
      <c r="R368" s="11" t="s">
        <v>1050</v>
      </c>
      <c r="S368" s="11" t="s">
        <v>40</v>
      </c>
      <c r="T368" s="11">
        <v>0</v>
      </c>
    </row>
    <row r="369" spans="1:22" x14ac:dyDescent="0.25">
      <c r="A369" s="11">
        <v>101060401</v>
      </c>
      <c r="B369" s="11" t="s">
        <v>34</v>
      </c>
      <c r="C369" s="41">
        <v>44862</v>
      </c>
      <c r="D369" s="41">
        <v>44862</v>
      </c>
      <c r="E369" s="11" t="s">
        <v>36</v>
      </c>
      <c r="F369" s="11" t="s">
        <v>1051</v>
      </c>
      <c r="G369" s="11">
        <v>107762</v>
      </c>
      <c r="H369" s="11" t="s">
        <v>52</v>
      </c>
      <c r="K369" s="11">
        <v>201040506</v>
      </c>
      <c r="L369" s="11" t="s">
        <v>46</v>
      </c>
      <c r="M369" s="11">
        <v>1189.46</v>
      </c>
      <c r="N369" s="11"/>
      <c r="O369" s="42">
        <v>1189.46</v>
      </c>
      <c r="P369" s="43" t="s">
        <v>4480</v>
      </c>
      <c r="Q369" s="11">
        <v>1351537.84</v>
      </c>
      <c r="R369" s="11" t="s">
        <v>1052</v>
      </c>
      <c r="S369" s="11" t="s">
        <v>40</v>
      </c>
      <c r="T369" s="11">
        <v>0</v>
      </c>
    </row>
    <row r="370" spans="1:22" x14ac:dyDescent="0.25">
      <c r="A370" s="11">
        <v>101060401</v>
      </c>
      <c r="B370" s="11" t="s">
        <v>34</v>
      </c>
      <c r="C370" s="41">
        <v>44862</v>
      </c>
      <c r="D370" s="41">
        <v>44862</v>
      </c>
      <c r="E370" s="11" t="s">
        <v>36</v>
      </c>
      <c r="F370" s="11" t="s">
        <v>1053</v>
      </c>
      <c r="G370" s="11">
        <v>107763</v>
      </c>
      <c r="H370" s="11" t="s">
        <v>52</v>
      </c>
      <c r="K370" s="11">
        <v>201040506</v>
      </c>
      <c r="L370" s="11" t="s">
        <v>46</v>
      </c>
      <c r="M370" s="11">
        <v>226.71</v>
      </c>
      <c r="N370" s="11"/>
      <c r="O370" s="42">
        <v>226.71</v>
      </c>
      <c r="P370" s="43" t="s">
        <v>4480</v>
      </c>
      <c r="Q370" s="11">
        <v>1351764.55</v>
      </c>
      <c r="R370" s="11" t="s">
        <v>1054</v>
      </c>
      <c r="S370" s="11" t="s">
        <v>40</v>
      </c>
      <c r="T370" s="11">
        <v>0</v>
      </c>
    </row>
    <row r="371" spans="1:22" x14ac:dyDescent="0.25">
      <c r="A371" s="11">
        <v>101060401</v>
      </c>
      <c r="B371" s="11" t="s">
        <v>34</v>
      </c>
      <c r="C371" s="41">
        <v>44862</v>
      </c>
      <c r="D371" s="41">
        <v>44862</v>
      </c>
      <c r="E371" s="11" t="s">
        <v>36</v>
      </c>
      <c r="F371" s="11" t="s">
        <v>1055</v>
      </c>
      <c r="G371" s="11">
        <v>107764</v>
      </c>
      <c r="H371" s="11" t="s">
        <v>52</v>
      </c>
      <c r="K371" s="11">
        <v>201040506</v>
      </c>
      <c r="L371" s="11" t="s">
        <v>46</v>
      </c>
      <c r="M371" s="11">
        <v>1954.46</v>
      </c>
      <c r="N371" s="11"/>
      <c r="O371" s="42">
        <v>1954.46</v>
      </c>
      <c r="P371" s="43" t="s">
        <v>4480</v>
      </c>
      <c r="Q371" s="11">
        <v>1353719.01</v>
      </c>
      <c r="R371" s="11" t="s">
        <v>1056</v>
      </c>
      <c r="S371" s="11" t="s">
        <v>40</v>
      </c>
      <c r="T371" s="11">
        <v>0</v>
      </c>
    </row>
    <row r="372" spans="1:22" x14ac:dyDescent="0.25">
      <c r="A372" s="11">
        <v>101060401</v>
      </c>
      <c r="B372" s="11" t="s">
        <v>34</v>
      </c>
      <c r="C372" s="41">
        <v>44862</v>
      </c>
      <c r="D372" s="41">
        <v>44862</v>
      </c>
      <c r="E372" s="11" t="s">
        <v>42</v>
      </c>
      <c r="F372" s="11" t="s">
        <v>1057</v>
      </c>
      <c r="G372" s="11">
        <v>107765</v>
      </c>
      <c r="H372" s="11" t="s">
        <v>302</v>
      </c>
      <c r="J372" s="11" t="s">
        <v>38</v>
      </c>
      <c r="K372" s="11">
        <v>51010101</v>
      </c>
      <c r="L372" s="11" t="s">
        <v>48</v>
      </c>
      <c r="M372" s="11"/>
      <c r="N372" s="11">
        <v>91.62</v>
      </c>
      <c r="O372" s="42">
        <v>-91.62</v>
      </c>
      <c r="P372" s="43" t="s">
        <v>4489</v>
      </c>
      <c r="Q372" s="11">
        <v>1353627.39</v>
      </c>
      <c r="R372" s="11" t="s">
        <v>1058</v>
      </c>
      <c r="S372" s="11" t="s">
        <v>40</v>
      </c>
      <c r="T372" s="11">
        <v>0</v>
      </c>
      <c r="V372" s="11" t="s">
        <v>41</v>
      </c>
    </row>
    <row r="373" spans="1:22" x14ac:dyDescent="0.25">
      <c r="A373" s="11">
        <v>101060401</v>
      </c>
      <c r="B373" s="11" t="s">
        <v>34</v>
      </c>
      <c r="C373" s="41">
        <v>44862</v>
      </c>
      <c r="D373" s="41">
        <v>44862</v>
      </c>
      <c r="E373" s="11" t="s">
        <v>42</v>
      </c>
      <c r="F373" s="11" t="s">
        <v>1059</v>
      </c>
      <c r="G373" s="11">
        <v>107767</v>
      </c>
      <c r="H373" s="11" t="s">
        <v>957</v>
      </c>
      <c r="J373" s="11" t="s">
        <v>38</v>
      </c>
      <c r="K373" s="11">
        <v>51010101</v>
      </c>
      <c r="L373" s="11" t="s">
        <v>48</v>
      </c>
      <c r="M373" s="11"/>
      <c r="N373" s="11">
        <v>226.71</v>
      </c>
      <c r="O373" s="42">
        <v>-226.71</v>
      </c>
      <c r="P373" s="43" t="s">
        <v>4489</v>
      </c>
      <c r="Q373" s="11">
        <v>1353400.68</v>
      </c>
      <c r="R373" s="11" t="s">
        <v>1060</v>
      </c>
      <c r="S373" s="11" t="s">
        <v>40</v>
      </c>
      <c r="T373" s="11">
        <v>0</v>
      </c>
      <c r="V373" s="11" t="s">
        <v>41</v>
      </c>
    </row>
    <row r="374" spans="1:22" x14ac:dyDescent="0.25">
      <c r="A374" s="11">
        <v>101060401</v>
      </c>
      <c r="B374" s="11" t="s">
        <v>34</v>
      </c>
      <c r="C374" s="41">
        <v>44862</v>
      </c>
      <c r="D374" s="41">
        <v>44862</v>
      </c>
      <c r="E374" s="11" t="s">
        <v>42</v>
      </c>
      <c r="F374" s="11" t="s">
        <v>1061</v>
      </c>
      <c r="G374" s="11">
        <v>107769</v>
      </c>
      <c r="H374" s="11" t="s">
        <v>141</v>
      </c>
      <c r="J374" s="11" t="s">
        <v>38</v>
      </c>
      <c r="K374" s="11">
        <v>51010101</v>
      </c>
      <c r="L374" s="11" t="s">
        <v>48</v>
      </c>
      <c r="M374" s="11"/>
      <c r="N374" s="11">
        <v>341.06</v>
      </c>
      <c r="O374" s="42">
        <v>-341.06</v>
      </c>
      <c r="P374" s="43" t="s">
        <v>4489</v>
      </c>
      <c r="Q374" s="11">
        <v>1353059.62</v>
      </c>
      <c r="R374" s="11" t="s">
        <v>1062</v>
      </c>
      <c r="S374" s="11" t="s">
        <v>40</v>
      </c>
      <c r="T374" s="11">
        <v>0</v>
      </c>
      <c r="V374" s="11" t="s">
        <v>41</v>
      </c>
    </row>
    <row r="375" spans="1:22" x14ac:dyDescent="0.25">
      <c r="A375" s="11">
        <v>101060401</v>
      </c>
      <c r="B375" s="11" t="s">
        <v>34</v>
      </c>
      <c r="C375" s="41">
        <v>44862</v>
      </c>
      <c r="D375" s="41">
        <v>44862</v>
      </c>
      <c r="E375" s="11" t="s">
        <v>42</v>
      </c>
      <c r="F375" s="11" t="s">
        <v>1063</v>
      </c>
      <c r="G375" s="11">
        <v>107770</v>
      </c>
      <c r="H375" s="11" t="s">
        <v>141</v>
      </c>
      <c r="J375" s="11" t="s">
        <v>38</v>
      </c>
      <c r="K375" s="11">
        <v>51010101</v>
      </c>
      <c r="L375" s="11" t="s">
        <v>48</v>
      </c>
      <c r="M375" s="11"/>
      <c r="N375" s="11">
        <v>77.81</v>
      </c>
      <c r="O375" s="42">
        <v>-77.81</v>
      </c>
      <c r="P375" s="43" t="s">
        <v>4489</v>
      </c>
      <c r="Q375" s="11">
        <v>1352981.81</v>
      </c>
      <c r="R375" s="11" t="s">
        <v>1064</v>
      </c>
      <c r="S375" s="11" t="s">
        <v>40</v>
      </c>
      <c r="T375" s="11">
        <v>0</v>
      </c>
      <c r="V375" s="11" t="s">
        <v>41</v>
      </c>
    </row>
    <row r="376" spans="1:22" x14ac:dyDescent="0.25">
      <c r="A376" s="11">
        <v>101060401</v>
      </c>
      <c r="B376" s="11" t="s">
        <v>34</v>
      </c>
      <c r="C376" s="41">
        <v>44862</v>
      </c>
      <c r="D376" s="41">
        <v>44862</v>
      </c>
      <c r="E376" s="11" t="s">
        <v>36</v>
      </c>
      <c r="F376" s="11" t="s">
        <v>1065</v>
      </c>
      <c r="G376" s="11">
        <v>107771</v>
      </c>
      <c r="H376" s="11" t="s">
        <v>37</v>
      </c>
      <c r="J376" s="11" t="s">
        <v>38</v>
      </c>
      <c r="K376" s="11">
        <v>401030105</v>
      </c>
      <c r="L376" s="11" t="s">
        <v>54</v>
      </c>
      <c r="M376" s="26">
        <v>2</v>
      </c>
      <c r="O376" s="44">
        <v>2</v>
      </c>
      <c r="P376" s="43" t="s">
        <v>4494</v>
      </c>
      <c r="Q376" s="11">
        <v>1352983.81</v>
      </c>
      <c r="R376" s="11" t="s">
        <v>169</v>
      </c>
      <c r="S376" s="11" t="s">
        <v>40</v>
      </c>
      <c r="T376" s="11">
        <v>0</v>
      </c>
      <c r="V376" s="11" t="s">
        <v>41</v>
      </c>
    </row>
    <row r="377" spans="1:22" x14ac:dyDescent="0.25">
      <c r="A377" s="11">
        <v>101060401</v>
      </c>
      <c r="B377" s="11" t="s">
        <v>34</v>
      </c>
      <c r="C377" s="41">
        <v>44862</v>
      </c>
      <c r="D377" s="41">
        <v>44862</v>
      </c>
      <c r="E377" s="11" t="s">
        <v>42</v>
      </c>
      <c r="F377" s="11" t="s">
        <v>1066</v>
      </c>
      <c r="G377" s="11">
        <v>107772</v>
      </c>
      <c r="H377" s="11" t="s">
        <v>1067</v>
      </c>
      <c r="J377" s="11" t="s">
        <v>38</v>
      </c>
      <c r="K377" s="11">
        <v>51010101</v>
      </c>
      <c r="L377" s="11" t="s">
        <v>48</v>
      </c>
      <c r="M377" s="11"/>
      <c r="N377" s="11">
        <v>2</v>
      </c>
      <c r="O377" s="42">
        <v>-2</v>
      </c>
      <c r="P377" s="43" t="s">
        <v>4489</v>
      </c>
      <c r="Q377" s="11">
        <v>1352981.81</v>
      </c>
      <c r="R377" s="11" t="s">
        <v>170</v>
      </c>
      <c r="S377" s="11" t="s">
        <v>40</v>
      </c>
      <c r="T377" s="11">
        <v>0</v>
      </c>
      <c r="V377" s="11" t="s">
        <v>41</v>
      </c>
    </row>
    <row r="378" spans="1:22" x14ac:dyDescent="0.25">
      <c r="A378" s="11">
        <v>101060401</v>
      </c>
      <c r="B378" s="11" t="s">
        <v>34</v>
      </c>
      <c r="C378" s="41">
        <v>44862</v>
      </c>
      <c r="D378" s="41">
        <v>44862</v>
      </c>
      <c r="E378" s="11" t="s">
        <v>36</v>
      </c>
      <c r="F378" s="11" t="s">
        <v>1068</v>
      </c>
      <c r="G378" s="11">
        <v>107773</v>
      </c>
      <c r="H378" s="11" t="s">
        <v>52</v>
      </c>
      <c r="K378" s="11">
        <v>201040506</v>
      </c>
      <c r="L378" s="11" t="s">
        <v>46</v>
      </c>
      <c r="M378" s="11">
        <v>106.25</v>
      </c>
      <c r="N378" s="11"/>
      <c r="O378" s="42">
        <v>106.25</v>
      </c>
      <c r="P378" s="43" t="s">
        <v>4480</v>
      </c>
      <c r="Q378" s="11">
        <v>1353088.06</v>
      </c>
      <c r="R378" s="11" t="s">
        <v>1069</v>
      </c>
      <c r="S378" s="11" t="s">
        <v>40</v>
      </c>
      <c r="T378" s="11">
        <v>0</v>
      </c>
    </row>
    <row r="379" spans="1:22" x14ac:dyDescent="0.25">
      <c r="A379" s="11">
        <v>101060401</v>
      </c>
      <c r="B379" s="11" t="s">
        <v>34</v>
      </c>
      <c r="C379" s="41">
        <v>44862</v>
      </c>
      <c r="D379" s="41">
        <v>44862</v>
      </c>
      <c r="E379" s="11" t="s">
        <v>36</v>
      </c>
      <c r="F379" s="11" t="s">
        <v>1070</v>
      </c>
      <c r="G379" s="11">
        <v>107774</v>
      </c>
      <c r="H379" s="11" t="s">
        <v>52</v>
      </c>
      <c r="K379" s="11">
        <v>201040506</v>
      </c>
      <c r="L379" s="11" t="s">
        <v>46</v>
      </c>
      <c r="M379" s="11">
        <v>106.25</v>
      </c>
      <c r="N379" s="11"/>
      <c r="O379" s="42">
        <v>106.25</v>
      </c>
      <c r="P379" s="43" t="s">
        <v>4480</v>
      </c>
      <c r="Q379" s="11">
        <v>1353194.31</v>
      </c>
      <c r="R379" s="11" t="s">
        <v>1069</v>
      </c>
      <c r="S379" s="11" t="s">
        <v>40</v>
      </c>
      <c r="T379" s="11">
        <v>0</v>
      </c>
    </row>
    <row r="380" spans="1:22" x14ac:dyDescent="0.25">
      <c r="A380" s="11">
        <v>101060401</v>
      </c>
      <c r="B380" s="11" t="s">
        <v>34</v>
      </c>
      <c r="C380" s="41">
        <v>44862</v>
      </c>
      <c r="D380" s="41">
        <v>44862</v>
      </c>
      <c r="E380" s="11" t="s">
        <v>36</v>
      </c>
      <c r="F380" s="11" t="s">
        <v>1071</v>
      </c>
      <c r="G380" s="11">
        <v>107775</v>
      </c>
      <c r="H380" s="11" t="s">
        <v>52</v>
      </c>
      <c r="K380" s="11">
        <v>201040506</v>
      </c>
      <c r="L380" s="11" t="s">
        <v>46</v>
      </c>
      <c r="M380" s="11">
        <v>39.44</v>
      </c>
      <c r="N380" s="11"/>
      <c r="O380" s="42">
        <v>39.44</v>
      </c>
      <c r="P380" s="43" t="s">
        <v>4480</v>
      </c>
      <c r="Q380" s="11">
        <v>1353233.75</v>
      </c>
      <c r="R380" s="11" t="s">
        <v>1072</v>
      </c>
      <c r="S380" s="11" t="s">
        <v>40</v>
      </c>
      <c r="T380" s="11">
        <v>0</v>
      </c>
    </row>
    <row r="381" spans="1:22" x14ac:dyDescent="0.25">
      <c r="A381" s="11">
        <v>101060401</v>
      </c>
      <c r="B381" s="11" t="s">
        <v>34</v>
      </c>
      <c r="C381" s="41">
        <v>44862</v>
      </c>
      <c r="D381" s="41">
        <v>44862</v>
      </c>
      <c r="E381" s="11" t="s">
        <v>42</v>
      </c>
      <c r="F381" s="11" t="s">
        <v>1073</v>
      </c>
      <c r="G381" s="11">
        <v>107776</v>
      </c>
      <c r="H381" s="11" t="s">
        <v>47</v>
      </c>
      <c r="J381" s="11" t="s">
        <v>38</v>
      </c>
      <c r="K381" s="11">
        <v>51010101</v>
      </c>
      <c r="L381" s="11" t="s">
        <v>48</v>
      </c>
      <c r="M381" s="11"/>
      <c r="N381" s="11">
        <v>2229.66</v>
      </c>
      <c r="O381" s="42">
        <v>-2229.66</v>
      </c>
      <c r="P381" s="43" t="s">
        <v>4489</v>
      </c>
      <c r="Q381" s="11">
        <v>1351004.09</v>
      </c>
      <c r="R381" s="11" t="s">
        <v>1074</v>
      </c>
      <c r="S381" s="11" t="s">
        <v>40</v>
      </c>
      <c r="T381" s="11">
        <v>0</v>
      </c>
      <c r="V381" s="11" t="s">
        <v>41</v>
      </c>
    </row>
    <row r="382" spans="1:22" x14ac:dyDescent="0.25">
      <c r="A382" s="11">
        <v>101060401</v>
      </c>
      <c r="B382" s="11" t="s">
        <v>34</v>
      </c>
      <c r="C382" s="41">
        <v>44862</v>
      </c>
      <c r="D382" s="41">
        <v>44862</v>
      </c>
      <c r="E382" s="11" t="s">
        <v>42</v>
      </c>
      <c r="F382" s="11" t="s">
        <v>1075</v>
      </c>
      <c r="G382" s="11">
        <v>107777</v>
      </c>
      <c r="H382" s="11" t="s">
        <v>47</v>
      </c>
      <c r="J382" s="11" t="s">
        <v>38</v>
      </c>
      <c r="K382" s="11">
        <v>51010101</v>
      </c>
      <c r="L382" s="11" t="s">
        <v>48</v>
      </c>
      <c r="M382" s="11"/>
      <c r="N382" s="11">
        <v>1599.21</v>
      </c>
      <c r="O382" s="42">
        <v>-1599.21</v>
      </c>
      <c r="P382" s="43" t="s">
        <v>4489</v>
      </c>
      <c r="Q382" s="11">
        <v>1349404.88</v>
      </c>
      <c r="R382" s="11" t="s">
        <v>1076</v>
      </c>
      <c r="S382" s="11" t="s">
        <v>40</v>
      </c>
      <c r="T382" s="11">
        <v>0</v>
      </c>
      <c r="V382" s="11" t="s">
        <v>41</v>
      </c>
    </row>
    <row r="383" spans="1:22" x14ac:dyDescent="0.25">
      <c r="A383" s="11">
        <v>101060401</v>
      </c>
      <c r="B383" s="11" t="s">
        <v>34</v>
      </c>
      <c r="C383" s="41">
        <v>44862</v>
      </c>
      <c r="D383" s="41">
        <v>44862</v>
      </c>
      <c r="E383" s="11" t="s">
        <v>42</v>
      </c>
      <c r="F383" s="11" t="s">
        <v>1077</v>
      </c>
      <c r="G383" s="11">
        <v>107778</v>
      </c>
      <c r="H383" s="11" t="s">
        <v>141</v>
      </c>
      <c r="J383" s="11" t="s">
        <v>38</v>
      </c>
      <c r="K383" s="11">
        <v>51010101</v>
      </c>
      <c r="L383" s="11" t="s">
        <v>48</v>
      </c>
      <c r="M383" s="11"/>
      <c r="N383" s="11">
        <v>71.06</v>
      </c>
      <c r="O383" s="42">
        <v>-71.06</v>
      </c>
      <c r="P383" s="43" t="s">
        <v>4489</v>
      </c>
      <c r="Q383" s="11">
        <v>1349333.82</v>
      </c>
      <c r="R383" s="11" t="s">
        <v>1078</v>
      </c>
      <c r="S383" s="11" t="s">
        <v>40</v>
      </c>
      <c r="T383" s="11">
        <v>0</v>
      </c>
      <c r="V383" s="11" t="s">
        <v>41</v>
      </c>
    </row>
    <row r="384" spans="1:22" x14ac:dyDescent="0.25">
      <c r="A384" s="11">
        <v>101060401</v>
      </c>
      <c r="B384" s="11" t="s">
        <v>34</v>
      </c>
      <c r="C384" s="41">
        <v>44862</v>
      </c>
      <c r="D384" s="41">
        <v>44862</v>
      </c>
      <c r="E384" s="11" t="s">
        <v>42</v>
      </c>
      <c r="F384" s="11" t="s">
        <v>1079</v>
      </c>
      <c r="G384" s="11">
        <v>107780</v>
      </c>
      <c r="H384" s="11" t="s">
        <v>49</v>
      </c>
      <c r="J384" s="11" t="s">
        <v>38</v>
      </c>
      <c r="K384" s="11">
        <v>51010101</v>
      </c>
      <c r="L384" s="11" t="s">
        <v>48</v>
      </c>
      <c r="M384" s="11"/>
      <c r="N384" s="11">
        <v>98.25</v>
      </c>
      <c r="O384" s="42">
        <v>-98.25</v>
      </c>
      <c r="P384" s="43" t="s">
        <v>4489</v>
      </c>
      <c r="Q384" s="11">
        <v>1349235.57</v>
      </c>
      <c r="R384" s="11" t="s">
        <v>1080</v>
      </c>
      <c r="S384" s="11" t="s">
        <v>40</v>
      </c>
      <c r="T384" s="11">
        <v>0</v>
      </c>
      <c r="V384" s="11" t="s">
        <v>41</v>
      </c>
    </row>
    <row r="385" spans="1:22" x14ac:dyDescent="0.25">
      <c r="A385" s="11">
        <v>101060401</v>
      </c>
      <c r="B385" s="11" t="s">
        <v>34</v>
      </c>
      <c r="C385" s="41">
        <v>44862</v>
      </c>
      <c r="D385" s="41">
        <v>44862</v>
      </c>
      <c r="E385" s="11" t="s">
        <v>42</v>
      </c>
      <c r="F385" s="11" t="s">
        <v>1081</v>
      </c>
      <c r="G385" s="11">
        <v>107784</v>
      </c>
      <c r="H385" s="11" t="s">
        <v>57</v>
      </c>
      <c r="K385" s="11">
        <v>101060402</v>
      </c>
      <c r="L385" s="11" t="s">
        <v>44</v>
      </c>
      <c r="M385" s="11"/>
      <c r="N385" s="11">
        <v>416.42</v>
      </c>
      <c r="O385" s="42">
        <v>-416.42</v>
      </c>
      <c r="P385" s="43" t="s">
        <v>4481</v>
      </c>
      <c r="Q385" s="11">
        <v>1348819.15</v>
      </c>
      <c r="R385" s="11" t="s">
        <v>1082</v>
      </c>
      <c r="S385" s="11" t="s">
        <v>40</v>
      </c>
      <c r="T385" s="11">
        <v>0</v>
      </c>
    </row>
    <row r="386" spans="1:22" x14ac:dyDescent="0.25">
      <c r="A386" s="11">
        <v>101060401</v>
      </c>
      <c r="B386" s="11" t="s">
        <v>34</v>
      </c>
      <c r="C386" s="41">
        <v>44862</v>
      </c>
      <c r="D386" s="41">
        <v>44862</v>
      </c>
      <c r="E386" s="11" t="s">
        <v>42</v>
      </c>
      <c r="F386" s="11" t="s">
        <v>1083</v>
      </c>
      <c r="G386" s="11">
        <v>107785</v>
      </c>
      <c r="H386" s="11" t="s">
        <v>50</v>
      </c>
      <c r="J386" s="11" t="s">
        <v>38</v>
      </c>
      <c r="K386" s="11">
        <v>51010101</v>
      </c>
      <c r="L386" s="11" t="s">
        <v>48</v>
      </c>
      <c r="M386" s="11"/>
      <c r="N386" s="11">
        <v>61.65</v>
      </c>
      <c r="O386" s="42">
        <v>-61.65</v>
      </c>
      <c r="P386" s="43" t="s">
        <v>4489</v>
      </c>
      <c r="Q386" s="11">
        <v>1348757.5</v>
      </c>
      <c r="R386" s="11" t="s">
        <v>1084</v>
      </c>
      <c r="S386" s="11" t="s">
        <v>40</v>
      </c>
      <c r="T386" s="11">
        <v>0</v>
      </c>
      <c r="V386" s="11" t="s">
        <v>41</v>
      </c>
    </row>
    <row r="387" spans="1:22" x14ac:dyDescent="0.25">
      <c r="A387" s="11">
        <v>101060401</v>
      </c>
      <c r="B387" s="11" t="s">
        <v>34</v>
      </c>
      <c r="C387" s="41">
        <v>44862</v>
      </c>
      <c r="D387" s="41">
        <v>44862</v>
      </c>
      <c r="E387" s="11" t="s">
        <v>42</v>
      </c>
      <c r="F387" s="11" t="s">
        <v>1085</v>
      </c>
      <c r="G387" s="11">
        <v>107795</v>
      </c>
      <c r="H387" s="11" t="s">
        <v>139</v>
      </c>
      <c r="J387" s="11" t="s">
        <v>38</v>
      </c>
      <c r="K387" s="11">
        <v>51010101</v>
      </c>
      <c r="L387" s="11" t="s">
        <v>48</v>
      </c>
      <c r="M387" s="11"/>
      <c r="N387" s="11">
        <v>186.21</v>
      </c>
      <c r="O387" s="42">
        <v>-186.21</v>
      </c>
      <c r="P387" s="43" t="s">
        <v>4489</v>
      </c>
      <c r="Q387" s="11">
        <v>1348571.29</v>
      </c>
      <c r="R387" s="11" t="s">
        <v>1086</v>
      </c>
      <c r="S387" s="11" t="s">
        <v>40</v>
      </c>
      <c r="T387" s="11">
        <v>0</v>
      </c>
      <c r="V387" s="11" t="s">
        <v>41</v>
      </c>
    </row>
    <row r="388" spans="1:22" x14ac:dyDescent="0.25">
      <c r="A388" s="11">
        <v>101060401</v>
      </c>
      <c r="B388" s="11" t="s">
        <v>34</v>
      </c>
      <c r="C388" s="41">
        <v>44862</v>
      </c>
      <c r="D388" s="41">
        <v>44862</v>
      </c>
      <c r="E388" s="11" t="s">
        <v>42</v>
      </c>
      <c r="F388" s="11" t="s">
        <v>1087</v>
      </c>
      <c r="G388" s="11">
        <v>107798</v>
      </c>
      <c r="H388" s="11" t="s">
        <v>159</v>
      </c>
      <c r="J388" s="11" t="s">
        <v>38</v>
      </c>
      <c r="K388" s="11">
        <v>51010101</v>
      </c>
      <c r="L388" s="11" t="s">
        <v>48</v>
      </c>
      <c r="M388" s="11"/>
      <c r="N388" s="11">
        <v>32.909999999999997</v>
      </c>
      <c r="O388" s="42">
        <v>-32.909999999999997</v>
      </c>
      <c r="P388" s="43" t="s">
        <v>4489</v>
      </c>
      <c r="Q388" s="11">
        <v>1348538.38</v>
      </c>
      <c r="R388" s="11" t="s">
        <v>1088</v>
      </c>
      <c r="S388" s="11" t="s">
        <v>40</v>
      </c>
      <c r="T388" s="11">
        <v>0</v>
      </c>
      <c r="V388" s="11" t="s">
        <v>41</v>
      </c>
    </row>
    <row r="389" spans="1:22" x14ac:dyDescent="0.25">
      <c r="A389" s="11">
        <v>101060401</v>
      </c>
      <c r="B389" s="11" t="s">
        <v>34</v>
      </c>
      <c r="C389" s="41">
        <v>44862</v>
      </c>
      <c r="D389" s="41">
        <v>44862</v>
      </c>
      <c r="E389" s="11" t="s">
        <v>42</v>
      </c>
      <c r="F389" s="11" t="s">
        <v>1089</v>
      </c>
      <c r="G389" s="11">
        <v>107807</v>
      </c>
      <c r="H389" s="11" t="s">
        <v>57</v>
      </c>
      <c r="K389" s="11">
        <v>101060402</v>
      </c>
      <c r="L389" s="11" t="s">
        <v>44</v>
      </c>
      <c r="M389" s="11">
        <v>392.34</v>
      </c>
      <c r="N389" s="11"/>
      <c r="O389" s="42">
        <v>392.34</v>
      </c>
      <c r="P389" s="43" t="s">
        <v>4481</v>
      </c>
      <c r="Q389" s="11">
        <v>1348930.72</v>
      </c>
      <c r="R389" s="11" t="s">
        <v>1090</v>
      </c>
      <c r="S389" s="11" t="s">
        <v>106</v>
      </c>
      <c r="T389" s="11">
        <v>0</v>
      </c>
    </row>
    <row r="390" spans="1:22" x14ac:dyDescent="0.25">
      <c r="A390" s="11">
        <v>101060401</v>
      </c>
      <c r="B390" s="11" t="s">
        <v>34</v>
      </c>
      <c r="C390" s="41">
        <v>44862</v>
      </c>
      <c r="D390" s="41">
        <v>44862</v>
      </c>
      <c r="E390" s="11" t="s">
        <v>42</v>
      </c>
      <c r="F390" s="11" t="s">
        <v>1091</v>
      </c>
      <c r="G390" s="11">
        <v>107901</v>
      </c>
      <c r="H390" s="11" t="s">
        <v>1092</v>
      </c>
      <c r="K390" s="11" t="s">
        <v>1093</v>
      </c>
      <c r="L390" s="11" t="s">
        <v>1094</v>
      </c>
      <c r="N390" s="26">
        <v>7.66</v>
      </c>
      <c r="O390" s="44">
        <v>-7.66</v>
      </c>
      <c r="P390" s="43" t="s">
        <v>4494</v>
      </c>
      <c r="Q390" s="11">
        <v>1348923.06</v>
      </c>
      <c r="R390" s="11" t="s">
        <v>1095</v>
      </c>
      <c r="S390" s="11" t="s">
        <v>273</v>
      </c>
      <c r="T390" s="11">
        <v>0</v>
      </c>
    </row>
    <row r="391" spans="1:22" x14ac:dyDescent="0.25">
      <c r="A391" s="11">
        <v>101060401</v>
      </c>
      <c r="B391" s="11" t="s">
        <v>34</v>
      </c>
      <c r="C391" s="41">
        <v>44865</v>
      </c>
      <c r="D391" s="41">
        <v>44865</v>
      </c>
      <c r="E391" s="11" t="s">
        <v>42</v>
      </c>
      <c r="F391" s="11" t="s">
        <v>1096</v>
      </c>
      <c r="G391" s="11">
        <v>107808</v>
      </c>
      <c r="H391" s="11" t="s">
        <v>47</v>
      </c>
      <c r="J391" s="11" t="s">
        <v>38</v>
      </c>
      <c r="K391" s="11">
        <v>51010101</v>
      </c>
      <c r="L391" s="11" t="s">
        <v>48</v>
      </c>
      <c r="M391" s="11"/>
      <c r="N391" s="11">
        <v>644.19000000000005</v>
      </c>
      <c r="O391" s="42">
        <v>-644.19000000000005</v>
      </c>
      <c r="P391" s="43" t="s">
        <v>4489</v>
      </c>
      <c r="Q391" s="11">
        <v>1348278.87</v>
      </c>
      <c r="R391" s="11" t="s">
        <v>1097</v>
      </c>
      <c r="S391" s="11" t="s">
        <v>40</v>
      </c>
      <c r="T391" s="11">
        <v>0</v>
      </c>
      <c r="V391" s="11" t="s">
        <v>41</v>
      </c>
    </row>
    <row r="392" spans="1:22" x14ac:dyDescent="0.25">
      <c r="A392" s="11">
        <v>101060401</v>
      </c>
      <c r="B392" s="11" t="s">
        <v>34</v>
      </c>
      <c r="C392" s="41">
        <v>44865</v>
      </c>
      <c r="D392" s="41">
        <v>44865</v>
      </c>
      <c r="E392" s="11" t="s">
        <v>42</v>
      </c>
      <c r="F392" s="11" t="s">
        <v>1098</v>
      </c>
      <c r="G392" s="11">
        <v>107813</v>
      </c>
      <c r="H392" s="11" t="s">
        <v>50</v>
      </c>
      <c r="J392" s="11" t="s">
        <v>38</v>
      </c>
      <c r="K392" s="11">
        <v>51010101</v>
      </c>
      <c r="L392" s="11" t="s">
        <v>48</v>
      </c>
      <c r="M392" s="11"/>
      <c r="N392" s="11">
        <v>32.26</v>
      </c>
      <c r="O392" s="42">
        <v>-32.26</v>
      </c>
      <c r="P392" s="43" t="s">
        <v>4489</v>
      </c>
      <c r="Q392" s="11">
        <v>1348246.61</v>
      </c>
      <c r="R392" s="11" t="s">
        <v>262</v>
      </c>
      <c r="S392" s="11" t="s">
        <v>40</v>
      </c>
      <c r="T392" s="11">
        <v>0</v>
      </c>
      <c r="V392" s="11" t="s">
        <v>41</v>
      </c>
    </row>
    <row r="393" spans="1:22" x14ac:dyDescent="0.25">
      <c r="A393" s="11">
        <v>101060401</v>
      </c>
      <c r="B393" s="11" t="s">
        <v>34</v>
      </c>
      <c r="C393" s="41">
        <v>44865</v>
      </c>
      <c r="D393" s="41">
        <v>44865</v>
      </c>
      <c r="E393" s="11" t="s">
        <v>42</v>
      </c>
      <c r="F393" s="11" t="s">
        <v>1099</v>
      </c>
      <c r="G393" s="11">
        <v>107817</v>
      </c>
      <c r="H393" s="11" t="s">
        <v>47</v>
      </c>
      <c r="J393" s="11" t="s">
        <v>38</v>
      </c>
      <c r="K393" s="11">
        <v>51010101</v>
      </c>
      <c r="L393" s="11" t="s">
        <v>48</v>
      </c>
      <c r="M393" s="11"/>
      <c r="N393" s="11">
        <v>4379.5200000000004</v>
      </c>
      <c r="O393" s="42">
        <v>-4379.5200000000004</v>
      </c>
      <c r="P393" s="43" t="s">
        <v>4489</v>
      </c>
      <c r="Q393" s="11">
        <v>1343867.09</v>
      </c>
      <c r="R393" s="11" t="s">
        <v>1100</v>
      </c>
      <c r="S393" s="11" t="s">
        <v>40</v>
      </c>
      <c r="T393" s="11">
        <v>0</v>
      </c>
      <c r="V393" s="11" t="s">
        <v>41</v>
      </c>
    </row>
    <row r="394" spans="1:22" x14ac:dyDescent="0.25">
      <c r="A394" s="11">
        <v>101060401</v>
      </c>
      <c r="B394" s="11" t="s">
        <v>34</v>
      </c>
      <c r="C394" s="41">
        <v>44865</v>
      </c>
      <c r="D394" s="41">
        <v>44865</v>
      </c>
      <c r="E394" s="11" t="s">
        <v>36</v>
      </c>
      <c r="F394" s="11" t="s">
        <v>1101</v>
      </c>
      <c r="G394" s="11">
        <v>107818</v>
      </c>
      <c r="H394" s="11" t="s">
        <v>52</v>
      </c>
      <c r="K394" s="11">
        <v>201040506</v>
      </c>
      <c r="L394" s="11" t="s">
        <v>46</v>
      </c>
      <c r="M394" s="11">
        <v>136</v>
      </c>
      <c r="N394" s="11"/>
      <c r="O394" s="42">
        <v>136</v>
      </c>
      <c r="P394" s="43" t="s">
        <v>4480</v>
      </c>
      <c r="Q394" s="11">
        <v>1344003.09</v>
      </c>
      <c r="R394" s="11" t="s">
        <v>1102</v>
      </c>
      <c r="S394" s="11" t="s">
        <v>40</v>
      </c>
      <c r="T394" s="11">
        <v>0</v>
      </c>
    </row>
    <row r="395" spans="1:22" x14ac:dyDescent="0.25">
      <c r="A395" s="11">
        <v>101060401</v>
      </c>
      <c r="B395" s="11" t="s">
        <v>34</v>
      </c>
      <c r="C395" s="41">
        <v>44865</v>
      </c>
      <c r="D395" s="41">
        <v>44865</v>
      </c>
      <c r="E395" s="11" t="s">
        <v>42</v>
      </c>
      <c r="F395" s="11" t="s">
        <v>1103</v>
      </c>
      <c r="G395" s="11">
        <v>107819</v>
      </c>
      <c r="H395" s="11" t="s">
        <v>47</v>
      </c>
      <c r="J395" s="11" t="s">
        <v>38</v>
      </c>
      <c r="K395" s="11">
        <v>51010101</v>
      </c>
      <c r="L395" s="11" t="s">
        <v>48</v>
      </c>
      <c r="M395" s="11"/>
      <c r="N395" s="11">
        <v>287.2</v>
      </c>
      <c r="O395" s="42">
        <v>-287.2</v>
      </c>
      <c r="P395" s="43" t="s">
        <v>4489</v>
      </c>
      <c r="Q395" s="11">
        <v>1343715.89</v>
      </c>
      <c r="R395" s="11" t="s">
        <v>1104</v>
      </c>
      <c r="S395" s="11" t="s">
        <v>40</v>
      </c>
      <c r="T395" s="11">
        <v>0</v>
      </c>
      <c r="V395" s="11" t="s">
        <v>41</v>
      </c>
    </row>
    <row r="396" spans="1:22" x14ac:dyDescent="0.25">
      <c r="A396" s="11">
        <v>101060401</v>
      </c>
      <c r="B396" s="11" t="s">
        <v>34</v>
      </c>
      <c r="C396" s="41">
        <v>44865</v>
      </c>
      <c r="D396" s="41">
        <v>44865</v>
      </c>
      <c r="E396" s="11" t="s">
        <v>36</v>
      </c>
      <c r="F396" s="11" t="s">
        <v>1105</v>
      </c>
      <c r="G396" s="11">
        <v>107832</v>
      </c>
      <c r="H396" s="11" t="s">
        <v>52</v>
      </c>
      <c r="K396" s="11">
        <v>201040506</v>
      </c>
      <c r="L396" s="11" t="s">
        <v>46</v>
      </c>
      <c r="M396" s="11">
        <v>42.24</v>
      </c>
      <c r="N396" s="11"/>
      <c r="O396" s="42">
        <v>42.24</v>
      </c>
      <c r="P396" s="43" t="s">
        <v>4480</v>
      </c>
      <c r="Q396" s="11">
        <v>1343758.13</v>
      </c>
      <c r="R396" s="11" t="s">
        <v>1106</v>
      </c>
      <c r="S396" s="11" t="s">
        <v>40</v>
      </c>
      <c r="T396" s="11">
        <v>0</v>
      </c>
    </row>
    <row r="397" spans="1:22" x14ac:dyDescent="0.25">
      <c r="A397" s="11">
        <v>101060401</v>
      </c>
      <c r="B397" s="11" t="s">
        <v>34</v>
      </c>
      <c r="C397" s="41">
        <v>44865</v>
      </c>
      <c r="D397" s="41">
        <v>44865</v>
      </c>
      <c r="E397" s="11" t="s">
        <v>36</v>
      </c>
      <c r="F397" s="11" t="s">
        <v>1107</v>
      </c>
      <c r="G397" s="11">
        <v>107833</v>
      </c>
      <c r="H397" s="11" t="s">
        <v>52</v>
      </c>
      <c r="K397" s="11">
        <v>201040506</v>
      </c>
      <c r="L397" s="11" t="s">
        <v>46</v>
      </c>
      <c r="M397" s="11">
        <v>1514.93</v>
      </c>
      <c r="N397" s="11"/>
      <c r="O397" s="42">
        <v>1514.93</v>
      </c>
      <c r="P397" s="43" t="s">
        <v>4480</v>
      </c>
      <c r="Q397" s="11">
        <v>1345273.06</v>
      </c>
      <c r="R397" s="11" t="s">
        <v>1108</v>
      </c>
      <c r="S397" s="11" t="s">
        <v>40</v>
      </c>
      <c r="T397" s="11">
        <v>0</v>
      </c>
    </row>
    <row r="398" spans="1:22" x14ac:dyDescent="0.25">
      <c r="A398" s="11">
        <v>101060401</v>
      </c>
      <c r="B398" s="11" t="s">
        <v>34</v>
      </c>
      <c r="C398" s="41">
        <v>44865</v>
      </c>
      <c r="D398" s="41">
        <v>44865</v>
      </c>
      <c r="E398" s="11" t="s">
        <v>36</v>
      </c>
      <c r="F398" s="11" t="s">
        <v>1109</v>
      </c>
      <c r="G398" s="11">
        <v>107834</v>
      </c>
      <c r="H398" s="11" t="s">
        <v>52</v>
      </c>
      <c r="K398" s="11">
        <v>201040506</v>
      </c>
      <c r="L398" s="11" t="s">
        <v>46</v>
      </c>
      <c r="M398" s="11">
        <v>1881.29</v>
      </c>
      <c r="N398" s="11"/>
      <c r="O398" s="42">
        <v>1881.29</v>
      </c>
      <c r="P398" s="43" t="s">
        <v>4480</v>
      </c>
      <c r="Q398" s="11">
        <v>1347154.35</v>
      </c>
      <c r="R398" s="11" t="s">
        <v>1110</v>
      </c>
      <c r="S398" s="11" t="s">
        <v>40</v>
      </c>
      <c r="T398" s="11">
        <v>0</v>
      </c>
    </row>
    <row r="399" spans="1:22" x14ac:dyDescent="0.25">
      <c r="A399" s="11">
        <v>101060401</v>
      </c>
      <c r="B399" s="11" t="s">
        <v>34</v>
      </c>
      <c r="C399" s="41">
        <v>44865</v>
      </c>
      <c r="D399" s="41">
        <v>44865</v>
      </c>
      <c r="E399" s="11" t="s">
        <v>36</v>
      </c>
      <c r="F399" s="11" t="s">
        <v>1111</v>
      </c>
      <c r="G399" s="11">
        <v>107835</v>
      </c>
      <c r="H399" s="11" t="s">
        <v>52</v>
      </c>
      <c r="K399" s="11">
        <v>201040506</v>
      </c>
      <c r="L399" s="11" t="s">
        <v>46</v>
      </c>
      <c r="M399" s="11">
        <v>6159.41</v>
      </c>
      <c r="N399" s="11"/>
      <c r="O399" s="42">
        <v>6159.41</v>
      </c>
      <c r="P399" s="43" t="s">
        <v>4480</v>
      </c>
      <c r="Q399" s="11">
        <v>1353313.76</v>
      </c>
      <c r="R399" s="11" t="s">
        <v>1112</v>
      </c>
      <c r="S399" s="11" t="s">
        <v>40</v>
      </c>
      <c r="T399" s="11">
        <v>0</v>
      </c>
    </row>
    <row r="400" spans="1:22" x14ac:dyDescent="0.25">
      <c r="A400" s="11">
        <v>101060401</v>
      </c>
      <c r="B400" s="11" t="s">
        <v>34</v>
      </c>
      <c r="C400" s="41">
        <v>44865</v>
      </c>
      <c r="D400" s="41">
        <v>44865</v>
      </c>
      <c r="E400" s="11" t="s">
        <v>42</v>
      </c>
      <c r="F400" s="11" t="s">
        <v>1113</v>
      </c>
      <c r="G400" s="11">
        <v>107837</v>
      </c>
      <c r="H400" s="11" t="s">
        <v>47</v>
      </c>
      <c r="J400" s="11" t="s">
        <v>38</v>
      </c>
      <c r="K400" s="11">
        <v>51010101</v>
      </c>
      <c r="L400" s="11" t="s">
        <v>48</v>
      </c>
      <c r="M400" s="11"/>
      <c r="N400" s="11">
        <v>1877.33</v>
      </c>
      <c r="O400" s="42">
        <v>-1877.33</v>
      </c>
      <c r="P400" s="43" t="s">
        <v>4489</v>
      </c>
      <c r="Q400" s="11">
        <v>1351436.43</v>
      </c>
      <c r="R400" s="11" t="s">
        <v>1114</v>
      </c>
      <c r="S400" s="11" t="s">
        <v>40</v>
      </c>
      <c r="T400" s="11">
        <v>0</v>
      </c>
      <c r="V400" s="11" t="s">
        <v>41</v>
      </c>
    </row>
    <row r="401" spans="1:22" x14ac:dyDescent="0.25">
      <c r="A401" s="11">
        <v>101060401</v>
      </c>
      <c r="B401" s="11" t="s">
        <v>34</v>
      </c>
      <c r="C401" s="41">
        <v>44865</v>
      </c>
      <c r="D401" s="41">
        <v>44865</v>
      </c>
      <c r="E401" s="11" t="s">
        <v>42</v>
      </c>
      <c r="F401" s="11" t="s">
        <v>1115</v>
      </c>
      <c r="G401" s="11">
        <v>107838</v>
      </c>
      <c r="H401" s="11" t="s">
        <v>47</v>
      </c>
      <c r="J401" s="11" t="s">
        <v>38</v>
      </c>
      <c r="K401" s="11">
        <v>51010101</v>
      </c>
      <c r="L401" s="11" t="s">
        <v>48</v>
      </c>
      <c r="M401" s="11"/>
      <c r="N401" s="11">
        <v>6214.3</v>
      </c>
      <c r="O401" s="42">
        <v>-6214.3</v>
      </c>
      <c r="P401" s="43" t="s">
        <v>4489</v>
      </c>
      <c r="Q401" s="11">
        <v>1345222.13</v>
      </c>
      <c r="R401" s="11" t="s">
        <v>1116</v>
      </c>
      <c r="S401" s="11" t="s">
        <v>40</v>
      </c>
      <c r="T401" s="11">
        <v>0</v>
      </c>
      <c r="V401" s="11" t="s">
        <v>41</v>
      </c>
    </row>
    <row r="402" spans="1:22" x14ac:dyDescent="0.25">
      <c r="A402" s="11">
        <v>101060401</v>
      </c>
      <c r="B402" s="11" t="s">
        <v>34</v>
      </c>
      <c r="C402" s="41">
        <v>44865</v>
      </c>
      <c r="D402" s="41">
        <v>44865</v>
      </c>
      <c r="E402" s="11" t="s">
        <v>42</v>
      </c>
      <c r="F402" s="11" t="s">
        <v>1117</v>
      </c>
      <c r="G402" s="11">
        <v>107839</v>
      </c>
      <c r="H402" s="11" t="s">
        <v>47</v>
      </c>
      <c r="J402" s="11" t="s">
        <v>38</v>
      </c>
      <c r="K402" s="11">
        <v>51010101</v>
      </c>
      <c r="L402" s="11" t="s">
        <v>48</v>
      </c>
      <c r="M402" s="11"/>
      <c r="N402" s="11">
        <v>1652.83</v>
      </c>
      <c r="O402" s="42">
        <v>-1652.83</v>
      </c>
      <c r="P402" s="43" t="s">
        <v>4489</v>
      </c>
      <c r="Q402" s="11">
        <v>1343569.3</v>
      </c>
      <c r="R402" s="11" t="s">
        <v>1118</v>
      </c>
      <c r="S402" s="11" t="s">
        <v>40</v>
      </c>
      <c r="T402" s="11">
        <v>0</v>
      </c>
      <c r="V402" s="11" t="s">
        <v>41</v>
      </c>
    </row>
    <row r="403" spans="1:22" x14ac:dyDescent="0.25">
      <c r="A403" s="11">
        <v>101060401</v>
      </c>
      <c r="B403" s="11" t="s">
        <v>34</v>
      </c>
      <c r="C403" s="41">
        <v>44865</v>
      </c>
      <c r="D403" s="41">
        <v>44865</v>
      </c>
      <c r="E403" s="11" t="s">
        <v>42</v>
      </c>
      <c r="F403" s="11" t="s">
        <v>1119</v>
      </c>
      <c r="G403" s="11">
        <v>107840</v>
      </c>
      <c r="H403" s="11" t="s">
        <v>230</v>
      </c>
      <c r="J403" s="11" t="s">
        <v>38</v>
      </c>
      <c r="K403" s="11">
        <v>51010101</v>
      </c>
      <c r="L403" s="11" t="s">
        <v>48</v>
      </c>
      <c r="M403" s="11"/>
      <c r="N403" s="11">
        <v>48.43</v>
      </c>
      <c r="O403" s="42">
        <v>-48.43</v>
      </c>
      <c r="P403" s="43" t="s">
        <v>4489</v>
      </c>
      <c r="Q403" s="11">
        <v>1343520.87</v>
      </c>
      <c r="R403" s="11" t="s">
        <v>1120</v>
      </c>
      <c r="S403" s="11" t="s">
        <v>40</v>
      </c>
      <c r="T403" s="11">
        <v>0</v>
      </c>
      <c r="V403" s="11" t="s">
        <v>41</v>
      </c>
    </row>
    <row r="404" spans="1:22" x14ac:dyDescent="0.25">
      <c r="A404" s="11">
        <v>101060401</v>
      </c>
      <c r="B404" s="11" t="s">
        <v>34</v>
      </c>
      <c r="C404" s="41">
        <v>44865</v>
      </c>
      <c r="D404" s="41">
        <v>44865</v>
      </c>
      <c r="E404" s="11" t="s">
        <v>42</v>
      </c>
      <c r="F404" s="11" t="s">
        <v>1121</v>
      </c>
      <c r="G404" s="11">
        <v>107841</v>
      </c>
      <c r="H404" s="11" t="s">
        <v>47</v>
      </c>
      <c r="J404" s="11" t="s">
        <v>38</v>
      </c>
      <c r="K404" s="11">
        <v>51010101</v>
      </c>
      <c r="L404" s="11" t="s">
        <v>48</v>
      </c>
      <c r="M404" s="11"/>
      <c r="N404" s="11">
        <v>79.25</v>
      </c>
      <c r="O404" s="42">
        <v>-79.25</v>
      </c>
      <c r="P404" s="43" t="s">
        <v>4489</v>
      </c>
      <c r="Q404" s="11">
        <v>1343441.62</v>
      </c>
      <c r="R404" s="11" t="s">
        <v>1122</v>
      </c>
      <c r="S404" s="11" t="s">
        <v>40</v>
      </c>
      <c r="T404" s="11">
        <v>0</v>
      </c>
      <c r="V404" s="11" t="s">
        <v>41</v>
      </c>
    </row>
    <row r="405" spans="1:22" x14ac:dyDescent="0.25">
      <c r="A405" s="11">
        <v>101060401</v>
      </c>
      <c r="B405" s="11" t="s">
        <v>34</v>
      </c>
      <c r="C405" s="41">
        <v>44865</v>
      </c>
      <c r="D405" s="41">
        <v>44865</v>
      </c>
      <c r="E405" s="11" t="s">
        <v>42</v>
      </c>
      <c r="F405" s="11" t="s">
        <v>1123</v>
      </c>
      <c r="G405" s="11">
        <v>107842</v>
      </c>
      <c r="H405" s="11" t="s">
        <v>47</v>
      </c>
      <c r="J405" s="11" t="s">
        <v>38</v>
      </c>
      <c r="K405" s="11">
        <v>51010101</v>
      </c>
      <c r="L405" s="11" t="s">
        <v>48</v>
      </c>
      <c r="M405" s="11"/>
      <c r="N405" s="11">
        <v>655.9</v>
      </c>
      <c r="O405" s="42">
        <v>-655.9</v>
      </c>
      <c r="P405" s="43" t="s">
        <v>4489</v>
      </c>
      <c r="Q405" s="11">
        <v>1342785.72</v>
      </c>
      <c r="R405" s="11" t="s">
        <v>1124</v>
      </c>
      <c r="S405" s="11" t="s">
        <v>40</v>
      </c>
      <c r="T405" s="11">
        <v>0</v>
      </c>
      <c r="V405" s="11" t="s">
        <v>41</v>
      </c>
    </row>
    <row r="406" spans="1:22" x14ac:dyDescent="0.25">
      <c r="A406" s="11">
        <v>101060401</v>
      </c>
      <c r="B406" s="11" t="s">
        <v>34</v>
      </c>
      <c r="C406" s="41">
        <v>44865</v>
      </c>
      <c r="D406" s="41">
        <v>44865</v>
      </c>
      <c r="E406" s="11" t="s">
        <v>42</v>
      </c>
      <c r="F406" s="11" t="s">
        <v>1125</v>
      </c>
      <c r="G406" s="11">
        <v>107849</v>
      </c>
      <c r="H406" s="11" t="s">
        <v>230</v>
      </c>
      <c r="J406" s="11" t="s">
        <v>38</v>
      </c>
      <c r="K406" s="11">
        <v>51010101</v>
      </c>
      <c r="L406" s="11" t="s">
        <v>48</v>
      </c>
      <c r="M406" s="11"/>
      <c r="N406" s="11">
        <v>290.55</v>
      </c>
      <c r="O406" s="42">
        <v>-290.55</v>
      </c>
      <c r="P406" s="43" t="s">
        <v>4489</v>
      </c>
      <c r="Q406" s="11">
        <v>1342495.17</v>
      </c>
      <c r="R406" s="11" t="s">
        <v>1126</v>
      </c>
      <c r="S406" s="11" t="s">
        <v>40</v>
      </c>
      <c r="T406" s="11">
        <v>0</v>
      </c>
      <c r="V406" s="11" t="s">
        <v>41</v>
      </c>
    </row>
    <row r="407" spans="1:22" x14ac:dyDescent="0.25">
      <c r="A407" s="11">
        <v>101060401</v>
      </c>
      <c r="B407" s="11" t="s">
        <v>34</v>
      </c>
      <c r="C407" s="41">
        <v>44865</v>
      </c>
      <c r="D407" s="41">
        <v>44865</v>
      </c>
      <c r="E407" s="11" t="s">
        <v>42</v>
      </c>
      <c r="F407" s="11" t="s">
        <v>1127</v>
      </c>
      <c r="G407" s="11">
        <v>107851</v>
      </c>
      <c r="H407" s="11" t="s">
        <v>1128</v>
      </c>
      <c r="J407" s="11" t="s">
        <v>38</v>
      </c>
      <c r="K407" s="11">
        <v>51010101</v>
      </c>
      <c r="L407" s="11" t="s">
        <v>48</v>
      </c>
      <c r="M407" s="11"/>
      <c r="N407" s="11">
        <v>56.57</v>
      </c>
      <c r="O407" s="42">
        <v>-56.57</v>
      </c>
      <c r="P407" s="43" t="s">
        <v>4489</v>
      </c>
      <c r="Q407" s="11">
        <v>1342438.6</v>
      </c>
      <c r="R407" s="11" t="s">
        <v>1129</v>
      </c>
      <c r="S407" s="11" t="s">
        <v>40</v>
      </c>
      <c r="T407" s="11">
        <v>0</v>
      </c>
      <c r="V407" s="11" t="s">
        <v>41</v>
      </c>
    </row>
    <row r="408" spans="1:22" x14ac:dyDescent="0.25">
      <c r="A408" s="11">
        <v>101060401</v>
      </c>
      <c r="B408" s="11" t="s">
        <v>34</v>
      </c>
      <c r="C408" s="41">
        <v>44865</v>
      </c>
      <c r="D408" s="41">
        <v>44865</v>
      </c>
      <c r="E408" s="11" t="s">
        <v>42</v>
      </c>
      <c r="F408" s="11" t="s">
        <v>1130</v>
      </c>
      <c r="G408" s="11">
        <v>107853</v>
      </c>
      <c r="H408" s="11" t="s">
        <v>1131</v>
      </c>
      <c r="J408" s="11" t="s">
        <v>38</v>
      </c>
      <c r="K408" s="11" t="s">
        <v>1132</v>
      </c>
      <c r="L408" s="11" t="s">
        <v>1133</v>
      </c>
      <c r="M408" s="11">
        <v>56.57</v>
      </c>
      <c r="N408" s="11"/>
      <c r="O408" s="42">
        <v>56.57</v>
      </c>
      <c r="P408" s="43" t="s">
        <v>4488</v>
      </c>
      <c r="Q408" s="11">
        <v>1342495.17</v>
      </c>
      <c r="R408" s="11" t="s">
        <v>1134</v>
      </c>
      <c r="S408" s="11" t="s">
        <v>69</v>
      </c>
      <c r="T408" s="11">
        <v>0</v>
      </c>
      <c r="V408" s="11" t="s">
        <v>41</v>
      </c>
    </row>
    <row r="409" spans="1:22" x14ac:dyDescent="0.25">
      <c r="A409" s="11">
        <v>101060401</v>
      </c>
      <c r="B409" s="11" t="s">
        <v>34</v>
      </c>
      <c r="C409" s="41">
        <v>44865</v>
      </c>
      <c r="D409" s="41">
        <v>44865</v>
      </c>
      <c r="E409" s="11" t="s">
        <v>42</v>
      </c>
      <c r="F409" s="11" t="s">
        <v>1135</v>
      </c>
      <c r="G409" s="11">
        <v>107854</v>
      </c>
      <c r="H409" s="11" t="s">
        <v>1128</v>
      </c>
      <c r="J409" s="11" t="s">
        <v>38</v>
      </c>
      <c r="K409" s="11">
        <v>51010101</v>
      </c>
      <c r="L409" s="11" t="s">
        <v>48</v>
      </c>
      <c r="M409" s="11"/>
      <c r="N409" s="11">
        <v>48.42</v>
      </c>
      <c r="O409" s="42">
        <v>-48.42</v>
      </c>
      <c r="P409" s="43" t="s">
        <v>4489</v>
      </c>
      <c r="Q409" s="11">
        <v>1342446.75</v>
      </c>
      <c r="R409" s="11" t="s">
        <v>326</v>
      </c>
      <c r="S409" s="11" t="s">
        <v>40</v>
      </c>
      <c r="T409" s="11">
        <v>0</v>
      </c>
      <c r="V409" s="11" t="s">
        <v>41</v>
      </c>
    </row>
    <row r="410" spans="1:22" x14ac:dyDescent="0.25">
      <c r="A410" s="11">
        <v>101060401</v>
      </c>
      <c r="B410" s="11" t="s">
        <v>34</v>
      </c>
      <c r="C410" s="41">
        <v>44865</v>
      </c>
      <c r="D410" s="41">
        <v>44865</v>
      </c>
      <c r="E410" s="11" t="s">
        <v>42</v>
      </c>
      <c r="F410" s="11" t="s">
        <v>1136</v>
      </c>
      <c r="G410" s="11">
        <v>107856</v>
      </c>
      <c r="H410" s="11" t="s">
        <v>49</v>
      </c>
      <c r="J410" s="11" t="s">
        <v>38</v>
      </c>
      <c r="K410" s="11">
        <v>51010101</v>
      </c>
      <c r="L410" s="11" t="s">
        <v>48</v>
      </c>
      <c r="M410" s="11"/>
      <c r="N410" s="11">
        <v>55.5</v>
      </c>
      <c r="O410" s="42">
        <v>-55.5</v>
      </c>
      <c r="P410" s="43" t="s">
        <v>4489</v>
      </c>
      <c r="Q410" s="11">
        <v>1342391.25</v>
      </c>
      <c r="R410" s="11" t="s">
        <v>1137</v>
      </c>
      <c r="S410" s="11" t="s">
        <v>40</v>
      </c>
      <c r="T410" s="11">
        <v>0</v>
      </c>
      <c r="V410" s="11" t="s">
        <v>41</v>
      </c>
    </row>
    <row r="411" spans="1:22" x14ac:dyDescent="0.25">
      <c r="A411" s="11">
        <v>101060401</v>
      </c>
      <c r="B411" s="11" t="s">
        <v>34</v>
      </c>
      <c r="C411" s="41">
        <v>44865</v>
      </c>
      <c r="D411" s="41">
        <v>44865</v>
      </c>
      <c r="E411" s="11" t="s">
        <v>42</v>
      </c>
      <c r="F411" s="11" t="s">
        <v>1138</v>
      </c>
      <c r="G411" s="11">
        <v>107857</v>
      </c>
      <c r="H411" s="11" t="s">
        <v>57</v>
      </c>
      <c r="K411" s="11">
        <v>101060402</v>
      </c>
      <c r="L411" s="11" t="s">
        <v>44</v>
      </c>
      <c r="M411" s="11">
        <v>103.07</v>
      </c>
      <c r="N411" s="11"/>
      <c r="O411" s="42">
        <v>103.07</v>
      </c>
      <c r="P411" s="43" t="s">
        <v>4481</v>
      </c>
      <c r="Q411" s="11">
        <v>1342494.32</v>
      </c>
      <c r="R411" s="11" t="s">
        <v>1139</v>
      </c>
      <c r="S411" s="11" t="s">
        <v>106</v>
      </c>
      <c r="T411" s="11">
        <v>0</v>
      </c>
    </row>
    <row r="412" spans="1:22" x14ac:dyDescent="0.25">
      <c r="A412" s="11">
        <v>101060401</v>
      </c>
      <c r="B412" s="11" t="s">
        <v>34</v>
      </c>
      <c r="C412" s="41">
        <v>44865</v>
      </c>
      <c r="D412" s="41">
        <v>44865</v>
      </c>
      <c r="E412" s="11" t="s">
        <v>42</v>
      </c>
      <c r="F412" s="11" t="s">
        <v>1140</v>
      </c>
      <c r="G412" s="11">
        <v>107865</v>
      </c>
      <c r="H412" s="11" t="s">
        <v>47</v>
      </c>
      <c r="J412" s="11" t="s">
        <v>38</v>
      </c>
      <c r="K412" s="11">
        <v>51010101</v>
      </c>
      <c r="L412" s="11" t="s">
        <v>48</v>
      </c>
      <c r="M412" s="11"/>
      <c r="N412" s="11">
        <v>164.04</v>
      </c>
      <c r="O412" s="42">
        <v>-164.04</v>
      </c>
      <c r="P412" s="43" t="s">
        <v>4489</v>
      </c>
      <c r="Q412" s="11">
        <v>1342330.28</v>
      </c>
      <c r="R412" s="11" t="s">
        <v>1141</v>
      </c>
      <c r="S412" s="11" t="s">
        <v>40</v>
      </c>
      <c r="T412" s="11">
        <v>0</v>
      </c>
      <c r="V412" s="11" t="s">
        <v>41</v>
      </c>
    </row>
    <row r="413" spans="1:22" x14ac:dyDescent="0.25">
      <c r="A413" s="11">
        <v>101060401</v>
      </c>
      <c r="B413" s="11" t="s">
        <v>34</v>
      </c>
      <c r="C413" s="41">
        <v>44865</v>
      </c>
      <c r="D413" s="41">
        <v>44865</v>
      </c>
      <c r="E413" s="11" t="s">
        <v>42</v>
      </c>
      <c r="F413" s="11" t="s">
        <v>1142</v>
      </c>
      <c r="G413" s="11">
        <v>107887</v>
      </c>
      <c r="H413" s="11" t="s">
        <v>88</v>
      </c>
      <c r="J413" s="11" t="s">
        <v>38</v>
      </c>
      <c r="K413" s="11">
        <v>51010101</v>
      </c>
      <c r="L413" s="11" t="s">
        <v>48</v>
      </c>
      <c r="M413" s="11">
        <v>1877.33</v>
      </c>
      <c r="N413" s="11"/>
      <c r="O413" s="42">
        <v>1877.33</v>
      </c>
      <c r="P413" s="43" t="s">
        <v>4489</v>
      </c>
      <c r="Q413" s="11">
        <v>1344207.61</v>
      </c>
      <c r="R413" s="11" t="s">
        <v>1143</v>
      </c>
      <c r="S413" s="11" t="s">
        <v>40</v>
      </c>
      <c r="T413" s="11">
        <v>0</v>
      </c>
      <c r="V413" s="11" t="s">
        <v>41</v>
      </c>
    </row>
    <row r="414" spans="1:22" x14ac:dyDescent="0.25">
      <c r="A414" s="11">
        <v>101060401</v>
      </c>
      <c r="B414" s="11" t="s">
        <v>34</v>
      </c>
      <c r="C414" s="41">
        <v>44865</v>
      </c>
      <c r="D414" s="41">
        <v>44865</v>
      </c>
      <c r="E414" s="11" t="s">
        <v>42</v>
      </c>
      <c r="F414" s="11" t="s">
        <v>1144</v>
      </c>
      <c r="G414" s="11">
        <v>107888</v>
      </c>
      <c r="H414" s="11" t="s">
        <v>47</v>
      </c>
      <c r="J414" s="11" t="s">
        <v>38</v>
      </c>
      <c r="K414" s="11">
        <v>51010101</v>
      </c>
      <c r="L414" s="11" t="s">
        <v>48</v>
      </c>
      <c r="M414" s="11"/>
      <c r="N414" s="11">
        <v>1525.43</v>
      </c>
      <c r="O414" s="42">
        <v>-1525.43</v>
      </c>
      <c r="P414" s="43" t="s">
        <v>4489</v>
      </c>
      <c r="Q414" s="11">
        <v>1342682.18</v>
      </c>
      <c r="R414" s="11" t="s">
        <v>1145</v>
      </c>
      <c r="S414" s="11" t="s">
        <v>40</v>
      </c>
      <c r="T414" s="11">
        <v>0</v>
      </c>
      <c r="V414" s="11" t="s">
        <v>41</v>
      </c>
    </row>
    <row r="415" spans="1:22" x14ac:dyDescent="0.25">
      <c r="A415" s="11">
        <v>101060401</v>
      </c>
      <c r="B415" s="11" t="s">
        <v>34</v>
      </c>
      <c r="C415" s="41">
        <v>44865</v>
      </c>
      <c r="D415" s="41">
        <v>44865</v>
      </c>
      <c r="E415" s="11" t="s">
        <v>36</v>
      </c>
      <c r="F415" s="11" t="s">
        <v>1146</v>
      </c>
      <c r="G415" s="11">
        <v>107890</v>
      </c>
      <c r="H415" s="11" t="s">
        <v>213</v>
      </c>
      <c r="K415" s="11">
        <v>201040506</v>
      </c>
      <c r="L415" s="11" t="s">
        <v>46</v>
      </c>
      <c r="M415" s="11"/>
      <c r="N415" s="11">
        <v>351.9</v>
      </c>
      <c r="O415" s="42">
        <v>-351.9</v>
      </c>
      <c r="P415" s="43" t="s">
        <v>4491</v>
      </c>
      <c r="Q415" s="11">
        <v>1342330.28</v>
      </c>
      <c r="R415" s="11" t="s">
        <v>1147</v>
      </c>
      <c r="S415" s="11" t="s">
        <v>40</v>
      </c>
      <c r="T415" s="11">
        <v>0</v>
      </c>
    </row>
    <row r="416" spans="1:22" x14ac:dyDescent="0.25">
      <c r="A416" s="11">
        <v>101060401</v>
      </c>
      <c r="B416" s="11" t="s">
        <v>34</v>
      </c>
      <c r="C416" s="41">
        <v>44865</v>
      </c>
      <c r="D416" s="41">
        <v>44865</v>
      </c>
      <c r="E416" s="11" t="s">
        <v>42</v>
      </c>
      <c r="F416" s="11" t="s">
        <v>1148</v>
      </c>
      <c r="G416" s="11">
        <v>107891</v>
      </c>
      <c r="H416" s="11" t="s">
        <v>57</v>
      </c>
      <c r="K416" s="11">
        <v>101060402</v>
      </c>
      <c r="L416" s="11" t="s">
        <v>44</v>
      </c>
      <c r="M416" s="11"/>
      <c r="N416" s="11">
        <v>42.24</v>
      </c>
      <c r="O416" s="42">
        <v>-42.24</v>
      </c>
      <c r="P416" s="43" t="s">
        <v>4481</v>
      </c>
      <c r="Q416" s="11">
        <v>1342288.04</v>
      </c>
      <c r="R416" s="11" t="s">
        <v>276</v>
      </c>
      <c r="S416" s="11" t="s">
        <v>40</v>
      </c>
      <c r="T416" s="11">
        <v>0</v>
      </c>
    </row>
    <row r="417" spans="1:22" x14ac:dyDescent="0.25">
      <c r="A417" s="11">
        <v>101060401</v>
      </c>
      <c r="B417" s="11" t="s">
        <v>34</v>
      </c>
      <c r="C417" s="41">
        <v>44866</v>
      </c>
      <c r="D417" s="41">
        <v>44866</v>
      </c>
      <c r="E417" s="11" t="s">
        <v>42</v>
      </c>
      <c r="F417" s="11" t="s">
        <v>1149</v>
      </c>
      <c r="G417" s="11">
        <v>107894</v>
      </c>
      <c r="H417" s="11" t="s">
        <v>71</v>
      </c>
      <c r="J417" s="11" t="s">
        <v>38</v>
      </c>
      <c r="K417" s="11">
        <v>51010101</v>
      </c>
      <c r="L417" s="11" t="s">
        <v>48</v>
      </c>
      <c r="M417" s="11"/>
      <c r="N417" s="11">
        <v>105.02</v>
      </c>
      <c r="O417" s="42">
        <v>-105.02</v>
      </c>
      <c r="P417" s="43" t="s">
        <v>4489</v>
      </c>
      <c r="Q417" s="11">
        <v>1342183.02</v>
      </c>
      <c r="R417" s="11" t="s">
        <v>1150</v>
      </c>
      <c r="S417" s="11" t="s">
        <v>40</v>
      </c>
      <c r="T417" s="11">
        <v>0</v>
      </c>
      <c r="V417" s="11" t="s">
        <v>41</v>
      </c>
    </row>
    <row r="418" spans="1:22" x14ac:dyDescent="0.25">
      <c r="A418" s="11">
        <v>101060401</v>
      </c>
      <c r="B418" s="11" t="s">
        <v>34</v>
      </c>
      <c r="C418" s="41">
        <v>44866</v>
      </c>
      <c r="D418" s="41">
        <v>44866</v>
      </c>
      <c r="E418" s="11" t="s">
        <v>42</v>
      </c>
      <c r="F418" s="11" t="s">
        <v>1151</v>
      </c>
      <c r="G418" s="11">
        <v>107898</v>
      </c>
      <c r="H418" s="11" t="s">
        <v>1152</v>
      </c>
      <c r="J418" s="11" t="s">
        <v>38</v>
      </c>
      <c r="K418" s="11">
        <v>51010101</v>
      </c>
      <c r="L418" s="11" t="s">
        <v>48</v>
      </c>
      <c r="M418" s="11"/>
      <c r="N418" s="11">
        <v>392.34</v>
      </c>
      <c r="O418" s="42">
        <v>-392.34</v>
      </c>
      <c r="P418" s="43" t="s">
        <v>4489</v>
      </c>
      <c r="Q418" s="11">
        <v>1341790.68</v>
      </c>
      <c r="R418" s="11" t="s">
        <v>1153</v>
      </c>
      <c r="S418" s="11" t="s">
        <v>40</v>
      </c>
      <c r="T418" s="11">
        <v>0</v>
      </c>
      <c r="V418" s="11" t="s">
        <v>41</v>
      </c>
    </row>
    <row r="419" spans="1:22" x14ac:dyDescent="0.25">
      <c r="A419" s="11">
        <v>101060401</v>
      </c>
      <c r="B419" s="11" t="s">
        <v>34</v>
      </c>
      <c r="C419" s="41">
        <v>44866</v>
      </c>
      <c r="D419" s="41">
        <v>44866</v>
      </c>
      <c r="E419" s="11" t="s">
        <v>36</v>
      </c>
      <c r="F419" s="11" t="s">
        <v>1154</v>
      </c>
      <c r="G419" s="11">
        <v>107909</v>
      </c>
      <c r="H419" s="11" t="s">
        <v>52</v>
      </c>
      <c r="K419" s="11">
        <v>201040506</v>
      </c>
      <c r="L419" s="11" t="s">
        <v>46</v>
      </c>
      <c r="M419" s="11">
        <v>11.6</v>
      </c>
      <c r="N419" s="11"/>
      <c r="O419" s="42">
        <v>11.6</v>
      </c>
      <c r="P419" s="43" t="s">
        <v>4480</v>
      </c>
      <c r="Q419" s="11">
        <v>1341802.28</v>
      </c>
      <c r="R419" s="11" t="s">
        <v>342</v>
      </c>
      <c r="S419" s="11" t="s">
        <v>40</v>
      </c>
      <c r="T419" s="11">
        <v>0</v>
      </c>
    </row>
    <row r="420" spans="1:22" x14ac:dyDescent="0.25">
      <c r="A420" s="11">
        <v>101060401</v>
      </c>
      <c r="B420" s="11" t="s">
        <v>34</v>
      </c>
      <c r="C420" s="41">
        <v>44866</v>
      </c>
      <c r="D420" s="41">
        <v>44866</v>
      </c>
      <c r="E420" s="11" t="s">
        <v>36</v>
      </c>
      <c r="F420" s="11" t="s">
        <v>1155</v>
      </c>
      <c r="G420" s="11">
        <v>107911</v>
      </c>
      <c r="H420" s="11" t="s">
        <v>101</v>
      </c>
      <c r="K420" s="11">
        <v>201040506</v>
      </c>
      <c r="L420" s="11" t="s">
        <v>46</v>
      </c>
      <c r="M420" s="11">
        <v>42.4</v>
      </c>
      <c r="N420" s="11"/>
      <c r="O420" s="42">
        <v>42.4</v>
      </c>
      <c r="P420" s="43" t="s">
        <v>4480</v>
      </c>
      <c r="Q420" s="11">
        <v>1341844.68</v>
      </c>
      <c r="R420" s="11" t="s">
        <v>1156</v>
      </c>
      <c r="S420" s="11" t="s">
        <v>40</v>
      </c>
      <c r="T420" s="11">
        <v>0</v>
      </c>
    </row>
    <row r="421" spans="1:22" x14ac:dyDescent="0.25">
      <c r="A421" s="11">
        <v>101060401</v>
      </c>
      <c r="B421" s="11" t="s">
        <v>34</v>
      </c>
      <c r="C421" s="41">
        <v>44866</v>
      </c>
      <c r="D421" s="41">
        <v>44866</v>
      </c>
      <c r="E421" s="11" t="s">
        <v>36</v>
      </c>
      <c r="F421" s="11" t="s">
        <v>1157</v>
      </c>
      <c r="G421" s="11">
        <v>107912</v>
      </c>
      <c r="H421" s="11" t="s">
        <v>101</v>
      </c>
      <c r="K421" s="11">
        <v>201040506</v>
      </c>
      <c r="L421" s="11" t="s">
        <v>46</v>
      </c>
      <c r="M421" s="11">
        <v>11.36</v>
      </c>
      <c r="N421" s="11"/>
      <c r="O421" s="42">
        <v>11.36</v>
      </c>
      <c r="P421" s="43" t="s">
        <v>4480</v>
      </c>
      <c r="Q421" s="11">
        <v>1341856.04</v>
      </c>
      <c r="R421" s="11" t="s">
        <v>1158</v>
      </c>
      <c r="S421" s="11" t="s">
        <v>40</v>
      </c>
      <c r="T421" s="11">
        <v>0</v>
      </c>
    </row>
    <row r="422" spans="1:22" x14ac:dyDescent="0.25">
      <c r="A422" s="11">
        <v>101060401</v>
      </c>
      <c r="B422" s="11" t="s">
        <v>34</v>
      </c>
      <c r="C422" s="41">
        <v>44866</v>
      </c>
      <c r="D422" s="41">
        <v>44866</v>
      </c>
      <c r="E422" s="11" t="s">
        <v>42</v>
      </c>
      <c r="F422" s="11" t="s">
        <v>1159</v>
      </c>
      <c r="G422" s="11">
        <v>107918</v>
      </c>
      <c r="H422" s="11" t="s">
        <v>133</v>
      </c>
      <c r="J422" s="11" t="s">
        <v>38</v>
      </c>
      <c r="K422" s="11">
        <v>51010101</v>
      </c>
      <c r="L422" s="11" t="s">
        <v>48</v>
      </c>
      <c r="M422" s="11"/>
      <c r="N422" s="11">
        <v>63.31</v>
      </c>
      <c r="O422" s="42">
        <v>-63.31</v>
      </c>
      <c r="P422" s="43" t="s">
        <v>4489</v>
      </c>
      <c r="Q422" s="11">
        <v>1341792.73</v>
      </c>
      <c r="R422" s="11" t="s">
        <v>350</v>
      </c>
      <c r="S422" s="11" t="s">
        <v>40</v>
      </c>
      <c r="T422" s="11">
        <v>0</v>
      </c>
      <c r="V422" s="11" t="s">
        <v>41</v>
      </c>
    </row>
    <row r="423" spans="1:22" x14ac:dyDescent="0.25">
      <c r="A423" s="11">
        <v>101060401</v>
      </c>
      <c r="B423" s="11" t="s">
        <v>34</v>
      </c>
      <c r="C423" s="41">
        <v>44866</v>
      </c>
      <c r="D423" s="41">
        <v>44866</v>
      </c>
      <c r="E423" s="11" t="s">
        <v>42</v>
      </c>
      <c r="F423" s="11" t="s">
        <v>1160</v>
      </c>
      <c r="G423" s="11">
        <v>107923</v>
      </c>
      <c r="H423" s="11" t="s">
        <v>141</v>
      </c>
      <c r="J423" s="11" t="s">
        <v>38</v>
      </c>
      <c r="K423" s="11">
        <v>51010101</v>
      </c>
      <c r="L423" s="11" t="s">
        <v>48</v>
      </c>
      <c r="M423" s="11"/>
      <c r="N423" s="11">
        <v>37.86</v>
      </c>
      <c r="O423" s="42">
        <v>-37.86</v>
      </c>
      <c r="P423" s="43" t="s">
        <v>4489</v>
      </c>
      <c r="Q423" s="11">
        <v>1341754.8700000001</v>
      </c>
      <c r="R423" s="11" t="s">
        <v>1161</v>
      </c>
      <c r="S423" s="11" t="s">
        <v>40</v>
      </c>
      <c r="T423" s="11">
        <v>0</v>
      </c>
      <c r="V423" s="11" t="s">
        <v>41</v>
      </c>
    </row>
    <row r="424" spans="1:22" x14ac:dyDescent="0.25">
      <c r="A424" s="11">
        <v>101060401</v>
      </c>
      <c r="B424" s="11" t="s">
        <v>34</v>
      </c>
      <c r="C424" s="41">
        <v>44866</v>
      </c>
      <c r="D424" s="41">
        <v>44866</v>
      </c>
      <c r="E424" s="11" t="s">
        <v>36</v>
      </c>
      <c r="F424" s="11" t="s">
        <v>1162</v>
      </c>
      <c r="G424" s="11">
        <v>107945</v>
      </c>
      <c r="H424" s="11" t="s">
        <v>1163</v>
      </c>
      <c r="K424" s="11">
        <v>201040506</v>
      </c>
      <c r="L424" s="11" t="s">
        <v>46</v>
      </c>
      <c r="M424" s="11">
        <v>49.6</v>
      </c>
      <c r="N424" s="11"/>
      <c r="O424" s="42">
        <v>49.6</v>
      </c>
      <c r="P424" s="43" t="s">
        <v>4480</v>
      </c>
      <c r="Q424" s="11">
        <v>1341804.47</v>
      </c>
      <c r="R424" s="11" t="s">
        <v>287</v>
      </c>
      <c r="S424" s="11" t="s">
        <v>40</v>
      </c>
      <c r="T424" s="11">
        <v>0</v>
      </c>
    </row>
    <row r="425" spans="1:22" x14ac:dyDescent="0.25">
      <c r="A425" s="11">
        <v>101060401</v>
      </c>
      <c r="B425" s="11" t="s">
        <v>34</v>
      </c>
      <c r="C425" s="41">
        <v>44866</v>
      </c>
      <c r="D425" s="41">
        <v>44866</v>
      </c>
      <c r="E425" s="11" t="s">
        <v>42</v>
      </c>
      <c r="F425" s="11" t="s">
        <v>1164</v>
      </c>
      <c r="G425" s="11">
        <v>107946</v>
      </c>
      <c r="H425" s="11" t="s">
        <v>789</v>
      </c>
      <c r="J425" s="11" t="s">
        <v>38</v>
      </c>
      <c r="K425" s="11">
        <v>51010101</v>
      </c>
      <c r="L425" s="11" t="s">
        <v>48</v>
      </c>
      <c r="M425" s="11"/>
      <c r="N425" s="11">
        <v>49.6</v>
      </c>
      <c r="O425" s="42">
        <v>-49.6</v>
      </c>
      <c r="P425" s="43" t="s">
        <v>4489</v>
      </c>
      <c r="Q425" s="11">
        <v>1341754.8700000001</v>
      </c>
      <c r="R425" s="11" t="s">
        <v>298</v>
      </c>
      <c r="S425" s="11" t="s">
        <v>40</v>
      </c>
      <c r="T425" s="11">
        <v>0</v>
      </c>
      <c r="V425" s="11" t="s">
        <v>41</v>
      </c>
    </row>
    <row r="426" spans="1:22" x14ac:dyDescent="0.25">
      <c r="A426" s="11">
        <v>101060401</v>
      </c>
      <c r="B426" s="11" t="s">
        <v>34</v>
      </c>
      <c r="C426" s="41">
        <v>44866</v>
      </c>
      <c r="D426" s="41">
        <v>44866</v>
      </c>
      <c r="E426" s="11" t="s">
        <v>42</v>
      </c>
      <c r="F426" s="11" t="s">
        <v>1165</v>
      </c>
      <c r="G426" s="11">
        <v>107951</v>
      </c>
      <c r="H426" s="11" t="s">
        <v>57</v>
      </c>
      <c r="K426" s="11">
        <v>101060402</v>
      </c>
      <c r="L426" s="11" t="s">
        <v>44</v>
      </c>
      <c r="M426" s="11">
        <v>3570.19</v>
      </c>
      <c r="N426" s="11"/>
      <c r="O426" s="42">
        <v>3570.19</v>
      </c>
      <c r="P426" s="43" t="s">
        <v>4481</v>
      </c>
      <c r="Q426" s="11">
        <v>1345325.06</v>
      </c>
      <c r="R426" s="11" t="s">
        <v>1166</v>
      </c>
      <c r="S426" s="11" t="s">
        <v>106</v>
      </c>
      <c r="T426" s="11">
        <v>0</v>
      </c>
    </row>
    <row r="427" spans="1:22" x14ac:dyDescent="0.25">
      <c r="A427" s="11">
        <v>101060401</v>
      </c>
      <c r="B427" s="11" t="s">
        <v>34</v>
      </c>
      <c r="C427" s="41">
        <v>44866</v>
      </c>
      <c r="D427" s="41">
        <v>44866</v>
      </c>
      <c r="E427" s="11" t="s">
        <v>42</v>
      </c>
      <c r="F427" s="11" t="s">
        <v>1167</v>
      </c>
      <c r="G427" s="11">
        <v>107956</v>
      </c>
      <c r="H427" s="11" t="s">
        <v>47</v>
      </c>
      <c r="J427" s="11" t="s">
        <v>38</v>
      </c>
      <c r="K427" s="11">
        <v>51010101</v>
      </c>
      <c r="L427" s="11" t="s">
        <v>48</v>
      </c>
      <c r="M427" s="11"/>
      <c r="N427" s="11">
        <v>53.11</v>
      </c>
      <c r="O427" s="42">
        <v>-53.11</v>
      </c>
      <c r="P427" s="43" t="s">
        <v>4489</v>
      </c>
      <c r="Q427" s="11">
        <v>1345271.95</v>
      </c>
      <c r="R427" s="11" t="s">
        <v>874</v>
      </c>
      <c r="S427" s="11" t="s">
        <v>40</v>
      </c>
      <c r="T427" s="11">
        <v>0</v>
      </c>
      <c r="V427" s="11" t="s">
        <v>41</v>
      </c>
    </row>
    <row r="428" spans="1:22" x14ac:dyDescent="0.25">
      <c r="A428" s="11">
        <v>101060401</v>
      </c>
      <c r="B428" s="11" t="s">
        <v>34</v>
      </c>
      <c r="C428" s="41">
        <v>44866</v>
      </c>
      <c r="D428" s="41">
        <v>44866</v>
      </c>
      <c r="E428" s="11" t="s">
        <v>42</v>
      </c>
      <c r="F428" s="11" t="s">
        <v>1168</v>
      </c>
      <c r="G428" s="11">
        <v>107957</v>
      </c>
      <c r="H428" s="11" t="s">
        <v>47</v>
      </c>
      <c r="J428" s="11" t="s">
        <v>38</v>
      </c>
      <c r="K428" s="11">
        <v>51010101</v>
      </c>
      <c r="L428" s="11" t="s">
        <v>48</v>
      </c>
      <c r="M428" s="11"/>
      <c r="N428" s="11">
        <v>53.11</v>
      </c>
      <c r="O428" s="42">
        <v>-53.11</v>
      </c>
      <c r="P428" s="43" t="s">
        <v>4489</v>
      </c>
      <c r="Q428" s="11">
        <v>1345218.84</v>
      </c>
      <c r="R428" s="11" t="s">
        <v>874</v>
      </c>
      <c r="S428" s="11" t="s">
        <v>40</v>
      </c>
      <c r="T428" s="11">
        <v>0</v>
      </c>
      <c r="V428" s="11" t="s">
        <v>41</v>
      </c>
    </row>
    <row r="429" spans="1:22" x14ac:dyDescent="0.25">
      <c r="A429" s="11">
        <v>101060401</v>
      </c>
      <c r="B429" s="11" t="s">
        <v>34</v>
      </c>
      <c r="C429" s="41">
        <v>44866</v>
      </c>
      <c r="D429" s="41">
        <v>44866</v>
      </c>
      <c r="E429" s="11" t="s">
        <v>42</v>
      </c>
      <c r="F429" s="11" t="s">
        <v>1169</v>
      </c>
      <c r="G429" s="11">
        <v>107958</v>
      </c>
      <c r="H429" s="11" t="s">
        <v>47</v>
      </c>
      <c r="J429" s="11" t="s">
        <v>38</v>
      </c>
      <c r="K429" s="11">
        <v>51010101</v>
      </c>
      <c r="L429" s="11" t="s">
        <v>48</v>
      </c>
      <c r="M429" s="11"/>
      <c r="N429" s="11">
        <v>159.34</v>
      </c>
      <c r="O429" s="42">
        <v>-159.34</v>
      </c>
      <c r="P429" s="43" t="s">
        <v>4489</v>
      </c>
      <c r="Q429" s="11">
        <v>1345059.5</v>
      </c>
      <c r="R429" s="11" t="s">
        <v>1170</v>
      </c>
      <c r="S429" s="11" t="s">
        <v>40</v>
      </c>
      <c r="T429" s="11">
        <v>0</v>
      </c>
      <c r="V429" s="11" t="s">
        <v>41</v>
      </c>
    </row>
    <row r="430" spans="1:22" x14ac:dyDescent="0.25">
      <c r="A430" s="11">
        <v>101060401</v>
      </c>
      <c r="B430" s="11" t="s">
        <v>34</v>
      </c>
      <c r="C430" s="41">
        <v>44866</v>
      </c>
      <c r="D430" s="41">
        <v>44866</v>
      </c>
      <c r="E430" s="11" t="s">
        <v>42</v>
      </c>
      <c r="F430" s="11" t="s">
        <v>1171</v>
      </c>
      <c r="G430" s="11">
        <v>107959</v>
      </c>
      <c r="H430" s="11" t="s">
        <v>47</v>
      </c>
      <c r="J430" s="11" t="s">
        <v>38</v>
      </c>
      <c r="K430" s="11">
        <v>51010101</v>
      </c>
      <c r="L430" s="11" t="s">
        <v>48</v>
      </c>
      <c r="M430" s="11"/>
      <c r="N430" s="11">
        <v>53.11</v>
      </c>
      <c r="O430" s="42">
        <v>-53.11</v>
      </c>
      <c r="P430" s="43" t="s">
        <v>4489</v>
      </c>
      <c r="Q430" s="11">
        <v>1345006.39</v>
      </c>
      <c r="R430" s="11" t="s">
        <v>874</v>
      </c>
      <c r="S430" s="11" t="s">
        <v>40</v>
      </c>
      <c r="T430" s="11">
        <v>0</v>
      </c>
      <c r="V430" s="11" t="s">
        <v>41</v>
      </c>
    </row>
    <row r="431" spans="1:22" x14ac:dyDescent="0.25">
      <c r="A431" s="11">
        <v>101060401</v>
      </c>
      <c r="B431" s="11" t="s">
        <v>34</v>
      </c>
      <c r="C431" s="41">
        <v>44866</v>
      </c>
      <c r="D431" s="41">
        <v>44866</v>
      </c>
      <c r="E431" s="11" t="s">
        <v>42</v>
      </c>
      <c r="F431" s="11" t="s">
        <v>1172</v>
      </c>
      <c r="G431" s="11">
        <v>107968</v>
      </c>
      <c r="H431" s="11" t="s">
        <v>226</v>
      </c>
      <c r="J431" s="11" t="s">
        <v>38</v>
      </c>
      <c r="K431" s="11">
        <v>51010101</v>
      </c>
      <c r="L431" s="11" t="s">
        <v>48</v>
      </c>
      <c r="M431" s="11">
        <v>37.86</v>
      </c>
      <c r="N431" s="11"/>
      <c r="O431" s="42">
        <v>37.86</v>
      </c>
      <c r="P431" s="43" t="s">
        <v>4489</v>
      </c>
      <c r="Q431" s="11">
        <v>1345044.25</v>
      </c>
      <c r="R431" s="11" t="s">
        <v>1173</v>
      </c>
      <c r="S431" s="11" t="s">
        <v>40</v>
      </c>
      <c r="T431" s="11">
        <v>0</v>
      </c>
      <c r="V431" s="11" t="s">
        <v>41</v>
      </c>
    </row>
    <row r="432" spans="1:22" x14ac:dyDescent="0.25">
      <c r="A432" s="11">
        <v>101060401</v>
      </c>
      <c r="B432" s="11" t="s">
        <v>34</v>
      </c>
      <c r="C432" s="41">
        <v>44866</v>
      </c>
      <c r="D432" s="41">
        <v>44866</v>
      </c>
      <c r="E432" s="11" t="s">
        <v>60</v>
      </c>
      <c r="F432" s="11" t="s">
        <v>1174</v>
      </c>
      <c r="G432" s="11">
        <v>107969</v>
      </c>
      <c r="H432" s="11" t="s">
        <v>61</v>
      </c>
      <c r="K432" s="11">
        <v>201040506</v>
      </c>
      <c r="L432" s="11" t="s">
        <v>46</v>
      </c>
      <c r="M432" s="11"/>
      <c r="N432" s="11">
        <v>11.36</v>
      </c>
      <c r="O432" s="42">
        <v>-11.36</v>
      </c>
      <c r="P432" s="43" t="s">
        <v>4480</v>
      </c>
      <c r="Q432" s="11">
        <v>1345032.89</v>
      </c>
      <c r="R432" s="11" t="s">
        <v>1175</v>
      </c>
      <c r="S432" s="11" t="s">
        <v>40</v>
      </c>
      <c r="T432" s="11">
        <v>0</v>
      </c>
    </row>
    <row r="433" spans="1:22" x14ac:dyDescent="0.25">
      <c r="A433" s="11">
        <v>101060401</v>
      </c>
      <c r="B433" s="11" t="s">
        <v>34</v>
      </c>
      <c r="C433" s="41">
        <v>44866</v>
      </c>
      <c r="D433" s="41">
        <v>44866</v>
      </c>
      <c r="E433" s="11" t="s">
        <v>36</v>
      </c>
      <c r="F433" s="11" t="s">
        <v>1176</v>
      </c>
      <c r="G433" s="11">
        <v>107972</v>
      </c>
      <c r="H433" s="11" t="s">
        <v>101</v>
      </c>
      <c r="K433" s="11">
        <v>201040506</v>
      </c>
      <c r="L433" s="11" t="s">
        <v>46</v>
      </c>
      <c r="M433" s="11">
        <v>11.36</v>
      </c>
      <c r="N433" s="11"/>
      <c r="O433" s="42">
        <v>11.36</v>
      </c>
      <c r="P433" s="43" t="s">
        <v>4480</v>
      </c>
      <c r="Q433" s="11">
        <v>1345044.25</v>
      </c>
      <c r="R433" s="11" t="s">
        <v>1158</v>
      </c>
      <c r="S433" s="11" t="s">
        <v>40</v>
      </c>
      <c r="T433" s="11">
        <v>0</v>
      </c>
    </row>
    <row r="434" spans="1:22" x14ac:dyDescent="0.25">
      <c r="A434" s="11">
        <v>101060401</v>
      </c>
      <c r="B434" s="11" t="s">
        <v>34</v>
      </c>
      <c r="C434" s="41">
        <v>44866</v>
      </c>
      <c r="D434" s="41">
        <v>44866</v>
      </c>
      <c r="E434" s="11" t="s">
        <v>42</v>
      </c>
      <c r="F434" s="11" t="s">
        <v>1177</v>
      </c>
      <c r="G434" s="11">
        <v>107973</v>
      </c>
      <c r="H434" s="11" t="s">
        <v>141</v>
      </c>
      <c r="J434" s="11" t="s">
        <v>38</v>
      </c>
      <c r="K434" s="11">
        <v>51010101</v>
      </c>
      <c r="L434" s="11" t="s">
        <v>48</v>
      </c>
      <c r="M434" s="11"/>
      <c r="N434" s="11">
        <v>37.86</v>
      </c>
      <c r="O434" s="42">
        <v>-37.86</v>
      </c>
      <c r="P434" s="43" t="s">
        <v>4489</v>
      </c>
      <c r="Q434" s="11">
        <v>1345006.39</v>
      </c>
      <c r="R434" s="11" t="s">
        <v>1161</v>
      </c>
      <c r="S434" s="11" t="s">
        <v>40</v>
      </c>
      <c r="T434" s="11">
        <v>0</v>
      </c>
      <c r="V434" s="11" t="s">
        <v>41</v>
      </c>
    </row>
    <row r="435" spans="1:22" x14ac:dyDescent="0.25">
      <c r="A435" s="11">
        <v>101060401</v>
      </c>
      <c r="B435" s="11" t="s">
        <v>34</v>
      </c>
      <c r="C435" s="41">
        <v>44866</v>
      </c>
      <c r="D435" s="41">
        <v>44866</v>
      </c>
      <c r="E435" s="11" t="s">
        <v>42</v>
      </c>
      <c r="F435" s="11" t="s">
        <v>1178</v>
      </c>
      <c r="G435" s="11">
        <v>107982</v>
      </c>
      <c r="H435" s="11" t="s">
        <v>57</v>
      </c>
      <c r="K435" s="11">
        <v>101060402</v>
      </c>
      <c r="L435" s="11" t="s">
        <v>44</v>
      </c>
      <c r="M435" s="11"/>
      <c r="N435" s="11">
        <v>103.87</v>
      </c>
      <c r="O435" s="42">
        <v>-103.87</v>
      </c>
      <c r="P435" s="43" t="s">
        <v>4481</v>
      </c>
      <c r="Q435" s="11">
        <v>1344902.52</v>
      </c>
      <c r="R435" s="11" t="s">
        <v>1179</v>
      </c>
      <c r="S435" s="11" t="s">
        <v>40</v>
      </c>
      <c r="T435" s="11">
        <v>0</v>
      </c>
    </row>
    <row r="436" spans="1:22" x14ac:dyDescent="0.25">
      <c r="A436" s="11">
        <v>101060401</v>
      </c>
      <c r="B436" s="11" t="s">
        <v>34</v>
      </c>
      <c r="C436" s="41">
        <v>44866</v>
      </c>
      <c r="D436" s="41">
        <v>44866</v>
      </c>
      <c r="E436" s="11" t="s">
        <v>42</v>
      </c>
      <c r="F436" s="11" t="s">
        <v>1180</v>
      </c>
      <c r="G436" s="11">
        <v>107984</v>
      </c>
      <c r="H436" s="11" t="s">
        <v>139</v>
      </c>
      <c r="J436" s="11" t="s">
        <v>38</v>
      </c>
      <c r="K436" s="11">
        <v>51010101</v>
      </c>
      <c r="L436" s="11" t="s">
        <v>48</v>
      </c>
      <c r="M436" s="11"/>
      <c r="N436" s="11">
        <v>113.45</v>
      </c>
      <c r="O436" s="42">
        <v>-113.45</v>
      </c>
      <c r="P436" s="43" t="s">
        <v>4489</v>
      </c>
      <c r="Q436" s="11">
        <v>1344789.07</v>
      </c>
      <c r="R436" s="11" t="s">
        <v>1181</v>
      </c>
      <c r="S436" s="11" t="s">
        <v>40</v>
      </c>
      <c r="T436" s="11">
        <v>0</v>
      </c>
      <c r="V436" s="11" t="s">
        <v>41</v>
      </c>
    </row>
    <row r="437" spans="1:22" x14ac:dyDescent="0.25">
      <c r="A437" s="11">
        <v>101060401</v>
      </c>
      <c r="B437" s="11" t="s">
        <v>34</v>
      </c>
      <c r="C437" s="41">
        <v>44866</v>
      </c>
      <c r="D437" s="41">
        <v>44866</v>
      </c>
      <c r="E437" s="11" t="s">
        <v>36</v>
      </c>
      <c r="F437" s="11" t="s">
        <v>1182</v>
      </c>
      <c r="G437" s="11">
        <v>107986</v>
      </c>
      <c r="H437" s="11" t="s">
        <v>89</v>
      </c>
      <c r="K437" s="11">
        <v>201040506</v>
      </c>
      <c r="L437" s="11" t="s">
        <v>46</v>
      </c>
      <c r="M437" s="11">
        <v>5</v>
      </c>
      <c r="N437" s="11"/>
      <c r="O437" s="42">
        <v>5</v>
      </c>
      <c r="P437" s="43" t="s">
        <v>4480</v>
      </c>
      <c r="Q437" s="11">
        <v>1344794.07</v>
      </c>
      <c r="R437" s="11" t="s">
        <v>147</v>
      </c>
      <c r="S437" s="11" t="s">
        <v>40</v>
      </c>
      <c r="T437" s="11">
        <v>0</v>
      </c>
    </row>
    <row r="438" spans="1:22" x14ac:dyDescent="0.25">
      <c r="A438" s="11">
        <v>101060401</v>
      </c>
      <c r="B438" s="11" t="s">
        <v>34</v>
      </c>
      <c r="C438" s="41">
        <v>44866</v>
      </c>
      <c r="D438" s="41">
        <v>44866</v>
      </c>
      <c r="E438" s="11" t="s">
        <v>36</v>
      </c>
      <c r="F438" s="11" t="s">
        <v>1183</v>
      </c>
      <c r="G438" s="11">
        <v>107988</v>
      </c>
      <c r="H438" s="11" t="s">
        <v>89</v>
      </c>
      <c r="K438" s="11">
        <v>201040506</v>
      </c>
      <c r="L438" s="11" t="s">
        <v>46</v>
      </c>
      <c r="M438" s="11">
        <v>18</v>
      </c>
      <c r="N438" s="11"/>
      <c r="O438" s="42">
        <v>18</v>
      </c>
      <c r="P438" s="43" t="s">
        <v>4480</v>
      </c>
      <c r="Q438" s="11">
        <v>1344812.07</v>
      </c>
      <c r="R438" s="11" t="s">
        <v>232</v>
      </c>
      <c r="S438" s="11" t="s">
        <v>40</v>
      </c>
      <c r="T438" s="11">
        <v>0</v>
      </c>
    </row>
    <row r="439" spans="1:22" x14ac:dyDescent="0.25">
      <c r="A439" s="11">
        <v>101060401</v>
      </c>
      <c r="B439" s="11" t="s">
        <v>34</v>
      </c>
      <c r="C439" s="41">
        <v>44866</v>
      </c>
      <c r="D439" s="41">
        <v>44866</v>
      </c>
      <c r="E439" s="11" t="s">
        <v>42</v>
      </c>
      <c r="F439" s="11" t="s">
        <v>1184</v>
      </c>
      <c r="G439" s="11">
        <v>107990</v>
      </c>
      <c r="H439" s="11" t="s">
        <v>47</v>
      </c>
      <c r="J439" s="11" t="s">
        <v>38</v>
      </c>
      <c r="K439" s="11">
        <v>51010101</v>
      </c>
      <c r="L439" s="11" t="s">
        <v>48</v>
      </c>
      <c r="M439" s="11"/>
      <c r="N439" s="11">
        <v>5</v>
      </c>
      <c r="O439" s="42">
        <v>-5</v>
      </c>
      <c r="P439" s="43" t="s">
        <v>4489</v>
      </c>
      <c r="Q439" s="11">
        <v>1344807.07</v>
      </c>
      <c r="R439" s="11" t="s">
        <v>148</v>
      </c>
      <c r="S439" s="11" t="s">
        <v>40</v>
      </c>
      <c r="T439" s="11">
        <v>0</v>
      </c>
      <c r="V439" s="11" t="s">
        <v>41</v>
      </c>
    </row>
    <row r="440" spans="1:22" x14ac:dyDescent="0.25">
      <c r="A440" s="11">
        <v>101060401</v>
      </c>
      <c r="B440" s="11" t="s">
        <v>34</v>
      </c>
      <c r="C440" s="41">
        <v>44866</v>
      </c>
      <c r="D440" s="41">
        <v>44866</v>
      </c>
      <c r="E440" s="11" t="s">
        <v>42</v>
      </c>
      <c r="F440" s="11" t="s">
        <v>1185</v>
      </c>
      <c r="G440" s="11">
        <v>107992</v>
      </c>
      <c r="H440" s="11" t="s">
        <v>47</v>
      </c>
      <c r="J440" s="11" t="s">
        <v>38</v>
      </c>
      <c r="K440" s="11">
        <v>51010101</v>
      </c>
      <c r="L440" s="11" t="s">
        <v>48</v>
      </c>
      <c r="M440" s="11"/>
      <c r="N440" s="11">
        <v>18</v>
      </c>
      <c r="O440" s="42">
        <v>-18</v>
      </c>
      <c r="P440" s="43" t="s">
        <v>4489</v>
      </c>
      <c r="Q440" s="11">
        <v>1344789.07</v>
      </c>
      <c r="R440" s="11" t="s">
        <v>233</v>
      </c>
      <c r="S440" s="11" t="s">
        <v>40</v>
      </c>
      <c r="T440" s="11">
        <v>0</v>
      </c>
      <c r="V440" s="11" t="s">
        <v>41</v>
      </c>
    </row>
    <row r="441" spans="1:22" x14ac:dyDescent="0.25">
      <c r="A441" s="11">
        <v>101060401</v>
      </c>
      <c r="B441" s="11" t="s">
        <v>34</v>
      </c>
      <c r="C441" s="41">
        <v>44866</v>
      </c>
      <c r="D441" s="41">
        <v>44866</v>
      </c>
      <c r="E441" s="11" t="s">
        <v>42</v>
      </c>
      <c r="F441" s="11" t="s">
        <v>1186</v>
      </c>
      <c r="G441" s="11">
        <v>108041</v>
      </c>
      <c r="H441" s="11" t="s">
        <v>56</v>
      </c>
      <c r="J441" s="11" t="s">
        <v>38</v>
      </c>
      <c r="K441" s="11">
        <v>51010101</v>
      </c>
      <c r="L441" s="11" t="s">
        <v>48</v>
      </c>
      <c r="M441" s="11"/>
      <c r="N441" s="11">
        <v>100.61</v>
      </c>
      <c r="O441" s="42">
        <v>-100.61</v>
      </c>
      <c r="P441" s="43" t="s">
        <v>4489</v>
      </c>
      <c r="Q441" s="11">
        <v>1344688.46</v>
      </c>
      <c r="R441" s="11" t="s">
        <v>1187</v>
      </c>
      <c r="S441" s="11" t="s">
        <v>40</v>
      </c>
      <c r="T441" s="11">
        <v>0</v>
      </c>
      <c r="V441" s="11" t="s">
        <v>41</v>
      </c>
    </row>
    <row r="442" spans="1:22" x14ac:dyDescent="0.25">
      <c r="A442" s="11">
        <v>101060401</v>
      </c>
      <c r="B442" s="11" t="s">
        <v>34</v>
      </c>
      <c r="C442" s="41">
        <v>44867</v>
      </c>
      <c r="D442" s="41">
        <v>44867</v>
      </c>
      <c r="E442" s="11" t="s">
        <v>42</v>
      </c>
      <c r="F442" s="11" t="s">
        <v>1188</v>
      </c>
      <c r="G442" s="11">
        <v>108046</v>
      </c>
      <c r="H442" s="11" t="s">
        <v>72</v>
      </c>
      <c r="J442" s="11" t="s">
        <v>38</v>
      </c>
      <c r="K442" s="11">
        <v>51010101</v>
      </c>
      <c r="L442" s="11" t="s">
        <v>48</v>
      </c>
      <c r="M442" s="11"/>
      <c r="N442" s="11">
        <v>147.11000000000001</v>
      </c>
      <c r="O442" s="42">
        <v>-147.11000000000001</v>
      </c>
      <c r="P442" s="43" t="s">
        <v>4489</v>
      </c>
      <c r="Q442" s="11">
        <v>1344541.35</v>
      </c>
      <c r="R442" s="11" t="s">
        <v>1189</v>
      </c>
      <c r="S442" s="11" t="s">
        <v>40</v>
      </c>
      <c r="T442" s="11">
        <v>0</v>
      </c>
      <c r="V442" s="11" t="s">
        <v>41</v>
      </c>
    </row>
    <row r="443" spans="1:22" x14ac:dyDescent="0.25">
      <c r="A443" s="11">
        <v>101060401</v>
      </c>
      <c r="B443" s="11" t="s">
        <v>34</v>
      </c>
      <c r="C443" s="41">
        <v>44867</v>
      </c>
      <c r="D443" s="41">
        <v>44867</v>
      </c>
      <c r="E443" s="11" t="s">
        <v>42</v>
      </c>
      <c r="F443" s="11" t="s">
        <v>1190</v>
      </c>
      <c r="G443" s="11">
        <v>108060</v>
      </c>
      <c r="H443" s="11" t="s">
        <v>71</v>
      </c>
      <c r="J443" s="11" t="s">
        <v>38</v>
      </c>
      <c r="K443" s="11">
        <v>51010101</v>
      </c>
      <c r="L443" s="11" t="s">
        <v>48</v>
      </c>
      <c r="M443" s="11"/>
      <c r="N443" s="11">
        <v>112.44</v>
      </c>
      <c r="O443" s="42">
        <v>-112.44</v>
      </c>
      <c r="P443" s="43" t="s">
        <v>4489</v>
      </c>
      <c r="Q443" s="11">
        <v>1344428.91</v>
      </c>
      <c r="R443" s="11" t="s">
        <v>1191</v>
      </c>
      <c r="S443" s="11" t="s">
        <v>40</v>
      </c>
      <c r="T443" s="11">
        <v>0</v>
      </c>
      <c r="V443" s="11" t="s">
        <v>41</v>
      </c>
    </row>
    <row r="444" spans="1:22" x14ac:dyDescent="0.25">
      <c r="A444" s="11">
        <v>101060401</v>
      </c>
      <c r="B444" s="11" t="s">
        <v>34</v>
      </c>
      <c r="C444" s="41">
        <v>44867</v>
      </c>
      <c r="D444" s="41">
        <v>44867</v>
      </c>
      <c r="E444" s="11" t="s">
        <v>36</v>
      </c>
      <c r="F444" s="11" t="s">
        <v>1192</v>
      </c>
      <c r="G444" s="11">
        <v>108061</v>
      </c>
      <c r="H444" s="11" t="s">
        <v>52</v>
      </c>
      <c r="K444" s="11">
        <v>201040506</v>
      </c>
      <c r="L444" s="11" t="s">
        <v>46</v>
      </c>
      <c r="M444" s="11">
        <v>2761.56</v>
      </c>
      <c r="N444" s="11"/>
      <c r="O444" s="42">
        <v>2761.56</v>
      </c>
      <c r="P444" s="43" t="s">
        <v>4480</v>
      </c>
      <c r="Q444" s="11">
        <v>1347190.47</v>
      </c>
      <c r="R444" s="11" t="s">
        <v>1193</v>
      </c>
      <c r="S444" s="11" t="s">
        <v>40</v>
      </c>
      <c r="T444" s="11">
        <v>0</v>
      </c>
    </row>
    <row r="445" spans="1:22" x14ac:dyDescent="0.25">
      <c r="A445" s="11">
        <v>101060401</v>
      </c>
      <c r="B445" s="11" t="s">
        <v>34</v>
      </c>
      <c r="C445" s="41">
        <v>44867</v>
      </c>
      <c r="D445" s="41">
        <v>44867</v>
      </c>
      <c r="E445" s="11" t="s">
        <v>36</v>
      </c>
      <c r="F445" s="11" t="s">
        <v>1194</v>
      </c>
      <c r="G445" s="11">
        <v>108062</v>
      </c>
      <c r="H445" s="11" t="s">
        <v>52</v>
      </c>
      <c r="K445" s="11">
        <v>201040506</v>
      </c>
      <c r="L445" s="11" t="s">
        <v>46</v>
      </c>
      <c r="M445" s="11">
        <v>97.38</v>
      </c>
      <c r="N445" s="11"/>
      <c r="O445" s="42">
        <v>97.38</v>
      </c>
      <c r="P445" s="43" t="s">
        <v>4480</v>
      </c>
      <c r="Q445" s="11">
        <v>1347287.85</v>
      </c>
      <c r="R445" s="11" t="s">
        <v>1195</v>
      </c>
      <c r="S445" s="11" t="s">
        <v>40</v>
      </c>
      <c r="T445" s="11">
        <v>0</v>
      </c>
    </row>
    <row r="446" spans="1:22" x14ac:dyDescent="0.25">
      <c r="A446" s="11">
        <v>101060401</v>
      </c>
      <c r="B446" s="11" t="s">
        <v>34</v>
      </c>
      <c r="C446" s="41">
        <v>44867</v>
      </c>
      <c r="D446" s="41">
        <v>44867</v>
      </c>
      <c r="E446" s="11" t="s">
        <v>36</v>
      </c>
      <c r="F446" s="11" t="s">
        <v>1196</v>
      </c>
      <c r="G446" s="11">
        <v>108063</v>
      </c>
      <c r="H446" s="11" t="s">
        <v>52</v>
      </c>
      <c r="K446" s="11">
        <v>201040506</v>
      </c>
      <c r="L446" s="11" t="s">
        <v>46</v>
      </c>
      <c r="M446" s="11">
        <v>153.63999999999999</v>
      </c>
      <c r="N446" s="11"/>
      <c r="O446" s="42">
        <v>153.63999999999999</v>
      </c>
      <c r="P446" s="43" t="s">
        <v>4480</v>
      </c>
      <c r="Q446" s="11">
        <v>1347441.49</v>
      </c>
      <c r="R446" s="11" t="s">
        <v>1197</v>
      </c>
      <c r="S446" s="11" t="s">
        <v>40</v>
      </c>
      <c r="T446" s="11">
        <v>0</v>
      </c>
    </row>
    <row r="447" spans="1:22" x14ac:dyDescent="0.25">
      <c r="A447" s="11">
        <v>101060401</v>
      </c>
      <c r="B447" s="11" t="s">
        <v>34</v>
      </c>
      <c r="C447" s="41">
        <v>44867</v>
      </c>
      <c r="D447" s="41">
        <v>44867</v>
      </c>
      <c r="E447" s="11" t="s">
        <v>42</v>
      </c>
      <c r="F447" s="11" t="s">
        <v>1198</v>
      </c>
      <c r="G447" s="11">
        <v>108064</v>
      </c>
      <c r="H447" s="11" t="s">
        <v>74</v>
      </c>
      <c r="J447" s="11" t="s">
        <v>38</v>
      </c>
      <c r="K447" s="11">
        <v>51010101</v>
      </c>
      <c r="L447" s="11" t="s">
        <v>48</v>
      </c>
      <c r="M447" s="11"/>
      <c r="N447" s="11">
        <v>458</v>
      </c>
      <c r="O447" s="42">
        <v>-458</v>
      </c>
      <c r="P447" s="43" t="s">
        <v>4489</v>
      </c>
      <c r="Q447" s="11">
        <v>1346983.49</v>
      </c>
      <c r="R447" s="11" t="s">
        <v>1199</v>
      </c>
      <c r="S447" s="11" t="s">
        <v>40</v>
      </c>
      <c r="T447" s="11">
        <v>0</v>
      </c>
      <c r="V447" s="11" t="s">
        <v>41</v>
      </c>
    </row>
    <row r="448" spans="1:22" x14ac:dyDescent="0.25">
      <c r="A448" s="11">
        <v>101060401</v>
      </c>
      <c r="B448" s="11" t="s">
        <v>34</v>
      </c>
      <c r="C448" s="41">
        <v>44867</v>
      </c>
      <c r="D448" s="41">
        <v>44867</v>
      </c>
      <c r="E448" s="11" t="s">
        <v>42</v>
      </c>
      <c r="F448" s="11" t="s">
        <v>1200</v>
      </c>
      <c r="G448" s="11">
        <v>108065</v>
      </c>
      <c r="H448" s="11" t="s">
        <v>74</v>
      </c>
      <c r="J448" s="11" t="s">
        <v>38</v>
      </c>
      <c r="K448" s="11">
        <v>51010101</v>
      </c>
      <c r="L448" s="11" t="s">
        <v>48</v>
      </c>
      <c r="M448" s="11"/>
      <c r="N448" s="11">
        <v>131.93</v>
      </c>
      <c r="O448" s="42">
        <v>-131.93</v>
      </c>
      <c r="P448" s="43" t="s">
        <v>4489</v>
      </c>
      <c r="Q448" s="11">
        <v>1346851.56</v>
      </c>
      <c r="R448" s="11" t="s">
        <v>1201</v>
      </c>
      <c r="S448" s="11" t="s">
        <v>40</v>
      </c>
      <c r="T448" s="11">
        <v>0</v>
      </c>
      <c r="V448" s="11" t="s">
        <v>41</v>
      </c>
    </row>
    <row r="449" spans="1:22" x14ac:dyDescent="0.25">
      <c r="A449" s="11">
        <v>101060401</v>
      </c>
      <c r="B449" s="11" t="s">
        <v>34</v>
      </c>
      <c r="C449" s="41">
        <v>44867</v>
      </c>
      <c r="D449" s="41">
        <v>44867</v>
      </c>
      <c r="E449" s="11" t="s">
        <v>42</v>
      </c>
      <c r="F449" s="11" t="s">
        <v>1202</v>
      </c>
      <c r="G449" s="11">
        <v>108066</v>
      </c>
      <c r="H449" s="11" t="s">
        <v>74</v>
      </c>
      <c r="J449" s="11" t="s">
        <v>38</v>
      </c>
      <c r="K449" s="11">
        <v>51010101</v>
      </c>
      <c r="L449" s="11" t="s">
        <v>48</v>
      </c>
      <c r="M449" s="11"/>
      <c r="N449" s="11">
        <v>23.32</v>
      </c>
      <c r="O449" s="42">
        <v>-23.32</v>
      </c>
      <c r="P449" s="43" t="s">
        <v>4489</v>
      </c>
      <c r="Q449" s="11">
        <v>1346828.24</v>
      </c>
      <c r="R449" s="11" t="s">
        <v>1203</v>
      </c>
      <c r="S449" s="11" t="s">
        <v>40</v>
      </c>
      <c r="T449" s="11">
        <v>0</v>
      </c>
      <c r="V449" s="11" t="s">
        <v>41</v>
      </c>
    </row>
    <row r="450" spans="1:22" x14ac:dyDescent="0.25">
      <c r="A450" s="11">
        <v>101060401</v>
      </c>
      <c r="B450" s="11" t="s">
        <v>34</v>
      </c>
      <c r="C450" s="41">
        <v>44867</v>
      </c>
      <c r="D450" s="41">
        <v>44867</v>
      </c>
      <c r="E450" s="11" t="s">
        <v>42</v>
      </c>
      <c r="F450" s="11" t="s">
        <v>1204</v>
      </c>
      <c r="G450" s="11">
        <v>108067</v>
      </c>
      <c r="H450" s="11" t="s">
        <v>84</v>
      </c>
      <c r="J450" s="11" t="s">
        <v>38</v>
      </c>
      <c r="K450" s="11">
        <v>51010101</v>
      </c>
      <c r="L450" s="11" t="s">
        <v>48</v>
      </c>
      <c r="M450" s="11"/>
      <c r="N450" s="11">
        <v>81.13</v>
      </c>
      <c r="O450" s="42">
        <v>-81.13</v>
      </c>
      <c r="P450" s="43" t="s">
        <v>4489</v>
      </c>
      <c r="Q450" s="11">
        <v>1346747.11</v>
      </c>
      <c r="R450" s="11" t="s">
        <v>1205</v>
      </c>
      <c r="S450" s="11" t="s">
        <v>40</v>
      </c>
      <c r="T450" s="11">
        <v>0</v>
      </c>
      <c r="V450" s="11" t="s">
        <v>41</v>
      </c>
    </row>
    <row r="451" spans="1:22" x14ac:dyDescent="0.25">
      <c r="A451" s="11">
        <v>101060401</v>
      </c>
      <c r="B451" s="11" t="s">
        <v>34</v>
      </c>
      <c r="C451" s="41">
        <v>44867</v>
      </c>
      <c r="D451" s="41">
        <v>44867</v>
      </c>
      <c r="E451" s="11" t="s">
        <v>36</v>
      </c>
      <c r="F451" s="11" t="s">
        <v>1206</v>
      </c>
      <c r="G451" s="11">
        <v>108068</v>
      </c>
      <c r="H451" s="11" t="s">
        <v>52</v>
      </c>
      <c r="K451" s="11">
        <v>201040506</v>
      </c>
      <c r="L451" s="11" t="s">
        <v>46</v>
      </c>
      <c r="M451" s="11">
        <v>73.53</v>
      </c>
      <c r="N451" s="11"/>
      <c r="O451" s="42">
        <v>73.53</v>
      </c>
      <c r="P451" s="43" t="s">
        <v>4480</v>
      </c>
      <c r="Q451" s="11">
        <v>1346820.64</v>
      </c>
      <c r="R451" s="11" t="s">
        <v>1207</v>
      </c>
      <c r="S451" s="11" t="s">
        <v>40</v>
      </c>
      <c r="T451" s="11">
        <v>0</v>
      </c>
    </row>
    <row r="452" spans="1:22" x14ac:dyDescent="0.25">
      <c r="A452" s="11">
        <v>101060401</v>
      </c>
      <c r="B452" s="11" t="s">
        <v>34</v>
      </c>
      <c r="C452" s="41">
        <v>44867</v>
      </c>
      <c r="D452" s="41">
        <v>44867</v>
      </c>
      <c r="E452" s="11" t="s">
        <v>36</v>
      </c>
      <c r="F452" s="11" t="s">
        <v>1208</v>
      </c>
      <c r="G452" s="11">
        <v>108069</v>
      </c>
      <c r="H452" s="11" t="s">
        <v>52</v>
      </c>
      <c r="K452" s="11">
        <v>201040506</v>
      </c>
      <c r="L452" s="11" t="s">
        <v>46</v>
      </c>
      <c r="M452" s="11">
        <v>266</v>
      </c>
      <c r="N452" s="11"/>
      <c r="O452" s="42">
        <v>266</v>
      </c>
      <c r="P452" s="43" t="s">
        <v>4480</v>
      </c>
      <c r="Q452" s="11">
        <v>1347086.64</v>
      </c>
      <c r="R452" s="11" t="s">
        <v>1209</v>
      </c>
      <c r="S452" s="11" t="s">
        <v>40</v>
      </c>
      <c r="T452" s="11">
        <v>0</v>
      </c>
    </row>
    <row r="453" spans="1:22" x14ac:dyDescent="0.25">
      <c r="A453" s="11">
        <v>101060401</v>
      </c>
      <c r="B453" s="11" t="s">
        <v>34</v>
      </c>
      <c r="C453" s="41">
        <v>44867</v>
      </c>
      <c r="D453" s="41">
        <v>44867</v>
      </c>
      <c r="E453" s="11" t="s">
        <v>42</v>
      </c>
      <c r="F453" s="11" t="s">
        <v>1210</v>
      </c>
      <c r="G453" s="11">
        <v>108070</v>
      </c>
      <c r="H453" s="11" t="s">
        <v>74</v>
      </c>
      <c r="J453" s="11" t="s">
        <v>38</v>
      </c>
      <c r="K453" s="11">
        <v>51010101</v>
      </c>
      <c r="L453" s="11" t="s">
        <v>48</v>
      </c>
      <c r="M453" s="11"/>
      <c r="N453" s="11">
        <v>73.53</v>
      </c>
      <c r="O453" s="42">
        <v>-73.53</v>
      </c>
      <c r="P453" s="43" t="s">
        <v>4489</v>
      </c>
      <c r="Q453" s="11">
        <v>1347013.11</v>
      </c>
      <c r="R453" s="11" t="s">
        <v>1211</v>
      </c>
      <c r="S453" s="11" t="s">
        <v>40</v>
      </c>
      <c r="T453" s="11">
        <v>0</v>
      </c>
      <c r="V453" s="11" t="s">
        <v>41</v>
      </c>
    </row>
    <row r="454" spans="1:22" x14ac:dyDescent="0.25">
      <c r="A454" s="11">
        <v>101060401</v>
      </c>
      <c r="B454" s="11" t="s">
        <v>34</v>
      </c>
      <c r="C454" s="41">
        <v>44867</v>
      </c>
      <c r="D454" s="41">
        <v>44867</v>
      </c>
      <c r="E454" s="11" t="s">
        <v>42</v>
      </c>
      <c r="F454" s="11" t="s">
        <v>1212</v>
      </c>
      <c r="G454" s="11">
        <v>108071</v>
      </c>
      <c r="H454" s="11" t="s">
        <v>282</v>
      </c>
      <c r="J454" s="11" t="s">
        <v>38</v>
      </c>
      <c r="K454" s="11">
        <v>51010101</v>
      </c>
      <c r="L454" s="11" t="s">
        <v>48</v>
      </c>
      <c r="M454" s="11"/>
      <c r="N454" s="11">
        <v>132</v>
      </c>
      <c r="O454" s="42">
        <v>-132</v>
      </c>
      <c r="P454" s="43" t="s">
        <v>4489</v>
      </c>
      <c r="Q454" s="11">
        <v>1346881.11</v>
      </c>
      <c r="R454" s="11" t="s">
        <v>1213</v>
      </c>
      <c r="S454" s="11" t="s">
        <v>40</v>
      </c>
      <c r="T454" s="11">
        <v>0</v>
      </c>
      <c r="V454" s="11" t="s">
        <v>41</v>
      </c>
    </row>
    <row r="455" spans="1:22" x14ac:dyDescent="0.25">
      <c r="A455" s="11">
        <v>101060401</v>
      </c>
      <c r="B455" s="11" t="s">
        <v>34</v>
      </c>
      <c r="C455" s="41">
        <v>44867</v>
      </c>
      <c r="D455" s="41">
        <v>44867</v>
      </c>
      <c r="E455" s="11" t="s">
        <v>60</v>
      </c>
      <c r="F455" s="11" t="s">
        <v>1214</v>
      </c>
      <c r="G455" s="11">
        <v>108072</v>
      </c>
      <c r="H455" s="11" t="s">
        <v>61</v>
      </c>
      <c r="K455" s="11">
        <v>201040506</v>
      </c>
      <c r="L455" s="11" t="s">
        <v>46</v>
      </c>
      <c r="M455" s="11"/>
      <c r="N455" s="11">
        <v>266</v>
      </c>
      <c r="O455" s="42">
        <v>-266</v>
      </c>
      <c r="P455" s="43" t="s">
        <v>4480</v>
      </c>
      <c r="Q455" s="11">
        <v>1346615.11</v>
      </c>
      <c r="R455" s="11" t="s">
        <v>1215</v>
      </c>
      <c r="S455" s="11" t="s">
        <v>40</v>
      </c>
      <c r="T455" s="11">
        <v>0</v>
      </c>
    </row>
    <row r="456" spans="1:22" x14ac:dyDescent="0.25">
      <c r="A456" s="11">
        <v>101060401</v>
      </c>
      <c r="B456" s="11" t="s">
        <v>34</v>
      </c>
      <c r="C456" s="41">
        <v>44867</v>
      </c>
      <c r="D456" s="41">
        <v>44867</v>
      </c>
      <c r="E456" s="11" t="s">
        <v>42</v>
      </c>
      <c r="F456" s="11" t="s">
        <v>1216</v>
      </c>
      <c r="G456" s="11">
        <v>108082</v>
      </c>
      <c r="H456" s="11" t="s">
        <v>47</v>
      </c>
      <c r="J456" s="11" t="s">
        <v>38</v>
      </c>
      <c r="K456" s="11">
        <v>51010101</v>
      </c>
      <c r="L456" s="11" t="s">
        <v>48</v>
      </c>
      <c r="M456" s="11"/>
      <c r="N456" s="11">
        <v>4793.83</v>
      </c>
      <c r="O456" s="42">
        <v>-4793.83</v>
      </c>
      <c r="P456" s="43" t="s">
        <v>4489</v>
      </c>
      <c r="Q456" s="11">
        <v>1341821.28</v>
      </c>
      <c r="R456" s="11" t="s">
        <v>1217</v>
      </c>
      <c r="S456" s="11" t="s">
        <v>40</v>
      </c>
      <c r="T456" s="11">
        <v>0</v>
      </c>
      <c r="V456" s="11" t="s">
        <v>41</v>
      </c>
    </row>
    <row r="457" spans="1:22" x14ac:dyDescent="0.25">
      <c r="A457" s="11">
        <v>101060401</v>
      </c>
      <c r="B457" s="11" t="s">
        <v>34</v>
      </c>
      <c r="C457" s="41">
        <v>44867</v>
      </c>
      <c r="D457" s="41">
        <v>44867</v>
      </c>
      <c r="E457" s="11" t="s">
        <v>36</v>
      </c>
      <c r="F457" s="11" t="s">
        <v>1218</v>
      </c>
      <c r="G457" s="11">
        <v>108084</v>
      </c>
      <c r="H457" s="11" t="s">
        <v>52</v>
      </c>
      <c r="K457" s="11">
        <v>201040506</v>
      </c>
      <c r="L457" s="11" t="s">
        <v>46</v>
      </c>
      <c r="M457" s="11">
        <v>2698.05</v>
      </c>
      <c r="N457" s="11"/>
      <c r="O457" s="42">
        <v>2698.05</v>
      </c>
      <c r="P457" s="43" t="s">
        <v>4480</v>
      </c>
      <c r="Q457" s="11">
        <v>1344519.33</v>
      </c>
      <c r="R457" s="11" t="s">
        <v>1219</v>
      </c>
      <c r="S457" s="11" t="s">
        <v>40</v>
      </c>
      <c r="T457" s="11">
        <v>0</v>
      </c>
    </row>
    <row r="458" spans="1:22" x14ac:dyDescent="0.25">
      <c r="A458" s="11">
        <v>101060401</v>
      </c>
      <c r="B458" s="11" t="s">
        <v>34</v>
      </c>
      <c r="C458" s="41">
        <v>44867</v>
      </c>
      <c r="D458" s="41">
        <v>44867</v>
      </c>
      <c r="E458" s="11" t="s">
        <v>36</v>
      </c>
      <c r="F458" s="11" t="s">
        <v>1220</v>
      </c>
      <c r="G458" s="11">
        <v>108085</v>
      </c>
      <c r="H458" s="11" t="s">
        <v>52</v>
      </c>
      <c r="K458" s="11">
        <v>201040506</v>
      </c>
      <c r="L458" s="11" t="s">
        <v>46</v>
      </c>
      <c r="M458" s="11">
        <v>3827.55</v>
      </c>
      <c r="N458" s="11"/>
      <c r="O458" s="42">
        <v>3827.55</v>
      </c>
      <c r="P458" s="43" t="s">
        <v>4480</v>
      </c>
      <c r="Q458" s="11">
        <v>1348346.8799999999</v>
      </c>
      <c r="R458" s="11" t="s">
        <v>1221</v>
      </c>
      <c r="S458" s="11" t="s">
        <v>40</v>
      </c>
      <c r="T458" s="11">
        <v>0</v>
      </c>
    </row>
    <row r="459" spans="1:22" x14ac:dyDescent="0.25">
      <c r="A459" s="11">
        <v>101060401</v>
      </c>
      <c r="B459" s="11" t="s">
        <v>34</v>
      </c>
      <c r="C459" s="41">
        <v>44867</v>
      </c>
      <c r="D459" s="41">
        <v>44867</v>
      </c>
      <c r="E459" s="11" t="s">
        <v>42</v>
      </c>
      <c r="F459" s="11" t="s">
        <v>1222</v>
      </c>
      <c r="G459" s="11">
        <v>108088</v>
      </c>
      <c r="H459" s="11" t="s">
        <v>323</v>
      </c>
      <c r="J459" s="11" t="s">
        <v>38</v>
      </c>
      <c r="K459" s="11">
        <v>51010101</v>
      </c>
      <c r="L459" s="11" t="s">
        <v>48</v>
      </c>
      <c r="M459" s="11"/>
      <c r="N459" s="11">
        <v>35.67</v>
      </c>
      <c r="O459" s="42">
        <v>-35.67</v>
      </c>
      <c r="P459" s="43" t="s">
        <v>4489</v>
      </c>
      <c r="Q459" s="11">
        <v>1348311.21</v>
      </c>
      <c r="R459" s="11" t="s">
        <v>1223</v>
      </c>
      <c r="S459" s="11" t="s">
        <v>40</v>
      </c>
      <c r="T459" s="11">
        <v>0</v>
      </c>
      <c r="V459" s="11" t="s">
        <v>41</v>
      </c>
    </row>
    <row r="460" spans="1:22" x14ac:dyDescent="0.25">
      <c r="A460" s="11">
        <v>101060401</v>
      </c>
      <c r="B460" s="11" t="s">
        <v>34</v>
      </c>
      <c r="C460" s="41">
        <v>44867</v>
      </c>
      <c r="D460" s="41">
        <v>44867</v>
      </c>
      <c r="E460" s="11" t="s">
        <v>36</v>
      </c>
      <c r="F460" s="11" t="s">
        <v>1224</v>
      </c>
      <c r="G460" s="11">
        <v>108089</v>
      </c>
      <c r="H460" s="11" t="s">
        <v>52</v>
      </c>
      <c r="K460" s="11">
        <v>201040506</v>
      </c>
      <c r="L460" s="11" t="s">
        <v>46</v>
      </c>
      <c r="M460" s="11">
        <v>45.16</v>
      </c>
      <c r="N460" s="11"/>
      <c r="O460" s="42">
        <v>45.16</v>
      </c>
      <c r="P460" s="43" t="s">
        <v>4480</v>
      </c>
      <c r="Q460" s="11">
        <v>1348356.37</v>
      </c>
      <c r="R460" s="11" t="s">
        <v>1225</v>
      </c>
      <c r="S460" s="11" t="s">
        <v>40</v>
      </c>
      <c r="T460" s="11">
        <v>0</v>
      </c>
    </row>
    <row r="461" spans="1:22" x14ac:dyDescent="0.25">
      <c r="A461" s="11">
        <v>101060401</v>
      </c>
      <c r="B461" s="11" t="s">
        <v>34</v>
      </c>
      <c r="C461" s="41">
        <v>44867</v>
      </c>
      <c r="D461" s="41">
        <v>44867</v>
      </c>
      <c r="E461" s="11" t="s">
        <v>42</v>
      </c>
      <c r="F461" s="11" t="s">
        <v>1226</v>
      </c>
      <c r="G461" s="11">
        <v>108090</v>
      </c>
      <c r="H461" s="11" t="s">
        <v>323</v>
      </c>
      <c r="J461" s="11" t="s">
        <v>38</v>
      </c>
      <c r="K461" s="11">
        <v>51010101</v>
      </c>
      <c r="L461" s="11" t="s">
        <v>48</v>
      </c>
      <c r="M461" s="11"/>
      <c r="N461" s="11">
        <v>45.16</v>
      </c>
      <c r="O461" s="42">
        <v>-45.16</v>
      </c>
      <c r="P461" s="43" t="s">
        <v>4489</v>
      </c>
      <c r="Q461" s="11">
        <v>1348311.21</v>
      </c>
      <c r="R461" s="11" t="s">
        <v>322</v>
      </c>
      <c r="S461" s="11" t="s">
        <v>40</v>
      </c>
      <c r="T461" s="11">
        <v>0</v>
      </c>
      <c r="V461" s="11" t="s">
        <v>41</v>
      </c>
    </row>
    <row r="462" spans="1:22" x14ac:dyDescent="0.25">
      <c r="A462" s="11">
        <v>101060401</v>
      </c>
      <c r="B462" s="11" t="s">
        <v>34</v>
      </c>
      <c r="C462" s="41">
        <v>44867</v>
      </c>
      <c r="D462" s="41">
        <v>44867</v>
      </c>
      <c r="E462" s="11" t="s">
        <v>36</v>
      </c>
      <c r="F462" s="11" t="s">
        <v>1227</v>
      </c>
      <c r="G462" s="11">
        <v>108091</v>
      </c>
      <c r="H462" s="11" t="s">
        <v>52</v>
      </c>
      <c r="K462" s="11">
        <v>201040506</v>
      </c>
      <c r="L462" s="11" t="s">
        <v>46</v>
      </c>
      <c r="M462" s="11">
        <v>424.05</v>
      </c>
      <c r="N462" s="11"/>
      <c r="O462" s="42">
        <v>424.05</v>
      </c>
      <c r="P462" s="43" t="s">
        <v>4480</v>
      </c>
      <c r="Q462" s="11">
        <v>1348735.26</v>
      </c>
      <c r="R462" s="11" t="s">
        <v>1228</v>
      </c>
      <c r="S462" s="11" t="s">
        <v>40</v>
      </c>
      <c r="T462" s="11">
        <v>0</v>
      </c>
    </row>
    <row r="463" spans="1:22" x14ac:dyDescent="0.25">
      <c r="A463" s="11">
        <v>101060401</v>
      </c>
      <c r="B463" s="11" t="s">
        <v>34</v>
      </c>
      <c r="C463" s="41">
        <v>44867</v>
      </c>
      <c r="D463" s="41">
        <v>44867</v>
      </c>
      <c r="E463" s="11" t="s">
        <v>42</v>
      </c>
      <c r="F463" s="11" t="s">
        <v>1229</v>
      </c>
      <c r="G463" s="11">
        <v>108092</v>
      </c>
      <c r="H463" s="11" t="s">
        <v>323</v>
      </c>
      <c r="J463" s="11" t="s">
        <v>38</v>
      </c>
      <c r="K463" s="11">
        <v>51010101</v>
      </c>
      <c r="L463" s="11" t="s">
        <v>48</v>
      </c>
      <c r="M463" s="11"/>
      <c r="N463" s="11">
        <v>424.05</v>
      </c>
      <c r="O463" s="42">
        <v>-424.05</v>
      </c>
      <c r="P463" s="43" t="s">
        <v>4489</v>
      </c>
      <c r="Q463" s="11">
        <v>1348311.21</v>
      </c>
      <c r="R463" s="11" t="s">
        <v>1230</v>
      </c>
      <c r="S463" s="11" t="s">
        <v>40</v>
      </c>
      <c r="T463" s="11">
        <v>0</v>
      </c>
      <c r="V463" s="11" t="s">
        <v>41</v>
      </c>
    </row>
    <row r="464" spans="1:22" x14ac:dyDescent="0.25">
      <c r="A464" s="11">
        <v>101060401</v>
      </c>
      <c r="B464" s="11" t="s">
        <v>34</v>
      </c>
      <c r="C464" s="41">
        <v>44867</v>
      </c>
      <c r="D464" s="41">
        <v>44867</v>
      </c>
      <c r="E464" s="11" t="s">
        <v>42</v>
      </c>
      <c r="F464" s="11" t="s">
        <v>1231</v>
      </c>
      <c r="G464" s="11">
        <v>108095</v>
      </c>
      <c r="H464" s="11" t="s">
        <v>47</v>
      </c>
      <c r="J464" s="11" t="s">
        <v>38</v>
      </c>
      <c r="K464" s="11">
        <v>51010101</v>
      </c>
      <c r="L464" s="11" t="s">
        <v>48</v>
      </c>
      <c r="M464" s="11"/>
      <c r="N464" s="11">
        <v>2821.98</v>
      </c>
      <c r="O464" s="42">
        <v>-2821.98</v>
      </c>
      <c r="P464" s="43" t="s">
        <v>4489</v>
      </c>
      <c r="Q464" s="11">
        <v>1345489.23</v>
      </c>
      <c r="R464" s="11" t="s">
        <v>1232</v>
      </c>
      <c r="S464" s="11" t="s">
        <v>40</v>
      </c>
      <c r="T464" s="11">
        <v>0</v>
      </c>
      <c r="V464" s="11" t="s">
        <v>41</v>
      </c>
    </row>
    <row r="465" spans="1:22" x14ac:dyDescent="0.25">
      <c r="A465" s="11">
        <v>101060401</v>
      </c>
      <c r="B465" s="11" t="s">
        <v>34</v>
      </c>
      <c r="C465" s="41">
        <v>44867</v>
      </c>
      <c r="D465" s="41">
        <v>44867</v>
      </c>
      <c r="E465" s="11" t="s">
        <v>42</v>
      </c>
      <c r="F465" s="11" t="s">
        <v>1233</v>
      </c>
      <c r="G465" s="11">
        <v>108099</v>
      </c>
      <c r="H465" s="11" t="s">
        <v>47</v>
      </c>
      <c r="J465" s="11" t="s">
        <v>38</v>
      </c>
      <c r="K465" s="11">
        <v>51010101</v>
      </c>
      <c r="L465" s="11" t="s">
        <v>48</v>
      </c>
      <c r="M465" s="11"/>
      <c r="N465" s="11">
        <v>6706.34</v>
      </c>
      <c r="O465" s="42">
        <v>-6706.34</v>
      </c>
      <c r="P465" s="43" t="s">
        <v>4489</v>
      </c>
      <c r="Q465" s="11">
        <v>1338782.8899999999</v>
      </c>
      <c r="R465" s="11" t="s">
        <v>1234</v>
      </c>
      <c r="S465" s="11" t="s">
        <v>40</v>
      </c>
      <c r="T465" s="11">
        <v>0</v>
      </c>
      <c r="V465" s="11" t="s">
        <v>41</v>
      </c>
    </row>
    <row r="466" spans="1:22" x14ac:dyDescent="0.25">
      <c r="A466" s="11">
        <v>101060401</v>
      </c>
      <c r="B466" s="11" t="s">
        <v>34</v>
      </c>
      <c r="C466" s="41">
        <v>44867</v>
      </c>
      <c r="D466" s="41">
        <v>44867</v>
      </c>
      <c r="E466" s="11" t="s">
        <v>42</v>
      </c>
      <c r="F466" s="11" t="s">
        <v>1235</v>
      </c>
      <c r="G466" s="11">
        <v>108107</v>
      </c>
      <c r="H466" s="11" t="s">
        <v>57</v>
      </c>
      <c r="K466" s="11">
        <v>101060402</v>
      </c>
      <c r="L466" s="11" t="s">
        <v>44</v>
      </c>
      <c r="M466" s="11">
        <v>281.05</v>
      </c>
      <c r="N466" s="11"/>
      <c r="O466" s="42">
        <v>281.05</v>
      </c>
      <c r="P466" s="43" t="s">
        <v>4481</v>
      </c>
      <c r="Q466" s="11">
        <v>1339063.94</v>
      </c>
      <c r="R466" s="11" t="s">
        <v>1236</v>
      </c>
      <c r="S466" s="11" t="s">
        <v>106</v>
      </c>
      <c r="T466" s="11">
        <v>0</v>
      </c>
    </row>
    <row r="467" spans="1:22" x14ac:dyDescent="0.25">
      <c r="A467" s="11">
        <v>101060401</v>
      </c>
      <c r="B467" s="11" t="s">
        <v>34</v>
      </c>
      <c r="C467" s="41">
        <v>44867</v>
      </c>
      <c r="D467" s="41">
        <v>44867</v>
      </c>
      <c r="E467" s="11" t="s">
        <v>42</v>
      </c>
      <c r="F467" s="11" t="s">
        <v>1237</v>
      </c>
      <c r="G467" s="11">
        <v>108108</v>
      </c>
      <c r="H467" s="11" t="s">
        <v>57</v>
      </c>
      <c r="K467" s="11">
        <v>101060402</v>
      </c>
      <c r="L467" s="11" t="s">
        <v>44</v>
      </c>
      <c r="M467" s="11">
        <v>1170.9000000000001</v>
      </c>
      <c r="N467" s="11"/>
      <c r="O467" s="42">
        <v>1170.9000000000001</v>
      </c>
      <c r="P467" s="43" t="s">
        <v>4481</v>
      </c>
      <c r="Q467" s="11">
        <v>1340234.8400000001</v>
      </c>
      <c r="R467" s="11" t="s">
        <v>1238</v>
      </c>
      <c r="S467" s="11" t="s">
        <v>106</v>
      </c>
      <c r="T467" s="11">
        <v>0</v>
      </c>
    </row>
    <row r="468" spans="1:22" x14ac:dyDescent="0.25">
      <c r="A468" s="11">
        <v>101060401</v>
      </c>
      <c r="B468" s="11" t="s">
        <v>34</v>
      </c>
      <c r="C468" s="41">
        <v>44867</v>
      </c>
      <c r="D468" s="41">
        <v>44867</v>
      </c>
      <c r="E468" s="11" t="s">
        <v>42</v>
      </c>
      <c r="F468" s="11" t="s">
        <v>1239</v>
      </c>
      <c r="G468" s="11">
        <v>108112</v>
      </c>
      <c r="H468" s="11" t="s">
        <v>88</v>
      </c>
      <c r="J468" s="11" t="s">
        <v>38</v>
      </c>
      <c r="K468" s="11">
        <v>51010101</v>
      </c>
      <c r="L468" s="11" t="s">
        <v>48</v>
      </c>
      <c r="M468" s="11">
        <v>6706.34</v>
      </c>
      <c r="N468" s="11"/>
      <c r="O468" s="42">
        <v>6706.34</v>
      </c>
      <c r="P468" s="43" t="s">
        <v>4489</v>
      </c>
      <c r="Q468" s="11">
        <v>1346941.18</v>
      </c>
      <c r="R468" s="11" t="s">
        <v>1240</v>
      </c>
      <c r="S468" s="11" t="s">
        <v>106</v>
      </c>
      <c r="T468" s="11">
        <v>0</v>
      </c>
      <c r="V468" s="11" t="s">
        <v>41</v>
      </c>
    </row>
    <row r="469" spans="1:22" x14ac:dyDescent="0.25">
      <c r="A469" s="11">
        <v>101060401</v>
      </c>
      <c r="B469" s="11" t="s">
        <v>34</v>
      </c>
      <c r="C469" s="41">
        <v>44867</v>
      </c>
      <c r="D469" s="41">
        <v>44867</v>
      </c>
      <c r="E469" s="11" t="s">
        <v>42</v>
      </c>
      <c r="F469" s="11" t="s">
        <v>1241</v>
      </c>
      <c r="G469" s="11">
        <v>108115</v>
      </c>
      <c r="H469" s="11" t="s">
        <v>88</v>
      </c>
      <c r="J469" s="11" t="s">
        <v>38</v>
      </c>
      <c r="K469" s="11">
        <v>51010101</v>
      </c>
      <c r="L469" s="11" t="s">
        <v>48</v>
      </c>
      <c r="M469" s="11">
        <v>2821.98</v>
      </c>
      <c r="N469" s="11"/>
      <c r="O469" s="42">
        <v>2821.98</v>
      </c>
      <c r="P469" s="43" t="s">
        <v>4489</v>
      </c>
      <c r="Q469" s="11">
        <v>1349763.16</v>
      </c>
      <c r="R469" s="11" t="s">
        <v>1242</v>
      </c>
      <c r="S469" s="11" t="s">
        <v>106</v>
      </c>
      <c r="T469" s="11">
        <v>0</v>
      </c>
      <c r="V469" s="11" t="s">
        <v>41</v>
      </c>
    </row>
    <row r="470" spans="1:22" x14ac:dyDescent="0.25">
      <c r="A470" s="11">
        <v>101060401</v>
      </c>
      <c r="B470" s="11" t="s">
        <v>34</v>
      </c>
      <c r="C470" s="41">
        <v>44867</v>
      </c>
      <c r="D470" s="41">
        <v>44867</v>
      </c>
      <c r="E470" s="11" t="s">
        <v>42</v>
      </c>
      <c r="F470" s="11" t="s">
        <v>1243</v>
      </c>
      <c r="G470" s="11">
        <v>108117</v>
      </c>
      <c r="H470" s="11" t="s">
        <v>88</v>
      </c>
      <c r="J470" s="11" t="s">
        <v>38</v>
      </c>
      <c r="K470" s="11">
        <v>51010101</v>
      </c>
      <c r="L470" s="11" t="s">
        <v>48</v>
      </c>
      <c r="M470" s="11">
        <v>4793.83</v>
      </c>
      <c r="N470" s="11"/>
      <c r="O470" s="42">
        <v>4793.83</v>
      </c>
      <c r="P470" s="43" t="s">
        <v>4489</v>
      </c>
      <c r="Q470" s="11">
        <v>1354556.99</v>
      </c>
      <c r="R470" s="11" t="s">
        <v>1244</v>
      </c>
      <c r="S470" s="11" t="s">
        <v>106</v>
      </c>
      <c r="T470" s="11">
        <v>0</v>
      </c>
      <c r="V470" s="11" t="s">
        <v>41</v>
      </c>
    </row>
    <row r="471" spans="1:22" x14ac:dyDescent="0.25">
      <c r="A471" s="11">
        <v>101060401</v>
      </c>
      <c r="B471" s="11" t="s">
        <v>34</v>
      </c>
      <c r="C471" s="41">
        <v>44867</v>
      </c>
      <c r="D471" s="41">
        <v>44867</v>
      </c>
      <c r="E471" s="11" t="s">
        <v>42</v>
      </c>
      <c r="F471" s="11" t="s">
        <v>1245</v>
      </c>
      <c r="G471" s="11">
        <v>108171</v>
      </c>
      <c r="H471" s="11" t="s">
        <v>1246</v>
      </c>
      <c r="J471" s="11" t="s">
        <v>38</v>
      </c>
      <c r="K471" s="11">
        <v>51010101</v>
      </c>
      <c r="L471" s="11" t="s">
        <v>48</v>
      </c>
      <c r="M471" s="11">
        <v>424.05</v>
      </c>
      <c r="N471" s="11"/>
      <c r="O471" s="42">
        <v>424.05</v>
      </c>
      <c r="P471" s="43" t="s">
        <v>4489</v>
      </c>
      <c r="Q471" s="11">
        <v>1354981.04</v>
      </c>
      <c r="R471" s="11" t="s">
        <v>1228</v>
      </c>
      <c r="S471" s="11" t="s">
        <v>40</v>
      </c>
      <c r="T471" s="11">
        <v>0</v>
      </c>
      <c r="V471" s="11" t="s">
        <v>41</v>
      </c>
    </row>
    <row r="472" spans="1:22" x14ac:dyDescent="0.25">
      <c r="A472" s="11">
        <v>101060401</v>
      </c>
      <c r="B472" s="11" t="s">
        <v>34</v>
      </c>
      <c r="C472" s="41">
        <v>44867</v>
      </c>
      <c r="D472" s="41">
        <v>44867</v>
      </c>
      <c r="E472" s="11" t="s">
        <v>60</v>
      </c>
      <c r="F472" s="11" t="s">
        <v>1247</v>
      </c>
      <c r="G472" s="11">
        <v>108172</v>
      </c>
      <c r="H472" s="11" t="s">
        <v>61</v>
      </c>
      <c r="K472" s="11">
        <v>201040506</v>
      </c>
      <c r="L472" s="11" t="s">
        <v>46</v>
      </c>
      <c r="M472" s="11"/>
      <c r="N472" s="11">
        <v>424.05</v>
      </c>
      <c r="O472" s="42">
        <v>-424.05</v>
      </c>
      <c r="P472" s="43" t="s">
        <v>4480</v>
      </c>
      <c r="Q472" s="11">
        <v>1354556.99</v>
      </c>
      <c r="R472" s="11" t="s">
        <v>1230</v>
      </c>
      <c r="S472" s="11" t="s">
        <v>40</v>
      </c>
      <c r="T472" s="11">
        <v>0</v>
      </c>
    </row>
    <row r="473" spans="1:22" x14ac:dyDescent="0.25">
      <c r="A473" s="11">
        <v>101060401</v>
      </c>
      <c r="B473" s="11" t="s">
        <v>34</v>
      </c>
      <c r="C473" s="41">
        <v>44867</v>
      </c>
      <c r="D473" s="41">
        <v>44867</v>
      </c>
      <c r="E473" s="11" t="s">
        <v>60</v>
      </c>
      <c r="F473" s="11" t="s">
        <v>1248</v>
      </c>
      <c r="G473" s="11">
        <v>108189</v>
      </c>
      <c r="H473" s="11" t="s">
        <v>61</v>
      </c>
      <c r="K473" s="11">
        <v>201040506</v>
      </c>
      <c r="L473" s="11" t="s">
        <v>46</v>
      </c>
      <c r="M473" s="11"/>
      <c r="N473" s="11">
        <v>2761.56</v>
      </c>
      <c r="O473" s="42">
        <v>-2761.56</v>
      </c>
      <c r="P473" s="43" t="s">
        <v>4480</v>
      </c>
      <c r="Q473" s="11">
        <v>1351795.43</v>
      </c>
      <c r="R473" s="11" t="s">
        <v>1249</v>
      </c>
      <c r="S473" s="11" t="s">
        <v>40</v>
      </c>
      <c r="T473" s="11">
        <v>0</v>
      </c>
    </row>
    <row r="474" spans="1:22" x14ac:dyDescent="0.25">
      <c r="A474" s="11">
        <v>101060401</v>
      </c>
      <c r="B474" s="11" t="s">
        <v>34</v>
      </c>
      <c r="C474" s="41">
        <v>44868</v>
      </c>
      <c r="D474" s="41">
        <v>44868</v>
      </c>
      <c r="E474" s="11" t="s">
        <v>42</v>
      </c>
      <c r="F474" s="11" t="s">
        <v>1250</v>
      </c>
      <c r="G474" s="11">
        <v>108113</v>
      </c>
      <c r="H474" s="11" t="s">
        <v>47</v>
      </c>
      <c r="J474" s="11" t="s">
        <v>38</v>
      </c>
      <c r="K474" s="11">
        <v>51010101</v>
      </c>
      <c r="L474" s="11" t="s">
        <v>48</v>
      </c>
      <c r="M474" s="11"/>
      <c r="N474" s="11">
        <v>6333.78</v>
      </c>
      <c r="O474" s="42">
        <v>-6333.78</v>
      </c>
      <c r="P474" s="43" t="s">
        <v>4489</v>
      </c>
      <c r="Q474" s="11">
        <v>1345461.65</v>
      </c>
      <c r="R474" s="11" t="s">
        <v>1251</v>
      </c>
      <c r="S474" s="11" t="s">
        <v>106</v>
      </c>
      <c r="T474" s="11">
        <v>0</v>
      </c>
      <c r="V474" s="11" t="s">
        <v>41</v>
      </c>
    </row>
    <row r="475" spans="1:22" x14ac:dyDescent="0.25">
      <c r="A475" s="11">
        <v>101060401</v>
      </c>
      <c r="B475" s="11" t="s">
        <v>34</v>
      </c>
      <c r="C475" s="41">
        <v>44868</v>
      </c>
      <c r="D475" s="41">
        <v>44868</v>
      </c>
      <c r="E475" s="11" t="s">
        <v>42</v>
      </c>
      <c r="F475" s="11" t="s">
        <v>1252</v>
      </c>
      <c r="G475" s="11">
        <v>108116</v>
      </c>
      <c r="H475" s="11" t="s">
        <v>47</v>
      </c>
      <c r="J475" s="11" t="s">
        <v>38</v>
      </c>
      <c r="K475" s="11">
        <v>51010101</v>
      </c>
      <c r="L475" s="11" t="s">
        <v>48</v>
      </c>
      <c r="M475" s="11"/>
      <c r="N475" s="11">
        <v>2821.98</v>
      </c>
      <c r="O475" s="42">
        <v>-2821.98</v>
      </c>
      <c r="P475" s="43" t="s">
        <v>4489</v>
      </c>
      <c r="Q475" s="11">
        <v>1342639.67</v>
      </c>
      <c r="R475" s="11" t="s">
        <v>1232</v>
      </c>
      <c r="S475" s="11" t="s">
        <v>106</v>
      </c>
      <c r="T475" s="11">
        <v>0</v>
      </c>
      <c r="V475" s="11" t="s">
        <v>41</v>
      </c>
    </row>
    <row r="476" spans="1:22" x14ac:dyDescent="0.25">
      <c r="A476" s="11">
        <v>101060401</v>
      </c>
      <c r="B476" s="11" t="s">
        <v>34</v>
      </c>
      <c r="C476" s="41">
        <v>44868</v>
      </c>
      <c r="D476" s="41">
        <v>44868</v>
      </c>
      <c r="E476" s="11" t="s">
        <v>42</v>
      </c>
      <c r="F476" s="11" t="s">
        <v>1253</v>
      </c>
      <c r="G476" s="11">
        <v>108119</v>
      </c>
      <c r="H476" s="11" t="s">
        <v>47</v>
      </c>
      <c r="J476" s="11" t="s">
        <v>38</v>
      </c>
      <c r="K476" s="11">
        <v>51010101</v>
      </c>
      <c r="L476" s="11" t="s">
        <v>48</v>
      </c>
      <c r="M476" s="11"/>
      <c r="N476" s="11">
        <v>4691.83</v>
      </c>
      <c r="O476" s="42">
        <v>-4691.83</v>
      </c>
      <c r="P476" s="43" t="s">
        <v>4489</v>
      </c>
      <c r="Q476" s="11">
        <v>1337947.8400000001</v>
      </c>
      <c r="R476" s="11" t="s">
        <v>1254</v>
      </c>
      <c r="S476" s="11" t="s">
        <v>106</v>
      </c>
      <c r="T476" s="11">
        <v>0</v>
      </c>
      <c r="V476" s="11" t="s">
        <v>41</v>
      </c>
    </row>
    <row r="477" spans="1:22" x14ac:dyDescent="0.25">
      <c r="A477" s="11">
        <v>101060401</v>
      </c>
      <c r="B477" s="11" t="s">
        <v>34</v>
      </c>
      <c r="C477" s="41">
        <v>44868</v>
      </c>
      <c r="D477" s="41">
        <v>44868</v>
      </c>
      <c r="E477" s="11" t="s">
        <v>42</v>
      </c>
      <c r="F477" s="11" t="s">
        <v>1255</v>
      </c>
      <c r="G477" s="11">
        <v>108187</v>
      </c>
      <c r="H477" s="11" t="s">
        <v>88</v>
      </c>
      <c r="J477" s="11" t="s">
        <v>38</v>
      </c>
      <c r="K477" s="11">
        <v>51010101</v>
      </c>
      <c r="L477" s="11" t="s">
        <v>48</v>
      </c>
      <c r="M477" s="11">
        <v>4691.83</v>
      </c>
      <c r="N477" s="11"/>
      <c r="O477" s="42">
        <v>4691.83</v>
      </c>
      <c r="P477" s="43" t="s">
        <v>4489</v>
      </c>
      <c r="Q477" s="11">
        <v>1342639.67</v>
      </c>
      <c r="R477" s="11" t="s">
        <v>1256</v>
      </c>
      <c r="S477" s="11" t="s">
        <v>40</v>
      </c>
      <c r="T477" s="11">
        <v>0</v>
      </c>
      <c r="V477" s="11" t="s">
        <v>41</v>
      </c>
    </row>
    <row r="478" spans="1:22" x14ac:dyDescent="0.25">
      <c r="A478" s="11">
        <v>101060401</v>
      </c>
      <c r="B478" s="11" t="s">
        <v>34</v>
      </c>
      <c r="C478" s="41">
        <v>44871</v>
      </c>
      <c r="D478" s="41">
        <v>44871</v>
      </c>
      <c r="E478" s="11" t="s">
        <v>42</v>
      </c>
      <c r="F478" s="11" t="s">
        <v>1257</v>
      </c>
      <c r="G478" s="11">
        <v>108121</v>
      </c>
      <c r="H478" s="11" t="s">
        <v>47</v>
      </c>
      <c r="J478" s="11" t="s">
        <v>38</v>
      </c>
      <c r="K478" s="11">
        <v>51010101</v>
      </c>
      <c r="L478" s="11" t="s">
        <v>48</v>
      </c>
      <c r="M478" s="11"/>
      <c r="N478" s="11">
        <v>8.7799999999999994</v>
      </c>
      <c r="O478" s="42">
        <v>-8.7799999999999994</v>
      </c>
      <c r="P478" s="43" t="s">
        <v>4489</v>
      </c>
      <c r="Q478" s="11">
        <v>1342630.89</v>
      </c>
      <c r="R478" s="11" t="s">
        <v>1258</v>
      </c>
      <c r="S478" s="11" t="s">
        <v>106</v>
      </c>
      <c r="T478" s="11">
        <v>0</v>
      </c>
      <c r="V478" s="11" t="s">
        <v>41</v>
      </c>
    </row>
    <row r="479" spans="1:22" x14ac:dyDescent="0.25">
      <c r="A479" s="11">
        <v>101060401</v>
      </c>
      <c r="B479" s="11" t="s">
        <v>34</v>
      </c>
      <c r="C479" s="41">
        <v>44872</v>
      </c>
      <c r="D479" s="41">
        <v>44872</v>
      </c>
      <c r="E479" s="11" t="s">
        <v>42</v>
      </c>
      <c r="F479" s="11" t="s">
        <v>1259</v>
      </c>
      <c r="G479" s="11">
        <v>108124</v>
      </c>
      <c r="H479" s="11" t="s">
        <v>57</v>
      </c>
      <c r="K479" s="11">
        <v>101060402</v>
      </c>
      <c r="L479" s="11" t="s">
        <v>44</v>
      </c>
      <c r="M479" s="11"/>
      <c r="N479" s="11">
        <v>39.76</v>
      </c>
      <c r="O479" s="42">
        <v>-39.76</v>
      </c>
      <c r="P479" s="43" t="s">
        <v>4481</v>
      </c>
      <c r="Q479" s="11">
        <v>1342591.13</v>
      </c>
      <c r="R479" s="11" t="s">
        <v>313</v>
      </c>
      <c r="S479" s="11" t="s">
        <v>40</v>
      </c>
      <c r="T479" s="11">
        <v>0</v>
      </c>
    </row>
    <row r="480" spans="1:22" x14ac:dyDescent="0.25">
      <c r="A480" s="11">
        <v>101060401</v>
      </c>
      <c r="B480" s="11" t="s">
        <v>34</v>
      </c>
      <c r="C480" s="41">
        <v>44872</v>
      </c>
      <c r="D480" s="41">
        <v>44872</v>
      </c>
      <c r="E480" s="11" t="s">
        <v>42</v>
      </c>
      <c r="F480" s="11" t="s">
        <v>1260</v>
      </c>
      <c r="G480" s="11">
        <v>108125</v>
      </c>
      <c r="H480" s="11" t="s">
        <v>74</v>
      </c>
      <c r="J480" s="11" t="s">
        <v>38</v>
      </c>
      <c r="K480" s="11">
        <v>51010101</v>
      </c>
      <c r="L480" s="11" t="s">
        <v>48</v>
      </c>
      <c r="M480" s="11"/>
      <c r="N480" s="11">
        <v>209.59</v>
      </c>
      <c r="O480" s="42">
        <v>-209.59</v>
      </c>
      <c r="P480" s="43" t="s">
        <v>4489</v>
      </c>
      <c r="Q480" s="11">
        <v>1342381.54</v>
      </c>
      <c r="R480" s="11" t="s">
        <v>1261</v>
      </c>
      <c r="S480" s="11" t="s">
        <v>40</v>
      </c>
      <c r="T480" s="11">
        <v>0</v>
      </c>
      <c r="V480" s="11" t="s">
        <v>41</v>
      </c>
    </row>
    <row r="481" spans="1:22" x14ac:dyDescent="0.25">
      <c r="A481" s="11">
        <v>101060401</v>
      </c>
      <c r="B481" s="11" t="s">
        <v>34</v>
      </c>
      <c r="C481" s="41">
        <v>44872</v>
      </c>
      <c r="D481" s="41">
        <v>44872</v>
      </c>
      <c r="E481" s="11" t="s">
        <v>42</v>
      </c>
      <c r="F481" s="11" t="s">
        <v>1262</v>
      </c>
      <c r="G481" s="11">
        <v>108126</v>
      </c>
      <c r="H481" s="11" t="s">
        <v>158</v>
      </c>
      <c r="J481" s="11" t="s">
        <v>38</v>
      </c>
      <c r="K481" s="11">
        <v>51010101</v>
      </c>
      <c r="L481" s="11" t="s">
        <v>48</v>
      </c>
      <c r="M481" s="11"/>
      <c r="N481" s="11">
        <v>2390.3200000000002</v>
      </c>
      <c r="O481" s="42">
        <v>-2390.3200000000002</v>
      </c>
      <c r="P481" s="43" t="s">
        <v>4489</v>
      </c>
      <c r="Q481" s="11">
        <v>1339991.22</v>
      </c>
      <c r="R481" s="11" t="s">
        <v>1263</v>
      </c>
      <c r="S481" s="11" t="s">
        <v>40</v>
      </c>
      <c r="T481" s="11">
        <v>0</v>
      </c>
      <c r="V481" s="11" t="s">
        <v>41</v>
      </c>
    </row>
    <row r="482" spans="1:22" x14ac:dyDescent="0.25">
      <c r="A482" s="11">
        <v>101060401</v>
      </c>
      <c r="B482" s="11" t="s">
        <v>34</v>
      </c>
      <c r="C482" s="41">
        <v>44872</v>
      </c>
      <c r="D482" s="41">
        <v>44872</v>
      </c>
      <c r="E482" s="11" t="s">
        <v>42</v>
      </c>
      <c r="F482" s="11" t="s">
        <v>1264</v>
      </c>
      <c r="G482" s="11">
        <v>108127</v>
      </c>
      <c r="H482" s="11" t="s">
        <v>47</v>
      </c>
      <c r="J482" s="11" t="s">
        <v>38</v>
      </c>
      <c r="K482" s="11">
        <v>51010101</v>
      </c>
      <c r="L482" s="11" t="s">
        <v>48</v>
      </c>
      <c r="M482" s="11"/>
      <c r="N482" s="11">
        <v>7.27</v>
      </c>
      <c r="O482" s="42">
        <v>-7.27</v>
      </c>
      <c r="P482" s="43" t="s">
        <v>4489</v>
      </c>
      <c r="Q482" s="11">
        <v>1339983.95</v>
      </c>
      <c r="R482" s="11" t="s">
        <v>1265</v>
      </c>
      <c r="S482" s="11" t="s">
        <v>40</v>
      </c>
      <c r="T482" s="11">
        <v>0</v>
      </c>
      <c r="V482" s="11" t="s">
        <v>41</v>
      </c>
    </row>
    <row r="483" spans="1:22" x14ac:dyDescent="0.25">
      <c r="A483" s="11">
        <v>101060401</v>
      </c>
      <c r="B483" s="11" t="s">
        <v>34</v>
      </c>
      <c r="C483" s="41">
        <v>44872</v>
      </c>
      <c r="D483" s="41">
        <v>44872</v>
      </c>
      <c r="E483" s="11" t="s">
        <v>42</v>
      </c>
      <c r="F483" s="11" t="s">
        <v>1266</v>
      </c>
      <c r="G483" s="11">
        <v>108128</v>
      </c>
      <c r="H483" s="11" t="s">
        <v>57</v>
      </c>
      <c r="K483" s="11">
        <v>101060402</v>
      </c>
      <c r="L483" s="11" t="s">
        <v>44</v>
      </c>
      <c r="M483" s="11">
        <v>7.26</v>
      </c>
      <c r="N483" s="11"/>
      <c r="O483" s="42">
        <v>7.26</v>
      </c>
      <c r="P483" s="43" t="s">
        <v>4481</v>
      </c>
      <c r="Q483" s="11">
        <v>1339991.21</v>
      </c>
      <c r="R483" s="11" t="s">
        <v>1267</v>
      </c>
      <c r="S483" s="11" t="s">
        <v>106</v>
      </c>
      <c r="T483" s="11">
        <v>0</v>
      </c>
    </row>
    <row r="484" spans="1:22" x14ac:dyDescent="0.25">
      <c r="A484" s="11">
        <v>101060401</v>
      </c>
      <c r="B484" s="11" t="s">
        <v>34</v>
      </c>
      <c r="C484" s="41">
        <v>44872</v>
      </c>
      <c r="D484" s="41">
        <v>44872</v>
      </c>
      <c r="E484" s="11" t="s">
        <v>42</v>
      </c>
      <c r="F484" s="11" t="s">
        <v>1268</v>
      </c>
      <c r="G484" s="11">
        <v>108134</v>
      </c>
      <c r="H484" s="11" t="s">
        <v>57</v>
      </c>
      <c r="K484" s="11">
        <v>101060402</v>
      </c>
      <c r="L484" s="11" t="s">
        <v>44</v>
      </c>
      <c r="M484" s="11">
        <v>8.7799999999999994</v>
      </c>
      <c r="N484" s="11"/>
      <c r="O484" s="42">
        <v>8.7799999999999994</v>
      </c>
      <c r="P484" s="43" t="s">
        <v>4481</v>
      </c>
      <c r="Q484" s="11">
        <v>1339999.99</v>
      </c>
      <c r="R484" s="11" t="s">
        <v>1269</v>
      </c>
      <c r="S484" s="11" t="s">
        <v>106</v>
      </c>
      <c r="T484" s="11">
        <v>0</v>
      </c>
    </row>
    <row r="485" spans="1:22" x14ac:dyDescent="0.25">
      <c r="A485" s="11">
        <v>101060401</v>
      </c>
      <c r="B485" s="11" t="s">
        <v>34</v>
      </c>
      <c r="C485" s="41">
        <v>44872</v>
      </c>
      <c r="D485" s="41">
        <v>44872</v>
      </c>
      <c r="E485" s="11" t="s">
        <v>42</v>
      </c>
      <c r="F485" s="11" t="s">
        <v>1270</v>
      </c>
      <c r="G485" s="11">
        <v>108138</v>
      </c>
      <c r="H485" s="11" t="s">
        <v>219</v>
      </c>
      <c r="J485" s="11" t="s">
        <v>38</v>
      </c>
      <c r="K485" s="11">
        <v>51010101</v>
      </c>
      <c r="L485" s="11" t="s">
        <v>48</v>
      </c>
      <c r="M485" s="11"/>
      <c r="N485" s="11">
        <v>990.01</v>
      </c>
      <c r="O485" s="42">
        <v>-990.01</v>
      </c>
      <c r="P485" s="43" t="s">
        <v>4489</v>
      </c>
      <c r="Q485" s="11">
        <v>1339009.98</v>
      </c>
      <c r="R485" s="11" t="s">
        <v>1271</v>
      </c>
      <c r="S485" s="11" t="s">
        <v>40</v>
      </c>
      <c r="T485" s="11">
        <v>0</v>
      </c>
      <c r="V485" s="11" t="s">
        <v>41</v>
      </c>
    </row>
    <row r="486" spans="1:22" x14ac:dyDescent="0.25">
      <c r="A486" s="11">
        <v>101060401</v>
      </c>
      <c r="B486" s="11" t="s">
        <v>34</v>
      </c>
      <c r="C486" s="41">
        <v>44872</v>
      </c>
      <c r="D486" s="41">
        <v>44872</v>
      </c>
      <c r="E486" s="11" t="s">
        <v>42</v>
      </c>
      <c r="F486" s="11" t="s">
        <v>1272</v>
      </c>
      <c r="G486" s="11">
        <v>108139</v>
      </c>
      <c r="H486" s="11" t="s">
        <v>141</v>
      </c>
      <c r="J486" s="11" t="s">
        <v>38</v>
      </c>
      <c r="K486" s="11">
        <v>51010101</v>
      </c>
      <c r="L486" s="11" t="s">
        <v>48</v>
      </c>
      <c r="M486" s="11"/>
      <c r="N486" s="11">
        <v>1007.28</v>
      </c>
      <c r="O486" s="42">
        <v>-1007.28</v>
      </c>
      <c r="P486" s="43" t="s">
        <v>4489</v>
      </c>
      <c r="Q486" s="11">
        <v>1338002.7</v>
      </c>
      <c r="R486" s="11" t="s">
        <v>1273</v>
      </c>
      <c r="S486" s="11" t="s">
        <v>40</v>
      </c>
      <c r="T486" s="11">
        <v>0</v>
      </c>
      <c r="V486" s="11" t="s">
        <v>41</v>
      </c>
    </row>
    <row r="487" spans="1:22" x14ac:dyDescent="0.25">
      <c r="A487" s="11">
        <v>101060401</v>
      </c>
      <c r="B487" s="11" t="s">
        <v>34</v>
      </c>
      <c r="C487" s="41">
        <v>44872</v>
      </c>
      <c r="D487" s="41">
        <v>44872</v>
      </c>
      <c r="E487" s="11" t="s">
        <v>42</v>
      </c>
      <c r="F487" s="11" t="s">
        <v>1274</v>
      </c>
      <c r="G487" s="11">
        <v>108140</v>
      </c>
      <c r="H487" s="11" t="s">
        <v>1128</v>
      </c>
      <c r="J487" s="11" t="s">
        <v>38</v>
      </c>
      <c r="K487" s="11">
        <v>51010101</v>
      </c>
      <c r="L487" s="11" t="s">
        <v>48</v>
      </c>
      <c r="M487" s="11"/>
      <c r="N487" s="11">
        <v>88.19</v>
      </c>
      <c r="O487" s="42">
        <v>-88.19</v>
      </c>
      <c r="P487" s="43" t="s">
        <v>4489</v>
      </c>
      <c r="Q487" s="11">
        <v>1337914.51</v>
      </c>
      <c r="R487" s="11" t="s">
        <v>1275</v>
      </c>
      <c r="S487" s="11" t="s">
        <v>40</v>
      </c>
      <c r="T487" s="11">
        <v>0</v>
      </c>
      <c r="V487" s="11" t="s">
        <v>41</v>
      </c>
    </row>
    <row r="488" spans="1:22" x14ac:dyDescent="0.25">
      <c r="A488" s="11">
        <v>101060401</v>
      </c>
      <c r="B488" s="11" t="s">
        <v>34</v>
      </c>
      <c r="C488" s="41">
        <v>44872</v>
      </c>
      <c r="D488" s="41">
        <v>44872</v>
      </c>
      <c r="E488" s="11" t="s">
        <v>36</v>
      </c>
      <c r="F488" s="11" t="s">
        <v>1276</v>
      </c>
      <c r="G488" s="11">
        <v>108142</v>
      </c>
      <c r="H488" s="11" t="s">
        <v>190</v>
      </c>
      <c r="J488" s="11" t="s">
        <v>38</v>
      </c>
      <c r="K488" s="11">
        <v>51010101</v>
      </c>
      <c r="L488" s="11" t="s">
        <v>48</v>
      </c>
      <c r="M488" s="11">
        <v>307.08999999999997</v>
      </c>
      <c r="N488" s="11"/>
      <c r="O488" s="42">
        <v>307.08999999999997</v>
      </c>
      <c r="P488" s="43" t="s">
        <v>4489</v>
      </c>
      <c r="Q488" s="11">
        <v>1338221.6000000001</v>
      </c>
      <c r="R488" s="11" t="s">
        <v>1277</v>
      </c>
      <c r="S488" s="11" t="s">
        <v>40</v>
      </c>
      <c r="T488" s="11">
        <v>0</v>
      </c>
      <c r="V488" s="11" t="s">
        <v>41</v>
      </c>
    </row>
    <row r="489" spans="1:22" x14ac:dyDescent="0.25">
      <c r="A489" s="11">
        <v>101060401</v>
      </c>
      <c r="B489" s="11" t="s">
        <v>34</v>
      </c>
      <c r="C489" s="41">
        <v>44872</v>
      </c>
      <c r="D489" s="41">
        <v>44872</v>
      </c>
      <c r="E489" s="11" t="s">
        <v>42</v>
      </c>
      <c r="F489" s="11" t="s">
        <v>1278</v>
      </c>
      <c r="G489" s="11">
        <v>108144</v>
      </c>
      <c r="H489" s="11" t="s">
        <v>57</v>
      </c>
      <c r="K489" s="11">
        <v>101060402</v>
      </c>
      <c r="L489" s="11" t="s">
        <v>44</v>
      </c>
      <c r="M489" s="11"/>
      <c r="N489" s="11">
        <v>307.08999999999997</v>
      </c>
      <c r="O489" s="42">
        <v>-307.08999999999997</v>
      </c>
      <c r="P489" s="43" t="s">
        <v>4481</v>
      </c>
      <c r="Q489" s="11">
        <v>1337914.51</v>
      </c>
      <c r="R489" s="11" t="s">
        <v>1279</v>
      </c>
      <c r="S489" s="11" t="s">
        <v>40</v>
      </c>
      <c r="T489" s="11">
        <v>0</v>
      </c>
    </row>
    <row r="490" spans="1:22" x14ac:dyDescent="0.25">
      <c r="A490" s="11">
        <v>101060401</v>
      </c>
      <c r="B490" s="11" t="s">
        <v>34</v>
      </c>
      <c r="C490" s="41">
        <v>44872</v>
      </c>
      <c r="D490" s="41">
        <v>44872</v>
      </c>
      <c r="E490" s="11" t="s">
        <v>42</v>
      </c>
      <c r="F490" s="11" t="s">
        <v>1280</v>
      </c>
      <c r="G490" s="11">
        <v>108145</v>
      </c>
      <c r="H490" s="11" t="s">
        <v>141</v>
      </c>
      <c r="J490" s="11" t="s">
        <v>38</v>
      </c>
      <c r="K490" s="11">
        <v>51010101</v>
      </c>
      <c r="L490" s="11" t="s">
        <v>48</v>
      </c>
      <c r="M490" s="11"/>
      <c r="N490" s="11">
        <v>7.96</v>
      </c>
      <c r="O490" s="42">
        <v>-7.96</v>
      </c>
      <c r="P490" s="43" t="s">
        <v>4489</v>
      </c>
      <c r="Q490" s="11">
        <v>1337906.55</v>
      </c>
      <c r="R490" s="11" t="s">
        <v>1281</v>
      </c>
      <c r="S490" s="11" t="s">
        <v>106</v>
      </c>
      <c r="T490" s="11">
        <v>0</v>
      </c>
      <c r="V490" s="11" t="s">
        <v>41</v>
      </c>
    </row>
    <row r="491" spans="1:22" x14ac:dyDescent="0.25">
      <c r="A491" s="11">
        <v>101060401</v>
      </c>
      <c r="B491" s="11" t="s">
        <v>34</v>
      </c>
      <c r="C491" s="41">
        <v>44872</v>
      </c>
      <c r="D491" s="41">
        <v>44872</v>
      </c>
      <c r="E491" s="11" t="s">
        <v>42</v>
      </c>
      <c r="F491" s="11" t="s">
        <v>1282</v>
      </c>
      <c r="G491" s="11">
        <v>108148</v>
      </c>
      <c r="H491" s="11" t="s">
        <v>133</v>
      </c>
      <c r="J491" s="11" t="s">
        <v>38</v>
      </c>
      <c r="K491" s="11">
        <v>51010101</v>
      </c>
      <c r="L491" s="11" t="s">
        <v>48</v>
      </c>
      <c r="M491" s="11"/>
      <c r="N491" s="11">
        <v>21.34</v>
      </c>
      <c r="O491" s="42">
        <v>-21.34</v>
      </c>
      <c r="P491" s="43" t="s">
        <v>4489</v>
      </c>
      <c r="Q491" s="11">
        <v>1337885.21</v>
      </c>
      <c r="R491" s="11" t="s">
        <v>275</v>
      </c>
      <c r="S491" s="11" t="s">
        <v>40</v>
      </c>
      <c r="T491" s="11">
        <v>0</v>
      </c>
      <c r="V491" s="11" t="s">
        <v>41</v>
      </c>
    </row>
    <row r="492" spans="1:22" x14ac:dyDescent="0.25">
      <c r="A492" s="11">
        <v>101060401</v>
      </c>
      <c r="B492" s="11" t="s">
        <v>34</v>
      </c>
      <c r="C492" s="41">
        <v>44872</v>
      </c>
      <c r="D492" s="41">
        <v>44872</v>
      </c>
      <c r="E492" s="11" t="s">
        <v>42</v>
      </c>
      <c r="F492" s="11" t="s">
        <v>1283</v>
      </c>
      <c r="G492" s="11">
        <v>108150</v>
      </c>
      <c r="H492" s="11" t="s">
        <v>77</v>
      </c>
      <c r="J492" s="11" t="s">
        <v>38</v>
      </c>
      <c r="K492" s="11">
        <v>51010101</v>
      </c>
      <c r="L492" s="11" t="s">
        <v>48</v>
      </c>
      <c r="M492" s="11"/>
      <c r="N492" s="11">
        <v>177.12</v>
      </c>
      <c r="O492" s="42">
        <v>-177.12</v>
      </c>
      <c r="P492" s="43" t="s">
        <v>4489</v>
      </c>
      <c r="Q492" s="11">
        <v>1337708.0900000001</v>
      </c>
      <c r="R492" s="11" t="s">
        <v>1284</v>
      </c>
      <c r="S492" s="11" t="s">
        <v>40</v>
      </c>
      <c r="T492" s="11">
        <v>0</v>
      </c>
      <c r="V492" s="11" t="s">
        <v>41</v>
      </c>
    </row>
    <row r="493" spans="1:22" x14ac:dyDescent="0.25">
      <c r="A493" s="11">
        <v>101060401</v>
      </c>
      <c r="B493" s="11" t="s">
        <v>34</v>
      </c>
      <c r="C493" s="41">
        <v>44872</v>
      </c>
      <c r="D493" s="41">
        <v>44872</v>
      </c>
      <c r="E493" s="11" t="s">
        <v>36</v>
      </c>
      <c r="F493" s="11" t="s">
        <v>1285</v>
      </c>
      <c r="G493" s="11">
        <v>108151</v>
      </c>
      <c r="H493" s="11" t="s">
        <v>52</v>
      </c>
      <c r="K493" s="11">
        <v>201040506</v>
      </c>
      <c r="L493" s="11" t="s">
        <v>46</v>
      </c>
      <c r="M493" s="11">
        <v>21.25</v>
      </c>
      <c r="N493" s="11"/>
      <c r="O493" s="42">
        <v>21.25</v>
      </c>
      <c r="P493" s="43" t="s">
        <v>4480</v>
      </c>
      <c r="Q493" s="11">
        <v>1337729.3400000001</v>
      </c>
      <c r="R493" s="11" t="s">
        <v>1286</v>
      </c>
      <c r="S493" s="11" t="s">
        <v>40</v>
      </c>
      <c r="T493" s="11">
        <v>0</v>
      </c>
    </row>
    <row r="494" spans="1:22" x14ac:dyDescent="0.25">
      <c r="A494" s="11">
        <v>101060401</v>
      </c>
      <c r="B494" s="11" t="s">
        <v>34</v>
      </c>
      <c r="C494" s="41">
        <v>44872</v>
      </c>
      <c r="D494" s="41">
        <v>44872</v>
      </c>
      <c r="E494" s="11" t="s">
        <v>36</v>
      </c>
      <c r="F494" s="11" t="s">
        <v>1287</v>
      </c>
      <c r="G494" s="11">
        <v>108152</v>
      </c>
      <c r="H494" s="11" t="s">
        <v>52</v>
      </c>
      <c r="K494" s="11">
        <v>201040506</v>
      </c>
      <c r="L494" s="11" t="s">
        <v>46</v>
      </c>
      <c r="M494" s="11">
        <v>95.38</v>
      </c>
      <c r="N494" s="11"/>
      <c r="O494" s="42">
        <v>95.38</v>
      </c>
      <c r="P494" s="43" t="s">
        <v>4480</v>
      </c>
      <c r="Q494" s="11">
        <v>1337824.72</v>
      </c>
      <c r="R494" s="11" t="s">
        <v>1288</v>
      </c>
      <c r="S494" s="11" t="s">
        <v>40</v>
      </c>
      <c r="T494" s="11">
        <v>0</v>
      </c>
    </row>
    <row r="495" spans="1:22" x14ac:dyDescent="0.25">
      <c r="A495" s="11">
        <v>101060401</v>
      </c>
      <c r="B495" s="11" t="s">
        <v>34</v>
      </c>
      <c r="C495" s="41">
        <v>44872</v>
      </c>
      <c r="D495" s="41">
        <v>44872</v>
      </c>
      <c r="E495" s="11" t="s">
        <v>42</v>
      </c>
      <c r="F495" s="11" t="s">
        <v>1289</v>
      </c>
      <c r="G495" s="11">
        <v>108153</v>
      </c>
      <c r="H495" s="11" t="s">
        <v>74</v>
      </c>
      <c r="J495" s="11" t="s">
        <v>38</v>
      </c>
      <c r="K495" s="11">
        <v>51010101</v>
      </c>
      <c r="L495" s="11" t="s">
        <v>48</v>
      </c>
      <c r="M495" s="11"/>
      <c r="N495" s="11">
        <v>95.38</v>
      </c>
      <c r="O495" s="42">
        <v>-95.38</v>
      </c>
      <c r="P495" s="43" t="s">
        <v>4489</v>
      </c>
      <c r="Q495" s="11">
        <v>1337729.3400000001</v>
      </c>
      <c r="R495" s="11" t="s">
        <v>1290</v>
      </c>
      <c r="S495" s="11" t="s">
        <v>40</v>
      </c>
      <c r="T495" s="11">
        <v>0</v>
      </c>
      <c r="V495" s="11" t="s">
        <v>41</v>
      </c>
    </row>
    <row r="496" spans="1:22" x14ac:dyDescent="0.25">
      <c r="A496" s="11">
        <v>101060401</v>
      </c>
      <c r="B496" s="11" t="s">
        <v>34</v>
      </c>
      <c r="C496" s="41">
        <v>44872</v>
      </c>
      <c r="D496" s="41">
        <v>44872</v>
      </c>
      <c r="E496" s="11" t="s">
        <v>42</v>
      </c>
      <c r="F496" s="11" t="s">
        <v>1291</v>
      </c>
      <c r="G496" s="11">
        <v>108154</v>
      </c>
      <c r="H496" s="11" t="s">
        <v>95</v>
      </c>
      <c r="J496" s="11" t="s">
        <v>38</v>
      </c>
      <c r="K496" s="11">
        <v>51010101</v>
      </c>
      <c r="L496" s="11" t="s">
        <v>48</v>
      </c>
      <c r="M496" s="11"/>
      <c r="N496" s="11">
        <v>6735.53</v>
      </c>
      <c r="O496" s="42">
        <v>-6735.53</v>
      </c>
      <c r="P496" s="43" t="s">
        <v>4489</v>
      </c>
      <c r="Q496" s="11">
        <v>1330993.81</v>
      </c>
      <c r="R496" s="11" t="s">
        <v>1292</v>
      </c>
      <c r="S496" s="11" t="s">
        <v>40</v>
      </c>
      <c r="T496" s="11">
        <v>0</v>
      </c>
      <c r="V496" s="11" t="s">
        <v>41</v>
      </c>
    </row>
    <row r="497" spans="1:22" x14ac:dyDescent="0.25">
      <c r="A497" s="11">
        <v>101060401</v>
      </c>
      <c r="B497" s="11" t="s">
        <v>34</v>
      </c>
      <c r="C497" s="41">
        <v>44872</v>
      </c>
      <c r="D497" s="41">
        <v>44872</v>
      </c>
      <c r="E497" s="11" t="s">
        <v>42</v>
      </c>
      <c r="F497" s="11" t="s">
        <v>1293</v>
      </c>
      <c r="G497" s="11">
        <v>108156</v>
      </c>
      <c r="H497" s="11" t="s">
        <v>84</v>
      </c>
      <c r="J497" s="11" t="s">
        <v>38</v>
      </c>
      <c r="K497" s="11">
        <v>51010101</v>
      </c>
      <c r="L497" s="11" t="s">
        <v>48</v>
      </c>
      <c r="M497" s="11"/>
      <c r="N497" s="11">
        <v>210.25</v>
      </c>
      <c r="O497" s="42">
        <v>-210.25</v>
      </c>
      <c r="P497" s="43" t="s">
        <v>4489</v>
      </c>
      <c r="Q497" s="11">
        <v>1330783.56</v>
      </c>
      <c r="R497" s="11" t="s">
        <v>1294</v>
      </c>
      <c r="S497" s="11" t="s">
        <v>40</v>
      </c>
      <c r="T497" s="11">
        <v>0</v>
      </c>
      <c r="V497" s="11" t="s">
        <v>41</v>
      </c>
    </row>
    <row r="498" spans="1:22" x14ac:dyDescent="0.25">
      <c r="A498" s="11">
        <v>101060401</v>
      </c>
      <c r="B498" s="11" t="s">
        <v>34</v>
      </c>
      <c r="C498" s="41">
        <v>44872</v>
      </c>
      <c r="D498" s="41">
        <v>44872</v>
      </c>
      <c r="E498" s="11" t="s">
        <v>36</v>
      </c>
      <c r="F498" s="11" t="s">
        <v>1295</v>
      </c>
      <c r="G498" s="11">
        <v>108159</v>
      </c>
      <c r="H498" s="11" t="s">
        <v>52</v>
      </c>
      <c r="K498" s="11">
        <v>201040506</v>
      </c>
      <c r="L498" s="11" t="s">
        <v>46</v>
      </c>
      <c r="M498" s="11">
        <v>417.3</v>
      </c>
      <c r="N498" s="11"/>
      <c r="O498" s="42">
        <v>417.3</v>
      </c>
      <c r="P498" s="43" t="s">
        <v>4480</v>
      </c>
      <c r="Q498" s="11">
        <v>1331200.8600000001</v>
      </c>
      <c r="R498" s="11" t="s">
        <v>1296</v>
      </c>
      <c r="S498" s="11" t="s">
        <v>40</v>
      </c>
      <c r="T498" s="11">
        <v>0</v>
      </c>
    </row>
    <row r="499" spans="1:22" x14ac:dyDescent="0.25">
      <c r="A499" s="11">
        <v>101060401</v>
      </c>
      <c r="B499" s="11" t="s">
        <v>34</v>
      </c>
      <c r="C499" s="41">
        <v>44872</v>
      </c>
      <c r="D499" s="41">
        <v>44872</v>
      </c>
      <c r="E499" s="11" t="s">
        <v>42</v>
      </c>
      <c r="F499" s="11" t="s">
        <v>1297</v>
      </c>
      <c r="G499" s="11">
        <v>108160</v>
      </c>
      <c r="H499" s="11" t="s">
        <v>47</v>
      </c>
      <c r="J499" s="11" t="s">
        <v>38</v>
      </c>
      <c r="K499" s="11">
        <v>51010101</v>
      </c>
      <c r="L499" s="11" t="s">
        <v>48</v>
      </c>
      <c r="M499" s="11"/>
      <c r="N499" s="11">
        <v>417.3</v>
      </c>
      <c r="O499" s="42">
        <v>-417.3</v>
      </c>
      <c r="P499" s="43" t="s">
        <v>4489</v>
      </c>
      <c r="Q499" s="11">
        <v>1330783.56</v>
      </c>
      <c r="R499" s="11" t="s">
        <v>1298</v>
      </c>
      <c r="S499" s="11" t="s">
        <v>40</v>
      </c>
      <c r="T499" s="11">
        <v>0</v>
      </c>
      <c r="V499" s="11" t="s">
        <v>41</v>
      </c>
    </row>
    <row r="500" spans="1:22" x14ac:dyDescent="0.25">
      <c r="A500" s="11">
        <v>101060401</v>
      </c>
      <c r="B500" s="11" t="s">
        <v>34</v>
      </c>
      <c r="C500" s="41">
        <v>44872</v>
      </c>
      <c r="D500" s="41">
        <v>44872</v>
      </c>
      <c r="E500" s="11" t="s">
        <v>42</v>
      </c>
      <c r="F500" s="11" t="s">
        <v>1299</v>
      </c>
      <c r="G500" s="11">
        <v>108161</v>
      </c>
      <c r="H500" s="11" t="s">
        <v>66</v>
      </c>
      <c r="J500" s="11" t="s">
        <v>38</v>
      </c>
      <c r="K500" s="11">
        <v>51010101</v>
      </c>
      <c r="L500" s="11" t="s">
        <v>48</v>
      </c>
      <c r="M500" s="11"/>
      <c r="N500" s="11">
        <v>11.67</v>
      </c>
      <c r="O500" s="42">
        <v>-11.67</v>
      </c>
      <c r="P500" s="43" t="s">
        <v>4489</v>
      </c>
      <c r="Q500" s="11">
        <v>1330771.8899999999</v>
      </c>
      <c r="R500" s="11" t="s">
        <v>1300</v>
      </c>
      <c r="S500" s="11" t="s">
        <v>40</v>
      </c>
      <c r="T500" s="11">
        <v>0</v>
      </c>
      <c r="V500" s="11" t="s">
        <v>41</v>
      </c>
    </row>
    <row r="501" spans="1:22" x14ac:dyDescent="0.25">
      <c r="A501" s="11">
        <v>101060401</v>
      </c>
      <c r="B501" s="11" t="s">
        <v>34</v>
      </c>
      <c r="C501" s="41">
        <v>44872</v>
      </c>
      <c r="D501" s="41">
        <v>44872</v>
      </c>
      <c r="E501" s="11" t="s">
        <v>42</v>
      </c>
      <c r="F501" s="11" t="s">
        <v>1301</v>
      </c>
      <c r="G501" s="11">
        <v>108167</v>
      </c>
      <c r="H501" s="11" t="s">
        <v>1128</v>
      </c>
      <c r="J501" s="11" t="s">
        <v>38</v>
      </c>
      <c r="K501" s="11">
        <v>51010101</v>
      </c>
      <c r="L501" s="11" t="s">
        <v>48</v>
      </c>
      <c r="M501" s="11"/>
      <c r="N501" s="11">
        <v>48.42</v>
      </c>
      <c r="O501" s="42">
        <v>-48.42</v>
      </c>
      <c r="P501" s="43" t="s">
        <v>4489</v>
      </c>
      <c r="Q501" s="11">
        <v>1330723.47</v>
      </c>
      <c r="R501" s="11" t="s">
        <v>326</v>
      </c>
      <c r="S501" s="11" t="s">
        <v>40</v>
      </c>
      <c r="T501" s="11">
        <v>0</v>
      </c>
      <c r="V501" s="11" t="s">
        <v>41</v>
      </c>
    </row>
    <row r="502" spans="1:22" x14ac:dyDescent="0.25">
      <c r="A502" s="11">
        <v>101060401</v>
      </c>
      <c r="B502" s="11" t="s">
        <v>34</v>
      </c>
      <c r="C502" s="41">
        <v>44873</v>
      </c>
      <c r="D502" s="41">
        <v>44873</v>
      </c>
      <c r="E502" s="11" t="s">
        <v>36</v>
      </c>
      <c r="F502" s="11" t="s">
        <v>1302</v>
      </c>
      <c r="G502" s="11">
        <v>108173</v>
      </c>
      <c r="H502" s="11" t="s">
        <v>52</v>
      </c>
      <c r="K502" s="11">
        <v>201040506</v>
      </c>
      <c r="L502" s="11" t="s">
        <v>46</v>
      </c>
      <c r="M502" s="11">
        <v>498.9</v>
      </c>
      <c r="N502" s="11"/>
      <c r="O502" s="42">
        <v>498.9</v>
      </c>
      <c r="P502" s="43" t="s">
        <v>4480</v>
      </c>
      <c r="Q502" s="11">
        <v>1331222.3700000001</v>
      </c>
      <c r="R502" s="11" t="s">
        <v>1303</v>
      </c>
      <c r="S502" s="11" t="s">
        <v>40</v>
      </c>
      <c r="T502" s="11">
        <v>0</v>
      </c>
    </row>
    <row r="503" spans="1:22" x14ac:dyDescent="0.25">
      <c r="A503" s="11">
        <v>101060401</v>
      </c>
      <c r="B503" s="11" t="s">
        <v>34</v>
      </c>
      <c r="C503" s="41">
        <v>44873</v>
      </c>
      <c r="D503" s="41">
        <v>44873</v>
      </c>
      <c r="E503" s="11" t="s">
        <v>42</v>
      </c>
      <c r="F503" s="11" t="s">
        <v>1304</v>
      </c>
      <c r="G503" s="11">
        <v>108174</v>
      </c>
      <c r="H503" s="11" t="s">
        <v>323</v>
      </c>
      <c r="J503" s="11" t="s">
        <v>38</v>
      </c>
      <c r="K503" s="11">
        <v>51010101</v>
      </c>
      <c r="L503" s="11" t="s">
        <v>48</v>
      </c>
      <c r="M503" s="11"/>
      <c r="N503" s="11">
        <v>498.9</v>
      </c>
      <c r="O503" s="42">
        <v>-498.9</v>
      </c>
      <c r="P503" s="43" t="s">
        <v>4489</v>
      </c>
      <c r="Q503" s="11">
        <v>1330723.47</v>
      </c>
      <c r="R503" s="11" t="s">
        <v>1305</v>
      </c>
      <c r="S503" s="11" t="s">
        <v>40</v>
      </c>
      <c r="T503" s="11">
        <v>0</v>
      </c>
      <c r="V503" s="11" t="s">
        <v>41</v>
      </c>
    </row>
    <row r="504" spans="1:22" x14ac:dyDescent="0.25">
      <c r="A504" s="11">
        <v>101060401</v>
      </c>
      <c r="B504" s="11" t="s">
        <v>34</v>
      </c>
      <c r="C504" s="41">
        <v>44873</v>
      </c>
      <c r="D504" s="41">
        <v>44873</v>
      </c>
      <c r="E504" s="11" t="s">
        <v>42</v>
      </c>
      <c r="F504" s="11" t="s">
        <v>1306</v>
      </c>
      <c r="G504" s="11">
        <v>108175</v>
      </c>
      <c r="H504" s="11" t="s">
        <v>1246</v>
      </c>
      <c r="J504" s="11" t="s">
        <v>38</v>
      </c>
      <c r="K504" s="11">
        <v>51010101</v>
      </c>
      <c r="L504" s="11" t="s">
        <v>48</v>
      </c>
      <c r="M504" s="11">
        <v>498.9</v>
      </c>
      <c r="N504" s="11"/>
      <c r="O504" s="42">
        <v>498.9</v>
      </c>
      <c r="P504" s="43" t="s">
        <v>4489</v>
      </c>
      <c r="Q504" s="11">
        <v>1331222.3700000001</v>
      </c>
      <c r="R504" s="11" t="s">
        <v>1303</v>
      </c>
      <c r="S504" s="11" t="s">
        <v>40</v>
      </c>
      <c r="T504" s="11">
        <v>0</v>
      </c>
      <c r="V504" s="11" t="s">
        <v>41</v>
      </c>
    </row>
    <row r="505" spans="1:22" x14ac:dyDescent="0.25">
      <c r="A505" s="11">
        <v>101060401</v>
      </c>
      <c r="B505" s="11" t="s">
        <v>34</v>
      </c>
      <c r="C505" s="41">
        <v>44873</v>
      </c>
      <c r="D505" s="41">
        <v>44873</v>
      </c>
      <c r="E505" s="11" t="s">
        <v>60</v>
      </c>
      <c r="F505" s="11" t="s">
        <v>1307</v>
      </c>
      <c r="G505" s="11">
        <v>108176</v>
      </c>
      <c r="H505" s="11" t="s">
        <v>61</v>
      </c>
      <c r="K505" s="11">
        <v>201040506</v>
      </c>
      <c r="L505" s="11" t="s">
        <v>46</v>
      </c>
      <c r="M505" s="11"/>
      <c r="N505" s="11">
        <v>498.9</v>
      </c>
      <c r="O505" s="42">
        <v>-498.9</v>
      </c>
      <c r="P505" s="43" t="s">
        <v>4480</v>
      </c>
      <c r="Q505" s="11">
        <v>1330723.47</v>
      </c>
      <c r="R505" s="11" t="s">
        <v>1305</v>
      </c>
      <c r="S505" s="11" t="s">
        <v>40</v>
      </c>
      <c r="T505" s="11">
        <v>0</v>
      </c>
    </row>
    <row r="506" spans="1:22" x14ac:dyDescent="0.25">
      <c r="A506" s="11">
        <v>101060401</v>
      </c>
      <c r="B506" s="11" t="s">
        <v>34</v>
      </c>
      <c r="C506" s="41">
        <v>44873</v>
      </c>
      <c r="D506" s="41">
        <v>44873</v>
      </c>
      <c r="E506" s="11" t="s">
        <v>36</v>
      </c>
      <c r="F506" s="11" t="s">
        <v>1308</v>
      </c>
      <c r="G506" s="11">
        <v>108177</v>
      </c>
      <c r="H506" s="11" t="s">
        <v>52</v>
      </c>
      <c r="K506" s="11">
        <v>201040506</v>
      </c>
      <c r="L506" s="11" t="s">
        <v>46</v>
      </c>
      <c r="M506" s="11">
        <v>424.06</v>
      </c>
      <c r="N506" s="11"/>
      <c r="O506" s="42">
        <v>424.06</v>
      </c>
      <c r="P506" s="43" t="s">
        <v>4480</v>
      </c>
      <c r="Q506" s="11">
        <v>1331147.53</v>
      </c>
      <c r="R506" s="11" t="s">
        <v>1309</v>
      </c>
      <c r="S506" s="11" t="s">
        <v>40</v>
      </c>
      <c r="T506" s="11">
        <v>0</v>
      </c>
    </row>
    <row r="507" spans="1:22" x14ac:dyDescent="0.25">
      <c r="A507" s="11">
        <v>101060401</v>
      </c>
      <c r="B507" s="11" t="s">
        <v>34</v>
      </c>
      <c r="C507" s="41">
        <v>44873</v>
      </c>
      <c r="D507" s="41">
        <v>44873</v>
      </c>
      <c r="E507" s="11" t="s">
        <v>42</v>
      </c>
      <c r="F507" s="11" t="s">
        <v>1310</v>
      </c>
      <c r="G507" s="11">
        <v>108178</v>
      </c>
      <c r="H507" s="11" t="s">
        <v>323</v>
      </c>
      <c r="J507" s="11" t="s">
        <v>38</v>
      </c>
      <c r="K507" s="11">
        <v>51010101</v>
      </c>
      <c r="L507" s="11" t="s">
        <v>48</v>
      </c>
      <c r="M507" s="11"/>
      <c r="N507" s="11">
        <v>424.06</v>
      </c>
      <c r="O507" s="42">
        <v>-424.06</v>
      </c>
      <c r="P507" s="43" t="s">
        <v>4489</v>
      </c>
      <c r="Q507" s="11">
        <v>1330723.47</v>
      </c>
      <c r="R507" s="11" t="s">
        <v>1311</v>
      </c>
      <c r="S507" s="11" t="s">
        <v>40</v>
      </c>
      <c r="T507" s="11">
        <v>0</v>
      </c>
      <c r="V507" s="11" t="s">
        <v>41</v>
      </c>
    </row>
    <row r="508" spans="1:22" x14ac:dyDescent="0.25">
      <c r="A508" s="11">
        <v>101060401</v>
      </c>
      <c r="B508" s="11" t="s">
        <v>34</v>
      </c>
      <c r="C508" s="41">
        <v>44873</v>
      </c>
      <c r="D508" s="41">
        <v>44873</v>
      </c>
      <c r="E508" s="11" t="s">
        <v>36</v>
      </c>
      <c r="F508" s="11" t="s">
        <v>1312</v>
      </c>
      <c r="G508" s="11">
        <v>108179</v>
      </c>
      <c r="H508" s="11" t="s">
        <v>213</v>
      </c>
      <c r="K508" s="11">
        <v>201040506</v>
      </c>
      <c r="L508" s="11" t="s">
        <v>46</v>
      </c>
      <c r="M508" s="11"/>
      <c r="N508" s="11">
        <v>372.56</v>
      </c>
      <c r="O508" s="42">
        <v>-372.56</v>
      </c>
      <c r="P508" s="43" t="s">
        <v>4491</v>
      </c>
      <c r="Q508" s="11">
        <v>1330350.9099999999</v>
      </c>
      <c r="R508" s="11" t="s">
        <v>1313</v>
      </c>
      <c r="S508" s="11" t="s">
        <v>40</v>
      </c>
      <c r="T508" s="11">
        <v>0</v>
      </c>
    </row>
    <row r="509" spans="1:22" x14ac:dyDescent="0.25">
      <c r="A509" s="11">
        <v>101060401</v>
      </c>
      <c r="B509" s="11" t="s">
        <v>34</v>
      </c>
      <c r="C509" s="41">
        <v>44873</v>
      </c>
      <c r="D509" s="41">
        <v>44873</v>
      </c>
      <c r="E509" s="11" t="s">
        <v>36</v>
      </c>
      <c r="F509" s="11" t="s">
        <v>1314</v>
      </c>
      <c r="G509" s="11">
        <v>108182</v>
      </c>
      <c r="H509" s="11" t="s">
        <v>213</v>
      </c>
      <c r="K509" s="11">
        <v>201040506</v>
      </c>
      <c r="L509" s="11" t="s">
        <v>46</v>
      </c>
      <c r="M509" s="11"/>
      <c r="N509" s="11">
        <v>102</v>
      </c>
      <c r="O509" s="42">
        <v>-102</v>
      </c>
      <c r="P509" s="43" t="s">
        <v>4491</v>
      </c>
      <c r="Q509" s="11">
        <v>1330248.9099999999</v>
      </c>
      <c r="R509" s="11" t="s">
        <v>337</v>
      </c>
      <c r="S509" s="11" t="s">
        <v>40</v>
      </c>
      <c r="T509" s="11">
        <v>0</v>
      </c>
    </row>
    <row r="510" spans="1:22" x14ac:dyDescent="0.25">
      <c r="A510" s="11">
        <v>101060401</v>
      </c>
      <c r="B510" s="11" t="s">
        <v>34</v>
      </c>
      <c r="C510" s="41">
        <v>44873</v>
      </c>
      <c r="D510" s="41">
        <v>44873</v>
      </c>
      <c r="E510" s="11" t="s">
        <v>36</v>
      </c>
      <c r="F510" s="11" t="s">
        <v>1315</v>
      </c>
      <c r="G510" s="11">
        <v>108188</v>
      </c>
      <c r="H510" s="11" t="s">
        <v>1316</v>
      </c>
      <c r="K510" s="11">
        <v>201040506</v>
      </c>
      <c r="L510" s="11" t="s">
        <v>46</v>
      </c>
      <c r="M510" s="11">
        <v>102</v>
      </c>
      <c r="N510" s="11"/>
      <c r="O510" s="42">
        <v>102</v>
      </c>
      <c r="P510" s="43" t="s">
        <v>4491</v>
      </c>
      <c r="Q510" s="11">
        <v>1330350.9099999999</v>
      </c>
      <c r="R510" s="11" t="s">
        <v>336</v>
      </c>
      <c r="S510" s="11" t="s">
        <v>40</v>
      </c>
      <c r="T510" s="11">
        <v>0</v>
      </c>
    </row>
    <row r="511" spans="1:22" x14ac:dyDescent="0.25">
      <c r="A511" s="11">
        <v>101060401</v>
      </c>
      <c r="B511" s="11" t="s">
        <v>34</v>
      </c>
      <c r="C511" s="41">
        <v>44873</v>
      </c>
      <c r="D511" s="41">
        <v>44873</v>
      </c>
      <c r="E511" s="11" t="s">
        <v>36</v>
      </c>
      <c r="F511" s="11" t="s">
        <v>1317</v>
      </c>
      <c r="G511" s="11">
        <v>108191</v>
      </c>
      <c r="H511" s="11" t="s">
        <v>52</v>
      </c>
      <c r="K511" s="11">
        <v>201040506</v>
      </c>
      <c r="L511" s="11" t="s">
        <v>46</v>
      </c>
      <c r="M511" s="11">
        <v>2697.1</v>
      </c>
      <c r="N511" s="11"/>
      <c r="O511" s="42">
        <v>2697.1</v>
      </c>
      <c r="P511" s="43" t="s">
        <v>4480</v>
      </c>
      <c r="Q511" s="11">
        <v>1333048.01</v>
      </c>
      <c r="R511" s="11" t="s">
        <v>1318</v>
      </c>
      <c r="S511" s="11" t="s">
        <v>40</v>
      </c>
      <c r="T511" s="11">
        <v>0</v>
      </c>
    </row>
    <row r="512" spans="1:22" x14ac:dyDescent="0.25">
      <c r="A512" s="11">
        <v>101060401</v>
      </c>
      <c r="B512" s="11" t="s">
        <v>34</v>
      </c>
      <c r="C512" s="41">
        <v>44873</v>
      </c>
      <c r="D512" s="41">
        <v>44873</v>
      </c>
      <c r="E512" s="11" t="s">
        <v>36</v>
      </c>
      <c r="F512" s="11" t="s">
        <v>1319</v>
      </c>
      <c r="G512" s="11">
        <v>108192</v>
      </c>
      <c r="H512" s="11" t="s">
        <v>213</v>
      </c>
      <c r="K512" s="11">
        <v>201040506</v>
      </c>
      <c r="L512" s="11" t="s">
        <v>46</v>
      </c>
      <c r="M512" s="11"/>
      <c r="N512" s="11">
        <v>102</v>
      </c>
      <c r="O512" s="42">
        <v>-102</v>
      </c>
      <c r="P512" s="43" t="s">
        <v>4491</v>
      </c>
      <c r="Q512" s="11">
        <v>1332946.01</v>
      </c>
      <c r="R512" s="11" t="s">
        <v>337</v>
      </c>
      <c r="S512" s="11" t="s">
        <v>40</v>
      </c>
      <c r="T512" s="11">
        <v>0</v>
      </c>
    </row>
    <row r="513" spans="1:22" x14ac:dyDescent="0.25">
      <c r="A513" s="11">
        <v>101060401</v>
      </c>
      <c r="B513" s="11" t="s">
        <v>34</v>
      </c>
      <c r="C513" s="41">
        <v>44873</v>
      </c>
      <c r="D513" s="41">
        <v>44873</v>
      </c>
      <c r="E513" s="11" t="s">
        <v>42</v>
      </c>
      <c r="F513" s="11" t="s">
        <v>1320</v>
      </c>
      <c r="G513" s="11">
        <v>108194</v>
      </c>
      <c r="H513" s="11" t="s">
        <v>47</v>
      </c>
      <c r="J513" s="11" t="s">
        <v>38</v>
      </c>
      <c r="K513" s="11">
        <v>51010101</v>
      </c>
      <c r="L513" s="11" t="s">
        <v>48</v>
      </c>
      <c r="M513" s="11"/>
      <c r="N513" s="11">
        <v>4627.37</v>
      </c>
      <c r="O513" s="42">
        <v>-4627.37</v>
      </c>
      <c r="P513" s="43" t="s">
        <v>4489</v>
      </c>
      <c r="Q513" s="11">
        <v>1328318.6399999999</v>
      </c>
      <c r="R513" s="11" t="s">
        <v>1321</v>
      </c>
      <c r="S513" s="11" t="s">
        <v>40</v>
      </c>
      <c r="T513" s="11">
        <v>0</v>
      </c>
      <c r="V513" s="11" t="s">
        <v>41</v>
      </c>
    </row>
    <row r="514" spans="1:22" x14ac:dyDescent="0.25">
      <c r="A514" s="11">
        <v>101060401</v>
      </c>
      <c r="B514" s="11" t="s">
        <v>34</v>
      </c>
      <c r="C514" s="41">
        <v>44873</v>
      </c>
      <c r="D514" s="41">
        <v>44873</v>
      </c>
      <c r="E514" s="11" t="s">
        <v>42</v>
      </c>
      <c r="F514" s="11" t="s">
        <v>1322</v>
      </c>
      <c r="G514" s="11">
        <v>108196</v>
      </c>
      <c r="H514" s="11" t="s">
        <v>47</v>
      </c>
      <c r="J514" s="11" t="s">
        <v>38</v>
      </c>
      <c r="K514" s="11">
        <v>51010101</v>
      </c>
      <c r="L514" s="11" t="s">
        <v>48</v>
      </c>
      <c r="M514" s="11"/>
      <c r="N514" s="11">
        <v>21.25</v>
      </c>
      <c r="O514" s="42">
        <v>-21.25</v>
      </c>
      <c r="P514" s="43" t="s">
        <v>4489</v>
      </c>
      <c r="Q514" s="11">
        <v>1328297.3899999999</v>
      </c>
      <c r="R514" s="11" t="s">
        <v>1323</v>
      </c>
      <c r="S514" s="11" t="s">
        <v>40</v>
      </c>
      <c r="T514" s="11">
        <v>0</v>
      </c>
      <c r="V514" s="11" t="s">
        <v>41</v>
      </c>
    </row>
    <row r="515" spans="1:22" x14ac:dyDescent="0.25">
      <c r="A515" s="11">
        <v>101060401</v>
      </c>
      <c r="B515" s="11" t="s">
        <v>34</v>
      </c>
      <c r="C515" s="41">
        <v>44873</v>
      </c>
      <c r="D515" s="41">
        <v>44873</v>
      </c>
      <c r="E515" s="11" t="s">
        <v>36</v>
      </c>
      <c r="F515" s="11" t="s">
        <v>1324</v>
      </c>
      <c r="G515" s="11">
        <v>108200</v>
      </c>
      <c r="H515" s="11" t="s">
        <v>37</v>
      </c>
      <c r="J515" s="11" t="s">
        <v>38</v>
      </c>
      <c r="K515" s="11">
        <v>401030105</v>
      </c>
      <c r="L515" s="11" t="s">
        <v>54</v>
      </c>
      <c r="M515" s="26">
        <v>7</v>
      </c>
      <c r="O515" s="44">
        <v>7</v>
      </c>
      <c r="P515" s="43" t="s">
        <v>4494</v>
      </c>
      <c r="Q515" s="11">
        <v>1328304.3899999999</v>
      </c>
      <c r="R515" s="11" t="s">
        <v>125</v>
      </c>
      <c r="S515" s="11" t="s">
        <v>40</v>
      </c>
      <c r="T515" s="11">
        <v>0</v>
      </c>
      <c r="V515" s="11" t="s">
        <v>41</v>
      </c>
    </row>
    <row r="516" spans="1:22" x14ac:dyDescent="0.25">
      <c r="A516" s="11">
        <v>101060401</v>
      </c>
      <c r="B516" s="11" t="s">
        <v>34</v>
      </c>
      <c r="C516" s="41">
        <v>44873</v>
      </c>
      <c r="D516" s="41">
        <v>44873</v>
      </c>
      <c r="E516" s="11" t="s">
        <v>42</v>
      </c>
      <c r="F516" s="11" t="s">
        <v>1325</v>
      </c>
      <c r="G516" s="11">
        <v>108201</v>
      </c>
      <c r="H516" s="11" t="s">
        <v>1326</v>
      </c>
      <c r="J516" s="11" t="s">
        <v>38</v>
      </c>
      <c r="K516" s="11">
        <v>51010101</v>
      </c>
      <c r="L516" s="11" t="s">
        <v>48</v>
      </c>
      <c r="M516" s="11"/>
      <c r="N516" s="11">
        <v>581.29999999999995</v>
      </c>
      <c r="O516" s="42">
        <v>-581.29999999999995</v>
      </c>
      <c r="P516" s="43" t="s">
        <v>4489</v>
      </c>
      <c r="Q516" s="11">
        <v>1327723.0900000001</v>
      </c>
      <c r="R516" s="11" t="s">
        <v>1327</v>
      </c>
      <c r="S516" s="11" t="s">
        <v>40</v>
      </c>
      <c r="T516" s="11">
        <v>0</v>
      </c>
      <c r="V516" s="11" t="s">
        <v>41</v>
      </c>
    </row>
    <row r="517" spans="1:22" x14ac:dyDescent="0.25">
      <c r="A517" s="11">
        <v>101060401</v>
      </c>
      <c r="B517" s="11" t="s">
        <v>34</v>
      </c>
      <c r="C517" s="41">
        <v>44873</v>
      </c>
      <c r="D517" s="41">
        <v>44873</v>
      </c>
      <c r="E517" s="11" t="s">
        <v>36</v>
      </c>
      <c r="F517" s="11" t="s">
        <v>1328</v>
      </c>
      <c r="G517" s="11">
        <v>108206</v>
      </c>
      <c r="H517" s="11" t="s">
        <v>89</v>
      </c>
      <c r="K517" s="11">
        <v>201040506</v>
      </c>
      <c r="L517" s="11" t="s">
        <v>46</v>
      </c>
      <c r="M517" s="11">
        <v>109.9</v>
      </c>
      <c r="N517" s="11"/>
      <c r="O517" s="42">
        <v>109.9</v>
      </c>
      <c r="P517" s="43" t="s">
        <v>4480</v>
      </c>
      <c r="Q517" s="11">
        <v>1327832.99</v>
      </c>
      <c r="R517" s="11" t="s">
        <v>1329</v>
      </c>
      <c r="S517" s="11" t="s">
        <v>40</v>
      </c>
      <c r="T517" s="11">
        <v>0</v>
      </c>
    </row>
    <row r="518" spans="1:22" x14ac:dyDescent="0.25">
      <c r="A518" s="11">
        <v>101060401</v>
      </c>
      <c r="B518" s="11" t="s">
        <v>34</v>
      </c>
      <c r="C518" s="41">
        <v>44873</v>
      </c>
      <c r="D518" s="41">
        <v>44873</v>
      </c>
      <c r="E518" s="11" t="s">
        <v>42</v>
      </c>
      <c r="F518" s="11" t="s">
        <v>1330</v>
      </c>
      <c r="G518" s="11">
        <v>108207</v>
      </c>
      <c r="H518" s="11" t="s">
        <v>47</v>
      </c>
      <c r="J518" s="11" t="s">
        <v>38</v>
      </c>
      <c r="K518" s="11">
        <v>51010101</v>
      </c>
      <c r="L518" s="11" t="s">
        <v>48</v>
      </c>
      <c r="M518" s="11"/>
      <c r="N518" s="11">
        <v>109.9</v>
      </c>
      <c r="O518" s="42">
        <v>-109.9</v>
      </c>
      <c r="P518" s="43" t="s">
        <v>4489</v>
      </c>
      <c r="Q518" s="11">
        <v>1327723.0900000001</v>
      </c>
      <c r="R518" s="11" t="s">
        <v>1331</v>
      </c>
      <c r="S518" s="11" t="s">
        <v>40</v>
      </c>
      <c r="T518" s="11">
        <v>0</v>
      </c>
      <c r="V518" s="11" t="s">
        <v>41</v>
      </c>
    </row>
    <row r="519" spans="1:22" x14ac:dyDescent="0.25">
      <c r="A519" s="11">
        <v>101060401</v>
      </c>
      <c r="B519" s="11" t="s">
        <v>34</v>
      </c>
      <c r="C519" s="41">
        <v>44873</v>
      </c>
      <c r="D519" s="41">
        <v>44873</v>
      </c>
      <c r="E519" s="11" t="s">
        <v>36</v>
      </c>
      <c r="F519" s="11" t="s">
        <v>1332</v>
      </c>
      <c r="G519" s="11">
        <v>108208</v>
      </c>
      <c r="H519" s="11" t="s">
        <v>52</v>
      </c>
      <c r="K519" s="11">
        <v>201040506</v>
      </c>
      <c r="L519" s="11" t="s">
        <v>46</v>
      </c>
      <c r="M519" s="11">
        <v>4744.33</v>
      </c>
      <c r="N519" s="11"/>
      <c r="O519" s="42">
        <v>4744.33</v>
      </c>
      <c r="P519" s="43" t="s">
        <v>4480</v>
      </c>
      <c r="Q519" s="11">
        <v>1332467.42</v>
      </c>
      <c r="R519" s="11" t="s">
        <v>1333</v>
      </c>
      <c r="S519" s="11" t="s">
        <v>40</v>
      </c>
      <c r="T519" s="11">
        <v>0</v>
      </c>
    </row>
    <row r="520" spans="1:22" x14ac:dyDescent="0.25">
      <c r="A520" s="11">
        <v>101060401</v>
      </c>
      <c r="B520" s="11" t="s">
        <v>34</v>
      </c>
      <c r="C520" s="41">
        <v>44873</v>
      </c>
      <c r="D520" s="41">
        <v>44873</v>
      </c>
      <c r="E520" s="11" t="s">
        <v>36</v>
      </c>
      <c r="F520" s="11" t="s">
        <v>1334</v>
      </c>
      <c r="G520" s="11">
        <v>108209</v>
      </c>
      <c r="H520" s="11" t="s">
        <v>52</v>
      </c>
      <c r="K520" s="11">
        <v>201040506</v>
      </c>
      <c r="L520" s="11" t="s">
        <v>46</v>
      </c>
      <c r="M520" s="11">
        <v>50.4</v>
      </c>
      <c r="N520" s="11"/>
      <c r="O520" s="42">
        <v>50.4</v>
      </c>
      <c r="P520" s="43" t="s">
        <v>4480</v>
      </c>
      <c r="Q520" s="11">
        <v>1332517.82</v>
      </c>
      <c r="R520" s="11" t="s">
        <v>1335</v>
      </c>
      <c r="S520" s="11" t="s">
        <v>40</v>
      </c>
      <c r="T520" s="11">
        <v>0</v>
      </c>
    </row>
    <row r="521" spans="1:22" x14ac:dyDescent="0.25">
      <c r="A521" s="11">
        <v>101060401</v>
      </c>
      <c r="B521" s="11" t="s">
        <v>34</v>
      </c>
      <c r="C521" s="41">
        <v>44873</v>
      </c>
      <c r="D521" s="41">
        <v>44873</v>
      </c>
      <c r="E521" s="11" t="s">
        <v>42</v>
      </c>
      <c r="F521" s="11" t="s">
        <v>1336</v>
      </c>
      <c r="G521" s="11">
        <v>108210</v>
      </c>
      <c r="H521" s="11" t="s">
        <v>57</v>
      </c>
      <c r="K521" s="11">
        <v>101060402</v>
      </c>
      <c r="L521" s="11" t="s">
        <v>44</v>
      </c>
      <c r="M521" s="11"/>
      <c r="N521" s="11">
        <v>4744.33</v>
      </c>
      <c r="O521" s="42">
        <v>-4744.33</v>
      </c>
      <c r="P521" s="43" t="s">
        <v>4481</v>
      </c>
      <c r="Q521" s="11">
        <v>1327773.49</v>
      </c>
      <c r="R521" s="11" t="s">
        <v>1337</v>
      </c>
      <c r="S521" s="11" t="s">
        <v>40</v>
      </c>
      <c r="T521" s="11">
        <v>0</v>
      </c>
    </row>
    <row r="522" spans="1:22" x14ac:dyDescent="0.25">
      <c r="A522" s="11">
        <v>101060401</v>
      </c>
      <c r="B522" s="11" t="s">
        <v>34</v>
      </c>
      <c r="C522" s="41">
        <v>44873</v>
      </c>
      <c r="D522" s="41">
        <v>44873</v>
      </c>
      <c r="E522" s="11" t="s">
        <v>36</v>
      </c>
      <c r="F522" s="11" t="s">
        <v>1338</v>
      </c>
      <c r="G522" s="11">
        <v>108211</v>
      </c>
      <c r="H522" s="11" t="s">
        <v>75</v>
      </c>
      <c r="J522" s="11" t="s">
        <v>38</v>
      </c>
      <c r="K522" s="11">
        <v>51010101</v>
      </c>
      <c r="L522" s="11" t="s">
        <v>48</v>
      </c>
      <c r="M522" s="11"/>
      <c r="N522" s="11">
        <v>1282.95</v>
      </c>
      <c r="O522" s="42">
        <v>-1282.95</v>
      </c>
      <c r="P522" s="43" t="s">
        <v>4489</v>
      </c>
      <c r="Q522" s="11">
        <v>1326490.54</v>
      </c>
      <c r="R522" s="11" t="s">
        <v>1339</v>
      </c>
      <c r="S522" s="11" t="s">
        <v>40</v>
      </c>
      <c r="T522" s="11">
        <v>0</v>
      </c>
      <c r="V522" s="11" t="s">
        <v>41</v>
      </c>
    </row>
    <row r="523" spans="1:22" x14ac:dyDescent="0.25">
      <c r="A523" s="11">
        <v>101060401</v>
      </c>
      <c r="B523" s="11" t="s">
        <v>34</v>
      </c>
      <c r="C523" s="41">
        <v>44873</v>
      </c>
      <c r="D523" s="41">
        <v>44873</v>
      </c>
      <c r="E523" s="11" t="s">
        <v>36</v>
      </c>
      <c r="F523" s="11" t="s">
        <v>1340</v>
      </c>
      <c r="G523" s="11">
        <v>108212</v>
      </c>
      <c r="H523" s="11" t="s">
        <v>37</v>
      </c>
      <c r="J523" s="11" t="s">
        <v>38</v>
      </c>
      <c r="K523" s="11">
        <v>401030105</v>
      </c>
      <c r="L523" s="11" t="s">
        <v>54</v>
      </c>
      <c r="M523" s="26">
        <v>1485.34</v>
      </c>
      <c r="O523" s="44">
        <v>1485.34</v>
      </c>
      <c r="P523" s="43" t="s">
        <v>4494</v>
      </c>
      <c r="Q523" s="11">
        <v>1327975.8799999999</v>
      </c>
      <c r="R523" s="11" t="s">
        <v>1341</v>
      </c>
      <c r="S523" s="11" t="s">
        <v>40</v>
      </c>
      <c r="T523" s="11">
        <v>0</v>
      </c>
      <c r="V523" s="11" t="s">
        <v>41</v>
      </c>
    </row>
    <row r="524" spans="1:22" x14ac:dyDescent="0.25">
      <c r="A524" s="11">
        <v>101060401</v>
      </c>
      <c r="B524" s="11" t="s">
        <v>34</v>
      </c>
      <c r="C524" s="41">
        <v>44873</v>
      </c>
      <c r="D524" s="41">
        <v>44873</v>
      </c>
      <c r="E524" s="11" t="s">
        <v>42</v>
      </c>
      <c r="F524" s="11" t="s">
        <v>1342</v>
      </c>
      <c r="G524" s="11">
        <v>108213</v>
      </c>
      <c r="H524" s="11" t="s">
        <v>98</v>
      </c>
      <c r="J524" s="11" t="s">
        <v>38</v>
      </c>
      <c r="K524" s="11">
        <v>51010101</v>
      </c>
      <c r="L524" s="11" t="s">
        <v>48</v>
      </c>
      <c r="M524" s="11"/>
      <c r="N524" s="11">
        <v>1953.91</v>
      </c>
      <c r="O524" s="42">
        <v>-1953.91</v>
      </c>
      <c r="P524" s="43" t="s">
        <v>4489</v>
      </c>
      <c r="Q524" s="11">
        <v>1326021.97</v>
      </c>
      <c r="R524" s="11" t="s">
        <v>1343</v>
      </c>
      <c r="S524" s="11" t="s">
        <v>40</v>
      </c>
      <c r="T524" s="11">
        <v>0</v>
      </c>
      <c r="V524" s="11" t="s">
        <v>41</v>
      </c>
    </row>
    <row r="525" spans="1:22" x14ac:dyDescent="0.25">
      <c r="A525" s="11">
        <v>101060401</v>
      </c>
      <c r="B525" s="11" t="s">
        <v>34</v>
      </c>
      <c r="C525" s="41">
        <v>44873</v>
      </c>
      <c r="D525" s="41">
        <v>44873</v>
      </c>
      <c r="E525" s="11" t="s">
        <v>36</v>
      </c>
      <c r="F525" s="11" t="s">
        <v>1344</v>
      </c>
      <c r="G525" s="11">
        <v>108214</v>
      </c>
      <c r="H525" s="11" t="s">
        <v>37</v>
      </c>
      <c r="J525" s="11" t="s">
        <v>38</v>
      </c>
      <c r="K525" s="11">
        <v>401030105</v>
      </c>
      <c r="L525" s="11" t="s">
        <v>54</v>
      </c>
      <c r="M525" s="26">
        <v>26.2</v>
      </c>
      <c r="O525" s="44">
        <v>26.2</v>
      </c>
      <c r="P525" s="43" t="s">
        <v>4494</v>
      </c>
      <c r="Q525" s="11">
        <v>1326048.17</v>
      </c>
      <c r="R525" s="11" t="s">
        <v>1345</v>
      </c>
      <c r="S525" s="11" t="s">
        <v>40</v>
      </c>
      <c r="T525" s="11">
        <v>0</v>
      </c>
      <c r="V525" s="11" t="s">
        <v>41</v>
      </c>
    </row>
    <row r="526" spans="1:22" x14ac:dyDescent="0.25">
      <c r="A526" s="11">
        <v>101060401</v>
      </c>
      <c r="B526" s="11" t="s">
        <v>34</v>
      </c>
      <c r="C526" s="41">
        <v>44873</v>
      </c>
      <c r="D526" s="41">
        <v>44873</v>
      </c>
      <c r="E526" s="11" t="s">
        <v>42</v>
      </c>
      <c r="F526" s="11" t="s">
        <v>1346</v>
      </c>
      <c r="G526" s="11">
        <v>108218</v>
      </c>
      <c r="H526" s="11" t="s">
        <v>56</v>
      </c>
      <c r="J526" s="11" t="s">
        <v>38</v>
      </c>
      <c r="K526" s="11">
        <v>51010101</v>
      </c>
      <c r="L526" s="11" t="s">
        <v>48</v>
      </c>
      <c r="M526" s="11"/>
      <c r="N526" s="11">
        <v>26.2</v>
      </c>
      <c r="O526" s="42">
        <v>-26.2</v>
      </c>
      <c r="P526" s="43" t="s">
        <v>4489</v>
      </c>
      <c r="Q526" s="11">
        <v>1326021.97</v>
      </c>
      <c r="R526" s="11" t="s">
        <v>1347</v>
      </c>
      <c r="S526" s="11" t="s">
        <v>40</v>
      </c>
      <c r="T526" s="11">
        <v>0</v>
      </c>
      <c r="V526" s="11" t="s">
        <v>41</v>
      </c>
    </row>
    <row r="527" spans="1:22" x14ac:dyDescent="0.25">
      <c r="A527" s="11">
        <v>101060401</v>
      </c>
      <c r="B527" s="11" t="s">
        <v>34</v>
      </c>
      <c r="C527" s="41">
        <v>44873</v>
      </c>
      <c r="D527" s="41">
        <v>44873</v>
      </c>
      <c r="E527" s="11" t="s">
        <v>42</v>
      </c>
      <c r="F527" s="11" t="s">
        <v>1348</v>
      </c>
      <c r="G527" s="11">
        <v>108233</v>
      </c>
      <c r="H527" s="11" t="s">
        <v>1131</v>
      </c>
      <c r="J527" s="11" t="s">
        <v>38</v>
      </c>
      <c r="K527" s="11" t="s">
        <v>1132</v>
      </c>
      <c r="L527" s="11" t="s">
        <v>1133</v>
      </c>
      <c r="M527" s="11">
        <v>88.19</v>
      </c>
      <c r="N527" s="11"/>
      <c r="O527" s="42">
        <v>88.19</v>
      </c>
      <c r="P527" s="43" t="s">
        <v>4488</v>
      </c>
      <c r="Q527" s="11">
        <v>1326110.1599999999</v>
      </c>
      <c r="R527" s="11" t="s">
        <v>1349</v>
      </c>
      <c r="S527" s="11" t="s">
        <v>69</v>
      </c>
      <c r="T527" s="11">
        <v>0</v>
      </c>
      <c r="V527" s="11" t="s">
        <v>41</v>
      </c>
    </row>
    <row r="528" spans="1:22" x14ac:dyDescent="0.25">
      <c r="A528" s="11">
        <v>101060401</v>
      </c>
      <c r="B528" s="11" t="s">
        <v>34</v>
      </c>
      <c r="C528" s="41">
        <v>44874</v>
      </c>
      <c r="D528" s="41">
        <v>44874</v>
      </c>
      <c r="E528" s="11" t="s">
        <v>42</v>
      </c>
      <c r="F528" s="11" t="s">
        <v>1350</v>
      </c>
      <c r="G528" s="11">
        <v>108237</v>
      </c>
      <c r="H528" s="11" t="s">
        <v>141</v>
      </c>
      <c r="J528" s="11" t="s">
        <v>38</v>
      </c>
      <c r="K528" s="11">
        <v>51010101</v>
      </c>
      <c r="L528" s="11" t="s">
        <v>48</v>
      </c>
      <c r="M528" s="11"/>
      <c r="N528" s="11">
        <v>181.55</v>
      </c>
      <c r="O528" s="42">
        <v>-181.55</v>
      </c>
      <c r="P528" s="43" t="s">
        <v>4489</v>
      </c>
      <c r="Q528" s="11">
        <v>1325928.6100000001</v>
      </c>
      <c r="R528" s="11" t="s">
        <v>1351</v>
      </c>
      <c r="S528" s="11" t="s">
        <v>40</v>
      </c>
      <c r="T528" s="11">
        <v>0</v>
      </c>
      <c r="V528" s="11" t="s">
        <v>41</v>
      </c>
    </row>
    <row r="529" spans="1:22" x14ac:dyDescent="0.25">
      <c r="A529" s="11">
        <v>101060401</v>
      </c>
      <c r="B529" s="11" t="s">
        <v>34</v>
      </c>
      <c r="C529" s="41">
        <v>44874</v>
      </c>
      <c r="D529" s="41">
        <v>44874</v>
      </c>
      <c r="E529" s="11" t="s">
        <v>36</v>
      </c>
      <c r="F529" s="11" t="s">
        <v>1352</v>
      </c>
      <c r="G529" s="11">
        <v>108239</v>
      </c>
      <c r="H529" s="11" t="s">
        <v>52</v>
      </c>
      <c r="K529" s="11">
        <v>201040506</v>
      </c>
      <c r="L529" s="11" t="s">
        <v>46</v>
      </c>
      <c r="M529" s="11">
        <v>589.86</v>
      </c>
      <c r="N529" s="11"/>
      <c r="O529" s="42">
        <v>589.86</v>
      </c>
      <c r="P529" s="43" t="s">
        <v>4480</v>
      </c>
      <c r="Q529" s="11">
        <v>1326518.47</v>
      </c>
      <c r="R529" s="11" t="s">
        <v>1353</v>
      </c>
      <c r="S529" s="11" t="s">
        <v>40</v>
      </c>
      <c r="T529" s="11">
        <v>0</v>
      </c>
    </row>
    <row r="530" spans="1:22" x14ac:dyDescent="0.25">
      <c r="A530" s="11">
        <v>101060401</v>
      </c>
      <c r="B530" s="11" t="s">
        <v>34</v>
      </c>
      <c r="C530" s="41">
        <v>44874</v>
      </c>
      <c r="D530" s="41">
        <v>44874</v>
      </c>
      <c r="E530" s="11" t="s">
        <v>42</v>
      </c>
      <c r="F530" s="11" t="s">
        <v>1354</v>
      </c>
      <c r="G530" s="11">
        <v>108240</v>
      </c>
      <c r="H530" s="11" t="s">
        <v>84</v>
      </c>
      <c r="J530" s="11" t="s">
        <v>38</v>
      </c>
      <c r="K530" s="11">
        <v>51010101</v>
      </c>
      <c r="L530" s="11" t="s">
        <v>48</v>
      </c>
      <c r="M530" s="11"/>
      <c r="N530" s="11">
        <v>210.25</v>
      </c>
      <c r="O530" s="42">
        <v>-210.25</v>
      </c>
      <c r="P530" s="43" t="s">
        <v>4489</v>
      </c>
      <c r="Q530" s="11">
        <v>1326308.22</v>
      </c>
      <c r="R530" s="11" t="s">
        <v>1294</v>
      </c>
      <c r="S530" s="11" t="s">
        <v>40</v>
      </c>
      <c r="T530" s="11">
        <v>0</v>
      </c>
      <c r="V530" s="11" t="s">
        <v>41</v>
      </c>
    </row>
    <row r="531" spans="1:22" x14ac:dyDescent="0.25">
      <c r="A531" s="11">
        <v>101060401</v>
      </c>
      <c r="B531" s="11" t="s">
        <v>34</v>
      </c>
      <c r="C531" s="41">
        <v>44874</v>
      </c>
      <c r="D531" s="41">
        <v>44874</v>
      </c>
      <c r="E531" s="11" t="s">
        <v>36</v>
      </c>
      <c r="F531" s="11" t="s">
        <v>1355</v>
      </c>
      <c r="G531" s="11">
        <v>108244</v>
      </c>
      <c r="H531" s="11" t="s">
        <v>52</v>
      </c>
      <c r="K531" s="11">
        <v>201040506</v>
      </c>
      <c r="L531" s="11" t="s">
        <v>46</v>
      </c>
      <c r="M531" s="11">
        <v>361.48</v>
      </c>
      <c r="N531" s="11"/>
      <c r="O531" s="42">
        <v>361.48</v>
      </c>
      <c r="P531" s="43" t="s">
        <v>4480</v>
      </c>
      <c r="Q531" s="11">
        <v>1326669.7</v>
      </c>
      <c r="R531" s="11" t="s">
        <v>1356</v>
      </c>
      <c r="S531" s="11" t="s">
        <v>40</v>
      </c>
      <c r="T531" s="11">
        <v>0</v>
      </c>
    </row>
    <row r="532" spans="1:22" x14ac:dyDescent="0.25">
      <c r="A532" s="11">
        <v>101060401</v>
      </c>
      <c r="B532" s="11" t="s">
        <v>34</v>
      </c>
      <c r="C532" s="41">
        <v>44874</v>
      </c>
      <c r="D532" s="41">
        <v>44874</v>
      </c>
      <c r="E532" s="11" t="s">
        <v>42</v>
      </c>
      <c r="F532" s="11" t="s">
        <v>1357</v>
      </c>
      <c r="G532" s="11">
        <v>108245</v>
      </c>
      <c r="H532" s="11" t="s">
        <v>141</v>
      </c>
      <c r="J532" s="11" t="s">
        <v>38</v>
      </c>
      <c r="K532" s="11">
        <v>51010101</v>
      </c>
      <c r="L532" s="11" t="s">
        <v>48</v>
      </c>
      <c r="M532" s="11"/>
      <c r="N532" s="11">
        <v>741.77</v>
      </c>
      <c r="O532" s="42">
        <v>-741.77</v>
      </c>
      <c r="P532" s="43" t="s">
        <v>4489</v>
      </c>
      <c r="Q532" s="11">
        <v>1325927.93</v>
      </c>
      <c r="R532" s="11" t="s">
        <v>1358</v>
      </c>
      <c r="S532" s="11" t="s">
        <v>40</v>
      </c>
      <c r="T532" s="11">
        <v>0</v>
      </c>
      <c r="V532" s="11" t="s">
        <v>41</v>
      </c>
    </row>
    <row r="533" spans="1:22" x14ac:dyDescent="0.25">
      <c r="A533" s="11">
        <v>101060401</v>
      </c>
      <c r="B533" s="11" t="s">
        <v>34</v>
      </c>
      <c r="C533" s="41">
        <v>44874</v>
      </c>
      <c r="D533" s="41">
        <v>44874</v>
      </c>
      <c r="E533" s="11" t="s">
        <v>42</v>
      </c>
      <c r="F533" s="11" t="s">
        <v>1359</v>
      </c>
      <c r="G533" s="11">
        <v>108246</v>
      </c>
      <c r="H533" s="11" t="s">
        <v>102</v>
      </c>
      <c r="J533" s="11" t="s">
        <v>38</v>
      </c>
      <c r="K533" s="11">
        <v>51010101</v>
      </c>
      <c r="L533" s="11" t="s">
        <v>48</v>
      </c>
      <c r="M533" s="11"/>
      <c r="N533" s="11">
        <v>252.62</v>
      </c>
      <c r="O533" s="42">
        <v>-252.62</v>
      </c>
      <c r="P533" s="43" t="s">
        <v>4489</v>
      </c>
      <c r="Q533" s="11">
        <v>1325675.31</v>
      </c>
      <c r="R533" s="11" t="s">
        <v>264</v>
      </c>
      <c r="S533" s="11" t="s">
        <v>40</v>
      </c>
      <c r="T533" s="11">
        <v>0</v>
      </c>
      <c r="V533" s="11" t="s">
        <v>41</v>
      </c>
    </row>
    <row r="534" spans="1:22" x14ac:dyDescent="0.25">
      <c r="A534" s="11">
        <v>101060401</v>
      </c>
      <c r="B534" s="11" t="s">
        <v>34</v>
      </c>
      <c r="C534" s="41">
        <v>44874</v>
      </c>
      <c r="D534" s="41">
        <v>44874</v>
      </c>
      <c r="E534" s="11" t="s">
        <v>42</v>
      </c>
      <c r="F534" s="11" t="s">
        <v>1360</v>
      </c>
      <c r="G534" s="11">
        <v>108247</v>
      </c>
      <c r="H534" s="11" t="s">
        <v>91</v>
      </c>
      <c r="J534" s="11" t="s">
        <v>38</v>
      </c>
      <c r="K534" s="11">
        <v>51010101</v>
      </c>
      <c r="L534" s="11" t="s">
        <v>48</v>
      </c>
      <c r="M534" s="11"/>
      <c r="N534" s="11">
        <v>91.84</v>
      </c>
      <c r="O534" s="42">
        <v>-91.84</v>
      </c>
      <c r="P534" s="43" t="s">
        <v>4489</v>
      </c>
      <c r="Q534" s="11">
        <v>1325583.47</v>
      </c>
      <c r="R534" s="11" t="s">
        <v>1361</v>
      </c>
      <c r="S534" s="11" t="s">
        <v>40</v>
      </c>
      <c r="T534" s="11">
        <v>0</v>
      </c>
      <c r="V534" s="11" t="s">
        <v>41</v>
      </c>
    </row>
    <row r="535" spans="1:22" x14ac:dyDescent="0.25">
      <c r="A535" s="11">
        <v>101060401</v>
      </c>
      <c r="B535" s="11" t="s">
        <v>34</v>
      </c>
      <c r="C535" s="41">
        <v>44874</v>
      </c>
      <c r="D535" s="41">
        <v>44874</v>
      </c>
      <c r="E535" s="11" t="s">
        <v>42</v>
      </c>
      <c r="F535" s="11" t="s">
        <v>1362</v>
      </c>
      <c r="G535" s="11">
        <v>108250</v>
      </c>
      <c r="H535" s="11" t="s">
        <v>50</v>
      </c>
      <c r="J535" s="11" t="s">
        <v>38</v>
      </c>
      <c r="K535" s="11">
        <v>51010101</v>
      </c>
      <c r="L535" s="11" t="s">
        <v>48</v>
      </c>
      <c r="M535" s="11"/>
      <c r="N535" s="11">
        <v>654.25</v>
      </c>
      <c r="O535" s="42">
        <v>-654.25</v>
      </c>
      <c r="P535" s="43" t="s">
        <v>4489</v>
      </c>
      <c r="Q535" s="11">
        <v>1324929.22</v>
      </c>
      <c r="R535" s="11" t="s">
        <v>1363</v>
      </c>
      <c r="S535" s="11" t="s">
        <v>40</v>
      </c>
      <c r="T535" s="11">
        <v>0</v>
      </c>
      <c r="V535" s="11" t="s">
        <v>41</v>
      </c>
    </row>
    <row r="536" spans="1:22" x14ac:dyDescent="0.25">
      <c r="A536" s="11">
        <v>101060401</v>
      </c>
      <c r="B536" s="11" t="s">
        <v>34</v>
      </c>
      <c r="C536" s="41">
        <v>44874</v>
      </c>
      <c r="D536" s="41">
        <v>44874</v>
      </c>
      <c r="E536" s="11" t="s">
        <v>36</v>
      </c>
      <c r="F536" s="11" t="s">
        <v>1364</v>
      </c>
      <c r="G536" s="11">
        <v>108259</v>
      </c>
      <c r="H536" s="11" t="s">
        <v>89</v>
      </c>
      <c r="K536" s="11">
        <v>201040506</v>
      </c>
      <c r="L536" s="11" t="s">
        <v>46</v>
      </c>
      <c r="M536" s="11">
        <v>170</v>
      </c>
      <c r="N536" s="11"/>
      <c r="O536" s="42">
        <v>170</v>
      </c>
      <c r="P536" s="43" t="s">
        <v>4480</v>
      </c>
      <c r="Q536" s="11">
        <v>1325099.22</v>
      </c>
      <c r="R536" s="11" t="s">
        <v>1365</v>
      </c>
      <c r="S536" s="11" t="s">
        <v>40</v>
      </c>
      <c r="T536" s="11">
        <v>0</v>
      </c>
    </row>
    <row r="537" spans="1:22" x14ac:dyDescent="0.25">
      <c r="A537" s="11">
        <v>101060401</v>
      </c>
      <c r="B537" s="11" t="s">
        <v>34</v>
      </c>
      <c r="C537" s="41">
        <v>44874</v>
      </c>
      <c r="D537" s="41">
        <v>44874</v>
      </c>
      <c r="E537" s="11" t="s">
        <v>42</v>
      </c>
      <c r="F537" s="11" t="s">
        <v>1366</v>
      </c>
      <c r="G537" s="11">
        <v>108260</v>
      </c>
      <c r="H537" s="11" t="s">
        <v>47</v>
      </c>
      <c r="J537" s="11" t="s">
        <v>38</v>
      </c>
      <c r="K537" s="11">
        <v>51010101</v>
      </c>
      <c r="L537" s="11" t="s">
        <v>48</v>
      </c>
      <c r="M537" s="11"/>
      <c r="N537" s="11">
        <v>170</v>
      </c>
      <c r="O537" s="42">
        <v>-170</v>
      </c>
      <c r="P537" s="43" t="s">
        <v>4489</v>
      </c>
      <c r="Q537" s="11">
        <v>1324929.22</v>
      </c>
      <c r="R537" s="11" t="s">
        <v>1367</v>
      </c>
      <c r="S537" s="11" t="s">
        <v>40</v>
      </c>
      <c r="T537" s="11">
        <v>0</v>
      </c>
      <c r="V537" s="11" t="s">
        <v>41</v>
      </c>
    </row>
    <row r="538" spans="1:22" x14ac:dyDescent="0.25">
      <c r="A538" s="11">
        <v>101060401</v>
      </c>
      <c r="B538" s="11" t="s">
        <v>34</v>
      </c>
      <c r="C538" s="41">
        <v>44874</v>
      </c>
      <c r="D538" s="41">
        <v>44874</v>
      </c>
      <c r="E538" s="11" t="s">
        <v>36</v>
      </c>
      <c r="F538" s="11" t="s">
        <v>1368</v>
      </c>
      <c r="G538" s="11">
        <v>108264</v>
      </c>
      <c r="H538" s="11" t="s">
        <v>52</v>
      </c>
      <c r="K538" s="11">
        <v>201040506</v>
      </c>
      <c r="L538" s="11" t="s">
        <v>46</v>
      </c>
      <c r="M538" s="11">
        <v>201.95</v>
      </c>
      <c r="N538" s="11"/>
      <c r="O538" s="42">
        <v>201.95</v>
      </c>
      <c r="P538" s="43" t="s">
        <v>4480</v>
      </c>
      <c r="Q538" s="11">
        <v>1325131.17</v>
      </c>
      <c r="R538" s="11" t="s">
        <v>1369</v>
      </c>
      <c r="S538" s="11" t="s">
        <v>40</v>
      </c>
      <c r="T538" s="11">
        <v>0</v>
      </c>
    </row>
    <row r="539" spans="1:22" x14ac:dyDescent="0.25">
      <c r="A539" s="11">
        <v>101060401</v>
      </c>
      <c r="B539" s="11" t="s">
        <v>34</v>
      </c>
      <c r="C539" s="41">
        <v>44874</v>
      </c>
      <c r="D539" s="41">
        <v>44874</v>
      </c>
      <c r="E539" s="11" t="s">
        <v>42</v>
      </c>
      <c r="F539" s="11" t="s">
        <v>1370</v>
      </c>
      <c r="G539" s="11">
        <v>108265</v>
      </c>
      <c r="H539" s="11" t="s">
        <v>141</v>
      </c>
      <c r="J539" s="11" t="s">
        <v>38</v>
      </c>
      <c r="K539" s="11">
        <v>51010101</v>
      </c>
      <c r="L539" s="11" t="s">
        <v>48</v>
      </c>
      <c r="M539" s="11"/>
      <c r="N539" s="11">
        <v>201.95</v>
      </c>
      <c r="O539" s="42">
        <v>-201.95</v>
      </c>
      <c r="P539" s="43" t="s">
        <v>4489</v>
      </c>
      <c r="Q539" s="11">
        <v>1324929.22</v>
      </c>
      <c r="R539" s="11" t="s">
        <v>1371</v>
      </c>
      <c r="S539" s="11" t="s">
        <v>40</v>
      </c>
      <c r="T539" s="11">
        <v>0</v>
      </c>
      <c r="V539" s="11" t="s">
        <v>41</v>
      </c>
    </row>
    <row r="540" spans="1:22" x14ac:dyDescent="0.25">
      <c r="A540" s="11">
        <v>101060401</v>
      </c>
      <c r="B540" s="11" t="s">
        <v>34</v>
      </c>
      <c r="C540" s="41">
        <v>44874</v>
      </c>
      <c r="D540" s="41">
        <v>44874</v>
      </c>
      <c r="E540" s="11" t="s">
        <v>42</v>
      </c>
      <c r="F540" s="11" t="s">
        <v>1372</v>
      </c>
      <c r="G540" s="11">
        <v>108266</v>
      </c>
      <c r="H540" s="11" t="s">
        <v>174</v>
      </c>
      <c r="J540" s="11" t="s">
        <v>38</v>
      </c>
      <c r="K540" s="11">
        <v>51010101</v>
      </c>
      <c r="L540" s="11" t="s">
        <v>48</v>
      </c>
      <c r="M540" s="11"/>
      <c r="N540" s="11">
        <v>84.08</v>
      </c>
      <c r="O540" s="42">
        <v>-84.08</v>
      </c>
      <c r="P540" s="43" t="s">
        <v>4489</v>
      </c>
      <c r="Q540" s="11">
        <v>1324845.1399999999</v>
      </c>
      <c r="R540" s="11" t="s">
        <v>1373</v>
      </c>
      <c r="S540" s="11" t="s">
        <v>40</v>
      </c>
      <c r="T540" s="11">
        <v>0</v>
      </c>
      <c r="V540" s="11" t="s">
        <v>41</v>
      </c>
    </row>
    <row r="541" spans="1:22" x14ac:dyDescent="0.25">
      <c r="A541" s="11">
        <v>101060401</v>
      </c>
      <c r="B541" s="11" t="s">
        <v>34</v>
      </c>
      <c r="C541" s="41">
        <v>44874</v>
      </c>
      <c r="D541" s="41">
        <v>44874</v>
      </c>
      <c r="E541" s="11" t="s">
        <v>42</v>
      </c>
      <c r="F541" s="11" t="s">
        <v>1374</v>
      </c>
      <c r="G541" s="11">
        <v>108268</v>
      </c>
      <c r="H541" s="11" t="s">
        <v>133</v>
      </c>
      <c r="J541" s="11" t="s">
        <v>38</v>
      </c>
      <c r="K541" s="11">
        <v>51010101</v>
      </c>
      <c r="L541" s="11" t="s">
        <v>48</v>
      </c>
      <c r="M541" s="11"/>
      <c r="N541" s="11">
        <v>191.04</v>
      </c>
      <c r="O541" s="42">
        <v>-191.04</v>
      </c>
      <c r="P541" s="43" t="s">
        <v>4489</v>
      </c>
      <c r="Q541" s="11">
        <v>1324654.1000000001</v>
      </c>
      <c r="R541" s="11" t="s">
        <v>1375</v>
      </c>
      <c r="S541" s="11" t="s">
        <v>40</v>
      </c>
      <c r="T541" s="11">
        <v>0</v>
      </c>
      <c r="V541" s="11" t="s">
        <v>41</v>
      </c>
    </row>
    <row r="542" spans="1:22" x14ac:dyDescent="0.25">
      <c r="A542" s="11">
        <v>101060401</v>
      </c>
      <c r="B542" s="11" t="s">
        <v>34</v>
      </c>
      <c r="C542" s="41">
        <v>44874</v>
      </c>
      <c r="D542" s="41">
        <v>44874</v>
      </c>
      <c r="E542" s="11" t="s">
        <v>42</v>
      </c>
      <c r="F542" s="11" t="s">
        <v>1376</v>
      </c>
      <c r="G542" s="11">
        <v>108270</v>
      </c>
      <c r="H542" s="11" t="s">
        <v>57</v>
      </c>
      <c r="K542" s="11">
        <v>101060402</v>
      </c>
      <c r="L542" s="11" t="s">
        <v>44</v>
      </c>
      <c r="M542" s="11"/>
      <c r="N542" s="11">
        <v>589.86</v>
      </c>
      <c r="O542" s="42">
        <v>-589.86</v>
      </c>
      <c r="P542" s="43" t="s">
        <v>4481</v>
      </c>
      <c r="Q542" s="11">
        <v>1324064.24</v>
      </c>
      <c r="R542" s="11" t="s">
        <v>1377</v>
      </c>
      <c r="S542" s="11" t="s">
        <v>40</v>
      </c>
      <c r="T542" s="11">
        <v>0</v>
      </c>
    </row>
    <row r="543" spans="1:22" x14ac:dyDescent="0.25">
      <c r="A543" s="11">
        <v>101060401</v>
      </c>
      <c r="B543" s="11" t="s">
        <v>34</v>
      </c>
      <c r="C543" s="41">
        <v>44874</v>
      </c>
      <c r="D543" s="41">
        <v>44874</v>
      </c>
      <c r="E543" s="11" t="s">
        <v>36</v>
      </c>
      <c r="F543" s="11" t="s">
        <v>1378</v>
      </c>
      <c r="G543" s="11">
        <v>108277</v>
      </c>
      <c r="H543" s="11" t="s">
        <v>103</v>
      </c>
      <c r="K543" s="11">
        <v>201040506</v>
      </c>
      <c r="L543" s="11" t="s">
        <v>46</v>
      </c>
      <c r="M543" s="11">
        <v>13140</v>
      </c>
      <c r="N543" s="11"/>
      <c r="O543" s="42">
        <v>13140</v>
      </c>
      <c r="P543" s="43" t="s">
        <v>4480</v>
      </c>
      <c r="Q543" s="11">
        <v>1337204.24</v>
      </c>
      <c r="R543" s="11" t="s">
        <v>1379</v>
      </c>
      <c r="S543" s="11" t="s">
        <v>40</v>
      </c>
      <c r="T543" s="11">
        <v>0</v>
      </c>
    </row>
    <row r="544" spans="1:22" x14ac:dyDescent="0.25">
      <c r="A544" s="11">
        <v>101060401</v>
      </c>
      <c r="B544" s="11" t="s">
        <v>34</v>
      </c>
      <c r="C544" s="41">
        <v>44875</v>
      </c>
      <c r="D544" s="41">
        <v>44875</v>
      </c>
      <c r="E544" s="11" t="s">
        <v>42</v>
      </c>
      <c r="F544" s="11" t="s">
        <v>1380</v>
      </c>
      <c r="G544" s="11">
        <v>108281</v>
      </c>
      <c r="H544" s="11" t="s">
        <v>1381</v>
      </c>
      <c r="J544" s="11" t="s">
        <v>38</v>
      </c>
      <c r="K544" s="11">
        <v>51010101</v>
      </c>
      <c r="L544" s="11" t="s">
        <v>48</v>
      </c>
      <c r="M544" s="11"/>
      <c r="N544" s="11">
        <v>19.36</v>
      </c>
      <c r="O544" s="42">
        <v>-19.36</v>
      </c>
      <c r="P544" s="43" t="s">
        <v>4489</v>
      </c>
      <c r="Q544" s="11">
        <v>1337184.8799999999</v>
      </c>
      <c r="R544" s="11" t="s">
        <v>1382</v>
      </c>
      <c r="S544" s="11" t="s">
        <v>40</v>
      </c>
      <c r="T544" s="11">
        <v>0</v>
      </c>
      <c r="V544" s="11" t="s">
        <v>41</v>
      </c>
    </row>
    <row r="545" spans="1:22" x14ac:dyDescent="0.25">
      <c r="A545" s="11">
        <v>101060401</v>
      </c>
      <c r="B545" s="11" t="s">
        <v>34</v>
      </c>
      <c r="C545" s="41">
        <v>44875</v>
      </c>
      <c r="D545" s="41">
        <v>44875</v>
      </c>
      <c r="E545" s="11" t="s">
        <v>42</v>
      </c>
      <c r="F545" s="11" t="s">
        <v>1383</v>
      </c>
      <c r="G545" s="11">
        <v>108289</v>
      </c>
      <c r="H545" s="11" t="s">
        <v>56</v>
      </c>
      <c r="J545" s="11" t="s">
        <v>38</v>
      </c>
      <c r="K545" s="11">
        <v>51010101</v>
      </c>
      <c r="L545" s="11" t="s">
        <v>48</v>
      </c>
      <c r="M545" s="11"/>
      <c r="N545" s="11">
        <v>46.49</v>
      </c>
      <c r="O545" s="42">
        <v>-46.49</v>
      </c>
      <c r="P545" s="43" t="s">
        <v>4489</v>
      </c>
      <c r="Q545" s="11">
        <v>1337138.3899999999</v>
      </c>
      <c r="R545" s="11" t="s">
        <v>1384</v>
      </c>
      <c r="S545" s="11" t="s">
        <v>40</v>
      </c>
      <c r="T545" s="11">
        <v>0</v>
      </c>
      <c r="V545" s="11" t="s">
        <v>41</v>
      </c>
    </row>
    <row r="546" spans="1:22" x14ac:dyDescent="0.25">
      <c r="A546" s="11">
        <v>101060401</v>
      </c>
      <c r="B546" s="11" t="s">
        <v>34</v>
      </c>
      <c r="C546" s="41">
        <v>44875</v>
      </c>
      <c r="D546" s="41">
        <v>44875</v>
      </c>
      <c r="E546" s="11" t="s">
        <v>42</v>
      </c>
      <c r="F546" s="11" t="s">
        <v>1385</v>
      </c>
      <c r="G546" s="11">
        <v>108298</v>
      </c>
      <c r="H546" s="11" t="s">
        <v>47</v>
      </c>
      <c r="J546" s="11" t="s">
        <v>38</v>
      </c>
      <c r="K546" s="11">
        <v>51010101</v>
      </c>
      <c r="L546" s="11" t="s">
        <v>48</v>
      </c>
      <c r="M546" s="11"/>
      <c r="N546" s="11">
        <v>16.53</v>
      </c>
      <c r="O546" s="42">
        <v>-16.53</v>
      </c>
      <c r="P546" s="43" t="s">
        <v>4489</v>
      </c>
      <c r="Q546" s="11">
        <v>1337121.8600000001</v>
      </c>
      <c r="R546" s="11" t="s">
        <v>1386</v>
      </c>
      <c r="S546" s="11" t="s">
        <v>40</v>
      </c>
      <c r="T546" s="11">
        <v>0</v>
      </c>
      <c r="V546" s="11" t="s">
        <v>41</v>
      </c>
    </row>
    <row r="547" spans="1:22" x14ac:dyDescent="0.25">
      <c r="A547" s="11">
        <v>101060401</v>
      </c>
      <c r="B547" s="11" t="s">
        <v>34</v>
      </c>
      <c r="C547" s="41">
        <v>44875</v>
      </c>
      <c r="D547" s="41">
        <v>44875</v>
      </c>
      <c r="E547" s="11" t="s">
        <v>42</v>
      </c>
      <c r="F547" s="11" t="s">
        <v>1387</v>
      </c>
      <c r="G547" s="11">
        <v>108299</v>
      </c>
      <c r="H547" s="11" t="s">
        <v>47</v>
      </c>
      <c r="J547" s="11" t="s">
        <v>38</v>
      </c>
      <c r="K547" s="11">
        <v>51010101</v>
      </c>
      <c r="L547" s="11" t="s">
        <v>48</v>
      </c>
      <c r="M547" s="11"/>
      <c r="N547" s="11">
        <v>246.57</v>
      </c>
      <c r="O547" s="42">
        <v>-246.57</v>
      </c>
      <c r="P547" s="43" t="s">
        <v>4489</v>
      </c>
      <c r="Q547" s="11">
        <v>1336875.29</v>
      </c>
      <c r="R547" s="11" t="s">
        <v>381</v>
      </c>
      <c r="S547" s="11" t="s">
        <v>40</v>
      </c>
      <c r="T547" s="11">
        <v>0</v>
      </c>
      <c r="V547" s="11" t="s">
        <v>41</v>
      </c>
    </row>
    <row r="548" spans="1:22" x14ac:dyDescent="0.25">
      <c r="A548" s="11">
        <v>101060401</v>
      </c>
      <c r="B548" s="11" t="s">
        <v>34</v>
      </c>
      <c r="C548" s="41">
        <v>44875</v>
      </c>
      <c r="D548" s="41">
        <v>44875</v>
      </c>
      <c r="E548" s="11" t="s">
        <v>42</v>
      </c>
      <c r="F548" s="11" t="s">
        <v>1388</v>
      </c>
      <c r="G548" s="11">
        <v>108300</v>
      </c>
      <c r="H548" s="11" t="s">
        <v>71</v>
      </c>
      <c r="J548" s="11" t="s">
        <v>38</v>
      </c>
      <c r="K548" s="11">
        <v>51010101</v>
      </c>
      <c r="L548" s="11" t="s">
        <v>48</v>
      </c>
      <c r="M548" s="11"/>
      <c r="N548" s="11">
        <v>604.01</v>
      </c>
      <c r="O548" s="42">
        <v>-604.01</v>
      </c>
      <c r="P548" s="43" t="s">
        <v>4489</v>
      </c>
      <c r="Q548" s="11">
        <v>1336271.28</v>
      </c>
      <c r="R548" s="11" t="s">
        <v>1389</v>
      </c>
      <c r="S548" s="11" t="s">
        <v>40</v>
      </c>
      <c r="T548" s="11">
        <v>0</v>
      </c>
      <c r="V548" s="11" t="s">
        <v>41</v>
      </c>
    </row>
    <row r="549" spans="1:22" x14ac:dyDescent="0.25">
      <c r="A549" s="11">
        <v>101060401</v>
      </c>
      <c r="B549" s="11" t="s">
        <v>34</v>
      </c>
      <c r="C549" s="41">
        <v>44875</v>
      </c>
      <c r="D549" s="41">
        <v>44875</v>
      </c>
      <c r="E549" s="11" t="s">
        <v>36</v>
      </c>
      <c r="F549" s="11" t="s">
        <v>1390</v>
      </c>
      <c r="G549" s="11">
        <v>108303</v>
      </c>
      <c r="H549" s="11" t="s">
        <v>52</v>
      </c>
      <c r="K549" s="11">
        <v>201040506</v>
      </c>
      <c r="L549" s="11" t="s">
        <v>46</v>
      </c>
      <c r="M549" s="11">
        <v>1248.6500000000001</v>
      </c>
      <c r="N549" s="11"/>
      <c r="O549" s="42">
        <v>1248.6500000000001</v>
      </c>
      <c r="P549" s="43" t="s">
        <v>4480</v>
      </c>
      <c r="Q549" s="11">
        <v>1337519.93</v>
      </c>
      <c r="R549" s="11" t="s">
        <v>1391</v>
      </c>
      <c r="S549" s="11" t="s">
        <v>40</v>
      </c>
      <c r="T549" s="11">
        <v>0</v>
      </c>
    </row>
    <row r="550" spans="1:22" x14ac:dyDescent="0.25">
      <c r="A550" s="11">
        <v>101060401</v>
      </c>
      <c r="B550" s="11" t="s">
        <v>34</v>
      </c>
      <c r="C550" s="41">
        <v>44875</v>
      </c>
      <c r="D550" s="41">
        <v>44875</v>
      </c>
      <c r="E550" s="11" t="s">
        <v>42</v>
      </c>
      <c r="F550" s="11" t="s">
        <v>1392</v>
      </c>
      <c r="G550" s="11">
        <v>108304</v>
      </c>
      <c r="H550" s="11" t="s">
        <v>57</v>
      </c>
      <c r="K550" s="11">
        <v>101060402</v>
      </c>
      <c r="L550" s="11" t="s">
        <v>44</v>
      </c>
      <c r="M550" s="11"/>
      <c r="N550" s="11">
        <v>1585.82</v>
      </c>
      <c r="O550" s="42">
        <v>-1585.82</v>
      </c>
      <c r="P550" s="43" t="s">
        <v>4481</v>
      </c>
      <c r="Q550" s="11">
        <v>1335934.1100000001</v>
      </c>
      <c r="R550" s="11" t="s">
        <v>1393</v>
      </c>
      <c r="S550" s="11" t="s">
        <v>40</v>
      </c>
      <c r="T550" s="11">
        <v>0</v>
      </c>
    </row>
    <row r="551" spans="1:22" x14ac:dyDescent="0.25">
      <c r="A551" s="11">
        <v>101060401</v>
      </c>
      <c r="B551" s="11" t="s">
        <v>34</v>
      </c>
      <c r="C551" s="41">
        <v>44875</v>
      </c>
      <c r="D551" s="41">
        <v>44875</v>
      </c>
      <c r="E551" s="11" t="s">
        <v>42</v>
      </c>
      <c r="F551" s="11" t="s">
        <v>1394</v>
      </c>
      <c r="G551" s="11">
        <v>108306</v>
      </c>
      <c r="H551" s="11" t="s">
        <v>49</v>
      </c>
      <c r="J551" s="11" t="s">
        <v>38</v>
      </c>
      <c r="K551" s="11">
        <v>51010101</v>
      </c>
      <c r="L551" s="11" t="s">
        <v>48</v>
      </c>
      <c r="M551" s="11"/>
      <c r="N551" s="11">
        <v>140.35</v>
      </c>
      <c r="O551" s="42">
        <v>-140.35</v>
      </c>
      <c r="P551" s="43" t="s">
        <v>4489</v>
      </c>
      <c r="Q551" s="11">
        <v>1335793.76</v>
      </c>
      <c r="R551" s="11" t="s">
        <v>1395</v>
      </c>
      <c r="S551" s="11" t="s">
        <v>40</v>
      </c>
      <c r="T551" s="11">
        <v>0</v>
      </c>
      <c r="V551" s="11" t="s">
        <v>41</v>
      </c>
    </row>
    <row r="552" spans="1:22" x14ac:dyDescent="0.25">
      <c r="A552" s="11">
        <v>101060401</v>
      </c>
      <c r="B552" s="11" t="s">
        <v>34</v>
      </c>
      <c r="C552" s="41">
        <v>44875</v>
      </c>
      <c r="D552" s="41">
        <v>44875</v>
      </c>
      <c r="E552" s="11" t="s">
        <v>42</v>
      </c>
      <c r="F552" s="11" t="s">
        <v>1396</v>
      </c>
      <c r="G552" s="11">
        <v>108307</v>
      </c>
      <c r="H552" s="11" t="s">
        <v>49</v>
      </c>
      <c r="J552" s="11" t="s">
        <v>38</v>
      </c>
      <c r="K552" s="11">
        <v>51010101</v>
      </c>
      <c r="L552" s="11" t="s">
        <v>48</v>
      </c>
      <c r="M552" s="11"/>
      <c r="N552" s="11">
        <v>346.54</v>
      </c>
      <c r="O552" s="42">
        <v>-346.54</v>
      </c>
      <c r="P552" s="43" t="s">
        <v>4489</v>
      </c>
      <c r="Q552" s="11">
        <v>1335447.22</v>
      </c>
      <c r="R552" s="11" t="s">
        <v>1397</v>
      </c>
      <c r="S552" s="11" t="s">
        <v>40</v>
      </c>
      <c r="T552" s="11">
        <v>0</v>
      </c>
      <c r="V552" s="11" t="s">
        <v>41</v>
      </c>
    </row>
    <row r="553" spans="1:22" x14ac:dyDescent="0.25">
      <c r="A553" s="11">
        <v>101060401</v>
      </c>
      <c r="B553" s="11" t="s">
        <v>34</v>
      </c>
      <c r="C553" s="41">
        <v>44875</v>
      </c>
      <c r="D553" s="41">
        <v>44875</v>
      </c>
      <c r="E553" s="11" t="s">
        <v>42</v>
      </c>
      <c r="F553" s="11" t="s">
        <v>1398</v>
      </c>
      <c r="G553" s="11">
        <v>108309</v>
      </c>
      <c r="H553" s="11" t="s">
        <v>58</v>
      </c>
      <c r="J553" s="11" t="s">
        <v>38</v>
      </c>
      <c r="K553" s="11">
        <v>51010101</v>
      </c>
      <c r="L553" s="11" t="s">
        <v>48</v>
      </c>
      <c r="M553" s="11"/>
      <c r="N553" s="11">
        <v>2.71</v>
      </c>
      <c r="O553" s="42">
        <v>-2.71</v>
      </c>
      <c r="P553" s="43" t="s">
        <v>4489</v>
      </c>
      <c r="Q553" s="11">
        <v>1335444.51</v>
      </c>
      <c r="R553" s="11" t="s">
        <v>1399</v>
      </c>
      <c r="S553" s="11" t="s">
        <v>40</v>
      </c>
      <c r="T553" s="11">
        <v>0</v>
      </c>
      <c r="V553" s="11" t="s">
        <v>41</v>
      </c>
    </row>
    <row r="554" spans="1:22" x14ac:dyDescent="0.25">
      <c r="A554" s="11">
        <v>101060401</v>
      </c>
      <c r="B554" s="11" t="s">
        <v>34</v>
      </c>
      <c r="C554" s="41">
        <v>44875</v>
      </c>
      <c r="D554" s="41">
        <v>44875</v>
      </c>
      <c r="E554" s="11" t="s">
        <v>36</v>
      </c>
      <c r="F554" s="11" t="s">
        <v>1400</v>
      </c>
      <c r="G554" s="11">
        <v>108318</v>
      </c>
      <c r="H554" s="11" t="s">
        <v>75</v>
      </c>
      <c r="J554" s="11" t="s">
        <v>38</v>
      </c>
      <c r="K554" s="11">
        <v>51010101</v>
      </c>
      <c r="L554" s="11" t="s">
        <v>48</v>
      </c>
      <c r="M554" s="11"/>
      <c r="N554" s="11">
        <v>22</v>
      </c>
      <c r="O554" s="42">
        <v>-22</v>
      </c>
      <c r="P554" s="43" t="s">
        <v>4489</v>
      </c>
      <c r="Q554" s="11">
        <v>1335422.51</v>
      </c>
      <c r="R554" s="11" t="s">
        <v>1401</v>
      </c>
      <c r="S554" s="11" t="s">
        <v>40</v>
      </c>
      <c r="T554" s="11">
        <v>0</v>
      </c>
      <c r="V554" s="11" t="s">
        <v>41</v>
      </c>
    </row>
    <row r="555" spans="1:22" x14ac:dyDescent="0.25">
      <c r="A555" s="11">
        <v>101060401</v>
      </c>
      <c r="B555" s="11" t="s">
        <v>34</v>
      </c>
      <c r="C555" s="41">
        <v>44875</v>
      </c>
      <c r="D555" s="41">
        <v>44875</v>
      </c>
      <c r="E555" s="11" t="s">
        <v>36</v>
      </c>
      <c r="F555" s="11" t="s">
        <v>1402</v>
      </c>
      <c r="G555" s="11">
        <v>108319</v>
      </c>
      <c r="H555" s="11" t="s">
        <v>37</v>
      </c>
      <c r="J555" s="11" t="s">
        <v>38</v>
      </c>
      <c r="K555" s="11">
        <v>51010103</v>
      </c>
      <c r="L555" s="11" t="s">
        <v>39</v>
      </c>
      <c r="M555" s="26">
        <v>27</v>
      </c>
      <c r="O555" s="44">
        <v>27</v>
      </c>
      <c r="P555" s="43" t="s">
        <v>4493</v>
      </c>
      <c r="Q555" s="11">
        <v>1335449.51</v>
      </c>
      <c r="R555" s="11" t="s">
        <v>1403</v>
      </c>
      <c r="S555" s="11" t="s">
        <v>40</v>
      </c>
      <c r="T555" s="11">
        <v>0</v>
      </c>
      <c r="V555" s="11" t="s">
        <v>41</v>
      </c>
    </row>
    <row r="556" spans="1:22" x14ac:dyDescent="0.25">
      <c r="A556" s="11">
        <v>101060401</v>
      </c>
      <c r="B556" s="11" t="s">
        <v>34</v>
      </c>
      <c r="C556" s="41">
        <v>44875</v>
      </c>
      <c r="D556" s="41">
        <v>44875</v>
      </c>
      <c r="E556" s="11" t="s">
        <v>42</v>
      </c>
      <c r="F556" s="11" t="s">
        <v>1404</v>
      </c>
      <c r="G556" s="11">
        <v>108320</v>
      </c>
      <c r="H556" s="11" t="s">
        <v>57</v>
      </c>
      <c r="K556" s="11">
        <v>101060402</v>
      </c>
      <c r="L556" s="11" t="s">
        <v>44</v>
      </c>
      <c r="M556" s="11"/>
      <c r="N556" s="11">
        <v>27</v>
      </c>
      <c r="O556" s="42">
        <v>-27</v>
      </c>
      <c r="P556" s="43" t="s">
        <v>4481</v>
      </c>
      <c r="Q556" s="11">
        <v>1335422.51</v>
      </c>
      <c r="R556" s="11" t="s">
        <v>1405</v>
      </c>
      <c r="S556" s="11" t="s">
        <v>40</v>
      </c>
      <c r="T556" s="11">
        <v>0</v>
      </c>
    </row>
    <row r="557" spans="1:22" x14ac:dyDescent="0.25">
      <c r="A557" s="11">
        <v>101060401</v>
      </c>
      <c r="B557" s="11" t="s">
        <v>34</v>
      </c>
      <c r="C557" s="41">
        <v>44875</v>
      </c>
      <c r="D557" s="41">
        <v>44875</v>
      </c>
      <c r="E557" s="11" t="s">
        <v>42</v>
      </c>
      <c r="F557" s="11" t="s">
        <v>1406</v>
      </c>
      <c r="G557" s="11">
        <v>108321</v>
      </c>
      <c r="H557" s="11" t="s">
        <v>64</v>
      </c>
      <c r="J557" s="11" t="s">
        <v>38</v>
      </c>
      <c r="K557" s="11">
        <v>51010101</v>
      </c>
      <c r="L557" s="11" t="s">
        <v>48</v>
      </c>
      <c r="M557" s="11"/>
      <c r="N557" s="11">
        <v>23.17</v>
      </c>
      <c r="O557" s="42">
        <v>-23.17</v>
      </c>
      <c r="P557" s="43" t="s">
        <v>4489</v>
      </c>
      <c r="Q557" s="11">
        <v>1335399.3400000001</v>
      </c>
      <c r="R557" s="11" t="s">
        <v>1407</v>
      </c>
      <c r="S557" s="11" t="s">
        <v>40</v>
      </c>
      <c r="T557" s="11">
        <v>0</v>
      </c>
      <c r="V557" s="11" t="s">
        <v>41</v>
      </c>
    </row>
    <row r="558" spans="1:22" x14ac:dyDescent="0.25">
      <c r="A558" s="11">
        <v>101060401</v>
      </c>
      <c r="B558" s="11" t="s">
        <v>34</v>
      </c>
      <c r="C558" s="41">
        <v>44875</v>
      </c>
      <c r="D558" s="41">
        <v>44875</v>
      </c>
      <c r="E558" s="11" t="s">
        <v>42</v>
      </c>
      <c r="F558" s="11" t="s">
        <v>1408</v>
      </c>
      <c r="G558" s="11">
        <v>108322</v>
      </c>
      <c r="H558" s="11" t="s">
        <v>849</v>
      </c>
      <c r="J558" s="11" t="s">
        <v>38</v>
      </c>
      <c r="K558" s="11">
        <v>51010101</v>
      </c>
      <c r="L558" s="11" t="s">
        <v>48</v>
      </c>
      <c r="M558" s="11"/>
      <c r="N558" s="11">
        <v>523.96</v>
      </c>
      <c r="O558" s="42">
        <v>-523.96</v>
      </c>
      <c r="P558" s="43" t="s">
        <v>4489</v>
      </c>
      <c r="Q558" s="11">
        <v>1334875.3799999999</v>
      </c>
      <c r="R558" s="11" t="s">
        <v>1409</v>
      </c>
      <c r="S558" s="11" t="s">
        <v>40</v>
      </c>
      <c r="T558" s="11">
        <v>0</v>
      </c>
      <c r="V558" s="11" t="s">
        <v>41</v>
      </c>
    </row>
    <row r="559" spans="1:22" x14ac:dyDescent="0.25">
      <c r="A559" s="11">
        <v>101060401</v>
      </c>
      <c r="B559" s="11" t="s">
        <v>34</v>
      </c>
      <c r="C559" s="41">
        <v>44876</v>
      </c>
      <c r="D559" s="41">
        <v>44876</v>
      </c>
      <c r="E559" s="11" t="s">
        <v>42</v>
      </c>
      <c r="F559" s="11" t="s">
        <v>1410</v>
      </c>
      <c r="G559" s="11">
        <v>108335</v>
      </c>
      <c r="H559" s="11" t="s">
        <v>50</v>
      </c>
      <c r="J559" s="11" t="s">
        <v>38</v>
      </c>
      <c r="K559" s="11">
        <v>51010101</v>
      </c>
      <c r="L559" s="11" t="s">
        <v>48</v>
      </c>
      <c r="M559" s="11"/>
      <c r="N559" s="11">
        <v>49.39</v>
      </c>
      <c r="O559" s="42">
        <v>-49.39</v>
      </c>
      <c r="P559" s="43" t="s">
        <v>4489</v>
      </c>
      <c r="Q559" s="11">
        <v>1334825.99</v>
      </c>
      <c r="R559" s="11" t="s">
        <v>164</v>
      </c>
      <c r="S559" s="11" t="s">
        <v>40</v>
      </c>
      <c r="T559" s="11">
        <v>0</v>
      </c>
      <c r="V559" s="11" t="s">
        <v>41</v>
      </c>
    </row>
    <row r="560" spans="1:22" x14ac:dyDescent="0.25">
      <c r="A560" s="11">
        <v>101060401</v>
      </c>
      <c r="B560" s="11" t="s">
        <v>34</v>
      </c>
      <c r="C560" s="41">
        <v>44876</v>
      </c>
      <c r="D560" s="41">
        <v>44876</v>
      </c>
      <c r="E560" s="11" t="s">
        <v>42</v>
      </c>
      <c r="F560" s="11" t="s">
        <v>1411</v>
      </c>
      <c r="G560" s="11">
        <v>108336</v>
      </c>
      <c r="H560" s="11" t="s">
        <v>50</v>
      </c>
      <c r="J560" s="11" t="s">
        <v>38</v>
      </c>
      <c r="K560" s="11">
        <v>51010101</v>
      </c>
      <c r="L560" s="11" t="s">
        <v>48</v>
      </c>
      <c r="M560" s="11"/>
      <c r="N560" s="11">
        <v>133.54</v>
      </c>
      <c r="O560" s="42">
        <v>-133.54</v>
      </c>
      <c r="P560" s="43" t="s">
        <v>4489</v>
      </c>
      <c r="Q560" s="11">
        <v>1334692.45</v>
      </c>
      <c r="R560" s="11" t="s">
        <v>1412</v>
      </c>
      <c r="S560" s="11" t="s">
        <v>40</v>
      </c>
      <c r="T560" s="11">
        <v>0</v>
      </c>
      <c r="V560" s="11" t="s">
        <v>41</v>
      </c>
    </row>
    <row r="561" spans="1:22" x14ac:dyDescent="0.25">
      <c r="A561" s="11">
        <v>101060401</v>
      </c>
      <c r="B561" s="11" t="s">
        <v>34</v>
      </c>
      <c r="C561" s="41">
        <v>44876</v>
      </c>
      <c r="D561" s="41">
        <v>44876</v>
      </c>
      <c r="E561" s="11" t="s">
        <v>42</v>
      </c>
      <c r="F561" s="11" t="s">
        <v>1413</v>
      </c>
      <c r="G561" s="11">
        <v>108337</v>
      </c>
      <c r="H561" s="11" t="s">
        <v>56</v>
      </c>
      <c r="J561" s="11" t="s">
        <v>38</v>
      </c>
      <c r="K561" s="11">
        <v>51010101</v>
      </c>
      <c r="L561" s="11" t="s">
        <v>48</v>
      </c>
      <c r="M561" s="11"/>
      <c r="N561" s="11">
        <v>190.09</v>
      </c>
      <c r="O561" s="42">
        <v>-190.09</v>
      </c>
      <c r="P561" s="43" t="s">
        <v>4489</v>
      </c>
      <c r="Q561" s="11">
        <v>1334502.3600000001</v>
      </c>
      <c r="R561" s="11" t="s">
        <v>1414</v>
      </c>
      <c r="S561" s="11" t="s">
        <v>40</v>
      </c>
      <c r="T561" s="11">
        <v>0</v>
      </c>
      <c r="V561" s="11" t="s">
        <v>41</v>
      </c>
    </row>
    <row r="562" spans="1:22" x14ac:dyDescent="0.25">
      <c r="A562" s="11">
        <v>101060401</v>
      </c>
      <c r="B562" s="11" t="s">
        <v>34</v>
      </c>
      <c r="C562" s="41">
        <v>44876</v>
      </c>
      <c r="D562" s="41">
        <v>44876</v>
      </c>
      <c r="E562" s="11" t="s">
        <v>36</v>
      </c>
      <c r="F562" s="11" t="s">
        <v>1415</v>
      </c>
      <c r="G562" s="11">
        <v>108338</v>
      </c>
      <c r="H562" s="11" t="s">
        <v>52</v>
      </c>
      <c r="K562" s="11">
        <v>201040506</v>
      </c>
      <c r="L562" s="11" t="s">
        <v>46</v>
      </c>
      <c r="M562" s="11">
        <v>22.61</v>
      </c>
      <c r="N562" s="11"/>
      <c r="O562" s="42">
        <v>22.61</v>
      </c>
      <c r="P562" s="43" t="s">
        <v>4480</v>
      </c>
      <c r="Q562" s="11">
        <v>1334524.97</v>
      </c>
      <c r="R562" s="11" t="s">
        <v>1416</v>
      </c>
      <c r="S562" s="11" t="s">
        <v>40</v>
      </c>
      <c r="T562" s="11">
        <v>0</v>
      </c>
    </row>
    <row r="563" spans="1:22" x14ac:dyDescent="0.25">
      <c r="A563" s="11">
        <v>101060401</v>
      </c>
      <c r="B563" s="11" t="s">
        <v>34</v>
      </c>
      <c r="C563" s="41">
        <v>44876</v>
      </c>
      <c r="D563" s="41">
        <v>44876</v>
      </c>
      <c r="E563" s="11" t="s">
        <v>36</v>
      </c>
      <c r="F563" s="11" t="s">
        <v>1417</v>
      </c>
      <c r="G563" s="11">
        <v>108339</v>
      </c>
      <c r="H563" s="11" t="s">
        <v>52</v>
      </c>
      <c r="K563" s="11">
        <v>201040506</v>
      </c>
      <c r="L563" s="11" t="s">
        <v>46</v>
      </c>
      <c r="M563" s="11">
        <v>3888.62</v>
      </c>
      <c r="N563" s="11"/>
      <c r="O563" s="42">
        <v>3888.62</v>
      </c>
      <c r="P563" s="43" t="s">
        <v>4480</v>
      </c>
      <c r="Q563" s="11">
        <v>1338413.5900000001</v>
      </c>
      <c r="R563" s="11" t="s">
        <v>1418</v>
      </c>
      <c r="S563" s="11" t="s">
        <v>40</v>
      </c>
      <c r="T563" s="11">
        <v>0</v>
      </c>
    </row>
    <row r="564" spans="1:22" x14ac:dyDescent="0.25">
      <c r="A564" s="11">
        <v>101060401</v>
      </c>
      <c r="B564" s="11" t="s">
        <v>34</v>
      </c>
      <c r="C564" s="41">
        <v>44876</v>
      </c>
      <c r="D564" s="41">
        <v>44876</v>
      </c>
      <c r="E564" s="11" t="s">
        <v>42</v>
      </c>
      <c r="F564" s="11" t="s">
        <v>1419</v>
      </c>
      <c r="G564" s="11">
        <v>108342</v>
      </c>
      <c r="H564" s="11" t="s">
        <v>71</v>
      </c>
      <c r="J564" s="11" t="s">
        <v>38</v>
      </c>
      <c r="K564" s="11">
        <v>51010101</v>
      </c>
      <c r="L564" s="11" t="s">
        <v>48</v>
      </c>
      <c r="M564" s="11"/>
      <c r="N564" s="11">
        <v>132.08000000000001</v>
      </c>
      <c r="O564" s="42">
        <v>-132.08000000000001</v>
      </c>
      <c r="P564" s="43" t="s">
        <v>4489</v>
      </c>
      <c r="Q564" s="11">
        <v>1338281.51</v>
      </c>
      <c r="R564" s="11" t="s">
        <v>1420</v>
      </c>
      <c r="S564" s="11" t="s">
        <v>40</v>
      </c>
      <c r="T564" s="11">
        <v>0</v>
      </c>
      <c r="V564" s="11" t="s">
        <v>41</v>
      </c>
    </row>
    <row r="565" spans="1:22" x14ac:dyDescent="0.25">
      <c r="A565" s="11">
        <v>101060401</v>
      </c>
      <c r="B565" s="11" t="s">
        <v>34</v>
      </c>
      <c r="C565" s="41">
        <v>44876</v>
      </c>
      <c r="D565" s="41">
        <v>44876</v>
      </c>
      <c r="E565" s="11" t="s">
        <v>36</v>
      </c>
      <c r="F565" s="11" t="s">
        <v>1421</v>
      </c>
      <c r="G565" s="11">
        <v>108345</v>
      </c>
      <c r="H565" s="11" t="s">
        <v>75</v>
      </c>
      <c r="J565" s="11" t="s">
        <v>38</v>
      </c>
      <c r="K565" s="11">
        <v>51010101</v>
      </c>
      <c r="L565" s="11" t="s">
        <v>48</v>
      </c>
      <c r="M565" s="11"/>
      <c r="N565" s="11">
        <v>6.08</v>
      </c>
      <c r="O565" s="42">
        <v>-6.08</v>
      </c>
      <c r="P565" s="43" t="s">
        <v>4489</v>
      </c>
      <c r="Q565" s="11">
        <v>1338275.43</v>
      </c>
      <c r="R565" s="11" t="s">
        <v>283</v>
      </c>
      <c r="S565" s="11" t="s">
        <v>40</v>
      </c>
      <c r="T565" s="11">
        <v>0</v>
      </c>
      <c r="V565" s="11" t="s">
        <v>41</v>
      </c>
    </row>
    <row r="566" spans="1:22" x14ac:dyDescent="0.25">
      <c r="A566" s="11">
        <v>101060401</v>
      </c>
      <c r="B566" s="11" t="s">
        <v>34</v>
      </c>
      <c r="C566" s="41">
        <v>44876</v>
      </c>
      <c r="D566" s="41">
        <v>44876</v>
      </c>
      <c r="E566" s="11" t="s">
        <v>42</v>
      </c>
      <c r="F566" s="11" t="s">
        <v>1422</v>
      </c>
      <c r="G566" s="11">
        <v>108348</v>
      </c>
      <c r="H566" s="11" t="s">
        <v>47</v>
      </c>
      <c r="J566" s="11" t="s">
        <v>38</v>
      </c>
      <c r="K566" s="11">
        <v>51010101</v>
      </c>
      <c r="L566" s="11" t="s">
        <v>48</v>
      </c>
      <c r="M566" s="11"/>
      <c r="N566" s="11">
        <v>22.61</v>
      </c>
      <c r="O566" s="42">
        <v>-22.61</v>
      </c>
      <c r="P566" s="43" t="s">
        <v>4489</v>
      </c>
      <c r="Q566" s="11">
        <v>1338252.82</v>
      </c>
      <c r="R566" s="11" t="s">
        <v>1423</v>
      </c>
      <c r="S566" s="11" t="s">
        <v>40</v>
      </c>
      <c r="T566" s="11">
        <v>0</v>
      </c>
      <c r="V566" s="11" t="s">
        <v>41</v>
      </c>
    </row>
    <row r="567" spans="1:22" x14ac:dyDescent="0.25">
      <c r="A567" s="11">
        <v>101060401</v>
      </c>
      <c r="B567" s="11" t="s">
        <v>34</v>
      </c>
      <c r="C567" s="41">
        <v>44876</v>
      </c>
      <c r="D567" s="41">
        <v>44876</v>
      </c>
      <c r="E567" s="11" t="s">
        <v>42</v>
      </c>
      <c r="F567" s="11" t="s">
        <v>1424</v>
      </c>
      <c r="G567" s="11">
        <v>108352</v>
      </c>
      <c r="H567" s="11" t="s">
        <v>47</v>
      </c>
      <c r="J567" s="11" t="s">
        <v>38</v>
      </c>
      <c r="K567" s="11">
        <v>51010101</v>
      </c>
      <c r="L567" s="11" t="s">
        <v>48</v>
      </c>
      <c r="M567" s="11"/>
      <c r="N567" s="11">
        <v>3933.13</v>
      </c>
      <c r="O567" s="42">
        <v>-3933.13</v>
      </c>
      <c r="P567" s="43" t="s">
        <v>4489</v>
      </c>
      <c r="Q567" s="11">
        <v>1334319.69</v>
      </c>
      <c r="R567" s="11" t="s">
        <v>1425</v>
      </c>
      <c r="S567" s="11" t="s">
        <v>40</v>
      </c>
      <c r="T567" s="11">
        <v>0</v>
      </c>
      <c r="V567" s="11" t="s">
        <v>41</v>
      </c>
    </row>
    <row r="568" spans="1:22" x14ac:dyDescent="0.25">
      <c r="A568" s="11">
        <v>101060401</v>
      </c>
      <c r="B568" s="11" t="s">
        <v>34</v>
      </c>
      <c r="C568" s="41">
        <v>44876</v>
      </c>
      <c r="D568" s="41">
        <v>44876</v>
      </c>
      <c r="E568" s="11" t="s">
        <v>42</v>
      </c>
      <c r="F568" s="11" t="s">
        <v>1426</v>
      </c>
      <c r="G568" s="11">
        <v>108353</v>
      </c>
      <c r="H568" s="11" t="s">
        <v>849</v>
      </c>
      <c r="J568" s="11" t="s">
        <v>38</v>
      </c>
      <c r="K568" s="11">
        <v>51010101</v>
      </c>
      <c r="L568" s="11" t="s">
        <v>48</v>
      </c>
      <c r="M568" s="11"/>
      <c r="N568" s="11">
        <v>175.02</v>
      </c>
      <c r="O568" s="42">
        <v>-175.02</v>
      </c>
      <c r="P568" s="43" t="s">
        <v>4489</v>
      </c>
      <c r="Q568" s="11">
        <v>1334144.67</v>
      </c>
      <c r="R568" s="11" t="s">
        <v>1427</v>
      </c>
      <c r="S568" s="11" t="s">
        <v>40</v>
      </c>
      <c r="T568" s="11">
        <v>0</v>
      </c>
      <c r="V568" s="11" t="s">
        <v>41</v>
      </c>
    </row>
    <row r="569" spans="1:22" x14ac:dyDescent="0.25">
      <c r="A569" s="11">
        <v>101060401</v>
      </c>
      <c r="B569" s="11" t="s">
        <v>34</v>
      </c>
      <c r="C569" s="41">
        <v>44876</v>
      </c>
      <c r="D569" s="41">
        <v>44876</v>
      </c>
      <c r="E569" s="11" t="s">
        <v>36</v>
      </c>
      <c r="F569" s="11" t="s">
        <v>1428</v>
      </c>
      <c r="G569" s="11">
        <v>108357</v>
      </c>
      <c r="H569" s="11" t="s">
        <v>37</v>
      </c>
      <c r="J569" s="11" t="s">
        <v>38</v>
      </c>
      <c r="K569" s="11">
        <v>51010103</v>
      </c>
      <c r="L569" s="11" t="s">
        <v>39</v>
      </c>
      <c r="M569" s="26">
        <v>49.54</v>
      </c>
      <c r="O569" s="44">
        <v>49.54</v>
      </c>
      <c r="P569" s="43" t="s">
        <v>4493</v>
      </c>
      <c r="Q569" s="11">
        <v>1334194.21</v>
      </c>
      <c r="R569" s="11" t="s">
        <v>1429</v>
      </c>
      <c r="S569" s="11" t="s">
        <v>40</v>
      </c>
      <c r="T569" s="11">
        <v>0</v>
      </c>
      <c r="V569" s="11" t="s">
        <v>41</v>
      </c>
    </row>
    <row r="570" spans="1:22" x14ac:dyDescent="0.25">
      <c r="A570" s="11">
        <v>101060401</v>
      </c>
      <c r="B570" s="11" t="s">
        <v>34</v>
      </c>
      <c r="C570" s="41">
        <v>44876</v>
      </c>
      <c r="D570" s="41">
        <v>44876</v>
      </c>
      <c r="E570" s="11" t="s">
        <v>42</v>
      </c>
      <c r="F570" s="11" t="s">
        <v>1430</v>
      </c>
      <c r="G570" s="11">
        <v>108358</v>
      </c>
      <c r="H570" s="11" t="s">
        <v>64</v>
      </c>
      <c r="J570" s="11" t="s">
        <v>38</v>
      </c>
      <c r="K570" s="11">
        <v>51010101</v>
      </c>
      <c r="L570" s="11" t="s">
        <v>48</v>
      </c>
      <c r="M570" s="11"/>
      <c r="N570" s="11">
        <v>194.15</v>
      </c>
      <c r="O570" s="42">
        <v>-194.15</v>
      </c>
      <c r="P570" s="43" t="s">
        <v>4489</v>
      </c>
      <c r="Q570" s="11">
        <v>1334000.06</v>
      </c>
      <c r="R570" s="11" t="s">
        <v>1431</v>
      </c>
      <c r="S570" s="11" t="s">
        <v>40</v>
      </c>
      <c r="T570" s="11">
        <v>0</v>
      </c>
      <c r="V570" s="11" t="s">
        <v>41</v>
      </c>
    </row>
    <row r="571" spans="1:22" x14ac:dyDescent="0.25">
      <c r="A571" s="11">
        <v>101060401</v>
      </c>
      <c r="B571" s="11" t="s">
        <v>34</v>
      </c>
      <c r="C571" s="41">
        <v>44879</v>
      </c>
      <c r="D571" s="41">
        <v>44879</v>
      </c>
      <c r="E571" s="11" t="s">
        <v>36</v>
      </c>
      <c r="F571" s="11" t="s">
        <v>1432</v>
      </c>
      <c r="G571" s="11">
        <v>108411</v>
      </c>
      <c r="H571" s="11" t="s">
        <v>45</v>
      </c>
      <c r="K571" s="11">
        <v>201040506</v>
      </c>
      <c r="L571" s="11" t="s">
        <v>46</v>
      </c>
      <c r="M571" s="11">
        <v>30.13</v>
      </c>
      <c r="N571" s="11"/>
      <c r="O571" s="42">
        <v>30.13</v>
      </c>
      <c r="P571" s="43" t="s">
        <v>4480</v>
      </c>
      <c r="Q571" s="11">
        <v>1334030.19</v>
      </c>
      <c r="R571" s="11" t="s">
        <v>1433</v>
      </c>
      <c r="S571" s="11" t="s">
        <v>40</v>
      </c>
      <c r="T571" s="11">
        <v>0</v>
      </c>
    </row>
    <row r="572" spans="1:22" x14ac:dyDescent="0.25">
      <c r="A572" s="11">
        <v>101060401</v>
      </c>
      <c r="B572" s="11" t="s">
        <v>34</v>
      </c>
      <c r="C572" s="41">
        <v>44879</v>
      </c>
      <c r="D572" s="41">
        <v>44879</v>
      </c>
      <c r="E572" s="11" t="s">
        <v>42</v>
      </c>
      <c r="F572" s="11" t="s">
        <v>1434</v>
      </c>
      <c r="G572" s="11">
        <v>108414</v>
      </c>
      <c r="H572" s="11" t="s">
        <v>74</v>
      </c>
      <c r="J572" s="11" t="s">
        <v>38</v>
      </c>
      <c r="K572" s="11">
        <v>51010101</v>
      </c>
      <c r="L572" s="11" t="s">
        <v>48</v>
      </c>
      <c r="M572" s="11"/>
      <c r="N572" s="11">
        <v>948.38</v>
      </c>
      <c r="O572" s="42">
        <v>-948.38</v>
      </c>
      <c r="P572" s="43" t="s">
        <v>4489</v>
      </c>
      <c r="Q572" s="11">
        <v>1333081.81</v>
      </c>
      <c r="R572" s="11" t="s">
        <v>1435</v>
      </c>
      <c r="S572" s="11" t="s">
        <v>40</v>
      </c>
      <c r="T572" s="11">
        <v>0</v>
      </c>
      <c r="V572" s="11" t="s">
        <v>41</v>
      </c>
    </row>
    <row r="573" spans="1:22" x14ac:dyDescent="0.25">
      <c r="A573" s="11">
        <v>101060401</v>
      </c>
      <c r="B573" s="11" t="s">
        <v>34</v>
      </c>
      <c r="C573" s="41">
        <v>44879</v>
      </c>
      <c r="D573" s="41">
        <v>44879</v>
      </c>
      <c r="E573" s="11" t="s">
        <v>36</v>
      </c>
      <c r="F573" s="11" t="s">
        <v>1436</v>
      </c>
      <c r="G573" s="11">
        <v>108416</v>
      </c>
      <c r="H573" s="11" t="s">
        <v>154</v>
      </c>
      <c r="K573" s="11">
        <v>201040506</v>
      </c>
      <c r="L573" s="11" t="s">
        <v>46</v>
      </c>
      <c r="M573" s="11">
        <v>381.36</v>
      </c>
      <c r="N573" s="11"/>
      <c r="O573" s="42">
        <v>381.36</v>
      </c>
      <c r="P573" s="43" t="s">
        <v>4480</v>
      </c>
      <c r="Q573" s="11">
        <v>1333463.17</v>
      </c>
      <c r="R573" s="11" t="s">
        <v>1437</v>
      </c>
      <c r="S573" s="11" t="s">
        <v>40</v>
      </c>
      <c r="T573" s="11">
        <v>0</v>
      </c>
    </row>
    <row r="574" spans="1:22" x14ac:dyDescent="0.25">
      <c r="A574" s="11">
        <v>101060401</v>
      </c>
      <c r="B574" s="11" t="s">
        <v>34</v>
      </c>
      <c r="C574" s="41">
        <v>44879</v>
      </c>
      <c r="D574" s="41">
        <v>44879</v>
      </c>
      <c r="E574" s="11" t="s">
        <v>42</v>
      </c>
      <c r="F574" s="11" t="s">
        <v>1438</v>
      </c>
      <c r="G574" s="11">
        <v>108417</v>
      </c>
      <c r="H574" s="11" t="s">
        <v>57</v>
      </c>
      <c r="K574" s="11">
        <v>101060402</v>
      </c>
      <c r="L574" s="11" t="s">
        <v>44</v>
      </c>
      <c r="M574" s="11"/>
      <c r="N574" s="11">
        <v>381.36</v>
      </c>
      <c r="O574" s="42">
        <v>-381.36</v>
      </c>
      <c r="P574" s="43" t="s">
        <v>4481</v>
      </c>
      <c r="Q574" s="11">
        <v>1333081.81</v>
      </c>
      <c r="R574" s="11" t="s">
        <v>1439</v>
      </c>
      <c r="S574" s="11" t="s">
        <v>40</v>
      </c>
      <c r="T574" s="11">
        <v>0</v>
      </c>
    </row>
    <row r="575" spans="1:22" x14ac:dyDescent="0.25">
      <c r="A575" s="11">
        <v>101060401</v>
      </c>
      <c r="B575" s="11" t="s">
        <v>34</v>
      </c>
      <c r="C575" s="41">
        <v>44879</v>
      </c>
      <c r="D575" s="41">
        <v>44879</v>
      </c>
      <c r="E575" s="11" t="s">
        <v>42</v>
      </c>
      <c r="F575" s="11" t="s">
        <v>1440</v>
      </c>
      <c r="G575" s="11">
        <v>108427</v>
      </c>
      <c r="H575" s="11" t="s">
        <v>94</v>
      </c>
      <c r="J575" s="11" t="s">
        <v>38</v>
      </c>
      <c r="K575" s="11">
        <v>51010101</v>
      </c>
      <c r="L575" s="11" t="s">
        <v>48</v>
      </c>
      <c r="M575" s="11"/>
      <c r="N575" s="11">
        <v>58.35</v>
      </c>
      <c r="O575" s="42">
        <v>-58.35</v>
      </c>
      <c r="P575" s="43" t="s">
        <v>4489</v>
      </c>
      <c r="Q575" s="11">
        <v>1333023.46</v>
      </c>
      <c r="R575" s="11" t="s">
        <v>1441</v>
      </c>
      <c r="S575" s="11" t="s">
        <v>40</v>
      </c>
      <c r="T575" s="11">
        <v>0</v>
      </c>
      <c r="V575" s="11" t="s">
        <v>41</v>
      </c>
    </row>
    <row r="576" spans="1:22" x14ac:dyDescent="0.25">
      <c r="A576" s="11">
        <v>101060401</v>
      </c>
      <c r="B576" s="11" t="s">
        <v>34</v>
      </c>
      <c r="C576" s="41">
        <v>44879</v>
      </c>
      <c r="D576" s="41">
        <v>44879</v>
      </c>
      <c r="E576" s="11" t="s">
        <v>42</v>
      </c>
      <c r="F576" s="11" t="s">
        <v>1442</v>
      </c>
      <c r="G576" s="11">
        <v>108428</v>
      </c>
      <c r="H576" s="11" t="s">
        <v>47</v>
      </c>
      <c r="J576" s="11" t="s">
        <v>38</v>
      </c>
      <c r="K576" s="11">
        <v>51010101</v>
      </c>
      <c r="L576" s="11" t="s">
        <v>48</v>
      </c>
      <c r="M576" s="11"/>
      <c r="N576" s="11">
        <v>146.44999999999999</v>
      </c>
      <c r="O576" s="42">
        <v>-146.44999999999999</v>
      </c>
      <c r="P576" s="43" t="s">
        <v>4489</v>
      </c>
      <c r="Q576" s="11">
        <v>1332877.01</v>
      </c>
      <c r="R576" s="11" t="s">
        <v>1443</v>
      </c>
      <c r="S576" s="11" t="s">
        <v>40</v>
      </c>
      <c r="T576" s="11">
        <v>0</v>
      </c>
      <c r="V576" s="11" t="s">
        <v>41</v>
      </c>
    </row>
    <row r="577" spans="1:22" x14ac:dyDescent="0.25">
      <c r="A577" s="11">
        <v>101060401</v>
      </c>
      <c r="B577" s="11" t="s">
        <v>34</v>
      </c>
      <c r="C577" s="41">
        <v>44879</v>
      </c>
      <c r="D577" s="41">
        <v>44879</v>
      </c>
      <c r="E577" s="11" t="s">
        <v>42</v>
      </c>
      <c r="F577" s="11" t="s">
        <v>1444</v>
      </c>
      <c r="G577" s="11">
        <v>108434</v>
      </c>
      <c r="H577" s="11" t="s">
        <v>91</v>
      </c>
      <c r="J577" s="11" t="s">
        <v>38</v>
      </c>
      <c r="K577" s="11">
        <v>51010101</v>
      </c>
      <c r="L577" s="11" t="s">
        <v>48</v>
      </c>
      <c r="M577" s="11"/>
      <c r="N577" s="11">
        <v>157.44999999999999</v>
      </c>
      <c r="O577" s="42">
        <v>-157.44999999999999</v>
      </c>
      <c r="P577" s="43" t="s">
        <v>4489</v>
      </c>
      <c r="Q577" s="11">
        <v>1332719.56</v>
      </c>
      <c r="R577" s="11" t="s">
        <v>1445</v>
      </c>
      <c r="S577" s="11" t="s">
        <v>40</v>
      </c>
      <c r="T577" s="11">
        <v>0</v>
      </c>
      <c r="V577" s="11" t="s">
        <v>41</v>
      </c>
    </row>
    <row r="578" spans="1:22" x14ac:dyDescent="0.25">
      <c r="A578" s="11">
        <v>101060401</v>
      </c>
      <c r="B578" s="11" t="s">
        <v>34</v>
      </c>
      <c r="C578" s="41">
        <v>44879</v>
      </c>
      <c r="D578" s="41">
        <v>44879</v>
      </c>
      <c r="E578" s="11" t="s">
        <v>42</v>
      </c>
      <c r="F578" s="11" t="s">
        <v>1446</v>
      </c>
      <c r="G578" s="11">
        <v>108435</v>
      </c>
      <c r="H578" s="11" t="s">
        <v>91</v>
      </c>
      <c r="J578" s="11" t="s">
        <v>38</v>
      </c>
      <c r="K578" s="11">
        <v>51010101</v>
      </c>
      <c r="L578" s="11" t="s">
        <v>48</v>
      </c>
      <c r="M578" s="11"/>
      <c r="N578" s="11">
        <v>14.15</v>
      </c>
      <c r="O578" s="42">
        <v>-14.15</v>
      </c>
      <c r="P578" s="43" t="s">
        <v>4489</v>
      </c>
      <c r="Q578" s="11">
        <v>1332705.4099999999</v>
      </c>
      <c r="R578" s="11" t="s">
        <v>1447</v>
      </c>
      <c r="S578" s="11" t="s">
        <v>40</v>
      </c>
      <c r="T578" s="11">
        <v>0</v>
      </c>
      <c r="V578" s="11" t="s">
        <v>41</v>
      </c>
    </row>
    <row r="579" spans="1:22" x14ac:dyDescent="0.25">
      <c r="A579" s="11">
        <v>101060401</v>
      </c>
      <c r="B579" s="11" t="s">
        <v>34</v>
      </c>
      <c r="C579" s="41">
        <v>44879</v>
      </c>
      <c r="D579" s="41">
        <v>44879</v>
      </c>
      <c r="E579" s="11" t="s">
        <v>42</v>
      </c>
      <c r="F579" s="11" t="s">
        <v>1448</v>
      </c>
      <c r="G579" s="11">
        <v>108439</v>
      </c>
      <c r="H579" s="11" t="s">
        <v>109</v>
      </c>
      <c r="J579" s="11" t="s">
        <v>38</v>
      </c>
      <c r="K579" s="11">
        <v>51010101</v>
      </c>
      <c r="L579" s="11" t="s">
        <v>48</v>
      </c>
      <c r="M579" s="11"/>
      <c r="N579" s="11">
        <v>265.48</v>
      </c>
      <c r="O579" s="42">
        <v>-265.48</v>
      </c>
      <c r="P579" s="43" t="s">
        <v>4489</v>
      </c>
      <c r="Q579" s="11">
        <v>1332439.93</v>
      </c>
      <c r="R579" s="11" t="s">
        <v>1449</v>
      </c>
      <c r="S579" s="11" t="s">
        <v>40</v>
      </c>
      <c r="T579" s="11">
        <v>0</v>
      </c>
      <c r="V579" s="11" t="s">
        <v>41</v>
      </c>
    </row>
    <row r="580" spans="1:22" x14ac:dyDescent="0.25">
      <c r="A580" s="11">
        <v>101060401</v>
      </c>
      <c r="B580" s="11" t="s">
        <v>34</v>
      </c>
      <c r="C580" s="41">
        <v>44879</v>
      </c>
      <c r="D580" s="41">
        <v>44879</v>
      </c>
      <c r="E580" s="11" t="s">
        <v>42</v>
      </c>
      <c r="F580" s="11" t="s">
        <v>1450</v>
      </c>
      <c r="G580" s="11">
        <v>108440</v>
      </c>
      <c r="H580" s="11" t="s">
        <v>64</v>
      </c>
      <c r="J580" s="11" t="s">
        <v>38</v>
      </c>
      <c r="K580" s="11">
        <v>51010101</v>
      </c>
      <c r="L580" s="11" t="s">
        <v>48</v>
      </c>
      <c r="M580" s="11"/>
      <c r="N580" s="11">
        <v>30.01</v>
      </c>
      <c r="O580" s="42">
        <v>-30.01</v>
      </c>
      <c r="P580" s="43" t="s">
        <v>4489</v>
      </c>
      <c r="Q580" s="11">
        <v>1332409.92</v>
      </c>
      <c r="R580" s="11" t="s">
        <v>1451</v>
      </c>
      <c r="S580" s="11" t="s">
        <v>40</v>
      </c>
      <c r="T580" s="11">
        <v>0</v>
      </c>
      <c r="V580" s="11" t="s">
        <v>41</v>
      </c>
    </row>
    <row r="581" spans="1:22" x14ac:dyDescent="0.25">
      <c r="A581" s="11">
        <v>101060401</v>
      </c>
      <c r="B581" s="11" t="s">
        <v>34</v>
      </c>
      <c r="C581" s="41">
        <v>44879</v>
      </c>
      <c r="D581" s="41">
        <v>44879</v>
      </c>
      <c r="E581" s="11" t="s">
        <v>42</v>
      </c>
      <c r="F581" s="11" t="s">
        <v>1452</v>
      </c>
      <c r="G581" s="11">
        <v>108441</v>
      </c>
      <c r="H581" s="11" t="s">
        <v>184</v>
      </c>
      <c r="J581" s="11" t="s">
        <v>38</v>
      </c>
      <c r="K581" s="11">
        <v>51010101</v>
      </c>
      <c r="L581" s="11" t="s">
        <v>48</v>
      </c>
      <c r="M581" s="11"/>
      <c r="N581" s="11">
        <v>88.83</v>
      </c>
      <c r="O581" s="42">
        <v>-88.83</v>
      </c>
      <c r="P581" s="43" t="s">
        <v>4489</v>
      </c>
      <c r="Q581" s="11">
        <v>1332321.0900000001</v>
      </c>
      <c r="R581" s="11" t="s">
        <v>1453</v>
      </c>
      <c r="S581" s="11" t="s">
        <v>40</v>
      </c>
      <c r="T581" s="11">
        <v>0</v>
      </c>
      <c r="V581" s="11" t="s">
        <v>41</v>
      </c>
    </row>
    <row r="582" spans="1:22" x14ac:dyDescent="0.25">
      <c r="A582" s="11">
        <v>101060401</v>
      </c>
      <c r="B582" s="11" t="s">
        <v>34</v>
      </c>
      <c r="C582" s="41">
        <v>44879</v>
      </c>
      <c r="D582" s="41">
        <v>44879</v>
      </c>
      <c r="E582" s="11" t="s">
        <v>42</v>
      </c>
      <c r="F582" s="11" t="s">
        <v>1454</v>
      </c>
      <c r="G582" s="11">
        <v>108452</v>
      </c>
      <c r="H582" s="11" t="s">
        <v>71</v>
      </c>
      <c r="J582" s="11" t="s">
        <v>38</v>
      </c>
      <c r="K582" s="11">
        <v>51010101</v>
      </c>
      <c r="L582" s="11" t="s">
        <v>48</v>
      </c>
      <c r="M582" s="11"/>
      <c r="N582" s="11">
        <v>75.959999999999994</v>
      </c>
      <c r="O582" s="42">
        <v>-75.959999999999994</v>
      </c>
      <c r="P582" s="43" t="s">
        <v>4489</v>
      </c>
      <c r="Q582" s="11">
        <v>1332245.1299999999</v>
      </c>
      <c r="R582" s="11" t="s">
        <v>1455</v>
      </c>
      <c r="S582" s="11" t="s">
        <v>40</v>
      </c>
      <c r="T582" s="11">
        <v>0</v>
      </c>
      <c r="V582" s="11" t="s">
        <v>41</v>
      </c>
    </row>
    <row r="583" spans="1:22" x14ac:dyDescent="0.25">
      <c r="A583" s="11">
        <v>101060401</v>
      </c>
      <c r="B583" s="11" t="s">
        <v>34</v>
      </c>
      <c r="C583" s="41">
        <v>44879</v>
      </c>
      <c r="D583" s="41">
        <v>44879</v>
      </c>
      <c r="E583" s="11" t="s">
        <v>42</v>
      </c>
      <c r="F583" s="11" t="s">
        <v>1456</v>
      </c>
      <c r="G583" s="11">
        <v>108455</v>
      </c>
      <c r="H583" s="11" t="s">
        <v>71</v>
      </c>
      <c r="J583" s="11" t="s">
        <v>38</v>
      </c>
      <c r="K583" s="11">
        <v>51010101</v>
      </c>
      <c r="L583" s="11" t="s">
        <v>48</v>
      </c>
      <c r="M583" s="11"/>
      <c r="N583" s="11">
        <v>47.57</v>
      </c>
      <c r="O583" s="42">
        <v>-47.57</v>
      </c>
      <c r="P583" s="43" t="s">
        <v>4489</v>
      </c>
      <c r="Q583" s="11">
        <v>1332197.56</v>
      </c>
      <c r="R583" s="11" t="s">
        <v>1457</v>
      </c>
      <c r="S583" s="11" t="s">
        <v>40</v>
      </c>
      <c r="T583" s="11">
        <v>0</v>
      </c>
      <c r="V583" s="11" t="s">
        <v>41</v>
      </c>
    </row>
    <row r="584" spans="1:22" x14ac:dyDescent="0.25">
      <c r="A584" s="11">
        <v>101060401</v>
      </c>
      <c r="B584" s="11" t="s">
        <v>34</v>
      </c>
      <c r="C584" s="41">
        <v>44879</v>
      </c>
      <c r="D584" s="41">
        <v>44879</v>
      </c>
      <c r="E584" s="11" t="s">
        <v>42</v>
      </c>
      <c r="F584" s="11" t="s">
        <v>1458</v>
      </c>
      <c r="G584" s="11">
        <v>108457</v>
      </c>
      <c r="H584" s="11" t="s">
        <v>56</v>
      </c>
      <c r="J584" s="11" t="s">
        <v>38</v>
      </c>
      <c r="K584" s="11">
        <v>51010101</v>
      </c>
      <c r="L584" s="11" t="s">
        <v>48</v>
      </c>
      <c r="M584" s="11"/>
      <c r="N584" s="11">
        <v>165.92</v>
      </c>
      <c r="O584" s="42">
        <v>-165.92</v>
      </c>
      <c r="P584" s="43" t="s">
        <v>4489</v>
      </c>
      <c r="Q584" s="11">
        <v>1332031.6399999999</v>
      </c>
      <c r="R584" s="11" t="s">
        <v>1459</v>
      </c>
      <c r="S584" s="11" t="s">
        <v>40</v>
      </c>
      <c r="T584" s="11">
        <v>0</v>
      </c>
      <c r="V584" s="11" t="s">
        <v>41</v>
      </c>
    </row>
    <row r="585" spans="1:22" x14ac:dyDescent="0.25">
      <c r="A585" s="11">
        <v>101060401</v>
      </c>
      <c r="B585" s="11" t="s">
        <v>34</v>
      </c>
      <c r="C585" s="41">
        <v>44879</v>
      </c>
      <c r="D585" s="41">
        <v>44879</v>
      </c>
      <c r="E585" s="11" t="s">
        <v>42</v>
      </c>
      <c r="F585" s="11" t="s">
        <v>1460</v>
      </c>
      <c r="G585" s="11">
        <v>108472</v>
      </c>
      <c r="H585" s="11" t="s">
        <v>47</v>
      </c>
      <c r="J585" s="11" t="s">
        <v>38</v>
      </c>
      <c r="K585" s="11">
        <v>51010101</v>
      </c>
      <c r="L585" s="11" t="s">
        <v>48</v>
      </c>
      <c r="M585" s="11"/>
      <c r="N585" s="11">
        <v>689.3</v>
      </c>
      <c r="O585" s="42">
        <v>-689.3</v>
      </c>
      <c r="P585" s="43" t="s">
        <v>4489</v>
      </c>
      <c r="Q585" s="11">
        <v>1331342.3400000001</v>
      </c>
      <c r="R585" s="11" t="s">
        <v>1461</v>
      </c>
      <c r="S585" s="11" t="s">
        <v>40</v>
      </c>
      <c r="T585" s="11">
        <v>0</v>
      </c>
      <c r="V585" s="11" t="s">
        <v>41</v>
      </c>
    </row>
    <row r="586" spans="1:22" x14ac:dyDescent="0.25">
      <c r="A586" s="11">
        <v>101060401</v>
      </c>
      <c r="B586" s="11" t="s">
        <v>34</v>
      </c>
      <c r="C586" s="41">
        <v>44879</v>
      </c>
      <c r="D586" s="41">
        <v>44879</v>
      </c>
      <c r="E586" s="11" t="s">
        <v>36</v>
      </c>
      <c r="F586" s="11" t="s">
        <v>1462</v>
      </c>
      <c r="G586" s="11">
        <v>108474</v>
      </c>
      <c r="H586" s="11" t="s">
        <v>190</v>
      </c>
      <c r="J586" s="11" t="s">
        <v>38</v>
      </c>
      <c r="K586" s="11">
        <v>51010101</v>
      </c>
      <c r="L586" s="11" t="s">
        <v>48</v>
      </c>
      <c r="M586" s="11">
        <v>3.74</v>
      </c>
      <c r="N586" s="11"/>
      <c r="O586" s="42">
        <v>3.74</v>
      </c>
      <c r="P586" s="43" t="s">
        <v>4489</v>
      </c>
      <c r="Q586" s="11">
        <v>1331346.08</v>
      </c>
      <c r="R586" s="11" t="s">
        <v>1463</v>
      </c>
      <c r="S586" s="11" t="s">
        <v>106</v>
      </c>
      <c r="T586" s="11">
        <v>0</v>
      </c>
      <c r="V586" s="11" t="s">
        <v>41</v>
      </c>
    </row>
    <row r="587" spans="1:22" x14ac:dyDescent="0.25">
      <c r="A587" s="11">
        <v>101060401</v>
      </c>
      <c r="B587" s="11" t="s">
        <v>34</v>
      </c>
      <c r="C587" s="41">
        <v>44879</v>
      </c>
      <c r="D587" s="41">
        <v>44879</v>
      </c>
      <c r="E587" s="11" t="s">
        <v>36</v>
      </c>
      <c r="F587" s="11" t="s">
        <v>1464</v>
      </c>
      <c r="G587" s="11">
        <v>108484</v>
      </c>
      <c r="H587" s="11" t="s">
        <v>52</v>
      </c>
      <c r="K587" s="11">
        <v>201040506</v>
      </c>
      <c r="L587" s="11" t="s">
        <v>46</v>
      </c>
      <c r="M587" s="11">
        <v>359.2</v>
      </c>
      <c r="N587" s="11"/>
      <c r="O587" s="42">
        <v>359.2</v>
      </c>
      <c r="P587" s="43" t="s">
        <v>4480</v>
      </c>
      <c r="Q587" s="11">
        <v>1331705.28</v>
      </c>
      <c r="R587" s="11" t="s">
        <v>1465</v>
      </c>
      <c r="S587" s="11" t="s">
        <v>40</v>
      </c>
      <c r="T587" s="11">
        <v>0</v>
      </c>
    </row>
    <row r="588" spans="1:22" x14ac:dyDescent="0.25">
      <c r="A588" s="11">
        <v>101060401</v>
      </c>
      <c r="B588" s="11" t="s">
        <v>34</v>
      </c>
      <c r="C588" s="41">
        <v>44879</v>
      </c>
      <c r="D588" s="41">
        <v>44879</v>
      </c>
      <c r="E588" s="11" t="s">
        <v>42</v>
      </c>
      <c r="F588" s="11" t="s">
        <v>1466</v>
      </c>
      <c r="G588" s="11">
        <v>108485</v>
      </c>
      <c r="H588" s="11" t="s">
        <v>212</v>
      </c>
      <c r="J588" s="11" t="s">
        <v>38</v>
      </c>
      <c r="K588" s="11">
        <v>51010101</v>
      </c>
      <c r="L588" s="11" t="s">
        <v>48</v>
      </c>
      <c r="M588" s="11"/>
      <c r="N588" s="11">
        <v>442.75</v>
      </c>
      <c r="O588" s="42">
        <v>-442.75</v>
      </c>
      <c r="P588" s="43" t="s">
        <v>4489</v>
      </c>
      <c r="Q588" s="11">
        <v>1331262.53</v>
      </c>
      <c r="R588" s="11" t="s">
        <v>1467</v>
      </c>
      <c r="S588" s="11" t="s">
        <v>40</v>
      </c>
      <c r="T588" s="11">
        <v>0</v>
      </c>
      <c r="V588" s="11" t="s">
        <v>41</v>
      </c>
    </row>
    <row r="589" spans="1:22" x14ac:dyDescent="0.25">
      <c r="A589" s="11">
        <v>101060401</v>
      </c>
      <c r="B589" s="11" t="s">
        <v>34</v>
      </c>
      <c r="C589" s="41">
        <v>44879</v>
      </c>
      <c r="D589" s="41">
        <v>44879</v>
      </c>
      <c r="E589" s="11" t="s">
        <v>42</v>
      </c>
      <c r="F589" s="11" t="s">
        <v>1468</v>
      </c>
      <c r="G589" s="11">
        <v>108489</v>
      </c>
      <c r="H589" s="11" t="s">
        <v>171</v>
      </c>
      <c r="J589" s="11" t="s">
        <v>38</v>
      </c>
      <c r="K589" s="11">
        <v>51010101</v>
      </c>
      <c r="L589" s="11" t="s">
        <v>48</v>
      </c>
      <c r="M589" s="11"/>
      <c r="N589" s="11">
        <v>7.02</v>
      </c>
      <c r="O589" s="42">
        <v>-7.02</v>
      </c>
      <c r="P589" s="43" t="s">
        <v>4489</v>
      </c>
      <c r="Q589" s="11">
        <v>1331255.51</v>
      </c>
      <c r="R589" s="11" t="s">
        <v>1469</v>
      </c>
      <c r="S589" s="11" t="s">
        <v>40</v>
      </c>
      <c r="T589" s="11">
        <v>0</v>
      </c>
      <c r="V589" s="11" t="s">
        <v>41</v>
      </c>
    </row>
    <row r="590" spans="1:22" x14ac:dyDescent="0.25">
      <c r="A590" s="11">
        <v>101060401</v>
      </c>
      <c r="B590" s="11" t="s">
        <v>34</v>
      </c>
      <c r="C590" s="41">
        <v>44880</v>
      </c>
      <c r="D590" s="41">
        <v>44880</v>
      </c>
      <c r="E590" s="11" t="s">
        <v>42</v>
      </c>
      <c r="F590" s="11" t="s">
        <v>1470</v>
      </c>
      <c r="G590" s="11">
        <v>108493</v>
      </c>
      <c r="H590" s="11" t="s">
        <v>174</v>
      </c>
      <c r="J590" s="11" t="s">
        <v>38</v>
      </c>
      <c r="K590" s="11">
        <v>51010101</v>
      </c>
      <c r="L590" s="11" t="s">
        <v>48</v>
      </c>
      <c r="M590" s="11"/>
      <c r="N590" s="11">
        <v>21.36</v>
      </c>
      <c r="O590" s="42">
        <v>-21.36</v>
      </c>
      <c r="P590" s="43" t="s">
        <v>4489</v>
      </c>
      <c r="Q590" s="11">
        <v>1331234.1499999999</v>
      </c>
      <c r="R590" s="11" t="s">
        <v>1471</v>
      </c>
      <c r="S590" s="11" t="s">
        <v>40</v>
      </c>
      <c r="T590" s="11">
        <v>0</v>
      </c>
      <c r="V590" s="11" t="s">
        <v>41</v>
      </c>
    </row>
    <row r="591" spans="1:22" x14ac:dyDescent="0.25">
      <c r="A591" s="11">
        <v>101060401</v>
      </c>
      <c r="B591" s="11" t="s">
        <v>34</v>
      </c>
      <c r="C591" s="41">
        <v>44880</v>
      </c>
      <c r="D591" s="41">
        <v>44880</v>
      </c>
      <c r="E591" s="11" t="s">
        <v>36</v>
      </c>
      <c r="F591" s="11" t="s">
        <v>1472</v>
      </c>
      <c r="G591" s="11">
        <v>108495</v>
      </c>
      <c r="H591" s="11" t="s">
        <v>103</v>
      </c>
      <c r="K591" s="11">
        <v>201040506</v>
      </c>
      <c r="L591" s="11" t="s">
        <v>46</v>
      </c>
      <c r="M591" s="11">
        <v>4156.92</v>
      </c>
      <c r="N591" s="11"/>
      <c r="O591" s="42">
        <v>4156.92</v>
      </c>
      <c r="P591" s="43" t="s">
        <v>4480</v>
      </c>
      <c r="Q591" s="11">
        <v>1335391.07</v>
      </c>
      <c r="R591" s="11" t="s">
        <v>1473</v>
      </c>
      <c r="S591" s="11" t="s">
        <v>40</v>
      </c>
      <c r="T591" s="11">
        <v>0</v>
      </c>
    </row>
    <row r="592" spans="1:22" x14ac:dyDescent="0.25">
      <c r="A592" s="11">
        <v>101060401</v>
      </c>
      <c r="B592" s="11" t="s">
        <v>34</v>
      </c>
      <c r="C592" s="41">
        <v>44880</v>
      </c>
      <c r="D592" s="41">
        <v>44880</v>
      </c>
      <c r="E592" s="11" t="s">
        <v>36</v>
      </c>
      <c r="F592" s="11" t="s">
        <v>1474</v>
      </c>
      <c r="G592" s="11">
        <v>108511</v>
      </c>
      <c r="H592" s="11" t="s">
        <v>37</v>
      </c>
      <c r="J592" s="11" t="s">
        <v>38</v>
      </c>
      <c r="K592" s="11">
        <v>401030105</v>
      </c>
      <c r="L592" s="11" t="s">
        <v>54</v>
      </c>
      <c r="M592" s="26">
        <v>79.83</v>
      </c>
      <c r="O592" s="44">
        <v>79.83</v>
      </c>
      <c r="P592" s="43" t="s">
        <v>4494</v>
      </c>
      <c r="Q592" s="11">
        <v>1335470.8999999999</v>
      </c>
      <c r="R592" s="11" t="s">
        <v>1475</v>
      </c>
      <c r="S592" s="11" t="s">
        <v>40</v>
      </c>
      <c r="T592" s="11">
        <v>0</v>
      </c>
      <c r="V592" s="11" t="s">
        <v>41</v>
      </c>
    </row>
    <row r="593" spans="1:22" x14ac:dyDescent="0.25">
      <c r="A593" s="11">
        <v>101060401</v>
      </c>
      <c r="B593" s="11" t="s">
        <v>34</v>
      </c>
      <c r="C593" s="41">
        <v>44880</v>
      </c>
      <c r="D593" s="41">
        <v>44880</v>
      </c>
      <c r="E593" s="11" t="s">
        <v>42</v>
      </c>
      <c r="F593" s="11" t="s">
        <v>1476</v>
      </c>
      <c r="G593" s="11">
        <v>108514</v>
      </c>
      <c r="H593" s="11" t="s">
        <v>754</v>
      </c>
      <c r="J593" s="11" t="s">
        <v>38</v>
      </c>
      <c r="K593" s="11">
        <v>51010101</v>
      </c>
      <c r="L593" s="11" t="s">
        <v>48</v>
      </c>
      <c r="M593" s="11"/>
      <c r="N593" s="11">
        <v>237.02</v>
      </c>
      <c r="O593" s="42">
        <v>-237.02</v>
      </c>
      <c r="P593" s="43" t="s">
        <v>4489</v>
      </c>
      <c r="Q593" s="11">
        <v>1335233.8799999999</v>
      </c>
      <c r="R593" s="11" t="s">
        <v>1477</v>
      </c>
      <c r="S593" s="11" t="s">
        <v>40</v>
      </c>
      <c r="T593" s="11">
        <v>0</v>
      </c>
      <c r="V593" s="11" t="s">
        <v>41</v>
      </c>
    </row>
    <row r="594" spans="1:22" x14ac:dyDescent="0.25">
      <c r="A594" s="11">
        <v>101060401</v>
      </c>
      <c r="B594" s="11" t="s">
        <v>34</v>
      </c>
      <c r="C594" s="41">
        <v>44880</v>
      </c>
      <c r="D594" s="41">
        <v>44880</v>
      </c>
      <c r="E594" s="11" t="s">
        <v>42</v>
      </c>
      <c r="F594" s="11" t="s">
        <v>1478</v>
      </c>
      <c r="G594" s="11">
        <v>108533</v>
      </c>
      <c r="H594" s="11" t="s">
        <v>1479</v>
      </c>
      <c r="J594" s="11" t="s">
        <v>38</v>
      </c>
      <c r="K594" s="11" t="s">
        <v>1480</v>
      </c>
      <c r="L594" s="11" t="s">
        <v>1481</v>
      </c>
      <c r="M594" s="11">
        <v>237.02</v>
      </c>
      <c r="N594" s="11"/>
      <c r="O594" s="42">
        <v>237.02</v>
      </c>
      <c r="P594" s="43" t="s">
        <v>4488</v>
      </c>
      <c r="Q594" s="11">
        <v>1335470.8999999999</v>
      </c>
      <c r="R594" s="11" t="s">
        <v>1482</v>
      </c>
      <c r="S594" s="11" t="s">
        <v>69</v>
      </c>
      <c r="T594" s="11">
        <v>0</v>
      </c>
      <c r="V594" s="11" t="s">
        <v>41</v>
      </c>
    </row>
    <row r="595" spans="1:22" x14ac:dyDescent="0.25">
      <c r="A595" s="11">
        <v>101060401</v>
      </c>
      <c r="B595" s="11" t="s">
        <v>34</v>
      </c>
      <c r="C595" s="41">
        <v>44880</v>
      </c>
      <c r="D595" s="41">
        <v>44880</v>
      </c>
      <c r="E595" s="11" t="s">
        <v>42</v>
      </c>
      <c r="F595" s="11" t="s">
        <v>1483</v>
      </c>
      <c r="G595" s="11">
        <v>108534</v>
      </c>
      <c r="H595" s="11" t="s">
        <v>754</v>
      </c>
      <c r="J595" s="11" t="s">
        <v>38</v>
      </c>
      <c r="K595" s="11">
        <v>51010101</v>
      </c>
      <c r="L595" s="11" t="s">
        <v>48</v>
      </c>
      <c r="M595" s="11"/>
      <c r="N595" s="11">
        <v>237.02</v>
      </c>
      <c r="O595" s="42">
        <v>-237.02</v>
      </c>
      <c r="P595" s="43" t="s">
        <v>4489</v>
      </c>
      <c r="Q595" s="11">
        <v>1335233.8799999999</v>
      </c>
      <c r="R595" s="11" t="s">
        <v>1477</v>
      </c>
      <c r="S595" s="11" t="s">
        <v>40</v>
      </c>
      <c r="T595" s="11">
        <v>0</v>
      </c>
      <c r="V595" s="11" t="s">
        <v>41</v>
      </c>
    </row>
    <row r="596" spans="1:22" x14ac:dyDescent="0.25">
      <c r="A596" s="11">
        <v>101060401</v>
      </c>
      <c r="B596" s="11" t="s">
        <v>34</v>
      </c>
      <c r="C596" s="41">
        <v>44880</v>
      </c>
      <c r="D596" s="41">
        <v>44880</v>
      </c>
      <c r="E596" s="11" t="s">
        <v>36</v>
      </c>
      <c r="F596" s="11" t="s">
        <v>1484</v>
      </c>
      <c r="G596" s="11">
        <v>108555</v>
      </c>
      <c r="H596" s="11" t="s">
        <v>1485</v>
      </c>
      <c r="K596" s="11">
        <v>201040506</v>
      </c>
      <c r="L596" s="11" t="s">
        <v>46</v>
      </c>
      <c r="M596" s="11">
        <v>174</v>
      </c>
      <c r="N596" s="11"/>
      <c r="O596" s="42">
        <v>174</v>
      </c>
      <c r="P596" s="43" t="s">
        <v>4480</v>
      </c>
      <c r="Q596" s="11">
        <v>1335407.8799999999</v>
      </c>
      <c r="R596" s="11" t="s">
        <v>1486</v>
      </c>
      <c r="S596" s="11" t="s">
        <v>40</v>
      </c>
      <c r="T596" s="11">
        <v>0</v>
      </c>
    </row>
    <row r="597" spans="1:22" x14ac:dyDescent="0.25">
      <c r="A597" s="11">
        <v>101060401</v>
      </c>
      <c r="B597" s="11" t="s">
        <v>34</v>
      </c>
      <c r="C597" s="41">
        <v>44880</v>
      </c>
      <c r="D597" s="41">
        <v>44880</v>
      </c>
      <c r="E597" s="11" t="s">
        <v>42</v>
      </c>
      <c r="F597" s="11" t="s">
        <v>1487</v>
      </c>
      <c r="G597" s="11">
        <v>108557</v>
      </c>
      <c r="H597" s="11" t="s">
        <v>74</v>
      </c>
      <c r="J597" s="11" t="s">
        <v>38</v>
      </c>
      <c r="K597" s="11">
        <v>51010101</v>
      </c>
      <c r="L597" s="11" t="s">
        <v>48</v>
      </c>
      <c r="M597" s="11"/>
      <c r="N597" s="11">
        <v>174</v>
      </c>
      <c r="O597" s="42">
        <v>-174</v>
      </c>
      <c r="P597" s="43" t="s">
        <v>4489</v>
      </c>
      <c r="Q597" s="11">
        <v>1335233.8799999999</v>
      </c>
      <c r="R597" s="11" t="s">
        <v>1488</v>
      </c>
      <c r="S597" s="11" t="s">
        <v>40</v>
      </c>
      <c r="T597" s="11">
        <v>0</v>
      </c>
      <c r="V597" s="11" t="s">
        <v>41</v>
      </c>
    </row>
    <row r="598" spans="1:22" x14ac:dyDescent="0.25">
      <c r="A598" s="11">
        <v>101060401</v>
      </c>
      <c r="B598" s="11" t="s">
        <v>34</v>
      </c>
      <c r="C598" s="41">
        <v>44880</v>
      </c>
      <c r="D598" s="41">
        <v>44880</v>
      </c>
      <c r="E598" s="11" t="s">
        <v>42</v>
      </c>
      <c r="F598" s="11" t="s">
        <v>1489</v>
      </c>
      <c r="G598" s="11">
        <v>108558</v>
      </c>
      <c r="H598" s="11" t="s">
        <v>57</v>
      </c>
      <c r="K598" s="11">
        <v>101060402</v>
      </c>
      <c r="L598" s="11" t="s">
        <v>44</v>
      </c>
      <c r="M598" s="11"/>
      <c r="N598" s="11">
        <v>18242.060000000001</v>
      </c>
      <c r="O598" s="42">
        <v>-18242.060000000001</v>
      </c>
      <c r="P598" s="43" t="s">
        <v>4481</v>
      </c>
      <c r="Q598" s="11">
        <v>1316991.82</v>
      </c>
      <c r="R598" s="11" t="s">
        <v>1490</v>
      </c>
      <c r="S598" s="11" t="s">
        <v>40</v>
      </c>
      <c r="T598" s="11">
        <v>0</v>
      </c>
    </row>
    <row r="599" spans="1:22" x14ac:dyDescent="0.25">
      <c r="A599" s="11">
        <v>101060401</v>
      </c>
      <c r="B599" s="11" t="s">
        <v>34</v>
      </c>
      <c r="C599" s="41">
        <v>44880</v>
      </c>
      <c r="D599" s="41">
        <v>44880</v>
      </c>
      <c r="E599" s="11" t="s">
        <v>42</v>
      </c>
      <c r="F599" s="11" t="s">
        <v>1491</v>
      </c>
      <c r="G599" s="11">
        <v>108559</v>
      </c>
      <c r="H599" s="11" t="s">
        <v>50</v>
      </c>
      <c r="J599" s="11" t="s">
        <v>38</v>
      </c>
      <c r="K599" s="11">
        <v>51010101</v>
      </c>
      <c r="L599" s="11" t="s">
        <v>48</v>
      </c>
      <c r="M599" s="11"/>
      <c r="N599" s="11">
        <v>93.34</v>
      </c>
      <c r="O599" s="42">
        <v>-93.34</v>
      </c>
      <c r="P599" s="43" t="s">
        <v>4489</v>
      </c>
      <c r="Q599" s="11">
        <v>1316898.48</v>
      </c>
      <c r="R599" s="11" t="s">
        <v>1492</v>
      </c>
      <c r="S599" s="11" t="s">
        <v>40</v>
      </c>
      <c r="T599" s="11">
        <v>0</v>
      </c>
      <c r="V599" s="11" t="s">
        <v>41</v>
      </c>
    </row>
    <row r="600" spans="1:22" x14ac:dyDescent="0.25">
      <c r="A600" s="11">
        <v>101060401</v>
      </c>
      <c r="B600" s="11" t="s">
        <v>34</v>
      </c>
      <c r="C600" s="41">
        <v>44880</v>
      </c>
      <c r="D600" s="41">
        <v>44880</v>
      </c>
      <c r="E600" s="11" t="s">
        <v>42</v>
      </c>
      <c r="F600" s="11" t="s">
        <v>1493</v>
      </c>
      <c r="G600" s="11">
        <v>108562</v>
      </c>
      <c r="H600" s="11" t="s">
        <v>91</v>
      </c>
      <c r="J600" s="11" t="s">
        <v>38</v>
      </c>
      <c r="K600" s="11">
        <v>51010101</v>
      </c>
      <c r="L600" s="11" t="s">
        <v>48</v>
      </c>
      <c r="M600" s="11"/>
      <c r="N600" s="11">
        <v>1.9</v>
      </c>
      <c r="O600" s="42">
        <v>-1.9</v>
      </c>
      <c r="P600" s="43" t="s">
        <v>4489</v>
      </c>
      <c r="Q600" s="11">
        <v>1316896.58</v>
      </c>
      <c r="R600" s="11" t="s">
        <v>244</v>
      </c>
      <c r="S600" s="11" t="s">
        <v>40</v>
      </c>
      <c r="T600" s="11">
        <v>0</v>
      </c>
      <c r="V600" s="11" t="s">
        <v>41</v>
      </c>
    </row>
    <row r="601" spans="1:22" x14ac:dyDescent="0.25">
      <c r="A601" s="11">
        <v>101060401</v>
      </c>
      <c r="B601" s="11" t="s">
        <v>34</v>
      </c>
      <c r="C601" s="41">
        <v>44880</v>
      </c>
      <c r="D601" s="41">
        <v>44880</v>
      </c>
      <c r="E601" s="11" t="s">
        <v>36</v>
      </c>
      <c r="F601" s="11" t="s">
        <v>1494</v>
      </c>
      <c r="G601" s="11">
        <v>108567</v>
      </c>
      <c r="H601" s="11" t="s">
        <v>52</v>
      </c>
      <c r="K601" s="11">
        <v>201040506</v>
      </c>
      <c r="L601" s="11" t="s">
        <v>46</v>
      </c>
      <c r="M601" s="11">
        <v>76.5</v>
      </c>
      <c r="N601" s="11"/>
      <c r="O601" s="42">
        <v>76.5</v>
      </c>
      <c r="P601" s="43" t="s">
        <v>4480</v>
      </c>
      <c r="Q601" s="11">
        <v>1316973.08</v>
      </c>
      <c r="R601" s="11" t="s">
        <v>1495</v>
      </c>
      <c r="S601" s="11" t="s">
        <v>40</v>
      </c>
      <c r="T601" s="11">
        <v>0</v>
      </c>
    </row>
    <row r="602" spans="1:22" x14ac:dyDescent="0.25">
      <c r="A602" s="11">
        <v>101060401</v>
      </c>
      <c r="B602" s="11" t="s">
        <v>34</v>
      </c>
      <c r="C602" s="41">
        <v>44880</v>
      </c>
      <c r="D602" s="41">
        <v>44880</v>
      </c>
      <c r="E602" s="11" t="s">
        <v>36</v>
      </c>
      <c r="F602" s="11" t="s">
        <v>1496</v>
      </c>
      <c r="G602" s="11">
        <v>108568</v>
      </c>
      <c r="H602" s="11" t="s">
        <v>52</v>
      </c>
      <c r="K602" s="11">
        <v>201040506</v>
      </c>
      <c r="L602" s="11" t="s">
        <v>46</v>
      </c>
      <c r="M602" s="11">
        <v>273.51</v>
      </c>
      <c r="N602" s="11"/>
      <c r="O602" s="42">
        <v>273.51</v>
      </c>
      <c r="P602" s="43" t="s">
        <v>4480</v>
      </c>
      <c r="Q602" s="11">
        <v>1317246.5900000001</v>
      </c>
      <c r="R602" s="11" t="s">
        <v>1497</v>
      </c>
      <c r="S602" s="11" t="s">
        <v>40</v>
      </c>
      <c r="T602" s="11">
        <v>0</v>
      </c>
    </row>
    <row r="603" spans="1:22" x14ac:dyDescent="0.25">
      <c r="A603" s="11">
        <v>101060401</v>
      </c>
      <c r="B603" s="11" t="s">
        <v>34</v>
      </c>
      <c r="C603" s="41">
        <v>44880</v>
      </c>
      <c r="D603" s="41">
        <v>44880</v>
      </c>
      <c r="E603" s="11" t="s">
        <v>36</v>
      </c>
      <c r="F603" s="11" t="s">
        <v>1498</v>
      </c>
      <c r="G603" s="11">
        <v>108569</v>
      </c>
      <c r="H603" s="11" t="s">
        <v>52</v>
      </c>
      <c r="K603" s="11">
        <v>201040506</v>
      </c>
      <c r="L603" s="11" t="s">
        <v>46</v>
      </c>
      <c r="M603" s="11">
        <v>1154.56</v>
      </c>
      <c r="N603" s="11"/>
      <c r="O603" s="42">
        <v>1154.56</v>
      </c>
      <c r="P603" s="43" t="s">
        <v>4480</v>
      </c>
      <c r="Q603" s="11">
        <v>1318401.1499999999</v>
      </c>
      <c r="R603" s="11" t="s">
        <v>1499</v>
      </c>
      <c r="S603" s="11" t="s">
        <v>40</v>
      </c>
      <c r="T603" s="11">
        <v>0</v>
      </c>
    </row>
    <row r="604" spans="1:22" x14ac:dyDescent="0.25">
      <c r="A604" s="11">
        <v>101060401</v>
      </c>
      <c r="B604" s="11" t="s">
        <v>34</v>
      </c>
      <c r="C604" s="41">
        <v>44880</v>
      </c>
      <c r="D604" s="41">
        <v>44880</v>
      </c>
      <c r="E604" s="11" t="s">
        <v>42</v>
      </c>
      <c r="F604" s="11" t="s">
        <v>1500</v>
      </c>
      <c r="G604" s="11">
        <v>108571</v>
      </c>
      <c r="H604" s="11" t="s">
        <v>141</v>
      </c>
      <c r="J604" s="11" t="s">
        <v>38</v>
      </c>
      <c r="K604" s="11">
        <v>51010101</v>
      </c>
      <c r="L604" s="11" t="s">
        <v>48</v>
      </c>
      <c r="M604" s="11"/>
      <c r="N604" s="11">
        <v>548.70000000000005</v>
      </c>
      <c r="O604" s="42">
        <v>-548.70000000000005</v>
      </c>
      <c r="P604" s="43" t="s">
        <v>4489</v>
      </c>
      <c r="Q604" s="11">
        <v>1317852.45</v>
      </c>
      <c r="R604" s="11" t="s">
        <v>1501</v>
      </c>
      <c r="S604" s="11" t="s">
        <v>40</v>
      </c>
      <c r="T604" s="11">
        <v>0</v>
      </c>
      <c r="V604" s="11" t="s">
        <v>41</v>
      </c>
    </row>
    <row r="605" spans="1:22" x14ac:dyDescent="0.25">
      <c r="A605" s="11">
        <v>101060401</v>
      </c>
      <c r="B605" s="11" t="s">
        <v>34</v>
      </c>
      <c r="C605" s="41">
        <v>44880</v>
      </c>
      <c r="D605" s="41">
        <v>44880</v>
      </c>
      <c r="E605" s="11" t="s">
        <v>42</v>
      </c>
      <c r="F605" s="11" t="s">
        <v>1502</v>
      </c>
      <c r="G605" s="11">
        <v>108575</v>
      </c>
      <c r="H605" s="11" t="s">
        <v>141</v>
      </c>
      <c r="J605" s="11" t="s">
        <v>38</v>
      </c>
      <c r="K605" s="11">
        <v>51010101</v>
      </c>
      <c r="L605" s="11" t="s">
        <v>48</v>
      </c>
      <c r="M605" s="11"/>
      <c r="N605" s="11">
        <v>1271.4100000000001</v>
      </c>
      <c r="O605" s="42">
        <v>-1271.4100000000001</v>
      </c>
      <c r="P605" s="43" t="s">
        <v>4489</v>
      </c>
      <c r="Q605" s="11">
        <v>1316581.04</v>
      </c>
      <c r="R605" s="11" t="s">
        <v>1503</v>
      </c>
      <c r="S605" s="11" t="s">
        <v>40</v>
      </c>
      <c r="T605" s="11">
        <v>0</v>
      </c>
      <c r="V605" s="11" t="s">
        <v>41</v>
      </c>
    </row>
    <row r="606" spans="1:22" x14ac:dyDescent="0.25">
      <c r="A606" s="11">
        <v>101060401</v>
      </c>
      <c r="B606" s="11" t="s">
        <v>34</v>
      </c>
      <c r="C606" s="41">
        <v>44880</v>
      </c>
      <c r="D606" s="41">
        <v>44880</v>
      </c>
      <c r="E606" s="11" t="s">
        <v>42</v>
      </c>
      <c r="F606" s="11" t="s">
        <v>1504</v>
      </c>
      <c r="G606" s="11">
        <v>108576</v>
      </c>
      <c r="H606" s="11" t="s">
        <v>47</v>
      </c>
      <c r="J606" s="11" t="s">
        <v>38</v>
      </c>
      <c r="K606" s="11">
        <v>51010101</v>
      </c>
      <c r="L606" s="11" t="s">
        <v>48</v>
      </c>
      <c r="M606" s="11"/>
      <c r="N606" s="11">
        <v>59.86</v>
      </c>
      <c r="O606" s="42">
        <v>-59.86</v>
      </c>
      <c r="P606" s="43" t="s">
        <v>4489</v>
      </c>
      <c r="Q606" s="11">
        <v>1316521.18</v>
      </c>
      <c r="R606" s="11" t="s">
        <v>1505</v>
      </c>
      <c r="S606" s="11" t="s">
        <v>40</v>
      </c>
      <c r="T606" s="11">
        <v>0</v>
      </c>
      <c r="V606" s="11" t="s">
        <v>41</v>
      </c>
    </row>
    <row r="607" spans="1:22" x14ac:dyDescent="0.25">
      <c r="A607" s="11">
        <v>101060401</v>
      </c>
      <c r="B607" s="11" t="s">
        <v>34</v>
      </c>
      <c r="C607" s="41">
        <v>44880</v>
      </c>
      <c r="D607" s="41">
        <v>44880</v>
      </c>
      <c r="E607" s="11" t="s">
        <v>42</v>
      </c>
      <c r="F607" s="11" t="s">
        <v>1506</v>
      </c>
      <c r="G607" s="11">
        <v>108579</v>
      </c>
      <c r="H607" s="11" t="s">
        <v>47</v>
      </c>
      <c r="J607" s="11" t="s">
        <v>38</v>
      </c>
      <c r="K607" s="11">
        <v>51010101</v>
      </c>
      <c r="L607" s="11" t="s">
        <v>48</v>
      </c>
      <c r="M607" s="11"/>
      <c r="N607" s="11">
        <v>76.5</v>
      </c>
      <c r="O607" s="42">
        <v>-76.5</v>
      </c>
      <c r="P607" s="43" t="s">
        <v>4489</v>
      </c>
      <c r="Q607" s="11">
        <v>1316444.68</v>
      </c>
      <c r="R607" s="11" t="s">
        <v>1507</v>
      </c>
      <c r="S607" s="11" t="s">
        <v>40</v>
      </c>
      <c r="T607" s="11">
        <v>0</v>
      </c>
      <c r="V607" s="11" t="s">
        <v>41</v>
      </c>
    </row>
    <row r="608" spans="1:22" x14ac:dyDescent="0.25">
      <c r="A608" s="11">
        <v>101060401</v>
      </c>
      <c r="B608" s="11" t="s">
        <v>34</v>
      </c>
      <c r="C608" s="41">
        <v>44880</v>
      </c>
      <c r="D608" s="41">
        <v>44880</v>
      </c>
      <c r="E608" s="11" t="s">
        <v>42</v>
      </c>
      <c r="F608" s="11" t="s">
        <v>1508</v>
      </c>
      <c r="G608" s="11">
        <v>108580</v>
      </c>
      <c r="H608" s="11" t="s">
        <v>57</v>
      </c>
      <c r="K608" s="11">
        <v>101060402</v>
      </c>
      <c r="L608" s="11" t="s">
        <v>44</v>
      </c>
      <c r="M608" s="11">
        <v>523.5</v>
      </c>
      <c r="N608" s="11"/>
      <c r="O608" s="42">
        <v>523.5</v>
      </c>
      <c r="P608" s="43" t="s">
        <v>4481</v>
      </c>
      <c r="Q608" s="11">
        <v>1316968.18</v>
      </c>
      <c r="R608" s="11" t="s">
        <v>1509</v>
      </c>
      <c r="S608" s="11" t="s">
        <v>106</v>
      </c>
      <c r="T608" s="11">
        <v>0</v>
      </c>
    </row>
    <row r="609" spans="1:22" x14ac:dyDescent="0.25">
      <c r="A609" s="11">
        <v>101060401</v>
      </c>
      <c r="B609" s="11" t="s">
        <v>34</v>
      </c>
      <c r="C609" s="41">
        <v>44880</v>
      </c>
      <c r="D609" s="41">
        <v>44880</v>
      </c>
      <c r="E609" s="11" t="s">
        <v>42</v>
      </c>
      <c r="F609" s="11" t="s">
        <v>1510</v>
      </c>
      <c r="G609" s="11">
        <v>108583</v>
      </c>
      <c r="H609" s="11" t="s">
        <v>1511</v>
      </c>
      <c r="J609" s="11" t="s">
        <v>38</v>
      </c>
      <c r="K609" s="11">
        <v>51010101</v>
      </c>
      <c r="L609" s="11" t="s">
        <v>48</v>
      </c>
      <c r="M609" s="11"/>
      <c r="N609" s="11">
        <v>1121.1600000000001</v>
      </c>
      <c r="O609" s="42">
        <v>-1121.1600000000001</v>
      </c>
      <c r="P609" s="43" t="s">
        <v>4489</v>
      </c>
      <c r="Q609" s="11">
        <v>1315847.02</v>
      </c>
      <c r="R609" s="11" t="s">
        <v>1512</v>
      </c>
      <c r="S609" s="11" t="s">
        <v>40</v>
      </c>
      <c r="T609" s="11">
        <v>0</v>
      </c>
      <c r="V609" s="11" t="s">
        <v>41</v>
      </c>
    </row>
    <row r="610" spans="1:22" x14ac:dyDescent="0.25">
      <c r="A610" s="11">
        <v>101060401</v>
      </c>
      <c r="B610" s="11" t="s">
        <v>34</v>
      </c>
      <c r="C610" s="41">
        <v>44880</v>
      </c>
      <c r="D610" s="41">
        <v>44880</v>
      </c>
      <c r="E610" s="11" t="s">
        <v>42</v>
      </c>
      <c r="F610" s="11" t="s">
        <v>1513</v>
      </c>
      <c r="G610" s="11">
        <v>108597</v>
      </c>
      <c r="H610" s="11" t="s">
        <v>1128</v>
      </c>
      <c r="J610" s="11" t="s">
        <v>38</v>
      </c>
      <c r="K610" s="11">
        <v>51010101</v>
      </c>
      <c r="L610" s="11" t="s">
        <v>48</v>
      </c>
      <c r="M610" s="11"/>
      <c r="N610" s="11">
        <v>48.43</v>
      </c>
      <c r="O610" s="42">
        <v>-48.43</v>
      </c>
      <c r="P610" s="43" t="s">
        <v>4489</v>
      </c>
      <c r="Q610" s="11">
        <v>1315798.5900000001</v>
      </c>
      <c r="R610" s="11" t="s">
        <v>1120</v>
      </c>
      <c r="S610" s="11" t="s">
        <v>40</v>
      </c>
      <c r="T610" s="11">
        <v>0</v>
      </c>
      <c r="V610" s="11" t="s">
        <v>41</v>
      </c>
    </row>
    <row r="611" spans="1:22" x14ac:dyDescent="0.25">
      <c r="A611" s="11">
        <v>101060401</v>
      </c>
      <c r="B611" s="11" t="s">
        <v>34</v>
      </c>
      <c r="C611" s="41">
        <v>44881</v>
      </c>
      <c r="D611" s="41">
        <v>44881</v>
      </c>
      <c r="E611" s="11" t="s">
        <v>36</v>
      </c>
      <c r="F611" s="11" t="s">
        <v>1514</v>
      </c>
      <c r="G611" s="11">
        <v>108609</v>
      </c>
      <c r="H611" s="11" t="s">
        <v>52</v>
      </c>
      <c r="K611" s="11">
        <v>201040506</v>
      </c>
      <c r="L611" s="11" t="s">
        <v>46</v>
      </c>
      <c r="M611" s="11">
        <v>421.01</v>
      </c>
      <c r="N611" s="11"/>
      <c r="O611" s="42">
        <v>421.01</v>
      </c>
      <c r="P611" s="43" t="s">
        <v>4480</v>
      </c>
      <c r="Q611" s="11">
        <v>1316219.6000000001</v>
      </c>
      <c r="R611" s="11" t="s">
        <v>1515</v>
      </c>
      <c r="S611" s="11" t="s">
        <v>40</v>
      </c>
      <c r="T611" s="11">
        <v>0</v>
      </c>
    </row>
    <row r="612" spans="1:22" x14ac:dyDescent="0.25">
      <c r="A612" s="11">
        <v>101060401</v>
      </c>
      <c r="B612" s="11" t="s">
        <v>34</v>
      </c>
      <c r="C612" s="41">
        <v>44881</v>
      </c>
      <c r="D612" s="41">
        <v>44881</v>
      </c>
      <c r="E612" s="11" t="s">
        <v>36</v>
      </c>
      <c r="F612" s="11" t="s">
        <v>1516</v>
      </c>
      <c r="G612" s="11">
        <v>108610</v>
      </c>
      <c r="H612" s="11" t="s">
        <v>52</v>
      </c>
      <c r="K612" s="11">
        <v>201040506</v>
      </c>
      <c r="L612" s="11" t="s">
        <v>46</v>
      </c>
      <c r="M612" s="11">
        <v>576.47</v>
      </c>
      <c r="N612" s="11"/>
      <c r="O612" s="42">
        <v>576.47</v>
      </c>
      <c r="P612" s="43" t="s">
        <v>4480</v>
      </c>
      <c r="Q612" s="11">
        <v>1316796.07</v>
      </c>
      <c r="R612" s="11" t="s">
        <v>1517</v>
      </c>
      <c r="S612" s="11" t="s">
        <v>40</v>
      </c>
      <c r="T612" s="11">
        <v>0</v>
      </c>
    </row>
    <row r="613" spans="1:22" x14ac:dyDescent="0.25">
      <c r="A613" s="11">
        <v>101060401</v>
      </c>
      <c r="B613" s="11" t="s">
        <v>34</v>
      </c>
      <c r="C613" s="41">
        <v>44881</v>
      </c>
      <c r="D613" s="41">
        <v>44881</v>
      </c>
      <c r="E613" s="11" t="s">
        <v>42</v>
      </c>
      <c r="F613" s="11" t="s">
        <v>1518</v>
      </c>
      <c r="G613" s="11">
        <v>108611</v>
      </c>
      <c r="H613" s="11" t="s">
        <v>623</v>
      </c>
      <c r="J613" s="11" t="s">
        <v>38</v>
      </c>
      <c r="K613" s="11">
        <v>51010101</v>
      </c>
      <c r="L613" s="11" t="s">
        <v>48</v>
      </c>
      <c r="M613" s="11"/>
      <c r="N613" s="11">
        <v>1432.21</v>
      </c>
      <c r="O613" s="42">
        <v>-1432.21</v>
      </c>
      <c r="P613" s="43" t="s">
        <v>4489</v>
      </c>
      <c r="Q613" s="11">
        <v>1315363.8600000001</v>
      </c>
      <c r="R613" s="11" t="s">
        <v>1519</v>
      </c>
      <c r="S613" s="11" t="s">
        <v>40</v>
      </c>
      <c r="T613" s="11">
        <v>0</v>
      </c>
      <c r="V613" s="11" t="s">
        <v>41</v>
      </c>
    </row>
    <row r="614" spans="1:22" x14ac:dyDescent="0.25">
      <c r="A614" s="11">
        <v>101060401</v>
      </c>
      <c r="B614" s="11" t="s">
        <v>34</v>
      </c>
      <c r="C614" s="41">
        <v>44881</v>
      </c>
      <c r="D614" s="41">
        <v>44881</v>
      </c>
      <c r="E614" s="11" t="s">
        <v>42</v>
      </c>
      <c r="F614" s="11" t="s">
        <v>1520</v>
      </c>
      <c r="G614" s="11">
        <v>108612</v>
      </c>
      <c r="H614" s="11" t="s">
        <v>50</v>
      </c>
      <c r="J614" s="11" t="s">
        <v>38</v>
      </c>
      <c r="K614" s="11">
        <v>51010101</v>
      </c>
      <c r="L614" s="11" t="s">
        <v>48</v>
      </c>
      <c r="M614" s="11"/>
      <c r="N614" s="11">
        <v>137.86000000000001</v>
      </c>
      <c r="O614" s="42">
        <v>-137.86000000000001</v>
      </c>
      <c r="P614" s="43" t="s">
        <v>4489</v>
      </c>
      <c r="Q614" s="11">
        <v>1315226</v>
      </c>
      <c r="R614" s="11" t="s">
        <v>1521</v>
      </c>
      <c r="S614" s="11" t="s">
        <v>40</v>
      </c>
      <c r="T614" s="11">
        <v>0</v>
      </c>
      <c r="V614" s="11" t="s">
        <v>41</v>
      </c>
    </row>
    <row r="615" spans="1:22" x14ac:dyDescent="0.25">
      <c r="A615" s="11">
        <v>101060401</v>
      </c>
      <c r="B615" s="11" t="s">
        <v>34</v>
      </c>
      <c r="C615" s="41">
        <v>44881</v>
      </c>
      <c r="D615" s="41">
        <v>44881</v>
      </c>
      <c r="E615" s="11" t="s">
        <v>42</v>
      </c>
      <c r="F615" s="11" t="s">
        <v>1522</v>
      </c>
      <c r="G615" s="11">
        <v>108613</v>
      </c>
      <c r="H615" s="11" t="s">
        <v>212</v>
      </c>
      <c r="J615" s="11" t="s">
        <v>38</v>
      </c>
      <c r="K615" s="11">
        <v>51010101</v>
      </c>
      <c r="L615" s="11" t="s">
        <v>48</v>
      </c>
      <c r="M615" s="11"/>
      <c r="N615" s="11">
        <v>42.04</v>
      </c>
      <c r="O615" s="42">
        <v>-42.04</v>
      </c>
      <c r="P615" s="43" t="s">
        <v>4489</v>
      </c>
      <c r="Q615" s="11">
        <v>1315183.96</v>
      </c>
      <c r="R615" s="11" t="s">
        <v>197</v>
      </c>
      <c r="S615" s="11" t="s">
        <v>40</v>
      </c>
      <c r="T615" s="11">
        <v>0</v>
      </c>
      <c r="V615" s="11" t="s">
        <v>41</v>
      </c>
    </row>
    <row r="616" spans="1:22" x14ac:dyDescent="0.25">
      <c r="A616" s="11">
        <v>101060401</v>
      </c>
      <c r="B616" s="11" t="s">
        <v>34</v>
      </c>
      <c r="C616" s="41">
        <v>44881</v>
      </c>
      <c r="D616" s="41">
        <v>44881</v>
      </c>
      <c r="E616" s="11" t="s">
        <v>42</v>
      </c>
      <c r="F616" s="11" t="s">
        <v>1523</v>
      </c>
      <c r="G616" s="11">
        <v>108614</v>
      </c>
      <c r="H616" s="11" t="s">
        <v>212</v>
      </c>
      <c r="J616" s="11" t="s">
        <v>38</v>
      </c>
      <c r="K616" s="11">
        <v>51010101</v>
      </c>
      <c r="L616" s="11" t="s">
        <v>48</v>
      </c>
      <c r="M616" s="11"/>
      <c r="N616" s="11">
        <v>12.35</v>
      </c>
      <c r="O616" s="42">
        <v>-12.35</v>
      </c>
      <c r="P616" s="43" t="s">
        <v>4489</v>
      </c>
      <c r="Q616" s="11">
        <v>1315171.6100000001</v>
      </c>
      <c r="R616" s="11" t="s">
        <v>1524</v>
      </c>
      <c r="S616" s="11" t="s">
        <v>40</v>
      </c>
      <c r="T616" s="11">
        <v>0</v>
      </c>
      <c r="V616" s="11" t="s">
        <v>41</v>
      </c>
    </row>
    <row r="617" spans="1:22" x14ac:dyDescent="0.25">
      <c r="A617" s="11">
        <v>101060401</v>
      </c>
      <c r="B617" s="11" t="s">
        <v>34</v>
      </c>
      <c r="C617" s="41">
        <v>44881</v>
      </c>
      <c r="D617" s="41">
        <v>44881</v>
      </c>
      <c r="E617" s="11" t="s">
        <v>42</v>
      </c>
      <c r="F617" s="11" t="s">
        <v>1525</v>
      </c>
      <c r="G617" s="11">
        <v>108615</v>
      </c>
      <c r="H617" s="11" t="s">
        <v>327</v>
      </c>
      <c r="J617" s="11" t="s">
        <v>38</v>
      </c>
      <c r="K617" s="11">
        <v>51010101</v>
      </c>
      <c r="L617" s="11" t="s">
        <v>48</v>
      </c>
      <c r="M617" s="11"/>
      <c r="N617" s="11">
        <v>14.72</v>
      </c>
      <c r="O617" s="42">
        <v>-14.72</v>
      </c>
      <c r="P617" s="43" t="s">
        <v>4489</v>
      </c>
      <c r="Q617" s="11">
        <v>1315156.8899999999</v>
      </c>
      <c r="R617" s="11" t="s">
        <v>1526</v>
      </c>
      <c r="S617" s="11" t="s">
        <v>40</v>
      </c>
      <c r="T617" s="11">
        <v>0</v>
      </c>
      <c r="V617" s="11" t="s">
        <v>41</v>
      </c>
    </row>
    <row r="618" spans="1:22" x14ac:dyDescent="0.25">
      <c r="A618" s="11">
        <v>101060401</v>
      </c>
      <c r="B618" s="11" t="s">
        <v>34</v>
      </c>
      <c r="C618" s="41">
        <v>44881</v>
      </c>
      <c r="D618" s="41">
        <v>44881</v>
      </c>
      <c r="E618" s="11" t="s">
        <v>42</v>
      </c>
      <c r="F618" s="11" t="s">
        <v>1527</v>
      </c>
      <c r="G618" s="11">
        <v>108617</v>
      </c>
      <c r="H618" s="11" t="s">
        <v>95</v>
      </c>
      <c r="J618" s="11" t="s">
        <v>38</v>
      </c>
      <c r="K618" s="11">
        <v>51010101</v>
      </c>
      <c r="L618" s="11" t="s">
        <v>48</v>
      </c>
      <c r="M618" s="11"/>
      <c r="N618" s="11">
        <v>22.07</v>
      </c>
      <c r="O618" s="42">
        <v>-22.07</v>
      </c>
      <c r="P618" s="43" t="s">
        <v>4489</v>
      </c>
      <c r="Q618" s="11">
        <v>1315134.82</v>
      </c>
      <c r="R618" s="11" t="s">
        <v>1528</v>
      </c>
      <c r="S618" s="11" t="s">
        <v>40</v>
      </c>
      <c r="T618" s="11">
        <v>0</v>
      </c>
      <c r="V618" s="11" t="s">
        <v>41</v>
      </c>
    </row>
    <row r="619" spans="1:22" x14ac:dyDescent="0.25">
      <c r="A619" s="11">
        <v>101060401</v>
      </c>
      <c r="B619" s="11" t="s">
        <v>34</v>
      </c>
      <c r="C619" s="41">
        <v>44881</v>
      </c>
      <c r="D619" s="41">
        <v>44881</v>
      </c>
      <c r="E619" s="11" t="s">
        <v>42</v>
      </c>
      <c r="F619" s="11" t="s">
        <v>1529</v>
      </c>
      <c r="G619" s="11">
        <v>108618</v>
      </c>
      <c r="H619" s="11" t="s">
        <v>849</v>
      </c>
      <c r="J619" s="11" t="s">
        <v>38</v>
      </c>
      <c r="K619" s="11">
        <v>51010101</v>
      </c>
      <c r="L619" s="11" t="s">
        <v>48</v>
      </c>
      <c r="M619" s="11"/>
      <c r="N619" s="11">
        <v>23.51</v>
      </c>
      <c r="O619" s="42">
        <v>-23.51</v>
      </c>
      <c r="P619" s="43" t="s">
        <v>4489</v>
      </c>
      <c r="Q619" s="11">
        <v>1315111.31</v>
      </c>
      <c r="R619" s="11" t="s">
        <v>1530</v>
      </c>
      <c r="S619" s="11" t="s">
        <v>40</v>
      </c>
      <c r="T619" s="11">
        <v>0</v>
      </c>
      <c r="V619" s="11" t="s">
        <v>41</v>
      </c>
    </row>
    <row r="620" spans="1:22" x14ac:dyDescent="0.25">
      <c r="A620" s="11">
        <v>101060401</v>
      </c>
      <c r="B620" s="11" t="s">
        <v>34</v>
      </c>
      <c r="C620" s="41">
        <v>44881</v>
      </c>
      <c r="D620" s="41">
        <v>44881</v>
      </c>
      <c r="E620" s="11" t="s">
        <v>42</v>
      </c>
      <c r="F620" s="11" t="s">
        <v>1531</v>
      </c>
      <c r="G620" s="11">
        <v>108619</v>
      </c>
      <c r="H620" s="11" t="s">
        <v>47</v>
      </c>
      <c r="J620" s="11" t="s">
        <v>38</v>
      </c>
      <c r="K620" s="11">
        <v>51010101</v>
      </c>
      <c r="L620" s="11" t="s">
        <v>48</v>
      </c>
      <c r="M620" s="11"/>
      <c r="N620" s="11">
        <v>2310.92</v>
      </c>
      <c r="O620" s="42">
        <v>-2310.92</v>
      </c>
      <c r="P620" s="43" t="s">
        <v>4489</v>
      </c>
      <c r="Q620" s="11">
        <v>1312800.3899999999</v>
      </c>
      <c r="R620" s="11" t="s">
        <v>1532</v>
      </c>
      <c r="S620" s="11" t="s">
        <v>40</v>
      </c>
      <c r="T620" s="11">
        <v>0</v>
      </c>
      <c r="V620" s="11" t="s">
        <v>41</v>
      </c>
    </row>
    <row r="621" spans="1:22" x14ac:dyDescent="0.25">
      <c r="A621" s="11">
        <v>101060401</v>
      </c>
      <c r="B621" s="11" t="s">
        <v>34</v>
      </c>
      <c r="C621" s="41">
        <v>44881</v>
      </c>
      <c r="D621" s="41">
        <v>44881</v>
      </c>
      <c r="E621" s="11" t="s">
        <v>42</v>
      </c>
      <c r="F621" s="11" t="s">
        <v>1533</v>
      </c>
      <c r="G621" s="11">
        <v>108620</v>
      </c>
      <c r="H621" s="11" t="s">
        <v>1534</v>
      </c>
      <c r="J621" s="11" t="s">
        <v>38</v>
      </c>
      <c r="K621" s="11" t="s">
        <v>1535</v>
      </c>
      <c r="L621" s="11" t="s">
        <v>1536</v>
      </c>
      <c r="M621" s="11">
        <v>14.72</v>
      </c>
      <c r="N621" s="11"/>
      <c r="O621" s="42">
        <v>14.72</v>
      </c>
      <c r="P621" s="43" t="s">
        <v>4488</v>
      </c>
      <c r="Q621" s="11">
        <v>1312815.1100000001</v>
      </c>
      <c r="R621" s="11" t="s">
        <v>1537</v>
      </c>
      <c r="S621" s="11" t="s">
        <v>69</v>
      </c>
      <c r="T621" s="11">
        <v>0</v>
      </c>
      <c r="V621" s="11" t="s">
        <v>41</v>
      </c>
    </row>
    <row r="622" spans="1:22" x14ac:dyDescent="0.25">
      <c r="A622" s="11">
        <v>101060401</v>
      </c>
      <c r="B622" s="11" t="s">
        <v>34</v>
      </c>
      <c r="C622" s="41">
        <v>44881</v>
      </c>
      <c r="D622" s="41">
        <v>44881</v>
      </c>
      <c r="E622" s="11" t="s">
        <v>42</v>
      </c>
      <c r="F622" s="11" t="s">
        <v>1538</v>
      </c>
      <c r="G622" s="11">
        <v>108621</v>
      </c>
      <c r="H622" s="11" t="s">
        <v>56</v>
      </c>
      <c r="J622" s="11" t="s">
        <v>38</v>
      </c>
      <c r="K622" s="11">
        <v>51010101</v>
      </c>
      <c r="L622" s="11" t="s">
        <v>48</v>
      </c>
      <c r="M622" s="11"/>
      <c r="N622" s="11">
        <v>79.34</v>
      </c>
      <c r="O622" s="42">
        <v>-79.34</v>
      </c>
      <c r="P622" s="43" t="s">
        <v>4489</v>
      </c>
      <c r="Q622" s="11">
        <v>1312735.77</v>
      </c>
      <c r="R622" s="11" t="s">
        <v>1539</v>
      </c>
      <c r="S622" s="11" t="s">
        <v>40</v>
      </c>
      <c r="T622" s="11">
        <v>0</v>
      </c>
      <c r="V622" s="11" t="s">
        <v>41</v>
      </c>
    </row>
    <row r="623" spans="1:22" x14ac:dyDescent="0.25">
      <c r="A623" s="11">
        <v>101060401</v>
      </c>
      <c r="B623" s="11" t="s">
        <v>34</v>
      </c>
      <c r="C623" s="41">
        <v>44881</v>
      </c>
      <c r="D623" s="41">
        <v>44881</v>
      </c>
      <c r="E623" s="11" t="s">
        <v>42</v>
      </c>
      <c r="F623" s="11" t="s">
        <v>1540</v>
      </c>
      <c r="G623" s="11">
        <v>108622</v>
      </c>
      <c r="H623" s="11" t="s">
        <v>150</v>
      </c>
      <c r="J623" s="11" t="s">
        <v>38</v>
      </c>
      <c r="K623" s="11">
        <v>51010101</v>
      </c>
      <c r="L623" s="11" t="s">
        <v>48</v>
      </c>
      <c r="M623" s="11"/>
      <c r="N623" s="11">
        <v>171</v>
      </c>
      <c r="O623" s="42">
        <v>-171</v>
      </c>
      <c r="P623" s="43" t="s">
        <v>4489</v>
      </c>
      <c r="Q623" s="11">
        <v>1312564.77</v>
      </c>
      <c r="R623" s="11" t="s">
        <v>1541</v>
      </c>
      <c r="S623" s="11" t="s">
        <v>40</v>
      </c>
      <c r="T623" s="11">
        <v>0</v>
      </c>
      <c r="V623" s="11" t="s">
        <v>41</v>
      </c>
    </row>
    <row r="624" spans="1:22" x14ac:dyDescent="0.25">
      <c r="A624" s="11">
        <v>101060401</v>
      </c>
      <c r="B624" s="11" t="s">
        <v>34</v>
      </c>
      <c r="C624" s="41">
        <v>44881</v>
      </c>
      <c r="D624" s="41">
        <v>44881</v>
      </c>
      <c r="E624" s="11" t="s">
        <v>42</v>
      </c>
      <c r="F624" s="11" t="s">
        <v>1542</v>
      </c>
      <c r="G624" s="11">
        <v>108623</v>
      </c>
      <c r="H624" s="11" t="s">
        <v>327</v>
      </c>
      <c r="J624" s="11" t="s">
        <v>38</v>
      </c>
      <c r="K624" s="11">
        <v>51010101</v>
      </c>
      <c r="L624" s="11" t="s">
        <v>48</v>
      </c>
      <c r="M624" s="11"/>
      <c r="N624" s="11">
        <v>14.72</v>
      </c>
      <c r="O624" s="42">
        <v>-14.72</v>
      </c>
      <c r="P624" s="43" t="s">
        <v>4489</v>
      </c>
      <c r="Q624" s="11">
        <v>1312550.05</v>
      </c>
      <c r="R624" s="11" t="s">
        <v>1526</v>
      </c>
      <c r="S624" s="11" t="s">
        <v>40</v>
      </c>
      <c r="T624" s="11">
        <v>0</v>
      </c>
      <c r="V624" s="11" t="s">
        <v>41</v>
      </c>
    </row>
    <row r="625" spans="1:22" x14ac:dyDescent="0.25">
      <c r="A625" s="11">
        <v>101060401</v>
      </c>
      <c r="B625" s="11" t="s">
        <v>34</v>
      </c>
      <c r="C625" s="41">
        <v>44881</v>
      </c>
      <c r="D625" s="41">
        <v>44881</v>
      </c>
      <c r="E625" s="11" t="s">
        <v>42</v>
      </c>
      <c r="F625" s="11" t="s">
        <v>1543</v>
      </c>
      <c r="G625" s="11">
        <v>108625</v>
      </c>
      <c r="H625" s="11" t="s">
        <v>109</v>
      </c>
      <c r="J625" s="11" t="s">
        <v>38</v>
      </c>
      <c r="K625" s="11">
        <v>51010101</v>
      </c>
      <c r="L625" s="11" t="s">
        <v>48</v>
      </c>
      <c r="M625" s="11"/>
      <c r="N625" s="11">
        <v>737.08</v>
      </c>
      <c r="O625" s="42">
        <v>-737.08</v>
      </c>
      <c r="P625" s="43" t="s">
        <v>4489</v>
      </c>
      <c r="Q625" s="11">
        <v>1311812.97</v>
      </c>
      <c r="R625" s="11" t="s">
        <v>1544</v>
      </c>
      <c r="S625" s="11" t="s">
        <v>40</v>
      </c>
      <c r="T625" s="11">
        <v>0</v>
      </c>
      <c r="V625" s="11" t="s">
        <v>41</v>
      </c>
    </row>
    <row r="626" spans="1:22" x14ac:dyDescent="0.25">
      <c r="A626" s="11">
        <v>101060401</v>
      </c>
      <c r="B626" s="11" t="s">
        <v>34</v>
      </c>
      <c r="C626" s="41">
        <v>44881</v>
      </c>
      <c r="D626" s="41">
        <v>44881</v>
      </c>
      <c r="E626" s="11" t="s">
        <v>42</v>
      </c>
      <c r="F626" s="11" t="s">
        <v>1545</v>
      </c>
      <c r="G626" s="11">
        <v>108628</v>
      </c>
      <c r="H626" s="11" t="s">
        <v>1546</v>
      </c>
      <c r="J626" s="11" t="s">
        <v>38</v>
      </c>
      <c r="K626" s="11" t="s">
        <v>1547</v>
      </c>
      <c r="L626" s="11" t="s">
        <v>1548</v>
      </c>
      <c r="M626" s="11">
        <v>1679.19</v>
      </c>
      <c r="N626" s="11"/>
      <c r="O626" s="42">
        <v>1679.19</v>
      </c>
      <c r="P626" s="43" t="s">
        <v>4488</v>
      </c>
      <c r="Q626" s="11">
        <v>1313492.1599999999</v>
      </c>
      <c r="R626" s="11" t="s">
        <v>1549</v>
      </c>
      <c r="S626" s="11" t="s">
        <v>69</v>
      </c>
      <c r="T626" s="11">
        <v>0</v>
      </c>
      <c r="V626" s="11" t="s">
        <v>41</v>
      </c>
    </row>
    <row r="627" spans="1:22" x14ac:dyDescent="0.25">
      <c r="A627" s="11">
        <v>101060401</v>
      </c>
      <c r="B627" s="11" t="s">
        <v>34</v>
      </c>
      <c r="C627" s="41">
        <v>44881</v>
      </c>
      <c r="D627" s="41">
        <v>44881</v>
      </c>
      <c r="E627" s="11" t="s">
        <v>36</v>
      </c>
      <c r="F627" s="11" t="s">
        <v>1550</v>
      </c>
      <c r="G627" s="11">
        <v>108632</v>
      </c>
      <c r="H627" s="11" t="s">
        <v>52</v>
      </c>
      <c r="K627" s="11">
        <v>201040506</v>
      </c>
      <c r="L627" s="11" t="s">
        <v>46</v>
      </c>
      <c r="M627" s="11">
        <v>514.71</v>
      </c>
      <c r="N627" s="11"/>
      <c r="O627" s="42">
        <v>514.71</v>
      </c>
      <c r="P627" s="43" t="s">
        <v>4480</v>
      </c>
      <c r="Q627" s="11">
        <v>1314006.8700000001</v>
      </c>
      <c r="R627" s="11" t="s">
        <v>1551</v>
      </c>
      <c r="S627" s="11" t="s">
        <v>40</v>
      </c>
      <c r="T627" s="11">
        <v>0</v>
      </c>
    </row>
    <row r="628" spans="1:22" x14ac:dyDescent="0.25">
      <c r="A628" s="11">
        <v>101060401</v>
      </c>
      <c r="B628" s="11" t="s">
        <v>34</v>
      </c>
      <c r="C628" s="41">
        <v>44881</v>
      </c>
      <c r="D628" s="41">
        <v>44881</v>
      </c>
      <c r="E628" s="11" t="s">
        <v>36</v>
      </c>
      <c r="F628" s="11" t="s">
        <v>1552</v>
      </c>
      <c r="G628" s="11">
        <v>108633</v>
      </c>
      <c r="H628" s="11" t="s">
        <v>52</v>
      </c>
      <c r="K628" s="11">
        <v>201040506</v>
      </c>
      <c r="L628" s="11" t="s">
        <v>46</v>
      </c>
      <c r="M628" s="11">
        <v>35.78</v>
      </c>
      <c r="N628" s="11"/>
      <c r="O628" s="42">
        <v>35.78</v>
      </c>
      <c r="P628" s="43" t="s">
        <v>4480</v>
      </c>
      <c r="Q628" s="11">
        <v>1314042.6499999999</v>
      </c>
      <c r="R628" s="11" t="s">
        <v>1553</v>
      </c>
      <c r="S628" s="11" t="s">
        <v>40</v>
      </c>
      <c r="T628" s="11">
        <v>0</v>
      </c>
    </row>
    <row r="629" spans="1:22" x14ac:dyDescent="0.25">
      <c r="A629" s="11">
        <v>101060401</v>
      </c>
      <c r="B629" s="11" t="s">
        <v>34</v>
      </c>
      <c r="C629" s="41">
        <v>44881</v>
      </c>
      <c r="D629" s="41">
        <v>44881</v>
      </c>
      <c r="E629" s="11" t="s">
        <v>42</v>
      </c>
      <c r="F629" s="11" t="s">
        <v>1554</v>
      </c>
      <c r="G629" s="11">
        <v>108634</v>
      </c>
      <c r="H629" s="11" t="s">
        <v>176</v>
      </c>
      <c r="J629" s="11" t="s">
        <v>38</v>
      </c>
      <c r="K629" s="11">
        <v>51010101</v>
      </c>
      <c r="L629" s="11" t="s">
        <v>48</v>
      </c>
      <c r="M629" s="11"/>
      <c r="N629" s="11">
        <v>107.3</v>
      </c>
      <c r="O629" s="42">
        <v>-107.3</v>
      </c>
      <c r="P629" s="43" t="s">
        <v>4489</v>
      </c>
      <c r="Q629" s="11">
        <v>1313935.3500000001</v>
      </c>
      <c r="R629" s="11" t="s">
        <v>1555</v>
      </c>
      <c r="S629" s="11" t="s">
        <v>40</v>
      </c>
      <c r="T629" s="11">
        <v>0</v>
      </c>
      <c r="V629" s="11" t="s">
        <v>41</v>
      </c>
    </row>
    <row r="630" spans="1:22" x14ac:dyDescent="0.25">
      <c r="A630" s="11">
        <v>101060401</v>
      </c>
      <c r="B630" s="11" t="s">
        <v>34</v>
      </c>
      <c r="C630" s="41">
        <v>44881</v>
      </c>
      <c r="D630" s="41">
        <v>44881</v>
      </c>
      <c r="E630" s="11" t="s">
        <v>42</v>
      </c>
      <c r="F630" s="11" t="s">
        <v>1556</v>
      </c>
      <c r="G630" s="11">
        <v>108635</v>
      </c>
      <c r="H630" s="11" t="s">
        <v>176</v>
      </c>
      <c r="J630" s="11" t="s">
        <v>38</v>
      </c>
      <c r="K630" s="11">
        <v>51010101</v>
      </c>
      <c r="L630" s="11" t="s">
        <v>48</v>
      </c>
      <c r="M630" s="11"/>
      <c r="N630" s="11">
        <v>948.14</v>
      </c>
      <c r="O630" s="42">
        <v>-948.14</v>
      </c>
      <c r="P630" s="43" t="s">
        <v>4489</v>
      </c>
      <c r="Q630" s="11">
        <v>1312987.21</v>
      </c>
      <c r="R630" s="11" t="s">
        <v>1557</v>
      </c>
      <c r="S630" s="11" t="s">
        <v>40</v>
      </c>
      <c r="T630" s="11">
        <v>0</v>
      </c>
      <c r="V630" s="11" t="s">
        <v>41</v>
      </c>
    </row>
    <row r="631" spans="1:22" x14ac:dyDescent="0.25">
      <c r="A631" s="11">
        <v>101060401</v>
      </c>
      <c r="B631" s="11" t="s">
        <v>34</v>
      </c>
      <c r="C631" s="41">
        <v>44881</v>
      </c>
      <c r="D631" s="41">
        <v>44881</v>
      </c>
      <c r="E631" s="11" t="s">
        <v>42</v>
      </c>
      <c r="F631" s="11" t="s">
        <v>1558</v>
      </c>
      <c r="G631" s="11">
        <v>108640</v>
      </c>
      <c r="H631" s="11" t="s">
        <v>57</v>
      </c>
      <c r="K631" s="11">
        <v>101060402</v>
      </c>
      <c r="L631" s="11" t="s">
        <v>44</v>
      </c>
      <c r="M631" s="11"/>
      <c r="N631" s="11">
        <v>301.31</v>
      </c>
      <c r="O631" s="42">
        <v>-301.31</v>
      </c>
      <c r="P631" s="43" t="s">
        <v>4481</v>
      </c>
      <c r="Q631" s="11">
        <v>1312685.8999999999</v>
      </c>
      <c r="R631" s="11" t="s">
        <v>1559</v>
      </c>
      <c r="S631" s="11" t="s">
        <v>40</v>
      </c>
      <c r="T631" s="11">
        <v>0</v>
      </c>
    </row>
    <row r="632" spans="1:22" x14ac:dyDescent="0.25">
      <c r="A632" s="11">
        <v>101060401</v>
      </c>
      <c r="B632" s="11" t="s">
        <v>34</v>
      </c>
      <c r="C632" s="41">
        <v>44881</v>
      </c>
      <c r="D632" s="41">
        <v>44881</v>
      </c>
      <c r="E632" s="11" t="s">
        <v>36</v>
      </c>
      <c r="F632" s="11" t="s">
        <v>1560</v>
      </c>
      <c r="G632" s="11">
        <v>108641</v>
      </c>
      <c r="H632" s="11" t="s">
        <v>37</v>
      </c>
      <c r="J632" s="11" t="s">
        <v>38</v>
      </c>
      <c r="K632" s="11">
        <v>401030105</v>
      </c>
      <c r="L632" s="11" t="s">
        <v>54</v>
      </c>
      <c r="M632" s="26">
        <v>14.28</v>
      </c>
      <c r="O632" s="44">
        <v>14.28</v>
      </c>
      <c r="P632" s="43" t="s">
        <v>4494</v>
      </c>
      <c r="Q632" s="11">
        <v>1312700.18</v>
      </c>
      <c r="R632" s="11" t="s">
        <v>1561</v>
      </c>
      <c r="S632" s="11" t="s">
        <v>40</v>
      </c>
      <c r="T632" s="11">
        <v>0</v>
      </c>
      <c r="V632" s="11" t="s">
        <v>41</v>
      </c>
    </row>
    <row r="633" spans="1:22" x14ac:dyDescent="0.25">
      <c r="A633" s="11">
        <v>101060401</v>
      </c>
      <c r="B633" s="11" t="s">
        <v>34</v>
      </c>
      <c r="C633" s="41">
        <v>44881</v>
      </c>
      <c r="D633" s="41">
        <v>44881</v>
      </c>
      <c r="E633" s="11" t="s">
        <v>42</v>
      </c>
      <c r="F633" s="11" t="s">
        <v>1562</v>
      </c>
      <c r="G633" s="11">
        <v>108642</v>
      </c>
      <c r="H633" s="11" t="s">
        <v>50</v>
      </c>
      <c r="J633" s="11" t="s">
        <v>38</v>
      </c>
      <c r="K633" s="11">
        <v>51010101</v>
      </c>
      <c r="L633" s="11" t="s">
        <v>48</v>
      </c>
      <c r="M633" s="11"/>
      <c r="N633" s="11">
        <v>60.98</v>
      </c>
      <c r="O633" s="42">
        <v>-60.98</v>
      </c>
      <c r="P633" s="43" t="s">
        <v>4489</v>
      </c>
      <c r="Q633" s="11">
        <v>1312639.2</v>
      </c>
      <c r="R633" s="11" t="s">
        <v>1563</v>
      </c>
      <c r="S633" s="11" t="s">
        <v>40</v>
      </c>
      <c r="T633" s="11">
        <v>0</v>
      </c>
      <c r="V633" s="11" t="s">
        <v>41</v>
      </c>
    </row>
    <row r="634" spans="1:22" x14ac:dyDescent="0.25">
      <c r="A634" s="11">
        <v>101060401</v>
      </c>
      <c r="B634" s="11" t="s">
        <v>34</v>
      </c>
      <c r="C634" s="41">
        <v>44881</v>
      </c>
      <c r="D634" s="41">
        <v>44881</v>
      </c>
      <c r="E634" s="11" t="s">
        <v>42</v>
      </c>
      <c r="F634" s="11" t="s">
        <v>1564</v>
      </c>
      <c r="G634" s="11">
        <v>108650</v>
      </c>
      <c r="H634" s="11" t="s">
        <v>139</v>
      </c>
      <c r="J634" s="11" t="s">
        <v>38</v>
      </c>
      <c r="K634" s="11">
        <v>51010101</v>
      </c>
      <c r="L634" s="11" t="s">
        <v>48</v>
      </c>
      <c r="M634" s="11"/>
      <c r="N634" s="11">
        <v>46.34</v>
      </c>
      <c r="O634" s="42">
        <v>-46.34</v>
      </c>
      <c r="P634" s="43" t="s">
        <v>4489</v>
      </c>
      <c r="Q634" s="11">
        <v>1312592.8600000001</v>
      </c>
      <c r="R634" s="11" t="s">
        <v>1565</v>
      </c>
      <c r="S634" s="11" t="s">
        <v>40</v>
      </c>
      <c r="T634" s="11">
        <v>0</v>
      </c>
      <c r="V634" s="11" t="s">
        <v>41</v>
      </c>
    </row>
    <row r="635" spans="1:22" x14ac:dyDescent="0.25">
      <c r="A635" s="11">
        <v>101060401</v>
      </c>
      <c r="B635" s="11" t="s">
        <v>34</v>
      </c>
      <c r="C635" s="41">
        <v>44881</v>
      </c>
      <c r="D635" s="41">
        <v>44881</v>
      </c>
      <c r="E635" s="11" t="s">
        <v>42</v>
      </c>
      <c r="F635" s="11" t="s">
        <v>1566</v>
      </c>
      <c r="G635" s="11">
        <v>108651</v>
      </c>
      <c r="H635" s="11" t="s">
        <v>72</v>
      </c>
      <c r="J635" s="11" t="s">
        <v>38</v>
      </c>
      <c r="K635" s="11">
        <v>51010101</v>
      </c>
      <c r="L635" s="11" t="s">
        <v>48</v>
      </c>
      <c r="M635" s="11"/>
      <c r="N635" s="11">
        <v>421.11</v>
      </c>
      <c r="O635" s="42">
        <v>-421.11</v>
      </c>
      <c r="P635" s="43" t="s">
        <v>4489</v>
      </c>
      <c r="Q635" s="11">
        <v>1312171.75</v>
      </c>
      <c r="R635" s="11" t="s">
        <v>1567</v>
      </c>
      <c r="S635" s="11" t="s">
        <v>40</v>
      </c>
      <c r="T635" s="11">
        <v>0</v>
      </c>
      <c r="V635" s="11" t="s">
        <v>41</v>
      </c>
    </row>
    <row r="636" spans="1:22" x14ac:dyDescent="0.25">
      <c r="A636" s="11">
        <v>101060401</v>
      </c>
      <c r="B636" s="11" t="s">
        <v>34</v>
      </c>
      <c r="C636" s="41">
        <v>44881</v>
      </c>
      <c r="D636" s="41">
        <v>44881</v>
      </c>
      <c r="E636" s="11" t="s">
        <v>42</v>
      </c>
      <c r="F636" s="11" t="s">
        <v>1568</v>
      </c>
      <c r="G636" s="11">
        <v>108657</v>
      </c>
      <c r="H636" s="11" t="s">
        <v>192</v>
      </c>
      <c r="J636" s="11" t="s">
        <v>38</v>
      </c>
      <c r="K636" s="11">
        <v>51010101</v>
      </c>
      <c r="L636" s="11" t="s">
        <v>48</v>
      </c>
      <c r="M636" s="11"/>
      <c r="N636" s="11">
        <v>41.1</v>
      </c>
      <c r="O636" s="42">
        <v>-41.1</v>
      </c>
      <c r="P636" s="43" t="s">
        <v>4489</v>
      </c>
      <c r="Q636" s="11">
        <v>1312130.6499999999</v>
      </c>
      <c r="R636" s="11" t="s">
        <v>822</v>
      </c>
      <c r="S636" s="11" t="s">
        <v>40</v>
      </c>
      <c r="T636" s="11">
        <v>0</v>
      </c>
      <c r="V636" s="11" t="s">
        <v>41</v>
      </c>
    </row>
    <row r="637" spans="1:22" x14ac:dyDescent="0.25">
      <c r="A637" s="11">
        <v>101060401</v>
      </c>
      <c r="B637" s="11" t="s">
        <v>34</v>
      </c>
      <c r="C637" s="41">
        <v>44881</v>
      </c>
      <c r="D637" s="41">
        <v>44881</v>
      </c>
      <c r="E637" s="11" t="s">
        <v>42</v>
      </c>
      <c r="F637" s="11" t="s">
        <v>1569</v>
      </c>
      <c r="G637" s="11">
        <v>108666</v>
      </c>
      <c r="H637" s="11" t="s">
        <v>57</v>
      </c>
      <c r="K637" s="11">
        <v>101060402</v>
      </c>
      <c r="L637" s="11" t="s">
        <v>44</v>
      </c>
      <c r="M637" s="11">
        <v>3.64</v>
      </c>
      <c r="N637" s="11"/>
      <c r="O637" s="42">
        <v>3.64</v>
      </c>
      <c r="P637" s="43" t="s">
        <v>4481</v>
      </c>
      <c r="Q637" s="11">
        <v>1312134.29</v>
      </c>
      <c r="R637" s="11" t="s">
        <v>1570</v>
      </c>
      <c r="S637" s="11" t="s">
        <v>106</v>
      </c>
      <c r="T637" s="11">
        <v>0</v>
      </c>
    </row>
    <row r="638" spans="1:22" x14ac:dyDescent="0.25">
      <c r="A638" s="11">
        <v>101060401</v>
      </c>
      <c r="B638" s="11" t="s">
        <v>34</v>
      </c>
      <c r="C638" s="41">
        <v>44881</v>
      </c>
      <c r="D638" s="41">
        <v>44881</v>
      </c>
      <c r="E638" s="11" t="s">
        <v>42</v>
      </c>
      <c r="F638" s="11" t="s">
        <v>1571</v>
      </c>
      <c r="G638" s="11">
        <v>109699</v>
      </c>
      <c r="H638" s="11" t="s">
        <v>349</v>
      </c>
      <c r="J638" s="11" t="s">
        <v>38</v>
      </c>
      <c r="K638" s="11">
        <v>51010101</v>
      </c>
      <c r="L638" s="11" t="s">
        <v>48</v>
      </c>
      <c r="M638" s="11">
        <v>22.07</v>
      </c>
      <c r="N638" s="11"/>
      <c r="O638" s="42">
        <v>22.07</v>
      </c>
      <c r="P638" s="43" t="s">
        <v>4489</v>
      </c>
      <c r="Q638" s="11">
        <v>1312156.3600000001</v>
      </c>
      <c r="R638" s="11" t="s">
        <v>1572</v>
      </c>
      <c r="S638" s="11" t="s">
        <v>40</v>
      </c>
      <c r="T638" s="11">
        <v>0</v>
      </c>
      <c r="V638" s="11" t="s">
        <v>41</v>
      </c>
    </row>
    <row r="639" spans="1:22" x14ac:dyDescent="0.25">
      <c r="A639" s="11">
        <v>101060401</v>
      </c>
      <c r="B639" s="11" t="s">
        <v>34</v>
      </c>
      <c r="C639" s="41">
        <v>44882</v>
      </c>
      <c r="D639" s="41">
        <v>44882</v>
      </c>
      <c r="E639" s="11" t="s">
        <v>42</v>
      </c>
      <c r="F639" s="11" t="s">
        <v>1573</v>
      </c>
      <c r="G639" s="11">
        <v>108691</v>
      </c>
      <c r="H639" s="11" t="s">
        <v>282</v>
      </c>
      <c r="J639" s="11" t="s">
        <v>38</v>
      </c>
      <c r="K639" s="11">
        <v>51010101</v>
      </c>
      <c r="L639" s="11" t="s">
        <v>48</v>
      </c>
      <c r="M639" s="11"/>
      <c r="N639" s="11">
        <v>88</v>
      </c>
      <c r="O639" s="42">
        <v>-88</v>
      </c>
      <c r="P639" s="43" t="s">
        <v>4489</v>
      </c>
      <c r="Q639" s="11">
        <v>1312068.3600000001</v>
      </c>
      <c r="R639" s="11" t="s">
        <v>1574</v>
      </c>
      <c r="S639" s="11" t="s">
        <v>40</v>
      </c>
      <c r="T639" s="11">
        <v>0</v>
      </c>
      <c r="V639" s="11" t="s">
        <v>41</v>
      </c>
    </row>
    <row r="640" spans="1:22" x14ac:dyDescent="0.25">
      <c r="A640" s="11">
        <v>101060401</v>
      </c>
      <c r="B640" s="11" t="s">
        <v>34</v>
      </c>
      <c r="C640" s="41">
        <v>44882</v>
      </c>
      <c r="D640" s="41">
        <v>44882</v>
      </c>
      <c r="E640" s="11" t="s">
        <v>36</v>
      </c>
      <c r="F640" s="11" t="s">
        <v>1575</v>
      </c>
      <c r="G640" s="11">
        <v>108692</v>
      </c>
      <c r="H640" s="11" t="s">
        <v>52</v>
      </c>
      <c r="K640" s="11">
        <v>201040506</v>
      </c>
      <c r="L640" s="11" t="s">
        <v>46</v>
      </c>
      <c r="M640" s="11">
        <v>3.2</v>
      </c>
      <c r="N640" s="11"/>
      <c r="O640" s="42">
        <v>3.2</v>
      </c>
      <c r="P640" s="43" t="s">
        <v>4480</v>
      </c>
      <c r="Q640" s="11">
        <v>1312071.56</v>
      </c>
      <c r="R640" s="11" t="s">
        <v>1576</v>
      </c>
      <c r="S640" s="11" t="s">
        <v>40</v>
      </c>
      <c r="T640" s="11">
        <v>0</v>
      </c>
    </row>
    <row r="641" spans="1:22" x14ac:dyDescent="0.25">
      <c r="A641" s="11">
        <v>101060401</v>
      </c>
      <c r="B641" s="11" t="s">
        <v>34</v>
      </c>
      <c r="C641" s="41">
        <v>44882</v>
      </c>
      <c r="D641" s="41">
        <v>44882</v>
      </c>
      <c r="E641" s="11" t="s">
        <v>36</v>
      </c>
      <c r="F641" s="11" t="s">
        <v>1577</v>
      </c>
      <c r="G641" s="11">
        <v>108693</v>
      </c>
      <c r="H641" s="11" t="s">
        <v>52</v>
      </c>
      <c r="K641" s="11">
        <v>201040506</v>
      </c>
      <c r="L641" s="11" t="s">
        <v>46</v>
      </c>
      <c r="M641" s="11">
        <v>9.35</v>
      </c>
      <c r="N641" s="11"/>
      <c r="O641" s="42">
        <v>9.35</v>
      </c>
      <c r="P641" s="43" t="s">
        <v>4480</v>
      </c>
      <c r="Q641" s="11">
        <v>1312080.9099999999</v>
      </c>
      <c r="R641" s="11" t="s">
        <v>1578</v>
      </c>
      <c r="S641" s="11" t="s">
        <v>40</v>
      </c>
      <c r="T641" s="11">
        <v>0</v>
      </c>
    </row>
    <row r="642" spans="1:22" x14ac:dyDescent="0.25">
      <c r="A642" s="11">
        <v>101060401</v>
      </c>
      <c r="B642" s="11" t="s">
        <v>34</v>
      </c>
      <c r="C642" s="41">
        <v>44882</v>
      </c>
      <c r="D642" s="41">
        <v>44882</v>
      </c>
      <c r="E642" s="11" t="s">
        <v>36</v>
      </c>
      <c r="F642" s="11" t="s">
        <v>1579</v>
      </c>
      <c r="G642" s="11">
        <v>108694</v>
      </c>
      <c r="H642" s="11" t="s">
        <v>52</v>
      </c>
      <c r="K642" s="11">
        <v>201040506</v>
      </c>
      <c r="L642" s="11" t="s">
        <v>46</v>
      </c>
      <c r="M642" s="11">
        <v>21.12</v>
      </c>
      <c r="N642" s="11"/>
      <c r="O642" s="42">
        <v>21.12</v>
      </c>
      <c r="P642" s="43" t="s">
        <v>4480</v>
      </c>
      <c r="Q642" s="11">
        <v>1312102.03</v>
      </c>
      <c r="R642" s="11" t="s">
        <v>1580</v>
      </c>
      <c r="S642" s="11" t="s">
        <v>40</v>
      </c>
      <c r="T642" s="11">
        <v>0</v>
      </c>
    </row>
    <row r="643" spans="1:22" x14ac:dyDescent="0.25">
      <c r="A643" s="11">
        <v>101060401</v>
      </c>
      <c r="B643" s="11" t="s">
        <v>34</v>
      </c>
      <c r="C643" s="41">
        <v>44882</v>
      </c>
      <c r="D643" s="41">
        <v>44882</v>
      </c>
      <c r="E643" s="11" t="s">
        <v>36</v>
      </c>
      <c r="F643" s="11" t="s">
        <v>1581</v>
      </c>
      <c r="G643" s="11">
        <v>108695</v>
      </c>
      <c r="H643" s="11" t="s">
        <v>52</v>
      </c>
      <c r="K643" s="11">
        <v>201040506</v>
      </c>
      <c r="L643" s="11" t="s">
        <v>46</v>
      </c>
      <c r="M643" s="11">
        <v>79.56</v>
      </c>
      <c r="N643" s="11"/>
      <c r="O643" s="42">
        <v>79.56</v>
      </c>
      <c r="P643" s="43" t="s">
        <v>4480</v>
      </c>
      <c r="Q643" s="11">
        <v>1312181.5900000001</v>
      </c>
      <c r="R643" s="11" t="s">
        <v>1582</v>
      </c>
      <c r="S643" s="11" t="s">
        <v>40</v>
      </c>
      <c r="T643" s="11">
        <v>0</v>
      </c>
    </row>
    <row r="644" spans="1:22" x14ac:dyDescent="0.25">
      <c r="A644" s="11">
        <v>101060401</v>
      </c>
      <c r="B644" s="11" t="s">
        <v>34</v>
      </c>
      <c r="C644" s="41">
        <v>44882</v>
      </c>
      <c r="D644" s="41">
        <v>44882</v>
      </c>
      <c r="E644" s="11" t="s">
        <v>42</v>
      </c>
      <c r="F644" s="11" t="s">
        <v>1583</v>
      </c>
      <c r="G644" s="11">
        <v>108696</v>
      </c>
      <c r="H644" s="11" t="s">
        <v>1584</v>
      </c>
      <c r="J644" s="11" t="s">
        <v>38</v>
      </c>
      <c r="K644" s="11">
        <v>51010101</v>
      </c>
      <c r="L644" s="11" t="s">
        <v>48</v>
      </c>
      <c r="M644" s="11"/>
      <c r="N644" s="11">
        <v>10.27</v>
      </c>
      <c r="O644" s="42">
        <v>-10.27</v>
      </c>
      <c r="P644" s="43" t="s">
        <v>4489</v>
      </c>
      <c r="Q644" s="11">
        <v>1312171.32</v>
      </c>
      <c r="R644" s="11" t="s">
        <v>1585</v>
      </c>
      <c r="S644" s="11" t="s">
        <v>40</v>
      </c>
      <c r="T644" s="11">
        <v>0</v>
      </c>
      <c r="V644" s="11" t="s">
        <v>41</v>
      </c>
    </row>
    <row r="645" spans="1:22" x14ac:dyDescent="0.25">
      <c r="A645" s="11">
        <v>101060401</v>
      </c>
      <c r="B645" s="11" t="s">
        <v>34</v>
      </c>
      <c r="C645" s="41">
        <v>44882</v>
      </c>
      <c r="D645" s="41">
        <v>44882</v>
      </c>
      <c r="E645" s="11" t="s">
        <v>42</v>
      </c>
      <c r="F645" s="11" t="s">
        <v>1586</v>
      </c>
      <c r="G645" s="11">
        <v>108708</v>
      </c>
      <c r="H645" s="11" t="s">
        <v>102</v>
      </c>
      <c r="J645" s="11" t="s">
        <v>38</v>
      </c>
      <c r="K645" s="11">
        <v>51010101</v>
      </c>
      <c r="L645" s="11" t="s">
        <v>48</v>
      </c>
      <c r="M645" s="11"/>
      <c r="N645" s="11">
        <v>83.03</v>
      </c>
      <c r="O645" s="42">
        <v>-83.03</v>
      </c>
      <c r="P645" s="43" t="s">
        <v>4489</v>
      </c>
      <c r="Q645" s="11">
        <v>1312088.29</v>
      </c>
      <c r="R645" s="11" t="s">
        <v>1587</v>
      </c>
      <c r="S645" s="11" t="s">
        <v>40</v>
      </c>
      <c r="T645" s="11">
        <v>0</v>
      </c>
      <c r="V645" s="11" t="s">
        <v>41</v>
      </c>
    </row>
    <row r="646" spans="1:22" x14ac:dyDescent="0.25">
      <c r="A646" s="11">
        <v>101060401</v>
      </c>
      <c r="B646" s="11" t="s">
        <v>34</v>
      </c>
      <c r="C646" s="41">
        <v>44882</v>
      </c>
      <c r="D646" s="41">
        <v>44882</v>
      </c>
      <c r="E646" s="11" t="s">
        <v>42</v>
      </c>
      <c r="F646" s="11" t="s">
        <v>1588</v>
      </c>
      <c r="G646" s="11">
        <v>108709</v>
      </c>
      <c r="H646" s="11" t="s">
        <v>623</v>
      </c>
      <c r="J646" s="11" t="s">
        <v>38</v>
      </c>
      <c r="K646" s="11">
        <v>51010101</v>
      </c>
      <c r="L646" s="11" t="s">
        <v>48</v>
      </c>
      <c r="M646" s="11"/>
      <c r="N646" s="11">
        <v>83.55</v>
      </c>
      <c r="O646" s="42">
        <v>-83.55</v>
      </c>
      <c r="P646" s="43" t="s">
        <v>4489</v>
      </c>
      <c r="Q646" s="11">
        <v>1312004.74</v>
      </c>
      <c r="R646" s="11" t="s">
        <v>1589</v>
      </c>
      <c r="S646" s="11" t="s">
        <v>40</v>
      </c>
      <c r="T646" s="11">
        <v>0</v>
      </c>
      <c r="V646" s="11" t="s">
        <v>41</v>
      </c>
    </row>
    <row r="647" spans="1:22" x14ac:dyDescent="0.25">
      <c r="A647" s="11">
        <v>101060401</v>
      </c>
      <c r="B647" s="11" t="s">
        <v>34</v>
      </c>
      <c r="C647" s="41">
        <v>44882</v>
      </c>
      <c r="D647" s="41">
        <v>44882</v>
      </c>
      <c r="E647" s="11" t="s">
        <v>42</v>
      </c>
      <c r="F647" s="11" t="s">
        <v>1590</v>
      </c>
      <c r="G647" s="11">
        <v>108716</v>
      </c>
      <c r="H647" s="11" t="s">
        <v>1591</v>
      </c>
      <c r="J647" s="11" t="s">
        <v>38</v>
      </c>
      <c r="K647" s="11" t="s">
        <v>1592</v>
      </c>
      <c r="L647" s="11" t="s">
        <v>1593</v>
      </c>
      <c r="M647" s="11">
        <v>10.27</v>
      </c>
      <c r="N647" s="11"/>
      <c r="O647" s="42">
        <v>10.27</v>
      </c>
      <c r="P647" s="43" t="s">
        <v>4488</v>
      </c>
      <c r="Q647" s="11">
        <v>1312015.01</v>
      </c>
      <c r="R647" s="11" t="s">
        <v>1594</v>
      </c>
      <c r="S647" s="11" t="s">
        <v>69</v>
      </c>
      <c r="T647" s="11">
        <v>0</v>
      </c>
      <c r="V647" s="11" t="s">
        <v>41</v>
      </c>
    </row>
    <row r="648" spans="1:22" x14ac:dyDescent="0.25">
      <c r="A648" s="11">
        <v>101060401</v>
      </c>
      <c r="B648" s="11" t="s">
        <v>34</v>
      </c>
      <c r="C648" s="41">
        <v>44882</v>
      </c>
      <c r="D648" s="41">
        <v>44882</v>
      </c>
      <c r="E648" s="11" t="s">
        <v>42</v>
      </c>
      <c r="F648" s="11" t="s">
        <v>1595</v>
      </c>
      <c r="G648" s="11">
        <v>108718</v>
      </c>
      <c r="H648" s="11" t="s">
        <v>299</v>
      </c>
      <c r="J648" s="11" t="s">
        <v>38</v>
      </c>
      <c r="K648" s="11">
        <v>51010101</v>
      </c>
      <c r="L648" s="11" t="s">
        <v>48</v>
      </c>
      <c r="M648" s="11"/>
      <c r="N648" s="11">
        <v>10.27</v>
      </c>
      <c r="O648" s="42">
        <v>-10.27</v>
      </c>
      <c r="P648" s="43" t="s">
        <v>4489</v>
      </c>
      <c r="Q648" s="11">
        <v>1312004.74</v>
      </c>
      <c r="R648" s="11" t="s">
        <v>1585</v>
      </c>
      <c r="S648" s="11" t="s">
        <v>40</v>
      </c>
      <c r="T648" s="11">
        <v>0</v>
      </c>
      <c r="V648" s="11" t="s">
        <v>41</v>
      </c>
    </row>
    <row r="649" spans="1:22" x14ac:dyDescent="0.25">
      <c r="A649" s="11">
        <v>101060401</v>
      </c>
      <c r="B649" s="11" t="s">
        <v>34</v>
      </c>
      <c r="C649" s="41">
        <v>44882</v>
      </c>
      <c r="D649" s="41">
        <v>44882</v>
      </c>
      <c r="E649" s="11" t="s">
        <v>36</v>
      </c>
      <c r="F649" s="11" t="s">
        <v>1596</v>
      </c>
      <c r="G649" s="11">
        <v>108719</v>
      </c>
      <c r="H649" s="11" t="s">
        <v>1597</v>
      </c>
      <c r="K649" s="11">
        <v>201040506</v>
      </c>
      <c r="L649" s="11" t="s">
        <v>46</v>
      </c>
      <c r="M649" s="11">
        <v>34.520000000000003</v>
      </c>
      <c r="N649" s="11"/>
      <c r="O649" s="42">
        <v>34.520000000000003</v>
      </c>
      <c r="P649" s="43" t="s">
        <v>4480</v>
      </c>
      <c r="Q649" s="11">
        <v>1312039.26</v>
      </c>
      <c r="R649" s="11" t="s">
        <v>1598</v>
      </c>
      <c r="S649" s="11" t="s">
        <v>40</v>
      </c>
      <c r="T649" s="11">
        <v>0</v>
      </c>
    </row>
    <row r="650" spans="1:22" x14ac:dyDescent="0.25">
      <c r="A650" s="11">
        <v>101060401</v>
      </c>
      <c r="B650" s="11" t="s">
        <v>34</v>
      </c>
      <c r="C650" s="41">
        <v>44882</v>
      </c>
      <c r="D650" s="41">
        <v>44882</v>
      </c>
      <c r="E650" s="11" t="s">
        <v>42</v>
      </c>
      <c r="F650" s="11" t="s">
        <v>1599</v>
      </c>
      <c r="G650" s="11">
        <v>108720</v>
      </c>
      <c r="H650" s="11" t="s">
        <v>789</v>
      </c>
      <c r="J650" s="11" t="s">
        <v>38</v>
      </c>
      <c r="K650" s="11">
        <v>51010101</v>
      </c>
      <c r="L650" s="11" t="s">
        <v>48</v>
      </c>
      <c r="M650" s="11"/>
      <c r="N650" s="11">
        <v>34.520000000000003</v>
      </c>
      <c r="O650" s="42">
        <v>-34.520000000000003</v>
      </c>
      <c r="P650" s="43" t="s">
        <v>4489</v>
      </c>
      <c r="Q650" s="11">
        <v>1312004.74</v>
      </c>
      <c r="R650" s="11" t="s">
        <v>1600</v>
      </c>
      <c r="S650" s="11" t="s">
        <v>40</v>
      </c>
      <c r="T650" s="11">
        <v>0</v>
      </c>
      <c r="V650" s="11" t="s">
        <v>41</v>
      </c>
    </row>
    <row r="651" spans="1:22" x14ac:dyDescent="0.25">
      <c r="A651" s="11">
        <v>101060401</v>
      </c>
      <c r="B651" s="11" t="s">
        <v>34</v>
      </c>
      <c r="C651" s="41">
        <v>44882</v>
      </c>
      <c r="D651" s="41">
        <v>44882</v>
      </c>
      <c r="E651" s="11" t="s">
        <v>42</v>
      </c>
      <c r="F651" s="11" t="s">
        <v>1601</v>
      </c>
      <c r="G651" s="11">
        <v>108727</v>
      </c>
      <c r="H651" s="11" t="s">
        <v>849</v>
      </c>
      <c r="J651" s="11" t="s">
        <v>38</v>
      </c>
      <c r="K651" s="11">
        <v>51010101</v>
      </c>
      <c r="L651" s="11" t="s">
        <v>48</v>
      </c>
      <c r="M651" s="11"/>
      <c r="N651" s="11">
        <v>27.93</v>
      </c>
      <c r="O651" s="42">
        <v>-27.93</v>
      </c>
      <c r="P651" s="43" t="s">
        <v>4489</v>
      </c>
      <c r="Q651" s="11">
        <v>1311976.81</v>
      </c>
      <c r="R651" s="11" t="s">
        <v>1602</v>
      </c>
      <c r="S651" s="11" t="s">
        <v>40</v>
      </c>
      <c r="T651" s="11">
        <v>0</v>
      </c>
      <c r="V651" s="11" t="s">
        <v>41</v>
      </c>
    </row>
    <row r="652" spans="1:22" x14ac:dyDescent="0.25">
      <c r="A652" s="11">
        <v>101060401</v>
      </c>
      <c r="B652" s="11" t="s">
        <v>34</v>
      </c>
      <c r="C652" s="41">
        <v>44882</v>
      </c>
      <c r="D652" s="41">
        <v>44882</v>
      </c>
      <c r="E652" s="11" t="s">
        <v>42</v>
      </c>
      <c r="F652" s="11" t="s">
        <v>1603</v>
      </c>
      <c r="G652" s="11">
        <v>108737</v>
      </c>
      <c r="H652" s="11" t="s">
        <v>47</v>
      </c>
      <c r="J652" s="11" t="s">
        <v>38</v>
      </c>
      <c r="K652" s="11">
        <v>51010101</v>
      </c>
      <c r="L652" s="11" t="s">
        <v>48</v>
      </c>
      <c r="M652" s="11"/>
      <c r="N652" s="11">
        <v>79.56</v>
      </c>
      <c r="O652" s="42">
        <v>-79.56</v>
      </c>
      <c r="P652" s="43" t="s">
        <v>4489</v>
      </c>
      <c r="Q652" s="11">
        <v>1311897.25</v>
      </c>
      <c r="R652" s="11" t="s">
        <v>1604</v>
      </c>
      <c r="S652" s="11" t="s">
        <v>40</v>
      </c>
      <c r="T652" s="11">
        <v>0</v>
      </c>
      <c r="V652" s="11" t="s">
        <v>41</v>
      </c>
    </row>
    <row r="653" spans="1:22" x14ac:dyDescent="0.25">
      <c r="A653" s="11">
        <v>101060401</v>
      </c>
      <c r="B653" s="11" t="s">
        <v>34</v>
      </c>
      <c r="C653" s="41">
        <v>44882</v>
      </c>
      <c r="D653" s="41">
        <v>44882</v>
      </c>
      <c r="E653" s="11" t="s">
        <v>42</v>
      </c>
      <c r="F653" s="11" t="s">
        <v>1605</v>
      </c>
      <c r="G653" s="11">
        <v>108740</v>
      </c>
      <c r="H653" s="11" t="s">
        <v>57</v>
      </c>
      <c r="K653" s="11">
        <v>101060402</v>
      </c>
      <c r="L653" s="11" t="s">
        <v>44</v>
      </c>
      <c r="M653" s="11"/>
      <c r="N653" s="11">
        <v>40.68</v>
      </c>
      <c r="O653" s="42">
        <v>-40.68</v>
      </c>
      <c r="P653" s="43" t="s">
        <v>4481</v>
      </c>
      <c r="Q653" s="11">
        <v>1311856.57</v>
      </c>
      <c r="R653" s="11" t="s">
        <v>1606</v>
      </c>
      <c r="S653" s="11" t="s">
        <v>40</v>
      </c>
      <c r="T653" s="11">
        <v>0</v>
      </c>
    </row>
    <row r="654" spans="1:22" x14ac:dyDescent="0.25">
      <c r="A654" s="11">
        <v>101060401</v>
      </c>
      <c r="B654" s="11" t="s">
        <v>34</v>
      </c>
      <c r="C654" s="41">
        <v>44882</v>
      </c>
      <c r="D654" s="41">
        <v>44882</v>
      </c>
      <c r="E654" s="11" t="s">
        <v>42</v>
      </c>
      <c r="F654" s="11" t="s">
        <v>1607</v>
      </c>
      <c r="G654" s="11">
        <v>108741</v>
      </c>
      <c r="H654" s="11" t="s">
        <v>47</v>
      </c>
      <c r="J654" s="11" t="s">
        <v>38</v>
      </c>
      <c r="K654" s="11">
        <v>51010101</v>
      </c>
      <c r="L654" s="11" t="s">
        <v>48</v>
      </c>
      <c r="M654" s="11"/>
      <c r="N654" s="11">
        <v>14.09</v>
      </c>
      <c r="O654" s="42">
        <v>-14.09</v>
      </c>
      <c r="P654" s="43" t="s">
        <v>4489</v>
      </c>
      <c r="Q654" s="11">
        <v>1311842.48</v>
      </c>
      <c r="R654" s="11" t="s">
        <v>1608</v>
      </c>
      <c r="S654" s="11" t="s">
        <v>40</v>
      </c>
      <c r="T654" s="11">
        <v>0</v>
      </c>
      <c r="V654" s="11" t="s">
        <v>41</v>
      </c>
    </row>
    <row r="655" spans="1:22" x14ac:dyDescent="0.25">
      <c r="A655" s="11">
        <v>101060401</v>
      </c>
      <c r="B655" s="11" t="s">
        <v>34</v>
      </c>
      <c r="C655" s="41">
        <v>44882</v>
      </c>
      <c r="D655" s="41">
        <v>44882</v>
      </c>
      <c r="E655" s="11" t="s">
        <v>42</v>
      </c>
      <c r="F655" s="11" t="s">
        <v>1609</v>
      </c>
      <c r="G655" s="11">
        <v>108755</v>
      </c>
      <c r="H655" s="11" t="s">
        <v>57</v>
      </c>
      <c r="K655" s="11">
        <v>101060402</v>
      </c>
      <c r="L655" s="11" t="s">
        <v>44</v>
      </c>
      <c r="M655" s="11"/>
      <c r="N655" s="11">
        <v>157.44999999999999</v>
      </c>
      <c r="O655" s="42">
        <v>-157.44999999999999</v>
      </c>
      <c r="P655" s="43" t="s">
        <v>4481</v>
      </c>
      <c r="Q655" s="11">
        <v>1311685.03</v>
      </c>
      <c r="R655" s="11" t="s">
        <v>1445</v>
      </c>
      <c r="S655" s="11" t="s">
        <v>40</v>
      </c>
      <c r="T655" s="11">
        <v>0</v>
      </c>
    </row>
    <row r="656" spans="1:22" x14ac:dyDescent="0.25">
      <c r="A656" s="11">
        <v>101060401</v>
      </c>
      <c r="B656" s="11" t="s">
        <v>34</v>
      </c>
      <c r="C656" s="41">
        <v>44882</v>
      </c>
      <c r="D656" s="41">
        <v>44882</v>
      </c>
      <c r="E656" s="11" t="s">
        <v>42</v>
      </c>
      <c r="F656" s="11" t="s">
        <v>1610</v>
      </c>
      <c r="G656" s="11">
        <v>108758</v>
      </c>
      <c r="H656" s="11" t="s">
        <v>47</v>
      </c>
      <c r="J656" s="11" t="s">
        <v>38</v>
      </c>
      <c r="K656" s="11">
        <v>51010101</v>
      </c>
      <c r="L656" s="11" t="s">
        <v>48</v>
      </c>
      <c r="M656" s="11"/>
      <c r="N656" s="11">
        <v>157.44</v>
      </c>
      <c r="O656" s="42">
        <v>-157.44</v>
      </c>
      <c r="P656" s="43" t="s">
        <v>4489</v>
      </c>
      <c r="Q656" s="11">
        <v>1311527.5900000001</v>
      </c>
      <c r="R656" s="11" t="s">
        <v>560</v>
      </c>
      <c r="S656" s="11" t="s">
        <v>40</v>
      </c>
      <c r="T656" s="11">
        <v>0</v>
      </c>
      <c r="V656" s="11" t="s">
        <v>41</v>
      </c>
    </row>
    <row r="657" spans="1:22" x14ac:dyDescent="0.25">
      <c r="A657" s="11">
        <v>101060401</v>
      </c>
      <c r="B657" s="11" t="s">
        <v>34</v>
      </c>
      <c r="C657" s="41">
        <v>44882</v>
      </c>
      <c r="D657" s="41">
        <v>44882</v>
      </c>
      <c r="E657" s="11" t="s">
        <v>42</v>
      </c>
      <c r="F657" s="11" t="s">
        <v>1611</v>
      </c>
      <c r="G657" s="11">
        <v>108775</v>
      </c>
      <c r="H657" s="11" t="s">
        <v>56</v>
      </c>
      <c r="J657" s="11" t="s">
        <v>38</v>
      </c>
      <c r="K657" s="11">
        <v>51010101</v>
      </c>
      <c r="L657" s="11" t="s">
        <v>48</v>
      </c>
      <c r="M657" s="11"/>
      <c r="N657" s="11">
        <v>69.12</v>
      </c>
      <c r="O657" s="42">
        <v>-69.12</v>
      </c>
      <c r="P657" s="43" t="s">
        <v>4489</v>
      </c>
      <c r="Q657" s="11">
        <v>1311458.47</v>
      </c>
      <c r="R657" s="11" t="s">
        <v>1612</v>
      </c>
      <c r="S657" s="11" t="s">
        <v>40</v>
      </c>
      <c r="T657" s="11">
        <v>0</v>
      </c>
      <c r="V657" s="11" t="s">
        <v>41</v>
      </c>
    </row>
    <row r="658" spans="1:22" x14ac:dyDescent="0.25">
      <c r="A658" s="11">
        <v>101060401</v>
      </c>
      <c r="B658" s="11" t="s">
        <v>34</v>
      </c>
      <c r="C658" s="41">
        <v>44883</v>
      </c>
      <c r="D658" s="41">
        <v>44883</v>
      </c>
      <c r="E658" s="11" t="s">
        <v>36</v>
      </c>
      <c r="F658" s="11" t="s">
        <v>1613</v>
      </c>
      <c r="G658" s="11">
        <v>108777</v>
      </c>
      <c r="H658" s="11" t="s">
        <v>153</v>
      </c>
      <c r="K658" s="11">
        <v>201040506</v>
      </c>
      <c r="L658" s="11" t="s">
        <v>46</v>
      </c>
      <c r="M658" s="11">
        <v>227.66</v>
      </c>
      <c r="N658" s="11"/>
      <c r="O658" s="42">
        <v>227.66</v>
      </c>
      <c r="P658" s="43" t="s">
        <v>4480</v>
      </c>
      <c r="Q658" s="11">
        <v>1311686.1299999999</v>
      </c>
      <c r="R658" s="11" t="s">
        <v>1614</v>
      </c>
      <c r="S658" s="11" t="s">
        <v>40</v>
      </c>
      <c r="T658" s="11">
        <v>0</v>
      </c>
    </row>
    <row r="659" spans="1:22" x14ac:dyDescent="0.25">
      <c r="A659" s="11">
        <v>101060401</v>
      </c>
      <c r="B659" s="11" t="s">
        <v>34</v>
      </c>
      <c r="C659" s="41">
        <v>44883</v>
      </c>
      <c r="D659" s="41">
        <v>44883</v>
      </c>
      <c r="E659" s="11" t="s">
        <v>36</v>
      </c>
      <c r="F659" s="11" t="s">
        <v>1615</v>
      </c>
      <c r="G659" s="11">
        <v>108778</v>
      </c>
      <c r="H659" s="11" t="s">
        <v>85</v>
      </c>
      <c r="K659" s="11">
        <v>201040506</v>
      </c>
      <c r="L659" s="11" t="s">
        <v>46</v>
      </c>
      <c r="M659" s="11">
        <v>15</v>
      </c>
      <c r="N659" s="11"/>
      <c r="O659" s="42">
        <v>15</v>
      </c>
      <c r="P659" s="43" t="s">
        <v>4480</v>
      </c>
      <c r="Q659" s="11">
        <v>1311701.1299999999</v>
      </c>
      <c r="R659" s="11" t="s">
        <v>138</v>
      </c>
      <c r="S659" s="11" t="s">
        <v>40</v>
      </c>
      <c r="T659" s="11">
        <v>0</v>
      </c>
    </row>
    <row r="660" spans="1:22" x14ac:dyDescent="0.25">
      <c r="A660" s="11">
        <v>101060401</v>
      </c>
      <c r="B660" s="11" t="s">
        <v>34</v>
      </c>
      <c r="C660" s="41">
        <v>44883</v>
      </c>
      <c r="D660" s="41">
        <v>44883</v>
      </c>
      <c r="E660" s="11" t="s">
        <v>36</v>
      </c>
      <c r="F660" s="11" t="s">
        <v>1616</v>
      </c>
      <c r="G660" s="11">
        <v>108779</v>
      </c>
      <c r="H660" s="11" t="s">
        <v>85</v>
      </c>
      <c r="K660" s="11">
        <v>201040506</v>
      </c>
      <c r="L660" s="11" t="s">
        <v>46</v>
      </c>
      <c r="M660" s="11">
        <v>75.599999999999994</v>
      </c>
      <c r="N660" s="11"/>
      <c r="O660" s="42">
        <v>75.599999999999994</v>
      </c>
      <c r="P660" s="43" t="s">
        <v>4480</v>
      </c>
      <c r="Q660" s="11">
        <v>1311776.73</v>
      </c>
      <c r="R660" s="11" t="s">
        <v>1617</v>
      </c>
      <c r="S660" s="11" t="s">
        <v>40</v>
      </c>
      <c r="T660" s="11">
        <v>0</v>
      </c>
    </row>
    <row r="661" spans="1:22" x14ac:dyDescent="0.25">
      <c r="A661" s="11">
        <v>101060401</v>
      </c>
      <c r="B661" s="11" t="s">
        <v>34</v>
      </c>
      <c r="C661" s="41">
        <v>44883</v>
      </c>
      <c r="D661" s="41">
        <v>44883</v>
      </c>
      <c r="E661" s="11" t="s">
        <v>36</v>
      </c>
      <c r="F661" s="11" t="s">
        <v>1618</v>
      </c>
      <c r="G661" s="11">
        <v>108780</v>
      </c>
      <c r="H661" s="11" t="s">
        <v>85</v>
      </c>
      <c r="K661" s="11">
        <v>201040506</v>
      </c>
      <c r="L661" s="11" t="s">
        <v>46</v>
      </c>
      <c r="M661" s="11">
        <v>936</v>
      </c>
      <c r="N661" s="11"/>
      <c r="O661" s="42">
        <v>936</v>
      </c>
      <c r="P661" s="43" t="s">
        <v>4480</v>
      </c>
      <c r="Q661" s="11">
        <v>1312712.73</v>
      </c>
      <c r="R661" s="11" t="s">
        <v>1619</v>
      </c>
      <c r="S661" s="11" t="s">
        <v>40</v>
      </c>
      <c r="T661" s="11">
        <v>0</v>
      </c>
    </row>
    <row r="662" spans="1:22" x14ac:dyDescent="0.25">
      <c r="A662" s="11">
        <v>101060401</v>
      </c>
      <c r="B662" s="11" t="s">
        <v>34</v>
      </c>
      <c r="C662" s="41">
        <v>44883</v>
      </c>
      <c r="D662" s="41">
        <v>44883</v>
      </c>
      <c r="E662" s="11" t="s">
        <v>42</v>
      </c>
      <c r="F662" s="11" t="s">
        <v>1620</v>
      </c>
      <c r="G662" s="11">
        <v>108781</v>
      </c>
      <c r="H662" s="11" t="s">
        <v>86</v>
      </c>
      <c r="J662" s="11" t="s">
        <v>38</v>
      </c>
      <c r="K662" s="11">
        <v>51010101</v>
      </c>
      <c r="L662" s="11" t="s">
        <v>48</v>
      </c>
      <c r="M662" s="11"/>
      <c r="N662" s="11">
        <v>303.26</v>
      </c>
      <c r="O662" s="42">
        <v>-303.26</v>
      </c>
      <c r="P662" s="43" t="s">
        <v>4489</v>
      </c>
      <c r="Q662" s="11">
        <v>1312409.47</v>
      </c>
      <c r="R662" s="11" t="s">
        <v>1621</v>
      </c>
      <c r="S662" s="11" t="s">
        <v>40</v>
      </c>
      <c r="T662" s="11">
        <v>0</v>
      </c>
      <c r="V662" s="11" t="s">
        <v>41</v>
      </c>
    </row>
    <row r="663" spans="1:22" x14ac:dyDescent="0.25">
      <c r="A663" s="11">
        <v>101060401</v>
      </c>
      <c r="B663" s="11" t="s">
        <v>34</v>
      </c>
      <c r="C663" s="41">
        <v>44883</v>
      </c>
      <c r="D663" s="41">
        <v>44883</v>
      </c>
      <c r="E663" s="11" t="s">
        <v>42</v>
      </c>
      <c r="F663" s="11" t="s">
        <v>1622</v>
      </c>
      <c r="G663" s="11">
        <v>108782</v>
      </c>
      <c r="H663" s="11" t="s">
        <v>158</v>
      </c>
      <c r="J663" s="11" t="s">
        <v>38</v>
      </c>
      <c r="K663" s="11">
        <v>51010101</v>
      </c>
      <c r="L663" s="11" t="s">
        <v>48</v>
      </c>
      <c r="M663" s="11"/>
      <c r="N663" s="11">
        <v>15</v>
      </c>
      <c r="O663" s="42">
        <v>-15</v>
      </c>
      <c r="P663" s="43" t="s">
        <v>4489</v>
      </c>
      <c r="Q663" s="11">
        <v>1312394.47</v>
      </c>
      <c r="R663" s="11" t="s">
        <v>142</v>
      </c>
      <c r="S663" s="11" t="s">
        <v>40</v>
      </c>
      <c r="T663" s="11">
        <v>0</v>
      </c>
      <c r="V663" s="11" t="s">
        <v>41</v>
      </c>
    </row>
    <row r="664" spans="1:22" x14ac:dyDescent="0.25">
      <c r="A664" s="11">
        <v>101060401</v>
      </c>
      <c r="B664" s="11" t="s">
        <v>34</v>
      </c>
      <c r="C664" s="41">
        <v>44883</v>
      </c>
      <c r="D664" s="41">
        <v>44883</v>
      </c>
      <c r="E664" s="11" t="s">
        <v>42</v>
      </c>
      <c r="F664" s="11" t="s">
        <v>1623</v>
      </c>
      <c r="G664" s="11">
        <v>108783</v>
      </c>
      <c r="H664" s="11" t="s">
        <v>158</v>
      </c>
      <c r="J664" s="11" t="s">
        <v>38</v>
      </c>
      <c r="K664" s="11">
        <v>51010101</v>
      </c>
      <c r="L664" s="11" t="s">
        <v>48</v>
      </c>
      <c r="M664" s="11"/>
      <c r="N664" s="11">
        <v>936</v>
      </c>
      <c r="O664" s="42">
        <v>-936</v>
      </c>
      <c r="P664" s="43" t="s">
        <v>4489</v>
      </c>
      <c r="Q664" s="11">
        <v>1311458.47</v>
      </c>
      <c r="R664" s="11" t="s">
        <v>1624</v>
      </c>
      <c r="S664" s="11" t="s">
        <v>40</v>
      </c>
      <c r="T664" s="11">
        <v>0</v>
      </c>
      <c r="V664" s="11" t="s">
        <v>41</v>
      </c>
    </row>
    <row r="665" spans="1:22" x14ac:dyDescent="0.25">
      <c r="A665" s="11">
        <v>101060401</v>
      </c>
      <c r="B665" s="11" t="s">
        <v>34</v>
      </c>
      <c r="C665" s="41">
        <v>44883</v>
      </c>
      <c r="D665" s="41">
        <v>44883</v>
      </c>
      <c r="E665" s="11" t="s">
        <v>42</v>
      </c>
      <c r="F665" s="11" t="s">
        <v>1625</v>
      </c>
      <c r="G665" s="11">
        <v>108784</v>
      </c>
      <c r="H665" s="11" t="s">
        <v>1626</v>
      </c>
      <c r="J665" s="11" t="s">
        <v>38</v>
      </c>
      <c r="K665" s="11">
        <v>51010101</v>
      </c>
      <c r="L665" s="11" t="s">
        <v>48</v>
      </c>
      <c r="M665" s="11"/>
      <c r="N665" s="11">
        <v>47.58</v>
      </c>
      <c r="O665" s="42">
        <v>-47.58</v>
      </c>
      <c r="P665" s="43" t="s">
        <v>4489</v>
      </c>
      <c r="Q665" s="11">
        <v>1311410.8899999999</v>
      </c>
      <c r="R665" s="11" t="s">
        <v>1627</v>
      </c>
      <c r="S665" s="11" t="s">
        <v>40</v>
      </c>
      <c r="T665" s="11">
        <v>0</v>
      </c>
      <c r="V665" s="11" t="s">
        <v>41</v>
      </c>
    </row>
    <row r="666" spans="1:22" x14ac:dyDescent="0.25">
      <c r="A666" s="11">
        <v>101060401</v>
      </c>
      <c r="B666" s="11" t="s">
        <v>34</v>
      </c>
      <c r="C666" s="41">
        <v>44883</v>
      </c>
      <c r="D666" s="41">
        <v>44883</v>
      </c>
      <c r="E666" s="11" t="s">
        <v>42</v>
      </c>
      <c r="F666" s="11" t="s">
        <v>1628</v>
      </c>
      <c r="G666" s="11">
        <v>108785</v>
      </c>
      <c r="H666" s="11" t="s">
        <v>185</v>
      </c>
      <c r="J666" s="11" t="s">
        <v>38</v>
      </c>
      <c r="K666" s="11">
        <v>51010101</v>
      </c>
      <c r="L666" s="11" t="s">
        <v>48</v>
      </c>
      <c r="M666" s="11"/>
      <c r="N666" s="11">
        <v>103.44</v>
      </c>
      <c r="O666" s="42">
        <v>-103.44</v>
      </c>
      <c r="P666" s="43" t="s">
        <v>4489</v>
      </c>
      <c r="Q666" s="11">
        <v>1311307.45</v>
      </c>
      <c r="R666" s="11" t="s">
        <v>1629</v>
      </c>
      <c r="S666" s="11" t="s">
        <v>40</v>
      </c>
      <c r="T666" s="11">
        <v>0</v>
      </c>
      <c r="V666" s="11" t="s">
        <v>41</v>
      </c>
    </row>
    <row r="667" spans="1:22" x14ac:dyDescent="0.25">
      <c r="A667" s="11">
        <v>101060401</v>
      </c>
      <c r="B667" s="11" t="s">
        <v>34</v>
      </c>
      <c r="C667" s="41">
        <v>44883</v>
      </c>
      <c r="D667" s="41">
        <v>44883</v>
      </c>
      <c r="E667" s="11" t="s">
        <v>42</v>
      </c>
      <c r="F667" s="11" t="s">
        <v>1630</v>
      </c>
      <c r="G667" s="11">
        <v>108786</v>
      </c>
      <c r="H667" s="11" t="s">
        <v>278</v>
      </c>
      <c r="J667" s="11" t="s">
        <v>38</v>
      </c>
      <c r="K667" s="11">
        <v>51010101</v>
      </c>
      <c r="L667" s="11" t="s">
        <v>48</v>
      </c>
      <c r="M667" s="11"/>
      <c r="N667" s="11">
        <v>28.38</v>
      </c>
      <c r="O667" s="42">
        <v>-28.38</v>
      </c>
      <c r="P667" s="43" t="s">
        <v>4489</v>
      </c>
      <c r="Q667" s="11">
        <v>1311279.07</v>
      </c>
      <c r="R667" s="11" t="s">
        <v>292</v>
      </c>
      <c r="S667" s="11" t="s">
        <v>40</v>
      </c>
      <c r="T667" s="11">
        <v>0</v>
      </c>
      <c r="V667" s="11" t="s">
        <v>41</v>
      </c>
    </row>
    <row r="668" spans="1:22" x14ac:dyDescent="0.25">
      <c r="A668" s="11">
        <v>101060401</v>
      </c>
      <c r="B668" s="11" t="s">
        <v>34</v>
      </c>
      <c r="C668" s="41">
        <v>44883</v>
      </c>
      <c r="D668" s="41">
        <v>44883</v>
      </c>
      <c r="E668" s="11" t="s">
        <v>36</v>
      </c>
      <c r="F668" s="11" t="s">
        <v>1631</v>
      </c>
      <c r="G668" s="11">
        <v>108791</v>
      </c>
      <c r="H668" s="11" t="s">
        <v>52</v>
      </c>
      <c r="K668" s="11">
        <v>201040506</v>
      </c>
      <c r="L668" s="11" t="s">
        <v>46</v>
      </c>
      <c r="M668" s="11">
        <v>24.44</v>
      </c>
      <c r="N668" s="11"/>
      <c r="O668" s="42">
        <v>24.44</v>
      </c>
      <c r="P668" s="43" t="s">
        <v>4480</v>
      </c>
      <c r="Q668" s="11">
        <v>1311303.51</v>
      </c>
      <c r="R668" s="11" t="s">
        <v>1632</v>
      </c>
      <c r="S668" s="11" t="s">
        <v>40</v>
      </c>
      <c r="T668" s="11">
        <v>0</v>
      </c>
    </row>
    <row r="669" spans="1:22" x14ac:dyDescent="0.25">
      <c r="A669" s="11">
        <v>101060401</v>
      </c>
      <c r="B669" s="11" t="s">
        <v>34</v>
      </c>
      <c r="C669" s="41">
        <v>44883</v>
      </c>
      <c r="D669" s="41">
        <v>44883</v>
      </c>
      <c r="E669" s="11" t="s">
        <v>42</v>
      </c>
      <c r="F669" s="11" t="s">
        <v>1633</v>
      </c>
      <c r="G669" s="11">
        <v>108792</v>
      </c>
      <c r="H669" s="11" t="s">
        <v>1511</v>
      </c>
      <c r="J669" s="11" t="s">
        <v>38</v>
      </c>
      <c r="K669" s="11">
        <v>51010101</v>
      </c>
      <c r="L669" s="11" t="s">
        <v>48</v>
      </c>
      <c r="M669" s="11"/>
      <c r="N669" s="11">
        <v>338.21</v>
      </c>
      <c r="O669" s="42">
        <v>-338.21</v>
      </c>
      <c r="P669" s="43" t="s">
        <v>4489</v>
      </c>
      <c r="Q669" s="11">
        <v>1310965.3</v>
      </c>
      <c r="R669" s="11" t="s">
        <v>1634</v>
      </c>
      <c r="S669" s="11" t="s">
        <v>40</v>
      </c>
      <c r="T669" s="11">
        <v>0</v>
      </c>
      <c r="V669" s="11" t="s">
        <v>41</v>
      </c>
    </row>
    <row r="670" spans="1:22" x14ac:dyDescent="0.25">
      <c r="A670" s="11">
        <v>101060401</v>
      </c>
      <c r="B670" s="11" t="s">
        <v>34</v>
      </c>
      <c r="C670" s="41">
        <v>44883</v>
      </c>
      <c r="D670" s="41">
        <v>44883</v>
      </c>
      <c r="E670" s="11" t="s">
        <v>42</v>
      </c>
      <c r="F670" s="11" t="s">
        <v>1635</v>
      </c>
      <c r="G670" s="11">
        <v>108793</v>
      </c>
      <c r="H670" s="11" t="s">
        <v>1636</v>
      </c>
      <c r="J670" s="11" t="s">
        <v>38</v>
      </c>
      <c r="K670" s="11">
        <v>51010101</v>
      </c>
      <c r="L670" s="11" t="s">
        <v>48</v>
      </c>
      <c r="M670" s="11">
        <v>338.21</v>
      </c>
      <c r="N670" s="11"/>
      <c r="O670" s="42">
        <v>338.21</v>
      </c>
      <c r="P670" s="43" t="s">
        <v>4489</v>
      </c>
      <c r="Q670" s="11">
        <v>1311303.51</v>
      </c>
      <c r="R670" s="11" t="s">
        <v>1637</v>
      </c>
      <c r="S670" s="11" t="s">
        <v>40</v>
      </c>
      <c r="T670" s="11">
        <v>0</v>
      </c>
      <c r="V670" s="11" t="s">
        <v>41</v>
      </c>
    </row>
    <row r="671" spans="1:22" x14ac:dyDescent="0.25">
      <c r="A671" s="11">
        <v>101060401</v>
      </c>
      <c r="B671" s="11" t="s">
        <v>34</v>
      </c>
      <c r="C671" s="41">
        <v>44883</v>
      </c>
      <c r="D671" s="41">
        <v>44883</v>
      </c>
      <c r="E671" s="11" t="s">
        <v>42</v>
      </c>
      <c r="F671" s="11" t="s">
        <v>1638</v>
      </c>
      <c r="G671" s="11">
        <v>108794</v>
      </c>
      <c r="H671" s="11" t="s">
        <v>1511</v>
      </c>
      <c r="J671" s="11" t="s">
        <v>38</v>
      </c>
      <c r="K671" s="11">
        <v>51010101</v>
      </c>
      <c r="L671" s="11" t="s">
        <v>48</v>
      </c>
      <c r="M671" s="11"/>
      <c r="N671" s="11">
        <v>339.05</v>
      </c>
      <c r="O671" s="42">
        <v>-339.05</v>
      </c>
      <c r="P671" s="43" t="s">
        <v>4489</v>
      </c>
      <c r="Q671" s="11">
        <v>1310964.46</v>
      </c>
      <c r="R671" s="11" t="s">
        <v>1639</v>
      </c>
      <c r="S671" s="11" t="s">
        <v>40</v>
      </c>
      <c r="T671" s="11">
        <v>0</v>
      </c>
      <c r="V671" s="11" t="s">
        <v>41</v>
      </c>
    </row>
    <row r="672" spans="1:22" x14ac:dyDescent="0.25">
      <c r="A672" s="11">
        <v>101060401</v>
      </c>
      <c r="B672" s="11" t="s">
        <v>34</v>
      </c>
      <c r="C672" s="41">
        <v>44883</v>
      </c>
      <c r="D672" s="41">
        <v>44883</v>
      </c>
      <c r="E672" s="11" t="s">
        <v>42</v>
      </c>
      <c r="F672" s="11" t="s">
        <v>1640</v>
      </c>
      <c r="G672" s="11">
        <v>108795</v>
      </c>
      <c r="H672" s="11" t="s">
        <v>139</v>
      </c>
      <c r="J672" s="11" t="s">
        <v>38</v>
      </c>
      <c r="K672" s="11">
        <v>51010101</v>
      </c>
      <c r="L672" s="11" t="s">
        <v>48</v>
      </c>
      <c r="M672" s="11"/>
      <c r="N672" s="11">
        <v>104.99</v>
      </c>
      <c r="O672" s="42">
        <v>-104.99</v>
      </c>
      <c r="P672" s="43" t="s">
        <v>4489</v>
      </c>
      <c r="Q672" s="11">
        <v>1310859.47</v>
      </c>
      <c r="R672" s="11" t="s">
        <v>1641</v>
      </c>
      <c r="S672" s="11" t="s">
        <v>40</v>
      </c>
      <c r="T672" s="11">
        <v>0</v>
      </c>
      <c r="V672" s="11" t="s">
        <v>41</v>
      </c>
    </row>
    <row r="673" spans="1:22" x14ac:dyDescent="0.25">
      <c r="A673" s="11">
        <v>101060401</v>
      </c>
      <c r="B673" s="11" t="s">
        <v>34</v>
      </c>
      <c r="C673" s="41">
        <v>44883</v>
      </c>
      <c r="D673" s="41">
        <v>44883</v>
      </c>
      <c r="E673" s="11" t="s">
        <v>42</v>
      </c>
      <c r="F673" s="11" t="s">
        <v>1642</v>
      </c>
      <c r="G673" s="11">
        <v>108797</v>
      </c>
      <c r="H673" s="11" t="s">
        <v>140</v>
      </c>
      <c r="J673" s="11" t="s">
        <v>38</v>
      </c>
      <c r="K673" s="11">
        <v>51010101</v>
      </c>
      <c r="L673" s="11" t="s">
        <v>48</v>
      </c>
      <c r="M673" s="11"/>
      <c r="N673" s="11">
        <v>108.61</v>
      </c>
      <c r="O673" s="42">
        <v>-108.61</v>
      </c>
      <c r="P673" s="43" t="s">
        <v>4489</v>
      </c>
      <c r="Q673" s="11">
        <v>1310750.8600000001</v>
      </c>
      <c r="R673" s="11" t="s">
        <v>1643</v>
      </c>
      <c r="S673" s="11" t="s">
        <v>40</v>
      </c>
      <c r="T673" s="11">
        <v>0</v>
      </c>
      <c r="V673" s="11" t="s">
        <v>41</v>
      </c>
    </row>
    <row r="674" spans="1:22" x14ac:dyDescent="0.25">
      <c r="A674" s="11">
        <v>101060401</v>
      </c>
      <c r="B674" s="11" t="s">
        <v>34</v>
      </c>
      <c r="C674" s="41">
        <v>44883</v>
      </c>
      <c r="D674" s="41">
        <v>44883</v>
      </c>
      <c r="E674" s="11" t="s">
        <v>36</v>
      </c>
      <c r="F674" s="11" t="s">
        <v>1644</v>
      </c>
      <c r="G674" s="11">
        <v>108798</v>
      </c>
      <c r="H674" s="11" t="s">
        <v>37</v>
      </c>
      <c r="J674" s="11" t="s">
        <v>38</v>
      </c>
      <c r="K674" s="11">
        <v>401030105</v>
      </c>
      <c r="L674" s="11" t="s">
        <v>54</v>
      </c>
      <c r="M674" s="26">
        <v>74.67</v>
      </c>
      <c r="O674" s="44">
        <v>74.67</v>
      </c>
      <c r="P674" s="43" t="s">
        <v>4494</v>
      </c>
      <c r="Q674" s="11">
        <v>1310825.53</v>
      </c>
      <c r="R674" s="11" t="s">
        <v>1645</v>
      </c>
      <c r="S674" s="11" t="s">
        <v>40</v>
      </c>
      <c r="T674" s="11">
        <v>0</v>
      </c>
      <c r="V674" s="11" t="s">
        <v>41</v>
      </c>
    </row>
    <row r="675" spans="1:22" x14ac:dyDescent="0.25">
      <c r="A675" s="11">
        <v>101060401</v>
      </c>
      <c r="B675" s="11" t="s">
        <v>34</v>
      </c>
      <c r="C675" s="41">
        <v>44883</v>
      </c>
      <c r="D675" s="41">
        <v>44883</v>
      </c>
      <c r="E675" s="11" t="s">
        <v>42</v>
      </c>
      <c r="F675" s="11" t="s">
        <v>1646</v>
      </c>
      <c r="G675" s="11">
        <v>108799</v>
      </c>
      <c r="H675" s="11" t="s">
        <v>64</v>
      </c>
      <c r="J675" s="11" t="s">
        <v>38</v>
      </c>
      <c r="K675" s="11">
        <v>51010101</v>
      </c>
      <c r="L675" s="11" t="s">
        <v>48</v>
      </c>
      <c r="M675" s="11"/>
      <c r="N675" s="11">
        <v>74.67</v>
      </c>
      <c r="O675" s="42">
        <v>-74.67</v>
      </c>
      <c r="P675" s="43" t="s">
        <v>4489</v>
      </c>
      <c r="Q675" s="11">
        <v>1310750.8600000001</v>
      </c>
      <c r="R675" s="11" t="s">
        <v>293</v>
      </c>
      <c r="S675" s="11" t="s">
        <v>40</v>
      </c>
      <c r="T675" s="11">
        <v>0</v>
      </c>
      <c r="V675" s="11" t="s">
        <v>41</v>
      </c>
    </row>
    <row r="676" spans="1:22" x14ac:dyDescent="0.25">
      <c r="A676" s="11">
        <v>101060401</v>
      </c>
      <c r="B676" s="11" t="s">
        <v>34</v>
      </c>
      <c r="C676" s="41">
        <v>44883</v>
      </c>
      <c r="D676" s="41">
        <v>44883</v>
      </c>
      <c r="E676" s="11" t="s">
        <v>42</v>
      </c>
      <c r="F676" s="11" t="s">
        <v>1647</v>
      </c>
      <c r="G676" s="11">
        <v>108800</v>
      </c>
      <c r="H676" s="11" t="s">
        <v>57</v>
      </c>
      <c r="K676" s="11">
        <v>101060402</v>
      </c>
      <c r="L676" s="11" t="s">
        <v>44</v>
      </c>
      <c r="M676" s="11">
        <v>17.239999999999998</v>
      </c>
      <c r="N676" s="11"/>
      <c r="O676" s="42">
        <v>17.239999999999998</v>
      </c>
      <c r="P676" s="43" t="s">
        <v>4481</v>
      </c>
      <c r="Q676" s="11">
        <v>1310768.1000000001</v>
      </c>
      <c r="R676" s="11" t="s">
        <v>899</v>
      </c>
      <c r="S676" s="11" t="s">
        <v>40</v>
      </c>
      <c r="T676" s="11">
        <v>0</v>
      </c>
    </row>
    <row r="677" spans="1:22" x14ac:dyDescent="0.25">
      <c r="A677" s="11">
        <v>101060401</v>
      </c>
      <c r="B677" s="11" t="s">
        <v>34</v>
      </c>
      <c r="C677" s="41">
        <v>44883</v>
      </c>
      <c r="D677" s="41">
        <v>44883</v>
      </c>
      <c r="E677" s="11" t="s">
        <v>36</v>
      </c>
      <c r="F677" s="11" t="s">
        <v>1648</v>
      </c>
      <c r="G677" s="11">
        <v>108804</v>
      </c>
      <c r="H677" s="11" t="s">
        <v>52</v>
      </c>
      <c r="K677" s="11">
        <v>201040506</v>
      </c>
      <c r="L677" s="11" t="s">
        <v>46</v>
      </c>
      <c r="M677" s="11">
        <v>43.99</v>
      </c>
      <c r="N677" s="11"/>
      <c r="O677" s="42">
        <v>43.99</v>
      </c>
      <c r="P677" s="43" t="s">
        <v>4480</v>
      </c>
      <c r="Q677" s="11">
        <v>1310812.0900000001</v>
      </c>
      <c r="R677" s="11" t="s">
        <v>1649</v>
      </c>
      <c r="S677" s="11" t="s">
        <v>40</v>
      </c>
      <c r="T677" s="11">
        <v>0</v>
      </c>
    </row>
    <row r="678" spans="1:22" x14ac:dyDescent="0.25">
      <c r="A678" s="11">
        <v>101060401</v>
      </c>
      <c r="B678" s="11" t="s">
        <v>34</v>
      </c>
      <c r="C678" s="41">
        <v>44883</v>
      </c>
      <c r="D678" s="41">
        <v>44883</v>
      </c>
      <c r="E678" s="11" t="s">
        <v>42</v>
      </c>
      <c r="F678" s="11" t="s">
        <v>1650</v>
      </c>
      <c r="G678" s="11">
        <v>108805</v>
      </c>
      <c r="H678" s="11" t="s">
        <v>623</v>
      </c>
      <c r="J678" s="11" t="s">
        <v>38</v>
      </c>
      <c r="K678" s="11">
        <v>51010101</v>
      </c>
      <c r="L678" s="11" t="s">
        <v>48</v>
      </c>
      <c r="M678" s="11"/>
      <c r="N678" s="11">
        <v>58.1</v>
      </c>
      <c r="O678" s="42">
        <v>-58.1</v>
      </c>
      <c r="P678" s="43" t="s">
        <v>4489</v>
      </c>
      <c r="Q678" s="11">
        <v>1310753.99</v>
      </c>
      <c r="R678" s="11" t="s">
        <v>1651</v>
      </c>
      <c r="S678" s="11" t="s">
        <v>40</v>
      </c>
      <c r="T678" s="11">
        <v>0</v>
      </c>
      <c r="V678" s="11" t="s">
        <v>41</v>
      </c>
    </row>
    <row r="679" spans="1:22" x14ac:dyDescent="0.25">
      <c r="A679" s="11">
        <v>101060401</v>
      </c>
      <c r="B679" s="11" t="s">
        <v>34</v>
      </c>
      <c r="C679" s="41">
        <v>44883</v>
      </c>
      <c r="D679" s="41">
        <v>44883</v>
      </c>
      <c r="E679" s="11" t="s">
        <v>42</v>
      </c>
      <c r="F679" s="11" t="s">
        <v>1652</v>
      </c>
      <c r="G679" s="11">
        <v>108806</v>
      </c>
      <c r="H679" s="11" t="s">
        <v>175</v>
      </c>
      <c r="J679" s="11" t="s">
        <v>38</v>
      </c>
      <c r="K679" s="11">
        <v>51010101</v>
      </c>
      <c r="L679" s="11" t="s">
        <v>48</v>
      </c>
      <c r="M679" s="11"/>
      <c r="N679" s="11">
        <v>60.06</v>
      </c>
      <c r="O679" s="42">
        <v>-60.06</v>
      </c>
      <c r="P679" s="43" t="s">
        <v>4489</v>
      </c>
      <c r="Q679" s="11">
        <v>1310693.93</v>
      </c>
      <c r="R679" s="11" t="s">
        <v>1653</v>
      </c>
      <c r="S679" s="11" t="s">
        <v>40</v>
      </c>
      <c r="T679" s="11">
        <v>0</v>
      </c>
      <c r="V679" s="11" t="s">
        <v>41</v>
      </c>
    </row>
    <row r="680" spans="1:22" x14ac:dyDescent="0.25">
      <c r="A680" s="11">
        <v>101060401</v>
      </c>
      <c r="B680" s="11" t="s">
        <v>34</v>
      </c>
      <c r="C680" s="41">
        <v>44883</v>
      </c>
      <c r="D680" s="41">
        <v>44883</v>
      </c>
      <c r="E680" s="11" t="s">
        <v>42</v>
      </c>
      <c r="F680" s="11" t="s">
        <v>1654</v>
      </c>
      <c r="G680" s="11">
        <v>108811</v>
      </c>
      <c r="H680" s="11" t="s">
        <v>1655</v>
      </c>
      <c r="J680" s="11" t="s">
        <v>38</v>
      </c>
      <c r="K680" s="11">
        <v>51010101</v>
      </c>
      <c r="L680" s="11" t="s">
        <v>48</v>
      </c>
      <c r="M680" s="11"/>
      <c r="N680" s="11">
        <v>4.62</v>
      </c>
      <c r="O680" s="42">
        <v>-4.62</v>
      </c>
      <c r="P680" s="43" t="s">
        <v>4489</v>
      </c>
      <c r="Q680" s="11">
        <v>1310689.31</v>
      </c>
      <c r="R680" s="11" t="s">
        <v>1656</v>
      </c>
      <c r="S680" s="11" t="s">
        <v>106</v>
      </c>
      <c r="T680" s="11">
        <v>0</v>
      </c>
      <c r="V680" s="11" t="s">
        <v>41</v>
      </c>
    </row>
    <row r="681" spans="1:22" x14ac:dyDescent="0.25">
      <c r="A681" s="11">
        <v>101060401</v>
      </c>
      <c r="B681" s="11" t="s">
        <v>34</v>
      </c>
      <c r="C681" s="41">
        <v>44883</v>
      </c>
      <c r="D681" s="41">
        <v>44883</v>
      </c>
      <c r="E681" s="11" t="s">
        <v>36</v>
      </c>
      <c r="F681" s="11" t="s">
        <v>1657</v>
      </c>
      <c r="G681" s="11">
        <v>108813</v>
      </c>
      <c r="H681" s="11" t="s">
        <v>118</v>
      </c>
      <c r="K681" s="11">
        <v>201040506</v>
      </c>
      <c r="L681" s="11" t="s">
        <v>46</v>
      </c>
      <c r="M681" s="11">
        <v>1405.92</v>
      </c>
      <c r="N681" s="11"/>
      <c r="O681" s="42">
        <v>1405.92</v>
      </c>
      <c r="P681" s="43" t="s">
        <v>4480</v>
      </c>
      <c r="Q681" s="11">
        <v>1312095.23</v>
      </c>
      <c r="R681" s="11" t="s">
        <v>1658</v>
      </c>
      <c r="S681" s="11" t="s">
        <v>40</v>
      </c>
      <c r="T681" s="11">
        <v>0</v>
      </c>
    </row>
    <row r="682" spans="1:22" x14ac:dyDescent="0.25">
      <c r="A682" s="11">
        <v>101060401</v>
      </c>
      <c r="B682" s="11" t="s">
        <v>34</v>
      </c>
      <c r="C682" s="41">
        <v>44883</v>
      </c>
      <c r="D682" s="41">
        <v>44883</v>
      </c>
      <c r="E682" s="11" t="s">
        <v>36</v>
      </c>
      <c r="F682" s="11" t="s">
        <v>1659</v>
      </c>
      <c r="G682" s="11">
        <v>108825</v>
      </c>
      <c r="H682" s="11" t="s">
        <v>52</v>
      </c>
      <c r="K682" s="11">
        <v>201040506</v>
      </c>
      <c r="L682" s="11" t="s">
        <v>46</v>
      </c>
      <c r="M682" s="11">
        <v>3352.5</v>
      </c>
      <c r="N682" s="11"/>
      <c r="O682" s="42">
        <v>3352.5</v>
      </c>
      <c r="P682" s="43" t="s">
        <v>4480</v>
      </c>
      <c r="Q682" s="11">
        <v>1315447.73</v>
      </c>
      <c r="R682" s="11" t="s">
        <v>1660</v>
      </c>
      <c r="S682" s="11" t="s">
        <v>40</v>
      </c>
      <c r="T682" s="11">
        <v>0</v>
      </c>
    </row>
    <row r="683" spans="1:22" x14ac:dyDescent="0.25">
      <c r="A683" s="11">
        <v>101060401</v>
      </c>
      <c r="B683" s="11" t="s">
        <v>34</v>
      </c>
      <c r="C683" s="41">
        <v>44883</v>
      </c>
      <c r="D683" s="41">
        <v>44883</v>
      </c>
      <c r="E683" s="11" t="s">
        <v>36</v>
      </c>
      <c r="F683" s="11" t="s">
        <v>1661</v>
      </c>
      <c r="G683" s="11">
        <v>108826</v>
      </c>
      <c r="H683" s="11" t="s">
        <v>52</v>
      </c>
      <c r="K683" s="11">
        <v>201040506</v>
      </c>
      <c r="L683" s="11" t="s">
        <v>46</v>
      </c>
      <c r="M683" s="11">
        <v>907.21</v>
      </c>
      <c r="N683" s="11"/>
      <c r="O683" s="42">
        <v>907.21</v>
      </c>
      <c r="P683" s="43" t="s">
        <v>4480</v>
      </c>
      <c r="Q683" s="11">
        <v>1316354.94</v>
      </c>
      <c r="R683" s="11" t="s">
        <v>1662</v>
      </c>
      <c r="S683" s="11" t="s">
        <v>40</v>
      </c>
      <c r="T683" s="11">
        <v>0</v>
      </c>
    </row>
    <row r="684" spans="1:22" x14ac:dyDescent="0.25">
      <c r="A684" s="11">
        <v>101060401</v>
      </c>
      <c r="B684" s="11" t="s">
        <v>34</v>
      </c>
      <c r="C684" s="41">
        <v>44883</v>
      </c>
      <c r="D684" s="41">
        <v>44883</v>
      </c>
      <c r="E684" s="11" t="s">
        <v>36</v>
      </c>
      <c r="F684" s="11" t="s">
        <v>1663</v>
      </c>
      <c r="G684" s="11">
        <v>108830</v>
      </c>
      <c r="H684" s="11" t="s">
        <v>52</v>
      </c>
      <c r="K684" s="11">
        <v>201040506</v>
      </c>
      <c r="L684" s="11" t="s">
        <v>46</v>
      </c>
      <c r="M684" s="11">
        <v>115.61</v>
      </c>
      <c r="N684" s="11"/>
      <c r="O684" s="42">
        <v>115.61</v>
      </c>
      <c r="P684" s="43" t="s">
        <v>4480</v>
      </c>
      <c r="Q684" s="11">
        <v>1316470.55</v>
      </c>
      <c r="R684" s="11" t="s">
        <v>1664</v>
      </c>
      <c r="S684" s="11" t="s">
        <v>40</v>
      </c>
      <c r="T684" s="11">
        <v>0</v>
      </c>
    </row>
    <row r="685" spans="1:22" x14ac:dyDescent="0.25">
      <c r="A685" s="11">
        <v>101060401</v>
      </c>
      <c r="B685" s="11" t="s">
        <v>34</v>
      </c>
      <c r="C685" s="41">
        <v>44883</v>
      </c>
      <c r="D685" s="41">
        <v>44883</v>
      </c>
      <c r="E685" s="11" t="s">
        <v>42</v>
      </c>
      <c r="F685" s="11" t="s">
        <v>1665</v>
      </c>
      <c r="G685" s="11">
        <v>108831</v>
      </c>
      <c r="H685" s="11" t="s">
        <v>141</v>
      </c>
      <c r="J685" s="11" t="s">
        <v>38</v>
      </c>
      <c r="K685" s="11">
        <v>51010101</v>
      </c>
      <c r="L685" s="11" t="s">
        <v>48</v>
      </c>
      <c r="M685" s="11"/>
      <c r="N685" s="11">
        <v>143.1</v>
      </c>
      <c r="O685" s="42">
        <v>-143.1</v>
      </c>
      <c r="P685" s="43" t="s">
        <v>4489</v>
      </c>
      <c r="Q685" s="11">
        <v>1316327.45</v>
      </c>
      <c r="R685" s="11" t="s">
        <v>1666</v>
      </c>
      <c r="S685" s="11" t="s">
        <v>40</v>
      </c>
      <c r="T685" s="11">
        <v>0</v>
      </c>
      <c r="V685" s="11" t="s">
        <v>41</v>
      </c>
    </row>
    <row r="686" spans="1:22" x14ac:dyDescent="0.25">
      <c r="A686" s="11">
        <v>101060401</v>
      </c>
      <c r="B686" s="11" t="s">
        <v>34</v>
      </c>
      <c r="C686" s="41">
        <v>44883</v>
      </c>
      <c r="D686" s="41">
        <v>44883</v>
      </c>
      <c r="E686" s="11" t="s">
        <v>42</v>
      </c>
      <c r="F686" s="11" t="s">
        <v>1667</v>
      </c>
      <c r="G686" s="11">
        <v>108832</v>
      </c>
      <c r="H686" s="11" t="s">
        <v>74</v>
      </c>
      <c r="J686" s="11" t="s">
        <v>38</v>
      </c>
      <c r="K686" s="11">
        <v>51010101</v>
      </c>
      <c r="L686" s="11" t="s">
        <v>48</v>
      </c>
      <c r="M686" s="11"/>
      <c r="N686" s="11">
        <v>3.17</v>
      </c>
      <c r="O686" s="42">
        <v>-3.17</v>
      </c>
      <c r="P686" s="43" t="s">
        <v>4489</v>
      </c>
      <c r="Q686" s="11">
        <v>1316324.28</v>
      </c>
      <c r="R686" s="11" t="s">
        <v>1668</v>
      </c>
      <c r="S686" s="11" t="s">
        <v>40</v>
      </c>
      <c r="T686" s="11">
        <v>0</v>
      </c>
      <c r="V686" s="11" t="s">
        <v>41</v>
      </c>
    </row>
    <row r="687" spans="1:22" x14ac:dyDescent="0.25">
      <c r="A687" s="11">
        <v>101060401</v>
      </c>
      <c r="B687" s="11" t="s">
        <v>34</v>
      </c>
      <c r="C687" s="41">
        <v>44883</v>
      </c>
      <c r="D687" s="41">
        <v>44883</v>
      </c>
      <c r="E687" s="11" t="s">
        <v>42</v>
      </c>
      <c r="F687" s="11" t="s">
        <v>1669</v>
      </c>
      <c r="G687" s="11">
        <v>108833</v>
      </c>
      <c r="H687" s="11" t="s">
        <v>56</v>
      </c>
      <c r="J687" s="11" t="s">
        <v>38</v>
      </c>
      <c r="K687" s="11">
        <v>51010101</v>
      </c>
      <c r="L687" s="11" t="s">
        <v>48</v>
      </c>
      <c r="M687" s="11"/>
      <c r="N687" s="11">
        <v>241.78</v>
      </c>
      <c r="O687" s="42">
        <v>-241.78</v>
      </c>
      <c r="P687" s="43" t="s">
        <v>4489</v>
      </c>
      <c r="Q687" s="11">
        <v>1316082.5</v>
      </c>
      <c r="R687" s="11" t="s">
        <v>312</v>
      </c>
      <c r="S687" s="11" t="s">
        <v>40</v>
      </c>
      <c r="T687" s="11">
        <v>0</v>
      </c>
      <c r="V687" s="11" t="s">
        <v>41</v>
      </c>
    </row>
    <row r="688" spans="1:22" x14ac:dyDescent="0.25">
      <c r="A688" s="11">
        <v>101060401</v>
      </c>
      <c r="B688" s="11" t="s">
        <v>34</v>
      </c>
      <c r="C688" s="41">
        <v>44883</v>
      </c>
      <c r="D688" s="41">
        <v>44883</v>
      </c>
      <c r="E688" s="11" t="s">
        <v>42</v>
      </c>
      <c r="F688" s="11" t="s">
        <v>1670</v>
      </c>
      <c r="G688" s="11">
        <v>108837</v>
      </c>
      <c r="H688" s="11" t="s">
        <v>159</v>
      </c>
      <c r="J688" s="11" t="s">
        <v>38</v>
      </c>
      <c r="K688" s="11">
        <v>51010101</v>
      </c>
      <c r="L688" s="11" t="s">
        <v>48</v>
      </c>
      <c r="M688" s="11"/>
      <c r="N688" s="11">
        <v>15.7</v>
      </c>
      <c r="O688" s="42">
        <v>-15.7</v>
      </c>
      <c r="P688" s="43" t="s">
        <v>4489</v>
      </c>
      <c r="Q688" s="11">
        <v>1316066.8</v>
      </c>
      <c r="R688" s="11" t="s">
        <v>1671</v>
      </c>
      <c r="S688" s="11" t="s">
        <v>40</v>
      </c>
      <c r="T688" s="11">
        <v>0</v>
      </c>
      <c r="V688" s="11" t="s">
        <v>41</v>
      </c>
    </row>
    <row r="689" spans="1:22" x14ac:dyDescent="0.25">
      <c r="A689" s="11">
        <v>101060401</v>
      </c>
      <c r="B689" s="11" t="s">
        <v>34</v>
      </c>
      <c r="C689" s="41">
        <v>44883</v>
      </c>
      <c r="D689" s="41">
        <v>44883</v>
      </c>
      <c r="E689" s="11" t="s">
        <v>42</v>
      </c>
      <c r="F689" s="11" t="s">
        <v>1672</v>
      </c>
      <c r="G689" s="11">
        <v>108852</v>
      </c>
      <c r="H689" s="11" t="s">
        <v>57</v>
      </c>
      <c r="K689" s="11">
        <v>101060402</v>
      </c>
      <c r="L689" s="11" t="s">
        <v>44</v>
      </c>
      <c r="M689" s="11">
        <v>1444.52</v>
      </c>
      <c r="N689" s="11"/>
      <c r="O689" s="42">
        <v>1444.52</v>
      </c>
      <c r="P689" s="43" t="s">
        <v>4481</v>
      </c>
      <c r="Q689" s="11">
        <v>1317511.32</v>
      </c>
      <c r="R689" s="11" t="s">
        <v>1673</v>
      </c>
      <c r="S689" s="11" t="s">
        <v>106</v>
      </c>
      <c r="T689" s="11">
        <v>0</v>
      </c>
    </row>
    <row r="690" spans="1:22" x14ac:dyDescent="0.25">
      <c r="A690" s="11">
        <v>101060401</v>
      </c>
      <c r="B690" s="11" t="s">
        <v>34</v>
      </c>
      <c r="C690" s="41">
        <v>44883</v>
      </c>
      <c r="D690" s="41">
        <v>44883</v>
      </c>
      <c r="E690" s="11" t="s">
        <v>60</v>
      </c>
      <c r="F690" s="11" t="s">
        <v>1674</v>
      </c>
      <c r="G690" s="11">
        <v>109282</v>
      </c>
      <c r="H690" s="11" t="s">
        <v>61</v>
      </c>
      <c r="K690" s="11">
        <v>201040506</v>
      </c>
      <c r="L690" s="11" t="s">
        <v>46</v>
      </c>
      <c r="M690" s="11"/>
      <c r="N690" s="11">
        <v>3315.8</v>
      </c>
      <c r="O690" s="42">
        <v>-3315.8</v>
      </c>
      <c r="P690" s="43" t="s">
        <v>4491</v>
      </c>
      <c r="Q690" s="11">
        <v>1314195.52</v>
      </c>
      <c r="R690" s="11" t="s">
        <v>1675</v>
      </c>
      <c r="S690" s="11" t="s">
        <v>40</v>
      </c>
      <c r="T690" s="11">
        <v>0</v>
      </c>
    </row>
    <row r="691" spans="1:22" x14ac:dyDescent="0.25">
      <c r="A691" s="11">
        <v>101060401</v>
      </c>
      <c r="B691" s="11" t="s">
        <v>34</v>
      </c>
      <c r="C691" s="41">
        <v>44883</v>
      </c>
      <c r="D691" s="41">
        <v>44883</v>
      </c>
      <c r="E691" s="11" t="s">
        <v>42</v>
      </c>
      <c r="F691" s="11" t="s">
        <v>1676</v>
      </c>
      <c r="G691" s="11">
        <v>109290</v>
      </c>
      <c r="H691" s="11" t="s">
        <v>226</v>
      </c>
      <c r="J691" s="11" t="s">
        <v>38</v>
      </c>
      <c r="K691" s="11">
        <v>51010101</v>
      </c>
      <c r="L691" s="11" t="s">
        <v>48</v>
      </c>
      <c r="M691" s="11">
        <v>143.1</v>
      </c>
      <c r="N691" s="11"/>
      <c r="O691" s="42">
        <v>143.1</v>
      </c>
      <c r="P691" s="43" t="s">
        <v>4489</v>
      </c>
      <c r="Q691" s="11">
        <v>1314338.6200000001</v>
      </c>
      <c r="R691" s="11" t="s">
        <v>1677</v>
      </c>
      <c r="S691" s="11" t="s">
        <v>40</v>
      </c>
      <c r="T691" s="11">
        <v>0</v>
      </c>
      <c r="V691" s="11" t="s">
        <v>41</v>
      </c>
    </row>
    <row r="692" spans="1:22" x14ac:dyDescent="0.25">
      <c r="A692" s="11">
        <v>101060401</v>
      </c>
      <c r="B692" s="11" t="s">
        <v>34</v>
      </c>
      <c r="C692" s="41">
        <v>44883</v>
      </c>
      <c r="D692" s="41">
        <v>44883</v>
      </c>
      <c r="E692" s="11" t="s">
        <v>60</v>
      </c>
      <c r="F692" s="11" t="s">
        <v>1678</v>
      </c>
      <c r="G692" s="11">
        <v>109291</v>
      </c>
      <c r="H692" s="11" t="s">
        <v>61</v>
      </c>
      <c r="K692" s="11">
        <v>201040506</v>
      </c>
      <c r="L692" s="11" t="s">
        <v>46</v>
      </c>
      <c r="M692" s="11"/>
      <c r="N692" s="11">
        <v>115.61</v>
      </c>
      <c r="O692" s="42">
        <v>-115.61</v>
      </c>
      <c r="P692" s="43" t="s">
        <v>4480</v>
      </c>
      <c r="Q692" s="11">
        <v>1314223.01</v>
      </c>
      <c r="R692" s="11" t="s">
        <v>1679</v>
      </c>
      <c r="S692" s="11" t="s">
        <v>40</v>
      </c>
      <c r="T692" s="11">
        <v>0</v>
      </c>
    </row>
    <row r="693" spans="1:22" x14ac:dyDescent="0.25">
      <c r="A693" s="11">
        <v>101060401</v>
      </c>
      <c r="B693" s="11" t="s">
        <v>34</v>
      </c>
      <c r="C693" s="41">
        <v>44886</v>
      </c>
      <c r="D693" s="41">
        <v>44886</v>
      </c>
      <c r="E693" s="11" t="s">
        <v>36</v>
      </c>
      <c r="F693" s="11" t="s">
        <v>1680</v>
      </c>
      <c r="G693" s="11">
        <v>108853</v>
      </c>
      <c r="H693" s="11" t="s">
        <v>37</v>
      </c>
      <c r="J693" s="11" t="s">
        <v>38</v>
      </c>
      <c r="K693" s="11">
        <v>401030105</v>
      </c>
      <c r="L693" s="11" t="s">
        <v>54</v>
      </c>
      <c r="M693" s="26">
        <v>103.39</v>
      </c>
      <c r="O693" s="44">
        <v>103.39</v>
      </c>
      <c r="P693" s="43" t="s">
        <v>4494</v>
      </c>
      <c r="Q693" s="11">
        <v>1314326.3999999999</v>
      </c>
      <c r="R693" s="11" t="s">
        <v>1681</v>
      </c>
      <c r="S693" s="11" t="s">
        <v>40</v>
      </c>
      <c r="T693" s="11">
        <v>0</v>
      </c>
      <c r="V693" s="11" t="s">
        <v>41</v>
      </c>
    </row>
    <row r="694" spans="1:22" x14ac:dyDescent="0.25">
      <c r="A694" s="11">
        <v>101060401</v>
      </c>
      <c r="B694" s="11" t="s">
        <v>34</v>
      </c>
      <c r="C694" s="41">
        <v>44886</v>
      </c>
      <c r="D694" s="41">
        <v>44886</v>
      </c>
      <c r="E694" s="11" t="s">
        <v>42</v>
      </c>
      <c r="F694" s="11" t="s">
        <v>1682</v>
      </c>
      <c r="G694" s="11">
        <v>108854</v>
      </c>
      <c r="H694" s="11" t="s">
        <v>64</v>
      </c>
      <c r="J694" s="11" t="s">
        <v>38</v>
      </c>
      <c r="K694" s="11">
        <v>51010101</v>
      </c>
      <c r="L694" s="11" t="s">
        <v>48</v>
      </c>
      <c r="M694" s="11"/>
      <c r="N694" s="11">
        <v>103.39</v>
      </c>
      <c r="O694" s="42">
        <v>-103.39</v>
      </c>
      <c r="P694" s="43" t="s">
        <v>4489</v>
      </c>
      <c r="Q694" s="11">
        <v>1314223.01</v>
      </c>
      <c r="R694" s="11" t="s">
        <v>1683</v>
      </c>
      <c r="S694" s="11" t="s">
        <v>40</v>
      </c>
      <c r="T694" s="11">
        <v>0</v>
      </c>
      <c r="V694" s="11" t="s">
        <v>41</v>
      </c>
    </row>
    <row r="695" spans="1:22" x14ac:dyDescent="0.25">
      <c r="A695" s="11">
        <v>101060401</v>
      </c>
      <c r="B695" s="11" t="s">
        <v>34</v>
      </c>
      <c r="C695" s="41">
        <v>44886</v>
      </c>
      <c r="D695" s="41">
        <v>44886</v>
      </c>
      <c r="E695" s="11" t="s">
        <v>42</v>
      </c>
      <c r="F695" s="11" t="s">
        <v>1684</v>
      </c>
      <c r="G695" s="11">
        <v>108859</v>
      </c>
      <c r="H695" s="11" t="s">
        <v>57</v>
      </c>
      <c r="K695" s="11">
        <v>101060402</v>
      </c>
      <c r="L695" s="11" t="s">
        <v>44</v>
      </c>
      <c r="M695" s="11"/>
      <c r="N695" s="11">
        <v>3.64</v>
      </c>
      <c r="O695" s="42">
        <v>-3.64</v>
      </c>
      <c r="P695" s="43" t="s">
        <v>4481</v>
      </c>
      <c r="Q695" s="11">
        <v>1314219.3700000001</v>
      </c>
      <c r="R695" s="11" t="s">
        <v>1685</v>
      </c>
      <c r="S695" s="11" t="s">
        <v>40</v>
      </c>
      <c r="T695" s="11">
        <v>0</v>
      </c>
    </row>
    <row r="696" spans="1:22" x14ac:dyDescent="0.25">
      <c r="A696" s="11">
        <v>101060401</v>
      </c>
      <c r="B696" s="11" t="s">
        <v>34</v>
      </c>
      <c r="C696" s="41">
        <v>44886</v>
      </c>
      <c r="D696" s="41">
        <v>44886</v>
      </c>
      <c r="E696" s="11" t="s">
        <v>42</v>
      </c>
      <c r="F696" s="11" t="s">
        <v>1686</v>
      </c>
      <c r="G696" s="11">
        <v>108860</v>
      </c>
      <c r="H696" s="11" t="s">
        <v>57</v>
      </c>
      <c r="K696" s="11">
        <v>101060402</v>
      </c>
      <c r="L696" s="11" t="s">
        <v>44</v>
      </c>
      <c r="M696" s="11">
        <v>31.18</v>
      </c>
      <c r="N696" s="11"/>
      <c r="O696" s="42">
        <v>31.18</v>
      </c>
      <c r="P696" s="43" t="s">
        <v>4481</v>
      </c>
      <c r="Q696" s="11">
        <v>1314250.55</v>
      </c>
      <c r="R696" s="11" t="s">
        <v>1687</v>
      </c>
      <c r="S696" s="11" t="s">
        <v>106</v>
      </c>
      <c r="T696" s="11">
        <v>0</v>
      </c>
    </row>
    <row r="697" spans="1:22" x14ac:dyDescent="0.25">
      <c r="A697" s="11">
        <v>101060401</v>
      </c>
      <c r="B697" s="11" t="s">
        <v>34</v>
      </c>
      <c r="C697" s="41">
        <v>44886</v>
      </c>
      <c r="D697" s="41">
        <v>44886</v>
      </c>
      <c r="E697" s="11" t="s">
        <v>36</v>
      </c>
      <c r="F697" s="11" t="s">
        <v>1688</v>
      </c>
      <c r="G697" s="11">
        <v>108861</v>
      </c>
      <c r="H697" s="11" t="s">
        <v>73</v>
      </c>
      <c r="K697" s="11">
        <v>201040506</v>
      </c>
      <c r="L697" s="11" t="s">
        <v>46</v>
      </c>
      <c r="M697" s="11">
        <v>1026</v>
      </c>
      <c r="N697" s="11"/>
      <c r="O697" s="42">
        <v>1026</v>
      </c>
      <c r="P697" s="43" t="s">
        <v>4480</v>
      </c>
      <c r="Q697" s="11">
        <v>1315276.55</v>
      </c>
      <c r="R697" s="11" t="s">
        <v>1689</v>
      </c>
      <c r="S697" s="11" t="s">
        <v>40</v>
      </c>
      <c r="T697" s="11">
        <v>0</v>
      </c>
    </row>
    <row r="698" spans="1:22" x14ac:dyDescent="0.25">
      <c r="A698" s="11">
        <v>101060401</v>
      </c>
      <c r="B698" s="11" t="s">
        <v>34</v>
      </c>
      <c r="C698" s="41">
        <v>44886</v>
      </c>
      <c r="D698" s="41">
        <v>44886</v>
      </c>
      <c r="E698" s="11" t="s">
        <v>42</v>
      </c>
      <c r="F698" s="11" t="s">
        <v>1690</v>
      </c>
      <c r="G698" s="11">
        <v>108862</v>
      </c>
      <c r="H698" s="11" t="s">
        <v>1691</v>
      </c>
      <c r="J698" s="11" t="s">
        <v>38</v>
      </c>
      <c r="K698" s="11">
        <v>51010101</v>
      </c>
      <c r="L698" s="11" t="s">
        <v>48</v>
      </c>
      <c r="M698" s="11"/>
      <c r="N698" s="11">
        <v>4039.87</v>
      </c>
      <c r="O698" s="42">
        <v>-4039.87</v>
      </c>
      <c r="P698" s="43" t="s">
        <v>4489</v>
      </c>
      <c r="Q698" s="11">
        <v>1311236.68</v>
      </c>
      <c r="R698" s="11" t="s">
        <v>1692</v>
      </c>
      <c r="S698" s="11" t="s">
        <v>40</v>
      </c>
      <c r="T698" s="11">
        <v>0</v>
      </c>
      <c r="V698" s="11" t="s">
        <v>41</v>
      </c>
    </row>
    <row r="699" spans="1:22" x14ac:dyDescent="0.25">
      <c r="A699" s="11">
        <v>101060401</v>
      </c>
      <c r="B699" s="11" t="s">
        <v>34</v>
      </c>
      <c r="C699" s="41">
        <v>44886</v>
      </c>
      <c r="D699" s="41">
        <v>44886</v>
      </c>
      <c r="E699" s="11" t="s">
        <v>42</v>
      </c>
      <c r="F699" s="11" t="s">
        <v>1693</v>
      </c>
      <c r="G699" s="11">
        <v>108863</v>
      </c>
      <c r="H699" s="11" t="s">
        <v>47</v>
      </c>
      <c r="J699" s="11" t="s">
        <v>38</v>
      </c>
      <c r="K699" s="11">
        <v>51010101</v>
      </c>
      <c r="L699" s="11" t="s">
        <v>48</v>
      </c>
      <c r="M699" s="11"/>
      <c r="N699" s="11">
        <v>13.61</v>
      </c>
      <c r="O699" s="42">
        <v>-13.61</v>
      </c>
      <c r="P699" s="43" t="s">
        <v>4489</v>
      </c>
      <c r="Q699" s="11">
        <v>1311223.07</v>
      </c>
      <c r="R699" s="11" t="s">
        <v>1694</v>
      </c>
      <c r="S699" s="11" t="s">
        <v>40</v>
      </c>
      <c r="T699" s="11">
        <v>0</v>
      </c>
      <c r="V699" s="11" t="s">
        <v>41</v>
      </c>
    </row>
    <row r="700" spans="1:22" x14ac:dyDescent="0.25">
      <c r="A700" s="11">
        <v>101060401</v>
      </c>
      <c r="B700" s="11" t="s">
        <v>34</v>
      </c>
      <c r="C700" s="41">
        <v>44886</v>
      </c>
      <c r="D700" s="41">
        <v>44886</v>
      </c>
      <c r="E700" s="11" t="s">
        <v>42</v>
      </c>
      <c r="F700" s="11" t="s">
        <v>1695</v>
      </c>
      <c r="G700" s="11">
        <v>108864</v>
      </c>
      <c r="H700" s="11" t="s">
        <v>1696</v>
      </c>
      <c r="J700" s="11" t="s">
        <v>38</v>
      </c>
      <c r="K700" s="11">
        <v>51010101</v>
      </c>
      <c r="L700" s="11" t="s">
        <v>48</v>
      </c>
      <c r="M700" s="11"/>
      <c r="N700" s="11">
        <v>12.6</v>
      </c>
      <c r="O700" s="42">
        <v>-12.6</v>
      </c>
      <c r="P700" s="43" t="s">
        <v>4489</v>
      </c>
      <c r="Q700" s="11">
        <v>1311210.47</v>
      </c>
      <c r="R700" s="11" t="s">
        <v>1697</v>
      </c>
      <c r="S700" s="11" t="s">
        <v>40</v>
      </c>
      <c r="T700" s="11">
        <v>0</v>
      </c>
      <c r="V700" s="11" t="s">
        <v>41</v>
      </c>
    </row>
    <row r="701" spans="1:22" x14ac:dyDescent="0.25">
      <c r="A701" s="11">
        <v>101060401</v>
      </c>
      <c r="B701" s="11" t="s">
        <v>34</v>
      </c>
      <c r="C701" s="41">
        <v>44886</v>
      </c>
      <c r="D701" s="41">
        <v>44886</v>
      </c>
      <c r="E701" s="11" t="s">
        <v>42</v>
      </c>
      <c r="F701" s="11" t="s">
        <v>1698</v>
      </c>
      <c r="G701" s="11">
        <v>108866</v>
      </c>
      <c r="H701" s="11" t="s">
        <v>1699</v>
      </c>
      <c r="J701" s="11" t="s">
        <v>38</v>
      </c>
      <c r="K701" s="11" t="s">
        <v>1700</v>
      </c>
      <c r="L701" s="11" t="s">
        <v>1701</v>
      </c>
      <c r="M701" s="11">
        <v>12.6</v>
      </c>
      <c r="N701" s="11"/>
      <c r="O701" s="42">
        <v>12.6</v>
      </c>
      <c r="P701" s="43" t="s">
        <v>4488</v>
      </c>
      <c r="Q701" s="11">
        <v>1311223.07</v>
      </c>
      <c r="R701" s="11" t="s">
        <v>1702</v>
      </c>
      <c r="S701" s="11" t="s">
        <v>69</v>
      </c>
      <c r="T701" s="11">
        <v>0</v>
      </c>
      <c r="V701" s="11" t="s">
        <v>41</v>
      </c>
    </row>
    <row r="702" spans="1:22" x14ac:dyDescent="0.25">
      <c r="A702" s="11">
        <v>101060401</v>
      </c>
      <c r="B702" s="11" t="s">
        <v>34</v>
      </c>
      <c r="C702" s="41">
        <v>44886</v>
      </c>
      <c r="D702" s="41">
        <v>44886</v>
      </c>
      <c r="E702" s="11" t="s">
        <v>36</v>
      </c>
      <c r="F702" s="11" t="s">
        <v>1703</v>
      </c>
      <c r="G702" s="11">
        <v>108867</v>
      </c>
      <c r="H702" s="11" t="s">
        <v>52</v>
      </c>
      <c r="K702" s="11">
        <v>201040506</v>
      </c>
      <c r="L702" s="11" t="s">
        <v>46</v>
      </c>
      <c r="M702" s="11">
        <v>1200</v>
      </c>
      <c r="N702" s="11"/>
      <c r="O702" s="42">
        <v>1200</v>
      </c>
      <c r="P702" s="43" t="s">
        <v>4480</v>
      </c>
      <c r="Q702" s="11">
        <v>1312423.07</v>
      </c>
      <c r="R702" s="11" t="s">
        <v>1704</v>
      </c>
      <c r="S702" s="11" t="s">
        <v>40</v>
      </c>
      <c r="T702" s="11">
        <v>0</v>
      </c>
    </row>
    <row r="703" spans="1:22" x14ac:dyDescent="0.25">
      <c r="A703" s="11">
        <v>101060401</v>
      </c>
      <c r="B703" s="11" t="s">
        <v>34</v>
      </c>
      <c r="C703" s="41">
        <v>44886</v>
      </c>
      <c r="D703" s="41">
        <v>44886</v>
      </c>
      <c r="E703" s="11" t="s">
        <v>42</v>
      </c>
      <c r="F703" s="11" t="s">
        <v>1705</v>
      </c>
      <c r="G703" s="11">
        <v>108868</v>
      </c>
      <c r="H703" s="11" t="s">
        <v>57</v>
      </c>
      <c r="K703" s="11">
        <v>101060402</v>
      </c>
      <c r="L703" s="11" t="s">
        <v>44</v>
      </c>
      <c r="M703" s="11"/>
      <c r="N703" s="11">
        <v>17486.71</v>
      </c>
      <c r="O703" s="42">
        <v>-17486.71</v>
      </c>
      <c r="P703" s="43" t="s">
        <v>4481</v>
      </c>
      <c r="Q703" s="11">
        <v>1294936.3600000001</v>
      </c>
      <c r="R703" s="11" t="s">
        <v>1706</v>
      </c>
      <c r="S703" s="11" t="s">
        <v>40</v>
      </c>
      <c r="T703" s="11">
        <v>0</v>
      </c>
    </row>
    <row r="704" spans="1:22" x14ac:dyDescent="0.25">
      <c r="A704" s="11">
        <v>101060401</v>
      </c>
      <c r="B704" s="11" t="s">
        <v>34</v>
      </c>
      <c r="C704" s="41">
        <v>44886</v>
      </c>
      <c r="D704" s="41">
        <v>44886</v>
      </c>
      <c r="E704" s="11" t="s">
        <v>42</v>
      </c>
      <c r="F704" s="11" t="s">
        <v>1707</v>
      </c>
      <c r="G704" s="11">
        <v>108869</v>
      </c>
      <c r="H704" s="11" t="s">
        <v>72</v>
      </c>
      <c r="J704" s="11" t="s">
        <v>38</v>
      </c>
      <c r="K704" s="11">
        <v>51010101</v>
      </c>
      <c r="L704" s="11" t="s">
        <v>48</v>
      </c>
      <c r="M704" s="11"/>
      <c r="N704" s="11">
        <v>17.850000000000001</v>
      </c>
      <c r="O704" s="42">
        <v>-17.850000000000001</v>
      </c>
      <c r="P704" s="43" t="s">
        <v>4489</v>
      </c>
      <c r="Q704" s="11">
        <v>1294918.51</v>
      </c>
      <c r="R704" s="11" t="s">
        <v>1708</v>
      </c>
      <c r="S704" s="11" t="s">
        <v>40</v>
      </c>
      <c r="T704" s="11">
        <v>0</v>
      </c>
      <c r="V704" s="11" t="s">
        <v>41</v>
      </c>
    </row>
    <row r="705" spans="1:22" x14ac:dyDescent="0.25">
      <c r="A705" s="11">
        <v>101060401</v>
      </c>
      <c r="B705" s="11" t="s">
        <v>34</v>
      </c>
      <c r="C705" s="41">
        <v>44886</v>
      </c>
      <c r="D705" s="41">
        <v>44886</v>
      </c>
      <c r="E705" s="11" t="s">
        <v>36</v>
      </c>
      <c r="F705" s="11" t="s">
        <v>1709</v>
      </c>
      <c r="G705" s="11">
        <v>108870</v>
      </c>
      <c r="H705" s="11" t="s">
        <v>118</v>
      </c>
      <c r="K705" s="11">
        <v>201040506</v>
      </c>
      <c r="L705" s="11" t="s">
        <v>46</v>
      </c>
      <c r="M705" s="11">
        <v>1600</v>
      </c>
      <c r="N705" s="11"/>
      <c r="O705" s="42">
        <v>1600</v>
      </c>
      <c r="P705" s="43" t="s">
        <v>4480</v>
      </c>
      <c r="Q705" s="11">
        <v>1296518.51</v>
      </c>
      <c r="R705" s="11" t="s">
        <v>1710</v>
      </c>
      <c r="S705" s="11" t="s">
        <v>40</v>
      </c>
      <c r="T705" s="11">
        <v>0</v>
      </c>
    </row>
    <row r="706" spans="1:22" x14ac:dyDescent="0.25">
      <c r="A706" s="11">
        <v>101060401</v>
      </c>
      <c r="B706" s="11" t="s">
        <v>34</v>
      </c>
      <c r="C706" s="41">
        <v>44886</v>
      </c>
      <c r="D706" s="41">
        <v>44886</v>
      </c>
      <c r="E706" s="11" t="s">
        <v>42</v>
      </c>
      <c r="F706" s="11" t="s">
        <v>1711</v>
      </c>
      <c r="G706" s="11">
        <v>108871</v>
      </c>
      <c r="H706" s="11" t="s">
        <v>47</v>
      </c>
      <c r="J706" s="11" t="s">
        <v>38</v>
      </c>
      <c r="K706" s="11">
        <v>51010101</v>
      </c>
      <c r="L706" s="11" t="s">
        <v>48</v>
      </c>
      <c r="M706" s="11"/>
      <c r="N706" s="11">
        <v>1600</v>
      </c>
      <c r="O706" s="42">
        <v>-1600</v>
      </c>
      <c r="P706" s="43" t="s">
        <v>4489</v>
      </c>
      <c r="Q706" s="11">
        <v>1294918.51</v>
      </c>
      <c r="R706" s="11" t="s">
        <v>1712</v>
      </c>
      <c r="S706" s="11" t="s">
        <v>40</v>
      </c>
      <c r="T706" s="11">
        <v>0</v>
      </c>
      <c r="V706" s="11" t="s">
        <v>41</v>
      </c>
    </row>
    <row r="707" spans="1:22" x14ac:dyDescent="0.25">
      <c r="A707" s="11">
        <v>101060401</v>
      </c>
      <c r="B707" s="11" t="s">
        <v>34</v>
      </c>
      <c r="C707" s="41">
        <v>44886</v>
      </c>
      <c r="D707" s="41">
        <v>44886</v>
      </c>
      <c r="E707" s="11" t="s">
        <v>42</v>
      </c>
      <c r="F707" s="11" t="s">
        <v>1713</v>
      </c>
      <c r="G707" s="11">
        <v>108878</v>
      </c>
      <c r="H707" s="11" t="s">
        <v>282</v>
      </c>
      <c r="J707" s="11" t="s">
        <v>38</v>
      </c>
      <c r="K707" s="11">
        <v>51010101</v>
      </c>
      <c r="L707" s="11" t="s">
        <v>48</v>
      </c>
      <c r="M707" s="11"/>
      <c r="N707" s="11">
        <v>887.27</v>
      </c>
      <c r="O707" s="42">
        <v>-887.27</v>
      </c>
      <c r="P707" s="43" t="s">
        <v>4489</v>
      </c>
      <c r="Q707" s="11">
        <v>1294031.24</v>
      </c>
      <c r="R707" s="11" t="s">
        <v>1714</v>
      </c>
      <c r="S707" s="11" t="s">
        <v>40</v>
      </c>
      <c r="T707" s="11">
        <v>0</v>
      </c>
      <c r="V707" s="11" t="s">
        <v>41</v>
      </c>
    </row>
    <row r="708" spans="1:22" x14ac:dyDescent="0.25">
      <c r="A708" s="11">
        <v>101060401</v>
      </c>
      <c r="B708" s="11" t="s">
        <v>34</v>
      </c>
      <c r="C708" s="41">
        <v>44886</v>
      </c>
      <c r="D708" s="41">
        <v>44886</v>
      </c>
      <c r="E708" s="11" t="s">
        <v>36</v>
      </c>
      <c r="F708" s="11" t="s">
        <v>1715</v>
      </c>
      <c r="G708" s="11">
        <v>108882</v>
      </c>
      <c r="H708" s="11" t="s">
        <v>75</v>
      </c>
      <c r="J708" s="11" t="s">
        <v>38</v>
      </c>
      <c r="K708" s="11">
        <v>51010101</v>
      </c>
      <c r="L708" s="11" t="s">
        <v>48</v>
      </c>
      <c r="M708" s="11"/>
      <c r="N708" s="11">
        <v>344.7</v>
      </c>
      <c r="O708" s="42">
        <v>-344.7</v>
      </c>
      <c r="P708" s="43" t="s">
        <v>4489</v>
      </c>
      <c r="Q708" s="11">
        <v>1293686.54</v>
      </c>
      <c r="R708" s="11" t="s">
        <v>1716</v>
      </c>
      <c r="S708" s="11" t="s">
        <v>40</v>
      </c>
      <c r="T708" s="11">
        <v>0</v>
      </c>
      <c r="V708" s="11" t="s">
        <v>41</v>
      </c>
    </row>
    <row r="709" spans="1:22" x14ac:dyDescent="0.25">
      <c r="A709" s="11">
        <v>101060401</v>
      </c>
      <c r="B709" s="11" t="s">
        <v>34</v>
      </c>
      <c r="C709" s="41">
        <v>44886</v>
      </c>
      <c r="D709" s="41">
        <v>44886</v>
      </c>
      <c r="E709" s="11" t="s">
        <v>42</v>
      </c>
      <c r="F709" s="11" t="s">
        <v>1717</v>
      </c>
      <c r="G709" s="11">
        <v>108885</v>
      </c>
      <c r="H709" s="11" t="s">
        <v>47</v>
      </c>
      <c r="J709" s="11" t="s">
        <v>38</v>
      </c>
      <c r="K709" s="11">
        <v>51010101</v>
      </c>
      <c r="L709" s="11" t="s">
        <v>48</v>
      </c>
      <c r="M709" s="11"/>
      <c r="N709" s="11">
        <v>121.61</v>
      </c>
      <c r="O709" s="42">
        <v>-121.61</v>
      </c>
      <c r="P709" s="43" t="s">
        <v>4489</v>
      </c>
      <c r="Q709" s="11">
        <v>1293564.93</v>
      </c>
      <c r="R709" s="11" t="s">
        <v>1718</v>
      </c>
      <c r="S709" s="11" t="s">
        <v>40</v>
      </c>
      <c r="T709" s="11">
        <v>0</v>
      </c>
      <c r="V709" s="11" t="s">
        <v>41</v>
      </c>
    </row>
    <row r="710" spans="1:22" x14ac:dyDescent="0.25">
      <c r="A710" s="11">
        <v>101060401</v>
      </c>
      <c r="B710" s="11" t="s">
        <v>34</v>
      </c>
      <c r="C710" s="41">
        <v>44886</v>
      </c>
      <c r="D710" s="41">
        <v>44886</v>
      </c>
      <c r="E710" s="11" t="s">
        <v>36</v>
      </c>
      <c r="F710" s="11" t="s">
        <v>1719</v>
      </c>
      <c r="G710" s="11">
        <v>108886</v>
      </c>
      <c r="H710" s="11" t="s">
        <v>37</v>
      </c>
      <c r="J710" s="11" t="s">
        <v>38</v>
      </c>
      <c r="K710" s="11">
        <v>401030105</v>
      </c>
      <c r="L710" s="11" t="s">
        <v>54</v>
      </c>
      <c r="M710" s="26">
        <v>389.71</v>
      </c>
      <c r="O710" s="44">
        <v>389.71</v>
      </c>
      <c r="P710" s="43" t="s">
        <v>4494</v>
      </c>
      <c r="Q710" s="11">
        <v>1293954.6399999999</v>
      </c>
      <c r="R710" s="11" t="s">
        <v>1720</v>
      </c>
      <c r="S710" s="11" t="s">
        <v>40</v>
      </c>
      <c r="T710" s="11">
        <v>0</v>
      </c>
      <c r="V710" s="11" t="s">
        <v>41</v>
      </c>
    </row>
    <row r="711" spans="1:22" x14ac:dyDescent="0.25">
      <c r="A711" s="11">
        <v>101060401</v>
      </c>
      <c r="B711" s="11" t="s">
        <v>34</v>
      </c>
      <c r="C711" s="41">
        <v>44886</v>
      </c>
      <c r="D711" s="41">
        <v>44886</v>
      </c>
      <c r="E711" s="11" t="s">
        <v>42</v>
      </c>
      <c r="F711" s="11" t="s">
        <v>1721</v>
      </c>
      <c r="G711" s="11">
        <v>108887</v>
      </c>
      <c r="H711" s="11" t="s">
        <v>141</v>
      </c>
      <c r="J711" s="11" t="s">
        <v>38</v>
      </c>
      <c r="K711" s="11">
        <v>51010101</v>
      </c>
      <c r="L711" s="11" t="s">
        <v>48</v>
      </c>
      <c r="M711" s="11"/>
      <c r="N711" s="11">
        <v>389.71</v>
      </c>
      <c r="O711" s="42">
        <v>-389.71</v>
      </c>
      <c r="P711" s="43" t="s">
        <v>4489</v>
      </c>
      <c r="Q711" s="11">
        <v>1293564.93</v>
      </c>
      <c r="R711" s="11" t="s">
        <v>1722</v>
      </c>
      <c r="S711" s="11" t="s">
        <v>40</v>
      </c>
      <c r="T711" s="11">
        <v>0</v>
      </c>
      <c r="V711" s="11" t="s">
        <v>41</v>
      </c>
    </row>
    <row r="712" spans="1:22" x14ac:dyDescent="0.25">
      <c r="A712" s="11">
        <v>101060401</v>
      </c>
      <c r="B712" s="11" t="s">
        <v>34</v>
      </c>
      <c r="C712" s="41">
        <v>44886</v>
      </c>
      <c r="D712" s="41">
        <v>44886</v>
      </c>
      <c r="E712" s="11" t="s">
        <v>42</v>
      </c>
      <c r="F712" s="11" t="s">
        <v>1723</v>
      </c>
      <c r="G712" s="11">
        <v>108888</v>
      </c>
      <c r="H712" s="11" t="s">
        <v>88</v>
      </c>
      <c r="J712" s="11" t="s">
        <v>38</v>
      </c>
      <c r="K712" s="11">
        <v>51010101</v>
      </c>
      <c r="L712" s="11" t="s">
        <v>48</v>
      </c>
      <c r="M712" s="11">
        <v>121.61</v>
      </c>
      <c r="N712" s="11"/>
      <c r="O712" s="42">
        <v>121.61</v>
      </c>
      <c r="P712" s="43" t="s">
        <v>4489</v>
      </c>
      <c r="Q712" s="11">
        <v>1293686.54</v>
      </c>
      <c r="R712" s="11" t="s">
        <v>1724</v>
      </c>
      <c r="S712" s="11" t="s">
        <v>40</v>
      </c>
      <c r="T712" s="11">
        <v>0</v>
      </c>
      <c r="V712" s="11" t="s">
        <v>41</v>
      </c>
    </row>
    <row r="713" spans="1:22" x14ac:dyDescent="0.25">
      <c r="A713" s="11">
        <v>101060401</v>
      </c>
      <c r="B713" s="11" t="s">
        <v>34</v>
      </c>
      <c r="C713" s="41">
        <v>44886</v>
      </c>
      <c r="D713" s="41">
        <v>44886</v>
      </c>
      <c r="E713" s="11" t="s">
        <v>42</v>
      </c>
      <c r="F713" s="11" t="s">
        <v>1725</v>
      </c>
      <c r="G713" s="11">
        <v>108889</v>
      </c>
      <c r="H713" s="11" t="s">
        <v>47</v>
      </c>
      <c r="J713" s="11" t="s">
        <v>38</v>
      </c>
      <c r="K713" s="11">
        <v>51010101</v>
      </c>
      <c r="L713" s="11" t="s">
        <v>48</v>
      </c>
      <c r="M713" s="11"/>
      <c r="N713" s="11">
        <v>96.66</v>
      </c>
      <c r="O713" s="42">
        <v>-96.66</v>
      </c>
      <c r="P713" s="43" t="s">
        <v>4489</v>
      </c>
      <c r="Q713" s="11">
        <v>1293589.8799999999</v>
      </c>
      <c r="R713" s="11" t="s">
        <v>1726</v>
      </c>
      <c r="S713" s="11" t="s">
        <v>40</v>
      </c>
      <c r="T713" s="11">
        <v>0</v>
      </c>
      <c r="V713" s="11" t="s">
        <v>41</v>
      </c>
    </row>
    <row r="714" spans="1:22" x14ac:dyDescent="0.25">
      <c r="A714" s="11">
        <v>101060401</v>
      </c>
      <c r="B714" s="11" t="s">
        <v>34</v>
      </c>
      <c r="C714" s="41">
        <v>44886</v>
      </c>
      <c r="D714" s="41">
        <v>44886</v>
      </c>
      <c r="E714" s="11" t="s">
        <v>42</v>
      </c>
      <c r="F714" s="11" t="s">
        <v>1727</v>
      </c>
      <c r="G714" s="11">
        <v>108893</v>
      </c>
      <c r="H714" s="11" t="s">
        <v>47</v>
      </c>
      <c r="J714" s="11" t="s">
        <v>38</v>
      </c>
      <c r="K714" s="11">
        <v>51010101</v>
      </c>
      <c r="L714" s="11" t="s">
        <v>48</v>
      </c>
      <c r="M714" s="11"/>
      <c r="N714" s="11">
        <v>918.84</v>
      </c>
      <c r="O714" s="42">
        <v>-918.84</v>
      </c>
      <c r="P714" s="43" t="s">
        <v>4489</v>
      </c>
      <c r="Q714" s="11">
        <v>1292671.04</v>
      </c>
      <c r="R714" s="11" t="s">
        <v>1728</v>
      </c>
      <c r="S714" s="11" t="s">
        <v>40</v>
      </c>
      <c r="T714" s="11">
        <v>0</v>
      </c>
      <c r="V714" s="11" t="s">
        <v>41</v>
      </c>
    </row>
    <row r="715" spans="1:22" x14ac:dyDescent="0.25">
      <c r="A715" s="11">
        <v>101060401</v>
      </c>
      <c r="B715" s="11" t="s">
        <v>34</v>
      </c>
      <c r="C715" s="41">
        <v>44886</v>
      </c>
      <c r="D715" s="41">
        <v>44886</v>
      </c>
      <c r="E715" s="11" t="s">
        <v>42</v>
      </c>
      <c r="F715" s="11" t="s">
        <v>1729</v>
      </c>
      <c r="G715" s="11">
        <v>108894</v>
      </c>
      <c r="H715" s="11" t="s">
        <v>47</v>
      </c>
      <c r="J715" s="11" t="s">
        <v>38</v>
      </c>
      <c r="K715" s="11">
        <v>51010101</v>
      </c>
      <c r="L715" s="11" t="s">
        <v>48</v>
      </c>
      <c r="M715" s="11"/>
      <c r="N715" s="11">
        <v>1200</v>
      </c>
      <c r="O715" s="42">
        <v>-1200</v>
      </c>
      <c r="P715" s="43" t="s">
        <v>4489</v>
      </c>
      <c r="Q715" s="11">
        <v>1291471.04</v>
      </c>
      <c r="R715" s="11" t="s">
        <v>1730</v>
      </c>
      <c r="S715" s="11" t="s">
        <v>40</v>
      </c>
      <c r="T715" s="11">
        <v>0</v>
      </c>
      <c r="V715" s="11" t="s">
        <v>41</v>
      </c>
    </row>
    <row r="716" spans="1:22" x14ac:dyDescent="0.25">
      <c r="A716" s="11">
        <v>101060401</v>
      </c>
      <c r="B716" s="11" t="s">
        <v>34</v>
      </c>
      <c r="C716" s="41">
        <v>44886</v>
      </c>
      <c r="D716" s="41">
        <v>44886</v>
      </c>
      <c r="E716" s="11" t="s">
        <v>42</v>
      </c>
      <c r="F716" s="11" t="s">
        <v>1731</v>
      </c>
      <c r="G716" s="11">
        <v>108896</v>
      </c>
      <c r="H716" s="11" t="s">
        <v>63</v>
      </c>
      <c r="J716" s="11" t="s">
        <v>38</v>
      </c>
      <c r="K716" s="11">
        <v>51010101</v>
      </c>
      <c r="L716" s="11" t="s">
        <v>48</v>
      </c>
      <c r="M716" s="11"/>
      <c r="N716" s="11">
        <v>106.05</v>
      </c>
      <c r="O716" s="42">
        <v>-106.05</v>
      </c>
      <c r="P716" s="43" t="s">
        <v>4489</v>
      </c>
      <c r="Q716" s="11">
        <v>1291364.99</v>
      </c>
      <c r="R716" s="11" t="s">
        <v>1732</v>
      </c>
      <c r="S716" s="11" t="s">
        <v>40</v>
      </c>
      <c r="T716" s="11">
        <v>0</v>
      </c>
      <c r="V716" s="11" t="s">
        <v>41</v>
      </c>
    </row>
    <row r="717" spans="1:22" x14ac:dyDescent="0.25">
      <c r="A717" s="11">
        <v>101060401</v>
      </c>
      <c r="B717" s="11" t="s">
        <v>34</v>
      </c>
      <c r="C717" s="41">
        <v>44886</v>
      </c>
      <c r="D717" s="41">
        <v>44886</v>
      </c>
      <c r="E717" s="11" t="s">
        <v>42</v>
      </c>
      <c r="F717" s="11" t="s">
        <v>1733</v>
      </c>
      <c r="G717" s="11">
        <v>108897</v>
      </c>
      <c r="H717" s="11" t="s">
        <v>94</v>
      </c>
      <c r="J717" s="11" t="s">
        <v>38</v>
      </c>
      <c r="K717" s="11">
        <v>51010101</v>
      </c>
      <c r="L717" s="11" t="s">
        <v>48</v>
      </c>
      <c r="M717" s="11"/>
      <c r="N717" s="11">
        <v>262.45999999999998</v>
      </c>
      <c r="O717" s="42">
        <v>-262.45999999999998</v>
      </c>
      <c r="P717" s="43" t="s">
        <v>4489</v>
      </c>
      <c r="Q717" s="11">
        <v>1291102.53</v>
      </c>
      <c r="R717" s="11" t="s">
        <v>1734</v>
      </c>
      <c r="S717" s="11" t="s">
        <v>40</v>
      </c>
      <c r="T717" s="11">
        <v>0</v>
      </c>
      <c r="V717" s="11" t="s">
        <v>41</v>
      </c>
    </row>
    <row r="718" spans="1:22" x14ac:dyDescent="0.25">
      <c r="A718" s="11">
        <v>101060401</v>
      </c>
      <c r="B718" s="11" t="s">
        <v>34</v>
      </c>
      <c r="C718" s="41">
        <v>44886</v>
      </c>
      <c r="D718" s="41">
        <v>44886</v>
      </c>
      <c r="E718" s="11" t="s">
        <v>42</v>
      </c>
      <c r="F718" s="11" t="s">
        <v>1735</v>
      </c>
      <c r="G718" s="11">
        <v>108898</v>
      </c>
      <c r="H718" s="11" t="s">
        <v>57</v>
      </c>
      <c r="K718" s="11">
        <v>101060402</v>
      </c>
      <c r="L718" s="11" t="s">
        <v>44</v>
      </c>
      <c r="M718" s="11">
        <v>40.29</v>
      </c>
      <c r="N718" s="11"/>
      <c r="O718" s="42">
        <v>40.29</v>
      </c>
      <c r="P718" s="43" t="s">
        <v>4481</v>
      </c>
      <c r="Q718" s="11">
        <v>1291142.82</v>
      </c>
      <c r="R718" s="11" t="s">
        <v>1736</v>
      </c>
      <c r="S718" s="11" t="s">
        <v>106</v>
      </c>
      <c r="T718" s="11">
        <v>0</v>
      </c>
    </row>
    <row r="719" spans="1:22" x14ac:dyDescent="0.25">
      <c r="A719" s="11">
        <v>101060401</v>
      </c>
      <c r="B719" s="11" t="s">
        <v>34</v>
      </c>
      <c r="C719" s="41">
        <v>44886</v>
      </c>
      <c r="D719" s="41">
        <v>44886</v>
      </c>
      <c r="E719" s="11" t="s">
        <v>42</v>
      </c>
      <c r="F719" s="11" t="s">
        <v>1737</v>
      </c>
      <c r="G719" s="11">
        <v>109273</v>
      </c>
      <c r="H719" s="11" t="s">
        <v>88</v>
      </c>
      <c r="J719" s="11" t="s">
        <v>38</v>
      </c>
      <c r="K719" s="11">
        <v>51010101</v>
      </c>
      <c r="L719" s="11" t="s">
        <v>48</v>
      </c>
      <c r="M719" s="11">
        <v>1200</v>
      </c>
      <c r="N719" s="11"/>
      <c r="O719" s="42">
        <v>1200</v>
      </c>
      <c r="P719" s="43" t="s">
        <v>4489</v>
      </c>
      <c r="Q719" s="11">
        <v>1292342.82</v>
      </c>
      <c r="R719" s="11" t="s">
        <v>1704</v>
      </c>
      <c r="S719" s="11" t="s">
        <v>40</v>
      </c>
      <c r="T719" s="11">
        <v>0</v>
      </c>
      <c r="V719" s="11" t="s">
        <v>41</v>
      </c>
    </row>
    <row r="720" spans="1:22" x14ac:dyDescent="0.25">
      <c r="A720" s="11">
        <v>101060401</v>
      </c>
      <c r="B720" s="11" t="s">
        <v>34</v>
      </c>
      <c r="C720" s="41">
        <v>44886</v>
      </c>
      <c r="D720" s="41">
        <v>44886</v>
      </c>
      <c r="E720" s="11" t="s">
        <v>60</v>
      </c>
      <c r="F720" s="11" t="s">
        <v>1738</v>
      </c>
      <c r="G720" s="11">
        <v>109274</v>
      </c>
      <c r="H720" s="11" t="s">
        <v>61</v>
      </c>
      <c r="K720" s="11">
        <v>201040506</v>
      </c>
      <c r="L720" s="11" t="s">
        <v>46</v>
      </c>
      <c r="M720" s="11"/>
      <c r="N720" s="11">
        <v>1200</v>
      </c>
      <c r="O720" s="42">
        <v>-1200</v>
      </c>
      <c r="P720" s="43" t="s">
        <v>4480</v>
      </c>
      <c r="Q720" s="11">
        <v>1291142.82</v>
      </c>
      <c r="R720" s="11" t="s">
        <v>1730</v>
      </c>
      <c r="S720" s="11" t="s">
        <v>40</v>
      </c>
      <c r="T720" s="11">
        <v>0</v>
      </c>
    </row>
    <row r="721" spans="1:22" x14ac:dyDescent="0.25">
      <c r="A721" s="11">
        <v>101060401</v>
      </c>
      <c r="B721" s="11" t="s">
        <v>34</v>
      </c>
      <c r="C721" s="41">
        <v>44886</v>
      </c>
      <c r="D721" s="41">
        <v>44886</v>
      </c>
      <c r="E721" s="11" t="s">
        <v>42</v>
      </c>
      <c r="F721" s="11" t="s">
        <v>1739</v>
      </c>
      <c r="G721" s="11">
        <v>109295</v>
      </c>
      <c r="H721" s="11" t="s">
        <v>88</v>
      </c>
      <c r="J721" s="11" t="s">
        <v>38</v>
      </c>
      <c r="K721" s="11">
        <v>51010101</v>
      </c>
      <c r="L721" s="11" t="s">
        <v>48</v>
      </c>
      <c r="M721" s="11">
        <v>1600</v>
      </c>
      <c r="N721" s="11"/>
      <c r="O721" s="42">
        <v>1600</v>
      </c>
      <c r="P721" s="43" t="s">
        <v>4489</v>
      </c>
      <c r="Q721" s="11">
        <v>1292742.82</v>
      </c>
      <c r="R721" s="11" t="s">
        <v>1710</v>
      </c>
      <c r="S721" s="11" t="s">
        <v>40</v>
      </c>
      <c r="T721" s="11">
        <v>0</v>
      </c>
      <c r="V721" s="11" t="s">
        <v>41</v>
      </c>
    </row>
    <row r="722" spans="1:22" x14ac:dyDescent="0.25">
      <c r="A722" s="11">
        <v>101060401</v>
      </c>
      <c r="B722" s="11" t="s">
        <v>34</v>
      </c>
      <c r="C722" s="41">
        <v>44886</v>
      </c>
      <c r="D722" s="41">
        <v>44886</v>
      </c>
      <c r="E722" s="11" t="s">
        <v>60</v>
      </c>
      <c r="F722" s="11" t="s">
        <v>1740</v>
      </c>
      <c r="G722" s="11">
        <v>109296</v>
      </c>
      <c r="H722" s="11" t="s">
        <v>61</v>
      </c>
      <c r="K722" s="11">
        <v>201040506</v>
      </c>
      <c r="L722" s="11" t="s">
        <v>46</v>
      </c>
      <c r="M722" s="11"/>
      <c r="N722" s="11">
        <v>1600</v>
      </c>
      <c r="O722" s="42">
        <v>-1600</v>
      </c>
      <c r="P722" s="43" t="s">
        <v>4480</v>
      </c>
      <c r="Q722" s="11">
        <v>1291142.82</v>
      </c>
      <c r="R722" s="11" t="s">
        <v>1712</v>
      </c>
      <c r="S722" s="11" t="s">
        <v>40</v>
      </c>
      <c r="T722" s="11">
        <v>0</v>
      </c>
    </row>
    <row r="723" spans="1:22" x14ac:dyDescent="0.25">
      <c r="A723" s="11">
        <v>101060401</v>
      </c>
      <c r="B723" s="11" t="s">
        <v>34</v>
      </c>
      <c r="C723" s="41">
        <v>44887</v>
      </c>
      <c r="D723" s="41">
        <v>44887</v>
      </c>
      <c r="E723" s="11" t="s">
        <v>42</v>
      </c>
      <c r="F723" s="11" t="s">
        <v>1741</v>
      </c>
      <c r="G723" s="11">
        <v>108914</v>
      </c>
      <c r="H723" s="11" t="s">
        <v>57</v>
      </c>
      <c r="K723" s="11">
        <v>101060407</v>
      </c>
      <c r="L723" s="11" t="s">
        <v>78</v>
      </c>
      <c r="M723" s="11"/>
      <c r="N723" s="11">
        <v>116.79</v>
      </c>
      <c r="O723" s="42">
        <v>-116.79</v>
      </c>
      <c r="P723" s="43" t="s">
        <v>4481</v>
      </c>
      <c r="Q723" s="11">
        <v>1291026.03</v>
      </c>
      <c r="R723" s="11" t="s">
        <v>1742</v>
      </c>
      <c r="S723" s="11" t="s">
        <v>40</v>
      </c>
      <c r="T723" s="11">
        <v>0</v>
      </c>
    </row>
    <row r="724" spans="1:22" x14ac:dyDescent="0.25">
      <c r="A724" s="11">
        <v>101060401</v>
      </c>
      <c r="B724" s="11" t="s">
        <v>34</v>
      </c>
      <c r="C724" s="41">
        <v>44887</v>
      </c>
      <c r="D724" s="41">
        <v>44887</v>
      </c>
      <c r="E724" s="11" t="s">
        <v>36</v>
      </c>
      <c r="F724" s="11" t="s">
        <v>1743</v>
      </c>
      <c r="G724" s="11">
        <v>108918</v>
      </c>
      <c r="H724" s="11" t="s">
        <v>1744</v>
      </c>
      <c r="J724" s="11" t="s">
        <v>38</v>
      </c>
      <c r="K724" s="11">
        <v>401030105</v>
      </c>
      <c r="L724" s="11" t="s">
        <v>54</v>
      </c>
      <c r="M724" s="26">
        <v>2</v>
      </c>
      <c r="O724" s="44">
        <v>2</v>
      </c>
      <c r="P724" s="43" t="s">
        <v>4494</v>
      </c>
      <c r="Q724" s="11">
        <v>1291028.03</v>
      </c>
      <c r="R724" s="11" t="s">
        <v>169</v>
      </c>
      <c r="S724" s="11" t="s">
        <v>273</v>
      </c>
      <c r="T724" s="11">
        <v>0</v>
      </c>
      <c r="V724" s="11" t="s">
        <v>41</v>
      </c>
    </row>
    <row r="725" spans="1:22" x14ac:dyDescent="0.25">
      <c r="A725" s="11">
        <v>101060401</v>
      </c>
      <c r="B725" s="11" t="s">
        <v>34</v>
      </c>
      <c r="C725" s="41">
        <v>44887</v>
      </c>
      <c r="D725" s="41">
        <v>44887</v>
      </c>
      <c r="E725" s="11" t="s">
        <v>42</v>
      </c>
      <c r="F725" s="11" t="s">
        <v>1745</v>
      </c>
      <c r="G725" s="11">
        <v>108925</v>
      </c>
      <c r="H725" s="11" t="s">
        <v>57</v>
      </c>
      <c r="K725" s="11">
        <v>101060402</v>
      </c>
      <c r="L725" s="11" t="s">
        <v>44</v>
      </c>
      <c r="M725" s="11"/>
      <c r="N725" s="11">
        <v>12.27</v>
      </c>
      <c r="O725" s="42">
        <v>-12.27</v>
      </c>
      <c r="P725" s="43" t="s">
        <v>4481</v>
      </c>
      <c r="Q725" s="11">
        <v>1291015.76</v>
      </c>
      <c r="R725" s="11" t="s">
        <v>177</v>
      </c>
      <c r="S725" s="11" t="s">
        <v>40</v>
      </c>
      <c r="T725" s="11">
        <v>0</v>
      </c>
    </row>
    <row r="726" spans="1:22" x14ac:dyDescent="0.25">
      <c r="A726" s="11">
        <v>101060401</v>
      </c>
      <c r="B726" s="11" t="s">
        <v>34</v>
      </c>
      <c r="C726" s="41">
        <v>44887</v>
      </c>
      <c r="D726" s="41">
        <v>44887</v>
      </c>
      <c r="E726" s="11" t="s">
        <v>42</v>
      </c>
      <c r="F726" s="11" t="s">
        <v>1746</v>
      </c>
      <c r="G726" s="11">
        <v>108926</v>
      </c>
      <c r="H726" s="11" t="s">
        <v>91</v>
      </c>
      <c r="J726" s="11" t="s">
        <v>38</v>
      </c>
      <c r="K726" s="11">
        <v>51010101</v>
      </c>
      <c r="L726" s="11" t="s">
        <v>48</v>
      </c>
      <c r="M726" s="11"/>
      <c r="N726" s="11">
        <v>52.54</v>
      </c>
      <c r="O726" s="42">
        <v>-52.54</v>
      </c>
      <c r="P726" s="43" t="s">
        <v>4489</v>
      </c>
      <c r="Q726" s="11">
        <v>1290963.22</v>
      </c>
      <c r="R726" s="11" t="s">
        <v>1747</v>
      </c>
      <c r="S726" s="11" t="s">
        <v>40</v>
      </c>
      <c r="T726" s="11">
        <v>0</v>
      </c>
      <c r="V726" s="11" t="s">
        <v>41</v>
      </c>
    </row>
    <row r="727" spans="1:22" x14ac:dyDescent="0.25">
      <c r="A727" s="11">
        <v>101060401</v>
      </c>
      <c r="B727" s="11" t="s">
        <v>34</v>
      </c>
      <c r="C727" s="41">
        <v>44887</v>
      </c>
      <c r="D727" s="41">
        <v>44887</v>
      </c>
      <c r="E727" s="11" t="s">
        <v>42</v>
      </c>
      <c r="F727" s="11" t="s">
        <v>1748</v>
      </c>
      <c r="G727" s="11">
        <v>108927</v>
      </c>
      <c r="H727" s="11" t="s">
        <v>91</v>
      </c>
      <c r="J727" s="11" t="s">
        <v>38</v>
      </c>
      <c r="K727" s="11">
        <v>51010101</v>
      </c>
      <c r="L727" s="11" t="s">
        <v>48</v>
      </c>
      <c r="M727" s="11"/>
      <c r="N727" s="11">
        <v>48.18</v>
      </c>
      <c r="O727" s="42">
        <v>-48.18</v>
      </c>
      <c r="P727" s="43" t="s">
        <v>4489</v>
      </c>
      <c r="Q727" s="11">
        <v>1290915.04</v>
      </c>
      <c r="R727" s="11" t="s">
        <v>229</v>
      </c>
      <c r="S727" s="11" t="s">
        <v>40</v>
      </c>
      <c r="T727" s="11">
        <v>0</v>
      </c>
      <c r="V727" s="11" t="s">
        <v>41</v>
      </c>
    </row>
    <row r="728" spans="1:22" x14ac:dyDescent="0.25">
      <c r="A728" s="11">
        <v>101060401</v>
      </c>
      <c r="B728" s="11" t="s">
        <v>34</v>
      </c>
      <c r="C728" s="41">
        <v>44887</v>
      </c>
      <c r="D728" s="41">
        <v>44887</v>
      </c>
      <c r="E728" s="11" t="s">
        <v>42</v>
      </c>
      <c r="F728" s="11" t="s">
        <v>1749</v>
      </c>
      <c r="G728" s="11">
        <v>108928</v>
      </c>
      <c r="H728" s="11" t="s">
        <v>91</v>
      </c>
      <c r="J728" s="11" t="s">
        <v>38</v>
      </c>
      <c r="K728" s="11">
        <v>51010101</v>
      </c>
      <c r="L728" s="11" t="s">
        <v>48</v>
      </c>
      <c r="M728" s="11"/>
      <c r="N728" s="11">
        <v>47.19</v>
      </c>
      <c r="O728" s="42">
        <v>-47.19</v>
      </c>
      <c r="P728" s="43" t="s">
        <v>4489</v>
      </c>
      <c r="Q728" s="11">
        <v>1290867.8500000001</v>
      </c>
      <c r="R728" s="11" t="s">
        <v>1750</v>
      </c>
      <c r="S728" s="11" t="s">
        <v>40</v>
      </c>
      <c r="T728" s="11">
        <v>0</v>
      </c>
      <c r="V728" s="11" t="s">
        <v>41</v>
      </c>
    </row>
    <row r="729" spans="1:22" x14ac:dyDescent="0.25">
      <c r="A729" s="11">
        <v>101060401</v>
      </c>
      <c r="B729" s="11" t="s">
        <v>34</v>
      </c>
      <c r="C729" s="41">
        <v>44887</v>
      </c>
      <c r="D729" s="41">
        <v>44887</v>
      </c>
      <c r="E729" s="11" t="s">
        <v>42</v>
      </c>
      <c r="F729" s="11" t="s">
        <v>1751</v>
      </c>
      <c r="G729" s="11">
        <v>108941</v>
      </c>
      <c r="H729" s="11" t="s">
        <v>57</v>
      </c>
      <c r="K729" s="11">
        <v>101060402</v>
      </c>
      <c r="L729" s="11" t="s">
        <v>44</v>
      </c>
      <c r="M729" s="11"/>
      <c r="N729" s="11">
        <v>2</v>
      </c>
      <c r="O729" s="42">
        <v>-2</v>
      </c>
      <c r="P729" s="43" t="s">
        <v>4481</v>
      </c>
      <c r="Q729" s="11">
        <v>1290865.8500000001</v>
      </c>
      <c r="R729" s="11" t="s">
        <v>170</v>
      </c>
      <c r="S729" s="11" t="s">
        <v>40</v>
      </c>
      <c r="T729" s="11">
        <v>0</v>
      </c>
    </row>
    <row r="730" spans="1:22" x14ac:dyDescent="0.25">
      <c r="A730" s="11">
        <v>101060401</v>
      </c>
      <c r="B730" s="11" t="s">
        <v>34</v>
      </c>
      <c r="C730" s="41">
        <v>44887</v>
      </c>
      <c r="D730" s="41">
        <v>44887</v>
      </c>
      <c r="E730" s="11" t="s">
        <v>42</v>
      </c>
      <c r="F730" s="11" t="s">
        <v>1752</v>
      </c>
      <c r="G730" s="11">
        <v>108946</v>
      </c>
      <c r="H730" s="11" t="s">
        <v>57</v>
      </c>
      <c r="K730" s="11">
        <v>101060408</v>
      </c>
      <c r="L730" s="11" t="s">
        <v>82</v>
      </c>
      <c r="M730" s="11">
        <v>87438.09</v>
      </c>
      <c r="N730" s="11"/>
      <c r="O730" s="42">
        <v>87438.09</v>
      </c>
      <c r="P730" s="43" t="s">
        <v>4481</v>
      </c>
      <c r="Q730" s="11">
        <v>1378303.94</v>
      </c>
      <c r="R730" s="11" t="s">
        <v>1753</v>
      </c>
      <c r="S730" s="11" t="s">
        <v>40</v>
      </c>
      <c r="T730" s="11">
        <v>0</v>
      </c>
    </row>
    <row r="731" spans="1:22" x14ac:dyDescent="0.25">
      <c r="A731" s="11">
        <v>101060401</v>
      </c>
      <c r="B731" s="11" t="s">
        <v>34</v>
      </c>
      <c r="C731" s="41">
        <v>44887</v>
      </c>
      <c r="D731" s="41">
        <v>44887</v>
      </c>
      <c r="E731" s="11" t="s">
        <v>42</v>
      </c>
      <c r="F731" s="11" t="s">
        <v>1754</v>
      </c>
      <c r="G731" s="11">
        <v>108948</v>
      </c>
      <c r="H731" s="11" t="s">
        <v>57</v>
      </c>
      <c r="K731" s="11">
        <v>101060408</v>
      </c>
      <c r="L731" s="11" t="s">
        <v>82</v>
      </c>
      <c r="M731" s="11">
        <v>9802.48</v>
      </c>
      <c r="N731" s="11"/>
      <c r="O731" s="42">
        <v>9802.48</v>
      </c>
      <c r="P731" s="43" t="s">
        <v>4481</v>
      </c>
      <c r="Q731" s="11">
        <v>1388106.42</v>
      </c>
      <c r="R731" s="11" t="s">
        <v>1755</v>
      </c>
      <c r="S731" s="11" t="s">
        <v>40</v>
      </c>
      <c r="T731" s="11">
        <v>0</v>
      </c>
    </row>
    <row r="732" spans="1:22" x14ac:dyDescent="0.25">
      <c r="A732" s="11">
        <v>101060401</v>
      </c>
      <c r="B732" s="11" t="s">
        <v>34</v>
      </c>
      <c r="C732" s="41">
        <v>44887</v>
      </c>
      <c r="D732" s="41">
        <v>44887</v>
      </c>
      <c r="E732" s="11" t="s">
        <v>42</v>
      </c>
      <c r="F732" s="11" t="s">
        <v>1756</v>
      </c>
      <c r="G732" s="11">
        <v>108956</v>
      </c>
      <c r="H732" s="11" t="s">
        <v>57</v>
      </c>
      <c r="K732" s="11">
        <v>101060402</v>
      </c>
      <c r="L732" s="11" t="s">
        <v>44</v>
      </c>
      <c r="M732" s="11"/>
      <c r="N732" s="11">
        <v>100157.21</v>
      </c>
      <c r="O732" s="42">
        <v>-100157.21</v>
      </c>
      <c r="P732" s="43" t="s">
        <v>4481</v>
      </c>
      <c r="Q732" s="11">
        <v>1287949.21</v>
      </c>
      <c r="R732" s="11" t="s">
        <v>1757</v>
      </c>
      <c r="S732" s="11" t="s">
        <v>40</v>
      </c>
      <c r="T732" s="11">
        <v>0</v>
      </c>
    </row>
    <row r="733" spans="1:22" x14ac:dyDescent="0.25">
      <c r="A733" s="11">
        <v>101060401</v>
      </c>
      <c r="B733" s="11" t="s">
        <v>34</v>
      </c>
      <c r="C733" s="41">
        <v>44887</v>
      </c>
      <c r="D733" s="41">
        <v>44887</v>
      </c>
      <c r="E733" s="11" t="s">
        <v>42</v>
      </c>
      <c r="F733" s="11" t="s">
        <v>1758</v>
      </c>
      <c r="G733" s="11">
        <v>108958</v>
      </c>
      <c r="H733" s="11" t="s">
        <v>43</v>
      </c>
      <c r="K733" s="11">
        <v>101060402</v>
      </c>
      <c r="L733" s="11" t="s">
        <v>44</v>
      </c>
      <c r="M733" s="11">
        <v>100170.61</v>
      </c>
      <c r="N733" s="11"/>
      <c r="O733" s="42">
        <v>100170.61</v>
      </c>
      <c r="P733" s="43" t="s">
        <v>4481</v>
      </c>
      <c r="Q733" s="11">
        <v>1388119.82</v>
      </c>
      <c r="R733" s="11" t="s">
        <v>1759</v>
      </c>
      <c r="S733" s="11" t="s">
        <v>40</v>
      </c>
      <c r="T733" s="11">
        <v>0</v>
      </c>
    </row>
    <row r="734" spans="1:22" x14ac:dyDescent="0.25">
      <c r="A734" s="11">
        <v>101060401</v>
      </c>
      <c r="B734" s="11" t="s">
        <v>34</v>
      </c>
      <c r="C734" s="41">
        <v>44887</v>
      </c>
      <c r="D734" s="41">
        <v>44887</v>
      </c>
      <c r="E734" s="11" t="s">
        <v>42</v>
      </c>
      <c r="F734" s="11" t="s">
        <v>1760</v>
      </c>
      <c r="G734" s="11">
        <v>108961</v>
      </c>
      <c r="H734" s="11" t="s">
        <v>47</v>
      </c>
      <c r="J734" s="11" t="s">
        <v>38</v>
      </c>
      <c r="K734" s="11">
        <v>51010101</v>
      </c>
      <c r="L734" s="11" t="s">
        <v>48</v>
      </c>
      <c r="M734" s="11"/>
      <c r="N734" s="11">
        <v>55209.65</v>
      </c>
      <c r="O734" s="42">
        <v>-55209.65</v>
      </c>
      <c r="P734" s="43" t="s">
        <v>4489</v>
      </c>
      <c r="Q734" s="11">
        <v>1332910.17</v>
      </c>
      <c r="R734" s="11" t="s">
        <v>1761</v>
      </c>
      <c r="S734" s="11" t="s">
        <v>40</v>
      </c>
      <c r="T734" s="11">
        <v>0</v>
      </c>
      <c r="V734" s="11" t="s">
        <v>41</v>
      </c>
    </row>
    <row r="735" spans="1:22" x14ac:dyDescent="0.25">
      <c r="A735" s="11">
        <v>101060401</v>
      </c>
      <c r="B735" s="11" t="s">
        <v>34</v>
      </c>
      <c r="C735" s="41">
        <v>44887</v>
      </c>
      <c r="D735" s="41">
        <v>44887</v>
      </c>
      <c r="E735" s="11" t="s">
        <v>42</v>
      </c>
      <c r="F735" s="11" t="s">
        <v>1762</v>
      </c>
      <c r="G735" s="11">
        <v>108963</v>
      </c>
      <c r="H735" s="11" t="s">
        <v>47</v>
      </c>
      <c r="J735" s="11" t="s">
        <v>38</v>
      </c>
      <c r="K735" s="11">
        <v>51010101</v>
      </c>
      <c r="L735" s="11" t="s">
        <v>48</v>
      </c>
      <c r="M735" s="11"/>
      <c r="N735" s="11">
        <v>988.89</v>
      </c>
      <c r="O735" s="42">
        <v>-988.89</v>
      </c>
      <c r="P735" s="43" t="s">
        <v>4489</v>
      </c>
      <c r="Q735" s="11">
        <v>1331921.28</v>
      </c>
      <c r="R735" s="11" t="s">
        <v>1763</v>
      </c>
      <c r="S735" s="11" t="s">
        <v>40</v>
      </c>
      <c r="T735" s="11">
        <v>0</v>
      </c>
      <c r="V735" s="11" t="s">
        <v>41</v>
      </c>
    </row>
    <row r="736" spans="1:22" x14ac:dyDescent="0.25">
      <c r="A736" s="11">
        <v>101060401</v>
      </c>
      <c r="B736" s="11" t="s">
        <v>34</v>
      </c>
      <c r="C736" s="41">
        <v>44887</v>
      </c>
      <c r="D736" s="41">
        <v>44887</v>
      </c>
      <c r="E736" s="11" t="s">
        <v>42</v>
      </c>
      <c r="F736" s="11" t="s">
        <v>1764</v>
      </c>
      <c r="G736" s="11">
        <v>108966</v>
      </c>
      <c r="H736" s="11" t="s">
        <v>57</v>
      </c>
      <c r="K736" s="11">
        <v>101060408</v>
      </c>
      <c r="L736" s="11" t="s">
        <v>82</v>
      </c>
      <c r="M736" s="11"/>
      <c r="N736" s="11">
        <v>278.79000000000002</v>
      </c>
      <c r="O736" s="42">
        <v>-278.79000000000002</v>
      </c>
      <c r="P736" s="43" t="s">
        <v>4481</v>
      </c>
      <c r="Q736" s="11">
        <v>1331642.49</v>
      </c>
      <c r="R736" s="11" t="s">
        <v>1765</v>
      </c>
      <c r="S736" s="11" t="s">
        <v>40</v>
      </c>
      <c r="T736" s="11">
        <v>0</v>
      </c>
    </row>
    <row r="737" spans="1:22" x14ac:dyDescent="0.25">
      <c r="A737" s="11">
        <v>101060401</v>
      </c>
      <c r="B737" s="11" t="s">
        <v>34</v>
      </c>
      <c r="C737" s="41">
        <v>44887</v>
      </c>
      <c r="D737" s="41">
        <v>44887</v>
      </c>
      <c r="E737" s="11" t="s">
        <v>42</v>
      </c>
      <c r="F737" s="11" t="s">
        <v>1766</v>
      </c>
      <c r="G737" s="11">
        <v>108969</v>
      </c>
      <c r="H737" s="11" t="s">
        <v>57</v>
      </c>
      <c r="K737" s="11">
        <v>101060408</v>
      </c>
      <c r="L737" s="11" t="s">
        <v>82</v>
      </c>
      <c r="M737" s="11"/>
      <c r="N737" s="11">
        <v>106.67</v>
      </c>
      <c r="O737" s="42">
        <v>-106.67</v>
      </c>
      <c r="P737" s="43" t="s">
        <v>4481</v>
      </c>
      <c r="Q737" s="11">
        <v>1331535.82</v>
      </c>
      <c r="R737" s="11" t="s">
        <v>1767</v>
      </c>
      <c r="S737" s="11" t="s">
        <v>40</v>
      </c>
      <c r="T737" s="11">
        <v>0</v>
      </c>
    </row>
    <row r="738" spans="1:22" x14ac:dyDescent="0.25">
      <c r="A738" s="11">
        <v>101060401</v>
      </c>
      <c r="B738" s="11" t="s">
        <v>34</v>
      </c>
      <c r="C738" s="41">
        <v>44887</v>
      </c>
      <c r="D738" s="41">
        <v>44887</v>
      </c>
      <c r="E738" s="11" t="s">
        <v>42</v>
      </c>
      <c r="F738" s="11" t="s">
        <v>1768</v>
      </c>
      <c r="G738" s="11">
        <v>108972</v>
      </c>
      <c r="H738" s="11" t="s">
        <v>57</v>
      </c>
      <c r="K738" s="11">
        <v>101060408</v>
      </c>
      <c r="L738" s="11" t="s">
        <v>82</v>
      </c>
      <c r="M738" s="11"/>
      <c r="N738" s="11">
        <v>796.12</v>
      </c>
      <c r="O738" s="42">
        <v>-796.12</v>
      </c>
      <c r="P738" s="43" t="s">
        <v>4481</v>
      </c>
      <c r="Q738" s="11">
        <v>1330739.7</v>
      </c>
      <c r="R738" s="11" t="s">
        <v>1769</v>
      </c>
      <c r="S738" s="11" t="s">
        <v>40</v>
      </c>
      <c r="T738" s="11">
        <v>0</v>
      </c>
    </row>
    <row r="739" spans="1:22" x14ac:dyDescent="0.25">
      <c r="A739" s="11">
        <v>101060401</v>
      </c>
      <c r="B739" s="11" t="s">
        <v>34</v>
      </c>
      <c r="C739" s="41">
        <v>44887</v>
      </c>
      <c r="D739" s="41">
        <v>44887</v>
      </c>
      <c r="E739" s="11" t="s">
        <v>42</v>
      </c>
      <c r="F739" s="11" t="s">
        <v>1770</v>
      </c>
      <c r="G739" s="11">
        <v>108974</v>
      </c>
      <c r="H739" s="11" t="s">
        <v>57</v>
      </c>
      <c r="K739" s="11">
        <v>101060408</v>
      </c>
      <c r="L739" s="11" t="s">
        <v>82</v>
      </c>
      <c r="M739" s="11"/>
      <c r="N739" s="11">
        <v>240.32</v>
      </c>
      <c r="O739" s="42">
        <v>-240.32</v>
      </c>
      <c r="P739" s="43" t="s">
        <v>4481</v>
      </c>
      <c r="Q739" s="11">
        <v>1330499.3799999999</v>
      </c>
      <c r="R739" s="11" t="s">
        <v>1771</v>
      </c>
      <c r="S739" s="11" t="s">
        <v>40</v>
      </c>
      <c r="T739" s="11">
        <v>0</v>
      </c>
    </row>
    <row r="740" spans="1:22" x14ac:dyDescent="0.25">
      <c r="A740" s="11">
        <v>101060401</v>
      </c>
      <c r="B740" s="11" t="s">
        <v>34</v>
      </c>
      <c r="C740" s="41">
        <v>44887</v>
      </c>
      <c r="D740" s="41">
        <v>44887</v>
      </c>
      <c r="E740" s="11" t="s">
        <v>42</v>
      </c>
      <c r="F740" s="11" t="s">
        <v>1772</v>
      </c>
      <c r="G740" s="11">
        <v>108976</v>
      </c>
      <c r="H740" s="11" t="s">
        <v>57</v>
      </c>
      <c r="K740" s="11">
        <v>101060408</v>
      </c>
      <c r="L740" s="11" t="s">
        <v>82</v>
      </c>
      <c r="M740" s="11"/>
      <c r="N740" s="11">
        <v>40.78</v>
      </c>
      <c r="O740" s="42">
        <v>-40.78</v>
      </c>
      <c r="P740" s="43" t="s">
        <v>4481</v>
      </c>
      <c r="Q740" s="11">
        <v>1330458.6000000001</v>
      </c>
      <c r="R740" s="11" t="s">
        <v>1773</v>
      </c>
      <c r="S740" s="11" t="s">
        <v>40</v>
      </c>
      <c r="T740" s="11">
        <v>0</v>
      </c>
    </row>
    <row r="741" spans="1:22" x14ac:dyDescent="0.25">
      <c r="A741" s="11">
        <v>101060401</v>
      </c>
      <c r="B741" s="11" t="s">
        <v>34</v>
      </c>
      <c r="C741" s="41">
        <v>44887</v>
      </c>
      <c r="D741" s="41">
        <v>44887</v>
      </c>
      <c r="E741" s="11" t="s">
        <v>42</v>
      </c>
      <c r="F741" s="11" t="s">
        <v>1774</v>
      </c>
      <c r="G741" s="11">
        <v>108978</v>
      </c>
      <c r="H741" s="11" t="s">
        <v>109</v>
      </c>
      <c r="J741" s="11" t="s">
        <v>38</v>
      </c>
      <c r="K741" s="11">
        <v>51010101</v>
      </c>
      <c r="L741" s="11" t="s">
        <v>48</v>
      </c>
      <c r="M741" s="11"/>
      <c r="N741" s="11">
        <v>523.73</v>
      </c>
      <c r="O741" s="42">
        <v>-523.73</v>
      </c>
      <c r="P741" s="43" t="s">
        <v>4489</v>
      </c>
      <c r="Q741" s="11">
        <v>1329934.8700000001</v>
      </c>
      <c r="R741" s="11" t="s">
        <v>1775</v>
      </c>
      <c r="S741" s="11" t="s">
        <v>40</v>
      </c>
      <c r="T741" s="11">
        <v>0</v>
      </c>
      <c r="V741" s="11" t="s">
        <v>41</v>
      </c>
    </row>
    <row r="742" spans="1:22" x14ac:dyDescent="0.25">
      <c r="A742" s="11">
        <v>101060401</v>
      </c>
      <c r="B742" s="11" t="s">
        <v>34</v>
      </c>
      <c r="C742" s="41">
        <v>44887</v>
      </c>
      <c r="D742" s="41">
        <v>44887</v>
      </c>
      <c r="E742" s="11" t="s">
        <v>42</v>
      </c>
      <c r="F742" s="11" t="s">
        <v>1776</v>
      </c>
      <c r="G742" s="11">
        <v>108980</v>
      </c>
      <c r="H742" s="11" t="s">
        <v>72</v>
      </c>
      <c r="J742" s="11" t="s">
        <v>38</v>
      </c>
      <c r="K742" s="11">
        <v>51010101</v>
      </c>
      <c r="L742" s="11" t="s">
        <v>48</v>
      </c>
      <c r="M742" s="11"/>
      <c r="N742" s="11">
        <v>316.89</v>
      </c>
      <c r="O742" s="42">
        <v>-316.89</v>
      </c>
      <c r="P742" s="43" t="s">
        <v>4489</v>
      </c>
      <c r="Q742" s="11">
        <v>1329617.98</v>
      </c>
      <c r="R742" s="11" t="s">
        <v>1777</v>
      </c>
      <c r="S742" s="11" t="s">
        <v>40</v>
      </c>
      <c r="T742" s="11">
        <v>0</v>
      </c>
      <c r="V742" s="11" t="s">
        <v>41</v>
      </c>
    </row>
    <row r="743" spans="1:22" x14ac:dyDescent="0.25">
      <c r="A743" s="11">
        <v>101060401</v>
      </c>
      <c r="B743" s="11" t="s">
        <v>34</v>
      </c>
      <c r="C743" s="41">
        <v>44887</v>
      </c>
      <c r="D743" s="41">
        <v>44887</v>
      </c>
      <c r="E743" s="11" t="s">
        <v>42</v>
      </c>
      <c r="F743" s="11" t="s">
        <v>1778</v>
      </c>
      <c r="G743" s="11">
        <v>108981</v>
      </c>
      <c r="H743" s="11" t="s">
        <v>64</v>
      </c>
      <c r="J743" s="11" t="s">
        <v>38</v>
      </c>
      <c r="K743" s="11">
        <v>51010101</v>
      </c>
      <c r="L743" s="11" t="s">
        <v>48</v>
      </c>
      <c r="M743" s="11"/>
      <c r="N743" s="11">
        <v>281.64999999999998</v>
      </c>
      <c r="O743" s="42">
        <v>-281.64999999999998</v>
      </c>
      <c r="P743" s="43" t="s">
        <v>4489</v>
      </c>
      <c r="Q743" s="11">
        <v>1329336.33</v>
      </c>
      <c r="R743" s="11" t="s">
        <v>1779</v>
      </c>
      <c r="S743" s="11" t="s">
        <v>40</v>
      </c>
      <c r="T743" s="11">
        <v>0</v>
      </c>
      <c r="V743" s="11" t="s">
        <v>41</v>
      </c>
    </row>
    <row r="744" spans="1:22" x14ac:dyDescent="0.25">
      <c r="A744" s="11">
        <v>101060401</v>
      </c>
      <c r="B744" s="11" t="s">
        <v>34</v>
      </c>
      <c r="C744" s="41">
        <v>44887</v>
      </c>
      <c r="D744" s="41">
        <v>44887</v>
      </c>
      <c r="E744" s="11" t="s">
        <v>42</v>
      </c>
      <c r="F744" s="11" t="s">
        <v>1780</v>
      </c>
      <c r="G744" s="11">
        <v>108985</v>
      </c>
      <c r="H744" s="11" t="s">
        <v>57</v>
      </c>
      <c r="K744" s="11">
        <v>101060408</v>
      </c>
      <c r="L744" s="11" t="s">
        <v>82</v>
      </c>
      <c r="M744" s="11"/>
      <c r="N744" s="11">
        <v>706.12</v>
      </c>
      <c r="O744" s="42">
        <v>-706.12</v>
      </c>
      <c r="P744" s="43" t="s">
        <v>4481</v>
      </c>
      <c r="Q744" s="11">
        <v>1328630.21</v>
      </c>
      <c r="R744" s="11" t="s">
        <v>1781</v>
      </c>
      <c r="S744" s="11" t="s">
        <v>40</v>
      </c>
      <c r="T744" s="11">
        <v>0</v>
      </c>
    </row>
    <row r="745" spans="1:22" x14ac:dyDescent="0.25">
      <c r="A745" s="11">
        <v>101060401</v>
      </c>
      <c r="B745" s="11" t="s">
        <v>34</v>
      </c>
      <c r="C745" s="41">
        <v>44887</v>
      </c>
      <c r="D745" s="41">
        <v>44887</v>
      </c>
      <c r="E745" s="11" t="s">
        <v>42</v>
      </c>
      <c r="F745" s="11" t="s">
        <v>1782</v>
      </c>
      <c r="G745" s="11">
        <v>108987</v>
      </c>
      <c r="H745" s="11" t="s">
        <v>139</v>
      </c>
      <c r="J745" s="11" t="s">
        <v>38</v>
      </c>
      <c r="K745" s="11">
        <v>51010101</v>
      </c>
      <c r="L745" s="11" t="s">
        <v>48</v>
      </c>
      <c r="M745" s="11"/>
      <c r="N745" s="11">
        <v>7977.43</v>
      </c>
      <c r="O745" s="42">
        <v>-7977.43</v>
      </c>
      <c r="P745" s="43" t="s">
        <v>4489</v>
      </c>
      <c r="Q745" s="11">
        <v>1320652.78</v>
      </c>
      <c r="R745" s="11" t="s">
        <v>1783</v>
      </c>
      <c r="S745" s="11" t="s">
        <v>40</v>
      </c>
      <c r="T745" s="11">
        <v>0</v>
      </c>
      <c r="V745" s="11" t="s">
        <v>41</v>
      </c>
    </row>
    <row r="746" spans="1:22" x14ac:dyDescent="0.25">
      <c r="A746" s="11">
        <v>101060401</v>
      </c>
      <c r="B746" s="11" t="s">
        <v>34</v>
      </c>
      <c r="C746" s="41">
        <v>44887</v>
      </c>
      <c r="D746" s="41">
        <v>44887</v>
      </c>
      <c r="E746" s="11" t="s">
        <v>42</v>
      </c>
      <c r="F746" s="11" t="s">
        <v>1784</v>
      </c>
      <c r="G746" s="11">
        <v>108988</v>
      </c>
      <c r="H746" s="11" t="s">
        <v>139</v>
      </c>
      <c r="J746" s="11" t="s">
        <v>38</v>
      </c>
      <c r="K746" s="11">
        <v>51010101</v>
      </c>
      <c r="L746" s="11" t="s">
        <v>48</v>
      </c>
      <c r="M746" s="11"/>
      <c r="N746" s="11">
        <v>785.8</v>
      </c>
      <c r="O746" s="42">
        <v>-785.8</v>
      </c>
      <c r="P746" s="43" t="s">
        <v>4489</v>
      </c>
      <c r="Q746" s="11">
        <v>1319866.98</v>
      </c>
      <c r="R746" s="11" t="s">
        <v>1785</v>
      </c>
      <c r="S746" s="11" t="s">
        <v>40</v>
      </c>
      <c r="T746" s="11">
        <v>0</v>
      </c>
      <c r="V746" s="11" t="s">
        <v>41</v>
      </c>
    </row>
    <row r="747" spans="1:22" x14ac:dyDescent="0.25">
      <c r="A747" s="11">
        <v>101060401</v>
      </c>
      <c r="B747" s="11" t="s">
        <v>34</v>
      </c>
      <c r="C747" s="41">
        <v>44887</v>
      </c>
      <c r="D747" s="41">
        <v>44887</v>
      </c>
      <c r="E747" s="11" t="s">
        <v>42</v>
      </c>
      <c r="F747" s="11" t="s">
        <v>1786</v>
      </c>
      <c r="G747" s="11">
        <v>108989</v>
      </c>
      <c r="H747" s="11" t="s">
        <v>139</v>
      </c>
      <c r="J747" s="11" t="s">
        <v>38</v>
      </c>
      <c r="K747" s="11">
        <v>51010101</v>
      </c>
      <c r="L747" s="11" t="s">
        <v>48</v>
      </c>
      <c r="M747" s="11"/>
      <c r="N747" s="11">
        <v>121.58</v>
      </c>
      <c r="O747" s="42">
        <v>-121.58</v>
      </c>
      <c r="P747" s="43" t="s">
        <v>4489</v>
      </c>
      <c r="Q747" s="11">
        <v>1319745.3999999999</v>
      </c>
      <c r="R747" s="11" t="s">
        <v>1787</v>
      </c>
      <c r="S747" s="11" t="s">
        <v>40</v>
      </c>
      <c r="T747" s="11">
        <v>0</v>
      </c>
      <c r="V747" s="11" t="s">
        <v>41</v>
      </c>
    </row>
    <row r="748" spans="1:22" x14ac:dyDescent="0.25">
      <c r="A748" s="11">
        <v>101060401</v>
      </c>
      <c r="B748" s="11" t="s">
        <v>34</v>
      </c>
      <c r="C748" s="41">
        <v>44887</v>
      </c>
      <c r="D748" s="41">
        <v>44887</v>
      </c>
      <c r="E748" s="11" t="s">
        <v>42</v>
      </c>
      <c r="F748" s="11" t="s">
        <v>1788</v>
      </c>
      <c r="G748" s="11">
        <v>108991</v>
      </c>
      <c r="H748" s="11" t="s">
        <v>139</v>
      </c>
      <c r="J748" s="11" t="s">
        <v>38</v>
      </c>
      <c r="K748" s="11">
        <v>51010101</v>
      </c>
      <c r="L748" s="11" t="s">
        <v>48</v>
      </c>
      <c r="M748" s="11"/>
      <c r="N748" s="11">
        <v>2335.7800000000002</v>
      </c>
      <c r="O748" s="42">
        <v>-2335.7800000000002</v>
      </c>
      <c r="P748" s="43" t="s">
        <v>4489</v>
      </c>
      <c r="Q748" s="11">
        <v>1317409.6200000001</v>
      </c>
      <c r="R748" s="11" t="s">
        <v>1789</v>
      </c>
      <c r="S748" s="11" t="s">
        <v>40</v>
      </c>
      <c r="T748" s="11">
        <v>0</v>
      </c>
      <c r="V748" s="11" t="s">
        <v>41</v>
      </c>
    </row>
    <row r="749" spans="1:22" x14ac:dyDescent="0.25">
      <c r="A749" s="11">
        <v>101060401</v>
      </c>
      <c r="B749" s="11" t="s">
        <v>34</v>
      </c>
      <c r="C749" s="41">
        <v>44887</v>
      </c>
      <c r="D749" s="41">
        <v>44887</v>
      </c>
      <c r="E749" s="11" t="s">
        <v>42</v>
      </c>
      <c r="F749" s="11" t="s">
        <v>1790</v>
      </c>
      <c r="G749" s="11">
        <v>108992</v>
      </c>
      <c r="H749" s="11" t="s">
        <v>139</v>
      </c>
      <c r="J749" s="11" t="s">
        <v>38</v>
      </c>
      <c r="K749" s="11">
        <v>51010101</v>
      </c>
      <c r="L749" s="11" t="s">
        <v>48</v>
      </c>
      <c r="M749" s="11"/>
      <c r="N749" s="11">
        <v>119</v>
      </c>
      <c r="O749" s="42">
        <v>-119</v>
      </c>
      <c r="P749" s="43" t="s">
        <v>4489</v>
      </c>
      <c r="Q749" s="11">
        <v>1317290.6200000001</v>
      </c>
      <c r="R749" s="11" t="s">
        <v>1791</v>
      </c>
      <c r="S749" s="11" t="s">
        <v>40</v>
      </c>
      <c r="T749" s="11">
        <v>0</v>
      </c>
      <c r="V749" s="11" t="s">
        <v>41</v>
      </c>
    </row>
    <row r="750" spans="1:22" x14ac:dyDescent="0.25">
      <c r="A750" s="11">
        <v>101060401</v>
      </c>
      <c r="B750" s="11" t="s">
        <v>34</v>
      </c>
      <c r="C750" s="41">
        <v>44887</v>
      </c>
      <c r="D750" s="41">
        <v>44887</v>
      </c>
      <c r="E750" s="11" t="s">
        <v>42</v>
      </c>
      <c r="F750" s="11" t="s">
        <v>1792</v>
      </c>
      <c r="G750" s="11">
        <v>108993</v>
      </c>
      <c r="H750" s="11" t="s">
        <v>77</v>
      </c>
      <c r="J750" s="11" t="s">
        <v>38</v>
      </c>
      <c r="K750" s="11">
        <v>51010101</v>
      </c>
      <c r="L750" s="11" t="s">
        <v>48</v>
      </c>
      <c r="M750" s="11"/>
      <c r="N750" s="11">
        <v>179.7</v>
      </c>
      <c r="O750" s="42">
        <v>-179.7</v>
      </c>
      <c r="P750" s="43" t="s">
        <v>4489</v>
      </c>
      <c r="Q750" s="11">
        <v>1317110.92</v>
      </c>
      <c r="R750" s="11" t="s">
        <v>1793</v>
      </c>
      <c r="S750" s="11" t="s">
        <v>40</v>
      </c>
      <c r="T750" s="11">
        <v>0</v>
      </c>
      <c r="V750" s="11" t="s">
        <v>41</v>
      </c>
    </row>
    <row r="751" spans="1:22" x14ac:dyDescent="0.25">
      <c r="A751" s="11">
        <v>101060401</v>
      </c>
      <c r="B751" s="11" t="s">
        <v>34</v>
      </c>
      <c r="C751" s="41">
        <v>44887</v>
      </c>
      <c r="D751" s="41">
        <v>44887</v>
      </c>
      <c r="E751" s="11" t="s">
        <v>42</v>
      </c>
      <c r="F751" s="11" t="s">
        <v>1794</v>
      </c>
      <c r="G751" s="11">
        <v>108994</v>
      </c>
      <c r="H751" s="11" t="s">
        <v>57</v>
      </c>
      <c r="K751" s="11">
        <v>101060402</v>
      </c>
      <c r="L751" s="11" t="s">
        <v>44</v>
      </c>
      <c r="M751" s="11">
        <v>1072.95</v>
      </c>
      <c r="N751" s="11"/>
      <c r="O751" s="42">
        <v>1072.95</v>
      </c>
      <c r="P751" s="43" t="s">
        <v>4481</v>
      </c>
      <c r="Q751" s="11">
        <v>1318183.8700000001</v>
      </c>
      <c r="R751" s="11" t="s">
        <v>1795</v>
      </c>
      <c r="S751" s="11" t="s">
        <v>106</v>
      </c>
      <c r="T751" s="11">
        <v>0</v>
      </c>
    </row>
    <row r="752" spans="1:22" x14ac:dyDescent="0.25">
      <c r="A752" s="11">
        <v>101060401</v>
      </c>
      <c r="B752" s="11" t="s">
        <v>34</v>
      </c>
      <c r="C752" s="41">
        <v>44887</v>
      </c>
      <c r="D752" s="41">
        <v>44887</v>
      </c>
      <c r="E752" s="11" t="s">
        <v>36</v>
      </c>
      <c r="F752" s="11" t="s">
        <v>1796</v>
      </c>
      <c r="G752" s="11">
        <v>108995</v>
      </c>
      <c r="H752" s="11" t="s">
        <v>52</v>
      </c>
      <c r="K752" s="11">
        <v>201040506</v>
      </c>
      <c r="L752" s="11" t="s">
        <v>46</v>
      </c>
      <c r="M752" s="11">
        <v>1839.23</v>
      </c>
      <c r="N752" s="11"/>
      <c r="O752" s="42">
        <v>1839.23</v>
      </c>
      <c r="P752" s="43" t="s">
        <v>4480</v>
      </c>
      <c r="Q752" s="11">
        <v>1320023.1000000001</v>
      </c>
      <c r="R752" s="11" t="s">
        <v>1797</v>
      </c>
      <c r="S752" s="11" t="s">
        <v>40</v>
      </c>
      <c r="T752" s="11">
        <v>0</v>
      </c>
    </row>
    <row r="753" spans="1:22" x14ac:dyDescent="0.25">
      <c r="A753" s="11">
        <v>101060401</v>
      </c>
      <c r="B753" s="11" t="s">
        <v>34</v>
      </c>
      <c r="C753" s="41">
        <v>44887</v>
      </c>
      <c r="D753" s="41">
        <v>44887</v>
      </c>
      <c r="E753" s="11" t="s">
        <v>36</v>
      </c>
      <c r="F753" s="11" t="s">
        <v>1798</v>
      </c>
      <c r="G753" s="11">
        <v>108996</v>
      </c>
      <c r="H753" s="11" t="s">
        <v>52</v>
      </c>
      <c r="K753" s="11">
        <v>201040506</v>
      </c>
      <c r="L753" s="11" t="s">
        <v>46</v>
      </c>
      <c r="M753" s="11">
        <v>408</v>
      </c>
      <c r="N753" s="11"/>
      <c r="O753" s="42">
        <v>408</v>
      </c>
      <c r="P753" s="43" t="s">
        <v>4480</v>
      </c>
      <c r="Q753" s="11">
        <v>1320431.1000000001</v>
      </c>
      <c r="R753" s="11" t="s">
        <v>295</v>
      </c>
      <c r="S753" s="11" t="s">
        <v>40</v>
      </c>
      <c r="T753" s="11">
        <v>0</v>
      </c>
    </row>
    <row r="754" spans="1:22" x14ac:dyDescent="0.25">
      <c r="A754" s="11">
        <v>101060401</v>
      </c>
      <c r="B754" s="11" t="s">
        <v>34</v>
      </c>
      <c r="C754" s="41">
        <v>44887</v>
      </c>
      <c r="D754" s="41">
        <v>44887</v>
      </c>
      <c r="E754" s="11" t="s">
        <v>36</v>
      </c>
      <c r="F754" s="11" t="s">
        <v>1799</v>
      </c>
      <c r="G754" s="11">
        <v>108997</v>
      </c>
      <c r="H754" s="11" t="s">
        <v>52</v>
      </c>
      <c r="K754" s="11">
        <v>201040506</v>
      </c>
      <c r="L754" s="11" t="s">
        <v>46</v>
      </c>
      <c r="M754" s="11">
        <v>497.25</v>
      </c>
      <c r="N754" s="11"/>
      <c r="O754" s="42">
        <v>497.25</v>
      </c>
      <c r="P754" s="43" t="s">
        <v>4480</v>
      </c>
      <c r="Q754" s="11">
        <v>1320928.3500000001</v>
      </c>
      <c r="R754" s="11" t="s">
        <v>1800</v>
      </c>
      <c r="S754" s="11" t="s">
        <v>40</v>
      </c>
      <c r="T754" s="11">
        <v>0</v>
      </c>
    </row>
    <row r="755" spans="1:22" x14ac:dyDescent="0.25">
      <c r="A755" s="11">
        <v>101060401</v>
      </c>
      <c r="B755" s="11" t="s">
        <v>34</v>
      </c>
      <c r="C755" s="41">
        <v>44887</v>
      </c>
      <c r="D755" s="41">
        <v>44887</v>
      </c>
      <c r="E755" s="11" t="s">
        <v>36</v>
      </c>
      <c r="F755" s="11" t="s">
        <v>1801</v>
      </c>
      <c r="G755" s="11">
        <v>108998</v>
      </c>
      <c r="H755" s="11" t="s">
        <v>92</v>
      </c>
      <c r="K755" s="11">
        <v>201040506</v>
      </c>
      <c r="L755" s="11" t="s">
        <v>46</v>
      </c>
      <c r="M755" s="11">
        <v>415.5</v>
      </c>
      <c r="N755" s="11"/>
      <c r="O755" s="42">
        <v>415.5</v>
      </c>
      <c r="P755" s="43" t="s">
        <v>4480</v>
      </c>
      <c r="Q755" s="11">
        <v>1321343.8500000001</v>
      </c>
      <c r="R755" s="11" t="s">
        <v>1802</v>
      </c>
      <c r="S755" s="11" t="s">
        <v>40</v>
      </c>
      <c r="T755" s="11">
        <v>0</v>
      </c>
    </row>
    <row r="756" spans="1:22" x14ac:dyDescent="0.25">
      <c r="A756" s="11">
        <v>101060401</v>
      </c>
      <c r="B756" s="11" t="s">
        <v>34</v>
      </c>
      <c r="C756" s="41">
        <v>44887</v>
      </c>
      <c r="D756" s="41">
        <v>44887</v>
      </c>
      <c r="E756" s="11" t="s">
        <v>42</v>
      </c>
      <c r="F756" s="11" t="s">
        <v>1803</v>
      </c>
      <c r="G756" s="11">
        <v>108999</v>
      </c>
      <c r="H756" s="11" t="s">
        <v>47</v>
      </c>
      <c r="J756" s="11" t="s">
        <v>38</v>
      </c>
      <c r="K756" s="11">
        <v>51010101</v>
      </c>
      <c r="L756" s="11" t="s">
        <v>48</v>
      </c>
      <c r="M756" s="11"/>
      <c r="N756" s="11">
        <v>415.5</v>
      </c>
      <c r="O756" s="42">
        <v>-415.5</v>
      </c>
      <c r="P756" s="43" t="s">
        <v>4489</v>
      </c>
      <c r="Q756" s="11">
        <v>1320928.3500000001</v>
      </c>
      <c r="R756" s="11" t="s">
        <v>1804</v>
      </c>
      <c r="S756" s="11" t="s">
        <v>40</v>
      </c>
      <c r="T756" s="11">
        <v>0</v>
      </c>
      <c r="V756" s="11" t="s">
        <v>41</v>
      </c>
    </row>
    <row r="757" spans="1:22" x14ac:dyDescent="0.25">
      <c r="A757" s="11">
        <v>101060401</v>
      </c>
      <c r="B757" s="11" t="s">
        <v>34</v>
      </c>
      <c r="C757" s="41">
        <v>44887</v>
      </c>
      <c r="D757" s="41">
        <v>44887</v>
      </c>
      <c r="E757" s="11" t="s">
        <v>42</v>
      </c>
      <c r="F757" s="11" t="s">
        <v>1805</v>
      </c>
      <c r="G757" s="11">
        <v>109002</v>
      </c>
      <c r="H757" s="11" t="s">
        <v>47</v>
      </c>
      <c r="J757" s="11" t="s">
        <v>38</v>
      </c>
      <c r="K757" s="11">
        <v>51010101</v>
      </c>
      <c r="L757" s="11" t="s">
        <v>48</v>
      </c>
      <c r="M757" s="11"/>
      <c r="N757" s="11">
        <v>2512.87</v>
      </c>
      <c r="O757" s="42">
        <v>-2512.87</v>
      </c>
      <c r="P757" s="43" t="s">
        <v>4489</v>
      </c>
      <c r="Q757" s="11">
        <v>1318415.48</v>
      </c>
      <c r="R757" s="11" t="s">
        <v>1806</v>
      </c>
      <c r="S757" s="11" t="s">
        <v>40</v>
      </c>
      <c r="T757" s="11">
        <v>0</v>
      </c>
      <c r="V757" s="11" t="s">
        <v>41</v>
      </c>
    </row>
    <row r="758" spans="1:22" x14ac:dyDescent="0.25">
      <c r="A758" s="11">
        <v>101060401</v>
      </c>
      <c r="B758" s="11" t="s">
        <v>34</v>
      </c>
      <c r="C758" s="41">
        <v>44887</v>
      </c>
      <c r="D758" s="41">
        <v>44887</v>
      </c>
      <c r="E758" s="11" t="s">
        <v>36</v>
      </c>
      <c r="F758" s="11" t="s">
        <v>1807</v>
      </c>
      <c r="G758" s="11">
        <v>109004</v>
      </c>
      <c r="H758" s="11" t="s">
        <v>154</v>
      </c>
      <c r="K758" s="11">
        <v>201040506</v>
      </c>
      <c r="L758" s="11" t="s">
        <v>46</v>
      </c>
      <c r="M758" s="11">
        <v>1742.72</v>
      </c>
      <c r="N758" s="11"/>
      <c r="O758" s="42">
        <v>1742.72</v>
      </c>
      <c r="P758" s="43" t="s">
        <v>4480</v>
      </c>
      <c r="Q758" s="11">
        <v>1320158.2</v>
      </c>
      <c r="R758" s="11" t="s">
        <v>1808</v>
      </c>
      <c r="S758" s="11" t="s">
        <v>40</v>
      </c>
      <c r="T758" s="11">
        <v>0</v>
      </c>
    </row>
    <row r="759" spans="1:22" x14ac:dyDescent="0.25">
      <c r="A759" s="11">
        <v>101060401</v>
      </c>
      <c r="B759" s="11" t="s">
        <v>34</v>
      </c>
      <c r="C759" s="41">
        <v>44887</v>
      </c>
      <c r="D759" s="41">
        <v>44887</v>
      </c>
      <c r="E759" s="11" t="s">
        <v>42</v>
      </c>
      <c r="F759" s="11" t="s">
        <v>1809</v>
      </c>
      <c r="G759" s="11">
        <v>109006</v>
      </c>
      <c r="H759" s="11" t="s">
        <v>1810</v>
      </c>
      <c r="J759" s="11" t="s">
        <v>38</v>
      </c>
      <c r="K759" s="11">
        <v>51010101</v>
      </c>
      <c r="L759" s="11" t="s">
        <v>48</v>
      </c>
      <c r="M759" s="11"/>
      <c r="N759" s="11">
        <v>650.98</v>
      </c>
      <c r="O759" s="42">
        <v>-650.98</v>
      </c>
      <c r="P759" s="43" t="s">
        <v>4489</v>
      </c>
      <c r="Q759" s="11">
        <v>1319507.22</v>
      </c>
      <c r="R759" s="11" t="s">
        <v>1811</v>
      </c>
      <c r="S759" s="11" t="s">
        <v>106</v>
      </c>
      <c r="T759" s="11">
        <v>0</v>
      </c>
      <c r="V759" s="11" t="s">
        <v>41</v>
      </c>
    </row>
    <row r="760" spans="1:22" x14ac:dyDescent="0.25">
      <c r="A760" s="11">
        <v>101060401</v>
      </c>
      <c r="B760" s="11" t="s">
        <v>34</v>
      </c>
      <c r="C760" s="41">
        <v>44887</v>
      </c>
      <c r="D760" s="41">
        <v>44887</v>
      </c>
      <c r="E760" s="11" t="s">
        <v>42</v>
      </c>
      <c r="F760" s="11" t="s">
        <v>1812</v>
      </c>
      <c r="G760" s="11">
        <v>109015</v>
      </c>
      <c r="H760" s="11" t="s">
        <v>282</v>
      </c>
      <c r="J760" s="11" t="s">
        <v>38</v>
      </c>
      <c r="K760" s="11">
        <v>51010101</v>
      </c>
      <c r="L760" s="11" t="s">
        <v>48</v>
      </c>
      <c r="M760" s="11"/>
      <c r="N760" s="11">
        <v>478.55</v>
      </c>
      <c r="O760" s="42">
        <v>-478.55</v>
      </c>
      <c r="P760" s="43" t="s">
        <v>4489</v>
      </c>
      <c r="Q760" s="11">
        <v>1319028.67</v>
      </c>
      <c r="R760" s="11" t="s">
        <v>1813</v>
      </c>
      <c r="S760" s="11" t="s">
        <v>40</v>
      </c>
      <c r="T760" s="11">
        <v>0</v>
      </c>
      <c r="V760" s="11" t="s">
        <v>41</v>
      </c>
    </row>
    <row r="761" spans="1:22" x14ac:dyDescent="0.25">
      <c r="A761" s="11">
        <v>101060401</v>
      </c>
      <c r="B761" s="11" t="s">
        <v>34</v>
      </c>
      <c r="C761" s="41">
        <v>44887</v>
      </c>
      <c r="D761" s="41">
        <v>44887</v>
      </c>
      <c r="E761" s="11" t="s">
        <v>42</v>
      </c>
      <c r="F761" s="11" t="s">
        <v>1814</v>
      </c>
      <c r="G761" s="11">
        <v>109017</v>
      </c>
      <c r="H761" s="11" t="s">
        <v>282</v>
      </c>
      <c r="J761" s="11" t="s">
        <v>38</v>
      </c>
      <c r="K761" s="11">
        <v>51010101</v>
      </c>
      <c r="L761" s="11" t="s">
        <v>48</v>
      </c>
      <c r="M761" s="11"/>
      <c r="N761" s="11">
        <v>212.38</v>
      </c>
      <c r="O761" s="42">
        <v>-212.38</v>
      </c>
      <c r="P761" s="43" t="s">
        <v>4489</v>
      </c>
      <c r="Q761" s="11">
        <v>1318816.29</v>
      </c>
      <c r="R761" s="11" t="s">
        <v>1815</v>
      </c>
      <c r="S761" s="11" t="s">
        <v>40</v>
      </c>
      <c r="T761" s="11">
        <v>0</v>
      </c>
      <c r="V761" s="11" t="s">
        <v>41</v>
      </c>
    </row>
    <row r="762" spans="1:22" x14ac:dyDescent="0.25">
      <c r="A762" s="11">
        <v>101060401</v>
      </c>
      <c r="B762" s="11" t="s">
        <v>34</v>
      </c>
      <c r="C762" s="41">
        <v>44887</v>
      </c>
      <c r="D762" s="41">
        <v>44887</v>
      </c>
      <c r="E762" s="11" t="s">
        <v>42</v>
      </c>
      <c r="F762" s="11" t="s">
        <v>1816</v>
      </c>
      <c r="G762" s="11">
        <v>109021</v>
      </c>
      <c r="H762" s="11" t="s">
        <v>108</v>
      </c>
      <c r="J762" s="11" t="s">
        <v>38</v>
      </c>
      <c r="K762" s="11">
        <v>51010101</v>
      </c>
      <c r="L762" s="11" t="s">
        <v>48</v>
      </c>
      <c r="M762" s="11"/>
      <c r="N762" s="11">
        <v>924.62</v>
      </c>
      <c r="O762" s="42">
        <v>-924.62</v>
      </c>
      <c r="P762" s="43" t="s">
        <v>4489</v>
      </c>
      <c r="Q762" s="11">
        <v>1317891.67</v>
      </c>
      <c r="R762" s="11" t="s">
        <v>1817</v>
      </c>
      <c r="S762" s="11" t="s">
        <v>40</v>
      </c>
      <c r="T762" s="11">
        <v>0</v>
      </c>
      <c r="V762" s="11" t="s">
        <v>41</v>
      </c>
    </row>
    <row r="763" spans="1:22" x14ac:dyDescent="0.25">
      <c r="A763" s="11">
        <v>101060401</v>
      </c>
      <c r="B763" s="11" t="s">
        <v>34</v>
      </c>
      <c r="C763" s="41">
        <v>44887</v>
      </c>
      <c r="D763" s="41">
        <v>44887</v>
      </c>
      <c r="E763" s="11" t="s">
        <v>42</v>
      </c>
      <c r="F763" s="11" t="s">
        <v>1818</v>
      </c>
      <c r="G763" s="11">
        <v>109023</v>
      </c>
      <c r="H763" s="11" t="s">
        <v>91</v>
      </c>
      <c r="J763" s="11" t="s">
        <v>38</v>
      </c>
      <c r="K763" s="11">
        <v>51010101</v>
      </c>
      <c r="L763" s="11" t="s">
        <v>48</v>
      </c>
      <c r="M763" s="11"/>
      <c r="N763" s="11">
        <v>403.6</v>
      </c>
      <c r="O763" s="42">
        <v>-403.6</v>
      </c>
      <c r="P763" s="43" t="s">
        <v>4489</v>
      </c>
      <c r="Q763" s="11">
        <v>1317488.07</v>
      </c>
      <c r="R763" s="11" t="s">
        <v>1819</v>
      </c>
      <c r="S763" s="11" t="s">
        <v>40</v>
      </c>
      <c r="T763" s="11">
        <v>0</v>
      </c>
      <c r="V763" s="11" t="s">
        <v>41</v>
      </c>
    </row>
    <row r="764" spans="1:22" x14ac:dyDescent="0.25">
      <c r="A764" s="11">
        <v>101060401</v>
      </c>
      <c r="B764" s="11" t="s">
        <v>34</v>
      </c>
      <c r="C764" s="41">
        <v>44887</v>
      </c>
      <c r="D764" s="41">
        <v>44887</v>
      </c>
      <c r="E764" s="11" t="s">
        <v>36</v>
      </c>
      <c r="F764" s="11" t="s">
        <v>1820</v>
      </c>
      <c r="G764" s="11">
        <v>109028</v>
      </c>
      <c r="H764" s="11" t="s">
        <v>52</v>
      </c>
      <c r="K764" s="11">
        <v>201040506</v>
      </c>
      <c r="L764" s="11" t="s">
        <v>46</v>
      </c>
      <c r="M764" s="11">
        <v>10.54</v>
      </c>
      <c r="N764" s="11"/>
      <c r="O764" s="42">
        <v>10.54</v>
      </c>
      <c r="P764" s="43" t="s">
        <v>4480</v>
      </c>
      <c r="Q764" s="11">
        <v>1317498.6100000001</v>
      </c>
      <c r="R764" s="11" t="s">
        <v>1821</v>
      </c>
      <c r="S764" s="11" t="s">
        <v>40</v>
      </c>
      <c r="T764" s="11">
        <v>0</v>
      </c>
    </row>
    <row r="765" spans="1:22" x14ac:dyDescent="0.25">
      <c r="A765" s="11">
        <v>101060401</v>
      </c>
      <c r="B765" s="11" t="s">
        <v>34</v>
      </c>
      <c r="C765" s="41">
        <v>44887</v>
      </c>
      <c r="D765" s="41">
        <v>44887</v>
      </c>
      <c r="E765" s="11" t="s">
        <v>42</v>
      </c>
      <c r="F765" s="11" t="s">
        <v>1822</v>
      </c>
      <c r="G765" s="11">
        <v>109029</v>
      </c>
      <c r="H765" s="11" t="s">
        <v>57</v>
      </c>
      <c r="K765" s="11">
        <v>101060402</v>
      </c>
      <c r="L765" s="11" t="s">
        <v>44</v>
      </c>
      <c r="M765" s="11"/>
      <c r="N765" s="11">
        <v>10.54</v>
      </c>
      <c r="O765" s="42">
        <v>-10.54</v>
      </c>
      <c r="P765" s="43" t="s">
        <v>4481</v>
      </c>
      <c r="Q765" s="11">
        <v>1317488.07</v>
      </c>
      <c r="R765" s="11" t="s">
        <v>353</v>
      </c>
      <c r="S765" s="11" t="s">
        <v>40</v>
      </c>
      <c r="T765" s="11">
        <v>0</v>
      </c>
    </row>
    <row r="766" spans="1:22" x14ac:dyDescent="0.25">
      <c r="A766" s="11">
        <v>101060401</v>
      </c>
      <c r="B766" s="11" t="s">
        <v>34</v>
      </c>
      <c r="C766" s="41">
        <v>44887</v>
      </c>
      <c r="D766" s="41">
        <v>44887</v>
      </c>
      <c r="E766" s="11" t="s">
        <v>42</v>
      </c>
      <c r="F766" s="11" t="s">
        <v>1823</v>
      </c>
      <c r="G766" s="11">
        <v>109030</v>
      </c>
      <c r="H766" s="11" t="s">
        <v>57</v>
      </c>
      <c r="K766" s="11">
        <v>101060408</v>
      </c>
      <c r="L766" s="11" t="s">
        <v>82</v>
      </c>
      <c r="M766" s="11">
        <v>32397.759999999998</v>
      </c>
      <c r="N766" s="11"/>
      <c r="O766" s="42">
        <v>32397.759999999998</v>
      </c>
      <c r="P766" s="43" t="s">
        <v>4481</v>
      </c>
      <c r="Q766" s="11">
        <v>1349885.83</v>
      </c>
      <c r="R766" s="11" t="s">
        <v>1824</v>
      </c>
      <c r="S766" s="11" t="s">
        <v>40</v>
      </c>
      <c r="T766" s="11">
        <v>0</v>
      </c>
    </row>
    <row r="767" spans="1:22" x14ac:dyDescent="0.25">
      <c r="A767" s="11">
        <v>101060401</v>
      </c>
      <c r="B767" s="11" t="s">
        <v>34</v>
      </c>
      <c r="C767" s="41">
        <v>44887</v>
      </c>
      <c r="D767" s="41">
        <v>44887</v>
      </c>
      <c r="E767" s="11" t="s">
        <v>42</v>
      </c>
      <c r="F767" s="11" t="s">
        <v>1825</v>
      </c>
      <c r="G767" s="11">
        <v>109031</v>
      </c>
      <c r="H767" s="11" t="s">
        <v>43</v>
      </c>
      <c r="K767" s="11">
        <v>101060402</v>
      </c>
      <c r="L767" s="11" t="s">
        <v>44</v>
      </c>
      <c r="M767" s="11"/>
      <c r="N767" s="11">
        <v>32397.759999999998</v>
      </c>
      <c r="O767" s="42">
        <v>-32397.759999999998</v>
      </c>
      <c r="P767" s="43" t="s">
        <v>4481</v>
      </c>
      <c r="Q767" s="11">
        <v>1317488.07</v>
      </c>
      <c r="R767" s="11" t="s">
        <v>1826</v>
      </c>
      <c r="S767" s="11" t="s">
        <v>40</v>
      </c>
      <c r="T767" s="11">
        <v>0</v>
      </c>
    </row>
    <row r="768" spans="1:22" x14ac:dyDescent="0.25">
      <c r="A768" s="11">
        <v>101060401</v>
      </c>
      <c r="B768" s="11" t="s">
        <v>34</v>
      </c>
      <c r="C768" s="41">
        <v>44887</v>
      </c>
      <c r="D768" s="41">
        <v>44887</v>
      </c>
      <c r="E768" s="11" t="s">
        <v>42</v>
      </c>
      <c r="F768" s="11" t="s">
        <v>1827</v>
      </c>
      <c r="G768" s="11">
        <v>109035</v>
      </c>
      <c r="H768" s="11" t="s">
        <v>179</v>
      </c>
      <c r="J768" s="11" t="s">
        <v>38</v>
      </c>
      <c r="K768" s="11" t="s">
        <v>180</v>
      </c>
      <c r="L768" s="11" t="s">
        <v>181</v>
      </c>
      <c r="M768" s="11">
        <v>22.61</v>
      </c>
      <c r="N768" s="11"/>
      <c r="O768" s="42">
        <v>22.61</v>
      </c>
      <c r="P768" s="43" t="s">
        <v>4488</v>
      </c>
      <c r="Q768" s="11">
        <v>1317510.68</v>
      </c>
      <c r="R768" s="11" t="s">
        <v>1416</v>
      </c>
      <c r="S768" s="11" t="s">
        <v>69</v>
      </c>
      <c r="T768" s="11">
        <v>0</v>
      </c>
      <c r="V768" s="11" t="s">
        <v>41</v>
      </c>
    </row>
    <row r="769" spans="1:22" x14ac:dyDescent="0.25">
      <c r="A769" s="11">
        <v>101060401</v>
      </c>
      <c r="B769" s="11" t="s">
        <v>34</v>
      </c>
      <c r="C769" s="41">
        <v>44888</v>
      </c>
      <c r="D769" s="41">
        <v>44888</v>
      </c>
      <c r="E769" s="11" t="s">
        <v>36</v>
      </c>
      <c r="F769" s="11" t="s">
        <v>1828</v>
      </c>
      <c r="G769" s="11">
        <v>109037</v>
      </c>
      <c r="H769" s="11" t="s">
        <v>37</v>
      </c>
      <c r="K769" s="11">
        <v>51010103</v>
      </c>
      <c r="L769" s="11" t="s">
        <v>39</v>
      </c>
      <c r="M769" s="26">
        <v>10.050000000000001</v>
      </c>
      <c r="O769" s="44">
        <v>10.050000000000001</v>
      </c>
      <c r="P769" s="43" t="s">
        <v>4493</v>
      </c>
      <c r="Q769" s="11">
        <v>1317520.73</v>
      </c>
      <c r="R769" s="11" t="s">
        <v>1829</v>
      </c>
      <c r="S769" s="11" t="s">
        <v>40</v>
      </c>
      <c r="T769" s="11">
        <v>0</v>
      </c>
    </row>
    <row r="770" spans="1:22" x14ac:dyDescent="0.25">
      <c r="A770" s="11">
        <v>101060401</v>
      </c>
      <c r="B770" s="11" t="s">
        <v>34</v>
      </c>
      <c r="C770" s="41">
        <v>44888</v>
      </c>
      <c r="D770" s="41">
        <v>44888</v>
      </c>
      <c r="E770" s="11" t="s">
        <v>42</v>
      </c>
      <c r="F770" s="11" t="s">
        <v>1830</v>
      </c>
      <c r="G770" s="11">
        <v>109038</v>
      </c>
      <c r="H770" s="11" t="s">
        <v>50</v>
      </c>
      <c r="J770" s="11" t="s">
        <v>38</v>
      </c>
      <c r="K770" s="11">
        <v>51010101</v>
      </c>
      <c r="L770" s="11" t="s">
        <v>48</v>
      </c>
      <c r="M770" s="11"/>
      <c r="N770" s="11">
        <v>11.39</v>
      </c>
      <c r="O770" s="42">
        <v>-11.39</v>
      </c>
      <c r="P770" s="43" t="s">
        <v>4489</v>
      </c>
      <c r="Q770" s="11">
        <v>1317509.3400000001</v>
      </c>
      <c r="R770" s="11" t="s">
        <v>1831</v>
      </c>
      <c r="S770" s="11" t="s">
        <v>40</v>
      </c>
      <c r="T770" s="11">
        <v>0</v>
      </c>
      <c r="V770" s="11" t="s">
        <v>41</v>
      </c>
    </row>
    <row r="771" spans="1:22" x14ac:dyDescent="0.25">
      <c r="A771" s="11">
        <v>101060401</v>
      </c>
      <c r="B771" s="11" t="s">
        <v>34</v>
      </c>
      <c r="C771" s="41">
        <v>44888</v>
      </c>
      <c r="D771" s="41">
        <v>44888</v>
      </c>
      <c r="E771" s="11" t="s">
        <v>42</v>
      </c>
      <c r="F771" s="11" t="s">
        <v>1832</v>
      </c>
      <c r="G771" s="11">
        <v>109039</v>
      </c>
      <c r="H771" s="11" t="s">
        <v>50</v>
      </c>
      <c r="J771" s="11" t="s">
        <v>38</v>
      </c>
      <c r="K771" s="11">
        <v>51010101</v>
      </c>
      <c r="L771" s="11" t="s">
        <v>48</v>
      </c>
      <c r="M771" s="11"/>
      <c r="N771" s="11">
        <v>145.86000000000001</v>
      </c>
      <c r="O771" s="42">
        <v>-145.86000000000001</v>
      </c>
      <c r="P771" s="43" t="s">
        <v>4489</v>
      </c>
      <c r="Q771" s="11">
        <v>1317363.48</v>
      </c>
      <c r="R771" s="11" t="s">
        <v>1833</v>
      </c>
      <c r="S771" s="11" t="s">
        <v>40</v>
      </c>
      <c r="T771" s="11">
        <v>0</v>
      </c>
      <c r="V771" s="11" t="s">
        <v>41</v>
      </c>
    </row>
    <row r="772" spans="1:22" x14ac:dyDescent="0.25">
      <c r="A772" s="11">
        <v>101060401</v>
      </c>
      <c r="B772" s="11" t="s">
        <v>34</v>
      </c>
      <c r="C772" s="41">
        <v>44888</v>
      </c>
      <c r="D772" s="41">
        <v>44888</v>
      </c>
      <c r="E772" s="11" t="s">
        <v>42</v>
      </c>
      <c r="F772" s="11" t="s">
        <v>1834</v>
      </c>
      <c r="G772" s="11">
        <v>109047</v>
      </c>
      <c r="H772" s="11" t="s">
        <v>57</v>
      </c>
      <c r="K772" s="11">
        <v>101060402</v>
      </c>
      <c r="L772" s="11" t="s">
        <v>44</v>
      </c>
      <c r="M772" s="11"/>
      <c r="N772" s="11">
        <v>1144.55</v>
      </c>
      <c r="O772" s="42">
        <v>-1144.55</v>
      </c>
      <c r="P772" s="43" t="s">
        <v>4481</v>
      </c>
      <c r="Q772" s="11">
        <v>1316218.93</v>
      </c>
      <c r="R772" s="11" t="s">
        <v>1835</v>
      </c>
      <c r="S772" s="11" t="s">
        <v>40</v>
      </c>
      <c r="T772" s="11">
        <v>0</v>
      </c>
    </row>
    <row r="773" spans="1:22" x14ac:dyDescent="0.25">
      <c r="A773" s="11">
        <v>101060401</v>
      </c>
      <c r="B773" s="11" t="s">
        <v>34</v>
      </c>
      <c r="C773" s="41">
        <v>44888</v>
      </c>
      <c r="D773" s="41">
        <v>44888</v>
      </c>
      <c r="E773" s="11" t="s">
        <v>42</v>
      </c>
      <c r="F773" s="11" t="s">
        <v>1836</v>
      </c>
      <c r="G773" s="11">
        <v>109048</v>
      </c>
      <c r="H773" s="11" t="s">
        <v>49</v>
      </c>
      <c r="J773" s="11" t="s">
        <v>38</v>
      </c>
      <c r="K773" s="11">
        <v>51010101</v>
      </c>
      <c r="L773" s="11" t="s">
        <v>48</v>
      </c>
      <c r="M773" s="11"/>
      <c r="N773" s="11">
        <v>40.99</v>
      </c>
      <c r="O773" s="42">
        <v>-40.99</v>
      </c>
      <c r="P773" s="43" t="s">
        <v>4489</v>
      </c>
      <c r="Q773" s="11">
        <v>1316177.94</v>
      </c>
      <c r="R773" s="11" t="s">
        <v>157</v>
      </c>
      <c r="S773" s="11" t="s">
        <v>40</v>
      </c>
      <c r="T773" s="11">
        <v>0</v>
      </c>
      <c r="V773" s="11" t="s">
        <v>41</v>
      </c>
    </row>
    <row r="774" spans="1:22" x14ac:dyDescent="0.25">
      <c r="A774" s="11">
        <v>101060401</v>
      </c>
      <c r="B774" s="11" t="s">
        <v>34</v>
      </c>
      <c r="C774" s="41">
        <v>44888</v>
      </c>
      <c r="D774" s="41">
        <v>44888</v>
      </c>
      <c r="E774" s="11" t="s">
        <v>42</v>
      </c>
      <c r="F774" s="11" t="s">
        <v>1837</v>
      </c>
      <c r="G774" s="11">
        <v>109054</v>
      </c>
      <c r="H774" s="11" t="s">
        <v>47</v>
      </c>
      <c r="J774" s="11" t="s">
        <v>38</v>
      </c>
      <c r="K774" s="11">
        <v>51010101</v>
      </c>
      <c r="L774" s="11" t="s">
        <v>48</v>
      </c>
      <c r="M774" s="11"/>
      <c r="N774" s="11">
        <v>313.69</v>
      </c>
      <c r="O774" s="42">
        <v>-313.69</v>
      </c>
      <c r="P774" s="43" t="s">
        <v>4489</v>
      </c>
      <c r="Q774" s="11">
        <v>1315864.25</v>
      </c>
      <c r="R774" s="11" t="s">
        <v>1838</v>
      </c>
      <c r="S774" s="11" t="s">
        <v>40</v>
      </c>
      <c r="T774" s="11">
        <v>0</v>
      </c>
      <c r="V774" s="11" t="s">
        <v>41</v>
      </c>
    </row>
    <row r="775" spans="1:22" x14ac:dyDescent="0.25">
      <c r="A775" s="11">
        <v>101060401</v>
      </c>
      <c r="B775" s="11" t="s">
        <v>34</v>
      </c>
      <c r="C775" s="41">
        <v>44888</v>
      </c>
      <c r="D775" s="41">
        <v>44888</v>
      </c>
      <c r="E775" s="11" t="s">
        <v>36</v>
      </c>
      <c r="F775" s="11" t="s">
        <v>1839</v>
      </c>
      <c r="G775" s="11">
        <v>109055</v>
      </c>
      <c r="H775" s="11" t="s">
        <v>45</v>
      </c>
      <c r="K775" s="11">
        <v>201040506</v>
      </c>
      <c r="L775" s="11" t="s">
        <v>46</v>
      </c>
      <c r="M775" s="11">
        <v>453.2</v>
      </c>
      <c r="N775" s="11"/>
      <c r="O775" s="42">
        <v>453.2</v>
      </c>
      <c r="P775" s="43" t="s">
        <v>4480</v>
      </c>
      <c r="Q775" s="11">
        <v>1316317.45</v>
      </c>
      <c r="R775" s="11" t="s">
        <v>1840</v>
      </c>
      <c r="S775" s="11" t="s">
        <v>40</v>
      </c>
      <c r="T775" s="11">
        <v>0</v>
      </c>
    </row>
    <row r="776" spans="1:22" x14ac:dyDescent="0.25">
      <c r="A776" s="11">
        <v>101060401</v>
      </c>
      <c r="B776" s="11" t="s">
        <v>34</v>
      </c>
      <c r="C776" s="41">
        <v>44888</v>
      </c>
      <c r="D776" s="41">
        <v>44888</v>
      </c>
      <c r="E776" s="11" t="s">
        <v>42</v>
      </c>
      <c r="F776" s="11" t="s">
        <v>1841</v>
      </c>
      <c r="G776" s="11">
        <v>109056</v>
      </c>
      <c r="H776" s="11" t="s">
        <v>99</v>
      </c>
      <c r="J776" s="11" t="s">
        <v>38</v>
      </c>
      <c r="K776" s="11">
        <v>51010101</v>
      </c>
      <c r="L776" s="11" t="s">
        <v>48</v>
      </c>
      <c r="M776" s="11"/>
      <c r="N776" s="11">
        <v>1696.21</v>
      </c>
      <c r="O776" s="42">
        <v>-1696.21</v>
      </c>
      <c r="P776" s="43" t="s">
        <v>4489</v>
      </c>
      <c r="Q776" s="11">
        <v>1314621.24</v>
      </c>
      <c r="R776" s="11" t="s">
        <v>1842</v>
      </c>
      <c r="S776" s="11" t="s">
        <v>40</v>
      </c>
      <c r="T776" s="11">
        <v>0</v>
      </c>
      <c r="V776" s="11" t="s">
        <v>41</v>
      </c>
    </row>
    <row r="777" spans="1:22" x14ac:dyDescent="0.25">
      <c r="A777" s="11">
        <v>101060401</v>
      </c>
      <c r="B777" s="11" t="s">
        <v>34</v>
      </c>
      <c r="C777" s="41">
        <v>44888</v>
      </c>
      <c r="D777" s="41">
        <v>44888</v>
      </c>
      <c r="E777" s="11" t="s">
        <v>36</v>
      </c>
      <c r="F777" s="11" t="s">
        <v>1843</v>
      </c>
      <c r="G777" s="11">
        <v>109057</v>
      </c>
      <c r="H777" s="11" t="s">
        <v>101</v>
      </c>
      <c r="K777" s="11">
        <v>201040506</v>
      </c>
      <c r="L777" s="11" t="s">
        <v>46</v>
      </c>
      <c r="M777" s="11">
        <v>10.4</v>
      </c>
      <c r="N777" s="11"/>
      <c r="O777" s="42">
        <v>10.4</v>
      </c>
      <c r="P777" s="43" t="s">
        <v>4480</v>
      </c>
      <c r="Q777" s="11">
        <v>1314631.6399999999</v>
      </c>
      <c r="R777" s="11" t="s">
        <v>1844</v>
      </c>
      <c r="S777" s="11" t="s">
        <v>40</v>
      </c>
      <c r="T777" s="11">
        <v>0</v>
      </c>
    </row>
    <row r="778" spans="1:22" x14ac:dyDescent="0.25">
      <c r="A778" s="11">
        <v>101060401</v>
      </c>
      <c r="B778" s="11" t="s">
        <v>34</v>
      </c>
      <c r="C778" s="41">
        <v>44888</v>
      </c>
      <c r="D778" s="41">
        <v>44888</v>
      </c>
      <c r="E778" s="11" t="s">
        <v>36</v>
      </c>
      <c r="F778" s="11" t="s">
        <v>1845</v>
      </c>
      <c r="G778" s="11">
        <v>109058</v>
      </c>
      <c r="H778" s="11" t="s">
        <v>52</v>
      </c>
      <c r="K778" s="11">
        <v>201040506</v>
      </c>
      <c r="L778" s="11" t="s">
        <v>46</v>
      </c>
      <c r="M778" s="11">
        <v>2394.1999999999998</v>
      </c>
      <c r="N778" s="11"/>
      <c r="O778" s="42">
        <v>2394.1999999999998</v>
      </c>
      <c r="P778" s="43" t="s">
        <v>4480</v>
      </c>
      <c r="Q778" s="11">
        <v>1317025.8400000001</v>
      </c>
      <c r="R778" s="11" t="s">
        <v>1846</v>
      </c>
      <c r="S778" s="11" t="s">
        <v>40</v>
      </c>
      <c r="T778" s="11">
        <v>0</v>
      </c>
    </row>
    <row r="779" spans="1:22" x14ac:dyDescent="0.25">
      <c r="A779" s="11">
        <v>101060401</v>
      </c>
      <c r="B779" s="11" t="s">
        <v>34</v>
      </c>
      <c r="C779" s="41">
        <v>44888</v>
      </c>
      <c r="D779" s="41">
        <v>44888</v>
      </c>
      <c r="E779" s="11" t="s">
        <v>42</v>
      </c>
      <c r="F779" s="11" t="s">
        <v>1847</v>
      </c>
      <c r="G779" s="11">
        <v>109059</v>
      </c>
      <c r="H779" s="11" t="s">
        <v>57</v>
      </c>
      <c r="K779" s="11">
        <v>101060402</v>
      </c>
      <c r="L779" s="11" t="s">
        <v>44</v>
      </c>
      <c r="M779" s="11"/>
      <c r="N779" s="11">
        <v>2847.4</v>
      </c>
      <c r="O779" s="42">
        <v>-2847.4</v>
      </c>
      <c r="P779" s="43" t="s">
        <v>4481</v>
      </c>
      <c r="Q779" s="11">
        <v>1314178.44</v>
      </c>
      <c r="R779" s="11" t="s">
        <v>1848</v>
      </c>
      <c r="S779" s="11" t="s">
        <v>40</v>
      </c>
      <c r="T779" s="11">
        <v>0</v>
      </c>
    </row>
    <row r="780" spans="1:22" x14ac:dyDescent="0.25">
      <c r="A780" s="11">
        <v>101060401</v>
      </c>
      <c r="B780" s="11" t="s">
        <v>34</v>
      </c>
      <c r="C780" s="41">
        <v>44888</v>
      </c>
      <c r="D780" s="41">
        <v>44888</v>
      </c>
      <c r="E780" s="11" t="s">
        <v>36</v>
      </c>
      <c r="F780" s="11" t="s">
        <v>1849</v>
      </c>
      <c r="G780" s="11">
        <v>109061</v>
      </c>
      <c r="H780" s="11" t="s">
        <v>37</v>
      </c>
      <c r="J780" s="11" t="s">
        <v>38</v>
      </c>
      <c r="K780" s="11">
        <v>401030105</v>
      </c>
      <c r="L780" s="11" t="s">
        <v>54</v>
      </c>
      <c r="M780" s="26">
        <v>19.260000000000002</v>
      </c>
      <c r="O780" s="44">
        <v>19.260000000000002</v>
      </c>
      <c r="P780" s="43" t="s">
        <v>4494</v>
      </c>
      <c r="Q780" s="11">
        <v>1314197.7</v>
      </c>
      <c r="R780" s="11" t="s">
        <v>1850</v>
      </c>
      <c r="S780" s="11" t="s">
        <v>40</v>
      </c>
      <c r="T780" s="11">
        <v>0</v>
      </c>
      <c r="V780" s="11" t="s">
        <v>41</v>
      </c>
    </row>
    <row r="781" spans="1:22" x14ac:dyDescent="0.25">
      <c r="A781" s="11">
        <v>101060401</v>
      </c>
      <c r="B781" s="11" t="s">
        <v>34</v>
      </c>
      <c r="C781" s="41">
        <v>44888</v>
      </c>
      <c r="D781" s="41">
        <v>44888</v>
      </c>
      <c r="E781" s="11" t="s">
        <v>42</v>
      </c>
      <c r="F781" s="11" t="s">
        <v>1851</v>
      </c>
      <c r="G781" s="11">
        <v>109062</v>
      </c>
      <c r="H781" s="11" t="s">
        <v>139</v>
      </c>
      <c r="J781" s="11" t="s">
        <v>38</v>
      </c>
      <c r="K781" s="11">
        <v>51010101</v>
      </c>
      <c r="L781" s="11" t="s">
        <v>48</v>
      </c>
      <c r="M781" s="11"/>
      <c r="N781" s="11">
        <v>738.87</v>
      </c>
      <c r="O781" s="42">
        <v>-738.87</v>
      </c>
      <c r="P781" s="43" t="s">
        <v>4489</v>
      </c>
      <c r="Q781" s="11">
        <v>1313458.83</v>
      </c>
      <c r="R781" s="11" t="s">
        <v>1852</v>
      </c>
      <c r="S781" s="11" t="s">
        <v>40</v>
      </c>
      <c r="T781" s="11">
        <v>0</v>
      </c>
      <c r="V781" s="11" t="s">
        <v>41</v>
      </c>
    </row>
    <row r="782" spans="1:22" x14ac:dyDescent="0.25">
      <c r="A782" s="11">
        <v>101060401</v>
      </c>
      <c r="B782" s="11" t="s">
        <v>34</v>
      </c>
      <c r="C782" s="41">
        <v>44888</v>
      </c>
      <c r="D782" s="41">
        <v>44888</v>
      </c>
      <c r="E782" s="11" t="s">
        <v>42</v>
      </c>
      <c r="F782" s="11" t="s">
        <v>1853</v>
      </c>
      <c r="G782" s="11">
        <v>109063</v>
      </c>
      <c r="H782" s="11" t="s">
        <v>50</v>
      </c>
      <c r="J782" s="11" t="s">
        <v>38</v>
      </c>
      <c r="K782" s="11">
        <v>51010101</v>
      </c>
      <c r="L782" s="11" t="s">
        <v>48</v>
      </c>
      <c r="M782" s="11"/>
      <c r="N782" s="11">
        <v>192.46</v>
      </c>
      <c r="O782" s="42">
        <v>-192.46</v>
      </c>
      <c r="P782" s="43" t="s">
        <v>4489</v>
      </c>
      <c r="Q782" s="11">
        <v>1313266.3700000001</v>
      </c>
      <c r="R782" s="11" t="s">
        <v>1854</v>
      </c>
      <c r="S782" s="11" t="s">
        <v>40</v>
      </c>
      <c r="T782" s="11">
        <v>0</v>
      </c>
      <c r="V782" s="11" t="s">
        <v>41</v>
      </c>
    </row>
    <row r="783" spans="1:22" x14ac:dyDescent="0.25">
      <c r="A783" s="11">
        <v>101060401</v>
      </c>
      <c r="B783" s="11" t="s">
        <v>34</v>
      </c>
      <c r="C783" s="41">
        <v>44888</v>
      </c>
      <c r="D783" s="41">
        <v>44888</v>
      </c>
      <c r="E783" s="11" t="s">
        <v>42</v>
      </c>
      <c r="F783" s="11" t="s">
        <v>1855</v>
      </c>
      <c r="G783" s="11">
        <v>109067</v>
      </c>
      <c r="H783" s="11" t="s">
        <v>64</v>
      </c>
      <c r="J783" s="11" t="s">
        <v>38</v>
      </c>
      <c r="K783" s="11">
        <v>51010101</v>
      </c>
      <c r="L783" s="11" t="s">
        <v>48</v>
      </c>
      <c r="M783" s="11"/>
      <c r="N783" s="11">
        <v>251.68</v>
      </c>
      <c r="O783" s="42">
        <v>-251.68</v>
      </c>
      <c r="P783" s="43" t="s">
        <v>4489</v>
      </c>
      <c r="Q783" s="11">
        <v>1313014.69</v>
      </c>
      <c r="R783" s="11" t="s">
        <v>648</v>
      </c>
      <c r="S783" s="11" t="s">
        <v>40</v>
      </c>
      <c r="T783" s="11">
        <v>0</v>
      </c>
      <c r="V783" s="11" t="s">
        <v>41</v>
      </c>
    </row>
    <row r="784" spans="1:22" x14ac:dyDescent="0.25">
      <c r="A784" s="11">
        <v>101060401</v>
      </c>
      <c r="B784" s="11" t="s">
        <v>34</v>
      </c>
      <c r="C784" s="41">
        <v>44888</v>
      </c>
      <c r="D784" s="41">
        <v>44888</v>
      </c>
      <c r="E784" s="11" t="s">
        <v>42</v>
      </c>
      <c r="F784" s="11" t="s">
        <v>1856</v>
      </c>
      <c r="G784" s="11">
        <v>109068</v>
      </c>
      <c r="H784" s="11" t="s">
        <v>146</v>
      </c>
      <c r="J784" s="11" t="s">
        <v>38</v>
      </c>
      <c r="K784" s="11">
        <v>51010101</v>
      </c>
      <c r="L784" s="11" t="s">
        <v>48</v>
      </c>
      <c r="M784" s="11"/>
      <c r="N784" s="11">
        <v>98.22</v>
      </c>
      <c r="O784" s="42">
        <v>-98.22</v>
      </c>
      <c r="P784" s="43" t="s">
        <v>4489</v>
      </c>
      <c r="Q784" s="11">
        <v>1312916.47</v>
      </c>
      <c r="R784" s="11" t="s">
        <v>1857</v>
      </c>
      <c r="S784" s="11" t="s">
        <v>40</v>
      </c>
      <c r="T784" s="11">
        <v>0</v>
      </c>
      <c r="V784" s="11" t="s">
        <v>41</v>
      </c>
    </row>
    <row r="785" spans="1:22" x14ac:dyDescent="0.25">
      <c r="A785" s="11">
        <v>101060401</v>
      </c>
      <c r="B785" s="11" t="s">
        <v>34</v>
      </c>
      <c r="C785" s="41">
        <v>44888</v>
      </c>
      <c r="D785" s="41">
        <v>44888</v>
      </c>
      <c r="E785" s="11" t="s">
        <v>42</v>
      </c>
      <c r="F785" s="11" t="s">
        <v>1858</v>
      </c>
      <c r="G785" s="11">
        <v>109070</v>
      </c>
      <c r="H785" s="11" t="s">
        <v>47</v>
      </c>
      <c r="J785" s="11" t="s">
        <v>38</v>
      </c>
      <c r="K785" s="11">
        <v>51010101</v>
      </c>
      <c r="L785" s="11" t="s">
        <v>48</v>
      </c>
      <c r="M785" s="11"/>
      <c r="N785" s="11">
        <v>22.61</v>
      </c>
      <c r="O785" s="42">
        <v>-22.61</v>
      </c>
      <c r="P785" s="43" t="s">
        <v>4489</v>
      </c>
      <c r="Q785" s="11">
        <v>1312893.8600000001</v>
      </c>
      <c r="R785" s="11" t="s">
        <v>1423</v>
      </c>
      <c r="S785" s="11" t="s">
        <v>40</v>
      </c>
      <c r="T785" s="11">
        <v>0</v>
      </c>
      <c r="V785" s="11" t="s">
        <v>41</v>
      </c>
    </row>
    <row r="786" spans="1:22" x14ac:dyDescent="0.25">
      <c r="A786" s="11">
        <v>101060401</v>
      </c>
      <c r="B786" s="11" t="s">
        <v>34</v>
      </c>
      <c r="C786" s="41">
        <v>44888</v>
      </c>
      <c r="D786" s="41">
        <v>44888</v>
      </c>
      <c r="E786" s="11" t="s">
        <v>36</v>
      </c>
      <c r="F786" s="11" t="s">
        <v>1859</v>
      </c>
      <c r="G786" s="11">
        <v>109071</v>
      </c>
      <c r="H786" s="11" t="s">
        <v>80</v>
      </c>
      <c r="K786" s="11">
        <v>201040506</v>
      </c>
      <c r="L786" s="11" t="s">
        <v>46</v>
      </c>
      <c r="M786" s="11">
        <v>197</v>
      </c>
      <c r="N786" s="11"/>
      <c r="O786" s="42">
        <v>197</v>
      </c>
      <c r="P786" s="43" t="s">
        <v>4480</v>
      </c>
      <c r="Q786" s="11">
        <v>1313090.8600000001</v>
      </c>
      <c r="R786" s="11" t="s">
        <v>1860</v>
      </c>
      <c r="S786" s="11" t="s">
        <v>40</v>
      </c>
      <c r="T786" s="11">
        <v>0</v>
      </c>
    </row>
    <row r="787" spans="1:22" x14ac:dyDescent="0.25">
      <c r="A787" s="11">
        <v>101060401</v>
      </c>
      <c r="B787" s="11" t="s">
        <v>34</v>
      </c>
      <c r="C787" s="41">
        <v>44888</v>
      </c>
      <c r="D787" s="41">
        <v>44888</v>
      </c>
      <c r="E787" s="11" t="s">
        <v>42</v>
      </c>
      <c r="F787" s="11" t="s">
        <v>1861</v>
      </c>
      <c r="G787" s="11">
        <v>109072</v>
      </c>
      <c r="H787" s="11" t="s">
        <v>47</v>
      </c>
      <c r="J787" s="11" t="s">
        <v>38</v>
      </c>
      <c r="K787" s="11">
        <v>51010101</v>
      </c>
      <c r="L787" s="11" t="s">
        <v>48</v>
      </c>
      <c r="M787" s="11"/>
      <c r="N787" s="11">
        <v>98.5</v>
      </c>
      <c r="O787" s="42">
        <v>-98.5</v>
      </c>
      <c r="P787" s="43" t="s">
        <v>4489</v>
      </c>
      <c r="Q787" s="11">
        <v>1312992.3600000001</v>
      </c>
      <c r="R787" s="11" t="s">
        <v>1862</v>
      </c>
      <c r="S787" s="11" t="s">
        <v>40</v>
      </c>
      <c r="T787" s="11">
        <v>0</v>
      </c>
      <c r="V787" s="11" t="s">
        <v>41</v>
      </c>
    </row>
    <row r="788" spans="1:22" x14ac:dyDescent="0.25">
      <c r="A788" s="11">
        <v>101060401</v>
      </c>
      <c r="B788" s="11" t="s">
        <v>34</v>
      </c>
      <c r="C788" s="41">
        <v>44888</v>
      </c>
      <c r="D788" s="41">
        <v>44888</v>
      </c>
      <c r="E788" s="11" t="s">
        <v>42</v>
      </c>
      <c r="F788" s="11" t="s">
        <v>1863</v>
      </c>
      <c r="G788" s="11">
        <v>109073</v>
      </c>
      <c r="H788" s="11" t="s">
        <v>47</v>
      </c>
      <c r="J788" s="11" t="s">
        <v>38</v>
      </c>
      <c r="K788" s="11">
        <v>51010101</v>
      </c>
      <c r="L788" s="11" t="s">
        <v>48</v>
      </c>
      <c r="M788" s="11"/>
      <c r="N788" s="11">
        <v>98.5</v>
      </c>
      <c r="O788" s="42">
        <v>-98.5</v>
      </c>
      <c r="P788" s="43" t="s">
        <v>4489</v>
      </c>
      <c r="Q788" s="11">
        <v>1312893.8600000001</v>
      </c>
      <c r="R788" s="11" t="s">
        <v>1862</v>
      </c>
      <c r="S788" s="11" t="s">
        <v>40</v>
      </c>
      <c r="T788" s="11">
        <v>0</v>
      </c>
      <c r="V788" s="11" t="s">
        <v>41</v>
      </c>
    </row>
    <row r="789" spans="1:22" x14ac:dyDescent="0.25">
      <c r="A789" s="11">
        <v>101060401</v>
      </c>
      <c r="B789" s="11" t="s">
        <v>34</v>
      </c>
      <c r="C789" s="41">
        <v>44888</v>
      </c>
      <c r="D789" s="41">
        <v>44888</v>
      </c>
      <c r="E789" s="11" t="s">
        <v>42</v>
      </c>
      <c r="F789" s="11" t="s">
        <v>1864</v>
      </c>
      <c r="G789" s="11">
        <v>109074</v>
      </c>
      <c r="H789" s="11" t="s">
        <v>1511</v>
      </c>
      <c r="J789" s="11" t="s">
        <v>38</v>
      </c>
      <c r="K789" s="11">
        <v>51010101</v>
      </c>
      <c r="L789" s="11" t="s">
        <v>48</v>
      </c>
      <c r="M789" s="11"/>
      <c r="N789" s="11">
        <v>23.66</v>
      </c>
      <c r="O789" s="42">
        <v>-23.66</v>
      </c>
      <c r="P789" s="43" t="s">
        <v>4489</v>
      </c>
      <c r="Q789" s="11">
        <v>1312870.2</v>
      </c>
      <c r="R789" s="11" t="s">
        <v>1865</v>
      </c>
      <c r="S789" s="11" t="s">
        <v>40</v>
      </c>
      <c r="T789" s="11">
        <v>0</v>
      </c>
      <c r="V789" s="11" t="s">
        <v>41</v>
      </c>
    </row>
    <row r="790" spans="1:22" x14ac:dyDescent="0.25">
      <c r="A790" s="11">
        <v>101060401</v>
      </c>
      <c r="B790" s="11" t="s">
        <v>34</v>
      </c>
      <c r="C790" s="41">
        <v>44888</v>
      </c>
      <c r="D790" s="41">
        <v>44888</v>
      </c>
      <c r="E790" s="11" t="s">
        <v>42</v>
      </c>
      <c r="F790" s="11" t="s">
        <v>1866</v>
      </c>
      <c r="G790" s="11">
        <v>109085</v>
      </c>
      <c r="H790" s="11" t="s">
        <v>56</v>
      </c>
      <c r="J790" s="11" t="s">
        <v>38</v>
      </c>
      <c r="K790" s="11">
        <v>51010101</v>
      </c>
      <c r="L790" s="11" t="s">
        <v>48</v>
      </c>
      <c r="M790" s="11"/>
      <c r="N790" s="11">
        <v>92.78</v>
      </c>
      <c r="O790" s="42">
        <v>-92.78</v>
      </c>
      <c r="P790" s="43" t="s">
        <v>4489</v>
      </c>
      <c r="Q790" s="11">
        <v>1312777.42</v>
      </c>
      <c r="R790" s="11" t="s">
        <v>1867</v>
      </c>
      <c r="S790" s="11" t="s">
        <v>40</v>
      </c>
      <c r="T790" s="11">
        <v>0</v>
      </c>
      <c r="V790" s="11" t="s">
        <v>41</v>
      </c>
    </row>
    <row r="791" spans="1:22" x14ac:dyDescent="0.25">
      <c r="A791" s="11">
        <v>101060401</v>
      </c>
      <c r="B791" s="11" t="s">
        <v>34</v>
      </c>
      <c r="C791" s="41">
        <v>44888</v>
      </c>
      <c r="D791" s="41">
        <v>44888</v>
      </c>
      <c r="E791" s="11" t="s">
        <v>42</v>
      </c>
      <c r="F791" s="11" t="s">
        <v>1868</v>
      </c>
      <c r="G791" s="11">
        <v>109094</v>
      </c>
      <c r="H791" s="11" t="s">
        <v>57</v>
      </c>
      <c r="K791" s="11">
        <v>101060402</v>
      </c>
      <c r="L791" s="11" t="s">
        <v>44</v>
      </c>
      <c r="M791" s="11">
        <v>88.92</v>
      </c>
      <c r="N791" s="11"/>
      <c r="O791" s="42">
        <v>88.92</v>
      </c>
      <c r="P791" s="43" t="s">
        <v>4481</v>
      </c>
      <c r="Q791" s="11">
        <v>1312866.3400000001</v>
      </c>
      <c r="R791" s="11" t="s">
        <v>1869</v>
      </c>
      <c r="S791" s="11" t="s">
        <v>106</v>
      </c>
      <c r="T791" s="11">
        <v>0</v>
      </c>
    </row>
    <row r="792" spans="1:22" x14ac:dyDescent="0.25">
      <c r="A792" s="11">
        <v>101060401</v>
      </c>
      <c r="B792" s="11" t="s">
        <v>34</v>
      </c>
      <c r="C792" s="41">
        <v>44888</v>
      </c>
      <c r="D792" s="41">
        <v>44888</v>
      </c>
      <c r="E792" s="11" t="s">
        <v>42</v>
      </c>
      <c r="F792" s="11" t="s">
        <v>1870</v>
      </c>
      <c r="G792" s="11">
        <v>109102</v>
      </c>
      <c r="H792" s="11" t="s">
        <v>72</v>
      </c>
      <c r="J792" s="11" t="s">
        <v>38</v>
      </c>
      <c r="K792" s="11">
        <v>51010101</v>
      </c>
      <c r="L792" s="11" t="s">
        <v>48</v>
      </c>
      <c r="M792" s="11"/>
      <c r="N792" s="11">
        <v>226.89</v>
      </c>
      <c r="O792" s="42">
        <v>-226.89</v>
      </c>
      <c r="P792" s="43" t="s">
        <v>4489</v>
      </c>
      <c r="Q792" s="11">
        <v>1312639.45</v>
      </c>
      <c r="R792" s="11" t="s">
        <v>1871</v>
      </c>
      <c r="S792" s="11" t="s">
        <v>40</v>
      </c>
      <c r="T792" s="11">
        <v>0</v>
      </c>
      <c r="V792" s="11" t="s">
        <v>41</v>
      </c>
    </row>
    <row r="793" spans="1:22" x14ac:dyDescent="0.25">
      <c r="A793" s="11">
        <v>101060401</v>
      </c>
      <c r="B793" s="11" t="s">
        <v>34</v>
      </c>
      <c r="C793" s="41">
        <v>44888</v>
      </c>
      <c r="D793" s="41">
        <v>44888</v>
      </c>
      <c r="E793" s="11" t="s">
        <v>42</v>
      </c>
      <c r="F793" s="11" t="s">
        <v>1872</v>
      </c>
      <c r="G793" s="11">
        <v>109110</v>
      </c>
      <c r="H793" s="11" t="s">
        <v>50</v>
      </c>
      <c r="J793" s="11" t="s">
        <v>38</v>
      </c>
      <c r="K793" s="11">
        <v>51010101</v>
      </c>
      <c r="L793" s="11" t="s">
        <v>48</v>
      </c>
      <c r="M793" s="11"/>
      <c r="N793" s="11">
        <v>16.760000000000002</v>
      </c>
      <c r="O793" s="42">
        <v>-16.760000000000002</v>
      </c>
      <c r="P793" s="43" t="s">
        <v>4489</v>
      </c>
      <c r="Q793" s="11">
        <v>1312622.69</v>
      </c>
      <c r="R793" s="11" t="s">
        <v>1873</v>
      </c>
      <c r="S793" s="11" t="s">
        <v>40</v>
      </c>
      <c r="T793" s="11">
        <v>0</v>
      </c>
      <c r="V793" s="11" t="s">
        <v>41</v>
      </c>
    </row>
    <row r="794" spans="1:22" x14ac:dyDescent="0.25">
      <c r="A794" s="11">
        <v>101060401</v>
      </c>
      <c r="B794" s="11" t="s">
        <v>34</v>
      </c>
      <c r="C794" s="41">
        <v>44889</v>
      </c>
      <c r="D794" s="41">
        <v>44889</v>
      </c>
      <c r="E794" s="11" t="s">
        <v>42</v>
      </c>
      <c r="F794" s="11" t="s">
        <v>1874</v>
      </c>
      <c r="G794" s="11">
        <v>109114</v>
      </c>
      <c r="H794" s="11" t="s">
        <v>91</v>
      </c>
      <c r="J794" s="11" t="s">
        <v>38</v>
      </c>
      <c r="K794" s="11">
        <v>51010101</v>
      </c>
      <c r="L794" s="11" t="s">
        <v>48</v>
      </c>
      <c r="M794" s="11"/>
      <c r="N794" s="11">
        <v>61.05</v>
      </c>
      <c r="O794" s="42">
        <v>-61.05</v>
      </c>
      <c r="P794" s="43" t="s">
        <v>4489</v>
      </c>
      <c r="Q794" s="11">
        <v>1312561.6399999999</v>
      </c>
      <c r="R794" s="11" t="s">
        <v>1875</v>
      </c>
      <c r="S794" s="11" t="s">
        <v>40</v>
      </c>
      <c r="T794" s="11">
        <v>0</v>
      </c>
      <c r="V794" s="11" t="s">
        <v>41</v>
      </c>
    </row>
    <row r="795" spans="1:22" x14ac:dyDescent="0.25">
      <c r="A795" s="11">
        <v>101060401</v>
      </c>
      <c r="B795" s="11" t="s">
        <v>34</v>
      </c>
      <c r="C795" s="41">
        <v>44889</v>
      </c>
      <c r="D795" s="41">
        <v>44889</v>
      </c>
      <c r="E795" s="11" t="s">
        <v>42</v>
      </c>
      <c r="F795" s="11" t="s">
        <v>1876</v>
      </c>
      <c r="G795" s="11">
        <v>109134</v>
      </c>
      <c r="H795" s="11" t="s">
        <v>123</v>
      </c>
      <c r="J795" s="11" t="s">
        <v>38</v>
      </c>
      <c r="K795" s="11">
        <v>51010101</v>
      </c>
      <c r="L795" s="11" t="s">
        <v>48</v>
      </c>
      <c r="M795" s="11"/>
      <c r="N795" s="11">
        <v>159.07</v>
      </c>
      <c r="O795" s="42">
        <v>-159.07</v>
      </c>
      <c r="P795" s="43" t="s">
        <v>4489</v>
      </c>
      <c r="Q795" s="11">
        <v>1312402.57</v>
      </c>
      <c r="R795" s="11" t="s">
        <v>1877</v>
      </c>
      <c r="S795" s="11" t="s">
        <v>40</v>
      </c>
      <c r="T795" s="11">
        <v>0</v>
      </c>
      <c r="V795" s="11" t="s">
        <v>41</v>
      </c>
    </row>
    <row r="796" spans="1:22" x14ac:dyDescent="0.25">
      <c r="A796" s="11">
        <v>101060401</v>
      </c>
      <c r="B796" s="11" t="s">
        <v>34</v>
      </c>
      <c r="C796" s="41">
        <v>44889</v>
      </c>
      <c r="D796" s="41">
        <v>44889</v>
      </c>
      <c r="E796" s="11" t="s">
        <v>42</v>
      </c>
      <c r="F796" s="11" t="s">
        <v>1878</v>
      </c>
      <c r="G796" s="11">
        <v>109140</v>
      </c>
      <c r="H796" s="11" t="s">
        <v>1879</v>
      </c>
      <c r="J796" s="11" t="s">
        <v>38</v>
      </c>
      <c r="K796" s="11">
        <v>51010101</v>
      </c>
      <c r="L796" s="11" t="s">
        <v>48</v>
      </c>
      <c r="M796" s="11"/>
      <c r="N796" s="11">
        <v>5.85</v>
      </c>
      <c r="O796" s="42">
        <v>-5.85</v>
      </c>
      <c r="P796" s="43" t="s">
        <v>4489</v>
      </c>
      <c r="Q796" s="11">
        <v>1312396.72</v>
      </c>
      <c r="R796" s="11" t="s">
        <v>1880</v>
      </c>
      <c r="S796" s="11" t="s">
        <v>40</v>
      </c>
      <c r="T796" s="11">
        <v>0</v>
      </c>
      <c r="V796" s="11" t="s">
        <v>41</v>
      </c>
    </row>
    <row r="797" spans="1:22" x14ac:dyDescent="0.25">
      <c r="A797" s="11">
        <v>101060401</v>
      </c>
      <c r="B797" s="11" t="s">
        <v>34</v>
      </c>
      <c r="C797" s="41">
        <v>44889</v>
      </c>
      <c r="D797" s="41">
        <v>44889</v>
      </c>
      <c r="E797" s="11" t="s">
        <v>42</v>
      </c>
      <c r="F797" s="11" t="s">
        <v>1881</v>
      </c>
      <c r="G797" s="11">
        <v>109146</v>
      </c>
      <c r="H797" s="11" t="s">
        <v>1691</v>
      </c>
      <c r="J797" s="11" t="s">
        <v>38</v>
      </c>
      <c r="K797" s="11">
        <v>51010101</v>
      </c>
      <c r="L797" s="11" t="s">
        <v>48</v>
      </c>
      <c r="M797" s="11"/>
      <c r="N797" s="11">
        <v>17.78</v>
      </c>
      <c r="O797" s="42">
        <v>-17.78</v>
      </c>
      <c r="P797" s="43" t="s">
        <v>4489</v>
      </c>
      <c r="Q797" s="11">
        <v>1312378.94</v>
      </c>
      <c r="R797" s="11" t="s">
        <v>1882</v>
      </c>
      <c r="S797" s="11" t="s">
        <v>40</v>
      </c>
      <c r="T797" s="11">
        <v>0</v>
      </c>
      <c r="V797" s="11" t="s">
        <v>41</v>
      </c>
    </row>
    <row r="798" spans="1:22" x14ac:dyDescent="0.25">
      <c r="A798" s="11">
        <v>101060401</v>
      </c>
      <c r="B798" s="11" t="s">
        <v>34</v>
      </c>
      <c r="C798" s="41">
        <v>44889</v>
      </c>
      <c r="D798" s="41">
        <v>44889</v>
      </c>
      <c r="E798" s="11" t="s">
        <v>42</v>
      </c>
      <c r="F798" s="11" t="s">
        <v>1883</v>
      </c>
      <c r="G798" s="11">
        <v>109156</v>
      </c>
      <c r="H798" s="11" t="s">
        <v>50</v>
      </c>
      <c r="J798" s="11" t="s">
        <v>38</v>
      </c>
      <c r="K798" s="11">
        <v>51010101</v>
      </c>
      <c r="L798" s="11" t="s">
        <v>48</v>
      </c>
      <c r="M798" s="11"/>
      <c r="N798" s="11">
        <v>26.5</v>
      </c>
      <c r="O798" s="42">
        <v>-26.5</v>
      </c>
      <c r="P798" s="43" t="s">
        <v>4489</v>
      </c>
      <c r="Q798" s="11">
        <v>1312352.44</v>
      </c>
      <c r="R798" s="11" t="s">
        <v>339</v>
      </c>
      <c r="S798" s="11" t="s">
        <v>40</v>
      </c>
      <c r="T798" s="11">
        <v>0</v>
      </c>
      <c r="V798" s="11" t="s">
        <v>41</v>
      </c>
    </row>
    <row r="799" spans="1:22" x14ac:dyDescent="0.25">
      <c r="A799" s="11">
        <v>101060401</v>
      </c>
      <c r="B799" s="11" t="s">
        <v>34</v>
      </c>
      <c r="C799" s="41">
        <v>44889</v>
      </c>
      <c r="D799" s="41">
        <v>44889</v>
      </c>
      <c r="E799" s="11" t="s">
        <v>42</v>
      </c>
      <c r="F799" s="11" t="s">
        <v>1884</v>
      </c>
      <c r="G799" s="11">
        <v>109160</v>
      </c>
      <c r="H799" s="11" t="s">
        <v>1885</v>
      </c>
      <c r="J799" s="11" t="s">
        <v>38</v>
      </c>
      <c r="K799" s="11">
        <v>51010101</v>
      </c>
      <c r="L799" s="11" t="s">
        <v>48</v>
      </c>
      <c r="M799" s="11"/>
      <c r="N799" s="11">
        <v>9.94</v>
      </c>
      <c r="O799" s="42">
        <v>-9.94</v>
      </c>
      <c r="P799" s="43" t="s">
        <v>4489</v>
      </c>
      <c r="Q799" s="11">
        <v>1312342.5</v>
      </c>
      <c r="R799" s="11" t="s">
        <v>1886</v>
      </c>
      <c r="S799" s="11" t="s">
        <v>40</v>
      </c>
      <c r="T799" s="11">
        <v>0</v>
      </c>
      <c r="V799" s="11" t="s">
        <v>41</v>
      </c>
    </row>
    <row r="800" spans="1:22" x14ac:dyDescent="0.25">
      <c r="A800" s="11">
        <v>101060401</v>
      </c>
      <c r="B800" s="11" t="s">
        <v>34</v>
      </c>
      <c r="C800" s="41">
        <v>44889</v>
      </c>
      <c r="D800" s="41">
        <v>44889</v>
      </c>
      <c r="E800" s="11" t="s">
        <v>36</v>
      </c>
      <c r="F800" s="11" t="s">
        <v>1887</v>
      </c>
      <c r="G800" s="11">
        <v>109162</v>
      </c>
      <c r="H800" s="11" t="s">
        <v>52</v>
      </c>
      <c r="K800" s="11">
        <v>201040506</v>
      </c>
      <c r="L800" s="11" t="s">
        <v>46</v>
      </c>
      <c r="M800" s="11">
        <v>14.79</v>
      </c>
      <c r="N800" s="11"/>
      <c r="O800" s="42">
        <v>14.79</v>
      </c>
      <c r="P800" s="43" t="s">
        <v>4480</v>
      </c>
      <c r="Q800" s="11">
        <v>1312357.29</v>
      </c>
      <c r="R800" s="11" t="s">
        <v>1888</v>
      </c>
      <c r="S800" s="11" t="s">
        <v>40</v>
      </c>
      <c r="T800" s="11">
        <v>0</v>
      </c>
    </row>
    <row r="801" spans="1:22" x14ac:dyDescent="0.25">
      <c r="A801" s="11">
        <v>101060401</v>
      </c>
      <c r="B801" s="11" t="s">
        <v>34</v>
      </c>
      <c r="C801" s="41">
        <v>44889</v>
      </c>
      <c r="D801" s="41">
        <v>44889</v>
      </c>
      <c r="E801" s="11" t="s">
        <v>42</v>
      </c>
      <c r="F801" s="11" t="s">
        <v>1889</v>
      </c>
      <c r="G801" s="11">
        <v>109164</v>
      </c>
      <c r="H801" s="11" t="s">
        <v>47</v>
      </c>
      <c r="J801" s="11" t="s">
        <v>38</v>
      </c>
      <c r="K801" s="11">
        <v>51010101</v>
      </c>
      <c r="L801" s="11" t="s">
        <v>48</v>
      </c>
      <c r="M801" s="11"/>
      <c r="N801" s="11">
        <v>14.79</v>
      </c>
      <c r="O801" s="42">
        <v>-14.79</v>
      </c>
      <c r="P801" s="43" t="s">
        <v>4489</v>
      </c>
      <c r="Q801" s="11">
        <v>1312342.5</v>
      </c>
      <c r="R801" s="11" t="s">
        <v>1890</v>
      </c>
      <c r="S801" s="11" t="s">
        <v>40</v>
      </c>
      <c r="T801" s="11">
        <v>0</v>
      </c>
      <c r="V801" s="11" t="s">
        <v>41</v>
      </c>
    </row>
    <row r="802" spans="1:22" x14ac:dyDescent="0.25">
      <c r="A802" s="11">
        <v>101060401</v>
      </c>
      <c r="B802" s="11" t="s">
        <v>34</v>
      </c>
      <c r="C802" s="41">
        <v>44889</v>
      </c>
      <c r="D802" s="41">
        <v>44889</v>
      </c>
      <c r="E802" s="11" t="s">
        <v>42</v>
      </c>
      <c r="F802" s="11" t="s">
        <v>1891</v>
      </c>
      <c r="G802" s="11">
        <v>109171</v>
      </c>
      <c r="H802" s="11" t="s">
        <v>1892</v>
      </c>
      <c r="J802" s="11" t="s">
        <v>38</v>
      </c>
      <c r="K802" s="11" t="s">
        <v>1893</v>
      </c>
      <c r="L802" s="11" t="s">
        <v>1894</v>
      </c>
      <c r="M802" s="11">
        <v>2335.7800000000002</v>
      </c>
      <c r="N802" s="11"/>
      <c r="O802" s="42">
        <v>2335.7800000000002</v>
      </c>
      <c r="P802" s="43" t="s">
        <v>4488</v>
      </c>
      <c r="Q802" s="11">
        <v>1314678.28</v>
      </c>
      <c r="R802" s="11" t="s">
        <v>1895</v>
      </c>
      <c r="S802" s="11" t="s">
        <v>69</v>
      </c>
      <c r="T802" s="11">
        <v>0</v>
      </c>
      <c r="V802" s="11" t="s">
        <v>41</v>
      </c>
    </row>
    <row r="803" spans="1:22" x14ac:dyDescent="0.25">
      <c r="A803" s="11">
        <v>101060401</v>
      </c>
      <c r="B803" s="11" t="s">
        <v>34</v>
      </c>
      <c r="C803" s="41">
        <v>44889</v>
      </c>
      <c r="D803" s="41">
        <v>44889</v>
      </c>
      <c r="E803" s="11" t="s">
        <v>42</v>
      </c>
      <c r="F803" s="11" t="s">
        <v>1896</v>
      </c>
      <c r="G803" s="11">
        <v>109176</v>
      </c>
      <c r="H803" s="11" t="s">
        <v>57</v>
      </c>
      <c r="K803" s="11">
        <v>101060402</v>
      </c>
      <c r="L803" s="11" t="s">
        <v>44</v>
      </c>
      <c r="M803" s="11"/>
      <c r="N803" s="11">
        <v>122.81</v>
      </c>
      <c r="O803" s="42">
        <v>-122.81</v>
      </c>
      <c r="P803" s="43" t="s">
        <v>4481</v>
      </c>
      <c r="Q803" s="11">
        <v>1314555.47</v>
      </c>
      <c r="R803" s="11" t="s">
        <v>290</v>
      </c>
      <c r="S803" s="11" t="s">
        <v>40</v>
      </c>
      <c r="T803" s="11">
        <v>0</v>
      </c>
    </row>
    <row r="804" spans="1:22" x14ac:dyDescent="0.25">
      <c r="A804" s="11">
        <v>101060401</v>
      </c>
      <c r="B804" s="11" t="s">
        <v>34</v>
      </c>
      <c r="C804" s="41">
        <v>44889</v>
      </c>
      <c r="D804" s="41">
        <v>44889</v>
      </c>
      <c r="E804" s="11" t="s">
        <v>42</v>
      </c>
      <c r="F804" s="11" t="s">
        <v>1897</v>
      </c>
      <c r="G804" s="11">
        <v>109179</v>
      </c>
      <c r="H804" s="11" t="s">
        <v>1898</v>
      </c>
      <c r="J804" s="11" t="s">
        <v>38</v>
      </c>
      <c r="K804" s="11">
        <v>51010101</v>
      </c>
      <c r="L804" s="11" t="s">
        <v>48</v>
      </c>
      <c r="M804" s="11"/>
      <c r="N804" s="11">
        <v>2335.7800000000002</v>
      </c>
      <c r="O804" s="42">
        <v>-2335.7800000000002</v>
      </c>
      <c r="P804" s="43" t="s">
        <v>4489</v>
      </c>
      <c r="Q804" s="11">
        <v>1312219.69</v>
      </c>
      <c r="R804" s="11" t="s">
        <v>1789</v>
      </c>
      <c r="S804" s="11" t="s">
        <v>40</v>
      </c>
      <c r="T804" s="11">
        <v>0</v>
      </c>
      <c r="V804" s="11" t="s">
        <v>41</v>
      </c>
    </row>
    <row r="805" spans="1:22" x14ac:dyDescent="0.25">
      <c r="A805" s="11">
        <v>101060401</v>
      </c>
      <c r="B805" s="11" t="s">
        <v>34</v>
      </c>
      <c r="C805" s="41">
        <v>44889</v>
      </c>
      <c r="D805" s="41">
        <v>44889</v>
      </c>
      <c r="E805" s="11" t="s">
        <v>42</v>
      </c>
      <c r="F805" s="11" t="s">
        <v>1899</v>
      </c>
      <c r="G805" s="11">
        <v>109189</v>
      </c>
      <c r="H805" s="11" t="s">
        <v>72</v>
      </c>
      <c r="J805" s="11" t="s">
        <v>38</v>
      </c>
      <c r="K805" s="11">
        <v>51010101</v>
      </c>
      <c r="L805" s="11" t="s">
        <v>48</v>
      </c>
      <c r="M805" s="11"/>
      <c r="N805" s="11">
        <v>39.76</v>
      </c>
      <c r="O805" s="42">
        <v>-39.76</v>
      </c>
      <c r="P805" s="43" t="s">
        <v>4489</v>
      </c>
      <c r="Q805" s="11">
        <v>1312179.93</v>
      </c>
      <c r="R805" s="11" t="s">
        <v>313</v>
      </c>
      <c r="S805" s="11" t="s">
        <v>40</v>
      </c>
      <c r="T805" s="11">
        <v>0</v>
      </c>
      <c r="V805" s="11" t="s">
        <v>41</v>
      </c>
    </row>
    <row r="806" spans="1:22" x14ac:dyDescent="0.25">
      <c r="A806" s="11">
        <v>101060401</v>
      </c>
      <c r="B806" s="11" t="s">
        <v>34</v>
      </c>
      <c r="C806" s="41">
        <v>44889</v>
      </c>
      <c r="D806" s="41">
        <v>44889</v>
      </c>
      <c r="E806" s="11" t="s">
        <v>42</v>
      </c>
      <c r="F806" s="11" t="s">
        <v>1900</v>
      </c>
      <c r="G806" s="11">
        <v>109202</v>
      </c>
      <c r="H806" s="11" t="s">
        <v>109</v>
      </c>
      <c r="J806" s="11" t="s">
        <v>38</v>
      </c>
      <c r="K806" s="11">
        <v>51010101</v>
      </c>
      <c r="L806" s="11" t="s">
        <v>48</v>
      </c>
      <c r="M806" s="11"/>
      <c r="N806" s="11">
        <v>1660.7</v>
      </c>
      <c r="O806" s="42">
        <v>-1660.7</v>
      </c>
      <c r="P806" s="43" t="s">
        <v>4489</v>
      </c>
      <c r="Q806" s="11">
        <v>1310519.23</v>
      </c>
      <c r="R806" s="11" t="s">
        <v>1901</v>
      </c>
      <c r="S806" s="11" t="s">
        <v>40</v>
      </c>
      <c r="T806" s="11">
        <v>0</v>
      </c>
      <c r="V806" s="11" t="s">
        <v>41</v>
      </c>
    </row>
    <row r="807" spans="1:22" x14ac:dyDescent="0.25">
      <c r="A807" s="11">
        <v>101060401</v>
      </c>
      <c r="B807" s="11" t="s">
        <v>34</v>
      </c>
      <c r="C807" s="41">
        <v>44889</v>
      </c>
      <c r="D807" s="41">
        <v>44889</v>
      </c>
      <c r="E807" s="11" t="s">
        <v>36</v>
      </c>
      <c r="F807" s="11" t="s">
        <v>1902</v>
      </c>
      <c r="G807" s="11">
        <v>109227</v>
      </c>
      <c r="H807" s="11" t="s">
        <v>52</v>
      </c>
      <c r="K807" s="11">
        <v>201040506</v>
      </c>
      <c r="L807" s="11" t="s">
        <v>46</v>
      </c>
      <c r="M807" s="11">
        <v>126.72</v>
      </c>
      <c r="N807" s="11"/>
      <c r="O807" s="42">
        <v>126.72</v>
      </c>
      <c r="P807" s="43" t="s">
        <v>4480</v>
      </c>
      <c r="Q807" s="11">
        <v>1310645.95</v>
      </c>
      <c r="R807" s="11" t="s">
        <v>1903</v>
      </c>
      <c r="S807" s="11" t="s">
        <v>40</v>
      </c>
      <c r="T807" s="11">
        <v>0</v>
      </c>
    </row>
    <row r="808" spans="1:22" x14ac:dyDescent="0.25">
      <c r="A808" s="11">
        <v>101060401</v>
      </c>
      <c r="B808" s="11" t="s">
        <v>34</v>
      </c>
      <c r="C808" s="41">
        <v>44889</v>
      </c>
      <c r="D808" s="41">
        <v>44889</v>
      </c>
      <c r="E808" s="11" t="s">
        <v>36</v>
      </c>
      <c r="F808" s="11" t="s">
        <v>1904</v>
      </c>
      <c r="G808" s="11">
        <v>109228</v>
      </c>
      <c r="H808" s="11" t="s">
        <v>52</v>
      </c>
      <c r="K808" s="11">
        <v>201040506</v>
      </c>
      <c r="L808" s="11" t="s">
        <v>46</v>
      </c>
      <c r="M808" s="11">
        <v>1200</v>
      </c>
      <c r="N808" s="11"/>
      <c r="O808" s="42">
        <v>1200</v>
      </c>
      <c r="P808" s="43" t="s">
        <v>4480</v>
      </c>
      <c r="Q808" s="11">
        <v>1311845.95</v>
      </c>
      <c r="R808" s="11" t="s">
        <v>1704</v>
      </c>
      <c r="S808" s="11" t="s">
        <v>40</v>
      </c>
      <c r="T808" s="11">
        <v>0</v>
      </c>
    </row>
    <row r="809" spans="1:22" x14ac:dyDescent="0.25">
      <c r="A809" s="11">
        <v>101060401</v>
      </c>
      <c r="B809" s="11" t="s">
        <v>34</v>
      </c>
      <c r="C809" s="41">
        <v>44889</v>
      </c>
      <c r="D809" s="41">
        <v>44889</v>
      </c>
      <c r="E809" s="11" t="s">
        <v>42</v>
      </c>
      <c r="F809" s="11" t="s">
        <v>1905</v>
      </c>
      <c r="G809" s="11">
        <v>109230</v>
      </c>
      <c r="H809" s="11" t="s">
        <v>245</v>
      </c>
      <c r="J809" s="11" t="s">
        <v>38</v>
      </c>
      <c r="K809" s="11">
        <v>51010101</v>
      </c>
      <c r="L809" s="11" t="s">
        <v>48</v>
      </c>
      <c r="M809" s="11"/>
      <c r="N809" s="11">
        <v>789.42</v>
      </c>
      <c r="O809" s="42">
        <v>-789.42</v>
      </c>
      <c r="P809" s="43" t="s">
        <v>4489</v>
      </c>
      <c r="Q809" s="11">
        <v>1311056.53</v>
      </c>
      <c r="R809" s="11" t="s">
        <v>1906</v>
      </c>
      <c r="S809" s="11" t="s">
        <v>40</v>
      </c>
      <c r="T809" s="11">
        <v>0</v>
      </c>
      <c r="V809" s="11" t="s">
        <v>41</v>
      </c>
    </row>
    <row r="810" spans="1:22" x14ac:dyDescent="0.25">
      <c r="A810" s="11">
        <v>101060401</v>
      </c>
      <c r="B810" s="11" t="s">
        <v>34</v>
      </c>
      <c r="C810" s="41">
        <v>44889</v>
      </c>
      <c r="D810" s="41">
        <v>44889</v>
      </c>
      <c r="E810" s="11" t="s">
        <v>42</v>
      </c>
      <c r="F810" s="11" t="s">
        <v>1907</v>
      </c>
      <c r="G810" s="11">
        <v>109242</v>
      </c>
      <c r="H810" s="11" t="s">
        <v>57</v>
      </c>
      <c r="K810" s="11">
        <v>101060408</v>
      </c>
      <c r="L810" s="11" t="s">
        <v>82</v>
      </c>
      <c r="M810" s="11">
        <v>50410.79</v>
      </c>
      <c r="N810" s="11"/>
      <c r="O810" s="42">
        <v>50410.79</v>
      </c>
      <c r="P810" s="43" t="s">
        <v>4481</v>
      </c>
      <c r="Q810" s="11">
        <v>1361467.32</v>
      </c>
      <c r="R810" s="11" t="s">
        <v>1908</v>
      </c>
      <c r="S810" s="11" t="s">
        <v>40</v>
      </c>
      <c r="T810" s="11">
        <v>0</v>
      </c>
    </row>
    <row r="811" spans="1:22" x14ac:dyDescent="0.25">
      <c r="A811" s="11">
        <v>101060401</v>
      </c>
      <c r="B811" s="11" t="s">
        <v>34</v>
      </c>
      <c r="C811" s="41">
        <v>44889</v>
      </c>
      <c r="D811" s="41">
        <v>44889</v>
      </c>
      <c r="E811" s="11" t="s">
        <v>36</v>
      </c>
      <c r="F811" s="11" t="s">
        <v>1909</v>
      </c>
      <c r="G811" s="11">
        <v>109243</v>
      </c>
      <c r="H811" s="11" t="s">
        <v>45</v>
      </c>
      <c r="K811" s="11">
        <v>201040506</v>
      </c>
      <c r="L811" s="11" t="s">
        <v>46</v>
      </c>
      <c r="M811" s="11">
        <v>1942.4</v>
      </c>
      <c r="N811" s="11"/>
      <c r="O811" s="42">
        <v>1942.4</v>
      </c>
      <c r="P811" s="43" t="s">
        <v>4480</v>
      </c>
      <c r="Q811" s="11">
        <v>1363409.72</v>
      </c>
      <c r="R811" s="11" t="s">
        <v>1910</v>
      </c>
      <c r="S811" s="11" t="s">
        <v>40</v>
      </c>
      <c r="T811" s="11">
        <v>0</v>
      </c>
    </row>
    <row r="812" spans="1:22" x14ac:dyDescent="0.25">
      <c r="A812" s="11">
        <v>101060401</v>
      </c>
      <c r="B812" s="11" t="s">
        <v>34</v>
      </c>
      <c r="C812" s="41">
        <v>44889</v>
      </c>
      <c r="D812" s="41">
        <v>44889</v>
      </c>
      <c r="E812" s="11" t="s">
        <v>42</v>
      </c>
      <c r="F812" s="11" t="s">
        <v>1911</v>
      </c>
      <c r="G812" s="11">
        <v>109246</v>
      </c>
      <c r="H812" s="11" t="s">
        <v>1912</v>
      </c>
      <c r="J812" s="11" t="s">
        <v>38</v>
      </c>
      <c r="K812" s="11">
        <v>51010101</v>
      </c>
      <c r="L812" s="11" t="s">
        <v>48</v>
      </c>
      <c r="M812" s="11"/>
      <c r="N812" s="11">
        <v>108.34</v>
      </c>
      <c r="O812" s="42">
        <v>-108.34</v>
      </c>
      <c r="P812" s="43" t="s">
        <v>4489</v>
      </c>
      <c r="Q812" s="11">
        <v>1363301.38</v>
      </c>
      <c r="R812" s="11" t="s">
        <v>1913</v>
      </c>
      <c r="S812" s="11" t="s">
        <v>106</v>
      </c>
      <c r="T812" s="11">
        <v>0</v>
      </c>
      <c r="V812" s="11" t="s">
        <v>41</v>
      </c>
    </row>
    <row r="813" spans="1:22" x14ac:dyDescent="0.25">
      <c r="A813" s="11">
        <v>101060401</v>
      </c>
      <c r="B813" s="11" t="s">
        <v>34</v>
      </c>
      <c r="C813" s="41">
        <v>44889</v>
      </c>
      <c r="D813" s="41">
        <v>44889</v>
      </c>
      <c r="E813" s="11" t="s">
        <v>36</v>
      </c>
      <c r="F813" s="11" t="s">
        <v>1914</v>
      </c>
      <c r="G813" s="11">
        <v>109247</v>
      </c>
      <c r="H813" s="11" t="s">
        <v>75</v>
      </c>
      <c r="J813" s="11" t="s">
        <v>38</v>
      </c>
      <c r="K813" s="11">
        <v>51010101</v>
      </c>
      <c r="L813" s="11" t="s">
        <v>48</v>
      </c>
      <c r="M813" s="11"/>
      <c r="N813" s="11">
        <v>258.94</v>
      </c>
      <c r="O813" s="42">
        <v>-258.94</v>
      </c>
      <c r="P813" s="43" t="s">
        <v>4489</v>
      </c>
      <c r="Q813" s="11">
        <v>1363042.44</v>
      </c>
      <c r="R813" s="11" t="s">
        <v>1915</v>
      </c>
      <c r="S813" s="11" t="s">
        <v>40</v>
      </c>
      <c r="T813" s="11">
        <v>0</v>
      </c>
      <c r="V813" s="11" t="s">
        <v>41</v>
      </c>
    </row>
    <row r="814" spans="1:22" x14ac:dyDescent="0.25">
      <c r="A814" s="11">
        <v>101060401</v>
      </c>
      <c r="B814" s="11" t="s">
        <v>34</v>
      </c>
      <c r="C814" s="41">
        <v>44889</v>
      </c>
      <c r="D814" s="41">
        <v>44889</v>
      </c>
      <c r="E814" s="11" t="s">
        <v>36</v>
      </c>
      <c r="F814" s="11" t="s">
        <v>1916</v>
      </c>
      <c r="G814" s="11">
        <v>109248</v>
      </c>
      <c r="H814" s="11" t="s">
        <v>37</v>
      </c>
      <c r="J814" s="11" t="s">
        <v>38</v>
      </c>
      <c r="K814" s="11">
        <v>401030105</v>
      </c>
      <c r="L814" s="11" t="s">
        <v>54</v>
      </c>
      <c r="M814" s="26">
        <v>293.99</v>
      </c>
      <c r="O814" s="44">
        <v>293.99</v>
      </c>
      <c r="P814" s="43" t="s">
        <v>4494</v>
      </c>
      <c r="Q814" s="11">
        <v>1363336.43</v>
      </c>
      <c r="R814" s="11" t="s">
        <v>1917</v>
      </c>
      <c r="S814" s="11" t="s">
        <v>40</v>
      </c>
      <c r="T814" s="11">
        <v>0</v>
      </c>
      <c r="V814" s="11" t="s">
        <v>41</v>
      </c>
    </row>
    <row r="815" spans="1:22" x14ac:dyDescent="0.25">
      <c r="A815" s="11">
        <v>101060401</v>
      </c>
      <c r="B815" s="11" t="s">
        <v>34</v>
      </c>
      <c r="C815" s="41">
        <v>44889</v>
      </c>
      <c r="D815" s="41">
        <v>44889</v>
      </c>
      <c r="E815" s="11" t="s">
        <v>42</v>
      </c>
      <c r="F815" s="11" t="s">
        <v>1918</v>
      </c>
      <c r="G815" s="11">
        <v>109249</v>
      </c>
      <c r="H815" s="11" t="s">
        <v>57</v>
      </c>
      <c r="K815" s="11">
        <v>101060402</v>
      </c>
      <c r="L815" s="11" t="s">
        <v>44</v>
      </c>
      <c r="M815" s="11"/>
      <c r="N815" s="11">
        <v>293.99</v>
      </c>
      <c r="O815" s="42">
        <v>-293.99</v>
      </c>
      <c r="P815" s="43" t="s">
        <v>4481</v>
      </c>
      <c r="Q815" s="11">
        <v>1363042.44</v>
      </c>
      <c r="R815" s="11" t="s">
        <v>1919</v>
      </c>
      <c r="S815" s="11" t="s">
        <v>40</v>
      </c>
      <c r="T815" s="11">
        <v>0</v>
      </c>
    </row>
    <row r="816" spans="1:22" x14ac:dyDescent="0.25">
      <c r="A816" s="11">
        <v>101060401</v>
      </c>
      <c r="B816" s="11" t="s">
        <v>34</v>
      </c>
      <c r="C816" s="41">
        <v>44889</v>
      </c>
      <c r="D816" s="41">
        <v>44889</v>
      </c>
      <c r="E816" s="11" t="s">
        <v>60</v>
      </c>
      <c r="F816" s="11" t="s">
        <v>1920</v>
      </c>
      <c r="G816" s="11">
        <v>109251</v>
      </c>
      <c r="H816" s="11" t="s">
        <v>61</v>
      </c>
      <c r="K816" s="11">
        <v>201040506</v>
      </c>
      <c r="L816" s="11" t="s">
        <v>46</v>
      </c>
      <c r="M816" s="11"/>
      <c r="N816" s="11">
        <v>1200</v>
      </c>
      <c r="O816" s="42">
        <v>-1200</v>
      </c>
      <c r="P816" s="43" t="s">
        <v>4480</v>
      </c>
      <c r="Q816" s="11">
        <v>1361842.44</v>
      </c>
      <c r="R816" s="11" t="s">
        <v>1730</v>
      </c>
      <c r="S816" s="11" t="s">
        <v>40</v>
      </c>
      <c r="T816" s="11">
        <v>0</v>
      </c>
    </row>
    <row r="817" spans="1:22" x14ac:dyDescent="0.25">
      <c r="A817" s="11">
        <v>101060401</v>
      </c>
      <c r="B817" s="11" t="s">
        <v>34</v>
      </c>
      <c r="C817" s="41">
        <v>44889</v>
      </c>
      <c r="D817" s="41">
        <v>44889</v>
      </c>
      <c r="E817" s="11" t="s">
        <v>36</v>
      </c>
      <c r="F817" s="11" t="s">
        <v>1921</v>
      </c>
      <c r="G817" s="11">
        <v>109255</v>
      </c>
      <c r="H817" s="11" t="s">
        <v>52</v>
      </c>
      <c r="K817" s="11">
        <v>201040506</v>
      </c>
      <c r="L817" s="11" t="s">
        <v>46</v>
      </c>
      <c r="M817" s="11">
        <v>1200</v>
      </c>
      <c r="N817" s="11"/>
      <c r="O817" s="42">
        <v>1200</v>
      </c>
      <c r="P817" s="43" t="s">
        <v>4480</v>
      </c>
      <c r="Q817" s="11">
        <v>1363042.44</v>
      </c>
      <c r="R817" s="11" t="s">
        <v>1704</v>
      </c>
      <c r="S817" s="11" t="s">
        <v>40</v>
      </c>
      <c r="T817" s="11">
        <v>0</v>
      </c>
    </row>
    <row r="818" spans="1:22" x14ac:dyDescent="0.25">
      <c r="A818" s="11">
        <v>101060401</v>
      </c>
      <c r="B818" s="11" t="s">
        <v>34</v>
      </c>
      <c r="C818" s="41">
        <v>44889</v>
      </c>
      <c r="D818" s="41">
        <v>44889</v>
      </c>
      <c r="E818" s="11" t="s">
        <v>42</v>
      </c>
      <c r="F818" s="11" t="s">
        <v>1922</v>
      </c>
      <c r="G818" s="11">
        <v>109258</v>
      </c>
      <c r="H818" s="11" t="s">
        <v>65</v>
      </c>
      <c r="J818" s="11" t="s">
        <v>38</v>
      </c>
      <c r="K818" s="11">
        <v>51010101</v>
      </c>
      <c r="L818" s="11" t="s">
        <v>48</v>
      </c>
      <c r="M818" s="11"/>
      <c r="N818" s="11">
        <v>16.420000000000002</v>
      </c>
      <c r="O818" s="42">
        <v>-16.420000000000002</v>
      </c>
      <c r="P818" s="43" t="s">
        <v>4489</v>
      </c>
      <c r="Q818" s="11">
        <v>1363026.02</v>
      </c>
      <c r="R818" s="11" t="s">
        <v>345</v>
      </c>
      <c r="S818" s="11" t="s">
        <v>40</v>
      </c>
      <c r="T818" s="11">
        <v>0</v>
      </c>
      <c r="V818" s="11" t="s">
        <v>41</v>
      </c>
    </row>
    <row r="819" spans="1:22" x14ac:dyDescent="0.25">
      <c r="A819" s="11">
        <v>101060401</v>
      </c>
      <c r="B819" s="11" t="s">
        <v>34</v>
      </c>
      <c r="C819" s="41">
        <v>44889</v>
      </c>
      <c r="D819" s="41">
        <v>44889</v>
      </c>
      <c r="E819" s="11" t="s">
        <v>42</v>
      </c>
      <c r="F819" s="11" t="s">
        <v>1923</v>
      </c>
      <c r="G819" s="11">
        <v>109267</v>
      </c>
      <c r="H819" s="11" t="s">
        <v>57</v>
      </c>
      <c r="K819" s="11">
        <v>101060402</v>
      </c>
      <c r="L819" s="11" t="s">
        <v>44</v>
      </c>
      <c r="M819" s="11"/>
      <c r="N819" s="11">
        <v>1933.78</v>
      </c>
      <c r="O819" s="42">
        <v>-1933.78</v>
      </c>
      <c r="P819" s="43" t="s">
        <v>4481</v>
      </c>
      <c r="Q819" s="11">
        <v>1361092.24</v>
      </c>
      <c r="R819" s="11" t="s">
        <v>1924</v>
      </c>
      <c r="S819" s="11" t="s">
        <v>40</v>
      </c>
      <c r="T819" s="11">
        <v>0</v>
      </c>
    </row>
    <row r="820" spans="1:22" x14ac:dyDescent="0.25">
      <c r="A820" s="11">
        <v>101060401</v>
      </c>
      <c r="B820" s="11" t="s">
        <v>34</v>
      </c>
      <c r="C820" s="41">
        <v>44889</v>
      </c>
      <c r="D820" s="41">
        <v>44889</v>
      </c>
      <c r="E820" s="11" t="s">
        <v>42</v>
      </c>
      <c r="F820" s="11" t="s">
        <v>1925</v>
      </c>
      <c r="G820" s="11">
        <v>109268</v>
      </c>
      <c r="H820" s="11" t="s">
        <v>57</v>
      </c>
      <c r="K820" s="11">
        <v>101060402</v>
      </c>
      <c r="L820" s="11" t="s">
        <v>44</v>
      </c>
      <c r="M820" s="11"/>
      <c r="N820" s="11">
        <v>1208.6199999999999</v>
      </c>
      <c r="O820" s="42">
        <v>-1208.6199999999999</v>
      </c>
      <c r="P820" s="43" t="s">
        <v>4481</v>
      </c>
      <c r="Q820" s="11">
        <v>1359883.62</v>
      </c>
      <c r="R820" s="11" t="s">
        <v>1926</v>
      </c>
      <c r="S820" s="11" t="s">
        <v>40</v>
      </c>
      <c r="T820" s="11">
        <v>0</v>
      </c>
    </row>
    <row r="821" spans="1:22" x14ac:dyDescent="0.25">
      <c r="A821" s="11">
        <v>101060401</v>
      </c>
      <c r="B821" s="11" t="s">
        <v>34</v>
      </c>
      <c r="C821" s="41">
        <v>44890</v>
      </c>
      <c r="D821" s="41">
        <v>44890</v>
      </c>
      <c r="E821" s="11" t="s">
        <v>36</v>
      </c>
      <c r="F821" s="11" t="s">
        <v>1927</v>
      </c>
      <c r="G821" s="11">
        <v>109275</v>
      </c>
      <c r="H821" s="11" t="s">
        <v>52</v>
      </c>
      <c r="K821" s="11">
        <v>201040506</v>
      </c>
      <c r="L821" s="11" t="s">
        <v>46</v>
      </c>
      <c r="M821" s="11">
        <v>856.8</v>
      </c>
      <c r="N821" s="11"/>
      <c r="O821" s="42">
        <v>856.8</v>
      </c>
      <c r="P821" s="43" t="s">
        <v>4480</v>
      </c>
      <c r="Q821" s="11">
        <v>1360740.42</v>
      </c>
      <c r="R821" s="11" t="s">
        <v>1928</v>
      </c>
      <c r="S821" s="11" t="s">
        <v>40</v>
      </c>
      <c r="T821" s="11">
        <v>0</v>
      </c>
    </row>
    <row r="822" spans="1:22" x14ac:dyDescent="0.25">
      <c r="A822" s="11">
        <v>101060401</v>
      </c>
      <c r="B822" s="11" t="s">
        <v>34</v>
      </c>
      <c r="C822" s="41">
        <v>44890</v>
      </c>
      <c r="D822" s="41">
        <v>44890</v>
      </c>
      <c r="E822" s="11" t="s">
        <v>42</v>
      </c>
      <c r="F822" s="11" t="s">
        <v>1929</v>
      </c>
      <c r="G822" s="11">
        <v>109276</v>
      </c>
      <c r="H822" s="11" t="s">
        <v>47</v>
      </c>
      <c r="J822" s="11" t="s">
        <v>38</v>
      </c>
      <c r="K822" s="11">
        <v>51010101</v>
      </c>
      <c r="L822" s="11" t="s">
        <v>48</v>
      </c>
      <c r="M822" s="11"/>
      <c r="N822" s="11">
        <v>856.8</v>
      </c>
      <c r="O822" s="42">
        <v>-856.8</v>
      </c>
      <c r="P822" s="43" t="s">
        <v>4489</v>
      </c>
      <c r="Q822" s="11">
        <v>1359883.62</v>
      </c>
      <c r="R822" s="11" t="s">
        <v>1930</v>
      </c>
      <c r="S822" s="11" t="s">
        <v>40</v>
      </c>
      <c r="T822" s="11">
        <v>0</v>
      </c>
      <c r="V822" s="11" t="s">
        <v>41</v>
      </c>
    </row>
    <row r="823" spans="1:22" x14ac:dyDescent="0.25">
      <c r="A823" s="11">
        <v>101060401</v>
      </c>
      <c r="B823" s="11" t="s">
        <v>34</v>
      </c>
      <c r="C823" s="41">
        <v>44890</v>
      </c>
      <c r="D823" s="41">
        <v>44890</v>
      </c>
      <c r="E823" s="11" t="s">
        <v>42</v>
      </c>
      <c r="F823" s="11" t="s">
        <v>1931</v>
      </c>
      <c r="G823" s="11">
        <v>109277</v>
      </c>
      <c r="H823" s="11" t="s">
        <v>623</v>
      </c>
      <c r="J823" s="11" t="s">
        <v>38</v>
      </c>
      <c r="K823" s="11">
        <v>51010101</v>
      </c>
      <c r="L823" s="11" t="s">
        <v>48</v>
      </c>
      <c r="M823" s="11"/>
      <c r="N823" s="11">
        <v>26.63</v>
      </c>
      <c r="O823" s="42">
        <v>-26.63</v>
      </c>
      <c r="P823" s="43" t="s">
        <v>4489</v>
      </c>
      <c r="Q823" s="11">
        <v>1359856.99</v>
      </c>
      <c r="R823" s="11" t="s">
        <v>144</v>
      </c>
      <c r="S823" s="11" t="s">
        <v>40</v>
      </c>
      <c r="T823" s="11">
        <v>0</v>
      </c>
      <c r="V823" s="11" t="s">
        <v>41</v>
      </c>
    </row>
    <row r="824" spans="1:22" x14ac:dyDescent="0.25">
      <c r="A824" s="11">
        <v>101060401</v>
      </c>
      <c r="B824" s="11" t="s">
        <v>34</v>
      </c>
      <c r="C824" s="41">
        <v>44890</v>
      </c>
      <c r="D824" s="41">
        <v>44890</v>
      </c>
      <c r="E824" s="11" t="s">
        <v>42</v>
      </c>
      <c r="F824" s="11" t="s">
        <v>1932</v>
      </c>
      <c r="G824" s="11">
        <v>109278</v>
      </c>
      <c r="H824" s="11" t="s">
        <v>57</v>
      </c>
      <c r="K824" s="11">
        <v>101060402</v>
      </c>
      <c r="L824" s="11" t="s">
        <v>44</v>
      </c>
      <c r="M824" s="11">
        <v>30.34</v>
      </c>
      <c r="N824" s="11"/>
      <c r="O824" s="42">
        <v>30.34</v>
      </c>
      <c r="P824" s="43" t="s">
        <v>4481</v>
      </c>
      <c r="Q824" s="11">
        <v>1359887.33</v>
      </c>
      <c r="R824" s="11" t="s">
        <v>1933</v>
      </c>
      <c r="S824" s="11" t="s">
        <v>40</v>
      </c>
      <c r="T824" s="11">
        <v>0</v>
      </c>
    </row>
    <row r="825" spans="1:22" x14ac:dyDescent="0.25">
      <c r="A825" s="11">
        <v>101060401</v>
      </c>
      <c r="B825" s="11" t="s">
        <v>34</v>
      </c>
      <c r="C825" s="41">
        <v>44890</v>
      </c>
      <c r="D825" s="41">
        <v>44890</v>
      </c>
      <c r="E825" s="11" t="s">
        <v>42</v>
      </c>
      <c r="F825" s="11" t="s">
        <v>1934</v>
      </c>
      <c r="G825" s="11">
        <v>109279</v>
      </c>
      <c r="H825" s="11" t="s">
        <v>57</v>
      </c>
      <c r="K825" s="11">
        <v>101060402</v>
      </c>
      <c r="L825" s="11" t="s">
        <v>44</v>
      </c>
      <c r="M825" s="11"/>
      <c r="N825" s="11">
        <v>30.34</v>
      </c>
      <c r="O825" s="42">
        <v>-30.34</v>
      </c>
      <c r="P825" s="43" t="s">
        <v>4481</v>
      </c>
      <c r="Q825" s="11">
        <v>1359856.99</v>
      </c>
      <c r="R825" s="11" t="s">
        <v>1935</v>
      </c>
      <c r="S825" s="11" t="s">
        <v>40</v>
      </c>
      <c r="T825" s="11">
        <v>0</v>
      </c>
    </row>
    <row r="826" spans="1:22" x14ac:dyDescent="0.25">
      <c r="A826" s="11">
        <v>101060401</v>
      </c>
      <c r="B826" s="11" t="s">
        <v>34</v>
      </c>
      <c r="C826" s="41">
        <v>44890</v>
      </c>
      <c r="D826" s="41">
        <v>44890</v>
      </c>
      <c r="E826" s="11" t="s">
        <v>42</v>
      </c>
      <c r="F826" s="11" t="s">
        <v>1936</v>
      </c>
      <c r="G826" s="11">
        <v>109280</v>
      </c>
      <c r="H826" s="11" t="s">
        <v>57</v>
      </c>
      <c r="K826" s="11">
        <v>101060402</v>
      </c>
      <c r="L826" s="11" t="s">
        <v>44</v>
      </c>
      <c r="M826" s="11">
        <v>3223.8</v>
      </c>
      <c r="N826" s="11"/>
      <c r="O826" s="42">
        <v>3223.8</v>
      </c>
      <c r="P826" s="43" t="s">
        <v>4481</v>
      </c>
      <c r="Q826" s="11">
        <v>1363080.79</v>
      </c>
      <c r="R826" s="11" t="s">
        <v>1937</v>
      </c>
      <c r="S826" s="11" t="s">
        <v>40</v>
      </c>
      <c r="T826" s="11">
        <v>0</v>
      </c>
    </row>
    <row r="827" spans="1:22" x14ac:dyDescent="0.25">
      <c r="A827" s="11">
        <v>101060401</v>
      </c>
      <c r="B827" s="11" t="s">
        <v>34</v>
      </c>
      <c r="C827" s="41">
        <v>44890</v>
      </c>
      <c r="D827" s="41">
        <v>44890</v>
      </c>
      <c r="E827" s="11" t="s">
        <v>42</v>
      </c>
      <c r="F827" s="11" t="s">
        <v>1938</v>
      </c>
      <c r="G827" s="11">
        <v>109281</v>
      </c>
      <c r="H827" s="11" t="s">
        <v>57</v>
      </c>
      <c r="K827" s="11">
        <v>101060402</v>
      </c>
      <c r="L827" s="11" t="s">
        <v>44</v>
      </c>
      <c r="M827" s="11">
        <v>92</v>
      </c>
      <c r="N827" s="11"/>
      <c r="O827" s="42">
        <v>92</v>
      </c>
      <c r="P827" s="43" t="s">
        <v>4481</v>
      </c>
      <c r="Q827" s="11">
        <v>1363172.79</v>
      </c>
      <c r="R827" s="11" t="s">
        <v>1939</v>
      </c>
      <c r="S827" s="11" t="s">
        <v>40</v>
      </c>
      <c r="T827" s="11">
        <v>0</v>
      </c>
    </row>
    <row r="828" spans="1:22" x14ac:dyDescent="0.25">
      <c r="A828" s="11">
        <v>101060401</v>
      </c>
      <c r="B828" s="11" t="s">
        <v>34</v>
      </c>
      <c r="C828" s="41">
        <v>44890</v>
      </c>
      <c r="D828" s="41">
        <v>44890</v>
      </c>
      <c r="E828" s="11" t="s">
        <v>36</v>
      </c>
      <c r="F828" s="11" t="s">
        <v>1940</v>
      </c>
      <c r="G828" s="11">
        <v>109283</v>
      </c>
      <c r="H828" s="11" t="s">
        <v>52</v>
      </c>
      <c r="K828" s="11">
        <v>201040506</v>
      </c>
      <c r="L828" s="11" t="s">
        <v>46</v>
      </c>
      <c r="M828" s="11">
        <v>3364.12</v>
      </c>
      <c r="N828" s="11"/>
      <c r="O828" s="42">
        <v>3364.12</v>
      </c>
      <c r="P828" s="43" t="s">
        <v>4480</v>
      </c>
      <c r="Q828" s="11">
        <v>1366536.91</v>
      </c>
      <c r="R828" s="11" t="s">
        <v>1941</v>
      </c>
      <c r="S828" s="11" t="s">
        <v>40</v>
      </c>
      <c r="T828" s="11">
        <v>0</v>
      </c>
    </row>
    <row r="829" spans="1:22" x14ac:dyDescent="0.25">
      <c r="A829" s="11">
        <v>101060401</v>
      </c>
      <c r="B829" s="11" t="s">
        <v>34</v>
      </c>
      <c r="C829" s="41">
        <v>44890</v>
      </c>
      <c r="D829" s="41">
        <v>44890</v>
      </c>
      <c r="E829" s="11" t="s">
        <v>42</v>
      </c>
      <c r="F829" s="11" t="s">
        <v>1942</v>
      </c>
      <c r="G829" s="11">
        <v>109285</v>
      </c>
      <c r="H829" s="11" t="s">
        <v>43</v>
      </c>
      <c r="K829" s="11">
        <v>101060402</v>
      </c>
      <c r="L829" s="11" t="s">
        <v>44</v>
      </c>
      <c r="M829" s="11"/>
      <c r="N829" s="11">
        <v>3312.37</v>
      </c>
      <c r="O829" s="42">
        <v>-3312.37</v>
      </c>
      <c r="P829" s="43" t="s">
        <v>4481</v>
      </c>
      <c r="Q829" s="11">
        <v>1363224.54</v>
      </c>
      <c r="R829" s="11" t="s">
        <v>1943</v>
      </c>
      <c r="S829" s="11" t="s">
        <v>40</v>
      </c>
      <c r="T829" s="11">
        <v>0</v>
      </c>
    </row>
    <row r="830" spans="1:22" x14ac:dyDescent="0.25">
      <c r="A830" s="11">
        <v>101060401</v>
      </c>
      <c r="B830" s="11" t="s">
        <v>34</v>
      </c>
      <c r="C830" s="41">
        <v>44890</v>
      </c>
      <c r="D830" s="41">
        <v>44890</v>
      </c>
      <c r="E830" s="11" t="s">
        <v>42</v>
      </c>
      <c r="F830" s="11" t="s">
        <v>1944</v>
      </c>
      <c r="G830" s="11">
        <v>109286</v>
      </c>
      <c r="H830" s="11" t="s">
        <v>57</v>
      </c>
      <c r="K830" s="11">
        <v>101060402</v>
      </c>
      <c r="L830" s="11" t="s">
        <v>44</v>
      </c>
      <c r="M830" s="11">
        <v>40.25</v>
      </c>
      <c r="N830" s="11"/>
      <c r="O830" s="42">
        <v>40.25</v>
      </c>
      <c r="P830" s="43" t="s">
        <v>4481</v>
      </c>
      <c r="Q830" s="11">
        <v>1363264.79</v>
      </c>
      <c r="R830" s="11" t="s">
        <v>1945</v>
      </c>
      <c r="S830" s="11" t="s">
        <v>40</v>
      </c>
      <c r="T830" s="11">
        <v>0</v>
      </c>
    </row>
    <row r="831" spans="1:22" x14ac:dyDescent="0.25">
      <c r="A831" s="11">
        <v>101060401</v>
      </c>
      <c r="B831" s="11" t="s">
        <v>34</v>
      </c>
      <c r="C831" s="41">
        <v>44890</v>
      </c>
      <c r="D831" s="41">
        <v>44890</v>
      </c>
      <c r="E831" s="11" t="s">
        <v>36</v>
      </c>
      <c r="F831" s="11" t="s">
        <v>1946</v>
      </c>
      <c r="G831" s="11">
        <v>109287</v>
      </c>
      <c r="H831" s="11" t="s">
        <v>213</v>
      </c>
      <c r="K831" s="11">
        <v>201040506</v>
      </c>
      <c r="L831" s="11" t="s">
        <v>46</v>
      </c>
      <c r="M831" s="11"/>
      <c r="N831" s="11">
        <v>92</v>
      </c>
      <c r="O831" s="42">
        <v>-92</v>
      </c>
      <c r="P831" s="43" t="s">
        <v>4491</v>
      </c>
      <c r="Q831" s="11">
        <v>1363172.79</v>
      </c>
      <c r="R831" s="11" t="s">
        <v>1947</v>
      </c>
      <c r="S831" s="11" t="s">
        <v>40</v>
      </c>
      <c r="T831" s="11">
        <v>0</v>
      </c>
    </row>
    <row r="832" spans="1:22" x14ac:dyDescent="0.25">
      <c r="A832" s="11">
        <v>101060401</v>
      </c>
      <c r="B832" s="11" t="s">
        <v>34</v>
      </c>
      <c r="C832" s="41">
        <v>44890</v>
      </c>
      <c r="D832" s="41">
        <v>44890</v>
      </c>
      <c r="E832" s="11" t="s">
        <v>36</v>
      </c>
      <c r="F832" s="11" t="s">
        <v>1948</v>
      </c>
      <c r="G832" s="11">
        <v>109292</v>
      </c>
      <c r="H832" s="11" t="s">
        <v>52</v>
      </c>
      <c r="K832" s="11">
        <v>201040506</v>
      </c>
      <c r="L832" s="11" t="s">
        <v>46</v>
      </c>
      <c r="M832" s="11">
        <v>101.55</v>
      </c>
      <c r="N832" s="11"/>
      <c r="O832" s="42">
        <v>101.55</v>
      </c>
      <c r="P832" s="43" t="s">
        <v>4480</v>
      </c>
      <c r="Q832" s="11">
        <v>1363274.34</v>
      </c>
      <c r="R832" s="11" t="s">
        <v>1949</v>
      </c>
      <c r="S832" s="11" t="s">
        <v>40</v>
      </c>
      <c r="T832" s="11">
        <v>0</v>
      </c>
    </row>
    <row r="833" spans="1:22" x14ac:dyDescent="0.25">
      <c r="A833" s="11">
        <v>101060401</v>
      </c>
      <c r="B833" s="11" t="s">
        <v>34</v>
      </c>
      <c r="C833" s="41">
        <v>44890</v>
      </c>
      <c r="D833" s="41">
        <v>44890</v>
      </c>
      <c r="E833" s="11" t="s">
        <v>42</v>
      </c>
      <c r="F833" s="11" t="s">
        <v>1950</v>
      </c>
      <c r="G833" s="11">
        <v>109293</v>
      </c>
      <c r="H833" s="11" t="s">
        <v>141</v>
      </c>
      <c r="J833" s="11" t="s">
        <v>38</v>
      </c>
      <c r="K833" s="11">
        <v>51010101</v>
      </c>
      <c r="L833" s="11" t="s">
        <v>48</v>
      </c>
      <c r="M833" s="11"/>
      <c r="N833" s="11">
        <v>129.04</v>
      </c>
      <c r="O833" s="42">
        <v>-129.04</v>
      </c>
      <c r="P833" s="43" t="s">
        <v>4489</v>
      </c>
      <c r="Q833" s="11">
        <v>1363145.3</v>
      </c>
      <c r="R833" s="11" t="s">
        <v>1951</v>
      </c>
      <c r="S833" s="11" t="s">
        <v>40</v>
      </c>
      <c r="T833" s="11">
        <v>0</v>
      </c>
      <c r="V833" s="11" t="s">
        <v>41</v>
      </c>
    </row>
    <row r="834" spans="1:22" x14ac:dyDescent="0.25">
      <c r="A834" s="11">
        <v>101060401</v>
      </c>
      <c r="B834" s="11" t="s">
        <v>34</v>
      </c>
      <c r="C834" s="41">
        <v>44890</v>
      </c>
      <c r="D834" s="41">
        <v>44890</v>
      </c>
      <c r="E834" s="11" t="s">
        <v>36</v>
      </c>
      <c r="F834" s="11" t="s">
        <v>1952</v>
      </c>
      <c r="G834" s="11">
        <v>109297</v>
      </c>
      <c r="H834" s="11" t="s">
        <v>118</v>
      </c>
      <c r="K834" s="11">
        <v>201040506</v>
      </c>
      <c r="L834" s="11" t="s">
        <v>46</v>
      </c>
      <c r="M834" s="11">
        <v>1640</v>
      </c>
      <c r="N834" s="11"/>
      <c r="O834" s="42">
        <v>1640</v>
      </c>
      <c r="P834" s="43" t="s">
        <v>4480</v>
      </c>
      <c r="Q834" s="11">
        <v>1364785.3</v>
      </c>
      <c r="R834" s="11" t="s">
        <v>1953</v>
      </c>
      <c r="S834" s="11" t="s">
        <v>40</v>
      </c>
      <c r="T834" s="11">
        <v>0</v>
      </c>
    </row>
    <row r="835" spans="1:22" x14ac:dyDescent="0.25">
      <c r="A835" s="11">
        <v>101060401</v>
      </c>
      <c r="B835" s="11" t="s">
        <v>34</v>
      </c>
      <c r="C835" s="41">
        <v>44890</v>
      </c>
      <c r="D835" s="41">
        <v>44890</v>
      </c>
      <c r="E835" s="11" t="s">
        <v>42</v>
      </c>
      <c r="F835" s="11" t="s">
        <v>1954</v>
      </c>
      <c r="G835" s="11">
        <v>109299</v>
      </c>
      <c r="H835" s="11" t="s">
        <v>47</v>
      </c>
      <c r="J835" s="11" t="s">
        <v>38</v>
      </c>
      <c r="K835" s="11">
        <v>51010101</v>
      </c>
      <c r="L835" s="11" t="s">
        <v>48</v>
      </c>
      <c r="M835" s="11"/>
      <c r="N835" s="11">
        <v>1640</v>
      </c>
      <c r="O835" s="42">
        <v>-1640</v>
      </c>
      <c r="P835" s="43" t="s">
        <v>4489</v>
      </c>
      <c r="Q835" s="11">
        <v>1363145.3</v>
      </c>
      <c r="R835" s="11" t="s">
        <v>1955</v>
      </c>
      <c r="S835" s="11" t="s">
        <v>40</v>
      </c>
      <c r="T835" s="11">
        <v>0</v>
      </c>
      <c r="V835" s="11" t="s">
        <v>41</v>
      </c>
    </row>
    <row r="836" spans="1:22" x14ac:dyDescent="0.25">
      <c r="A836" s="11">
        <v>101060401</v>
      </c>
      <c r="B836" s="11" t="s">
        <v>34</v>
      </c>
      <c r="C836" s="41">
        <v>44890</v>
      </c>
      <c r="D836" s="41">
        <v>44890</v>
      </c>
      <c r="E836" s="11" t="s">
        <v>42</v>
      </c>
      <c r="F836" s="11" t="s">
        <v>1956</v>
      </c>
      <c r="G836" s="11">
        <v>109300</v>
      </c>
      <c r="H836" s="11" t="s">
        <v>88</v>
      </c>
      <c r="J836" s="11" t="s">
        <v>38</v>
      </c>
      <c r="K836" s="11">
        <v>51010101</v>
      </c>
      <c r="L836" s="11" t="s">
        <v>48</v>
      </c>
      <c r="M836" s="11">
        <v>1640</v>
      </c>
      <c r="N836" s="11"/>
      <c r="O836" s="42">
        <v>1640</v>
      </c>
      <c r="P836" s="43" t="s">
        <v>4489</v>
      </c>
      <c r="Q836" s="11">
        <v>1364785.3</v>
      </c>
      <c r="R836" s="11" t="s">
        <v>1953</v>
      </c>
      <c r="S836" s="11" t="s">
        <v>40</v>
      </c>
      <c r="T836" s="11">
        <v>0</v>
      </c>
      <c r="V836" s="11" t="s">
        <v>41</v>
      </c>
    </row>
    <row r="837" spans="1:22" x14ac:dyDescent="0.25">
      <c r="A837" s="11">
        <v>101060401</v>
      </c>
      <c r="B837" s="11" t="s">
        <v>34</v>
      </c>
      <c r="C837" s="41">
        <v>44890</v>
      </c>
      <c r="D837" s="41">
        <v>44890</v>
      </c>
      <c r="E837" s="11" t="s">
        <v>60</v>
      </c>
      <c r="F837" s="11" t="s">
        <v>1957</v>
      </c>
      <c r="G837" s="11">
        <v>109301</v>
      </c>
      <c r="H837" s="11" t="s">
        <v>61</v>
      </c>
      <c r="K837" s="11">
        <v>201040506</v>
      </c>
      <c r="L837" s="11" t="s">
        <v>46</v>
      </c>
      <c r="M837" s="11"/>
      <c r="N837" s="11">
        <v>1640</v>
      </c>
      <c r="O837" s="42">
        <v>-1640</v>
      </c>
      <c r="P837" s="43" t="s">
        <v>4480</v>
      </c>
      <c r="Q837" s="11">
        <v>1363145.3</v>
      </c>
      <c r="R837" s="11" t="s">
        <v>1955</v>
      </c>
      <c r="S837" s="11" t="s">
        <v>40</v>
      </c>
      <c r="T837" s="11">
        <v>0</v>
      </c>
    </row>
    <row r="838" spans="1:22" x14ac:dyDescent="0.25">
      <c r="A838" s="11">
        <v>101060401</v>
      </c>
      <c r="B838" s="11" t="s">
        <v>34</v>
      </c>
      <c r="C838" s="41">
        <v>44890</v>
      </c>
      <c r="D838" s="41">
        <v>44890</v>
      </c>
      <c r="E838" s="11" t="s">
        <v>36</v>
      </c>
      <c r="F838" s="11" t="s">
        <v>1958</v>
      </c>
      <c r="G838" s="11">
        <v>109302</v>
      </c>
      <c r="H838" s="11" t="s">
        <v>118</v>
      </c>
      <c r="K838" s="11">
        <v>201040506</v>
      </c>
      <c r="L838" s="11" t="s">
        <v>46</v>
      </c>
      <c r="M838" s="11">
        <v>1600</v>
      </c>
      <c r="N838" s="11"/>
      <c r="O838" s="42">
        <v>1600</v>
      </c>
      <c r="P838" s="43" t="s">
        <v>4480</v>
      </c>
      <c r="Q838" s="11">
        <v>1364745.3</v>
      </c>
      <c r="R838" s="11" t="s">
        <v>1710</v>
      </c>
      <c r="S838" s="11" t="s">
        <v>40</v>
      </c>
      <c r="T838" s="11">
        <v>0</v>
      </c>
    </row>
    <row r="839" spans="1:22" x14ac:dyDescent="0.25">
      <c r="A839" s="11">
        <v>101060401</v>
      </c>
      <c r="B839" s="11" t="s">
        <v>34</v>
      </c>
      <c r="C839" s="41">
        <v>44890</v>
      </c>
      <c r="D839" s="41">
        <v>44890</v>
      </c>
      <c r="E839" s="11" t="s">
        <v>42</v>
      </c>
      <c r="F839" s="11" t="s">
        <v>1959</v>
      </c>
      <c r="G839" s="11">
        <v>109303</v>
      </c>
      <c r="H839" s="11" t="s">
        <v>47</v>
      </c>
      <c r="J839" s="11" t="s">
        <v>38</v>
      </c>
      <c r="K839" s="11">
        <v>51010101</v>
      </c>
      <c r="L839" s="11" t="s">
        <v>48</v>
      </c>
      <c r="M839" s="11"/>
      <c r="N839" s="11">
        <v>1600</v>
      </c>
      <c r="O839" s="42">
        <v>-1600</v>
      </c>
      <c r="P839" s="43" t="s">
        <v>4489</v>
      </c>
      <c r="Q839" s="11">
        <v>1363145.3</v>
      </c>
      <c r="R839" s="11" t="s">
        <v>1712</v>
      </c>
      <c r="S839" s="11" t="s">
        <v>40</v>
      </c>
      <c r="T839" s="11">
        <v>0</v>
      </c>
      <c r="V839" s="11" t="s">
        <v>41</v>
      </c>
    </row>
    <row r="840" spans="1:22" x14ac:dyDescent="0.25">
      <c r="A840" s="11">
        <v>101060401</v>
      </c>
      <c r="B840" s="11" t="s">
        <v>34</v>
      </c>
      <c r="C840" s="41">
        <v>44890</v>
      </c>
      <c r="D840" s="41">
        <v>44890</v>
      </c>
      <c r="E840" s="11" t="s">
        <v>42</v>
      </c>
      <c r="F840" s="11" t="s">
        <v>1960</v>
      </c>
      <c r="G840" s="11">
        <v>109306</v>
      </c>
      <c r="H840" s="11" t="s">
        <v>71</v>
      </c>
      <c r="J840" s="11" t="s">
        <v>38</v>
      </c>
      <c r="K840" s="11">
        <v>51010101</v>
      </c>
      <c r="L840" s="11" t="s">
        <v>48</v>
      </c>
      <c r="M840" s="11"/>
      <c r="N840" s="11">
        <v>8.1999999999999993</v>
      </c>
      <c r="O840" s="42">
        <v>-8.1999999999999993</v>
      </c>
      <c r="P840" s="43" t="s">
        <v>4489</v>
      </c>
      <c r="Q840" s="11">
        <v>1363137.1</v>
      </c>
      <c r="R840" s="11" t="s">
        <v>1961</v>
      </c>
      <c r="S840" s="11" t="s">
        <v>40</v>
      </c>
      <c r="T840" s="11">
        <v>0</v>
      </c>
      <c r="V840" s="11" t="s">
        <v>41</v>
      </c>
    </row>
    <row r="841" spans="1:22" x14ac:dyDescent="0.25">
      <c r="A841" s="11">
        <v>101060401</v>
      </c>
      <c r="B841" s="11" t="s">
        <v>34</v>
      </c>
      <c r="C841" s="41">
        <v>44890</v>
      </c>
      <c r="D841" s="41">
        <v>44890</v>
      </c>
      <c r="E841" s="11" t="s">
        <v>42</v>
      </c>
      <c r="F841" s="11" t="s">
        <v>1962</v>
      </c>
      <c r="G841" s="11">
        <v>109307</v>
      </c>
      <c r="H841" s="11" t="s">
        <v>57</v>
      </c>
      <c r="K841" s="11">
        <v>101060402</v>
      </c>
      <c r="L841" s="11" t="s">
        <v>44</v>
      </c>
      <c r="M841" s="11">
        <v>74.98</v>
      </c>
      <c r="N841" s="11"/>
      <c r="O841" s="42">
        <v>74.98</v>
      </c>
      <c r="P841" s="43" t="s">
        <v>4481</v>
      </c>
      <c r="Q841" s="11">
        <v>1363212.08</v>
      </c>
      <c r="R841" s="11" t="s">
        <v>1963</v>
      </c>
      <c r="S841" s="11" t="s">
        <v>106</v>
      </c>
      <c r="T841" s="11">
        <v>0</v>
      </c>
    </row>
    <row r="842" spans="1:22" x14ac:dyDescent="0.25">
      <c r="A842" s="11">
        <v>101060401</v>
      </c>
      <c r="B842" s="11" t="s">
        <v>34</v>
      </c>
      <c r="C842" s="41">
        <v>44890</v>
      </c>
      <c r="D842" s="41">
        <v>44890</v>
      </c>
      <c r="E842" s="11" t="s">
        <v>42</v>
      </c>
      <c r="F842" s="11" t="s">
        <v>1964</v>
      </c>
      <c r="G842" s="11">
        <v>109309</v>
      </c>
      <c r="H842" s="11" t="s">
        <v>47</v>
      </c>
      <c r="J842" s="11" t="s">
        <v>38</v>
      </c>
      <c r="K842" s="11">
        <v>51010101</v>
      </c>
      <c r="L842" s="11" t="s">
        <v>48</v>
      </c>
      <c r="M842" s="11"/>
      <c r="N842" s="11">
        <v>26.51</v>
      </c>
      <c r="O842" s="42">
        <v>-26.51</v>
      </c>
      <c r="P842" s="43" t="s">
        <v>4489</v>
      </c>
      <c r="Q842" s="11">
        <v>1363185.57</v>
      </c>
      <c r="R842" s="11" t="s">
        <v>338</v>
      </c>
      <c r="S842" s="11" t="s">
        <v>40</v>
      </c>
      <c r="T842" s="11">
        <v>0</v>
      </c>
      <c r="V842" s="11" t="s">
        <v>41</v>
      </c>
    </row>
    <row r="843" spans="1:22" x14ac:dyDescent="0.25">
      <c r="A843" s="11">
        <v>101060401</v>
      </c>
      <c r="B843" s="11" t="s">
        <v>34</v>
      </c>
      <c r="C843" s="41">
        <v>44890</v>
      </c>
      <c r="D843" s="41">
        <v>44890</v>
      </c>
      <c r="E843" s="11" t="s">
        <v>42</v>
      </c>
      <c r="F843" s="11" t="s">
        <v>1965</v>
      </c>
      <c r="G843" s="11">
        <v>109310</v>
      </c>
      <c r="H843" s="11" t="s">
        <v>47</v>
      </c>
      <c r="J843" s="11" t="s">
        <v>38</v>
      </c>
      <c r="K843" s="11">
        <v>51010101</v>
      </c>
      <c r="L843" s="11" t="s">
        <v>48</v>
      </c>
      <c r="M843" s="11"/>
      <c r="N843" s="11">
        <v>52.43</v>
      </c>
      <c r="O843" s="42">
        <v>-52.43</v>
      </c>
      <c r="P843" s="43" t="s">
        <v>4489</v>
      </c>
      <c r="Q843" s="11">
        <v>1363133.14</v>
      </c>
      <c r="R843" s="11" t="s">
        <v>1966</v>
      </c>
      <c r="S843" s="11" t="s">
        <v>40</v>
      </c>
      <c r="T843" s="11">
        <v>0</v>
      </c>
      <c r="V843" s="11" t="s">
        <v>41</v>
      </c>
    </row>
    <row r="844" spans="1:22" x14ac:dyDescent="0.25">
      <c r="A844" s="11">
        <v>101060401</v>
      </c>
      <c r="B844" s="11" t="s">
        <v>34</v>
      </c>
      <c r="C844" s="41">
        <v>44890</v>
      </c>
      <c r="D844" s="41">
        <v>44890</v>
      </c>
      <c r="E844" s="11" t="s">
        <v>42</v>
      </c>
      <c r="F844" s="11" t="s">
        <v>1967</v>
      </c>
      <c r="G844" s="11">
        <v>109311</v>
      </c>
      <c r="H844" s="11" t="s">
        <v>74</v>
      </c>
      <c r="J844" s="11" t="s">
        <v>38</v>
      </c>
      <c r="K844" s="11">
        <v>51010101</v>
      </c>
      <c r="L844" s="11" t="s">
        <v>48</v>
      </c>
      <c r="M844" s="11"/>
      <c r="N844" s="11">
        <v>87.8</v>
      </c>
      <c r="O844" s="42">
        <v>-87.8</v>
      </c>
      <c r="P844" s="43" t="s">
        <v>4489</v>
      </c>
      <c r="Q844" s="11">
        <v>1363045.34</v>
      </c>
      <c r="R844" s="11" t="s">
        <v>1968</v>
      </c>
      <c r="S844" s="11" t="s">
        <v>40</v>
      </c>
      <c r="T844" s="11">
        <v>0</v>
      </c>
      <c r="V844" s="11" t="s">
        <v>41</v>
      </c>
    </row>
    <row r="845" spans="1:22" x14ac:dyDescent="0.25">
      <c r="A845" s="11">
        <v>101060401</v>
      </c>
      <c r="B845" s="11" t="s">
        <v>34</v>
      </c>
      <c r="C845" s="41">
        <v>44890</v>
      </c>
      <c r="D845" s="41">
        <v>44890</v>
      </c>
      <c r="E845" s="11" t="s">
        <v>36</v>
      </c>
      <c r="F845" s="11" t="s">
        <v>1969</v>
      </c>
      <c r="G845" s="11">
        <v>109313</v>
      </c>
      <c r="H845" s="11" t="s">
        <v>89</v>
      </c>
      <c r="K845" s="11">
        <v>201040506</v>
      </c>
      <c r="L845" s="11" t="s">
        <v>46</v>
      </c>
      <c r="M845" s="11">
        <v>20</v>
      </c>
      <c r="N845" s="11"/>
      <c r="O845" s="42">
        <v>20</v>
      </c>
      <c r="P845" s="43" t="s">
        <v>4480</v>
      </c>
      <c r="Q845" s="11">
        <v>1363065.34</v>
      </c>
      <c r="R845" s="11" t="s">
        <v>160</v>
      </c>
      <c r="S845" s="11" t="s">
        <v>40</v>
      </c>
      <c r="T845" s="11">
        <v>0</v>
      </c>
    </row>
    <row r="846" spans="1:22" x14ac:dyDescent="0.25">
      <c r="A846" s="11">
        <v>101060401</v>
      </c>
      <c r="B846" s="11" t="s">
        <v>34</v>
      </c>
      <c r="C846" s="41">
        <v>44890</v>
      </c>
      <c r="D846" s="41">
        <v>44890</v>
      </c>
      <c r="E846" s="11" t="s">
        <v>42</v>
      </c>
      <c r="F846" s="11" t="s">
        <v>1970</v>
      </c>
      <c r="G846" s="11">
        <v>109314</v>
      </c>
      <c r="H846" s="11" t="s">
        <v>47</v>
      </c>
      <c r="J846" s="11" t="s">
        <v>38</v>
      </c>
      <c r="K846" s="11">
        <v>51010101</v>
      </c>
      <c r="L846" s="11" t="s">
        <v>48</v>
      </c>
      <c r="M846" s="11"/>
      <c r="N846" s="11">
        <v>20</v>
      </c>
      <c r="O846" s="42">
        <v>-20</v>
      </c>
      <c r="P846" s="43" t="s">
        <v>4489</v>
      </c>
      <c r="Q846" s="11">
        <v>1363045.34</v>
      </c>
      <c r="R846" s="11" t="s">
        <v>161</v>
      </c>
      <c r="S846" s="11" t="s">
        <v>40</v>
      </c>
      <c r="T846" s="11">
        <v>0</v>
      </c>
      <c r="V846" s="11" t="s">
        <v>41</v>
      </c>
    </row>
    <row r="847" spans="1:22" x14ac:dyDescent="0.25">
      <c r="A847" s="11">
        <v>101060401</v>
      </c>
      <c r="B847" s="11" t="s">
        <v>34</v>
      </c>
      <c r="C847" s="41">
        <v>44890</v>
      </c>
      <c r="D847" s="41">
        <v>44890</v>
      </c>
      <c r="E847" s="11" t="s">
        <v>36</v>
      </c>
      <c r="F847" s="11" t="s">
        <v>1971</v>
      </c>
      <c r="G847" s="11">
        <v>109315</v>
      </c>
      <c r="H847" s="11" t="s">
        <v>52</v>
      </c>
      <c r="K847" s="11">
        <v>201040506</v>
      </c>
      <c r="L847" s="11" t="s">
        <v>46</v>
      </c>
      <c r="M847" s="11">
        <v>43.52</v>
      </c>
      <c r="N847" s="11"/>
      <c r="O847" s="42">
        <v>43.52</v>
      </c>
      <c r="P847" s="43" t="s">
        <v>4480</v>
      </c>
      <c r="Q847" s="11">
        <v>1363088.86</v>
      </c>
      <c r="R847" s="11" t="s">
        <v>1972</v>
      </c>
      <c r="S847" s="11" t="s">
        <v>40</v>
      </c>
      <c r="T847" s="11">
        <v>0</v>
      </c>
    </row>
    <row r="848" spans="1:22" x14ac:dyDescent="0.25">
      <c r="A848" s="11">
        <v>101060401</v>
      </c>
      <c r="B848" s="11" t="s">
        <v>34</v>
      </c>
      <c r="C848" s="41">
        <v>44890</v>
      </c>
      <c r="D848" s="41">
        <v>44890</v>
      </c>
      <c r="E848" s="11" t="s">
        <v>36</v>
      </c>
      <c r="F848" s="11" t="s">
        <v>1973</v>
      </c>
      <c r="G848" s="11">
        <v>109316</v>
      </c>
      <c r="H848" s="11" t="s">
        <v>52</v>
      </c>
      <c r="K848" s="11">
        <v>201040506</v>
      </c>
      <c r="L848" s="11" t="s">
        <v>46</v>
      </c>
      <c r="M848" s="11">
        <v>94.86</v>
      </c>
      <c r="N848" s="11"/>
      <c r="O848" s="42">
        <v>94.86</v>
      </c>
      <c r="P848" s="43" t="s">
        <v>4480</v>
      </c>
      <c r="Q848" s="11">
        <v>1363183.72</v>
      </c>
      <c r="R848" s="11" t="s">
        <v>211</v>
      </c>
      <c r="S848" s="11" t="s">
        <v>40</v>
      </c>
      <c r="T848" s="11">
        <v>0</v>
      </c>
    </row>
    <row r="849" spans="1:22" x14ac:dyDescent="0.25">
      <c r="A849" s="11">
        <v>101060401</v>
      </c>
      <c r="B849" s="11" t="s">
        <v>34</v>
      </c>
      <c r="C849" s="41">
        <v>44890</v>
      </c>
      <c r="D849" s="41">
        <v>44890</v>
      </c>
      <c r="E849" s="11" t="s">
        <v>36</v>
      </c>
      <c r="F849" s="11" t="s">
        <v>1974</v>
      </c>
      <c r="G849" s="11">
        <v>109317</v>
      </c>
      <c r="H849" s="11" t="s">
        <v>52</v>
      </c>
      <c r="K849" s="11">
        <v>201040506</v>
      </c>
      <c r="L849" s="11" t="s">
        <v>46</v>
      </c>
      <c r="M849" s="11">
        <v>45.29</v>
      </c>
      <c r="N849" s="11"/>
      <c r="O849" s="42">
        <v>45.29</v>
      </c>
      <c r="P849" s="43" t="s">
        <v>4480</v>
      </c>
      <c r="Q849" s="11">
        <v>1363229.01</v>
      </c>
      <c r="R849" s="11" t="s">
        <v>1975</v>
      </c>
      <c r="S849" s="11" t="s">
        <v>40</v>
      </c>
      <c r="T849" s="11">
        <v>0</v>
      </c>
    </row>
    <row r="850" spans="1:22" x14ac:dyDescent="0.25">
      <c r="A850" s="11">
        <v>101060401</v>
      </c>
      <c r="B850" s="11" t="s">
        <v>34</v>
      </c>
      <c r="C850" s="41">
        <v>44890</v>
      </c>
      <c r="D850" s="41">
        <v>44890</v>
      </c>
      <c r="E850" s="11" t="s">
        <v>36</v>
      </c>
      <c r="F850" s="11" t="s">
        <v>1976</v>
      </c>
      <c r="G850" s="11">
        <v>109318</v>
      </c>
      <c r="H850" s="11" t="s">
        <v>52</v>
      </c>
      <c r="K850" s="11">
        <v>201040506</v>
      </c>
      <c r="L850" s="11" t="s">
        <v>46</v>
      </c>
      <c r="M850" s="11">
        <v>49.3</v>
      </c>
      <c r="N850" s="11"/>
      <c r="O850" s="42">
        <v>49.3</v>
      </c>
      <c r="P850" s="43" t="s">
        <v>4480</v>
      </c>
      <c r="Q850" s="11">
        <v>1363278.31</v>
      </c>
      <c r="R850" s="11" t="s">
        <v>1977</v>
      </c>
      <c r="S850" s="11" t="s">
        <v>40</v>
      </c>
      <c r="T850" s="11">
        <v>0</v>
      </c>
    </row>
    <row r="851" spans="1:22" x14ac:dyDescent="0.25">
      <c r="A851" s="11">
        <v>101060401</v>
      </c>
      <c r="B851" s="11" t="s">
        <v>34</v>
      </c>
      <c r="C851" s="41">
        <v>44890</v>
      </c>
      <c r="D851" s="41">
        <v>44890</v>
      </c>
      <c r="E851" s="11" t="s">
        <v>36</v>
      </c>
      <c r="F851" s="11" t="s">
        <v>1978</v>
      </c>
      <c r="G851" s="11">
        <v>109319</v>
      </c>
      <c r="H851" s="11" t="s">
        <v>52</v>
      </c>
      <c r="K851" s="11">
        <v>201040506</v>
      </c>
      <c r="L851" s="11" t="s">
        <v>46</v>
      </c>
      <c r="M851" s="11">
        <v>67.86</v>
      </c>
      <c r="N851" s="11"/>
      <c r="O851" s="42">
        <v>67.86</v>
      </c>
      <c r="P851" s="43" t="s">
        <v>4480</v>
      </c>
      <c r="Q851" s="11">
        <v>1363346.17</v>
      </c>
      <c r="R851" s="11" t="s">
        <v>1979</v>
      </c>
      <c r="S851" s="11" t="s">
        <v>40</v>
      </c>
      <c r="T851" s="11">
        <v>0</v>
      </c>
    </row>
    <row r="852" spans="1:22" x14ac:dyDescent="0.25">
      <c r="A852" s="11">
        <v>101060401</v>
      </c>
      <c r="B852" s="11" t="s">
        <v>34</v>
      </c>
      <c r="C852" s="41">
        <v>44890</v>
      </c>
      <c r="D852" s="41">
        <v>44890</v>
      </c>
      <c r="E852" s="11" t="s">
        <v>42</v>
      </c>
      <c r="F852" s="11" t="s">
        <v>1980</v>
      </c>
      <c r="G852" s="11">
        <v>109320</v>
      </c>
      <c r="H852" s="11" t="s">
        <v>47</v>
      </c>
      <c r="J852" s="11" t="s">
        <v>38</v>
      </c>
      <c r="K852" s="11">
        <v>51010101</v>
      </c>
      <c r="L852" s="11" t="s">
        <v>48</v>
      </c>
      <c r="M852" s="11"/>
      <c r="N852" s="11">
        <v>43.52</v>
      </c>
      <c r="O852" s="42">
        <v>-43.52</v>
      </c>
      <c r="P852" s="43" t="s">
        <v>4489</v>
      </c>
      <c r="Q852" s="11">
        <v>1363302.65</v>
      </c>
      <c r="R852" s="11" t="s">
        <v>1981</v>
      </c>
      <c r="S852" s="11" t="s">
        <v>40</v>
      </c>
      <c r="T852" s="11">
        <v>0</v>
      </c>
      <c r="V852" s="11" t="s">
        <v>41</v>
      </c>
    </row>
    <row r="853" spans="1:22" x14ac:dyDescent="0.25">
      <c r="A853" s="11">
        <v>101060401</v>
      </c>
      <c r="B853" s="11" t="s">
        <v>34</v>
      </c>
      <c r="C853" s="41">
        <v>44890</v>
      </c>
      <c r="D853" s="41">
        <v>44890</v>
      </c>
      <c r="E853" s="11" t="s">
        <v>36</v>
      </c>
      <c r="F853" s="11" t="s">
        <v>1982</v>
      </c>
      <c r="G853" s="11">
        <v>109321</v>
      </c>
      <c r="H853" s="11" t="s">
        <v>154</v>
      </c>
      <c r="K853" s="11">
        <v>201040506</v>
      </c>
      <c r="L853" s="11" t="s">
        <v>46</v>
      </c>
      <c r="M853" s="11">
        <v>676.6</v>
      </c>
      <c r="N853" s="11"/>
      <c r="O853" s="42">
        <v>676.6</v>
      </c>
      <c r="P853" s="43" t="s">
        <v>4480</v>
      </c>
      <c r="Q853" s="11">
        <v>1363979.25</v>
      </c>
      <c r="R853" s="11" t="s">
        <v>1983</v>
      </c>
      <c r="S853" s="11" t="s">
        <v>40</v>
      </c>
      <c r="T853" s="11">
        <v>0</v>
      </c>
    </row>
    <row r="854" spans="1:22" x14ac:dyDescent="0.25">
      <c r="A854" s="11">
        <v>101060401</v>
      </c>
      <c r="B854" s="11" t="s">
        <v>34</v>
      </c>
      <c r="C854" s="41">
        <v>44890</v>
      </c>
      <c r="D854" s="41">
        <v>44890</v>
      </c>
      <c r="E854" s="11" t="s">
        <v>42</v>
      </c>
      <c r="F854" s="11" t="s">
        <v>1984</v>
      </c>
      <c r="G854" s="11">
        <v>109323</v>
      </c>
      <c r="H854" s="11" t="s">
        <v>57</v>
      </c>
      <c r="K854" s="11">
        <v>101060402</v>
      </c>
      <c r="L854" s="11" t="s">
        <v>44</v>
      </c>
      <c r="M854" s="11"/>
      <c r="N854" s="11">
        <v>2068.1799999999998</v>
      </c>
      <c r="O854" s="42">
        <v>-2068.1799999999998</v>
      </c>
      <c r="P854" s="43" t="s">
        <v>4481</v>
      </c>
      <c r="Q854" s="11">
        <v>1361911.07</v>
      </c>
      <c r="R854" s="11" t="s">
        <v>1985</v>
      </c>
      <c r="S854" s="11" t="s">
        <v>40</v>
      </c>
      <c r="T854" s="11">
        <v>0</v>
      </c>
    </row>
    <row r="855" spans="1:22" x14ac:dyDescent="0.25">
      <c r="A855" s="11">
        <v>101060401</v>
      </c>
      <c r="B855" s="11" t="s">
        <v>34</v>
      </c>
      <c r="C855" s="41">
        <v>44890</v>
      </c>
      <c r="D855" s="41">
        <v>44890</v>
      </c>
      <c r="E855" s="11" t="s">
        <v>42</v>
      </c>
      <c r="F855" s="11" t="s">
        <v>1986</v>
      </c>
      <c r="G855" s="11">
        <v>109324</v>
      </c>
      <c r="H855" s="11" t="s">
        <v>57</v>
      </c>
      <c r="K855" s="11">
        <v>101060402</v>
      </c>
      <c r="L855" s="11" t="s">
        <v>44</v>
      </c>
      <c r="M855" s="11"/>
      <c r="N855" s="11">
        <v>1.38</v>
      </c>
      <c r="O855" s="42">
        <v>-1.38</v>
      </c>
      <c r="P855" s="43" t="s">
        <v>4481</v>
      </c>
      <c r="Q855" s="11">
        <v>1361909.69</v>
      </c>
      <c r="R855" s="11" t="s">
        <v>1987</v>
      </c>
      <c r="S855" s="11" t="s">
        <v>40</v>
      </c>
      <c r="T855" s="11">
        <v>0</v>
      </c>
    </row>
    <row r="856" spans="1:22" x14ac:dyDescent="0.25">
      <c r="A856" s="11">
        <v>101060401</v>
      </c>
      <c r="B856" s="11" t="s">
        <v>34</v>
      </c>
      <c r="C856" s="41">
        <v>44890</v>
      </c>
      <c r="D856" s="41">
        <v>44890</v>
      </c>
      <c r="E856" s="11" t="s">
        <v>42</v>
      </c>
      <c r="F856" s="11" t="s">
        <v>1988</v>
      </c>
      <c r="G856" s="11">
        <v>109325</v>
      </c>
      <c r="H856" s="11" t="s">
        <v>94</v>
      </c>
      <c r="J856" s="11" t="s">
        <v>38</v>
      </c>
      <c r="K856" s="11">
        <v>51010101</v>
      </c>
      <c r="L856" s="11" t="s">
        <v>48</v>
      </c>
      <c r="M856" s="11"/>
      <c r="N856" s="11">
        <v>1.23</v>
      </c>
      <c r="O856" s="42">
        <v>-1.23</v>
      </c>
      <c r="P856" s="43" t="s">
        <v>4489</v>
      </c>
      <c r="Q856" s="11">
        <v>1361908.46</v>
      </c>
      <c r="R856" s="11" t="s">
        <v>1989</v>
      </c>
      <c r="S856" s="11" t="s">
        <v>40</v>
      </c>
      <c r="T856" s="11">
        <v>0</v>
      </c>
      <c r="V856" s="11" t="s">
        <v>41</v>
      </c>
    </row>
    <row r="857" spans="1:22" x14ac:dyDescent="0.25">
      <c r="A857" s="11">
        <v>101060401</v>
      </c>
      <c r="B857" s="11" t="s">
        <v>34</v>
      </c>
      <c r="C857" s="41">
        <v>44890</v>
      </c>
      <c r="D857" s="41">
        <v>44890</v>
      </c>
      <c r="E857" s="11" t="s">
        <v>36</v>
      </c>
      <c r="F857" s="11" t="s">
        <v>1990</v>
      </c>
      <c r="G857" s="11">
        <v>109326</v>
      </c>
      <c r="H857" s="11" t="s">
        <v>89</v>
      </c>
      <c r="K857" s="11">
        <v>201040506</v>
      </c>
      <c r="L857" s="11" t="s">
        <v>46</v>
      </c>
      <c r="M857" s="11">
        <v>25</v>
      </c>
      <c r="N857" s="11"/>
      <c r="O857" s="42">
        <v>25</v>
      </c>
      <c r="P857" s="43" t="s">
        <v>4480</v>
      </c>
      <c r="Q857" s="11">
        <v>1361933.46</v>
      </c>
      <c r="R857" s="11" t="s">
        <v>1991</v>
      </c>
      <c r="S857" s="11" t="s">
        <v>40</v>
      </c>
      <c r="T857" s="11">
        <v>0</v>
      </c>
    </row>
    <row r="858" spans="1:22" x14ac:dyDescent="0.25">
      <c r="A858" s="11">
        <v>101060401</v>
      </c>
      <c r="B858" s="11" t="s">
        <v>34</v>
      </c>
      <c r="C858" s="41">
        <v>44890</v>
      </c>
      <c r="D858" s="41">
        <v>44890</v>
      </c>
      <c r="E858" s="11" t="s">
        <v>42</v>
      </c>
      <c r="F858" s="11" t="s">
        <v>1992</v>
      </c>
      <c r="G858" s="11">
        <v>109327</v>
      </c>
      <c r="H858" s="11" t="s">
        <v>57</v>
      </c>
      <c r="K858" s="11">
        <v>101060402</v>
      </c>
      <c r="L858" s="11" t="s">
        <v>44</v>
      </c>
      <c r="M858" s="11"/>
      <c r="N858" s="11">
        <v>25</v>
      </c>
      <c r="O858" s="42">
        <v>-25</v>
      </c>
      <c r="P858" s="43" t="s">
        <v>4481</v>
      </c>
      <c r="Q858" s="11">
        <v>1361908.46</v>
      </c>
      <c r="R858" s="11" t="s">
        <v>1993</v>
      </c>
      <c r="S858" s="11" t="s">
        <v>40</v>
      </c>
      <c r="T858" s="11">
        <v>0</v>
      </c>
    </row>
    <row r="859" spans="1:22" x14ac:dyDescent="0.25">
      <c r="A859" s="11">
        <v>101060401</v>
      </c>
      <c r="B859" s="11" t="s">
        <v>34</v>
      </c>
      <c r="C859" s="41">
        <v>44893</v>
      </c>
      <c r="D859" s="41">
        <v>44893</v>
      </c>
      <c r="E859" s="11" t="s">
        <v>42</v>
      </c>
      <c r="F859" s="11" t="s">
        <v>1994</v>
      </c>
      <c r="G859" s="11">
        <v>109332</v>
      </c>
      <c r="H859" s="11" t="s">
        <v>158</v>
      </c>
      <c r="J859" s="11" t="s">
        <v>38</v>
      </c>
      <c r="K859" s="11">
        <v>51010101</v>
      </c>
      <c r="L859" s="11" t="s">
        <v>48</v>
      </c>
      <c r="M859" s="11"/>
      <c r="N859" s="11">
        <v>663.98</v>
      </c>
      <c r="O859" s="42">
        <v>-663.98</v>
      </c>
      <c r="P859" s="43" t="s">
        <v>4489</v>
      </c>
      <c r="Q859" s="11">
        <v>1361244.48</v>
      </c>
      <c r="R859" s="11" t="s">
        <v>351</v>
      </c>
      <c r="S859" s="11" t="s">
        <v>40</v>
      </c>
      <c r="T859" s="11">
        <v>0</v>
      </c>
      <c r="V859" s="11" t="s">
        <v>41</v>
      </c>
    </row>
    <row r="860" spans="1:22" x14ac:dyDescent="0.25">
      <c r="A860" s="11">
        <v>101060401</v>
      </c>
      <c r="B860" s="11" t="s">
        <v>34</v>
      </c>
      <c r="C860" s="41">
        <v>44893</v>
      </c>
      <c r="D860" s="41">
        <v>44893</v>
      </c>
      <c r="E860" s="11" t="s">
        <v>42</v>
      </c>
      <c r="F860" s="11" t="s">
        <v>1995</v>
      </c>
      <c r="G860" s="11">
        <v>109333</v>
      </c>
      <c r="H860" s="11" t="s">
        <v>63</v>
      </c>
      <c r="J860" s="11" t="s">
        <v>38</v>
      </c>
      <c r="K860" s="11">
        <v>51010101</v>
      </c>
      <c r="L860" s="11" t="s">
        <v>48</v>
      </c>
      <c r="M860" s="11"/>
      <c r="N860" s="11">
        <v>95.29</v>
      </c>
      <c r="O860" s="42">
        <v>-95.29</v>
      </c>
      <c r="P860" s="43" t="s">
        <v>4489</v>
      </c>
      <c r="Q860" s="11">
        <v>1361149.19</v>
      </c>
      <c r="R860" s="11" t="s">
        <v>1996</v>
      </c>
      <c r="S860" s="11" t="s">
        <v>40</v>
      </c>
      <c r="T860" s="11">
        <v>0</v>
      </c>
      <c r="V860" s="11" t="s">
        <v>41</v>
      </c>
    </row>
    <row r="861" spans="1:22" x14ac:dyDescent="0.25">
      <c r="A861" s="11">
        <v>101060401</v>
      </c>
      <c r="B861" s="11" t="s">
        <v>34</v>
      </c>
      <c r="C861" s="41">
        <v>44893</v>
      </c>
      <c r="D861" s="41">
        <v>44893</v>
      </c>
      <c r="E861" s="11" t="s">
        <v>36</v>
      </c>
      <c r="F861" s="11" t="s">
        <v>1997</v>
      </c>
      <c r="G861" s="11">
        <v>109334</v>
      </c>
      <c r="H861" s="11" t="s">
        <v>1998</v>
      </c>
      <c r="J861" s="11" t="s">
        <v>38</v>
      </c>
      <c r="K861" s="11">
        <v>51010101</v>
      </c>
      <c r="L861" s="11" t="s">
        <v>48</v>
      </c>
      <c r="M861" s="11">
        <v>62.07</v>
      </c>
      <c r="N861" s="11"/>
      <c r="O861" s="42">
        <v>62.07</v>
      </c>
      <c r="P861" s="43" t="s">
        <v>4489</v>
      </c>
      <c r="Q861" s="11">
        <v>1361211.26</v>
      </c>
      <c r="R861" s="11" t="s">
        <v>1999</v>
      </c>
      <c r="S861" s="11" t="s">
        <v>40</v>
      </c>
      <c r="T861" s="11">
        <v>0</v>
      </c>
      <c r="V861" s="11" t="s">
        <v>41</v>
      </c>
    </row>
    <row r="862" spans="1:22" x14ac:dyDescent="0.25">
      <c r="A862" s="11">
        <v>101060401</v>
      </c>
      <c r="B862" s="11" t="s">
        <v>34</v>
      </c>
      <c r="C862" s="41">
        <v>44893</v>
      </c>
      <c r="D862" s="41">
        <v>44893</v>
      </c>
      <c r="E862" s="11" t="s">
        <v>36</v>
      </c>
      <c r="F862" s="11" t="s">
        <v>2000</v>
      </c>
      <c r="G862" s="11">
        <v>109335</v>
      </c>
      <c r="H862" s="11" t="s">
        <v>156</v>
      </c>
      <c r="K862" s="11">
        <v>201040506</v>
      </c>
      <c r="L862" s="11" t="s">
        <v>46</v>
      </c>
      <c r="M862" s="11">
        <v>2743.98</v>
      </c>
      <c r="N862" s="11"/>
      <c r="O862" s="42">
        <v>2743.98</v>
      </c>
      <c r="P862" s="43" t="s">
        <v>4480</v>
      </c>
      <c r="Q862" s="11">
        <v>1363955.24</v>
      </c>
      <c r="R862" s="11" t="s">
        <v>2001</v>
      </c>
      <c r="S862" s="11" t="s">
        <v>40</v>
      </c>
      <c r="T862" s="11">
        <v>0</v>
      </c>
    </row>
    <row r="863" spans="1:22" x14ac:dyDescent="0.25">
      <c r="A863" s="11">
        <v>101060401</v>
      </c>
      <c r="B863" s="11" t="s">
        <v>34</v>
      </c>
      <c r="C863" s="41">
        <v>44893</v>
      </c>
      <c r="D863" s="41">
        <v>44893</v>
      </c>
      <c r="E863" s="11" t="s">
        <v>42</v>
      </c>
      <c r="F863" s="11" t="s">
        <v>2002</v>
      </c>
      <c r="G863" s="11">
        <v>109351</v>
      </c>
      <c r="H863" s="11" t="s">
        <v>158</v>
      </c>
      <c r="J863" s="11" t="s">
        <v>38</v>
      </c>
      <c r="K863" s="11">
        <v>51010101</v>
      </c>
      <c r="L863" s="11" t="s">
        <v>48</v>
      </c>
      <c r="M863" s="11"/>
      <c r="N863" s="11">
        <v>31.12</v>
      </c>
      <c r="O863" s="42">
        <v>-31.12</v>
      </c>
      <c r="P863" s="43" t="s">
        <v>4489</v>
      </c>
      <c r="Q863" s="11">
        <v>1363924.12</v>
      </c>
      <c r="R863" s="11" t="s">
        <v>2003</v>
      </c>
      <c r="S863" s="11" t="s">
        <v>40</v>
      </c>
      <c r="T863" s="11">
        <v>0</v>
      </c>
      <c r="V863" s="11" t="s">
        <v>41</v>
      </c>
    </row>
    <row r="864" spans="1:22" x14ac:dyDescent="0.25">
      <c r="A864" s="11">
        <v>101060401</v>
      </c>
      <c r="B864" s="11" t="s">
        <v>34</v>
      </c>
      <c r="C864" s="41">
        <v>44893</v>
      </c>
      <c r="D864" s="41">
        <v>44893</v>
      </c>
      <c r="E864" s="11" t="s">
        <v>42</v>
      </c>
      <c r="F864" s="11" t="s">
        <v>2004</v>
      </c>
      <c r="G864" s="11">
        <v>109354</v>
      </c>
      <c r="H864" s="11" t="s">
        <v>67</v>
      </c>
      <c r="J864" s="11" t="s">
        <v>38</v>
      </c>
      <c r="K864" s="11">
        <v>51010101</v>
      </c>
      <c r="L864" s="11" t="s">
        <v>48</v>
      </c>
      <c r="M864" s="11"/>
      <c r="N864" s="11">
        <v>6.6</v>
      </c>
      <c r="O864" s="42">
        <v>-6.6</v>
      </c>
      <c r="P864" s="43" t="s">
        <v>4489</v>
      </c>
      <c r="Q864" s="11">
        <v>1363917.52</v>
      </c>
      <c r="R864" s="11" t="s">
        <v>2005</v>
      </c>
      <c r="S864" s="11" t="s">
        <v>40</v>
      </c>
      <c r="T864" s="11">
        <v>0</v>
      </c>
      <c r="V864" s="11" t="s">
        <v>41</v>
      </c>
    </row>
    <row r="865" spans="1:22" x14ac:dyDescent="0.25">
      <c r="A865" s="11">
        <v>101060401</v>
      </c>
      <c r="B865" s="11" t="s">
        <v>34</v>
      </c>
      <c r="C865" s="41">
        <v>44893</v>
      </c>
      <c r="D865" s="41">
        <v>44893</v>
      </c>
      <c r="E865" s="11" t="s">
        <v>42</v>
      </c>
      <c r="F865" s="11" t="s">
        <v>2006</v>
      </c>
      <c r="G865" s="11">
        <v>109372</v>
      </c>
      <c r="H865" s="11" t="s">
        <v>2007</v>
      </c>
      <c r="J865" s="11" t="s">
        <v>38</v>
      </c>
      <c r="K865" s="11">
        <v>51010101</v>
      </c>
      <c r="L865" s="11" t="s">
        <v>48</v>
      </c>
      <c r="M865" s="11"/>
      <c r="N865" s="11">
        <v>16.739999999999998</v>
      </c>
      <c r="O865" s="42">
        <v>-16.739999999999998</v>
      </c>
      <c r="P865" s="43" t="s">
        <v>4489</v>
      </c>
      <c r="Q865" s="11">
        <v>1363900.78</v>
      </c>
      <c r="R865" s="11" t="s">
        <v>2008</v>
      </c>
      <c r="S865" s="11" t="s">
        <v>106</v>
      </c>
      <c r="T865" s="11">
        <v>0</v>
      </c>
      <c r="V865" s="11" t="s">
        <v>41</v>
      </c>
    </row>
    <row r="866" spans="1:22" x14ac:dyDescent="0.25">
      <c r="A866" s="11">
        <v>101060401</v>
      </c>
      <c r="B866" s="11" t="s">
        <v>34</v>
      </c>
      <c r="C866" s="41">
        <v>44893</v>
      </c>
      <c r="D866" s="41">
        <v>44893</v>
      </c>
      <c r="E866" s="11" t="s">
        <v>42</v>
      </c>
      <c r="F866" s="11" t="s">
        <v>2009</v>
      </c>
      <c r="G866" s="11">
        <v>109373</v>
      </c>
      <c r="H866" s="11" t="s">
        <v>2007</v>
      </c>
      <c r="J866" s="11" t="s">
        <v>38</v>
      </c>
      <c r="K866" s="11">
        <v>51010101</v>
      </c>
      <c r="L866" s="11" t="s">
        <v>48</v>
      </c>
      <c r="M866" s="11"/>
      <c r="N866" s="11">
        <v>1.38</v>
      </c>
      <c r="O866" s="42">
        <v>-1.38</v>
      </c>
      <c r="P866" s="43" t="s">
        <v>4489</v>
      </c>
      <c r="Q866" s="11">
        <v>1363899.4</v>
      </c>
      <c r="R866" s="11" t="s">
        <v>1987</v>
      </c>
      <c r="S866" s="11" t="s">
        <v>106</v>
      </c>
      <c r="T866" s="11">
        <v>0</v>
      </c>
      <c r="V866" s="11" t="s">
        <v>41</v>
      </c>
    </row>
    <row r="867" spans="1:22" x14ac:dyDescent="0.25">
      <c r="A867" s="11">
        <v>101060401</v>
      </c>
      <c r="B867" s="11" t="s">
        <v>34</v>
      </c>
      <c r="C867" s="41">
        <v>44893</v>
      </c>
      <c r="D867" s="41">
        <v>44893</v>
      </c>
      <c r="E867" s="11" t="s">
        <v>42</v>
      </c>
      <c r="F867" s="11" t="s">
        <v>2010</v>
      </c>
      <c r="G867" s="11">
        <v>109376</v>
      </c>
      <c r="H867" s="11" t="s">
        <v>57</v>
      </c>
      <c r="K867" s="11">
        <v>101060402</v>
      </c>
      <c r="L867" s="11" t="s">
        <v>44</v>
      </c>
      <c r="M867" s="11"/>
      <c r="N867" s="11">
        <v>7.68</v>
      </c>
      <c r="O867" s="42">
        <v>-7.68</v>
      </c>
      <c r="P867" s="43" t="s">
        <v>4481</v>
      </c>
      <c r="Q867" s="11">
        <v>1363891.72</v>
      </c>
      <c r="R867" s="11" t="s">
        <v>2011</v>
      </c>
      <c r="S867" s="11" t="s">
        <v>40</v>
      </c>
      <c r="T867" s="11">
        <v>0</v>
      </c>
    </row>
    <row r="868" spans="1:22" x14ac:dyDescent="0.25">
      <c r="A868" s="11">
        <v>101060401</v>
      </c>
      <c r="B868" s="11" t="s">
        <v>34</v>
      </c>
      <c r="C868" s="41">
        <v>44893</v>
      </c>
      <c r="D868" s="41">
        <v>44893</v>
      </c>
      <c r="E868" s="11" t="s">
        <v>42</v>
      </c>
      <c r="F868" s="11" t="s">
        <v>2012</v>
      </c>
      <c r="G868" s="11">
        <v>109378</v>
      </c>
      <c r="H868" s="11" t="s">
        <v>66</v>
      </c>
      <c r="J868" s="11" t="s">
        <v>38</v>
      </c>
      <c r="K868" s="11">
        <v>51010101</v>
      </c>
      <c r="L868" s="11" t="s">
        <v>48</v>
      </c>
      <c r="M868" s="11"/>
      <c r="N868" s="11">
        <v>119.28</v>
      </c>
      <c r="O868" s="42">
        <v>-119.28</v>
      </c>
      <c r="P868" s="43" t="s">
        <v>4489</v>
      </c>
      <c r="Q868" s="11">
        <v>1363772.44</v>
      </c>
      <c r="R868" s="11" t="s">
        <v>2013</v>
      </c>
      <c r="S868" s="11" t="s">
        <v>40</v>
      </c>
      <c r="T868" s="11">
        <v>0</v>
      </c>
      <c r="V868" s="11" t="s">
        <v>41</v>
      </c>
    </row>
    <row r="869" spans="1:22" x14ac:dyDescent="0.25">
      <c r="A869" s="11">
        <v>101060401</v>
      </c>
      <c r="B869" s="11" t="s">
        <v>34</v>
      </c>
      <c r="C869" s="41">
        <v>44893</v>
      </c>
      <c r="D869" s="41">
        <v>44893</v>
      </c>
      <c r="E869" s="11" t="s">
        <v>42</v>
      </c>
      <c r="F869" s="11" t="s">
        <v>2014</v>
      </c>
      <c r="G869" s="11">
        <v>109379</v>
      </c>
      <c r="H869" s="11" t="s">
        <v>331</v>
      </c>
      <c r="J869" s="11" t="s">
        <v>38</v>
      </c>
      <c r="K869" s="11">
        <v>51010101</v>
      </c>
      <c r="L869" s="11" t="s">
        <v>48</v>
      </c>
      <c r="M869" s="11">
        <v>119.28</v>
      </c>
      <c r="N869" s="11"/>
      <c r="O869" s="42">
        <v>119.28</v>
      </c>
      <c r="P869" s="43" t="s">
        <v>4489</v>
      </c>
      <c r="Q869" s="11">
        <v>1363891.72</v>
      </c>
      <c r="R869" s="11" t="s">
        <v>2015</v>
      </c>
      <c r="S869" s="11" t="s">
        <v>40</v>
      </c>
      <c r="T869" s="11">
        <v>0</v>
      </c>
      <c r="V869" s="11" t="s">
        <v>41</v>
      </c>
    </row>
    <row r="870" spans="1:22" x14ac:dyDescent="0.25">
      <c r="A870" s="11">
        <v>101060401</v>
      </c>
      <c r="B870" s="11" t="s">
        <v>34</v>
      </c>
      <c r="C870" s="41">
        <v>44893</v>
      </c>
      <c r="D870" s="41">
        <v>44893</v>
      </c>
      <c r="E870" s="11" t="s">
        <v>42</v>
      </c>
      <c r="F870" s="11" t="s">
        <v>2016</v>
      </c>
      <c r="G870" s="11">
        <v>109381</v>
      </c>
      <c r="H870" s="11" t="s">
        <v>66</v>
      </c>
      <c r="J870" s="11" t="s">
        <v>38</v>
      </c>
      <c r="K870" s="11">
        <v>51010101</v>
      </c>
      <c r="L870" s="11" t="s">
        <v>48</v>
      </c>
      <c r="M870" s="11"/>
      <c r="N870" s="11">
        <v>194.26</v>
      </c>
      <c r="O870" s="42">
        <v>-194.26</v>
      </c>
      <c r="P870" s="43" t="s">
        <v>4489</v>
      </c>
      <c r="Q870" s="11">
        <v>1363697.46</v>
      </c>
      <c r="R870" s="11" t="s">
        <v>2017</v>
      </c>
      <c r="S870" s="11" t="s">
        <v>40</v>
      </c>
      <c r="T870" s="11">
        <v>0</v>
      </c>
      <c r="V870" s="11" t="s">
        <v>41</v>
      </c>
    </row>
    <row r="871" spans="1:22" x14ac:dyDescent="0.25">
      <c r="A871" s="11">
        <v>101060401</v>
      </c>
      <c r="B871" s="11" t="s">
        <v>34</v>
      </c>
      <c r="C871" s="41">
        <v>44893</v>
      </c>
      <c r="D871" s="41">
        <v>44893</v>
      </c>
      <c r="E871" s="11" t="s">
        <v>42</v>
      </c>
      <c r="F871" s="11" t="s">
        <v>2018</v>
      </c>
      <c r="G871" s="11">
        <v>109408</v>
      </c>
      <c r="H871" s="11" t="s">
        <v>57</v>
      </c>
      <c r="K871" s="11">
        <v>101060402</v>
      </c>
      <c r="L871" s="11" t="s">
        <v>44</v>
      </c>
      <c r="M871" s="11"/>
      <c r="N871" s="11">
        <v>13.8</v>
      </c>
      <c r="O871" s="42">
        <v>-13.8</v>
      </c>
      <c r="P871" s="43" t="s">
        <v>4481</v>
      </c>
      <c r="Q871" s="11">
        <v>1363683.66</v>
      </c>
      <c r="R871" s="11" t="s">
        <v>189</v>
      </c>
      <c r="S871" s="11" t="s">
        <v>40</v>
      </c>
      <c r="T871" s="11">
        <v>0</v>
      </c>
    </row>
    <row r="872" spans="1:22" x14ac:dyDescent="0.25">
      <c r="A872" s="11">
        <v>101060401</v>
      </c>
      <c r="B872" s="11" t="s">
        <v>34</v>
      </c>
      <c r="C872" s="41">
        <v>44893</v>
      </c>
      <c r="D872" s="41">
        <v>44893</v>
      </c>
      <c r="E872" s="11" t="s">
        <v>36</v>
      </c>
      <c r="F872" s="11" t="s">
        <v>2019</v>
      </c>
      <c r="G872" s="11">
        <v>109409</v>
      </c>
      <c r="H872" s="11" t="s">
        <v>52</v>
      </c>
      <c r="K872" s="11">
        <v>201040506</v>
      </c>
      <c r="L872" s="11" t="s">
        <v>46</v>
      </c>
      <c r="M872" s="11">
        <v>39.44</v>
      </c>
      <c r="N872" s="11"/>
      <c r="O872" s="42">
        <v>39.44</v>
      </c>
      <c r="P872" s="43" t="s">
        <v>4480</v>
      </c>
      <c r="Q872" s="11">
        <v>1363723.1</v>
      </c>
      <c r="R872" s="11" t="s">
        <v>1072</v>
      </c>
      <c r="S872" s="11" t="s">
        <v>40</v>
      </c>
      <c r="T872" s="11">
        <v>0</v>
      </c>
    </row>
    <row r="873" spans="1:22" x14ac:dyDescent="0.25">
      <c r="A873" s="11">
        <v>101060401</v>
      </c>
      <c r="B873" s="11" t="s">
        <v>34</v>
      </c>
      <c r="C873" s="41">
        <v>44893</v>
      </c>
      <c r="D873" s="41">
        <v>44893</v>
      </c>
      <c r="E873" s="11" t="s">
        <v>36</v>
      </c>
      <c r="F873" s="11" t="s">
        <v>2020</v>
      </c>
      <c r="G873" s="11">
        <v>109411</v>
      </c>
      <c r="H873" s="11" t="s">
        <v>52</v>
      </c>
      <c r="K873" s="11">
        <v>201040506</v>
      </c>
      <c r="L873" s="11" t="s">
        <v>46</v>
      </c>
      <c r="M873" s="11">
        <v>130.37</v>
      </c>
      <c r="N873" s="11"/>
      <c r="O873" s="42">
        <v>130.37</v>
      </c>
      <c r="P873" s="43" t="s">
        <v>4480</v>
      </c>
      <c r="Q873" s="11">
        <v>1363853.47</v>
      </c>
      <c r="R873" s="11" t="s">
        <v>2021</v>
      </c>
      <c r="S873" s="11" t="s">
        <v>40</v>
      </c>
      <c r="T873" s="11">
        <v>0</v>
      </c>
    </row>
    <row r="874" spans="1:22" x14ac:dyDescent="0.25">
      <c r="A874" s="11">
        <v>101060401</v>
      </c>
      <c r="B874" s="11" t="s">
        <v>34</v>
      </c>
      <c r="C874" s="41">
        <v>44893</v>
      </c>
      <c r="D874" s="41">
        <v>44893</v>
      </c>
      <c r="E874" s="11" t="s">
        <v>36</v>
      </c>
      <c r="F874" s="11" t="s">
        <v>2022</v>
      </c>
      <c r="G874" s="11">
        <v>109412</v>
      </c>
      <c r="H874" s="11" t="s">
        <v>52</v>
      </c>
      <c r="K874" s="11">
        <v>201040506</v>
      </c>
      <c r="L874" s="11" t="s">
        <v>46</v>
      </c>
      <c r="M874" s="11">
        <v>9.15</v>
      </c>
      <c r="N874" s="11"/>
      <c r="O874" s="42">
        <v>9.15</v>
      </c>
      <c r="P874" s="43" t="s">
        <v>4480</v>
      </c>
      <c r="Q874" s="11">
        <v>1363862.62</v>
      </c>
      <c r="R874" s="11" t="s">
        <v>2023</v>
      </c>
      <c r="S874" s="11" t="s">
        <v>40</v>
      </c>
      <c r="T874" s="11">
        <v>0</v>
      </c>
    </row>
    <row r="875" spans="1:22" x14ac:dyDescent="0.25">
      <c r="A875" s="11">
        <v>101060401</v>
      </c>
      <c r="B875" s="11" t="s">
        <v>34</v>
      </c>
      <c r="C875" s="41">
        <v>44893</v>
      </c>
      <c r="D875" s="41">
        <v>44893</v>
      </c>
      <c r="E875" s="11" t="s">
        <v>36</v>
      </c>
      <c r="F875" s="11" t="s">
        <v>2024</v>
      </c>
      <c r="G875" s="11">
        <v>109413</v>
      </c>
      <c r="H875" s="11" t="s">
        <v>52</v>
      </c>
      <c r="K875" s="11">
        <v>201040506</v>
      </c>
      <c r="L875" s="11" t="s">
        <v>46</v>
      </c>
      <c r="M875" s="11">
        <v>9.15</v>
      </c>
      <c r="N875" s="11"/>
      <c r="O875" s="42">
        <v>9.15</v>
      </c>
      <c r="P875" s="43" t="s">
        <v>4480</v>
      </c>
      <c r="Q875" s="11">
        <v>1363871.77</v>
      </c>
      <c r="R875" s="11" t="s">
        <v>2023</v>
      </c>
      <c r="S875" s="11" t="s">
        <v>40</v>
      </c>
      <c r="T875" s="11">
        <v>0</v>
      </c>
    </row>
    <row r="876" spans="1:22" x14ac:dyDescent="0.25">
      <c r="A876" s="11">
        <v>101060401</v>
      </c>
      <c r="B876" s="11" t="s">
        <v>34</v>
      </c>
      <c r="C876" s="41">
        <v>44893</v>
      </c>
      <c r="D876" s="41">
        <v>44893</v>
      </c>
      <c r="E876" s="11" t="s">
        <v>42</v>
      </c>
      <c r="F876" s="11" t="s">
        <v>2025</v>
      </c>
      <c r="G876" s="11">
        <v>109415</v>
      </c>
      <c r="H876" s="11" t="s">
        <v>57</v>
      </c>
      <c r="K876" s="11">
        <v>101060402</v>
      </c>
      <c r="L876" s="11" t="s">
        <v>44</v>
      </c>
      <c r="M876" s="11"/>
      <c r="N876" s="11">
        <v>9.15</v>
      </c>
      <c r="O876" s="42">
        <v>-9.15</v>
      </c>
      <c r="P876" s="43" t="s">
        <v>4481</v>
      </c>
      <c r="Q876" s="11">
        <v>1363862.62</v>
      </c>
      <c r="R876" s="11" t="s">
        <v>2026</v>
      </c>
      <c r="S876" s="11" t="s">
        <v>40</v>
      </c>
      <c r="T876" s="11">
        <v>0</v>
      </c>
    </row>
    <row r="877" spans="1:22" x14ac:dyDescent="0.25">
      <c r="A877" s="11">
        <v>101060401</v>
      </c>
      <c r="B877" s="11" t="s">
        <v>34</v>
      </c>
      <c r="C877" s="41">
        <v>44893</v>
      </c>
      <c r="D877" s="41">
        <v>44893</v>
      </c>
      <c r="E877" s="11" t="s">
        <v>42</v>
      </c>
      <c r="F877" s="11" t="s">
        <v>2027</v>
      </c>
      <c r="G877" s="11">
        <v>109416</v>
      </c>
      <c r="H877" s="11" t="s">
        <v>957</v>
      </c>
      <c r="J877" s="11" t="s">
        <v>38</v>
      </c>
      <c r="K877" s="11">
        <v>51010101</v>
      </c>
      <c r="L877" s="11" t="s">
        <v>48</v>
      </c>
      <c r="M877" s="11"/>
      <c r="N877" s="11">
        <v>9.15</v>
      </c>
      <c r="O877" s="42">
        <v>-9.15</v>
      </c>
      <c r="P877" s="43" t="s">
        <v>4489</v>
      </c>
      <c r="Q877" s="11">
        <v>1363853.47</v>
      </c>
      <c r="R877" s="11" t="s">
        <v>2026</v>
      </c>
      <c r="S877" s="11" t="s">
        <v>40</v>
      </c>
      <c r="T877" s="11">
        <v>0</v>
      </c>
      <c r="V877" s="11" t="s">
        <v>41</v>
      </c>
    </row>
    <row r="878" spans="1:22" x14ac:dyDescent="0.25">
      <c r="A878" s="11">
        <v>101060401</v>
      </c>
      <c r="B878" s="11" t="s">
        <v>34</v>
      </c>
      <c r="C878" s="41">
        <v>44893</v>
      </c>
      <c r="D878" s="41">
        <v>44893</v>
      </c>
      <c r="E878" s="11" t="s">
        <v>42</v>
      </c>
      <c r="F878" s="11" t="s">
        <v>2028</v>
      </c>
      <c r="G878" s="11">
        <v>109417</v>
      </c>
      <c r="H878" s="11" t="s">
        <v>141</v>
      </c>
      <c r="J878" s="11" t="s">
        <v>38</v>
      </c>
      <c r="K878" s="11">
        <v>51010101</v>
      </c>
      <c r="L878" s="11" t="s">
        <v>48</v>
      </c>
      <c r="M878" s="11"/>
      <c r="N878" s="11">
        <v>39.44</v>
      </c>
      <c r="O878" s="42">
        <v>-39.44</v>
      </c>
      <c r="P878" s="43" t="s">
        <v>4489</v>
      </c>
      <c r="Q878" s="11">
        <v>1363814.03</v>
      </c>
      <c r="R878" s="11" t="s">
        <v>2029</v>
      </c>
      <c r="S878" s="11" t="s">
        <v>40</v>
      </c>
      <c r="T878" s="11">
        <v>0</v>
      </c>
      <c r="V878" s="11" t="s">
        <v>41</v>
      </c>
    </row>
    <row r="879" spans="1:22" x14ac:dyDescent="0.25">
      <c r="A879" s="11">
        <v>101060401</v>
      </c>
      <c r="B879" s="11" t="s">
        <v>34</v>
      </c>
      <c r="C879" s="41">
        <v>44893</v>
      </c>
      <c r="D879" s="41">
        <v>44893</v>
      </c>
      <c r="E879" s="11" t="s">
        <v>42</v>
      </c>
      <c r="F879" s="11" t="s">
        <v>2030</v>
      </c>
      <c r="G879" s="11">
        <v>109421</v>
      </c>
      <c r="H879" s="11" t="s">
        <v>1885</v>
      </c>
      <c r="J879" s="11" t="s">
        <v>38</v>
      </c>
      <c r="K879" s="11">
        <v>51010101</v>
      </c>
      <c r="L879" s="11" t="s">
        <v>48</v>
      </c>
      <c r="M879" s="11"/>
      <c r="N879" s="11">
        <v>48.43</v>
      </c>
      <c r="O879" s="42">
        <v>-48.43</v>
      </c>
      <c r="P879" s="43" t="s">
        <v>4489</v>
      </c>
      <c r="Q879" s="11">
        <v>1363765.6</v>
      </c>
      <c r="R879" s="11" t="s">
        <v>1120</v>
      </c>
      <c r="S879" s="11" t="s">
        <v>40</v>
      </c>
      <c r="T879" s="11">
        <v>0</v>
      </c>
      <c r="V879" s="11" t="s">
        <v>41</v>
      </c>
    </row>
    <row r="880" spans="1:22" x14ac:dyDescent="0.25">
      <c r="A880" s="11">
        <v>101060401</v>
      </c>
      <c r="B880" s="11" t="s">
        <v>34</v>
      </c>
      <c r="C880" s="41">
        <v>44893</v>
      </c>
      <c r="D880" s="41">
        <v>44893</v>
      </c>
      <c r="E880" s="11" t="s">
        <v>42</v>
      </c>
      <c r="F880" s="11" t="s">
        <v>2031</v>
      </c>
      <c r="G880" s="11">
        <v>109423</v>
      </c>
      <c r="H880" s="11" t="s">
        <v>57</v>
      </c>
      <c r="K880" s="11">
        <v>101060402</v>
      </c>
      <c r="L880" s="11" t="s">
        <v>44</v>
      </c>
      <c r="M880" s="11">
        <v>54.28</v>
      </c>
      <c r="N880" s="11"/>
      <c r="O880" s="42">
        <v>54.28</v>
      </c>
      <c r="P880" s="43" t="s">
        <v>4481</v>
      </c>
      <c r="Q880" s="11">
        <v>1363819.88</v>
      </c>
      <c r="R880" s="11" t="s">
        <v>186</v>
      </c>
      <c r="S880" s="11" t="s">
        <v>106</v>
      </c>
      <c r="T880" s="11">
        <v>0</v>
      </c>
    </row>
    <row r="881" spans="1:22" x14ac:dyDescent="0.25">
      <c r="A881" s="11">
        <v>101060401</v>
      </c>
      <c r="B881" s="11" t="s">
        <v>34</v>
      </c>
      <c r="C881" s="41">
        <v>44893</v>
      </c>
      <c r="D881" s="41">
        <v>44893</v>
      </c>
      <c r="E881" s="11" t="s">
        <v>36</v>
      </c>
      <c r="F881" s="11" t="s">
        <v>2032</v>
      </c>
      <c r="G881" s="11">
        <v>109427</v>
      </c>
      <c r="H881" s="11" t="s">
        <v>85</v>
      </c>
      <c r="K881" s="11">
        <v>201040506</v>
      </c>
      <c r="L881" s="11" t="s">
        <v>46</v>
      </c>
      <c r="M881" s="11">
        <v>90</v>
      </c>
      <c r="N881" s="11"/>
      <c r="O881" s="42">
        <v>90</v>
      </c>
      <c r="P881" s="43" t="s">
        <v>4480</v>
      </c>
      <c r="Q881" s="11">
        <v>1363909.88</v>
      </c>
      <c r="R881" s="11" t="s">
        <v>2033</v>
      </c>
      <c r="S881" s="11" t="s">
        <v>40</v>
      </c>
      <c r="T881" s="11">
        <v>0</v>
      </c>
    </row>
    <row r="882" spans="1:22" x14ac:dyDescent="0.25">
      <c r="A882" s="11">
        <v>101060401</v>
      </c>
      <c r="B882" s="11" t="s">
        <v>34</v>
      </c>
      <c r="C882" s="41">
        <v>44893</v>
      </c>
      <c r="D882" s="41">
        <v>44893</v>
      </c>
      <c r="E882" s="11" t="s">
        <v>42</v>
      </c>
      <c r="F882" s="11" t="s">
        <v>2034</v>
      </c>
      <c r="G882" s="11">
        <v>109428</v>
      </c>
      <c r="H882" s="11" t="s">
        <v>158</v>
      </c>
      <c r="J882" s="11" t="s">
        <v>38</v>
      </c>
      <c r="K882" s="11">
        <v>51010101</v>
      </c>
      <c r="L882" s="11" t="s">
        <v>48</v>
      </c>
      <c r="M882" s="11"/>
      <c r="N882" s="11">
        <v>90</v>
      </c>
      <c r="O882" s="42">
        <v>-90</v>
      </c>
      <c r="P882" s="43" t="s">
        <v>4489</v>
      </c>
      <c r="Q882" s="11">
        <v>1363819.88</v>
      </c>
      <c r="R882" s="11" t="s">
        <v>2035</v>
      </c>
      <c r="S882" s="11" t="s">
        <v>40</v>
      </c>
      <c r="T882" s="11">
        <v>0</v>
      </c>
      <c r="V882" s="11" t="s">
        <v>41</v>
      </c>
    </row>
    <row r="883" spans="1:22" x14ac:dyDescent="0.25">
      <c r="A883" s="11">
        <v>101060401</v>
      </c>
      <c r="B883" s="11" t="s">
        <v>34</v>
      </c>
      <c r="C883" s="41">
        <v>44893</v>
      </c>
      <c r="D883" s="41">
        <v>44893</v>
      </c>
      <c r="E883" s="11" t="s">
        <v>42</v>
      </c>
      <c r="F883" s="11" t="s">
        <v>2036</v>
      </c>
      <c r="G883" s="11">
        <v>109429</v>
      </c>
      <c r="H883" s="11" t="s">
        <v>1128</v>
      </c>
      <c r="J883" s="11" t="s">
        <v>38</v>
      </c>
      <c r="K883" s="11">
        <v>51010101</v>
      </c>
      <c r="L883" s="11" t="s">
        <v>48</v>
      </c>
      <c r="M883" s="11"/>
      <c r="N883" s="11">
        <v>24.21</v>
      </c>
      <c r="O883" s="42">
        <v>-24.21</v>
      </c>
      <c r="P883" s="43" t="s">
        <v>4489</v>
      </c>
      <c r="Q883" s="11">
        <v>1363795.67</v>
      </c>
      <c r="R883" s="11" t="s">
        <v>2037</v>
      </c>
      <c r="S883" s="11" t="s">
        <v>40</v>
      </c>
      <c r="T883" s="11">
        <v>0</v>
      </c>
      <c r="V883" s="11" t="s">
        <v>41</v>
      </c>
    </row>
    <row r="884" spans="1:22" x14ac:dyDescent="0.25">
      <c r="A884" s="11">
        <v>101060401</v>
      </c>
      <c r="B884" s="11" t="s">
        <v>34</v>
      </c>
      <c r="C884" s="41">
        <v>44893</v>
      </c>
      <c r="D884" s="41">
        <v>44893</v>
      </c>
      <c r="E884" s="11" t="s">
        <v>60</v>
      </c>
      <c r="F884" s="11" t="s">
        <v>2038</v>
      </c>
      <c r="G884" s="11">
        <v>109432</v>
      </c>
      <c r="H884" s="11" t="s">
        <v>61</v>
      </c>
      <c r="K884" s="11">
        <v>201040506</v>
      </c>
      <c r="L884" s="11" t="s">
        <v>46</v>
      </c>
      <c r="M884" s="11"/>
      <c r="N884" s="11">
        <v>130.37</v>
      </c>
      <c r="O884" s="42">
        <v>-130.37</v>
      </c>
      <c r="P884" s="43" t="s">
        <v>4480</v>
      </c>
      <c r="Q884" s="11">
        <v>1363665.3</v>
      </c>
      <c r="R884" s="11" t="s">
        <v>127</v>
      </c>
      <c r="S884" s="11" t="s">
        <v>40</v>
      </c>
      <c r="T884" s="11">
        <v>0</v>
      </c>
    </row>
    <row r="885" spans="1:22" x14ac:dyDescent="0.25">
      <c r="A885" s="11">
        <v>101060401</v>
      </c>
      <c r="B885" s="11" t="s">
        <v>34</v>
      </c>
      <c r="C885" s="41">
        <v>44893</v>
      </c>
      <c r="D885" s="41">
        <v>44893</v>
      </c>
      <c r="E885" s="11" t="s">
        <v>42</v>
      </c>
      <c r="F885" s="11" t="s">
        <v>2039</v>
      </c>
      <c r="G885" s="11">
        <v>109439</v>
      </c>
      <c r="H885" s="11" t="s">
        <v>57</v>
      </c>
      <c r="K885" s="11">
        <v>101060402</v>
      </c>
      <c r="L885" s="11" t="s">
        <v>44</v>
      </c>
      <c r="M885" s="11"/>
      <c r="N885" s="11">
        <v>2743.98</v>
      </c>
      <c r="O885" s="42">
        <v>-2743.98</v>
      </c>
      <c r="P885" s="43" t="s">
        <v>4481</v>
      </c>
      <c r="Q885" s="11">
        <v>1360921.32</v>
      </c>
      <c r="R885" s="11" t="s">
        <v>2040</v>
      </c>
      <c r="S885" s="11" t="s">
        <v>40</v>
      </c>
      <c r="T885" s="11">
        <v>0</v>
      </c>
    </row>
    <row r="886" spans="1:22" x14ac:dyDescent="0.25">
      <c r="A886" s="11">
        <v>101060401</v>
      </c>
      <c r="B886" s="11" t="s">
        <v>34</v>
      </c>
      <c r="C886" s="41">
        <v>44894</v>
      </c>
      <c r="D886" s="41">
        <v>44894</v>
      </c>
      <c r="E886" s="11" t="s">
        <v>42</v>
      </c>
      <c r="F886" s="11" t="s">
        <v>2041</v>
      </c>
      <c r="G886" s="11">
        <v>109458</v>
      </c>
      <c r="H886" s="11" t="s">
        <v>72</v>
      </c>
      <c r="J886" s="11" t="s">
        <v>38</v>
      </c>
      <c r="K886" s="11">
        <v>51010101</v>
      </c>
      <c r="L886" s="11" t="s">
        <v>48</v>
      </c>
      <c r="M886" s="11"/>
      <c r="N886" s="11">
        <v>161.96</v>
      </c>
      <c r="O886" s="42">
        <v>-161.96</v>
      </c>
      <c r="P886" s="43" t="s">
        <v>4489</v>
      </c>
      <c r="Q886" s="11">
        <v>1360759.36</v>
      </c>
      <c r="R886" s="11" t="s">
        <v>2042</v>
      </c>
      <c r="S886" s="11" t="s">
        <v>40</v>
      </c>
      <c r="T886" s="11">
        <v>0</v>
      </c>
      <c r="V886" s="11" t="s">
        <v>41</v>
      </c>
    </row>
    <row r="887" spans="1:22" x14ac:dyDescent="0.25">
      <c r="A887" s="11">
        <v>101060401</v>
      </c>
      <c r="B887" s="11" t="s">
        <v>34</v>
      </c>
      <c r="C887" s="41">
        <v>44894</v>
      </c>
      <c r="D887" s="41">
        <v>44894</v>
      </c>
      <c r="E887" s="11" t="s">
        <v>42</v>
      </c>
      <c r="F887" s="11" t="s">
        <v>2043</v>
      </c>
      <c r="G887" s="11">
        <v>109461</v>
      </c>
      <c r="H887" s="11" t="s">
        <v>849</v>
      </c>
      <c r="J887" s="11" t="s">
        <v>38</v>
      </c>
      <c r="K887" s="11">
        <v>51010101</v>
      </c>
      <c r="L887" s="11" t="s">
        <v>48</v>
      </c>
      <c r="M887" s="11"/>
      <c r="N887" s="11">
        <v>91.79</v>
      </c>
      <c r="O887" s="42">
        <v>-91.79</v>
      </c>
      <c r="P887" s="43" t="s">
        <v>4489</v>
      </c>
      <c r="Q887" s="11">
        <v>1360667.57</v>
      </c>
      <c r="R887" s="11" t="s">
        <v>2044</v>
      </c>
      <c r="S887" s="11" t="s">
        <v>40</v>
      </c>
      <c r="T887" s="11">
        <v>0</v>
      </c>
      <c r="V887" s="11" t="s">
        <v>41</v>
      </c>
    </row>
    <row r="888" spans="1:22" x14ac:dyDescent="0.25">
      <c r="A888" s="11">
        <v>101060401</v>
      </c>
      <c r="B888" s="11" t="s">
        <v>34</v>
      </c>
      <c r="C888" s="41">
        <v>44894</v>
      </c>
      <c r="D888" s="41">
        <v>44894</v>
      </c>
      <c r="E888" s="11" t="s">
        <v>42</v>
      </c>
      <c r="F888" s="11" t="s">
        <v>2045</v>
      </c>
      <c r="G888" s="11">
        <v>109466</v>
      </c>
      <c r="H888" s="11" t="s">
        <v>50</v>
      </c>
      <c r="J888" s="11" t="s">
        <v>38</v>
      </c>
      <c r="K888" s="11">
        <v>51010101</v>
      </c>
      <c r="L888" s="11" t="s">
        <v>48</v>
      </c>
      <c r="M888" s="11"/>
      <c r="N888" s="11">
        <v>14.21</v>
      </c>
      <c r="O888" s="42">
        <v>-14.21</v>
      </c>
      <c r="P888" s="43" t="s">
        <v>4489</v>
      </c>
      <c r="Q888" s="11">
        <v>1360653.36</v>
      </c>
      <c r="R888" s="11" t="s">
        <v>2046</v>
      </c>
      <c r="S888" s="11" t="s">
        <v>40</v>
      </c>
      <c r="T888" s="11">
        <v>0</v>
      </c>
      <c r="V888" s="11" t="s">
        <v>41</v>
      </c>
    </row>
    <row r="889" spans="1:22" x14ac:dyDescent="0.25">
      <c r="A889" s="11">
        <v>101060401</v>
      </c>
      <c r="B889" s="11" t="s">
        <v>34</v>
      </c>
      <c r="C889" s="41">
        <v>44894</v>
      </c>
      <c r="D889" s="41">
        <v>44894</v>
      </c>
      <c r="E889" s="11" t="s">
        <v>42</v>
      </c>
      <c r="F889" s="11" t="s">
        <v>2047</v>
      </c>
      <c r="G889" s="11">
        <v>109467</v>
      </c>
      <c r="H889" s="11" t="s">
        <v>109</v>
      </c>
      <c r="J889" s="11" t="s">
        <v>38</v>
      </c>
      <c r="K889" s="11">
        <v>51010101</v>
      </c>
      <c r="L889" s="11" t="s">
        <v>48</v>
      </c>
      <c r="M889" s="11"/>
      <c r="N889" s="11">
        <v>94.63</v>
      </c>
      <c r="O889" s="42">
        <v>-94.63</v>
      </c>
      <c r="P889" s="43" t="s">
        <v>4489</v>
      </c>
      <c r="Q889" s="11">
        <v>1360558.73</v>
      </c>
      <c r="R889" s="11" t="s">
        <v>2048</v>
      </c>
      <c r="S889" s="11" t="s">
        <v>40</v>
      </c>
      <c r="T889" s="11">
        <v>0</v>
      </c>
      <c r="V889" s="11" t="s">
        <v>41</v>
      </c>
    </row>
    <row r="890" spans="1:22" x14ac:dyDescent="0.25">
      <c r="A890" s="11">
        <v>101060401</v>
      </c>
      <c r="B890" s="11" t="s">
        <v>34</v>
      </c>
      <c r="C890" s="41">
        <v>44894</v>
      </c>
      <c r="D890" s="41">
        <v>44894</v>
      </c>
      <c r="E890" s="11" t="s">
        <v>36</v>
      </c>
      <c r="F890" s="11" t="s">
        <v>2049</v>
      </c>
      <c r="G890" s="11">
        <v>109494</v>
      </c>
      <c r="H890" s="11" t="s">
        <v>156</v>
      </c>
      <c r="K890" s="11">
        <v>201040506</v>
      </c>
      <c r="L890" s="11" t="s">
        <v>46</v>
      </c>
      <c r="M890" s="11">
        <v>3117.72</v>
      </c>
      <c r="N890" s="11"/>
      <c r="O890" s="42">
        <v>3117.72</v>
      </c>
      <c r="P890" s="43" t="s">
        <v>4480</v>
      </c>
      <c r="Q890" s="11">
        <v>1363676.45</v>
      </c>
      <c r="R890" s="11" t="s">
        <v>2050</v>
      </c>
      <c r="S890" s="11" t="s">
        <v>40</v>
      </c>
      <c r="T890" s="11">
        <v>0</v>
      </c>
    </row>
    <row r="891" spans="1:22" x14ac:dyDescent="0.25">
      <c r="A891" s="11">
        <v>101060401</v>
      </c>
      <c r="B891" s="11" t="s">
        <v>34</v>
      </c>
      <c r="C891" s="41">
        <v>44894</v>
      </c>
      <c r="D891" s="41">
        <v>44894</v>
      </c>
      <c r="E891" s="11" t="s">
        <v>42</v>
      </c>
      <c r="F891" s="11" t="s">
        <v>2051</v>
      </c>
      <c r="G891" s="11">
        <v>109496</v>
      </c>
      <c r="H891" s="11" t="s">
        <v>57</v>
      </c>
      <c r="K891" s="11">
        <v>101060402</v>
      </c>
      <c r="L891" s="11" t="s">
        <v>44</v>
      </c>
      <c r="M891" s="11"/>
      <c r="N891" s="11">
        <v>3117.72</v>
      </c>
      <c r="O891" s="42">
        <v>-3117.72</v>
      </c>
      <c r="P891" s="43" t="s">
        <v>4481</v>
      </c>
      <c r="Q891" s="11">
        <v>1360558.73</v>
      </c>
      <c r="R891" s="11" t="s">
        <v>2052</v>
      </c>
      <c r="S891" s="11" t="s">
        <v>40</v>
      </c>
      <c r="T891" s="11">
        <v>0</v>
      </c>
    </row>
    <row r="892" spans="1:22" x14ac:dyDescent="0.25">
      <c r="A892" s="11">
        <v>101060401</v>
      </c>
      <c r="B892" s="11" t="s">
        <v>34</v>
      </c>
      <c r="C892" s="41">
        <v>44894</v>
      </c>
      <c r="D892" s="41">
        <v>44894</v>
      </c>
      <c r="E892" s="11" t="s">
        <v>42</v>
      </c>
      <c r="F892" s="11" t="s">
        <v>2053</v>
      </c>
      <c r="G892" s="11">
        <v>109499</v>
      </c>
      <c r="H892" s="11" t="s">
        <v>47</v>
      </c>
      <c r="J892" s="11" t="s">
        <v>38</v>
      </c>
      <c r="K892" s="11">
        <v>51010101</v>
      </c>
      <c r="L892" s="11" t="s">
        <v>48</v>
      </c>
      <c r="M892" s="11"/>
      <c r="N892" s="11">
        <v>2305.39</v>
      </c>
      <c r="O892" s="42">
        <v>-2305.39</v>
      </c>
      <c r="P892" s="43" t="s">
        <v>4489</v>
      </c>
      <c r="Q892" s="11">
        <v>1358253.34</v>
      </c>
      <c r="R892" s="11" t="s">
        <v>2054</v>
      </c>
      <c r="S892" s="11" t="s">
        <v>40</v>
      </c>
      <c r="T892" s="11">
        <v>0</v>
      </c>
      <c r="V892" s="11" t="s">
        <v>41</v>
      </c>
    </row>
    <row r="893" spans="1:22" x14ac:dyDescent="0.25">
      <c r="A893" s="11">
        <v>101060401</v>
      </c>
      <c r="B893" s="11" t="s">
        <v>34</v>
      </c>
      <c r="C893" s="41">
        <v>44894</v>
      </c>
      <c r="D893" s="41">
        <v>44894</v>
      </c>
      <c r="E893" s="11" t="s">
        <v>36</v>
      </c>
      <c r="F893" s="11" t="s">
        <v>2055</v>
      </c>
      <c r="G893" s="11">
        <v>109500</v>
      </c>
      <c r="H893" s="11" t="s">
        <v>52</v>
      </c>
      <c r="K893" s="11">
        <v>201040506</v>
      </c>
      <c r="L893" s="11" t="s">
        <v>46</v>
      </c>
      <c r="M893" s="11">
        <v>886.04</v>
      </c>
      <c r="N893" s="11"/>
      <c r="O893" s="42">
        <v>886.04</v>
      </c>
      <c r="P893" s="43" t="s">
        <v>4480</v>
      </c>
      <c r="Q893" s="11">
        <v>1359139.38</v>
      </c>
      <c r="R893" s="11" t="s">
        <v>2056</v>
      </c>
      <c r="S893" s="11" t="s">
        <v>40</v>
      </c>
      <c r="T893" s="11">
        <v>0</v>
      </c>
    </row>
    <row r="894" spans="1:22" x14ac:dyDescent="0.25">
      <c r="A894" s="11">
        <v>101060401</v>
      </c>
      <c r="B894" s="11" t="s">
        <v>34</v>
      </c>
      <c r="C894" s="41">
        <v>44894</v>
      </c>
      <c r="D894" s="41">
        <v>44894</v>
      </c>
      <c r="E894" s="11" t="s">
        <v>36</v>
      </c>
      <c r="F894" s="11" t="s">
        <v>2057</v>
      </c>
      <c r="G894" s="11">
        <v>109501</v>
      </c>
      <c r="H894" s="11" t="s">
        <v>52</v>
      </c>
      <c r="K894" s="11">
        <v>201040506</v>
      </c>
      <c r="L894" s="11" t="s">
        <v>46</v>
      </c>
      <c r="M894" s="11">
        <v>64.400000000000006</v>
      </c>
      <c r="N894" s="11"/>
      <c r="O894" s="42">
        <v>64.400000000000006</v>
      </c>
      <c r="P894" s="43" t="s">
        <v>4480</v>
      </c>
      <c r="Q894" s="11">
        <v>1359203.78</v>
      </c>
      <c r="R894" s="11" t="s">
        <v>2058</v>
      </c>
      <c r="S894" s="11" t="s">
        <v>40</v>
      </c>
      <c r="T894" s="11">
        <v>0</v>
      </c>
    </row>
    <row r="895" spans="1:22" x14ac:dyDescent="0.25">
      <c r="A895" s="11">
        <v>101060401</v>
      </c>
      <c r="B895" s="11" t="s">
        <v>34</v>
      </c>
      <c r="C895" s="41">
        <v>44894</v>
      </c>
      <c r="D895" s="41">
        <v>44894</v>
      </c>
      <c r="E895" s="11" t="s">
        <v>36</v>
      </c>
      <c r="F895" s="11" t="s">
        <v>2059</v>
      </c>
      <c r="G895" s="11">
        <v>109502</v>
      </c>
      <c r="H895" s="11" t="s">
        <v>52</v>
      </c>
      <c r="K895" s="11">
        <v>201040506</v>
      </c>
      <c r="L895" s="11" t="s">
        <v>46</v>
      </c>
      <c r="M895" s="11">
        <v>326.39999999999998</v>
      </c>
      <c r="N895" s="11"/>
      <c r="O895" s="42">
        <v>326.39999999999998</v>
      </c>
      <c r="P895" s="43" t="s">
        <v>4480</v>
      </c>
      <c r="Q895" s="11">
        <v>1359530.18</v>
      </c>
      <c r="R895" s="11" t="s">
        <v>2060</v>
      </c>
      <c r="S895" s="11" t="s">
        <v>40</v>
      </c>
      <c r="T895" s="11">
        <v>0</v>
      </c>
    </row>
    <row r="896" spans="1:22" x14ac:dyDescent="0.25">
      <c r="A896" s="11">
        <v>101060401</v>
      </c>
      <c r="B896" s="11" t="s">
        <v>34</v>
      </c>
      <c r="C896" s="41">
        <v>44894</v>
      </c>
      <c r="D896" s="41">
        <v>44894</v>
      </c>
      <c r="E896" s="11" t="s">
        <v>42</v>
      </c>
      <c r="F896" s="11" t="s">
        <v>2061</v>
      </c>
      <c r="G896" s="11">
        <v>109503</v>
      </c>
      <c r="H896" s="11" t="s">
        <v>47</v>
      </c>
      <c r="J896" s="11" t="s">
        <v>38</v>
      </c>
      <c r="K896" s="11">
        <v>51010101</v>
      </c>
      <c r="L896" s="11" t="s">
        <v>48</v>
      </c>
      <c r="M896" s="11"/>
      <c r="N896" s="11">
        <v>2812.53</v>
      </c>
      <c r="O896" s="42">
        <v>-2812.53</v>
      </c>
      <c r="P896" s="43" t="s">
        <v>4489</v>
      </c>
      <c r="Q896" s="11">
        <v>1356717.65</v>
      </c>
      <c r="R896" s="11" t="s">
        <v>2062</v>
      </c>
      <c r="S896" s="11" t="s">
        <v>40</v>
      </c>
      <c r="T896" s="11">
        <v>0</v>
      </c>
      <c r="V896" s="11" t="s">
        <v>41</v>
      </c>
    </row>
    <row r="897" spans="1:22" x14ac:dyDescent="0.25">
      <c r="A897" s="11">
        <v>101060401</v>
      </c>
      <c r="B897" s="11" t="s">
        <v>34</v>
      </c>
      <c r="C897" s="41">
        <v>44894</v>
      </c>
      <c r="D897" s="41">
        <v>44894</v>
      </c>
      <c r="E897" s="11" t="s">
        <v>42</v>
      </c>
      <c r="F897" s="11" t="s">
        <v>2063</v>
      </c>
      <c r="G897" s="11">
        <v>109505</v>
      </c>
      <c r="H897" s="11" t="s">
        <v>47</v>
      </c>
      <c r="J897" s="11" t="s">
        <v>38</v>
      </c>
      <c r="K897" s="11">
        <v>51010101</v>
      </c>
      <c r="L897" s="11" t="s">
        <v>48</v>
      </c>
      <c r="M897" s="11"/>
      <c r="N897" s="11">
        <v>759.18</v>
      </c>
      <c r="O897" s="42">
        <v>-759.18</v>
      </c>
      <c r="P897" s="43" t="s">
        <v>4489</v>
      </c>
      <c r="Q897" s="11">
        <v>1355958.47</v>
      </c>
      <c r="R897" s="11" t="s">
        <v>2064</v>
      </c>
      <c r="S897" s="11" t="s">
        <v>40</v>
      </c>
      <c r="T897" s="11">
        <v>0</v>
      </c>
      <c r="V897" s="11" t="s">
        <v>41</v>
      </c>
    </row>
    <row r="898" spans="1:22" x14ac:dyDescent="0.25">
      <c r="A898" s="11">
        <v>101060401</v>
      </c>
      <c r="B898" s="11" t="s">
        <v>34</v>
      </c>
      <c r="C898" s="41">
        <v>44894</v>
      </c>
      <c r="D898" s="41">
        <v>44894</v>
      </c>
      <c r="E898" s="11" t="s">
        <v>42</v>
      </c>
      <c r="F898" s="11" t="s">
        <v>2065</v>
      </c>
      <c r="G898" s="11">
        <v>109506</v>
      </c>
      <c r="H898" s="11" t="s">
        <v>57</v>
      </c>
      <c r="K898" s="11">
        <v>101060402</v>
      </c>
      <c r="L898" s="11" t="s">
        <v>44</v>
      </c>
      <c r="M898" s="11">
        <v>457.58</v>
      </c>
      <c r="N898" s="11"/>
      <c r="O898" s="42">
        <v>457.58</v>
      </c>
      <c r="P898" s="43" t="s">
        <v>4481</v>
      </c>
      <c r="Q898" s="11">
        <v>1356416.05</v>
      </c>
      <c r="R898" s="11" t="s">
        <v>2066</v>
      </c>
      <c r="S898" s="11" t="s">
        <v>106</v>
      </c>
      <c r="T898" s="11">
        <v>0</v>
      </c>
    </row>
    <row r="899" spans="1:22" x14ac:dyDescent="0.25">
      <c r="A899" s="11">
        <v>101060401</v>
      </c>
      <c r="B899" s="11" t="s">
        <v>34</v>
      </c>
      <c r="C899" s="41">
        <v>44894</v>
      </c>
      <c r="D899" s="41">
        <v>44894</v>
      </c>
      <c r="E899" s="11" t="s">
        <v>42</v>
      </c>
      <c r="F899" s="11" t="s">
        <v>2067</v>
      </c>
      <c r="G899" s="11">
        <v>109508</v>
      </c>
      <c r="H899" s="11" t="s">
        <v>47</v>
      </c>
      <c r="J899" s="11" t="s">
        <v>38</v>
      </c>
      <c r="K899" s="11">
        <v>51010101</v>
      </c>
      <c r="L899" s="11" t="s">
        <v>48</v>
      </c>
      <c r="M899" s="11"/>
      <c r="N899" s="11">
        <v>46737.440000000002</v>
      </c>
      <c r="O899" s="42">
        <v>-46737.440000000002</v>
      </c>
      <c r="P899" s="43" t="s">
        <v>4489</v>
      </c>
      <c r="Q899" s="11">
        <v>1309678.6100000001</v>
      </c>
      <c r="R899" s="11" t="s">
        <v>2068</v>
      </c>
      <c r="S899" s="11" t="s">
        <v>40</v>
      </c>
      <c r="T899" s="11">
        <v>0</v>
      </c>
      <c r="V899" s="11" t="s">
        <v>41</v>
      </c>
    </row>
    <row r="900" spans="1:22" x14ac:dyDescent="0.25">
      <c r="A900" s="11">
        <v>101060401</v>
      </c>
      <c r="B900" s="11" t="s">
        <v>34</v>
      </c>
      <c r="C900" s="41">
        <v>44894</v>
      </c>
      <c r="D900" s="41">
        <v>44894</v>
      </c>
      <c r="E900" s="11" t="s">
        <v>42</v>
      </c>
      <c r="F900" s="11" t="s">
        <v>2069</v>
      </c>
      <c r="G900" s="11">
        <v>109509</v>
      </c>
      <c r="H900" s="11" t="s">
        <v>50</v>
      </c>
      <c r="J900" s="11" t="s">
        <v>38</v>
      </c>
      <c r="K900" s="11">
        <v>51010101</v>
      </c>
      <c r="L900" s="11" t="s">
        <v>48</v>
      </c>
      <c r="M900" s="11"/>
      <c r="N900" s="11">
        <v>31.63</v>
      </c>
      <c r="O900" s="42">
        <v>-31.63</v>
      </c>
      <c r="P900" s="43" t="s">
        <v>4489</v>
      </c>
      <c r="Q900" s="11">
        <v>1309646.98</v>
      </c>
      <c r="R900" s="11" t="s">
        <v>2070</v>
      </c>
      <c r="S900" s="11" t="s">
        <v>40</v>
      </c>
      <c r="T900" s="11">
        <v>0</v>
      </c>
      <c r="V900" s="11" t="s">
        <v>41</v>
      </c>
    </row>
    <row r="901" spans="1:22" x14ac:dyDescent="0.25">
      <c r="A901" s="11">
        <v>101060401</v>
      </c>
      <c r="B901" s="11" t="s">
        <v>34</v>
      </c>
      <c r="C901" s="41">
        <v>44894</v>
      </c>
      <c r="D901" s="41">
        <v>44894</v>
      </c>
      <c r="E901" s="11" t="s">
        <v>42</v>
      </c>
      <c r="F901" s="11" t="s">
        <v>2071</v>
      </c>
      <c r="G901" s="11">
        <v>109510</v>
      </c>
      <c r="H901" s="11" t="s">
        <v>150</v>
      </c>
      <c r="J901" s="11" t="s">
        <v>38</v>
      </c>
      <c r="K901" s="11">
        <v>51010101</v>
      </c>
      <c r="L901" s="11" t="s">
        <v>48</v>
      </c>
      <c r="M901" s="11"/>
      <c r="N901" s="11">
        <v>11.22</v>
      </c>
      <c r="O901" s="42">
        <v>-11.22</v>
      </c>
      <c r="P901" s="43" t="s">
        <v>4489</v>
      </c>
      <c r="Q901" s="11">
        <v>1309635.76</v>
      </c>
      <c r="R901" s="11" t="s">
        <v>2072</v>
      </c>
      <c r="S901" s="11" t="s">
        <v>40</v>
      </c>
      <c r="T901" s="11">
        <v>0</v>
      </c>
      <c r="V901" s="11" t="s">
        <v>41</v>
      </c>
    </row>
    <row r="902" spans="1:22" x14ac:dyDescent="0.25">
      <c r="A902" s="11">
        <v>101060401</v>
      </c>
      <c r="B902" s="11" t="s">
        <v>34</v>
      </c>
      <c r="C902" s="41">
        <v>44894</v>
      </c>
      <c r="D902" s="41">
        <v>44894</v>
      </c>
      <c r="E902" s="11" t="s">
        <v>42</v>
      </c>
      <c r="F902" s="11" t="s">
        <v>2073</v>
      </c>
      <c r="G902" s="11">
        <v>109514</v>
      </c>
      <c r="H902" s="11" t="s">
        <v>957</v>
      </c>
      <c r="J902" s="11" t="s">
        <v>38</v>
      </c>
      <c r="K902" s="11">
        <v>51010101</v>
      </c>
      <c r="L902" s="11" t="s">
        <v>48</v>
      </c>
      <c r="M902" s="11"/>
      <c r="N902" s="11">
        <v>457.58</v>
      </c>
      <c r="O902" s="42">
        <v>-457.58</v>
      </c>
      <c r="P902" s="43" t="s">
        <v>4489</v>
      </c>
      <c r="Q902" s="11">
        <v>1309178.18</v>
      </c>
      <c r="R902" s="11" t="s">
        <v>2074</v>
      </c>
      <c r="S902" s="11" t="s">
        <v>40</v>
      </c>
      <c r="T902" s="11">
        <v>0</v>
      </c>
      <c r="V902" s="11" t="s">
        <v>41</v>
      </c>
    </row>
    <row r="903" spans="1:22" x14ac:dyDescent="0.25">
      <c r="A903" s="11">
        <v>101060401</v>
      </c>
      <c r="B903" s="11" t="s">
        <v>34</v>
      </c>
      <c r="C903" s="41">
        <v>44894</v>
      </c>
      <c r="D903" s="41">
        <v>44894</v>
      </c>
      <c r="E903" s="11" t="s">
        <v>42</v>
      </c>
      <c r="F903" s="11" t="s">
        <v>2075</v>
      </c>
      <c r="G903" s="11">
        <v>109516</v>
      </c>
      <c r="H903" s="11" t="s">
        <v>282</v>
      </c>
      <c r="J903" s="11" t="s">
        <v>38</v>
      </c>
      <c r="K903" s="11">
        <v>51010101</v>
      </c>
      <c r="L903" s="11" t="s">
        <v>48</v>
      </c>
      <c r="M903" s="11"/>
      <c r="N903" s="11">
        <v>100.56</v>
      </c>
      <c r="O903" s="42">
        <v>-100.56</v>
      </c>
      <c r="P903" s="43" t="s">
        <v>4489</v>
      </c>
      <c r="Q903" s="11">
        <v>1309077.6200000001</v>
      </c>
      <c r="R903" s="11" t="s">
        <v>348</v>
      </c>
      <c r="S903" s="11" t="s">
        <v>40</v>
      </c>
      <c r="T903" s="11">
        <v>0</v>
      </c>
      <c r="V903" s="11" t="s">
        <v>41</v>
      </c>
    </row>
    <row r="904" spans="1:22" x14ac:dyDescent="0.25">
      <c r="A904" s="11">
        <v>101060401</v>
      </c>
      <c r="B904" s="11" t="s">
        <v>34</v>
      </c>
      <c r="C904" s="41">
        <v>44895</v>
      </c>
      <c r="D904" s="41">
        <v>44895</v>
      </c>
      <c r="E904" s="11" t="s">
        <v>42</v>
      </c>
      <c r="F904" s="11" t="s">
        <v>2076</v>
      </c>
      <c r="G904" s="11">
        <v>109532</v>
      </c>
      <c r="H904" s="11" t="s">
        <v>53</v>
      </c>
      <c r="J904" s="11" t="s">
        <v>38</v>
      </c>
      <c r="K904" s="11">
        <v>51010101</v>
      </c>
      <c r="L904" s="11" t="s">
        <v>48</v>
      </c>
      <c r="M904" s="11"/>
      <c r="N904" s="11">
        <v>710.68</v>
      </c>
      <c r="O904" s="42">
        <v>-710.68</v>
      </c>
      <c r="P904" s="43" t="s">
        <v>4489</v>
      </c>
      <c r="Q904" s="11">
        <v>1308366.94</v>
      </c>
      <c r="R904" s="11" t="s">
        <v>2077</v>
      </c>
      <c r="S904" s="11" t="s">
        <v>40</v>
      </c>
      <c r="T904" s="11">
        <v>0</v>
      </c>
      <c r="V904" s="11" t="s">
        <v>41</v>
      </c>
    </row>
    <row r="905" spans="1:22" x14ac:dyDescent="0.25">
      <c r="A905" s="11">
        <v>101060401</v>
      </c>
      <c r="B905" s="11" t="s">
        <v>34</v>
      </c>
      <c r="C905" s="41">
        <v>44895</v>
      </c>
      <c r="D905" s="41">
        <v>44895</v>
      </c>
      <c r="E905" s="11" t="s">
        <v>42</v>
      </c>
      <c r="F905" s="11" t="s">
        <v>2078</v>
      </c>
      <c r="G905" s="11">
        <v>109533</v>
      </c>
      <c r="H905" s="11" t="s">
        <v>205</v>
      </c>
      <c r="J905" s="11" t="s">
        <v>38</v>
      </c>
      <c r="K905" s="11">
        <v>51010101</v>
      </c>
      <c r="L905" s="11" t="s">
        <v>48</v>
      </c>
      <c r="M905" s="11"/>
      <c r="N905" s="11">
        <v>19.850000000000001</v>
      </c>
      <c r="O905" s="42">
        <v>-19.850000000000001</v>
      </c>
      <c r="P905" s="43" t="s">
        <v>4489</v>
      </c>
      <c r="Q905" s="11">
        <v>1308347.0900000001</v>
      </c>
      <c r="R905" s="11" t="s">
        <v>347</v>
      </c>
      <c r="S905" s="11" t="s">
        <v>40</v>
      </c>
      <c r="T905" s="11">
        <v>0</v>
      </c>
      <c r="V905" s="11" t="s">
        <v>41</v>
      </c>
    </row>
    <row r="906" spans="1:22" x14ac:dyDescent="0.25">
      <c r="A906" s="11">
        <v>101060401</v>
      </c>
      <c r="B906" s="11" t="s">
        <v>34</v>
      </c>
      <c r="C906" s="41">
        <v>44895</v>
      </c>
      <c r="D906" s="41">
        <v>44895</v>
      </c>
      <c r="E906" s="11" t="s">
        <v>36</v>
      </c>
      <c r="F906" s="11" t="s">
        <v>2079</v>
      </c>
      <c r="G906" s="11">
        <v>109534</v>
      </c>
      <c r="H906" s="11" t="s">
        <v>52</v>
      </c>
      <c r="K906" s="11">
        <v>201040506</v>
      </c>
      <c r="L906" s="11" t="s">
        <v>46</v>
      </c>
      <c r="M906" s="11">
        <v>788.73</v>
      </c>
      <c r="N906" s="11"/>
      <c r="O906" s="42">
        <v>788.73</v>
      </c>
      <c r="P906" s="43" t="s">
        <v>4480</v>
      </c>
      <c r="Q906" s="11">
        <v>1309135.82</v>
      </c>
      <c r="R906" s="11" t="s">
        <v>2080</v>
      </c>
      <c r="S906" s="11" t="s">
        <v>40</v>
      </c>
      <c r="T906" s="11">
        <v>0</v>
      </c>
    </row>
    <row r="907" spans="1:22" x14ac:dyDescent="0.25">
      <c r="A907" s="11">
        <v>101060401</v>
      </c>
      <c r="B907" s="11" t="s">
        <v>34</v>
      </c>
      <c r="C907" s="41">
        <v>44895</v>
      </c>
      <c r="D907" s="41">
        <v>44895</v>
      </c>
      <c r="E907" s="11" t="s">
        <v>36</v>
      </c>
      <c r="F907" s="11" t="s">
        <v>2081</v>
      </c>
      <c r="G907" s="11">
        <v>109535</v>
      </c>
      <c r="H907" s="11" t="s">
        <v>52</v>
      </c>
      <c r="K907" s="11">
        <v>201040506</v>
      </c>
      <c r="L907" s="11" t="s">
        <v>46</v>
      </c>
      <c r="M907" s="11">
        <v>157.49</v>
      </c>
      <c r="N907" s="11"/>
      <c r="O907" s="42">
        <v>157.49</v>
      </c>
      <c r="P907" s="43" t="s">
        <v>4480</v>
      </c>
      <c r="Q907" s="11">
        <v>1309293.31</v>
      </c>
      <c r="R907" s="11" t="s">
        <v>2082</v>
      </c>
      <c r="S907" s="11" t="s">
        <v>40</v>
      </c>
      <c r="T907" s="11">
        <v>0</v>
      </c>
    </row>
    <row r="908" spans="1:22" x14ac:dyDescent="0.25">
      <c r="A908" s="11">
        <v>101060401</v>
      </c>
      <c r="B908" s="11" t="s">
        <v>34</v>
      </c>
      <c r="C908" s="41">
        <v>44895</v>
      </c>
      <c r="D908" s="41">
        <v>44895</v>
      </c>
      <c r="E908" s="11" t="s">
        <v>36</v>
      </c>
      <c r="F908" s="11" t="s">
        <v>2083</v>
      </c>
      <c r="G908" s="11">
        <v>109536</v>
      </c>
      <c r="H908" s="11" t="s">
        <v>52</v>
      </c>
      <c r="K908" s="11">
        <v>201040506</v>
      </c>
      <c r="L908" s="11" t="s">
        <v>46</v>
      </c>
      <c r="M908" s="11">
        <v>363.88</v>
      </c>
      <c r="N908" s="11"/>
      <c r="O908" s="42">
        <v>363.88</v>
      </c>
      <c r="P908" s="43" t="s">
        <v>4480</v>
      </c>
      <c r="Q908" s="11">
        <v>1309657.19</v>
      </c>
      <c r="R908" s="11" t="s">
        <v>2084</v>
      </c>
      <c r="S908" s="11" t="s">
        <v>40</v>
      </c>
      <c r="T908" s="11">
        <v>0</v>
      </c>
    </row>
    <row r="909" spans="1:22" x14ac:dyDescent="0.25">
      <c r="A909" s="11">
        <v>101060401</v>
      </c>
      <c r="B909" s="11" t="s">
        <v>34</v>
      </c>
      <c r="C909" s="41">
        <v>44895</v>
      </c>
      <c r="D909" s="41">
        <v>44895</v>
      </c>
      <c r="E909" s="11" t="s">
        <v>42</v>
      </c>
      <c r="F909" s="11" t="s">
        <v>2085</v>
      </c>
      <c r="G909" s="11">
        <v>109537</v>
      </c>
      <c r="H909" s="11" t="s">
        <v>205</v>
      </c>
      <c r="J909" s="11" t="s">
        <v>38</v>
      </c>
      <c r="K909" s="11">
        <v>51010101</v>
      </c>
      <c r="L909" s="11" t="s">
        <v>48</v>
      </c>
      <c r="M909" s="11"/>
      <c r="N909" s="11">
        <v>18.64</v>
      </c>
      <c r="O909" s="42">
        <v>-18.64</v>
      </c>
      <c r="P909" s="43" t="s">
        <v>4489</v>
      </c>
      <c r="Q909" s="11">
        <v>1309638.55</v>
      </c>
      <c r="R909" s="11" t="s">
        <v>979</v>
      </c>
      <c r="S909" s="11" t="s">
        <v>40</v>
      </c>
      <c r="T909" s="11">
        <v>0</v>
      </c>
      <c r="V909" s="11" t="s">
        <v>41</v>
      </c>
    </row>
    <row r="910" spans="1:22" x14ac:dyDescent="0.25">
      <c r="A910" s="11">
        <v>101060401</v>
      </c>
      <c r="B910" s="11" t="s">
        <v>34</v>
      </c>
      <c r="C910" s="41">
        <v>44895</v>
      </c>
      <c r="D910" s="41">
        <v>44895</v>
      </c>
      <c r="E910" s="11" t="s">
        <v>42</v>
      </c>
      <c r="F910" s="11" t="s">
        <v>2086</v>
      </c>
      <c r="G910" s="11">
        <v>109538</v>
      </c>
      <c r="H910" s="11" t="s">
        <v>2087</v>
      </c>
      <c r="J910" s="11" t="s">
        <v>38</v>
      </c>
      <c r="K910" s="11">
        <v>51010101</v>
      </c>
      <c r="L910" s="11" t="s">
        <v>48</v>
      </c>
      <c r="M910" s="11">
        <v>18.64</v>
      </c>
      <c r="N910" s="11"/>
      <c r="O910" s="42">
        <v>18.64</v>
      </c>
      <c r="P910" s="43" t="s">
        <v>4489</v>
      </c>
      <c r="Q910" s="11">
        <v>1309657.19</v>
      </c>
      <c r="R910" s="11" t="s">
        <v>325</v>
      </c>
      <c r="S910" s="11" t="s">
        <v>40</v>
      </c>
      <c r="T910" s="11">
        <v>0</v>
      </c>
      <c r="V910" s="11" t="s">
        <v>41</v>
      </c>
    </row>
    <row r="911" spans="1:22" x14ac:dyDescent="0.25">
      <c r="A911" s="11">
        <v>101060401</v>
      </c>
      <c r="B911" s="11" t="s">
        <v>34</v>
      </c>
      <c r="C911" s="41">
        <v>44895</v>
      </c>
      <c r="D911" s="41">
        <v>44895</v>
      </c>
      <c r="E911" s="11" t="s">
        <v>42</v>
      </c>
      <c r="F911" s="11" t="s">
        <v>2088</v>
      </c>
      <c r="G911" s="11">
        <v>109539</v>
      </c>
      <c r="H911" s="11" t="s">
        <v>205</v>
      </c>
      <c r="J911" s="11" t="s">
        <v>38</v>
      </c>
      <c r="K911" s="11">
        <v>51010101</v>
      </c>
      <c r="L911" s="11" t="s">
        <v>48</v>
      </c>
      <c r="M911" s="11"/>
      <c r="N911" s="11">
        <v>20.69</v>
      </c>
      <c r="O911" s="42">
        <v>-20.69</v>
      </c>
      <c r="P911" s="43" t="s">
        <v>4489</v>
      </c>
      <c r="Q911" s="11">
        <v>1309636.5</v>
      </c>
      <c r="R911" s="11" t="s">
        <v>2089</v>
      </c>
      <c r="S911" s="11" t="s">
        <v>40</v>
      </c>
      <c r="T911" s="11">
        <v>0</v>
      </c>
      <c r="V911" s="11" t="s">
        <v>41</v>
      </c>
    </row>
    <row r="912" spans="1:22" x14ac:dyDescent="0.25">
      <c r="A912" s="11">
        <v>101060401</v>
      </c>
      <c r="B912" s="11" t="s">
        <v>34</v>
      </c>
      <c r="C912" s="41">
        <v>44895</v>
      </c>
      <c r="D912" s="41">
        <v>44895</v>
      </c>
      <c r="E912" s="11" t="s">
        <v>42</v>
      </c>
      <c r="F912" s="11" t="s">
        <v>2090</v>
      </c>
      <c r="G912" s="11">
        <v>109541</v>
      </c>
      <c r="H912" s="11" t="s">
        <v>47</v>
      </c>
      <c r="J912" s="11" t="s">
        <v>38</v>
      </c>
      <c r="K912" s="11">
        <v>51010101</v>
      </c>
      <c r="L912" s="11" t="s">
        <v>48</v>
      </c>
      <c r="M912" s="11"/>
      <c r="N912" s="11">
        <v>8303.2000000000007</v>
      </c>
      <c r="O912" s="42">
        <v>-8303.2000000000007</v>
      </c>
      <c r="P912" s="43" t="s">
        <v>4489</v>
      </c>
      <c r="Q912" s="11">
        <v>1301333.3</v>
      </c>
      <c r="R912" s="11" t="s">
        <v>2091</v>
      </c>
      <c r="S912" s="11" t="s">
        <v>40</v>
      </c>
      <c r="T912" s="11">
        <v>0</v>
      </c>
      <c r="V912" s="11" t="s">
        <v>41</v>
      </c>
    </row>
    <row r="913" spans="1:22" x14ac:dyDescent="0.25">
      <c r="A913" s="11">
        <v>101060401</v>
      </c>
      <c r="B913" s="11" t="s">
        <v>34</v>
      </c>
      <c r="C913" s="41">
        <v>44895</v>
      </c>
      <c r="D913" s="41">
        <v>44895</v>
      </c>
      <c r="E913" s="11" t="s">
        <v>42</v>
      </c>
      <c r="F913" s="11" t="s">
        <v>2092</v>
      </c>
      <c r="G913" s="11">
        <v>109542</v>
      </c>
      <c r="H913" s="11" t="s">
        <v>47</v>
      </c>
      <c r="J913" s="11" t="s">
        <v>38</v>
      </c>
      <c r="K913" s="11">
        <v>51010101</v>
      </c>
      <c r="L913" s="11" t="s">
        <v>48</v>
      </c>
      <c r="M913" s="11"/>
      <c r="N913" s="11">
        <v>2.85</v>
      </c>
      <c r="O913" s="42">
        <v>-2.85</v>
      </c>
      <c r="P913" s="43" t="s">
        <v>4489</v>
      </c>
      <c r="Q913" s="11">
        <v>1301330.45</v>
      </c>
      <c r="R913" s="11" t="s">
        <v>2093</v>
      </c>
      <c r="S913" s="11" t="s">
        <v>40</v>
      </c>
      <c r="T913" s="11">
        <v>0</v>
      </c>
      <c r="V913" s="11" t="s">
        <v>41</v>
      </c>
    </row>
    <row r="914" spans="1:22" x14ac:dyDescent="0.25">
      <c r="A914" s="11">
        <v>101060401</v>
      </c>
      <c r="B914" s="11" t="s">
        <v>34</v>
      </c>
      <c r="C914" s="41">
        <v>44895</v>
      </c>
      <c r="D914" s="41">
        <v>44895</v>
      </c>
      <c r="E914" s="11" t="s">
        <v>42</v>
      </c>
      <c r="F914" s="11" t="s">
        <v>2094</v>
      </c>
      <c r="G914" s="11">
        <v>109543</v>
      </c>
      <c r="H914" s="11" t="s">
        <v>47</v>
      </c>
      <c r="J914" s="11" t="s">
        <v>38</v>
      </c>
      <c r="K914" s="11">
        <v>51010101</v>
      </c>
      <c r="L914" s="11" t="s">
        <v>48</v>
      </c>
      <c r="M914" s="11"/>
      <c r="N914" s="11">
        <v>157.49</v>
      </c>
      <c r="O914" s="42">
        <v>-157.49</v>
      </c>
      <c r="P914" s="43" t="s">
        <v>4489</v>
      </c>
      <c r="Q914" s="11">
        <v>1301172.96</v>
      </c>
      <c r="R914" s="11" t="s">
        <v>2095</v>
      </c>
      <c r="S914" s="11" t="s">
        <v>40</v>
      </c>
      <c r="T914" s="11">
        <v>0</v>
      </c>
      <c r="V914" s="11" t="s">
        <v>41</v>
      </c>
    </row>
    <row r="915" spans="1:22" x14ac:dyDescent="0.25">
      <c r="A915" s="11">
        <v>101060401</v>
      </c>
      <c r="B915" s="11" t="s">
        <v>34</v>
      </c>
      <c r="C915" s="41">
        <v>44895</v>
      </c>
      <c r="D915" s="41">
        <v>44895</v>
      </c>
      <c r="E915" s="11" t="s">
        <v>36</v>
      </c>
      <c r="F915" s="11" t="s">
        <v>2096</v>
      </c>
      <c r="G915" s="11">
        <v>109547</v>
      </c>
      <c r="H915" s="11" t="s">
        <v>92</v>
      </c>
      <c r="K915" s="11">
        <v>201040506</v>
      </c>
      <c r="L915" s="11" t="s">
        <v>46</v>
      </c>
      <c r="M915" s="11">
        <v>210</v>
      </c>
      <c r="N915" s="11"/>
      <c r="O915" s="42">
        <v>210</v>
      </c>
      <c r="P915" s="43" t="s">
        <v>4480</v>
      </c>
      <c r="Q915" s="11">
        <v>1301382.96</v>
      </c>
      <c r="R915" s="11" t="s">
        <v>2097</v>
      </c>
      <c r="S915" s="11" t="s">
        <v>40</v>
      </c>
      <c r="T915" s="11">
        <v>0</v>
      </c>
    </row>
    <row r="916" spans="1:22" x14ac:dyDescent="0.25">
      <c r="A916" s="11">
        <v>101060401</v>
      </c>
      <c r="B916" s="11" t="s">
        <v>34</v>
      </c>
      <c r="C916" s="41">
        <v>44895</v>
      </c>
      <c r="D916" s="41">
        <v>44895</v>
      </c>
      <c r="E916" s="11" t="s">
        <v>36</v>
      </c>
      <c r="F916" s="11" t="s">
        <v>2098</v>
      </c>
      <c r="G916" s="11">
        <v>109548</v>
      </c>
      <c r="H916" s="11" t="s">
        <v>92</v>
      </c>
      <c r="K916" s="11">
        <v>201040506</v>
      </c>
      <c r="L916" s="11" t="s">
        <v>46</v>
      </c>
      <c r="M916" s="11">
        <v>891</v>
      </c>
      <c r="N916" s="11"/>
      <c r="O916" s="42">
        <v>891</v>
      </c>
      <c r="P916" s="43" t="s">
        <v>4480</v>
      </c>
      <c r="Q916" s="11">
        <v>1302273.96</v>
      </c>
      <c r="R916" s="11" t="s">
        <v>2099</v>
      </c>
      <c r="S916" s="11" t="s">
        <v>40</v>
      </c>
      <c r="T916" s="11">
        <v>0</v>
      </c>
    </row>
    <row r="917" spans="1:22" x14ac:dyDescent="0.25">
      <c r="A917" s="11">
        <v>101060401</v>
      </c>
      <c r="B917" s="11" t="s">
        <v>34</v>
      </c>
      <c r="C917" s="41">
        <v>44895</v>
      </c>
      <c r="D917" s="41">
        <v>44895</v>
      </c>
      <c r="E917" s="11" t="s">
        <v>42</v>
      </c>
      <c r="F917" s="11" t="s">
        <v>2100</v>
      </c>
      <c r="G917" s="11">
        <v>109549</v>
      </c>
      <c r="H917" s="11" t="s">
        <v>47</v>
      </c>
      <c r="J917" s="11" t="s">
        <v>38</v>
      </c>
      <c r="K917" s="11">
        <v>51010101</v>
      </c>
      <c r="L917" s="11" t="s">
        <v>48</v>
      </c>
      <c r="M917" s="11"/>
      <c r="N917" s="11">
        <v>210</v>
      </c>
      <c r="O917" s="42">
        <v>-210</v>
      </c>
      <c r="P917" s="43" t="s">
        <v>4489</v>
      </c>
      <c r="Q917" s="11">
        <v>1302063.96</v>
      </c>
      <c r="R917" s="11" t="s">
        <v>2101</v>
      </c>
      <c r="S917" s="11" t="s">
        <v>40</v>
      </c>
      <c r="T917" s="11">
        <v>0</v>
      </c>
      <c r="V917" s="11" t="s">
        <v>41</v>
      </c>
    </row>
    <row r="918" spans="1:22" x14ac:dyDescent="0.25">
      <c r="A918" s="11">
        <v>101060401</v>
      </c>
      <c r="B918" s="11" t="s">
        <v>34</v>
      </c>
      <c r="C918" s="41">
        <v>44895</v>
      </c>
      <c r="D918" s="41">
        <v>44895</v>
      </c>
      <c r="E918" s="11" t="s">
        <v>42</v>
      </c>
      <c r="F918" s="11" t="s">
        <v>2102</v>
      </c>
      <c r="G918" s="11">
        <v>109550</v>
      </c>
      <c r="H918" s="11" t="s">
        <v>93</v>
      </c>
      <c r="J918" s="11" t="s">
        <v>38</v>
      </c>
      <c r="K918" s="11">
        <v>51010101</v>
      </c>
      <c r="L918" s="11" t="s">
        <v>48</v>
      </c>
      <c r="M918" s="11"/>
      <c r="N918" s="11">
        <v>593.12</v>
      </c>
      <c r="O918" s="42">
        <v>-593.12</v>
      </c>
      <c r="P918" s="43" t="s">
        <v>4489</v>
      </c>
      <c r="Q918" s="11">
        <v>1301470.8400000001</v>
      </c>
      <c r="R918" s="11" t="s">
        <v>2103</v>
      </c>
      <c r="S918" s="11" t="s">
        <v>40</v>
      </c>
      <c r="T918" s="11">
        <v>0</v>
      </c>
      <c r="V918" s="11" t="s">
        <v>41</v>
      </c>
    </row>
    <row r="919" spans="1:22" x14ac:dyDescent="0.25">
      <c r="A919" s="11">
        <v>101060401</v>
      </c>
      <c r="B919" s="11" t="s">
        <v>34</v>
      </c>
      <c r="C919" s="41">
        <v>44895</v>
      </c>
      <c r="D919" s="41">
        <v>44895</v>
      </c>
      <c r="E919" s="11" t="s">
        <v>42</v>
      </c>
      <c r="F919" s="11" t="s">
        <v>2104</v>
      </c>
      <c r="G919" s="11">
        <v>109551</v>
      </c>
      <c r="H919" s="11" t="s">
        <v>47</v>
      </c>
      <c r="J919" s="11" t="s">
        <v>38</v>
      </c>
      <c r="K919" s="11">
        <v>51010101</v>
      </c>
      <c r="L919" s="11" t="s">
        <v>48</v>
      </c>
      <c r="M919" s="11"/>
      <c r="N919" s="11">
        <v>742.5</v>
      </c>
      <c r="O919" s="42">
        <v>-742.5</v>
      </c>
      <c r="P919" s="43" t="s">
        <v>4489</v>
      </c>
      <c r="Q919" s="11">
        <v>1300728.3400000001</v>
      </c>
      <c r="R919" s="11" t="s">
        <v>2105</v>
      </c>
      <c r="S919" s="11" t="s">
        <v>40</v>
      </c>
      <c r="T919" s="11">
        <v>0</v>
      </c>
      <c r="V919" s="11" t="s">
        <v>41</v>
      </c>
    </row>
    <row r="920" spans="1:22" x14ac:dyDescent="0.25">
      <c r="A920" s="11">
        <v>101060401</v>
      </c>
      <c r="B920" s="11" t="s">
        <v>34</v>
      </c>
      <c r="C920" s="41">
        <v>44895</v>
      </c>
      <c r="D920" s="41">
        <v>44895</v>
      </c>
      <c r="E920" s="11" t="s">
        <v>42</v>
      </c>
      <c r="F920" s="11" t="s">
        <v>2106</v>
      </c>
      <c r="G920" s="11">
        <v>109552</v>
      </c>
      <c r="H920" s="11" t="s">
        <v>47</v>
      </c>
      <c r="J920" s="11" t="s">
        <v>38</v>
      </c>
      <c r="K920" s="11">
        <v>51010101</v>
      </c>
      <c r="L920" s="11" t="s">
        <v>48</v>
      </c>
      <c r="M920" s="11"/>
      <c r="N920" s="11">
        <v>148.5</v>
      </c>
      <c r="O920" s="42">
        <v>-148.5</v>
      </c>
      <c r="P920" s="43" t="s">
        <v>4489</v>
      </c>
      <c r="Q920" s="11">
        <v>1300579.8400000001</v>
      </c>
      <c r="R920" s="11" t="s">
        <v>2107</v>
      </c>
      <c r="S920" s="11" t="s">
        <v>40</v>
      </c>
      <c r="T920" s="11">
        <v>0</v>
      </c>
      <c r="V920" s="11" t="s">
        <v>41</v>
      </c>
    </row>
    <row r="921" spans="1:22" x14ac:dyDescent="0.25">
      <c r="A921" s="11">
        <v>101060401</v>
      </c>
      <c r="B921" s="11" t="s">
        <v>34</v>
      </c>
      <c r="C921" s="41">
        <v>44895</v>
      </c>
      <c r="D921" s="41">
        <v>44895</v>
      </c>
      <c r="E921" s="11" t="s">
        <v>42</v>
      </c>
      <c r="F921" s="11" t="s">
        <v>2108</v>
      </c>
      <c r="G921" s="11">
        <v>109555</v>
      </c>
      <c r="H921" s="11" t="s">
        <v>57</v>
      </c>
      <c r="K921" s="11">
        <v>101060409</v>
      </c>
      <c r="L921" s="11" t="s">
        <v>128</v>
      </c>
      <c r="M921" s="11">
        <v>41.76</v>
      </c>
      <c r="N921" s="11"/>
      <c r="O921" s="42">
        <v>41.76</v>
      </c>
      <c r="P921" s="43" t="s">
        <v>4481</v>
      </c>
      <c r="Q921" s="11">
        <v>1300621.6000000001</v>
      </c>
      <c r="R921" s="11" t="s">
        <v>2109</v>
      </c>
      <c r="S921" s="11" t="s">
        <v>106</v>
      </c>
      <c r="T921" s="11">
        <v>0</v>
      </c>
    </row>
    <row r="922" spans="1:22" x14ac:dyDescent="0.25">
      <c r="A922" s="11">
        <v>101060401</v>
      </c>
      <c r="B922" s="11" t="s">
        <v>34</v>
      </c>
      <c r="C922" s="41">
        <v>44895</v>
      </c>
      <c r="D922" s="41">
        <v>44895</v>
      </c>
      <c r="E922" s="11" t="s">
        <v>42</v>
      </c>
      <c r="F922" s="11" t="s">
        <v>2110</v>
      </c>
      <c r="G922" s="11">
        <v>109556</v>
      </c>
      <c r="H922" s="11" t="s">
        <v>50</v>
      </c>
      <c r="J922" s="11" t="s">
        <v>38</v>
      </c>
      <c r="K922" s="11">
        <v>51010101</v>
      </c>
      <c r="L922" s="11" t="s">
        <v>48</v>
      </c>
      <c r="M922" s="11"/>
      <c r="N922" s="11">
        <v>106.91</v>
      </c>
      <c r="O922" s="42">
        <v>-106.91</v>
      </c>
      <c r="P922" s="43" t="s">
        <v>4489</v>
      </c>
      <c r="Q922" s="11">
        <v>1300514.69</v>
      </c>
      <c r="R922" s="11" t="s">
        <v>224</v>
      </c>
      <c r="S922" s="11" t="s">
        <v>40</v>
      </c>
      <c r="T922" s="11">
        <v>0</v>
      </c>
      <c r="V922" s="11" t="s">
        <v>41</v>
      </c>
    </row>
    <row r="923" spans="1:22" x14ac:dyDescent="0.25">
      <c r="A923" s="11">
        <v>101060401</v>
      </c>
      <c r="B923" s="11" t="s">
        <v>34</v>
      </c>
      <c r="C923" s="41">
        <v>44895</v>
      </c>
      <c r="D923" s="41">
        <v>44895</v>
      </c>
      <c r="E923" s="11" t="s">
        <v>42</v>
      </c>
      <c r="F923" s="11" t="s">
        <v>2111</v>
      </c>
      <c r="G923" s="11">
        <v>109557</v>
      </c>
      <c r="H923" s="11" t="s">
        <v>279</v>
      </c>
      <c r="J923" s="11" t="s">
        <v>38</v>
      </c>
      <c r="K923" s="11">
        <v>51010101</v>
      </c>
      <c r="L923" s="11" t="s">
        <v>48</v>
      </c>
      <c r="M923" s="11"/>
      <c r="N923" s="11">
        <v>315.33999999999997</v>
      </c>
      <c r="O923" s="42">
        <v>-315.33999999999997</v>
      </c>
      <c r="P923" s="43" t="s">
        <v>4489</v>
      </c>
      <c r="Q923" s="11">
        <v>1300199.3500000001</v>
      </c>
      <c r="R923" s="11" t="s">
        <v>2112</v>
      </c>
      <c r="S923" s="11" t="s">
        <v>40</v>
      </c>
      <c r="T923" s="11">
        <v>0</v>
      </c>
      <c r="V923" s="11" t="s">
        <v>41</v>
      </c>
    </row>
    <row r="924" spans="1:22" x14ac:dyDescent="0.25">
      <c r="A924" s="11">
        <v>101060401</v>
      </c>
      <c r="B924" s="11" t="s">
        <v>34</v>
      </c>
      <c r="C924" s="41">
        <v>44895</v>
      </c>
      <c r="D924" s="41">
        <v>44895</v>
      </c>
      <c r="E924" s="11" t="s">
        <v>42</v>
      </c>
      <c r="F924" s="11" t="s">
        <v>2113</v>
      </c>
      <c r="G924" s="11">
        <v>109559</v>
      </c>
      <c r="H924" s="11" t="s">
        <v>279</v>
      </c>
      <c r="J924" s="11" t="s">
        <v>38</v>
      </c>
      <c r="K924" s="11">
        <v>51010101</v>
      </c>
      <c r="L924" s="11" t="s">
        <v>48</v>
      </c>
      <c r="M924" s="11"/>
      <c r="N924" s="11">
        <v>137.88999999999999</v>
      </c>
      <c r="O924" s="42">
        <v>-137.88999999999999</v>
      </c>
      <c r="P924" s="43" t="s">
        <v>4489</v>
      </c>
      <c r="Q924" s="11">
        <v>1300061.46</v>
      </c>
      <c r="R924" s="11" t="s">
        <v>2114</v>
      </c>
      <c r="S924" s="11" t="s">
        <v>40</v>
      </c>
      <c r="T924" s="11">
        <v>0</v>
      </c>
      <c r="V924" s="11" t="s">
        <v>41</v>
      </c>
    </row>
    <row r="925" spans="1:22" x14ac:dyDescent="0.25">
      <c r="A925" s="11">
        <v>101060401</v>
      </c>
      <c r="B925" s="11" t="s">
        <v>34</v>
      </c>
      <c r="C925" s="41">
        <v>44895</v>
      </c>
      <c r="D925" s="41">
        <v>44895</v>
      </c>
      <c r="E925" s="11" t="s">
        <v>42</v>
      </c>
      <c r="F925" s="11" t="s">
        <v>2115</v>
      </c>
      <c r="G925" s="11">
        <v>110427</v>
      </c>
      <c r="H925" s="11" t="s">
        <v>2116</v>
      </c>
      <c r="J925" s="11" t="s">
        <v>38</v>
      </c>
      <c r="K925" s="11">
        <v>51010101</v>
      </c>
      <c r="L925" s="11" t="s">
        <v>48</v>
      </c>
      <c r="M925" s="11">
        <v>710.68</v>
      </c>
      <c r="N925" s="11"/>
      <c r="O925" s="42">
        <v>710.68</v>
      </c>
      <c r="P925" s="43" t="s">
        <v>4489</v>
      </c>
      <c r="Q925" s="11">
        <v>1300772.1399999999</v>
      </c>
      <c r="R925" s="11" t="s">
        <v>2117</v>
      </c>
      <c r="S925" s="11" t="s">
        <v>40</v>
      </c>
      <c r="T925" s="11">
        <v>0</v>
      </c>
      <c r="V925" s="11" t="s">
        <v>41</v>
      </c>
    </row>
    <row r="926" spans="1:22" x14ac:dyDescent="0.25">
      <c r="A926" s="11">
        <v>101060401</v>
      </c>
      <c r="B926" s="11" t="s">
        <v>34</v>
      </c>
      <c r="C926" s="41">
        <v>44896</v>
      </c>
      <c r="D926" s="41">
        <v>44896</v>
      </c>
      <c r="E926" s="11" t="s">
        <v>42</v>
      </c>
      <c r="F926" s="11" t="s">
        <v>2118</v>
      </c>
      <c r="G926" s="11">
        <v>109564</v>
      </c>
      <c r="H926" s="11" t="s">
        <v>53</v>
      </c>
      <c r="J926" s="11" t="s">
        <v>38</v>
      </c>
      <c r="K926" s="11">
        <v>51010101</v>
      </c>
      <c r="L926" s="11" t="s">
        <v>48</v>
      </c>
      <c r="M926" s="11"/>
      <c r="N926" s="11">
        <v>363.88</v>
      </c>
      <c r="O926" s="42">
        <v>-363.88</v>
      </c>
      <c r="P926" s="43" t="s">
        <v>4489</v>
      </c>
      <c r="Q926" s="11">
        <v>1300408.26</v>
      </c>
      <c r="R926" s="11" t="s">
        <v>2119</v>
      </c>
      <c r="S926" s="11" t="s">
        <v>40</v>
      </c>
      <c r="T926" s="11">
        <v>0</v>
      </c>
      <c r="V926" s="11" t="s">
        <v>41</v>
      </c>
    </row>
    <row r="927" spans="1:22" x14ac:dyDescent="0.25">
      <c r="A927" s="11">
        <v>101060401</v>
      </c>
      <c r="B927" s="11" t="s">
        <v>34</v>
      </c>
      <c r="C927" s="41">
        <v>44896</v>
      </c>
      <c r="D927" s="41">
        <v>44896</v>
      </c>
      <c r="E927" s="11" t="s">
        <v>42</v>
      </c>
      <c r="F927" s="11" t="s">
        <v>2120</v>
      </c>
      <c r="G927" s="11">
        <v>109566</v>
      </c>
      <c r="H927" s="11" t="s">
        <v>56</v>
      </c>
      <c r="J927" s="11" t="s">
        <v>38</v>
      </c>
      <c r="K927" s="11">
        <v>51010101</v>
      </c>
      <c r="L927" s="11" t="s">
        <v>48</v>
      </c>
      <c r="M927" s="11"/>
      <c r="N927" s="11">
        <v>690.13</v>
      </c>
      <c r="O927" s="42">
        <v>-690.13</v>
      </c>
      <c r="P927" s="43" t="s">
        <v>4489</v>
      </c>
      <c r="Q927" s="11">
        <v>1299718.1299999999</v>
      </c>
      <c r="R927" s="11" t="s">
        <v>2121</v>
      </c>
      <c r="S927" s="11" t="s">
        <v>40</v>
      </c>
      <c r="T927" s="11">
        <v>0</v>
      </c>
      <c r="V927" s="11" t="s">
        <v>41</v>
      </c>
    </row>
    <row r="928" spans="1:22" x14ac:dyDescent="0.25">
      <c r="A928" s="11">
        <v>101060401</v>
      </c>
      <c r="B928" s="11" t="s">
        <v>34</v>
      </c>
      <c r="C928" s="41">
        <v>44896</v>
      </c>
      <c r="D928" s="41">
        <v>44896</v>
      </c>
      <c r="E928" s="11" t="s">
        <v>36</v>
      </c>
      <c r="F928" s="11" t="s">
        <v>2122</v>
      </c>
      <c r="G928" s="11">
        <v>109568</v>
      </c>
      <c r="H928" s="11" t="s">
        <v>154</v>
      </c>
      <c r="K928" s="11">
        <v>201040506</v>
      </c>
      <c r="L928" s="11" t="s">
        <v>46</v>
      </c>
      <c r="M928" s="11">
        <v>4456.08</v>
      </c>
      <c r="N928" s="11"/>
      <c r="O928" s="42">
        <v>4456.08</v>
      </c>
      <c r="P928" s="43" t="s">
        <v>4480</v>
      </c>
      <c r="Q928" s="11">
        <v>1304174.21</v>
      </c>
      <c r="R928" s="11" t="s">
        <v>2123</v>
      </c>
      <c r="S928" s="11" t="s">
        <v>40</v>
      </c>
      <c r="T928" s="11">
        <v>0</v>
      </c>
    </row>
    <row r="929" spans="1:22" x14ac:dyDescent="0.25">
      <c r="A929" s="11">
        <v>101060401</v>
      </c>
      <c r="B929" s="11" t="s">
        <v>34</v>
      </c>
      <c r="C929" s="41">
        <v>44896</v>
      </c>
      <c r="D929" s="41">
        <v>44896</v>
      </c>
      <c r="E929" s="11" t="s">
        <v>42</v>
      </c>
      <c r="F929" s="11" t="s">
        <v>2124</v>
      </c>
      <c r="G929" s="11">
        <v>109572</v>
      </c>
      <c r="H929" s="11" t="s">
        <v>187</v>
      </c>
      <c r="J929" s="11" t="s">
        <v>38</v>
      </c>
      <c r="K929" s="11">
        <v>51010101</v>
      </c>
      <c r="L929" s="11" t="s">
        <v>48</v>
      </c>
      <c r="M929" s="11"/>
      <c r="N929" s="11">
        <v>34.799999999999997</v>
      </c>
      <c r="O929" s="42">
        <v>-34.799999999999997</v>
      </c>
      <c r="P929" s="43" t="s">
        <v>4489</v>
      </c>
      <c r="Q929" s="11">
        <v>1304139.4099999999</v>
      </c>
      <c r="R929" s="11" t="s">
        <v>2125</v>
      </c>
      <c r="S929" s="11" t="s">
        <v>40</v>
      </c>
      <c r="T929" s="11">
        <v>0</v>
      </c>
      <c r="V929" s="11" t="s">
        <v>41</v>
      </c>
    </row>
    <row r="930" spans="1:22" x14ac:dyDescent="0.25">
      <c r="A930" s="11">
        <v>101060401</v>
      </c>
      <c r="B930" s="11" t="s">
        <v>34</v>
      </c>
      <c r="C930" s="41">
        <v>44896</v>
      </c>
      <c r="D930" s="41">
        <v>44896</v>
      </c>
      <c r="E930" s="11" t="s">
        <v>42</v>
      </c>
      <c r="F930" s="11" t="s">
        <v>2126</v>
      </c>
      <c r="G930" s="11">
        <v>109575</v>
      </c>
      <c r="H930" s="11" t="s">
        <v>2127</v>
      </c>
      <c r="J930" s="11" t="s">
        <v>240</v>
      </c>
      <c r="K930" s="11" t="s">
        <v>2128</v>
      </c>
      <c r="L930" s="11" t="s">
        <v>2129</v>
      </c>
      <c r="M930" s="11">
        <v>42.4</v>
      </c>
      <c r="N930" s="11"/>
      <c r="O930" s="42">
        <v>42.4</v>
      </c>
      <c r="P930" s="43" t="s">
        <v>4488</v>
      </c>
      <c r="Q930" s="11">
        <v>1304181.81</v>
      </c>
      <c r="R930" s="11" t="s">
        <v>1156</v>
      </c>
      <c r="S930" s="11" t="s">
        <v>69</v>
      </c>
      <c r="T930" s="11">
        <v>0</v>
      </c>
      <c r="V930" s="11" t="s">
        <v>241</v>
      </c>
    </row>
    <row r="931" spans="1:22" x14ac:dyDescent="0.25">
      <c r="A931" s="11">
        <v>101060401</v>
      </c>
      <c r="B931" s="11" t="s">
        <v>34</v>
      </c>
      <c r="C931" s="41">
        <v>44896</v>
      </c>
      <c r="D931" s="41">
        <v>44896</v>
      </c>
      <c r="E931" s="11" t="s">
        <v>42</v>
      </c>
      <c r="F931" s="11" t="s">
        <v>2130</v>
      </c>
      <c r="G931" s="11">
        <v>109581</v>
      </c>
      <c r="H931" s="11" t="s">
        <v>53</v>
      </c>
      <c r="J931" s="11" t="s">
        <v>38</v>
      </c>
      <c r="K931" s="11">
        <v>51010101</v>
      </c>
      <c r="L931" s="11" t="s">
        <v>48</v>
      </c>
      <c r="M931" s="11"/>
      <c r="N931" s="11">
        <v>579.65</v>
      </c>
      <c r="O931" s="42">
        <v>-579.65</v>
      </c>
      <c r="P931" s="43" t="s">
        <v>4489</v>
      </c>
      <c r="Q931" s="11">
        <v>1303602.1599999999</v>
      </c>
      <c r="R931" s="11" t="s">
        <v>2131</v>
      </c>
      <c r="S931" s="11" t="s">
        <v>40</v>
      </c>
      <c r="T931" s="11">
        <v>0</v>
      </c>
      <c r="V931" s="11" t="s">
        <v>41</v>
      </c>
    </row>
    <row r="932" spans="1:22" x14ac:dyDescent="0.25">
      <c r="A932" s="11">
        <v>101060401</v>
      </c>
      <c r="B932" s="11" t="s">
        <v>34</v>
      </c>
      <c r="C932" s="41">
        <v>44896</v>
      </c>
      <c r="D932" s="41">
        <v>44896</v>
      </c>
      <c r="E932" s="11" t="s">
        <v>42</v>
      </c>
      <c r="F932" s="11" t="s">
        <v>2132</v>
      </c>
      <c r="G932" s="11">
        <v>109584</v>
      </c>
      <c r="H932" s="11" t="s">
        <v>53</v>
      </c>
      <c r="J932" s="11" t="s">
        <v>38</v>
      </c>
      <c r="K932" s="11">
        <v>51010101</v>
      </c>
      <c r="L932" s="11" t="s">
        <v>48</v>
      </c>
      <c r="M932" s="11"/>
      <c r="N932" s="11">
        <v>41.76</v>
      </c>
      <c r="O932" s="42">
        <v>-41.76</v>
      </c>
      <c r="P932" s="43" t="s">
        <v>4489</v>
      </c>
      <c r="Q932" s="11">
        <v>1303560.3999999999</v>
      </c>
      <c r="R932" s="11" t="s">
        <v>2133</v>
      </c>
      <c r="S932" s="11" t="s">
        <v>40</v>
      </c>
      <c r="T932" s="11">
        <v>0</v>
      </c>
      <c r="V932" s="11" t="s">
        <v>41</v>
      </c>
    </row>
    <row r="933" spans="1:22" x14ac:dyDescent="0.25">
      <c r="A933" s="11">
        <v>101060401</v>
      </c>
      <c r="B933" s="11" t="s">
        <v>34</v>
      </c>
      <c r="C933" s="41">
        <v>44896</v>
      </c>
      <c r="D933" s="41">
        <v>44896</v>
      </c>
      <c r="E933" s="11" t="s">
        <v>42</v>
      </c>
      <c r="F933" s="11" t="s">
        <v>2134</v>
      </c>
      <c r="G933" s="11">
        <v>109606</v>
      </c>
      <c r="H933" s="11" t="s">
        <v>71</v>
      </c>
      <c r="J933" s="11" t="s">
        <v>38</v>
      </c>
      <c r="K933" s="11">
        <v>51010101</v>
      </c>
      <c r="L933" s="11" t="s">
        <v>48</v>
      </c>
      <c r="M933" s="11"/>
      <c r="N933" s="11">
        <v>31.09</v>
      </c>
      <c r="O933" s="42">
        <v>-31.09</v>
      </c>
      <c r="P933" s="43" t="s">
        <v>4489</v>
      </c>
      <c r="Q933" s="11">
        <v>1303529.31</v>
      </c>
      <c r="R933" s="11" t="s">
        <v>2135</v>
      </c>
      <c r="S933" s="11" t="s">
        <v>40</v>
      </c>
      <c r="T933" s="11">
        <v>0</v>
      </c>
      <c r="V933" s="11" t="s">
        <v>41</v>
      </c>
    </row>
    <row r="934" spans="1:22" x14ac:dyDescent="0.25">
      <c r="A934" s="11">
        <v>101060401</v>
      </c>
      <c r="B934" s="11" t="s">
        <v>34</v>
      </c>
      <c r="C934" s="41">
        <v>44896</v>
      </c>
      <c r="D934" s="41">
        <v>44896</v>
      </c>
      <c r="E934" s="11" t="s">
        <v>42</v>
      </c>
      <c r="F934" s="11" t="s">
        <v>2136</v>
      </c>
      <c r="G934" s="11">
        <v>109607</v>
      </c>
      <c r="H934" s="11" t="s">
        <v>57</v>
      </c>
      <c r="K934" s="11">
        <v>101060402</v>
      </c>
      <c r="L934" s="11" t="s">
        <v>44</v>
      </c>
      <c r="M934" s="11"/>
      <c r="N934" s="11">
        <v>330.92</v>
      </c>
      <c r="O934" s="42">
        <v>-330.92</v>
      </c>
      <c r="P934" s="43" t="s">
        <v>4481</v>
      </c>
      <c r="Q934" s="11">
        <v>1303198.3899999999</v>
      </c>
      <c r="R934" s="11" t="s">
        <v>2137</v>
      </c>
      <c r="S934" s="11" t="s">
        <v>40</v>
      </c>
      <c r="T934" s="11">
        <v>0</v>
      </c>
    </row>
    <row r="935" spans="1:22" x14ac:dyDescent="0.25">
      <c r="A935" s="11">
        <v>101060401</v>
      </c>
      <c r="B935" s="11" t="s">
        <v>34</v>
      </c>
      <c r="C935" s="41">
        <v>44896</v>
      </c>
      <c r="D935" s="41">
        <v>44896</v>
      </c>
      <c r="E935" s="11" t="s">
        <v>42</v>
      </c>
      <c r="F935" s="11" t="s">
        <v>2138</v>
      </c>
      <c r="G935" s="11">
        <v>109609</v>
      </c>
      <c r="H935" s="11" t="s">
        <v>50</v>
      </c>
      <c r="J935" s="11" t="s">
        <v>38</v>
      </c>
      <c r="K935" s="11">
        <v>51010101</v>
      </c>
      <c r="L935" s="11" t="s">
        <v>48</v>
      </c>
      <c r="M935" s="11"/>
      <c r="N935" s="11">
        <v>97.52</v>
      </c>
      <c r="O935" s="42">
        <v>-97.52</v>
      </c>
      <c r="P935" s="43" t="s">
        <v>4489</v>
      </c>
      <c r="Q935" s="11">
        <v>1303100.8700000001</v>
      </c>
      <c r="R935" s="11" t="s">
        <v>2139</v>
      </c>
      <c r="S935" s="11" t="s">
        <v>40</v>
      </c>
      <c r="T935" s="11">
        <v>0</v>
      </c>
      <c r="V935" s="11" t="s">
        <v>41</v>
      </c>
    </row>
    <row r="936" spans="1:22" x14ac:dyDescent="0.25">
      <c r="A936" s="11">
        <v>101060401</v>
      </c>
      <c r="B936" s="11" t="s">
        <v>34</v>
      </c>
      <c r="C936" s="41">
        <v>44896</v>
      </c>
      <c r="D936" s="41">
        <v>44896</v>
      </c>
      <c r="E936" s="11" t="s">
        <v>42</v>
      </c>
      <c r="F936" s="11" t="s">
        <v>2140</v>
      </c>
      <c r="G936" s="11">
        <v>109616</v>
      </c>
      <c r="H936" s="11" t="s">
        <v>57</v>
      </c>
      <c r="K936" s="11">
        <v>101060408</v>
      </c>
      <c r="L936" s="11" t="s">
        <v>82</v>
      </c>
      <c r="M936" s="11">
        <v>171273.89</v>
      </c>
      <c r="N936" s="11"/>
      <c r="O936" s="42">
        <v>171273.89</v>
      </c>
      <c r="P936" s="43" t="s">
        <v>4481</v>
      </c>
      <c r="Q936" s="11">
        <v>1474374.76</v>
      </c>
      <c r="R936" s="11" t="s">
        <v>2141</v>
      </c>
      <c r="S936" s="11" t="s">
        <v>40</v>
      </c>
      <c r="T936" s="11">
        <v>0</v>
      </c>
    </row>
    <row r="937" spans="1:22" x14ac:dyDescent="0.25">
      <c r="A937" s="11">
        <v>101060401</v>
      </c>
      <c r="B937" s="11" t="s">
        <v>34</v>
      </c>
      <c r="C937" s="41">
        <v>44896</v>
      </c>
      <c r="D937" s="41">
        <v>44896</v>
      </c>
      <c r="E937" s="11" t="s">
        <v>42</v>
      </c>
      <c r="F937" s="11" t="s">
        <v>2142</v>
      </c>
      <c r="G937" s="11">
        <v>109619</v>
      </c>
      <c r="H937" s="11" t="s">
        <v>57</v>
      </c>
      <c r="K937" s="11">
        <v>101060402</v>
      </c>
      <c r="L937" s="11" t="s">
        <v>44</v>
      </c>
      <c r="M937" s="11"/>
      <c r="N937" s="11">
        <v>284196.21000000002</v>
      </c>
      <c r="O937" s="42">
        <v>-284196.21000000002</v>
      </c>
      <c r="P937" s="43" t="s">
        <v>4481</v>
      </c>
      <c r="Q937" s="11">
        <v>1190178.55</v>
      </c>
      <c r="R937" s="11" t="s">
        <v>2143</v>
      </c>
      <c r="S937" s="11" t="s">
        <v>40</v>
      </c>
      <c r="T937" s="11">
        <v>0</v>
      </c>
    </row>
    <row r="938" spans="1:22" x14ac:dyDescent="0.25">
      <c r="A938" s="11">
        <v>101060401</v>
      </c>
      <c r="B938" s="11" t="s">
        <v>34</v>
      </c>
      <c r="C938" s="41">
        <v>44896</v>
      </c>
      <c r="D938" s="41">
        <v>44896</v>
      </c>
      <c r="E938" s="11" t="s">
        <v>42</v>
      </c>
      <c r="F938" s="11" t="s">
        <v>2144</v>
      </c>
      <c r="G938" s="11">
        <v>109620</v>
      </c>
      <c r="H938" s="11" t="s">
        <v>43</v>
      </c>
      <c r="K938" s="11">
        <v>101060402</v>
      </c>
      <c r="L938" s="11" t="s">
        <v>44</v>
      </c>
      <c r="M938" s="11">
        <v>283426.08</v>
      </c>
      <c r="N938" s="11"/>
      <c r="O938" s="42">
        <v>283426.08</v>
      </c>
      <c r="P938" s="43" t="s">
        <v>4481</v>
      </c>
      <c r="Q938" s="11">
        <v>1473604.63</v>
      </c>
      <c r="R938" s="11" t="s">
        <v>2145</v>
      </c>
      <c r="S938" s="11" t="s">
        <v>40</v>
      </c>
      <c r="T938" s="11">
        <v>0</v>
      </c>
    </row>
    <row r="939" spans="1:22" x14ac:dyDescent="0.25">
      <c r="A939" s="11">
        <v>101060401</v>
      </c>
      <c r="B939" s="11" t="s">
        <v>34</v>
      </c>
      <c r="C939" s="41">
        <v>44896</v>
      </c>
      <c r="D939" s="41">
        <v>44896</v>
      </c>
      <c r="E939" s="11" t="s">
        <v>36</v>
      </c>
      <c r="F939" s="11" t="s">
        <v>2146</v>
      </c>
      <c r="G939" s="11">
        <v>109622</v>
      </c>
      <c r="H939" s="11" t="s">
        <v>52</v>
      </c>
      <c r="K939" s="11">
        <v>201040506</v>
      </c>
      <c r="L939" s="11" t="s">
        <v>46</v>
      </c>
      <c r="M939" s="11">
        <v>43.52</v>
      </c>
      <c r="N939" s="11"/>
      <c r="O939" s="42">
        <v>43.52</v>
      </c>
      <c r="P939" s="43" t="s">
        <v>4480</v>
      </c>
      <c r="Q939" s="11">
        <v>1473648.15</v>
      </c>
      <c r="R939" s="11" t="s">
        <v>1972</v>
      </c>
      <c r="S939" s="11" t="s">
        <v>40</v>
      </c>
      <c r="T939" s="11">
        <v>0</v>
      </c>
    </row>
    <row r="940" spans="1:22" x14ac:dyDescent="0.25">
      <c r="A940" s="11">
        <v>101060401</v>
      </c>
      <c r="B940" s="11" t="s">
        <v>34</v>
      </c>
      <c r="C940" s="41">
        <v>44896</v>
      </c>
      <c r="D940" s="41">
        <v>44896</v>
      </c>
      <c r="E940" s="11" t="s">
        <v>36</v>
      </c>
      <c r="F940" s="11" t="s">
        <v>2147</v>
      </c>
      <c r="G940" s="11">
        <v>109623</v>
      </c>
      <c r="H940" s="11" t="s">
        <v>52</v>
      </c>
      <c r="K940" s="11">
        <v>201040506</v>
      </c>
      <c r="L940" s="11" t="s">
        <v>46</v>
      </c>
      <c r="M940" s="11">
        <v>226.1</v>
      </c>
      <c r="N940" s="11"/>
      <c r="O940" s="42">
        <v>226.1</v>
      </c>
      <c r="P940" s="43" t="s">
        <v>4480</v>
      </c>
      <c r="Q940" s="11">
        <v>1473874.25</v>
      </c>
      <c r="R940" s="11" t="s">
        <v>2148</v>
      </c>
      <c r="S940" s="11" t="s">
        <v>40</v>
      </c>
      <c r="T940" s="11">
        <v>0</v>
      </c>
    </row>
    <row r="941" spans="1:22" x14ac:dyDescent="0.25">
      <c r="A941" s="11">
        <v>101060401</v>
      </c>
      <c r="B941" s="11" t="s">
        <v>34</v>
      </c>
      <c r="C941" s="41">
        <v>44896</v>
      </c>
      <c r="D941" s="41">
        <v>44896</v>
      </c>
      <c r="E941" s="11" t="s">
        <v>36</v>
      </c>
      <c r="F941" s="11" t="s">
        <v>2149</v>
      </c>
      <c r="G941" s="11">
        <v>109624</v>
      </c>
      <c r="H941" s="11" t="s">
        <v>52</v>
      </c>
      <c r="K941" s="11">
        <v>201040506</v>
      </c>
      <c r="L941" s="11" t="s">
        <v>46</v>
      </c>
      <c r="M941" s="11">
        <v>109.56</v>
      </c>
      <c r="N941" s="11"/>
      <c r="O941" s="42">
        <v>109.56</v>
      </c>
      <c r="P941" s="43" t="s">
        <v>4480</v>
      </c>
      <c r="Q941" s="11">
        <v>1473983.81</v>
      </c>
      <c r="R941" s="11" t="s">
        <v>2150</v>
      </c>
      <c r="S941" s="11" t="s">
        <v>40</v>
      </c>
      <c r="T941" s="11">
        <v>0</v>
      </c>
    </row>
    <row r="942" spans="1:22" x14ac:dyDescent="0.25">
      <c r="A942" s="11">
        <v>101060401</v>
      </c>
      <c r="B942" s="11" t="s">
        <v>34</v>
      </c>
      <c r="C942" s="41">
        <v>44896</v>
      </c>
      <c r="D942" s="41">
        <v>44896</v>
      </c>
      <c r="E942" s="11" t="s">
        <v>42</v>
      </c>
      <c r="F942" s="11" t="s">
        <v>2151</v>
      </c>
      <c r="G942" s="11">
        <v>109625</v>
      </c>
      <c r="H942" s="11" t="s">
        <v>57</v>
      </c>
      <c r="K942" s="11">
        <v>101060402</v>
      </c>
      <c r="L942" s="11" t="s">
        <v>44</v>
      </c>
      <c r="M942" s="11"/>
      <c r="N942" s="11">
        <v>218.35</v>
      </c>
      <c r="O942" s="42">
        <v>-218.35</v>
      </c>
      <c r="P942" s="43" t="s">
        <v>4481</v>
      </c>
      <c r="Q942" s="11">
        <v>1473765.46</v>
      </c>
      <c r="R942" s="11" t="s">
        <v>2152</v>
      </c>
      <c r="S942" s="11" t="s">
        <v>40</v>
      </c>
      <c r="T942" s="11">
        <v>0</v>
      </c>
    </row>
    <row r="943" spans="1:22" x14ac:dyDescent="0.25">
      <c r="A943" s="11">
        <v>101060401</v>
      </c>
      <c r="B943" s="11" t="s">
        <v>34</v>
      </c>
      <c r="C943" s="41">
        <v>44896</v>
      </c>
      <c r="D943" s="41">
        <v>44896</v>
      </c>
      <c r="E943" s="11" t="s">
        <v>42</v>
      </c>
      <c r="F943" s="11" t="s">
        <v>2153</v>
      </c>
      <c r="G943" s="11">
        <v>109627</v>
      </c>
      <c r="H943" s="11" t="s">
        <v>47</v>
      </c>
      <c r="J943" s="11" t="s">
        <v>38</v>
      </c>
      <c r="K943" s="11">
        <v>51010101</v>
      </c>
      <c r="L943" s="11" t="s">
        <v>48</v>
      </c>
      <c r="M943" s="11"/>
      <c r="N943" s="11">
        <v>43.52</v>
      </c>
      <c r="O943" s="42">
        <v>-43.52</v>
      </c>
      <c r="P943" s="43" t="s">
        <v>4489</v>
      </c>
      <c r="Q943" s="11">
        <v>1473721.94</v>
      </c>
      <c r="R943" s="11" t="s">
        <v>1981</v>
      </c>
      <c r="S943" s="11" t="s">
        <v>40</v>
      </c>
      <c r="T943" s="11">
        <v>0</v>
      </c>
      <c r="V943" s="11" t="s">
        <v>41</v>
      </c>
    </row>
    <row r="944" spans="1:22" x14ac:dyDescent="0.25">
      <c r="A944" s="11">
        <v>101060401</v>
      </c>
      <c r="B944" s="11" t="s">
        <v>34</v>
      </c>
      <c r="C944" s="41">
        <v>44896</v>
      </c>
      <c r="D944" s="41">
        <v>44896</v>
      </c>
      <c r="E944" s="11" t="s">
        <v>42</v>
      </c>
      <c r="F944" s="11" t="s">
        <v>2154</v>
      </c>
      <c r="G944" s="11">
        <v>109630</v>
      </c>
      <c r="H944" s="11" t="s">
        <v>47</v>
      </c>
      <c r="J944" s="11" t="s">
        <v>38</v>
      </c>
      <c r="K944" s="11">
        <v>51010101</v>
      </c>
      <c r="L944" s="11" t="s">
        <v>48</v>
      </c>
      <c r="M944" s="11"/>
      <c r="N944" s="11">
        <v>1093.82</v>
      </c>
      <c r="O944" s="42">
        <v>-1093.82</v>
      </c>
      <c r="P944" s="43" t="s">
        <v>4489</v>
      </c>
      <c r="Q944" s="11">
        <v>1472628.12</v>
      </c>
      <c r="R944" s="11" t="s">
        <v>2155</v>
      </c>
      <c r="S944" s="11" t="s">
        <v>40</v>
      </c>
      <c r="T944" s="11">
        <v>0</v>
      </c>
      <c r="V944" s="11" t="s">
        <v>41</v>
      </c>
    </row>
    <row r="945" spans="1:22" x14ac:dyDescent="0.25">
      <c r="A945" s="11">
        <v>101060401</v>
      </c>
      <c r="B945" s="11" t="s">
        <v>34</v>
      </c>
      <c r="C945" s="41">
        <v>44896</v>
      </c>
      <c r="D945" s="41">
        <v>44896</v>
      </c>
      <c r="E945" s="11" t="s">
        <v>42</v>
      </c>
      <c r="F945" s="11" t="s">
        <v>2156</v>
      </c>
      <c r="G945" s="11">
        <v>109632</v>
      </c>
      <c r="H945" s="11" t="s">
        <v>245</v>
      </c>
      <c r="J945" s="11" t="s">
        <v>38</v>
      </c>
      <c r="K945" s="11">
        <v>51010101</v>
      </c>
      <c r="L945" s="11" t="s">
        <v>48</v>
      </c>
      <c r="M945" s="11"/>
      <c r="N945" s="11">
        <v>282.18</v>
      </c>
      <c r="O945" s="42">
        <v>-282.18</v>
      </c>
      <c r="P945" s="43" t="s">
        <v>4489</v>
      </c>
      <c r="Q945" s="11">
        <v>1472345.94</v>
      </c>
      <c r="R945" s="11" t="s">
        <v>2157</v>
      </c>
      <c r="S945" s="11" t="s">
        <v>40</v>
      </c>
      <c r="T945" s="11">
        <v>0</v>
      </c>
      <c r="V945" s="11" t="s">
        <v>41</v>
      </c>
    </row>
    <row r="946" spans="1:22" x14ac:dyDescent="0.25">
      <c r="A946" s="11">
        <v>101060401</v>
      </c>
      <c r="B946" s="11" t="s">
        <v>34</v>
      </c>
      <c r="C946" s="41">
        <v>44896</v>
      </c>
      <c r="D946" s="41">
        <v>44896</v>
      </c>
      <c r="E946" s="11" t="s">
        <v>42</v>
      </c>
      <c r="F946" s="11" t="s">
        <v>2158</v>
      </c>
      <c r="G946" s="11">
        <v>110353</v>
      </c>
      <c r="H946" s="11" t="s">
        <v>2116</v>
      </c>
      <c r="J946" s="11" t="s">
        <v>38</v>
      </c>
      <c r="K946" s="11">
        <v>51010101</v>
      </c>
      <c r="L946" s="11" t="s">
        <v>48</v>
      </c>
      <c r="M946" s="11">
        <v>41.76</v>
      </c>
      <c r="N946" s="11"/>
      <c r="O946" s="42">
        <v>41.76</v>
      </c>
      <c r="P946" s="43" t="s">
        <v>4489</v>
      </c>
      <c r="Q946" s="11">
        <v>1472387.7</v>
      </c>
      <c r="R946" s="11" t="s">
        <v>2109</v>
      </c>
      <c r="S946" s="11" t="s">
        <v>40</v>
      </c>
      <c r="T946" s="11">
        <v>0</v>
      </c>
      <c r="V946" s="11" t="s">
        <v>41</v>
      </c>
    </row>
    <row r="947" spans="1:22" x14ac:dyDescent="0.25">
      <c r="A947" s="11">
        <v>101060401</v>
      </c>
      <c r="B947" s="11" t="s">
        <v>34</v>
      </c>
      <c r="C947" s="41">
        <v>44896</v>
      </c>
      <c r="D947" s="41">
        <v>44896</v>
      </c>
      <c r="E947" s="11" t="s">
        <v>42</v>
      </c>
      <c r="F947" s="11" t="s">
        <v>2159</v>
      </c>
      <c r="G947" s="11">
        <v>110430</v>
      </c>
      <c r="H947" s="11" t="s">
        <v>2116</v>
      </c>
      <c r="J947" s="11" t="s">
        <v>38</v>
      </c>
      <c r="K947" s="11">
        <v>51010101</v>
      </c>
      <c r="L947" s="11" t="s">
        <v>48</v>
      </c>
      <c r="M947" s="11">
        <v>363.88</v>
      </c>
      <c r="N947" s="11"/>
      <c r="O947" s="42">
        <v>363.88</v>
      </c>
      <c r="P947" s="43" t="s">
        <v>4489</v>
      </c>
      <c r="Q947" s="11">
        <v>1472751.58</v>
      </c>
      <c r="R947" s="11" t="s">
        <v>2084</v>
      </c>
      <c r="S947" s="11" t="s">
        <v>40</v>
      </c>
      <c r="T947" s="11">
        <v>0</v>
      </c>
      <c r="V947" s="11" t="s">
        <v>41</v>
      </c>
    </row>
    <row r="948" spans="1:22" x14ac:dyDescent="0.25">
      <c r="A948" s="11">
        <v>101060401</v>
      </c>
      <c r="B948" s="11" t="s">
        <v>34</v>
      </c>
      <c r="C948" s="41">
        <v>44896</v>
      </c>
      <c r="D948" s="41">
        <v>44896</v>
      </c>
      <c r="E948" s="11" t="s">
        <v>42</v>
      </c>
      <c r="F948" s="11" t="s">
        <v>2160</v>
      </c>
      <c r="G948" s="11">
        <v>110432</v>
      </c>
      <c r="H948" s="11" t="s">
        <v>2116</v>
      </c>
      <c r="J948" s="11" t="s">
        <v>38</v>
      </c>
      <c r="K948" s="11">
        <v>51010101</v>
      </c>
      <c r="L948" s="11" t="s">
        <v>48</v>
      </c>
      <c r="M948" s="11">
        <v>579.65</v>
      </c>
      <c r="N948" s="11"/>
      <c r="O948" s="42">
        <v>579.65</v>
      </c>
      <c r="P948" s="43" t="s">
        <v>4489</v>
      </c>
      <c r="Q948" s="11">
        <v>1473331.23</v>
      </c>
      <c r="R948" s="11" t="s">
        <v>2161</v>
      </c>
      <c r="S948" s="11" t="s">
        <v>40</v>
      </c>
      <c r="T948" s="11">
        <v>0</v>
      </c>
      <c r="V948" s="11" t="s">
        <v>41</v>
      </c>
    </row>
    <row r="949" spans="1:22" x14ac:dyDescent="0.25">
      <c r="A949" s="11">
        <v>101060401</v>
      </c>
      <c r="B949" s="11" t="s">
        <v>34</v>
      </c>
      <c r="C949" s="41">
        <v>44897</v>
      </c>
      <c r="D949" s="41">
        <v>44897</v>
      </c>
      <c r="E949" s="11" t="s">
        <v>36</v>
      </c>
      <c r="F949" s="11" t="s">
        <v>2162</v>
      </c>
      <c r="G949" s="11">
        <v>109642</v>
      </c>
      <c r="H949" s="11" t="s">
        <v>45</v>
      </c>
      <c r="K949" s="11">
        <v>201040506</v>
      </c>
      <c r="L949" s="11" t="s">
        <v>46</v>
      </c>
      <c r="M949" s="11">
        <v>40</v>
      </c>
      <c r="N949" s="11"/>
      <c r="O949" s="42">
        <v>40</v>
      </c>
      <c r="P949" s="43" t="s">
        <v>4480</v>
      </c>
      <c r="Q949" s="11">
        <v>1473371.23</v>
      </c>
      <c r="R949" s="11" t="s">
        <v>2163</v>
      </c>
      <c r="S949" s="11" t="s">
        <v>40</v>
      </c>
      <c r="T949" s="11">
        <v>0</v>
      </c>
    </row>
    <row r="950" spans="1:22" x14ac:dyDescent="0.25">
      <c r="A950" s="11">
        <v>101060401</v>
      </c>
      <c r="B950" s="11" t="s">
        <v>34</v>
      </c>
      <c r="C950" s="41">
        <v>44897</v>
      </c>
      <c r="D950" s="41">
        <v>44897</v>
      </c>
      <c r="E950" s="11" t="s">
        <v>42</v>
      </c>
      <c r="F950" s="11" t="s">
        <v>2164</v>
      </c>
      <c r="G950" s="11">
        <v>109646</v>
      </c>
      <c r="H950" s="11" t="s">
        <v>50</v>
      </c>
      <c r="J950" s="11" t="s">
        <v>38</v>
      </c>
      <c r="K950" s="11">
        <v>51010101</v>
      </c>
      <c r="L950" s="11" t="s">
        <v>48</v>
      </c>
      <c r="M950" s="11"/>
      <c r="N950" s="11">
        <v>26.81</v>
      </c>
      <c r="O950" s="42">
        <v>-26.81</v>
      </c>
      <c r="P950" s="43" t="s">
        <v>4489</v>
      </c>
      <c r="Q950" s="11">
        <v>1473344.42</v>
      </c>
      <c r="R950" s="11" t="s">
        <v>2165</v>
      </c>
      <c r="S950" s="11" t="s">
        <v>40</v>
      </c>
      <c r="T950" s="11">
        <v>0</v>
      </c>
      <c r="V950" s="11" t="s">
        <v>41</v>
      </c>
    </row>
    <row r="951" spans="1:22" x14ac:dyDescent="0.25">
      <c r="A951" s="11">
        <v>101060401</v>
      </c>
      <c r="B951" s="11" t="s">
        <v>34</v>
      </c>
      <c r="C951" s="41">
        <v>44897</v>
      </c>
      <c r="D951" s="41">
        <v>44897</v>
      </c>
      <c r="E951" s="11" t="s">
        <v>42</v>
      </c>
      <c r="F951" s="11" t="s">
        <v>2166</v>
      </c>
      <c r="G951" s="11">
        <v>109647</v>
      </c>
      <c r="H951" s="11" t="s">
        <v>50</v>
      </c>
      <c r="J951" s="11" t="s">
        <v>38</v>
      </c>
      <c r="K951" s="11">
        <v>51010101</v>
      </c>
      <c r="L951" s="11" t="s">
        <v>48</v>
      </c>
      <c r="M951" s="11"/>
      <c r="N951" s="11">
        <v>26.68</v>
      </c>
      <c r="O951" s="42">
        <v>-26.68</v>
      </c>
      <c r="P951" s="43" t="s">
        <v>4489</v>
      </c>
      <c r="Q951" s="11">
        <v>1473317.74</v>
      </c>
      <c r="R951" s="11" t="s">
        <v>2167</v>
      </c>
      <c r="S951" s="11" t="s">
        <v>40</v>
      </c>
      <c r="T951" s="11">
        <v>0</v>
      </c>
      <c r="V951" s="11" t="s">
        <v>41</v>
      </c>
    </row>
    <row r="952" spans="1:22" x14ac:dyDescent="0.25">
      <c r="A952" s="11">
        <v>101060401</v>
      </c>
      <c r="B952" s="11" t="s">
        <v>34</v>
      </c>
      <c r="C952" s="41">
        <v>44897</v>
      </c>
      <c r="D952" s="41">
        <v>44897</v>
      </c>
      <c r="E952" s="11" t="s">
        <v>42</v>
      </c>
      <c r="F952" s="11" t="s">
        <v>2168</v>
      </c>
      <c r="G952" s="11">
        <v>109648</v>
      </c>
      <c r="H952" s="11" t="s">
        <v>94</v>
      </c>
      <c r="J952" s="11" t="s">
        <v>38</v>
      </c>
      <c r="K952" s="11">
        <v>51010101</v>
      </c>
      <c r="L952" s="11" t="s">
        <v>48</v>
      </c>
      <c r="M952" s="11"/>
      <c r="N952" s="11">
        <v>262.47000000000003</v>
      </c>
      <c r="O952" s="42">
        <v>-262.47000000000003</v>
      </c>
      <c r="P952" s="43" t="s">
        <v>4489</v>
      </c>
      <c r="Q952" s="11">
        <v>1473055.27</v>
      </c>
      <c r="R952" s="11" t="s">
        <v>2169</v>
      </c>
      <c r="S952" s="11" t="s">
        <v>40</v>
      </c>
      <c r="T952" s="11">
        <v>0</v>
      </c>
      <c r="V952" s="11" t="s">
        <v>41</v>
      </c>
    </row>
    <row r="953" spans="1:22" x14ac:dyDescent="0.25">
      <c r="A953" s="11">
        <v>101060401</v>
      </c>
      <c r="B953" s="11" t="s">
        <v>34</v>
      </c>
      <c r="C953" s="41">
        <v>44897</v>
      </c>
      <c r="D953" s="41">
        <v>44897</v>
      </c>
      <c r="E953" s="11" t="s">
        <v>42</v>
      </c>
      <c r="F953" s="11" t="s">
        <v>2170</v>
      </c>
      <c r="G953" s="11">
        <v>109652</v>
      </c>
      <c r="H953" s="11" t="s">
        <v>2171</v>
      </c>
      <c r="J953" s="11" t="s">
        <v>38</v>
      </c>
      <c r="K953" s="11">
        <v>51010101</v>
      </c>
      <c r="L953" s="11" t="s">
        <v>48</v>
      </c>
      <c r="M953" s="11"/>
      <c r="N953" s="11">
        <v>732.84</v>
      </c>
      <c r="O953" s="42">
        <v>-732.84</v>
      </c>
      <c r="P953" s="43" t="s">
        <v>4489</v>
      </c>
      <c r="Q953" s="11">
        <v>1472322.43</v>
      </c>
      <c r="R953" s="11" t="s">
        <v>2172</v>
      </c>
      <c r="S953" s="11" t="s">
        <v>40</v>
      </c>
      <c r="T953" s="11">
        <v>0</v>
      </c>
      <c r="V953" s="11" t="s">
        <v>41</v>
      </c>
    </row>
    <row r="954" spans="1:22" x14ac:dyDescent="0.25">
      <c r="A954" s="11">
        <v>101060401</v>
      </c>
      <c r="B954" s="11" t="s">
        <v>34</v>
      </c>
      <c r="C954" s="41">
        <v>44897</v>
      </c>
      <c r="D954" s="41">
        <v>44897</v>
      </c>
      <c r="E954" s="11" t="s">
        <v>42</v>
      </c>
      <c r="F954" s="11" t="s">
        <v>2173</v>
      </c>
      <c r="G954" s="11">
        <v>109654</v>
      </c>
      <c r="H954" s="11" t="s">
        <v>176</v>
      </c>
      <c r="J954" s="11" t="s">
        <v>38</v>
      </c>
      <c r="K954" s="11">
        <v>51010101</v>
      </c>
      <c r="L954" s="11" t="s">
        <v>48</v>
      </c>
      <c r="M954" s="11"/>
      <c r="N954" s="11">
        <v>477.21</v>
      </c>
      <c r="O954" s="42">
        <v>-477.21</v>
      </c>
      <c r="P954" s="43" t="s">
        <v>4489</v>
      </c>
      <c r="Q954" s="11">
        <v>1471845.22</v>
      </c>
      <c r="R954" s="11" t="s">
        <v>2174</v>
      </c>
      <c r="S954" s="11" t="s">
        <v>40</v>
      </c>
      <c r="T954" s="11">
        <v>0</v>
      </c>
      <c r="V954" s="11" t="s">
        <v>41</v>
      </c>
    </row>
    <row r="955" spans="1:22" x14ac:dyDescent="0.25">
      <c r="A955" s="11">
        <v>101060401</v>
      </c>
      <c r="B955" s="11" t="s">
        <v>34</v>
      </c>
      <c r="C955" s="41">
        <v>44897</v>
      </c>
      <c r="D955" s="41">
        <v>44897</v>
      </c>
      <c r="E955" s="11" t="s">
        <v>42</v>
      </c>
      <c r="F955" s="11" t="s">
        <v>2175</v>
      </c>
      <c r="G955" s="11">
        <v>109655</v>
      </c>
      <c r="H955" s="11" t="s">
        <v>176</v>
      </c>
      <c r="J955" s="11" t="s">
        <v>38</v>
      </c>
      <c r="K955" s="11">
        <v>51010101</v>
      </c>
      <c r="L955" s="11" t="s">
        <v>48</v>
      </c>
      <c r="M955" s="11"/>
      <c r="N955" s="11">
        <v>2537.41</v>
      </c>
      <c r="O955" s="42">
        <v>-2537.41</v>
      </c>
      <c r="P955" s="43" t="s">
        <v>4489</v>
      </c>
      <c r="Q955" s="11">
        <v>1469307.81</v>
      </c>
      <c r="R955" s="11" t="s">
        <v>2176</v>
      </c>
      <c r="S955" s="11" t="s">
        <v>40</v>
      </c>
      <c r="T955" s="11">
        <v>0</v>
      </c>
      <c r="V955" s="11" t="s">
        <v>41</v>
      </c>
    </row>
    <row r="956" spans="1:22" x14ac:dyDescent="0.25">
      <c r="A956" s="11">
        <v>101060401</v>
      </c>
      <c r="B956" s="11" t="s">
        <v>34</v>
      </c>
      <c r="C956" s="41">
        <v>44897</v>
      </c>
      <c r="D956" s="41">
        <v>44897</v>
      </c>
      <c r="E956" s="11" t="s">
        <v>42</v>
      </c>
      <c r="F956" s="11" t="s">
        <v>2177</v>
      </c>
      <c r="G956" s="11">
        <v>109656</v>
      </c>
      <c r="H956" s="11" t="s">
        <v>176</v>
      </c>
      <c r="J956" s="11" t="s">
        <v>38</v>
      </c>
      <c r="K956" s="11">
        <v>51010101</v>
      </c>
      <c r="L956" s="11" t="s">
        <v>48</v>
      </c>
      <c r="M956" s="11"/>
      <c r="N956" s="11">
        <v>433.37</v>
      </c>
      <c r="O956" s="42">
        <v>-433.37</v>
      </c>
      <c r="P956" s="43" t="s">
        <v>4489</v>
      </c>
      <c r="Q956" s="11">
        <v>1468874.44</v>
      </c>
      <c r="R956" s="11" t="s">
        <v>2178</v>
      </c>
      <c r="S956" s="11" t="s">
        <v>40</v>
      </c>
      <c r="T956" s="11">
        <v>0</v>
      </c>
      <c r="V956" s="11" t="s">
        <v>41</v>
      </c>
    </row>
    <row r="957" spans="1:22" x14ac:dyDescent="0.25">
      <c r="A957" s="11">
        <v>101060401</v>
      </c>
      <c r="B957" s="11" t="s">
        <v>34</v>
      </c>
      <c r="C957" s="41">
        <v>44897</v>
      </c>
      <c r="D957" s="41">
        <v>44897</v>
      </c>
      <c r="E957" s="11" t="s">
        <v>42</v>
      </c>
      <c r="F957" s="11" t="s">
        <v>2179</v>
      </c>
      <c r="G957" s="11">
        <v>109660</v>
      </c>
      <c r="H957" s="11" t="s">
        <v>2180</v>
      </c>
      <c r="J957" s="11" t="s">
        <v>38</v>
      </c>
      <c r="K957" s="11" t="s">
        <v>2181</v>
      </c>
      <c r="L957" s="11" t="s">
        <v>2182</v>
      </c>
      <c r="M957" s="11">
        <v>698.98</v>
      </c>
      <c r="N957" s="11"/>
      <c r="O957" s="42">
        <v>698.98</v>
      </c>
      <c r="P957" s="43" t="s">
        <v>4488</v>
      </c>
      <c r="Q957" s="11">
        <v>1469573.42</v>
      </c>
      <c r="R957" s="11" t="s">
        <v>2183</v>
      </c>
      <c r="S957" s="11" t="s">
        <v>69</v>
      </c>
      <c r="T957" s="11">
        <v>0</v>
      </c>
      <c r="V957" s="11" t="s">
        <v>41</v>
      </c>
    </row>
    <row r="958" spans="1:22" x14ac:dyDescent="0.25">
      <c r="A958" s="11">
        <v>101060401</v>
      </c>
      <c r="B958" s="11" t="s">
        <v>34</v>
      </c>
      <c r="C958" s="41">
        <v>44897</v>
      </c>
      <c r="D958" s="41">
        <v>44897</v>
      </c>
      <c r="E958" s="11" t="s">
        <v>42</v>
      </c>
      <c r="F958" s="11" t="s">
        <v>2184</v>
      </c>
      <c r="G958" s="11">
        <v>109661</v>
      </c>
      <c r="H958" s="11" t="s">
        <v>2180</v>
      </c>
      <c r="J958" s="11" t="s">
        <v>38</v>
      </c>
      <c r="K958" s="11" t="s">
        <v>2181</v>
      </c>
      <c r="L958" s="11" t="s">
        <v>2182</v>
      </c>
      <c r="M958" s="11">
        <v>27.93</v>
      </c>
      <c r="N958" s="11"/>
      <c r="O958" s="42">
        <v>27.93</v>
      </c>
      <c r="P958" s="43" t="s">
        <v>4488</v>
      </c>
      <c r="Q958" s="11">
        <v>1469601.35</v>
      </c>
      <c r="R958" s="11" t="s">
        <v>2185</v>
      </c>
      <c r="S958" s="11" t="s">
        <v>69</v>
      </c>
      <c r="T958" s="11">
        <v>0</v>
      </c>
      <c r="V958" s="11" t="s">
        <v>41</v>
      </c>
    </row>
    <row r="959" spans="1:22" x14ac:dyDescent="0.25">
      <c r="A959" s="11">
        <v>101060401</v>
      </c>
      <c r="B959" s="11" t="s">
        <v>34</v>
      </c>
      <c r="C959" s="41">
        <v>44897</v>
      </c>
      <c r="D959" s="41">
        <v>44897</v>
      </c>
      <c r="E959" s="11" t="s">
        <v>42</v>
      </c>
      <c r="F959" s="11" t="s">
        <v>2186</v>
      </c>
      <c r="G959" s="11">
        <v>109663</v>
      </c>
      <c r="H959" s="11" t="s">
        <v>849</v>
      </c>
      <c r="J959" s="11" t="s">
        <v>38</v>
      </c>
      <c r="K959" s="11">
        <v>51010101</v>
      </c>
      <c r="L959" s="11" t="s">
        <v>48</v>
      </c>
      <c r="M959" s="11"/>
      <c r="N959" s="11">
        <v>698.38</v>
      </c>
      <c r="O959" s="42">
        <v>-698.38</v>
      </c>
      <c r="P959" s="43" t="s">
        <v>4489</v>
      </c>
      <c r="Q959" s="11">
        <v>1468902.97</v>
      </c>
      <c r="R959" s="11" t="s">
        <v>2187</v>
      </c>
      <c r="S959" s="11" t="s">
        <v>40</v>
      </c>
      <c r="T959" s="11">
        <v>0</v>
      </c>
      <c r="V959" s="11" t="s">
        <v>41</v>
      </c>
    </row>
    <row r="960" spans="1:22" x14ac:dyDescent="0.25">
      <c r="A960" s="11">
        <v>101060401</v>
      </c>
      <c r="B960" s="11" t="s">
        <v>34</v>
      </c>
      <c r="C960" s="41">
        <v>44897</v>
      </c>
      <c r="D960" s="41">
        <v>44897</v>
      </c>
      <c r="E960" s="11" t="s">
        <v>42</v>
      </c>
      <c r="F960" s="11" t="s">
        <v>2188</v>
      </c>
      <c r="G960" s="11">
        <v>109664</v>
      </c>
      <c r="H960" s="11" t="s">
        <v>849</v>
      </c>
      <c r="J960" s="11" t="s">
        <v>38</v>
      </c>
      <c r="K960" s="11">
        <v>51010101</v>
      </c>
      <c r="L960" s="11" t="s">
        <v>48</v>
      </c>
      <c r="M960" s="11"/>
      <c r="N960" s="11">
        <v>27.93</v>
      </c>
      <c r="O960" s="42">
        <v>-27.93</v>
      </c>
      <c r="P960" s="43" t="s">
        <v>4489</v>
      </c>
      <c r="Q960" s="11">
        <v>1468875.04</v>
      </c>
      <c r="R960" s="11" t="s">
        <v>1602</v>
      </c>
      <c r="S960" s="11" t="s">
        <v>40</v>
      </c>
      <c r="T960" s="11">
        <v>0</v>
      </c>
      <c r="V960" s="11" t="s">
        <v>41</v>
      </c>
    </row>
    <row r="961" spans="1:22" x14ac:dyDescent="0.25">
      <c r="A961" s="11">
        <v>101060401</v>
      </c>
      <c r="B961" s="11" t="s">
        <v>34</v>
      </c>
      <c r="C961" s="41">
        <v>44897</v>
      </c>
      <c r="D961" s="41">
        <v>44897</v>
      </c>
      <c r="E961" s="11" t="s">
        <v>42</v>
      </c>
      <c r="F961" s="11" t="s">
        <v>2189</v>
      </c>
      <c r="G961" s="11">
        <v>109667</v>
      </c>
      <c r="H961" s="11" t="s">
        <v>2190</v>
      </c>
      <c r="J961" s="11" t="s">
        <v>38</v>
      </c>
      <c r="K961" s="11">
        <v>51010101</v>
      </c>
      <c r="L961" s="11" t="s">
        <v>48</v>
      </c>
      <c r="M961" s="11"/>
      <c r="N961" s="11">
        <v>178.37</v>
      </c>
      <c r="O961" s="42">
        <v>-178.37</v>
      </c>
      <c r="P961" s="43" t="s">
        <v>4489</v>
      </c>
      <c r="Q961" s="11">
        <v>1468696.67</v>
      </c>
      <c r="R961" s="11" t="s">
        <v>2191</v>
      </c>
      <c r="S961" s="11" t="s">
        <v>40</v>
      </c>
      <c r="T961" s="11">
        <v>0</v>
      </c>
      <c r="V961" s="11" t="s">
        <v>41</v>
      </c>
    </row>
    <row r="962" spans="1:22" x14ac:dyDescent="0.25">
      <c r="A962" s="11">
        <v>101060401</v>
      </c>
      <c r="B962" s="11" t="s">
        <v>34</v>
      </c>
      <c r="C962" s="41">
        <v>44897</v>
      </c>
      <c r="D962" s="41">
        <v>44897</v>
      </c>
      <c r="E962" s="11" t="s">
        <v>42</v>
      </c>
      <c r="F962" s="11" t="s">
        <v>2192</v>
      </c>
      <c r="G962" s="11">
        <v>109669</v>
      </c>
      <c r="H962" s="11" t="s">
        <v>66</v>
      </c>
      <c r="J962" s="11" t="s">
        <v>38</v>
      </c>
      <c r="K962" s="11">
        <v>51010101</v>
      </c>
      <c r="L962" s="11" t="s">
        <v>48</v>
      </c>
      <c r="M962" s="11"/>
      <c r="N962" s="11">
        <v>72.900000000000006</v>
      </c>
      <c r="O962" s="42">
        <v>-72.900000000000006</v>
      </c>
      <c r="P962" s="43" t="s">
        <v>4489</v>
      </c>
      <c r="Q962" s="11">
        <v>1468623.77</v>
      </c>
      <c r="R962" s="11" t="s">
        <v>2193</v>
      </c>
      <c r="S962" s="11" t="s">
        <v>40</v>
      </c>
      <c r="T962" s="11">
        <v>0</v>
      </c>
      <c r="V962" s="11" t="s">
        <v>41</v>
      </c>
    </row>
    <row r="963" spans="1:22" x14ac:dyDescent="0.25">
      <c r="A963" s="11">
        <v>101060401</v>
      </c>
      <c r="B963" s="11" t="s">
        <v>34</v>
      </c>
      <c r="C963" s="41">
        <v>44897</v>
      </c>
      <c r="D963" s="41">
        <v>44897</v>
      </c>
      <c r="E963" s="11" t="s">
        <v>42</v>
      </c>
      <c r="F963" s="11" t="s">
        <v>2194</v>
      </c>
      <c r="G963" s="11">
        <v>109670</v>
      </c>
      <c r="H963" s="11" t="s">
        <v>66</v>
      </c>
      <c r="J963" s="11" t="s">
        <v>38</v>
      </c>
      <c r="K963" s="11">
        <v>51010101</v>
      </c>
      <c r="L963" s="11" t="s">
        <v>48</v>
      </c>
      <c r="M963" s="11"/>
      <c r="N963" s="11">
        <v>47.56</v>
      </c>
      <c r="O963" s="42">
        <v>-47.56</v>
      </c>
      <c r="P963" s="43" t="s">
        <v>4489</v>
      </c>
      <c r="Q963" s="11">
        <v>1468576.21</v>
      </c>
      <c r="R963" s="11" t="s">
        <v>260</v>
      </c>
      <c r="S963" s="11" t="s">
        <v>40</v>
      </c>
      <c r="T963" s="11">
        <v>0</v>
      </c>
      <c r="V963" s="11" t="s">
        <v>41</v>
      </c>
    </row>
    <row r="964" spans="1:22" x14ac:dyDescent="0.25">
      <c r="A964" s="11">
        <v>101060401</v>
      </c>
      <c r="B964" s="11" t="s">
        <v>34</v>
      </c>
      <c r="C964" s="41">
        <v>44897</v>
      </c>
      <c r="D964" s="41">
        <v>44897</v>
      </c>
      <c r="E964" s="11" t="s">
        <v>42</v>
      </c>
      <c r="F964" s="11" t="s">
        <v>2195</v>
      </c>
      <c r="G964" s="11">
        <v>109672</v>
      </c>
      <c r="H964" s="11" t="s">
        <v>49</v>
      </c>
      <c r="J964" s="11" t="s">
        <v>38</v>
      </c>
      <c r="K964" s="11">
        <v>51010101</v>
      </c>
      <c r="L964" s="11" t="s">
        <v>48</v>
      </c>
      <c r="M964" s="11"/>
      <c r="N964" s="11">
        <v>175.44</v>
      </c>
      <c r="O964" s="42">
        <v>-175.44</v>
      </c>
      <c r="P964" s="43" t="s">
        <v>4489</v>
      </c>
      <c r="Q964" s="11">
        <v>1468400.77</v>
      </c>
      <c r="R964" s="11" t="s">
        <v>2196</v>
      </c>
      <c r="S964" s="11" t="s">
        <v>40</v>
      </c>
      <c r="T964" s="11">
        <v>0</v>
      </c>
      <c r="V964" s="11" t="s">
        <v>41</v>
      </c>
    </row>
    <row r="965" spans="1:22" x14ac:dyDescent="0.25">
      <c r="A965" s="11">
        <v>101060401</v>
      </c>
      <c r="B965" s="11" t="s">
        <v>34</v>
      </c>
      <c r="C965" s="41">
        <v>44897</v>
      </c>
      <c r="D965" s="41">
        <v>44897</v>
      </c>
      <c r="E965" s="11" t="s">
        <v>42</v>
      </c>
      <c r="F965" s="11" t="s">
        <v>2197</v>
      </c>
      <c r="G965" s="11">
        <v>109674</v>
      </c>
      <c r="H965" s="11" t="s">
        <v>72</v>
      </c>
      <c r="J965" s="11" t="s">
        <v>38</v>
      </c>
      <c r="K965" s="11">
        <v>51010101</v>
      </c>
      <c r="L965" s="11" t="s">
        <v>48</v>
      </c>
      <c r="M965" s="11"/>
      <c r="N965" s="11">
        <v>53.01</v>
      </c>
      <c r="O965" s="42">
        <v>-53.01</v>
      </c>
      <c r="P965" s="43" t="s">
        <v>4489</v>
      </c>
      <c r="Q965" s="11">
        <v>1468347.76</v>
      </c>
      <c r="R965" s="11" t="s">
        <v>2198</v>
      </c>
      <c r="S965" s="11" t="s">
        <v>40</v>
      </c>
      <c r="T965" s="11">
        <v>0</v>
      </c>
      <c r="V965" s="11" t="s">
        <v>41</v>
      </c>
    </row>
    <row r="966" spans="1:22" x14ac:dyDescent="0.25">
      <c r="A966" s="11">
        <v>101060401</v>
      </c>
      <c r="B966" s="11" t="s">
        <v>34</v>
      </c>
      <c r="C966" s="41">
        <v>44897</v>
      </c>
      <c r="D966" s="41">
        <v>44897</v>
      </c>
      <c r="E966" s="11" t="s">
        <v>42</v>
      </c>
      <c r="F966" s="11" t="s">
        <v>2199</v>
      </c>
      <c r="G966" s="11">
        <v>109676</v>
      </c>
      <c r="H966" s="11" t="s">
        <v>57</v>
      </c>
      <c r="K966" s="11">
        <v>101060402</v>
      </c>
      <c r="L966" s="11" t="s">
        <v>44</v>
      </c>
      <c r="M966" s="11">
        <v>297.83999999999997</v>
      </c>
      <c r="N966" s="11"/>
      <c r="O966" s="42">
        <v>297.83999999999997</v>
      </c>
      <c r="P966" s="43" t="s">
        <v>4481</v>
      </c>
      <c r="Q966" s="11">
        <v>1468645.6</v>
      </c>
      <c r="R966" s="11" t="s">
        <v>2200</v>
      </c>
      <c r="S966" s="11" t="s">
        <v>106</v>
      </c>
      <c r="T966" s="11">
        <v>0</v>
      </c>
    </row>
    <row r="967" spans="1:22" x14ac:dyDescent="0.25">
      <c r="A967" s="11">
        <v>101060401</v>
      </c>
      <c r="B967" s="11" t="s">
        <v>34</v>
      </c>
      <c r="C967" s="41">
        <v>44901</v>
      </c>
      <c r="D967" s="41">
        <v>44901</v>
      </c>
      <c r="E967" s="11" t="s">
        <v>42</v>
      </c>
      <c r="F967" s="11" t="s">
        <v>2201</v>
      </c>
      <c r="G967" s="11">
        <v>109694</v>
      </c>
      <c r="H967" s="11" t="s">
        <v>53</v>
      </c>
      <c r="J967" s="11" t="s">
        <v>38</v>
      </c>
      <c r="K967" s="11">
        <v>51010101</v>
      </c>
      <c r="L967" s="11" t="s">
        <v>48</v>
      </c>
      <c r="M967" s="11"/>
      <c r="N967" s="11">
        <v>282.18</v>
      </c>
      <c r="O967" s="42">
        <v>-282.18</v>
      </c>
      <c r="P967" s="43" t="s">
        <v>4489</v>
      </c>
      <c r="Q967" s="11">
        <v>1468363.42</v>
      </c>
      <c r="R967" s="11" t="s">
        <v>2157</v>
      </c>
      <c r="S967" s="11" t="s">
        <v>40</v>
      </c>
      <c r="T967" s="11">
        <v>0</v>
      </c>
      <c r="V967" s="11" t="s">
        <v>41</v>
      </c>
    </row>
    <row r="968" spans="1:22" x14ac:dyDescent="0.25">
      <c r="A968" s="11">
        <v>101060401</v>
      </c>
      <c r="B968" s="11" t="s">
        <v>34</v>
      </c>
      <c r="C968" s="41">
        <v>44901</v>
      </c>
      <c r="D968" s="41">
        <v>44901</v>
      </c>
      <c r="E968" s="11" t="s">
        <v>36</v>
      </c>
      <c r="F968" s="11" t="s">
        <v>2202</v>
      </c>
      <c r="G968" s="11">
        <v>109695</v>
      </c>
      <c r="H968" s="11" t="s">
        <v>154</v>
      </c>
      <c r="K968" s="11">
        <v>201040506</v>
      </c>
      <c r="L968" s="11" t="s">
        <v>46</v>
      </c>
      <c r="M968" s="11">
        <v>1923.8</v>
      </c>
      <c r="N968" s="11"/>
      <c r="O968" s="42">
        <v>1923.8</v>
      </c>
      <c r="P968" s="43" t="s">
        <v>4480</v>
      </c>
      <c r="Q968" s="11">
        <v>1470287.22</v>
      </c>
      <c r="R968" s="11" t="s">
        <v>2203</v>
      </c>
      <c r="S968" s="11" t="s">
        <v>40</v>
      </c>
      <c r="T968" s="11">
        <v>0</v>
      </c>
    </row>
    <row r="969" spans="1:22" x14ac:dyDescent="0.25">
      <c r="A969" s="11">
        <v>101060401</v>
      </c>
      <c r="B969" s="11" t="s">
        <v>34</v>
      </c>
      <c r="C969" s="41">
        <v>44901</v>
      </c>
      <c r="D969" s="41">
        <v>44901</v>
      </c>
      <c r="E969" s="11" t="s">
        <v>42</v>
      </c>
      <c r="F969" s="11" t="s">
        <v>2204</v>
      </c>
      <c r="G969" s="11">
        <v>109698</v>
      </c>
      <c r="H969" s="11" t="s">
        <v>109</v>
      </c>
      <c r="J969" s="11" t="s">
        <v>38</v>
      </c>
      <c r="K969" s="11">
        <v>51010101</v>
      </c>
      <c r="L969" s="11" t="s">
        <v>48</v>
      </c>
      <c r="M969" s="11"/>
      <c r="N969" s="11">
        <v>320.12</v>
      </c>
      <c r="O969" s="42">
        <v>-320.12</v>
      </c>
      <c r="P969" s="43" t="s">
        <v>4489</v>
      </c>
      <c r="Q969" s="11">
        <v>1469967.1</v>
      </c>
      <c r="R969" s="11" t="s">
        <v>2205</v>
      </c>
      <c r="S969" s="11" t="s">
        <v>40</v>
      </c>
      <c r="T969" s="11">
        <v>0</v>
      </c>
      <c r="V969" s="11" t="s">
        <v>41</v>
      </c>
    </row>
    <row r="970" spans="1:22" x14ac:dyDescent="0.25">
      <c r="A970" s="11">
        <v>101060401</v>
      </c>
      <c r="B970" s="11" t="s">
        <v>34</v>
      </c>
      <c r="C970" s="41">
        <v>44901</v>
      </c>
      <c r="D970" s="41">
        <v>44901</v>
      </c>
      <c r="E970" s="11" t="s">
        <v>42</v>
      </c>
      <c r="F970" s="11" t="s">
        <v>2206</v>
      </c>
      <c r="G970" s="11">
        <v>109703</v>
      </c>
      <c r="H970" s="11" t="s">
        <v>57</v>
      </c>
      <c r="K970" s="11">
        <v>101060402</v>
      </c>
      <c r="L970" s="11" t="s">
        <v>44</v>
      </c>
      <c r="M970" s="11"/>
      <c r="N970" s="11">
        <v>4121.6000000000004</v>
      </c>
      <c r="O970" s="42">
        <v>-4121.6000000000004</v>
      </c>
      <c r="P970" s="43" t="s">
        <v>4481</v>
      </c>
      <c r="Q970" s="11">
        <v>1465845.5</v>
      </c>
      <c r="R970" s="11" t="s">
        <v>2207</v>
      </c>
      <c r="S970" s="11" t="s">
        <v>40</v>
      </c>
      <c r="T970" s="11">
        <v>0</v>
      </c>
    </row>
    <row r="971" spans="1:22" x14ac:dyDescent="0.25">
      <c r="A971" s="11">
        <v>101060401</v>
      </c>
      <c r="B971" s="11" t="s">
        <v>34</v>
      </c>
      <c r="C971" s="41">
        <v>44901</v>
      </c>
      <c r="D971" s="41">
        <v>44901</v>
      </c>
      <c r="E971" s="11" t="s">
        <v>42</v>
      </c>
      <c r="F971" s="11" t="s">
        <v>2208</v>
      </c>
      <c r="G971" s="11">
        <v>109708</v>
      </c>
      <c r="H971" s="11" t="s">
        <v>57</v>
      </c>
      <c r="K971" s="11">
        <v>101060402</v>
      </c>
      <c r="L971" s="11" t="s">
        <v>44</v>
      </c>
      <c r="M971" s="11"/>
      <c r="N971" s="11">
        <v>107010.95</v>
      </c>
      <c r="O971" s="42">
        <v>-107010.95</v>
      </c>
      <c r="P971" s="43" t="s">
        <v>4481</v>
      </c>
      <c r="Q971" s="11">
        <v>1358834.55</v>
      </c>
      <c r="R971" s="11" t="s">
        <v>2209</v>
      </c>
      <c r="S971" s="11" t="s">
        <v>40</v>
      </c>
      <c r="T971" s="11">
        <v>0</v>
      </c>
    </row>
    <row r="972" spans="1:22" x14ac:dyDescent="0.25">
      <c r="A972" s="11">
        <v>101060401</v>
      </c>
      <c r="B972" s="11" t="s">
        <v>34</v>
      </c>
      <c r="C972" s="41">
        <v>44901</v>
      </c>
      <c r="D972" s="41">
        <v>44901</v>
      </c>
      <c r="E972" s="11" t="s">
        <v>42</v>
      </c>
      <c r="F972" s="11" t="s">
        <v>2210</v>
      </c>
      <c r="G972" s="11">
        <v>109729</v>
      </c>
      <c r="H972" s="11" t="s">
        <v>50</v>
      </c>
      <c r="J972" s="11" t="s">
        <v>38</v>
      </c>
      <c r="K972" s="11">
        <v>51010101</v>
      </c>
      <c r="L972" s="11" t="s">
        <v>48</v>
      </c>
      <c r="M972" s="11"/>
      <c r="N972" s="11">
        <v>66.959999999999994</v>
      </c>
      <c r="O972" s="42">
        <v>-66.959999999999994</v>
      </c>
      <c r="P972" s="43" t="s">
        <v>4489</v>
      </c>
      <c r="Q972" s="11">
        <v>1358767.59</v>
      </c>
      <c r="R972" s="11" t="s">
        <v>2211</v>
      </c>
      <c r="S972" s="11" t="s">
        <v>40</v>
      </c>
      <c r="T972" s="11">
        <v>0</v>
      </c>
      <c r="V972" s="11" t="s">
        <v>41</v>
      </c>
    </row>
    <row r="973" spans="1:22" x14ac:dyDescent="0.25">
      <c r="A973" s="11">
        <v>101060401</v>
      </c>
      <c r="B973" s="11" t="s">
        <v>34</v>
      </c>
      <c r="C973" s="41">
        <v>44901</v>
      </c>
      <c r="D973" s="41">
        <v>44901</v>
      </c>
      <c r="E973" s="11" t="s">
        <v>42</v>
      </c>
      <c r="F973" s="11" t="s">
        <v>2212</v>
      </c>
      <c r="G973" s="11">
        <v>109730</v>
      </c>
      <c r="H973" s="11" t="s">
        <v>77</v>
      </c>
      <c r="J973" s="11" t="s">
        <v>38</v>
      </c>
      <c r="K973" s="11">
        <v>51010101</v>
      </c>
      <c r="L973" s="11" t="s">
        <v>48</v>
      </c>
      <c r="M973" s="11"/>
      <c r="N973" s="11">
        <v>83.35</v>
      </c>
      <c r="O973" s="42">
        <v>-83.35</v>
      </c>
      <c r="P973" s="43" t="s">
        <v>4489</v>
      </c>
      <c r="Q973" s="11">
        <v>1358684.24</v>
      </c>
      <c r="R973" s="11" t="s">
        <v>2213</v>
      </c>
      <c r="S973" s="11" t="s">
        <v>40</v>
      </c>
      <c r="T973" s="11">
        <v>0</v>
      </c>
      <c r="V973" s="11" t="s">
        <v>41</v>
      </c>
    </row>
    <row r="974" spans="1:22" x14ac:dyDescent="0.25">
      <c r="A974" s="11">
        <v>101060401</v>
      </c>
      <c r="B974" s="11" t="s">
        <v>34</v>
      </c>
      <c r="C974" s="41">
        <v>44901</v>
      </c>
      <c r="D974" s="41">
        <v>44901</v>
      </c>
      <c r="E974" s="11" t="s">
        <v>42</v>
      </c>
      <c r="F974" s="11" t="s">
        <v>2214</v>
      </c>
      <c r="G974" s="11">
        <v>109731</v>
      </c>
      <c r="H974" s="11" t="s">
        <v>47</v>
      </c>
      <c r="J974" s="11" t="s">
        <v>38</v>
      </c>
      <c r="K974" s="11">
        <v>51010101</v>
      </c>
      <c r="L974" s="11" t="s">
        <v>48</v>
      </c>
      <c r="M974" s="11"/>
      <c r="N974" s="11">
        <v>15.72</v>
      </c>
      <c r="O974" s="42">
        <v>-15.72</v>
      </c>
      <c r="P974" s="43" t="s">
        <v>4489</v>
      </c>
      <c r="Q974" s="11">
        <v>1358668.52</v>
      </c>
      <c r="R974" s="11" t="s">
        <v>2215</v>
      </c>
      <c r="S974" s="11" t="s">
        <v>40</v>
      </c>
      <c r="T974" s="11">
        <v>0</v>
      </c>
      <c r="V974" s="11" t="s">
        <v>41</v>
      </c>
    </row>
    <row r="975" spans="1:22" x14ac:dyDescent="0.25">
      <c r="A975" s="11">
        <v>101060401</v>
      </c>
      <c r="B975" s="11" t="s">
        <v>34</v>
      </c>
      <c r="C975" s="41">
        <v>44901</v>
      </c>
      <c r="D975" s="41">
        <v>44901</v>
      </c>
      <c r="E975" s="11" t="s">
        <v>42</v>
      </c>
      <c r="F975" s="11" t="s">
        <v>2216</v>
      </c>
      <c r="G975" s="11">
        <v>109734</v>
      </c>
      <c r="H975" s="11" t="s">
        <v>104</v>
      </c>
      <c r="J975" s="11" t="s">
        <v>38</v>
      </c>
      <c r="K975" s="11">
        <v>51010101</v>
      </c>
      <c r="L975" s="11" t="s">
        <v>48</v>
      </c>
      <c r="M975" s="11"/>
      <c r="N975" s="11">
        <v>166.63</v>
      </c>
      <c r="O975" s="42">
        <v>-166.63</v>
      </c>
      <c r="P975" s="43" t="s">
        <v>4489</v>
      </c>
      <c r="Q975" s="11">
        <v>1358501.89</v>
      </c>
      <c r="R975" s="11" t="s">
        <v>2217</v>
      </c>
      <c r="S975" s="11" t="s">
        <v>40</v>
      </c>
      <c r="T975" s="11">
        <v>0</v>
      </c>
      <c r="V975" s="11" t="s">
        <v>41</v>
      </c>
    </row>
    <row r="976" spans="1:22" x14ac:dyDescent="0.25">
      <c r="A976" s="11">
        <v>101060401</v>
      </c>
      <c r="B976" s="11" t="s">
        <v>34</v>
      </c>
      <c r="C976" s="41">
        <v>44901</v>
      </c>
      <c r="D976" s="41">
        <v>44901</v>
      </c>
      <c r="E976" s="11" t="s">
        <v>42</v>
      </c>
      <c r="F976" s="11" t="s">
        <v>2218</v>
      </c>
      <c r="G976" s="11">
        <v>109735</v>
      </c>
      <c r="H976" s="11" t="s">
        <v>57</v>
      </c>
      <c r="K976" s="11">
        <v>101060402</v>
      </c>
      <c r="L976" s="11" t="s">
        <v>44</v>
      </c>
      <c r="M976" s="11"/>
      <c r="N976" s="11">
        <v>1923.8</v>
      </c>
      <c r="O976" s="42">
        <v>-1923.8</v>
      </c>
      <c r="P976" s="43" t="s">
        <v>4481</v>
      </c>
      <c r="Q976" s="11">
        <v>1356578.09</v>
      </c>
      <c r="R976" s="11" t="s">
        <v>2219</v>
      </c>
      <c r="S976" s="11" t="s">
        <v>40</v>
      </c>
      <c r="T976" s="11">
        <v>0</v>
      </c>
    </row>
    <row r="977" spans="1:22" x14ac:dyDescent="0.25">
      <c r="A977" s="11">
        <v>101060401</v>
      </c>
      <c r="B977" s="11" t="s">
        <v>34</v>
      </c>
      <c r="C977" s="41">
        <v>44901</v>
      </c>
      <c r="D977" s="41">
        <v>44901</v>
      </c>
      <c r="E977" s="11" t="s">
        <v>42</v>
      </c>
      <c r="F977" s="11" t="s">
        <v>2220</v>
      </c>
      <c r="G977" s="11">
        <v>109747</v>
      </c>
      <c r="H977" s="11" t="s">
        <v>66</v>
      </c>
      <c r="J977" s="11" t="s">
        <v>38</v>
      </c>
      <c r="K977" s="11">
        <v>51010101</v>
      </c>
      <c r="L977" s="11" t="s">
        <v>48</v>
      </c>
      <c r="M977" s="11"/>
      <c r="N977" s="11">
        <v>224.94</v>
      </c>
      <c r="O977" s="42">
        <v>-224.94</v>
      </c>
      <c r="P977" s="43" t="s">
        <v>4489</v>
      </c>
      <c r="Q977" s="11">
        <v>1356353.15</v>
      </c>
      <c r="R977" s="11" t="s">
        <v>2221</v>
      </c>
      <c r="S977" s="11" t="s">
        <v>40</v>
      </c>
      <c r="T977" s="11">
        <v>0</v>
      </c>
      <c r="V977" s="11" t="s">
        <v>41</v>
      </c>
    </row>
    <row r="978" spans="1:22" x14ac:dyDescent="0.25">
      <c r="A978" s="11">
        <v>101060401</v>
      </c>
      <c r="B978" s="11" t="s">
        <v>34</v>
      </c>
      <c r="C978" s="41">
        <v>44901</v>
      </c>
      <c r="D978" s="41">
        <v>44901</v>
      </c>
      <c r="E978" s="11" t="s">
        <v>42</v>
      </c>
      <c r="F978" s="11" t="s">
        <v>2222</v>
      </c>
      <c r="G978" s="11">
        <v>109749</v>
      </c>
      <c r="H978" s="11" t="s">
        <v>176</v>
      </c>
      <c r="J978" s="11" t="s">
        <v>38</v>
      </c>
      <c r="K978" s="11">
        <v>51010101</v>
      </c>
      <c r="L978" s="11" t="s">
        <v>48</v>
      </c>
      <c r="M978" s="11"/>
      <c r="N978" s="11">
        <v>2244.34</v>
      </c>
      <c r="O978" s="42">
        <v>-2244.34</v>
      </c>
      <c r="P978" s="43" t="s">
        <v>4489</v>
      </c>
      <c r="Q978" s="11">
        <v>1354108.81</v>
      </c>
      <c r="R978" s="11" t="s">
        <v>2223</v>
      </c>
      <c r="S978" s="11" t="s">
        <v>40</v>
      </c>
      <c r="T978" s="11">
        <v>0</v>
      </c>
      <c r="V978" s="11" t="s">
        <v>41</v>
      </c>
    </row>
    <row r="979" spans="1:22" x14ac:dyDescent="0.25">
      <c r="A979" s="11">
        <v>101060401</v>
      </c>
      <c r="B979" s="11" t="s">
        <v>34</v>
      </c>
      <c r="C979" s="41">
        <v>44901</v>
      </c>
      <c r="D979" s="41">
        <v>44901</v>
      </c>
      <c r="E979" s="11" t="s">
        <v>36</v>
      </c>
      <c r="F979" s="11" t="s">
        <v>2224</v>
      </c>
      <c r="G979" s="11">
        <v>109751</v>
      </c>
      <c r="H979" s="11" t="s">
        <v>52</v>
      </c>
      <c r="K979" s="11">
        <v>201040506</v>
      </c>
      <c r="L979" s="11" t="s">
        <v>46</v>
      </c>
      <c r="M979" s="11">
        <v>10.72</v>
      </c>
      <c r="N979" s="11"/>
      <c r="O979" s="42">
        <v>10.72</v>
      </c>
      <c r="P979" s="43" t="s">
        <v>4480</v>
      </c>
      <c r="Q979" s="11">
        <v>1354119.53</v>
      </c>
      <c r="R979" s="11" t="s">
        <v>277</v>
      </c>
      <c r="S979" s="11" t="s">
        <v>40</v>
      </c>
      <c r="T979" s="11">
        <v>0</v>
      </c>
    </row>
    <row r="980" spans="1:22" x14ac:dyDescent="0.25">
      <c r="A980" s="11">
        <v>101060401</v>
      </c>
      <c r="B980" s="11" t="s">
        <v>34</v>
      </c>
      <c r="C980" s="41">
        <v>44901</v>
      </c>
      <c r="D980" s="41">
        <v>44901</v>
      </c>
      <c r="E980" s="11" t="s">
        <v>36</v>
      </c>
      <c r="F980" s="11" t="s">
        <v>2225</v>
      </c>
      <c r="G980" s="11">
        <v>109752</v>
      </c>
      <c r="H980" s="11" t="s">
        <v>52</v>
      </c>
      <c r="K980" s="11">
        <v>201040506</v>
      </c>
      <c r="L980" s="11" t="s">
        <v>46</v>
      </c>
      <c r="M980" s="11">
        <v>294.83999999999997</v>
      </c>
      <c r="N980" s="11"/>
      <c r="O980" s="42">
        <v>294.83999999999997</v>
      </c>
      <c r="P980" s="43" t="s">
        <v>4480</v>
      </c>
      <c r="Q980" s="11">
        <v>1354414.37</v>
      </c>
      <c r="R980" s="11" t="s">
        <v>2226</v>
      </c>
      <c r="S980" s="11" t="s">
        <v>40</v>
      </c>
      <c r="T980" s="11">
        <v>0</v>
      </c>
    </row>
    <row r="981" spans="1:22" x14ac:dyDescent="0.25">
      <c r="A981" s="11">
        <v>101060401</v>
      </c>
      <c r="B981" s="11" t="s">
        <v>34</v>
      </c>
      <c r="C981" s="41">
        <v>44901</v>
      </c>
      <c r="D981" s="41">
        <v>44901</v>
      </c>
      <c r="E981" s="11" t="s">
        <v>42</v>
      </c>
      <c r="F981" s="11" t="s">
        <v>2227</v>
      </c>
      <c r="G981" s="11">
        <v>109753</v>
      </c>
      <c r="H981" s="11" t="s">
        <v>141</v>
      </c>
      <c r="J981" s="11" t="s">
        <v>38</v>
      </c>
      <c r="K981" s="11">
        <v>51010101</v>
      </c>
      <c r="L981" s="11" t="s">
        <v>48</v>
      </c>
      <c r="M981" s="11"/>
      <c r="N981" s="11">
        <v>10.72</v>
      </c>
      <c r="O981" s="42">
        <v>-10.72</v>
      </c>
      <c r="P981" s="43" t="s">
        <v>4489</v>
      </c>
      <c r="Q981" s="11">
        <v>1354403.65</v>
      </c>
      <c r="R981" s="11" t="s">
        <v>2228</v>
      </c>
      <c r="S981" s="11" t="s">
        <v>40</v>
      </c>
      <c r="T981" s="11">
        <v>0</v>
      </c>
      <c r="V981" s="11" t="s">
        <v>41</v>
      </c>
    </row>
    <row r="982" spans="1:22" x14ac:dyDescent="0.25">
      <c r="A982" s="11">
        <v>101060401</v>
      </c>
      <c r="B982" s="11" t="s">
        <v>34</v>
      </c>
      <c r="C982" s="41">
        <v>44901</v>
      </c>
      <c r="D982" s="41">
        <v>44901</v>
      </c>
      <c r="E982" s="11" t="s">
        <v>42</v>
      </c>
      <c r="F982" s="11" t="s">
        <v>2229</v>
      </c>
      <c r="G982" s="11">
        <v>109754</v>
      </c>
      <c r="H982" s="11" t="s">
        <v>141</v>
      </c>
      <c r="J982" s="11" t="s">
        <v>38</v>
      </c>
      <c r="K982" s="11">
        <v>51010101</v>
      </c>
      <c r="L982" s="11" t="s">
        <v>48</v>
      </c>
      <c r="M982" s="11"/>
      <c r="N982" s="11">
        <v>294.83999999999997</v>
      </c>
      <c r="O982" s="42">
        <v>-294.83999999999997</v>
      </c>
      <c r="P982" s="43" t="s">
        <v>4489</v>
      </c>
      <c r="Q982" s="11">
        <v>1354108.81</v>
      </c>
      <c r="R982" s="11" t="s">
        <v>2230</v>
      </c>
      <c r="S982" s="11" t="s">
        <v>40</v>
      </c>
      <c r="T982" s="11">
        <v>0</v>
      </c>
      <c r="V982" s="11" t="s">
        <v>41</v>
      </c>
    </row>
    <row r="983" spans="1:22" x14ac:dyDescent="0.25">
      <c r="A983" s="11">
        <v>101060401</v>
      </c>
      <c r="B983" s="11" t="s">
        <v>34</v>
      </c>
      <c r="C983" s="41">
        <v>44901</v>
      </c>
      <c r="D983" s="41">
        <v>44901</v>
      </c>
      <c r="E983" s="11" t="s">
        <v>42</v>
      </c>
      <c r="F983" s="11" t="s">
        <v>2231</v>
      </c>
      <c r="G983" s="11">
        <v>109755</v>
      </c>
      <c r="H983" s="11" t="s">
        <v>72</v>
      </c>
      <c r="J983" s="11" t="s">
        <v>38</v>
      </c>
      <c r="K983" s="11">
        <v>51010101</v>
      </c>
      <c r="L983" s="11" t="s">
        <v>48</v>
      </c>
      <c r="M983" s="11"/>
      <c r="N983" s="11">
        <v>22.01</v>
      </c>
      <c r="O983" s="42">
        <v>-22.01</v>
      </c>
      <c r="P983" s="43" t="s">
        <v>4489</v>
      </c>
      <c r="Q983" s="11">
        <v>1354086.8</v>
      </c>
      <c r="R983" s="11" t="s">
        <v>2232</v>
      </c>
      <c r="S983" s="11" t="s">
        <v>40</v>
      </c>
      <c r="T983" s="11">
        <v>0</v>
      </c>
      <c r="V983" s="11" t="s">
        <v>41</v>
      </c>
    </row>
    <row r="984" spans="1:22" x14ac:dyDescent="0.25">
      <c r="A984" s="11">
        <v>101060401</v>
      </c>
      <c r="B984" s="11" t="s">
        <v>34</v>
      </c>
      <c r="C984" s="41">
        <v>44901</v>
      </c>
      <c r="D984" s="41">
        <v>44901</v>
      </c>
      <c r="E984" s="11" t="s">
        <v>36</v>
      </c>
      <c r="F984" s="11" t="s">
        <v>2233</v>
      </c>
      <c r="G984" s="11">
        <v>109757</v>
      </c>
      <c r="H984" s="11" t="s">
        <v>75</v>
      </c>
      <c r="J984" s="11" t="s">
        <v>38</v>
      </c>
      <c r="K984" s="11">
        <v>51010101</v>
      </c>
      <c r="L984" s="11" t="s">
        <v>48</v>
      </c>
      <c r="M984" s="11"/>
      <c r="N984" s="11">
        <v>41.54</v>
      </c>
      <c r="O984" s="42">
        <v>-41.54</v>
      </c>
      <c r="P984" s="43" t="s">
        <v>4489</v>
      </c>
      <c r="Q984" s="11">
        <v>1354045.26</v>
      </c>
      <c r="R984" s="11" t="s">
        <v>2234</v>
      </c>
      <c r="S984" s="11" t="s">
        <v>40</v>
      </c>
      <c r="T984" s="11">
        <v>0</v>
      </c>
      <c r="V984" s="11" t="s">
        <v>41</v>
      </c>
    </row>
    <row r="985" spans="1:22" x14ac:dyDescent="0.25">
      <c r="A985" s="11">
        <v>101060401</v>
      </c>
      <c r="B985" s="11" t="s">
        <v>34</v>
      </c>
      <c r="C985" s="41">
        <v>44901</v>
      </c>
      <c r="D985" s="41">
        <v>44901</v>
      </c>
      <c r="E985" s="11" t="s">
        <v>36</v>
      </c>
      <c r="F985" s="11" t="s">
        <v>2235</v>
      </c>
      <c r="G985" s="11">
        <v>109758</v>
      </c>
      <c r="H985" s="11" t="s">
        <v>37</v>
      </c>
      <c r="K985" s="11">
        <v>401030105</v>
      </c>
      <c r="L985" s="11" t="s">
        <v>54</v>
      </c>
      <c r="M985" s="26">
        <v>31.31</v>
      </c>
      <c r="O985" s="44">
        <v>31.31</v>
      </c>
      <c r="P985" s="43" t="s">
        <v>4494</v>
      </c>
      <c r="Q985" s="11">
        <v>1354076.57</v>
      </c>
      <c r="R985" s="11" t="s">
        <v>2236</v>
      </c>
      <c r="S985" s="11" t="s">
        <v>40</v>
      </c>
      <c r="T985" s="11">
        <v>0</v>
      </c>
    </row>
    <row r="986" spans="1:22" x14ac:dyDescent="0.25">
      <c r="A986" s="11">
        <v>101060401</v>
      </c>
      <c r="B986" s="11" t="s">
        <v>34</v>
      </c>
      <c r="C986" s="41">
        <v>44901</v>
      </c>
      <c r="D986" s="41">
        <v>44901</v>
      </c>
      <c r="E986" s="11" t="s">
        <v>42</v>
      </c>
      <c r="F986" s="11" t="s">
        <v>2237</v>
      </c>
      <c r="G986" s="11">
        <v>109760</v>
      </c>
      <c r="H986" s="11" t="s">
        <v>57</v>
      </c>
      <c r="K986" s="11">
        <v>101060402</v>
      </c>
      <c r="L986" s="11" t="s">
        <v>44</v>
      </c>
      <c r="M986" s="11"/>
      <c r="N986" s="11">
        <v>20.23</v>
      </c>
      <c r="O986" s="42">
        <v>-20.23</v>
      </c>
      <c r="P986" s="43" t="s">
        <v>4481</v>
      </c>
      <c r="Q986" s="11">
        <v>1354056.34</v>
      </c>
      <c r="R986" s="11" t="s">
        <v>2238</v>
      </c>
      <c r="S986" s="11" t="s">
        <v>40</v>
      </c>
      <c r="T986" s="11">
        <v>0</v>
      </c>
    </row>
    <row r="987" spans="1:22" x14ac:dyDescent="0.25">
      <c r="A987" s="11">
        <v>101060401</v>
      </c>
      <c r="B987" s="11" t="s">
        <v>34</v>
      </c>
      <c r="C987" s="41">
        <v>44901</v>
      </c>
      <c r="D987" s="41">
        <v>44901</v>
      </c>
      <c r="E987" s="11" t="s">
        <v>36</v>
      </c>
      <c r="F987" s="11" t="s">
        <v>2239</v>
      </c>
      <c r="G987" s="11">
        <v>109761</v>
      </c>
      <c r="H987" s="11" t="s">
        <v>75</v>
      </c>
      <c r="J987" s="11" t="s">
        <v>38</v>
      </c>
      <c r="K987" s="11">
        <v>51010101</v>
      </c>
      <c r="L987" s="11" t="s">
        <v>48</v>
      </c>
      <c r="M987" s="11"/>
      <c r="N987" s="11">
        <v>11.08</v>
      </c>
      <c r="O987" s="42">
        <v>-11.08</v>
      </c>
      <c r="P987" s="43" t="s">
        <v>4489</v>
      </c>
      <c r="Q987" s="11">
        <v>1354045.26</v>
      </c>
      <c r="R987" s="11" t="s">
        <v>2240</v>
      </c>
      <c r="S987" s="11" t="s">
        <v>40</v>
      </c>
      <c r="T987" s="11">
        <v>0</v>
      </c>
      <c r="V987" s="11" t="s">
        <v>41</v>
      </c>
    </row>
    <row r="988" spans="1:22" x14ac:dyDescent="0.25">
      <c r="A988" s="11">
        <v>101060401</v>
      </c>
      <c r="B988" s="11" t="s">
        <v>34</v>
      </c>
      <c r="C988" s="41">
        <v>44901</v>
      </c>
      <c r="D988" s="41">
        <v>44901</v>
      </c>
      <c r="E988" s="11" t="s">
        <v>42</v>
      </c>
      <c r="F988" s="11" t="s">
        <v>2241</v>
      </c>
      <c r="G988" s="11">
        <v>109763</v>
      </c>
      <c r="H988" s="11" t="s">
        <v>215</v>
      </c>
      <c r="J988" s="11" t="s">
        <v>38</v>
      </c>
      <c r="K988" s="11" t="s">
        <v>216</v>
      </c>
      <c r="L988" s="11" t="s">
        <v>217</v>
      </c>
      <c r="M988" s="11">
        <v>194.26</v>
      </c>
      <c r="N988" s="11"/>
      <c r="O988" s="42">
        <v>194.26</v>
      </c>
      <c r="P988" s="43" t="s">
        <v>4488</v>
      </c>
      <c r="Q988" s="11">
        <v>1354239.52</v>
      </c>
      <c r="R988" s="11" t="s">
        <v>2242</v>
      </c>
      <c r="S988" s="11" t="s">
        <v>69</v>
      </c>
      <c r="T988" s="11">
        <v>0</v>
      </c>
      <c r="V988" s="11" t="s">
        <v>41</v>
      </c>
    </row>
    <row r="989" spans="1:22" x14ac:dyDescent="0.25">
      <c r="A989" s="11">
        <v>101060401</v>
      </c>
      <c r="B989" s="11" t="s">
        <v>34</v>
      </c>
      <c r="C989" s="41">
        <v>44901</v>
      </c>
      <c r="D989" s="41">
        <v>44901</v>
      </c>
      <c r="E989" s="11" t="s">
        <v>36</v>
      </c>
      <c r="F989" s="11" t="s">
        <v>2243</v>
      </c>
      <c r="G989" s="11">
        <v>109766</v>
      </c>
      <c r="H989" s="11" t="s">
        <v>52</v>
      </c>
      <c r="K989" s="11">
        <v>201040506</v>
      </c>
      <c r="L989" s="11" t="s">
        <v>46</v>
      </c>
      <c r="M989" s="11">
        <v>989.45</v>
      </c>
      <c r="N989" s="11"/>
      <c r="O989" s="42">
        <v>989.45</v>
      </c>
      <c r="P989" s="43" t="s">
        <v>4480</v>
      </c>
      <c r="Q989" s="11">
        <v>1355228.97</v>
      </c>
      <c r="R989" s="11" t="s">
        <v>2244</v>
      </c>
      <c r="S989" s="11" t="s">
        <v>40</v>
      </c>
      <c r="T989" s="11">
        <v>0</v>
      </c>
    </row>
    <row r="990" spans="1:22" x14ac:dyDescent="0.25">
      <c r="A990" s="11">
        <v>101060401</v>
      </c>
      <c r="B990" s="11" t="s">
        <v>34</v>
      </c>
      <c r="C990" s="41">
        <v>44901</v>
      </c>
      <c r="D990" s="41">
        <v>44901</v>
      </c>
      <c r="E990" s="11" t="s">
        <v>42</v>
      </c>
      <c r="F990" s="11" t="s">
        <v>2245</v>
      </c>
      <c r="G990" s="11">
        <v>109768</v>
      </c>
      <c r="H990" s="11" t="s">
        <v>323</v>
      </c>
      <c r="J990" s="11" t="s">
        <v>38</v>
      </c>
      <c r="K990" s="11">
        <v>51010101</v>
      </c>
      <c r="L990" s="11" t="s">
        <v>48</v>
      </c>
      <c r="M990" s="11"/>
      <c r="N990" s="11">
        <v>989.45</v>
      </c>
      <c r="O990" s="42">
        <v>-989.45</v>
      </c>
      <c r="P990" s="43" t="s">
        <v>4489</v>
      </c>
      <c r="Q990" s="11">
        <v>1354239.52</v>
      </c>
      <c r="R990" s="11" t="s">
        <v>2246</v>
      </c>
      <c r="S990" s="11" t="s">
        <v>40</v>
      </c>
      <c r="T990" s="11">
        <v>0</v>
      </c>
      <c r="V990" s="11" t="s">
        <v>41</v>
      </c>
    </row>
    <row r="991" spans="1:22" x14ac:dyDescent="0.25">
      <c r="A991" s="11">
        <v>101060401</v>
      </c>
      <c r="B991" s="11" t="s">
        <v>34</v>
      </c>
      <c r="C991" s="41">
        <v>44901</v>
      </c>
      <c r="D991" s="41">
        <v>44901</v>
      </c>
      <c r="E991" s="11" t="s">
        <v>36</v>
      </c>
      <c r="F991" s="11" t="s">
        <v>2247</v>
      </c>
      <c r="G991" s="11">
        <v>109771</v>
      </c>
      <c r="H991" s="11" t="s">
        <v>52</v>
      </c>
      <c r="K991" s="11">
        <v>201040506</v>
      </c>
      <c r="L991" s="11" t="s">
        <v>46</v>
      </c>
      <c r="M991" s="11">
        <v>91.8</v>
      </c>
      <c r="N991" s="11"/>
      <c r="O991" s="42">
        <v>91.8</v>
      </c>
      <c r="P991" s="43" t="s">
        <v>4480</v>
      </c>
      <c r="Q991" s="11">
        <v>1354331.32</v>
      </c>
      <c r="R991" s="11" t="s">
        <v>220</v>
      </c>
      <c r="S991" s="11" t="s">
        <v>40</v>
      </c>
      <c r="T991" s="11">
        <v>0</v>
      </c>
    </row>
    <row r="992" spans="1:22" x14ac:dyDescent="0.25">
      <c r="A992" s="11">
        <v>101060401</v>
      </c>
      <c r="B992" s="11" t="s">
        <v>34</v>
      </c>
      <c r="C992" s="41">
        <v>44901</v>
      </c>
      <c r="D992" s="41">
        <v>44901</v>
      </c>
      <c r="E992" s="11" t="s">
        <v>42</v>
      </c>
      <c r="F992" s="11" t="s">
        <v>2248</v>
      </c>
      <c r="G992" s="11">
        <v>109772</v>
      </c>
      <c r="H992" s="11" t="s">
        <v>176</v>
      </c>
      <c r="J992" s="11" t="s">
        <v>38</v>
      </c>
      <c r="K992" s="11">
        <v>51010101</v>
      </c>
      <c r="L992" s="11" t="s">
        <v>48</v>
      </c>
      <c r="M992" s="11"/>
      <c r="N992" s="11">
        <v>91.8</v>
      </c>
      <c r="O992" s="42">
        <v>-91.8</v>
      </c>
      <c r="P992" s="43" t="s">
        <v>4489</v>
      </c>
      <c r="Q992" s="11">
        <v>1354239.52</v>
      </c>
      <c r="R992" s="11" t="s">
        <v>221</v>
      </c>
      <c r="S992" s="11" t="s">
        <v>40</v>
      </c>
      <c r="T992" s="11">
        <v>0</v>
      </c>
      <c r="V992" s="11" t="s">
        <v>41</v>
      </c>
    </row>
    <row r="993" spans="1:22" x14ac:dyDescent="0.25">
      <c r="A993" s="11">
        <v>101060401</v>
      </c>
      <c r="B993" s="11" t="s">
        <v>34</v>
      </c>
      <c r="C993" s="41">
        <v>44901</v>
      </c>
      <c r="D993" s="41">
        <v>44901</v>
      </c>
      <c r="E993" s="11" t="s">
        <v>36</v>
      </c>
      <c r="F993" s="11" t="s">
        <v>2249</v>
      </c>
      <c r="G993" s="11">
        <v>109776</v>
      </c>
      <c r="H993" s="11" t="s">
        <v>153</v>
      </c>
      <c r="K993" s="11">
        <v>201040506</v>
      </c>
      <c r="L993" s="11" t="s">
        <v>46</v>
      </c>
      <c r="M993" s="11">
        <v>227.66</v>
      </c>
      <c r="N993" s="11"/>
      <c r="O993" s="42">
        <v>227.66</v>
      </c>
      <c r="P993" s="43" t="s">
        <v>4480</v>
      </c>
      <c r="Q993" s="11">
        <v>1354467.18</v>
      </c>
      <c r="R993" s="11" t="s">
        <v>1614</v>
      </c>
      <c r="S993" s="11" t="s">
        <v>40</v>
      </c>
      <c r="T993" s="11">
        <v>0</v>
      </c>
    </row>
    <row r="994" spans="1:22" x14ac:dyDescent="0.25">
      <c r="A994" s="11">
        <v>101060401</v>
      </c>
      <c r="B994" s="11" t="s">
        <v>34</v>
      </c>
      <c r="C994" s="41">
        <v>44901</v>
      </c>
      <c r="D994" s="41">
        <v>44901</v>
      </c>
      <c r="E994" s="11" t="s">
        <v>36</v>
      </c>
      <c r="F994" s="11" t="s">
        <v>2250</v>
      </c>
      <c r="G994" s="11">
        <v>109777</v>
      </c>
      <c r="H994" s="11" t="s">
        <v>153</v>
      </c>
      <c r="K994" s="11">
        <v>201040506</v>
      </c>
      <c r="L994" s="11" t="s">
        <v>46</v>
      </c>
      <c r="M994" s="11">
        <v>263.91000000000003</v>
      </c>
      <c r="N994" s="11"/>
      <c r="O994" s="42">
        <v>263.91000000000003</v>
      </c>
      <c r="P994" s="43" t="s">
        <v>4480</v>
      </c>
      <c r="Q994" s="11">
        <v>1354731.09</v>
      </c>
      <c r="R994" s="11" t="s">
        <v>2251</v>
      </c>
      <c r="S994" s="11" t="s">
        <v>40</v>
      </c>
      <c r="T994" s="11">
        <v>0</v>
      </c>
    </row>
    <row r="995" spans="1:22" x14ac:dyDescent="0.25">
      <c r="A995" s="11">
        <v>101060401</v>
      </c>
      <c r="B995" s="11" t="s">
        <v>34</v>
      </c>
      <c r="C995" s="41">
        <v>44901</v>
      </c>
      <c r="D995" s="41">
        <v>44901</v>
      </c>
      <c r="E995" s="11" t="s">
        <v>42</v>
      </c>
      <c r="F995" s="11" t="s">
        <v>2252</v>
      </c>
      <c r="G995" s="11">
        <v>109779</v>
      </c>
      <c r="H995" s="11" t="s">
        <v>86</v>
      </c>
      <c r="J995" s="11" t="s">
        <v>38</v>
      </c>
      <c r="K995" s="11">
        <v>51010101</v>
      </c>
      <c r="L995" s="11" t="s">
        <v>48</v>
      </c>
      <c r="M995" s="11"/>
      <c r="N995" s="11">
        <v>491.57</v>
      </c>
      <c r="O995" s="42">
        <v>-491.57</v>
      </c>
      <c r="P995" s="43" t="s">
        <v>4489</v>
      </c>
      <c r="Q995" s="11">
        <v>1354239.52</v>
      </c>
      <c r="R995" s="11" t="s">
        <v>2253</v>
      </c>
      <c r="S995" s="11" t="s">
        <v>40</v>
      </c>
      <c r="T995" s="11">
        <v>0</v>
      </c>
      <c r="V995" s="11" t="s">
        <v>41</v>
      </c>
    </row>
    <row r="996" spans="1:22" x14ac:dyDescent="0.25">
      <c r="A996" s="11">
        <v>101060401</v>
      </c>
      <c r="B996" s="11" t="s">
        <v>34</v>
      </c>
      <c r="C996" s="41">
        <v>44901</v>
      </c>
      <c r="D996" s="41">
        <v>44901</v>
      </c>
      <c r="E996" s="11" t="s">
        <v>42</v>
      </c>
      <c r="F996" s="11" t="s">
        <v>2254</v>
      </c>
      <c r="G996" s="11">
        <v>109781</v>
      </c>
      <c r="H996" s="11" t="s">
        <v>182</v>
      </c>
      <c r="J996" s="11" t="s">
        <v>38</v>
      </c>
      <c r="K996" s="11">
        <v>51010101</v>
      </c>
      <c r="L996" s="11" t="s">
        <v>48</v>
      </c>
      <c r="M996" s="11"/>
      <c r="N996" s="11">
        <v>57.27</v>
      </c>
      <c r="O996" s="42">
        <v>-57.27</v>
      </c>
      <c r="P996" s="43" t="s">
        <v>4489</v>
      </c>
      <c r="Q996" s="11">
        <v>1354182.25</v>
      </c>
      <c r="R996" s="11" t="s">
        <v>2255</v>
      </c>
      <c r="S996" s="11" t="s">
        <v>40</v>
      </c>
      <c r="T996" s="11">
        <v>0</v>
      </c>
      <c r="V996" s="11" t="s">
        <v>41</v>
      </c>
    </row>
    <row r="997" spans="1:22" x14ac:dyDescent="0.25">
      <c r="A997" s="11">
        <v>101060401</v>
      </c>
      <c r="B997" s="11" t="s">
        <v>34</v>
      </c>
      <c r="C997" s="41">
        <v>44901</v>
      </c>
      <c r="D997" s="41">
        <v>44901</v>
      </c>
      <c r="E997" s="11" t="s">
        <v>42</v>
      </c>
      <c r="F997" s="11" t="s">
        <v>2256</v>
      </c>
      <c r="G997" s="11">
        <v>109782</v>
      </c>
      <c r="H997" s="11" t="s">
        <v>90</v>
      </c>
      <c r="J997" s="11" t="s">
        <v>38</v>
      </c>
      <c r="K997" s="11">
        <v>51010101</v>
      </c>
      <c r="L997" s="11" t="s">
        <v>48</v>
      </c>
      <c r="M997" s="11">
        <v>491.57</v>
      </c>
      <c r="N997" s="11"/>
      <c r="O997" s="42">
        <v>491.57</v>
      </c>
      <c r="P997" s="43" t="s">
        <v>4489</v>
      </c>
      <c r="Q997" s="11">
        <v>1354673.82</v>
      </c>
      <c r="R997" s="11" t="s">
        <v>2257</v>
      </c>
      <c r="S997" s="11" t="s">
        <v>40</v>
      </c>
      <c r="T997" s="11">
        <v>0</v>
      </c>
      <c r="V997" s="11" t="s">
        <v>41</v>
      </c>
    </row>
    <row r="998" spans="1:22" x14ac:dyDescent="0.25">
      <c r="A998" s="11">
        <v>101060401</v>
      </c>
      <c r="B998" s="11" t="s">
        <v>34</v>
      </c>
      <c r="C998" s="41">
        <v>44901</v>
      </c>
      <c r="D998" s="41">
        <v>44901</v>
      </c>
      <c r="E998" s="11" t="s">
        <v>60</v>
      </c>
      <c r="F998" s="11" t="s">
        <v>2258</v>
      </c>
      <c r="G998" s="11">
        <v>109783</v>
      </c>
      <c r="H998" s="11" t="s">
        <v>61</v>
      </c>
      <c r="K998" s="11">
        <v>201040506</v>
      </c>
      <c r="L998" s="11" t="s">
        <v>46</v>
      </c>
      <c r="M998" s="11"/>
      <c r="N998" s="11">
        <v>263.91000000000003</v>
      </c>
      <c r="O998" s="42">
        <v>-263.91000000000003</v>
      </c>
      <c r="P998" s="43" t="s">
        <v>4480</v>
      </c>
      <c r="Q998" s="11">
        <v>1354409.91</v>
      </c>
      <c r="R998" s="11" t="s">
        <v>2259</v>
      </c>
      <c r="S998" s="11" t="s">
        <v>40</v>
      </c>
      <c r="T998" s="11">
        <v>0</v>
      </c>
    </row>
    <row r="999" spans="1:22" x14ac:dyDescent="0.25">
      <c r="A999" s="11">
        <v>101060401</v>
      </c>
      <c r="B999" s="11" t="s">
        <v>34</v>
      </c>
      <c r="C999" s="41">
        <v>44901</v>
      </c>
      <c r="D999" s="41">
        <v>44901</v>
      </c>
      <c r="E999" s="11" t="s">
        <v>36</v>
      </c>
      <c r="F999" s="11" t="s">
        <v>2260</v>
      </c>
      <c r="G999" s="11">
        <v>109784</v>
      </c>
      <c r="H999" s="11" t="s">
        <v>153</v>
      </c>
      <c r="K999" s="11">
        <v>201040506</v>
      </c>
      <c r="L999" s="11" t="s">
        <v>46</v>
      </c>
      <c r="M999" s="11">
        <v>230.89</v>
      </c>
      <c r="N999" s="11"/>
      <c r="O999" s="42">
        <v>230.89</v>
      </c>
      <c r="P999" s="43" t="s">
        <v>4480</v>
      </c>
      <c r="Q999" s="11">
        <v>1354640.8</v>
      </c>
      <c r="R999" s="11" t="s">
        <v>2261</v>
      </c>
      <c r="S999" s="11" t="s">
        <v>40</v>
      </c>
      <c r="T999" s="11">
        <v>0</v>
      </c>
    </row>
    <row r="1000" spans="1:22" x14ac:dyDescent="0.25">
      <c r="A1000" s="11">
        <v>101060401</v>
      </c>
      <c r="B1000" s="11" t="s">
        <v>34</v>
      </c>
      <c r="C1000" s="41">
        <v>44901</v>
      </c>
      <c r="D1000" s="41">
        <v>44901</v>
      </c>
      <c r="E1000" s="11" t="s">
        <v>42</v>
      </c>
      <c r="F1000" s="11" t="s">
        <v>2262</v>
      </c>
      <c r="G1000" s="11">
        <v>109785</v>
      </c>
      <c r="H1000" s="11" t="s">
        <v>86</v>
      </c>
      <c r="J1000" s="11" t="s">
        <v>38</v>
      </c>
      <c r="K1000" s="11">
        <v>51010101</v>
      </c>
      <c r="L1000" s="11" t="s">
        <v>48</v>
      </c>
      <c r="M1000" s="11"/>
      <c r="N1000" s="11">
        <v>458.55</v>
      </c>
      <c r="O1000" s="42">
        <v>-458.55</v>
      </c>
      <c r="P1000" s="43" t="s">
        <v>4489</v>
      </c>
      <c r="Q1000" s="11">
        <v>1354182.25</v>
      </c>
      <c r="R1000" s="11" t="s">
        <v>2263</v>
      </c>
      <c r="S1000" s="11" t="s">
        <v>40</v>
      </c>
      <c r="T1000" s="11">
        <v>0</v>
      </c>
      <c r="V1000" s="11" t="s">
        <v>41</v>
      </c>
    </row>
    <row r="1001" spans="1:22" x14ac:dyDescent="0.25">
      <c r="A1001" s="11">
        <v>101060401</v>
      </c>
      <c r="B1001" s="11" t="s">
        <v>34</v>
      </c>
      <c r="C1001" s="41">
        <v>44901</v>
      </c>
      <c r="D1001" s="41">
        <v>44901</v>
      </c>
      <c r="E1001" s="11" t="s">
        <v>42</v>
      </c>
      <c r="F1001" s="11" t="s">
        <v>2264</v>
      </c>
      <c r="G1001" s="11">
        <v>110151</v>
      </c>
      <c r="H1001" s="11" t="s">
        <v>2265</v>
      </c>
      <c r="J1001" s="11" t="s">
        <v>38</v>
      </c>
      <c r="K1001" s="11">
        <v>51010101</v>
      </c>
      <c r="L1001" s="11" t="s">
        <v>48</v>
      </c>
      <c r="M1001" s="11">
        <v>166.63</v>
      </c>
      <c r="N1001" s="11"/>
      <c r="O1001" s="42">
        <v>166.63</v>
      </c>
      <c r="P1001" s="43" t="s">
        <v>4489</v>
      </c>
      <c r="Q1001" s="11">
        <v>1354348.88</v>
      </c>
      <c r="R1001" s="11" t="s">
        <v>2266</v>
      </c>
      <c r="S1001" s="11" t="s">
        <v>40</v>
      </c>
      <c r="T1001" s="11">
        <v>0</v>
      </c>
      <c r="V1001" s="11" t="s">
        <v>41</v>
      </c>
    </row>
    <row r="1002" spans="1:22" x14ac:dyDescent="0.25">
      <c r="A1002" s="11">
        <v>101060401</v>
      </c>
      <c r="B1002" s="11" t="s">
        <v>34</v>
      </c>
      <c r="C1002" s="41">
        <v>44901</v>
      </c>
      <c r="D1002" s="41">
        <v>44901</v>
      </c>
      <c r="E1002" s="11" t="s">
        <v>42</v>
      </c>
      <c r="F1002" s="11" t="s">
        <v>2267</v>
      </c>
      <c r="G1002" s="11">
        <v>110431</v>
      </c>
      <c r="H1002" s="11" t="s">
        <v>2116</v>
      </c>
      <c r="J1002" s="11" t="s">
        <v>38</v>
      </c>
      <c r="K1002" s="11">
        <v>51010101</v>
      </c>
      <c r="L1002" s="11" t="s">
        <v>48</v>
      </c>
      <c r="M1002" s="11">
        <v>282.18</v>
      </c>
      <c r="N1002" s="11"/>
      <c r="O1002" s="42">
        <v>282.18</v>
      </c>
      <c r="P1002" s="43" t="s">
        <v>4489</v>
      </c>
      <c r="Q1002" s="11">
        <v>1354631.06</v>
      </c>
      <c r="R1002" s="11" t="s">
        <v>2268</v>
      </c>
      <c r="S1002" s="11" t="s">
        <v>40</v>
      </c>
      <c r="T1002" s="11">
        <v>0</v>
      </c>
      <c r="V1002" s="11" t="s">
        <v>41</v>
      </c>
    </row>
    <row r="1003" spans="1:22" x14ac:dyDescent="0.25">
      <c r="A1003" s="11">
        <v>101060401</v>
      </c>
      <c r="B1003" s="11" t="s">
        <v>34</v>
      </c>
      <c r="C1003" s="41">
        <v>44904</v>
      </c>
      <c r="D1003" s="41">
        <v>44904</v>
      </c>
      <c r="E1003" s="11" t="s">
        <v>36</v>
      </c>
      <c r="F1003" s="11" t="s">
        <v>2269</v>
      </c>
      <c r="G1003" s="11">
        <v>109956</v>
      </c>
      <c r="H1003" s="11" t="s">
        <v>2270</v>
      </c>
      <c r="J1003" s="11" t="s">
        <v>38</v>
      </c>
      <c r="K1003" s="11">
        <v>401030105</v>
      </c>
      <c r="L1003" s="11" t="s">
        <v>54</v>
      </c>
      <c r="M1003" s="26">
        <v>64</v>
      </c>
      <c r="O1003" s="44">
        <v>64</v>
      </c>
      <c r="P1003" s="43" t="s">
        <v>4494</v>
      </c>
      <c r="Q1003" s="11">
        <v>1354695.06</v>
      </c>
      <c r="R1003" s="11" t="s">
        <v>2271</v>
      </c>
      <c r="S1003" s="11" t="s">
        <v>273</v>
      </c>
      <c r="T1003" s="11">
        <v>0</v>
      </c>
      <c r="V1003" s="11" t="s">
        <v>41</v>
      </c>
    </row>
    <row r="1004" spans="1:22" x14ac:dyDescent="0.25">
      <c r="A1004" s="11">
        <v>101060401</v>
      </c>
      <c r="B1004" s="11" t="s">
        <v>34</v>
      </c>
      <c r="C1004" s="41">
        <v>44904</v>
      </c>
      <c r="D1004" s="41">
        <v>44904</v>
      </c>
      <c r="E1004" s="11" t="s">
        <v>42</v>
      </c>
      <c r="F1004" s="11" t="s">
        <v>2272</v>
      </c>
      <c r="G1004" s="11">
        <v>109977</v>
      </c>
      <c r="H1004" s="11" t="s">
        <v>305</v>
      </c>
      <c r="J1004" s="11" t="s">
        <v>38</v>
      </c>
      <c r="K1004" s="11" t="s">
        <v>306</v>
      </c>
      <c r="L1004" s="11" t="s">
        <v>307</v>
      </c>
      <c r="M1004" s="11">
        <v>3695.63</v>
      </c>
      <c r="N1004" s="11"/>
      <c r="O1004" s="42">
        <v>3695.63</v>
      </c>
      <c r="P1004" s="43" t="s">
        <v>4488</v>
      </c>
      <c r="Q1004" s="11">
        <v>1358390.69</v>
      </c>
      <c r="R1004" s="11" t="s">
        <v>2273</v>
      </c>
      <c r="S1004" s="11" t="s">
        <v>69</v>
      </c>
      <c r="T1004" s="11">
        <v>0</v>
      </c>
      <c r="V1004" s="11" t="s">
        <v>41</v>
      </c>
    </row>
    <row r="1005" spans="1:22" x14ac:dyDescent="0.25">
      <c r="A1005" s="11">
        <v>101060401</v>
      </c>
      <c r="B1005" s="11" t="s">
        <v>34</v>
      </c>
      <c r="C1005" s="41">
        <v>44907</v>
      </c>
      <c r="D1005" s="41">
        <v>44907</v>
      </c>
      <c r="E1005" s="11" t="s">
        <v>42</v>
      </c>
      <c r="F1005" s="11" t="s">
        <v>2274</v>
      </c>
      <c r="G1005" s="11">
        <v>109978</v>
      </c>
      <c r="H1005" s="11" t="s">
        <v>108</v>
      </c>
      <c r="J1005" s="11" t="s">
        <v>38</v>
      </c>
      <c r="K1005" s="11">
        <v>51010101</v>
      </c>
      <c r="L1005" s="11" t="s">
        <v>48</v>
      </c>
      <c r="M1005" s="11"/>
      <c r="N1005" s="11">
        <v>658.68</v>
      </c>
      <c r="O1005" s="42">
        <v>-658.68</v>
      </c>
      <c r="P1005" s="43" t="s">
        <v>4489</v>
      </c>
      <c r="Q1005" s="11">
        <v>1357732.01</v>
      </c>
      <c r="R1005" s="11" t="s">
        <v>2275</v>
      </c>
      <c r="S1005" s="11" t="s">
        <v>40</v>
      </c>
      <c r="T1005" s="11">
        <v>0</v>
      </c>
      <c r="V1005" s="11" t="s">
        <v>41</v>
      </c>
    </row>
    <row r="1006" spans="1:22" x14ac:dyDescent="0.25">
      <c r="A1006" s="11">
        <v>101060401</v>
      </c>
      <c r="B1006" s="11" t="s">
        <v>34</v>
      </c>
      <c r="C1006" s="41">
        <v>44907</v>
      </c>
      <c r="D1006" s="41">
        <v>44907</v>
      </c>
      <c r="E1006" s="11" t="s">
        <v>42</v>
      </c>
      <c r="F1006" s="11" t="s">
        <v>2276</v>
      </c>
      <c r="G1006" s="11">
        <v>109979</v>
      </c>
      <c r="H1006" s="11" t="s">
        <v>66</v>
      </c>
      <c r="J1006" s="11" t="s">
        <v>38</v>
      </c>
      <c r="K1006" s="11">
        <v>51010101</v>
      </c>
      <c r="L1006" s="11" t="s">
        <v>48</v>
      </c>
      <c r="M1006" s="11"/>
      <c r="N1006" s="11">
        <v>490.62</v>
      </c>
      <c r="O1006" s="42">
        <v>-490.62</v>
      </c>
      <c r="P1006" s="43" t="s">
        <v>4489</v>
      </c>
      <c r="Q1006" s="11">
        <v>1357241.39</v>
      </c>
      <c r="R1006" s="11" t="s">
        <v>2277</v>
      </c>
      <c r="S1006" s="11" t="s">
        <v>40</v>
      </c>
      <c r="T1006" s="11">
        <v>0</v>
      </c>
      <c r="V1006" s="11" t="s">
        <v>41</v>
      </c>
    </row>
    <row r="1007" spans="1:22" x14ac:dyDescent="0.25">
      <c r="A1007" s="11">
        <v>101060401</v>
      </c>
      <c r="B1007" s="11" t="s">
        <v>34</v>
      </c>
      <c r="C1007" s="41">
        <v>44907</v>
      </c>
      <c r="D1007" s="41">
        <v>44907</v>
      </c>
      <c r="E1007" s="11" t="s">
        <v>42</v>
      </c>
      <c r="F1007" s="11" t="s">
        <v>2278</v>
      </c>
      <c r="G1007" s="11">
        <v>109980</v>
      </c>
      <c r="H1007" s="11" t="s">
        <v>279</v>
      </c>
      <c r="J1007" s="11" t="s">
        <v>38</v>
      </c>
      <c r="K1007" s="11">
        <v>51010101</v>
      </c>
      <c r="L1007" s="11" t="s">
        <v>48</v>
      </c>
      <c r="M1007" s="11"/>
      <c r="N1007" s="11">
        <v>427.77</v>
      </c>
      <c r="O1007" s="42">
        <v>-427.77</v>
      </c>
      <c r="P1007" s="43" t="s">
        <v>4489</v>
      </c>
      <c r="Q1007" s="11">
        <v>1356813.62</v>
      </c>
      <c r="R1007" s="11" t="s">
        <v>2279</v>
      </c>
      <c r="S1007" s="11" t="s">
        <v>40</v>
      </c>
      <c r="T1007" s="11">
        <v>0</v>
      </c>
      <c r="V1007" s="11" t="s">
        <v>41</v>
      </c>
    </row>
    <row r="1008" spans="1:22" x14ac:dyDescent="0.25">
      <c r="A1008" s="11">
        <v>101060401</v>
      </c>
      <c r="B1008" s="11" t="s">
        <v>34</v>
      </c>
      <c r="C1008" s="41">
        <v>44907</v>
      </c>
      <c r="D1008" s="41">
        <v>44907</v>
      </c>
      <c r="E1008" s="11" t="s">
        <v>42</v>
      </c>
      <c r="F1008" s="11" t="s">
        <v>2280</v>
      </c>
      <c r="G1008" s="11">
        <v>109981</v>
      </c>
      <c r="H1008" s="11" t="s">
        <v>1885</v>
      </c>
      <c r="J1008" s="11" t="s">
        <v>38</v>
      </c>
      <c r="K1008" s="11">
        <v>51010101</v>
      </c>
      <c r="L1008" s="11" t="s">
        <v>48</v>
      </c>
      <c r="M1008" s="11"/>
      <c r="N1008" s="11">
        <v>23.27</v>
      </c>
      <c r="O1008" s="42">
        <v>-23.27</v>
      </c>
      <c r="P1008" s="43" t="s">
        <v>4489</v>
      </c>
      <c r="Q1008" s="11">
        <v>1356790.35</v>
      </c>
      <c r="R1008" s="11" t="s">
        <v>2281</v>
      </c>
      <c r="S1008" s="11" t="s">
        <v>40</v>
      </c>
      <c r="T1008" s="11">
        <v>0</v>
      </c>
      <c r="V1008" s="11" t="s">
        <v>41</v>
      </c>
    </row>
    <row r="1009" spans="1:22" x14ac:dyDescent="0.25">
      <c r="A1009" s="11">
        <v>101060401</v>
      </c>
      <c r="B1009" s="11" t="s">
        <v>34</v>
      </c>
      <c r="C1009" s="41">
        <v>44907</v>
      </c>
      <c r="D1009" s="41">
        <v>44907</v>
      </c>
      <c r="E1009" s="11" t="s">
        <v>42</v>
      </c>
      <c r="F1009" s="11" t="s">
        <v>2282</v>
      </c>
      <c r="G1009" s="11">
        <v>109982</v>
      </c>
      <c r="H1009" s="11" t="s">
        <v>94</v>
      </c>
      <c r="J1009" s="11" t="s">
        <v>38</v>
      </c>
      <c r="K1009" s="11">
        <v>51010101</v>
      </c>
      <c r="L1009" s="11" t="s">
        <v>48</v>
      </c>
      <c r="M1009" s="11"/>
      <c r="N1009" s="11">
        <v>574.75</v>
      </c>
      <c r="O1009" s="42">
        <v>-574.75</v>
      </c>
      <c r="P1009" s="43" t="s">
        <v>4489</v>
      </c>
      <c r="Q1009" s="11">
        <v>1356215.6</v>
      </c>
      <c r="R1009" s="11" t="s">
        <v>2283</v>
      </c>
      <c r="S1009" s="11" t="s">
        <v>40</v>
      </c>
      <c r="T1009" s="11">
        <v>0</v>
      </c>
      <c r="V1009" s="11" t="s">
        <v>41</v>
      </c>
    </row>
    <row r="1010" spans="1:22" x14ac:dyDescent="0.25">
      <c r="A1010" s="11">
        <v>101060401</v>
      </c>
      <c r="B1010" s="11" t="s">
        <v>34</v>
      </c>
      <c r="C1010" s="41">
        <v>44907</v>
      </c>
      <c r="D1010" s="41">
        <v>44907</v>
      </c>
      <c r="E1010" s="11" t="s">
        <v>36</v>
      </c>
      <c r="F1010" s="11" t="s">
        <v>2284</v>
      </c>
      <c r="G1010" s="11">
        <v>109983</v>
      </c>
      <c r="H1010" s="11" t="s">
        <v>52</v>
      </c>
      <c r="K1010" s="11">
        <v>201040506</v>
      </c>
      <c r="L1010" s="11" t="s">
        <v>46</v>
      </c>
      <c r="M1010" s="11">
        <v>400.37</v>
      </c>
      <c r="N1010" s="11"/>
      <c r="O1010" s="42">
        <v>400.37</v>
      </c>
      <c r="P1010" s="43" t="s">
        <v>4480</v>
      </c>
      <c r="Q1010" s="11">
        <v>1356615.97</v>
      </c>
      <c r="R1010" s="11" t="s">
        <v>2285</v>
      </c>
      <c r="S1010" s="11" t="s">
        <v>40</v>
      </c>
      <c r="T1010" s="11">
        <v>0</v>
      </c>
    </row>
    <row r="1011" spans="1:22" x14ac:dyDescent="0.25">
      <c r="A1011" s="11">
        <v>101060401</v>
      </c>
      <c r="B1011" s="11" t="s">
        <v>34</v>
      </c>
      <c r="C1011" s="41">
        <v>44907</v>
      </c>
      <c r="D1011" s="41">
        <v>44907</v>
      </c>
      <c r="E1011" s="11" t="s">
        <v>36</v>
      </c>
      <c r="F1011" s="11" t="s">
        <v>2286</v>
      </c>
      <c r="G1011" s="11">
        <v>109984</v>
      </c>
      <c r="H1011" s="11" t="s">
        <v>52</v>
      </c>
      <c r="K1011" s="11">
        <v>201040506</v>
      </c>
      <c r="L1011" s="11" t="s">
        <v>46</v>
      </c>
      <c r="M1011" s="11">
        <v>217.67</v>
      </c>
      <c r="N1011" s="11"/>
      <c r="O1011" s="42">
        <v>217.67</v>
      </c>
      <c r="P1011" s="43" t="s">
        <v>4480</v>
      </c>
      <c r="Q1011" s="11">
        <v>1356833.64</v>
      </c>
      <c r="R1011" s="11" t="s">
        <v>2287</v>
      </c>
      <c r="S1011" s="11" t="s">
        <v>40</v>
      </c>
      <c r="T1011" s="11">
        <v>0</v>
      </c>
    </row>
    <row r="1012" spans="1:22" x14ac:dyDescent="0.25">
      <c r="A1012" s="11">
        <v>101060401</v>
      </c>
      <c r="B1012" s="11" t="s">
        <v>34</v>
      </c>
      <c r="C1012" s="41">
        <v>44907</v>
      </c>
      <c r="D1012" s="41">
        <v>44907</v>
      </c>
      <c r="E1012" s="11" t="s">
        <v>36</v>
      </c>
      <c r="F1012" s="11" t="s">
        <v>2288</v>
      </c>
      <c r="G1012" s="11">
        <v>109985</v>
      </c>
      <c r="H1012" s="11" t="s">
        <v>52</v>
      </c>
      <c r="K1012" s="11">
        <v>201040506</v>
      </c>
      <c r="L1012" s="11" t="s">
        <v>46</v>
      </c>
      <c r="M1012" s="11">
        <v>70.72</v>
      </c>
      <c r="N1012" s="11"/>
      <c r="O1012" s="42">
        <v>70.72</v>
      </c>
      <c r="P1012" s="43" t="s">
        <v>4480</v>
      </c>
      <c r="Q1012" s="11">
        <v>1356904.36</v>
      </c>
      <c r="R1012" s="11" t="s">
        <v>2289</v>
      </c>
      <c r="S1012" s="11" t="s">
        <v>40</v>
      </c>
      <c r="T1012" s="11">
        <v>0</v>
      </c>
    </row>
    <row r="1013" spans="1:22" x14ac:dyDescent="0.25">
      <c r="A1013" s="11">
        <v>101060401</v>
      </c>
      <c r="B1013" s="11" t="s">
        <v>34</v>
      </c>
      <c r="C1013" s="41">
        <v>44907</v>
      </c>
      <c r="D1013" s="41">
        <v>44907</v>
      </c>
      <c r="E1013" s="11" t="s">
        <v>36</v>
      </c>
      <c r="F1013" s="11" t="s">
        <v>2290</v>
      </c>
      <c r="G1013" s="11">
        <v>109986</v>
      </c>
      <c r="H1013" s="11" t="s">
        <v>52</v>
      </c>
      <c r="K1013" s="11">
        <v>201040506</v>
      </c>
      <c r="L1013" s="11" t="s">
        <v>46</v>
      </c>
      <c r="M1013" s="11">
        <v>89.59</v>
      </c>
      <c r="N1013" s="11"/>
      <c r="O1013" s="42">
        <v>89.59</v>
      </c>
      <c r="P1013" s="43" t="s">
        <v>4480</v>
      </c>
      <c r="Q1013" s="11">
        <v>1356993.95</v>
      </c>
      <c r="R1013" s="11" t="s">
        <v>2291</v>
      </c>
      <c r="S1013" s="11" t="s">
        <v>40</v>
      </c>
      <c r="T1013" s="11">
        <v>0</v>
      </c>
    </row>
    <row r="1014" spans="1:22" x14ac:dyDescent="0.25">
      <c r="A1014" s="11">
        <v>101060401</v>
      </c>
      <c r="B1014" s="11" t="s">
        <v>34</v>
      </c>
      <c r="C1014" s="41">
        <v>44907</v>
      </c>
      <c r="D1014" s="41">
        <v>44907</v>
      </c>
      <c r="E1014" s="11" t="s">
        <v>36</v>
      </c>
      <c r="F1014" s="11" t="s">
        <v>2292</v>
      </c>
      <c r="G1014" s="11">
        <v>109987</v>
      </c>
      <c r="H1014" s="11" t="s">
        <v>52</v>
      </c>
      <c r="K1014" s="11">
        <v>201040506</v>
      </c>
      <c r="L1014" s="11" t="s">
        <v>46</v>
      </c>
      <c r="M1014" s="11">
        <v>2948.32</v>
      </c>
      <c r="N1014" s="11"/>
      <c r="O1014" s="42">
        <v>2948.32</v>
      </c>
      <c r="P1014" s="43" t="s">
        <v>4480</v>
      </c>
      <c r="Q1014" s="11">
        <v>1359942.27</v>
      </c>
      <c r="R1014" s="11" t="s">
        <v>2293</v>
      </c>
      <c r="S1014" s="11" t="s">
        <v>40</v>
      </c>
      <c r="T1014" s="11">
        <v>0</v>
      </c>
    </row>
    <row r="1015" spans="1:22" x14ac:dyDescent="0.25">
      <c r="A1015" s="11">
        <v>101060401</v>
      </c>
      <c r="B1015" s="11" t="s">
        <v>34</v>
      </c>
      <c r="C1015" s="41">
        <v>44907</v>
      </c>
      <c r="D1015" s="41">
        <v>44907</v>
      </c>
      <c r="E1015" s="11" t="s">
        <v>36</v>
      </c>
      <c r="F1015" s="11" t="s">
        <v>2294</v>
      </c>
      <c r="G1015" s="11">
        <v>109988</v>
      </c>
      <c r="H1015" s="11" t="s">
        <v>100</v>
      </c>
      <c r="K1015" s="11">
        <v>201040506</v>
      </c>
      <c r="L1015" s="11" t="s">
        <v>46</v>
      </c>
      <c r="M1015" s="11">
        <v>426.08</v>
      </c>
      <c r="N1015" s="11"/>
      <c r="O1015" s="42">
        <v>426.08</v>
      </c>
      <c r="P1015" s="43" t="s">
        <v>4480</v>
      </c>
      <c r="Q1015" s="11">
        <v>1360368.35</v>
      </c>
      <c r="R1015" s="11" t="s">
        <v>2295</v>
      </c>
      <c r="S1015" s="11" t="s">
        <v>40</v>
      </c>
      <c r="T1015" s="11">
        <v>0</v>
      </c>
    </row>
    <row r="1016" spans="1:22" x14ac:dyDescent="0.25">
      <c r="A1016" s="11">
        <v>101060401</v>
      </c>
      <c r="B1016" s="11" t="s">
        <v>34</v>
      </c>
      <c r="C1016" s="41">
        <v>44907</v>
      </c>
      <c r="D1016" s="41">
        <v>44907</v>
      </c>
      <c r="E1016" s="11" t="s">
        <v>36</v>
      </c>
      <c r="F1016" s="11" t="s">
        <v>2296</v>
      </c>
      <c r="G1016" s="11">
        <v>109989</v>
      </c>
      <c r="H1016" s="11" t="s">
        <v>324</v>
      </c>
      <c r="K1016" s="11">
        <v>201040506</v>
      </c>
      <c r="L1016" s="11" t="s">
        <v>46</v>
      </c>
      <c r="M1016" s="11">
        <v>2725</v>
      </c>
      <c r="N1016" s="11"/>
      <c r="O1016" s="42">
        <v>2725</v>
      </c>
      <c r="P1016" s="43" t="s">
        <v>4480</v>
      </c>
      <c r="Q1016" s="11">
        <v>1363093.35</v>
      </c>
      <c r="R1016" s="11" t="s">
        <v>2297</v>
      </c>
      <c r="S1016" s="11" t="s">
        <v>40</v>
      </c>
      <c r="T1016" s="11">
        <v>0</v>
      </c>
    </row>
    <row r="1017" spans="1:22" x14ac:dyDescent="0.25">
      <c r="A1017" s="11">
        <v>101060401</v>
      </c>
      <c r="B1017" s="11" t="s">
        <v>34</v>
      </c>
      <c r="C1017" s="41">
        <v>44907</v>
      </c>
      <c r="D1017" s="41">
        <v>44907</v>
      </c>
      <c r="E1017" s="11" t="s">
        <v>42</v>
      </c>
      <c r="F1017" s="11" t="s">
        <v>2298</v>
      </c>
      <c r="G1017" s="11">
        <v>109990</v>
      </c>
      <c r="H1017" s="11" t="s">
        <v>47</v>
      </c>
      <c r="J1017" s="11" t="s">
        <v>38</v>
      </c>
      <c r="K1017" s="11">
        <v>51010101</v>
      </c>
      <c r="L1017" s="11" t="s">
        <v>48</v>
      </c>
      <c r="M1017" s="11"/>
      <c r="N1017" s="11">
        <v>246.22</v>
      </c>
      <c r="O1017" s="42">
        <v>-246.22</v>
      </c>
      <c r="P1017" s="43" t="s">
        <v>4489</v>
      </c>
      <c r="Q1017" s="11">
        <v>1362847.13</v>
      </c>
      <c r="R1017" s="11" t="s">
        <v>2299</v>
      </c>
      <c r="S1017" s="11" t="s">
        <v>40</v>
      </c>
      <c r="T1017" s="11">
        <v>0</v>
      </c>
      <c r="V1017" s="11" t="s">
        <v>41</v>
      </c>
    </row>
    <row r="1018" spans="1:22" x14ac:dyDescent="0.25">
      <c r="A1018" s="11">
        <v>101060401</v>
      </c>
      <c r="B1018" s="11" t="s">
        <v>34</v>
      </c>
      <c r="C1018" s="41">
        <v>44907</v>
      </c>
      <c r="D1018" s="41">
        <v>44907</v>
      </c>
      <c r="E1018" s="11" t="s">
        <v>42</v>
      </c>
      <c r="F1018" s="11" t="s">
        <v>2300</v>
      </c>
      <c r="G1018" s="11">
        <v>109991</v>
      </c>
      <c r="H1018" s="11" t="s">
        <v>47</v>
      </c>
      <c r="J1018" s="11" t="s">
        <v>38</v>
      </c>
      <c r="K1018" s="11">
        <v>51010101</v>
      </c>
      <c r="L1018" s="11" t="s">
        <v>48</v>
      </c>
      <c r="M1018" s="11"/>
      <c r="N1018" s="11">
        <v>248.01</v>
      </c>
      <c r="O1018" s="42">
        <v>-248.01</v>
      </c>
      <c r="P1018" s="43" t="s">
        <v>4489</v>
      </c>
      <c r="Q1018" s="11">
        <v>1362599.12</v>
      </c>
      <c r="R1018" s="11" t="s">
        <v>2301</v>
      </c>
      <c r="S1018" s="11" t="s">
        <v>40</v>
      </c>
      <c r="T1018" s="11">
        <v>0</v>
      </c>
      <c r="V1018" s="11" t="s">
        <v>41</v>
      </c>
    </row>
    <row r="1019" spans="1:22" x14ac:dyDescent="0.25">
      <c r="A1019" s="11">
        <v>101060401</v>
      </c>
      <c r="B1019" s="11" t="s">
        <v>34</v>
      </c>
      <c r="C1019" s="41">
        <v>44907</v>
      </c>
      <c r="D1019" s="41">
        <v>44907</v>
      </c>
      <c r="E1019" s="11" t="s">
        <v>42</v>
      </c>
      <c r="F1019" s="11" t="s">
        <v>2302</v>
      </c>
      <c r="G1019" s="11">
        <v>109992</v>
      </c>
      <c r="H1019" s="11" t="s">
        <v>53</v>
      </c>
      <c r="J1019" s="11" t="s">
        <v>38</v>
      </c>
      <c r="K1019" s="11">
        <v>51010101</v>
      </c>
      <c r="L1019" s="11" t="s">
        <v>48</v>
      </c>
      <c r="M1019" s="11"/>
      <c r="N1019" s="11">
        <v>84.01</v>
      </c>
      <c r="O1019" s="42">
        <v>-84.01</v>
      </c>
      <c r="P1019" s="43" t="s">
        <v>4489</v>
      </c>
      <c r="Q1019" s="11">
        <v>1362515.11</v>
      </c>
      <c r="R1019" s="11" t="s">
        <v>2303</v>
      </c>
      <c r="S1019" s="11" t="s">
        <v>40</v>
      </c>
      <c r="T1019" s="11">
        <v>0</v>
      </c>
      <c r="V1019" s="11" t="s">
        <v>41</v>
      </c>
    </row>
    <row r="1020" spans="1:22" x14ac:dyDescent="0.25">
      <c r="A1020" s="11">
        <v>101060401</v>
      </c>
      <c r="B1020" s="11" t="s">
        <v>34</v>
      </c>
      <c r="C1020" s="41">
        <v>44907</v>
      </c>
      <c r="D1020" s="41">
        <v>44907</v>
      </c>
      <c r="E1020" s="11" t="s">
        <v>42</v>
      </c>
      <c r="F1020" s="11" t="s">
        <v>2304</v>
      </c>
      <c r="G1020" s="11">
        <v>109993</v>
      </c>
      <c r="H1020" s="11" t="s">
        <v>47</v>
      </c>
      <c r="J1020" s="11" t="s">
        <v>38</v>
      </c>
      <c r="K1020" s="11">
        <v>51010101</v>
      </c>
      <c r="L1020" s="11" t="s">
        <v>48</v>
      </c>
      <c r="M1020" s="11"/>
      <c r="N1020" s="11">
        <v>1683.46</v>
      </c>
      <c r="O1020" s="42">
        <v>-1683.46</v>
      </c>
      <c r="P1020" s="43" t="s">
        <v>4489</v>
      </c>
      <c r="Q1020" s="11">
        <v>1360831.65</v>
      </c>
      <c r="R1020" s="11" t="s">
        <v>2305</v>
      </c>
      <c r="S1020" s="11" t="s">
        <v>40</v>
      </c>
      <c r="T1020" s="11">
        <v>0</v>
      </c>
      <c r="V1020" s="11" t="s">
        <v>41</v>
      </c>
    </row>
    <row r="1021" spans="1:22" x14ac:dyDescent="0.25">
      <c r="A1021" s="11">
        <v>101060401</v>
      </c>
      <c r="B1021" s="11" t="s">
        <v>34</v>
      </c>
      <c r="C1021" s="41">
        <v>44907</v>
      </c>
      <c r="D1021" s="41">
        <v>44907</v>
      </c>
      <c r="E1021" s="11" t="s">
        <v>42</v>
      </c>
      <c r="F1021" s="11" t="s">
        <v>2306</v>
      </c>
      <c r="G1021" s="11">
        <v>109994</v>
      </c>
      <c r="H1021" s="11" t="s">
        <v>849</v>
      </c>
      <c r="J1021" s="11" t="s">
        <v>38</v>
      </c>
      <c r="K1021" s="11">
        <v>51010101</v>
      </c>
      <c r="L1021" s="11" t="s">
        <v>48</v>
      </c>
      <c r="M1021" s="11"/>
      <c r="N1021" s="11">
        <v>428.83</v>
      </c>
      <c r="O1021" s="42">
        <v>-428.83</v>
      </c>
      <c r="P1021" s="43" t="s">
        <v>4489</v>
      </c>
      <c r="Q1021" s="11">
        <v>1360402.82</v>
      </c>
      <c r="R1021" s="11" t="s">
        <v>2307</v>
      </c>
      <c r="S1021" s="11" t="s">
        <v>40</v>
      </c>
      <c r="T1021" s="11">
        <v>0</v>
      </c>
      <c r="V1021" s="11" t="s">
        <v>41</v>
      </c>
    </row>
    <row r="1022" spans="1:22" x14ac:dyDescent="0.25">
      <c r="A1022" s="11">
        <v>101060401</v>
      </c>
      <c r="B1022" s="11" t="s">
        <v>34</v>
      </c>
      <c r="C1022" s="41">
        <v>44907</v>
      </c>
      <c r="D1022" s="41">
        <v>44907</v>
      </c>
      <c r="E1022" s="11" t="s">
        <v>42</v>
      </c>
      <c r="F1022" s="11" t="s">
        <v>2308</v>
      </c>
      <c r="G1022" s="11">
        <v>109995</v>
      </c>
      <c r="H1022" s="11" t="s">
        <v>95</v>
      </c>
      <c r="J1022" s="11" t="s">
        <v>38</v>
      </c>
      <c r="K1022" s="11">
        <v>51010101</v>
      </c>
      <c r="L1022" s="11" t="s">
        <v>48</v>
      </c>
      <c r="M1022" s="11"/>
      <c r="N1022" s="11">
        <v>276.57</v>
      </c>
      <c r="O1022" s="42">
        <v>-276.57</v>
      </c>
      <c r="P1022" s="43" t="s">
        <v>4489</v>
      </c>
      <c r="Q1022" s="11">
        <v>1360126.25</v>
      </c>
      <c r="R1022" s="11" t="s">
        <v>2309</v>
      </c>
      <c r="S1022" s="11" t="s">
        <v>40</v>
      </c>
      <c r="T1022" s="11">
        <v>0</v>
      </c>
      <c r="V1022" s="11" t="s">
        <v>41</v>
      </c>
    </row>
    <row r="1023" spans="1:22" x14ac:dyDescent="0.25">
      <c r="A1023" s="11">
        <v>101060401</v>
      </c>
      <c r="B1023" s="11" t="s">
        <v>34</v>
      </c>
      <c r="C1023" s="41">
        <v>44907</v>
      </c>
      <c r="D1023" s="41">
        <v>44907</v>
      </c>
      <c r="E1023" s="11" t="s">
        <v>42</v>
      </c>
      <c r="F1023" s="11" t="s">
        <v>2310</v>
      </c>
      <c r="G1023" s="11">
        <v>109999</v>
      </c>
      <c r="H1023" s="11" t="s">
        <v>789</v>
      </c>
      <c r="J1023" s="11" t="s">
        <v>38</v>
      </c>
      <c r="K1023" s="11">
        <v>51010101</v>
      </c>
      <c r="L1023" s="11" t="s">
        <v>48</v>
      </c>
      <c r="M1023" s="11"/>
      <c r="N1023" s="11">
        <v>6.44</v>
      </c>
      <c r="O1023" s="42">
        <v>-6.44</v>
      </c>
      <c r="P1023" s="43" t="s">
        <v>4489</v>
      </c>
      <c r="Q1023" s="11">
        <v>1360119.81</v>
      </c>
      <c r="R1023" s="11" t="s">
        <v>334</v>
      </c>
      <c r="S1023" s="11" t="s">
        <v>40</v>
      </c>
      <c r="T1023" s="11">
        <v>0</v>
      </c>
      <c r="V1023" s="11" t="s">
        <v>41</v>
      </c>
    </row>
    <row r="1024" spans="1:22" x14ac:dyDescent="0.25">
      <c r="A1024" s="11">
        <v>101060401</v>
      </c>
      <c r="B1024" s="11" t="s">
        <v>34</v>
      </c>
      <c r="C1024" s="41">
        <v>44907</v>
      </c>
      <c r="D1024" s="41">
        <v>44907</v>
      </c>
      <c r="E1024" s="11" t="s">
        <v>36</v>
      </c>
      <c r="F1024" s="11" t="s">
        <v>2311</v>
      </c>
      <c r="G1024" s="11">
        <v>110000</v>
      </c>
      <c r="H1024" s="11" t="s">
        <v>2312</v>
      </c>
      <c r="K1024" s="11">
        <v>201040506</v>
      </c>
      <c r="L1024" s="11" t="s">
        <v>46</v>
      </c>
      <c r="M1024" s="11">
        <v>832.14</v>
      </c>
      <c r="N1024" s="11"/>
      <c r="O1024" s="42">
        <v>832.14</v>
      </c>
      <c r="P1024" s="43" t="s">
        <v>4480</v>
      </c>
      <c r="Q1024" s="11">
        <v>1360951.95</v>
      </c>
      <c r="R1024" s="11" t="s">
        <v>2313</v>
      </c>
      <c r="S1024" s="11" t="s">
        <v>40</v>
      </c>
      <c r="T1024" s="11">
        <v>0</v>
      </c>
    </row>
    <row r="1025" spans="1:22" x14ac:dyDescent="0.25">
      <c r="A1025" s="11">
        <v>101060401</v>
      </c>
      <c r="B1025" s="11" t="s">
        <v>34</v>
      </c>
      <c r="C1025" s="41">
        <v>44907</v>
      </c>
      <c r="D1025" s="41">
        <v>44907</v>
      </c>
      <c r="E1025" s="11" t="s">
        <v>42</v>
      </c>
      <c r="F1025" s="11" t="s">
        <v>2314</v>
      </c>
      <c r="G1025" s="11">
        <v>110001</v>
      </c>
      <c r="H1025" s="11" t="s">
        <v>2315</v>
      </c>
      <c r="J1025" s="11" t="s">
        <v>38</v>
      </c>
      <c r="K1025" s="11">
        <v>51010101</v>
      </c>
      <c r="L1025" s="11" t="s">
        <v>48</v>
      </c>
      <c r="M1025" s="11"/>
      <c r="N1025" s="11">
        <v>85.61</v>
      </c>
      <c r="O1025" s="42">
        <v>-85.61</v>
      </c>
      <c r="P1025" s="43" t="s">
        <v>4489</v>
      </c>
      <c r="Q1025" s="11">
        <v>1360866.34</v>
      </c>
      <c r="R1025" s="11" t="s">
        <v>2316</v>
      </c>
      <c r="S1025" s="11" t="s">
        <v>40</v>
      </c>
      <c r="T1025" s="11">
        <v>0</v>
      </c>
      <c r="V1025" s="11" t="s">
        <v>41</v>
      </c>
    </row>
    <row r="1026" spans="1:22" x14ac:dyDescent="0.25">
      <c r="A1026" s="11">
        <v>101060401</v>
      </c>
      <c r="B1026" s="11" t="s">
        <v>34</v>
      </c>
      <c r="C1026" s="41">
        <v>44907</v>
      </c>
      <c r="D1026" s="41">
        <v>44907</v>
      </c>
      <c r="E1026" s="11" t="s">
        <v>42</v>
      </c>
      <c r="F1026" s="11" t="s">
        <v>2317</v>
      </c>
      <c r="G1026" s="11">
        <v>110005</v>
      </c>
      <c r="H1026" s="11" t="s">
        <v>158</v>
      </c>
      <c r="J1026" s="11" t="s">
        <v>38</v>
      </c>
      <c r="K1026" s="11">
        <v>51010101</v>
      </c>
      <c r="L1026" s="11" t="s">
        <v>48</v>
      </c>
      <c r="M1026" s="11"/>
      <c r="N1026" s="11">
        <v>3695.63</v>
      </c>
      <c r="O1026" s="42">
        <v>-3695.63</v>
      </c>
      <c r="P1026" s="43" t="s">
        <v>4489</v>
      </c>
      <c r="Q1026" s="11">
        <v>1357170.71</v>
      </c>
      <c r="R1026" s="11" t="s">
        <v>2318</v>
      </c>
      <c r="S1026" s="11" t="s">
        <v>40</v>
      </c>
      <c r="T1026" s="11">
        <v>0</v>
      </c>
      <c r="V1026" s="11" t="s">
        <v>41</v>
      </c>
    </row>
    <row r="1027" spans="1:22" x14ac:dyDescent="0.25">
      <c r="A1027" s="11">
        <v>101060401</v>
      </c>
      <c r="B1027" s="11" t="s">
        <v>34</v>
      </c>
      <c r="C1027" s="41">
        <v>44907</v>
      </c>
      <c r="D1027" s="41">
        <v>44907</v>
      </c>
      <c r="E1027" s="11" t="s">
        <v>36</v>
      </c>
      <c r="F1027" s="11" t="s">
        <v>2319</v>
      </c>
      <c r="G1027" s="11">
        <v>110008</v>
      </c>
      <c r="H1027" s="11" t="s">
        <v>75</v>
      </c>
      <c r="J1027" s="11" t="s">
        <v>38</v>
      </c>
      <c r="K1027" s="11">
        <v>51010101</v>
      </c>
      <c r="L1027" s="11" t="s">
        <v>48</v>
      </c>
      <c r="M1027" s="11"/>
      <c r="N1027" s="11">
        <v>54.28</v>
      </c>
      <c r="O1027" s="42">
        <v>-54.28</v>
      </c>
      <c r="P1027" s="43" t="s">
        <v>4489</v>
      </c>
      <c r="Q1027" s="11">
        <v>1357116.43</v>
      </c>
      <c r="R1027" s="11" t="s">
        <v>2320</v>
      </c>
      <c r="S1027" s="11" t="s">
        <v>40</v>
      </c>
      <c r="T1027" s="11">
        <v>0</v>
      </c>
      <c r="V1027" s="11" t="s">
        <v>41</v>
      </c>
    </row>
    <row r="1028" spans="1:22" x14ac:dyDescent="0.25">
      <c r="A1028" s="11">
        <v>101060401</v>
      </c>
      <c r="B1028" s="11" t="s">
        <v>34</v>
      </c>
      <c r="C1028" s="41">
        <v>44907</v>
      </c>
      <c r="D1028" s="41">
        <v>44907</v>
      </c>
      <c r="E1028" s="11" t="s">
        <v>36</v>
      </c>
      <c r="F1028" s="11" t="s">
        <v>2321</v>
      </c>
      <c r="G1028" s="11">
        <v>110009</v>
      </c>
      <c r="H1028" s="11" t="s">
        <v>37</v>
      </c>
      <c r="J1028" s="11" t="s">
        <v>38</v>
      </c>
      <c r="K1028" s="11">
        <v>401030105</v>
      </c>
      <c r="L1028" s="11" t="s">
        <v>54</v>
      </c>
      <c r="M1028" s="26">
        <v>60.88</v>
      </c>
      <c r="O1028" s="44">
        <v>60.88</v>
      </c>
      <c r="P1028" s="43" t="s">
        <v>4494</v>
      </c>
      <c r="Q1028" s="11">
        <v>1357177.31</v>
      </c>
      <c r="R1028" s="11" t="s">
        <v>2322</v>
      </c>
      <c r="S1028" s="11" t="s">
        <v>40</v>
      </c>
      <c r="T1028" s="11">
        <v>0</v>
      </c>
      <c r="V1028" s="11" t="s">
        <v>41</v>
      </c>
    </row>
    <row r="1029" spans="1:22" x14ac:dyDescent="0.25">
      <c r="A1029" s="11">
        <v>101060401</v>
      </c>
      <c r="B1029" s="11" t="s">
        <v>34</v>
      </c>
      <c r="C1029" s="41">
        <v>44907</v>
      </c>
      <c r="D1029" s="41">
        <v>44907</v>
      </c>
      <c r="E1029" s="11" t="s">
        <v>42</v>
      </c>
      <c r="F1029" s="11" t="s">
        <v>2323</v>
      </c>
      <c r="G1029" s="11">
        <v>110011</v>
      </c>
      <c r="H1029" s="11" t="s">
        <v>57</v>
      </c>
      <c r="K1029" s="11">
        <v>101060402</v>
      </c>
      <c r="L1029" s="11" t="s">
        <v>44</v>
      </c>
      <c r="M1029" s="11"/>
      <c r="N1029" s="11">
        <v>4658.7</v>
      </c>
      <c r="O1029" s="42">
        <v>-4658.7</v>
      </c>
      <c r="P1029" s="43" t="s">
        <v>4481</v>
      </c>
      <c r="Q1029" s="11">
        <v>1352518.61</v>
      </c>
      <c r="R1029" s="11" t="s">
        <v>2324</v>
      </c>
      <c r="S1029" s="11" t="s">
        <v>40</v>
      </c>
      <c r="T1029" s="11">
        <v>0</v>
      </c>
    </row>
    <row r="1030" spans="1:22" x14ac:dyDescent="0.25">
      <c r="A1030" s="11">
        <v>101060401</v>
      </c>
      <c r="B1030" s="11" t="s">
        <v>34</v>
      </c>
      <c r="C1030" s="41">
        <v>44907</v>
      </c>
      <c r="D1030" s="41">
        <v>44907</v>
      </c>
      <c r="E1030" s="11" t="s">
        <v>42</v>
      </c>
      <c r="F1030" s="11" t="s">
        <v>2325</v>
      </c>
      <c r="G1030" s="11">
        <v>110013</v>
      </c>
      <c r="H1030" s="11" t="s">
        <v>43</v>
      </c>
      <c r="K1030" s="11">
        <v>101060402</v>
      </c>
      <c r="L1030" s="11" t="s">
        <v>44</v>
      </c>
      <c r="M1030" s="11"/>
      <c r="N1030" s="11">
        <v>650.39</v>
      </c>
      <c r="O1030" s="42">
        <v>-650.39</v>
      </c>
      <c r="P1030" s="43" t="s">
        <v>4481</v>
      </c>
      <c r="Q1030" s="11">
        <v>1351868.22</v>
      </c>
      <c r="R1030" s="11" t="s">
        <v>2326</v>
      </c>
      <c r="S1030" s="11" t="s">
        <v>40</v>
      </c>
      <c r="T1030" s="11">
        <v>0</v>
      </c>
    </row>
    <row r="1031" spans="1:22" x14ac:dyDescent="0.25">
      <c r="A1031" s="11">
        <v>101060401</v>
      </c>
      <c r="B1031" s="11" t="s">
        <v>34</v>
      </c>
      <c r="C1031" s="41">
        <v>44907</v>
      </c>
      <c r="D1031" s="41">
        <v>44907</v>
      </c>
      <c r="E1031" s="11" t="s">
        <v>36</v>
      </c>
      <c r="F1031" s="11" t="s">
        <v>2327</v>
      </c>
      <c r="G1031" s="11">
        <v>110014</v>
      </c>
      <c r="H1031" s="11" t="s">
        <v>92</v>
      </c>
      <c r="K1031" s="11">
        <v>201040506</v>
      </c>
      <c r="L1031" s="11" t="s">
        <v>46</v>
      </c>
      <c r="M1031" s="11">
        <v>1188</v>
      </c>
      <c r="N1031" s="11"/>
      <c r="O1031" s="42">
        <v>1188</v>
      </c>
      <c r="P1031" s="43" t="s">
        <v>4480</v>
      </c>
      <c r="Q1031" s="11">
        <v>1353056.22</v>
      </c>
      <c r="R1031" s="11" t="s">
        <v>2328</v>
      </c>
      <c r="S1031" s="11" t="s">
        <v>40</v>
      </c>
      <c r="T1031" s="11">
        <v>0</v>
      </c>
    </row>
    <row r="1032" spans="1:22" x14ac:dyDescent="0.25">
      <c r="A1032" s="11">
        <v>101060401</v>
      </c>
      <c r="B1032" s="11" t="s">
        <v>34</v>
      </c>
      <c r="C1032" s="41">
        <v>44907</v>
      </c>
      <c r="D1032" s="41">
        <v>44907</v>
      </c>
      <c r="E1032" s="11" t="s">
        <v>42</v>
      </c>
      <c r="F1032" s="11" t="s">
        <v>2329</v>
      </c>
      <c r="G1032" s="11">
        <v>110015</v>
      </c>
      <c r="H1032" s="11" t="s">
        <v>47</v>
      </c>
      <c r="J1032" s="11" t="s">
        <v>38</v>
      </c>
      <c r="K1032" s="11">
        <v>51010101</v>
      </c>
      <c r="L1032" s="11" t="s">
        <v>48</v>
      </c>
      <c r="M1032" s="11"/>
      <c r="N1032" s="11">
        <v>1188</v>
      </c>
      <c r="O1032" s="42">
        <v>-1188</v>
      </c>
      <c r="P1032" s="43" t="s">
        <v>4489</v>
      </c>
      <c r="Q1032" s="11">
        <v>1351868.22</v>
      </c>
      <c r="R1032" s="11" t="s">
        <v>2330</v>
      </c>
      <c r="S1032" s="11" t="s">
        <v>40</v>
      </c>
      <c r="T1032" s="11">
        <v>0</v>
      </c>
      <c r="V1032" s="11" t="s">
        <v>41</v>
      </c>
    </row>
    <row r="1033" spans="1:22" x14ac:dyDescent="0.25">
      <c r="A1033" s="11">
        <v>101060401</v>
      </c>
      <c r="B1033" s="11" t="s">
        <v>34</v>
      </c>
      <c r="C1033" s="41">
        <v>44907</v>
      </c>
      <c r="D1033" s="41">
        <v>44907</v>
      </c>
      <c r="E1033" s="11" t="s">
        <v>42</v>
      </c>
      <c r="F1033" s="11" t="s">
        <v>2331</v>
      </c>
      <c r="G1033" s="11">
        <v>110020</v>
      </c>
      <c r="H1033" s="11" t="s">
        <v>47</v>
      </c>
      <c r="J1033" s="11" t="s">
        <v>38</v>
      </c>
      <c r="K1033" s="11">
        <v>51010101</v>
      </c>
      <c r="L1033" s="11" t="s">
        <v>48</v>
      </c>
      <c r="M1033" s="11"/>
      <c r="N1033" s="11">
        <v>56.4</v>
      </c>
      <c r="O1033" s="42">
        <v>-56.4</v>
      </c>
      <c r="P1033" s="43" t="s">
        <v>4489</v>
      </c>
      <c r="Q1033" s="11">
        <v>1351811.82</v>
      </c>
      <c r="R1033" s="11" t="s">
        <v>2332</v>
      </c>
      <c r="S1033" s="11" t="s">
        <v>40</v>
      </c>
      <c r="T1033" s="11">
        <v>0</v>
      </c>
      <c r="V1033" s="11" t="s">
        <v>41</v>
      </c>
    </row>
    <row r="1034" spans="1:22" x14ac:dyDescent="0.25">
      <c r="A1034" s="11">
        <v>101060401</v>
      </c>
      <c r="B1034" s="11" t="s">
        <v>34</v>
      </c>
      <c r="C1034" s="41">
        <v>44907</v>
      </c>
      <c r="D1034" s="41">
        <v>44907</v>
      </c>
      <c r="E1034" s="11" t="s">
        <v>36</v>
      </c>
      <c r="F1034" s="11" t="s">
        <v>2333</v>
      </c>
      <c r="G1034" s="11">
        <v>110027</v>
      </c>
      <c r="H1034" s="11" t="s">
        <v>154</v>
      </c>
      <c r="K1034" s="11">
        <v>201040506</v>
      </c>
      <c r="L1034" s="11" t="s">
        <v>46</v>
      </c>
      <c r="M1034" s="11">
        <v>1745.53</v>
      </c>
      <c r="N1034" s="11"/>
      <c r="O1034" s="42">
        <v>1745.53</v>
      </c>
      <c r="P1034" s="43" t="s">
        <v>4480</v>
      </c>
      <c r="Q1034" s="11">
        <v>1353557.35</v>
      </c>
      <c r="R1034" s="11" t="s">
        <v>2334</v>
      </c>
      <c r="S1034" s="11" t="s">
        <v>40</v>
      </c>
      <c r="T1034" s="11">
        <v>0</v>
      </c>
    </row>
    <row r="1035" spans="1:22" x14ac:dyDescent="0.25">
      <c r="A1035" s="11">
        <v>101060401</v>
      </c>
      <c r="B1035" s="11" t="s">
        <v>34</v>
      </c>
      <c r="C1035" s="41">
        <v>44907</v>
      </c>
      <c r="D1035" s="41">
        <v>44907</v>
      </c>
      <c r="E1035" s="11" t="s">
        <v>42</v>
      </c>
      <c r="F1035" s="11" t="s">
        <v>2335</v>
      </c>
      <c r="G1035" s="11">
        <v>110028</v>
      </c>
      <c r="H1035" s="11" t="s">
        <v>57</v>
      </c>
      <c r="K1035" s="11">
        <v>101060402</v>
      </c>
      <c r="L1035" s="11" t="s">
        <v>44</v>
      </c>
      <c r="M1035" s="11"/>
      <c r="N1035" s="11">
        <v>211.77</v>
      </c>
      <c r="O1035" s="42">
        <v>-211.77</v>
      </c>
      <c r="P1035" s="43" t="s">
        <v>4481</v>
      </c>
      <c r="Q1035" s="11">
        <v>1353345.58</v>
      </c>
      <c r="R1035" s="11" t="s">
        <v>2336</v>
      </c>
      <c r="S1035" s="11" t="s">
        <v>40</v>
      </c>
      <c r="T1035" s="11">
        <v>0</v>
      </c>
    </row>
    <row r="1036" spans="1:22" x14ac:dyDescent="0.25">
      <c r="A1036" s="11">
        <v>101060401</v>
      </c>
      <c r="B1036" s="11" t="s">
        <v>34</v>
      </c>
      <c r="C1036" s="41">
        <v>44907</v>
      </c>
      <c r="D1036" s="41">
        <v>44907</v>
      </c>
      <c r="E1036" s="11" t="s">
        <v>36</v>
      </c>
      <c r="F1036" s="11" t="s">
        <v>2337</v>
      </c>
      <c r="G1036" s="11">
        <v>110029</v>
      </c>
      <c r="H1036" s="11" t="s">
        <v>52</v>
      </c>
      <c r="K1036" s="11">
        <v>201040506</v>
      </c>
      <c r="L1036" s="11" t="s">
        <v>46</v>
      </c>
      <c r="M1036" s="11">
        <v>828.92</v>
      </c>
      <c r="N1036" s="11"/>
      <c r="O1036" s="42">
        <v>828.92</v>
      </c>
      <c r="P1036" s="43" t="s">
        <v>4480</v>
      </c>
      <c r="Q1036" s="11">
        <v>1354174.5</v>
      </c>
      <c r="R1036" s="11" t="s">
        <v>2338</v>
      </c>
      <c r="S1036" s="11" t="s">
        <v>40</v>
      </c>
      <c r="T1036" s="11">
        <v>0</v>
      </c>
    </row>
    <row r="1037" spans="1:22" x14ac:dyDescent="0.25">
      <c r="A1037" s="11">
        <v>101060401</v>
      </c>
      <c r="B1037" s="11" t="s">
        <v>34</v>
      </c>
      <c r="C1037" s="41">
        <v>44907</v>
      </c>
      <c r="D1037" s="41">
        <v>44907</v>
      </c>
      <c r="E1037" s="11" t="s">
        <v>42</v>
      </c>
      <c r="F1037" s="11" t="s">
        <v>2339</v>
      </c>
      <c r="G1037" s="11">
        <v>110031</v>
      </c>
      <c r="H1037" s="11" t="s">
        <v>47</v>
      </c>
      <c r="J1037" s="11" t="s">
        <v>38</v>
      </c>
      <c r="K1037" s="11">
        <v>51010101</v>
      </c>
      <c r="L1037" s="11" t="s">
        <v>48</v>
      </c>
      <c r="M1037" s="11"/>
      <c r="N1037" s="11">
        <v>828.92</v>
      </c>
      <c r="O1037" s="42">
        <v>-828.92</v>
      </c>
      <c r="P1037" s="43" t="s">
        <v>4489</v>
      </c>
      <c r="Q1037" s="11">
        <v>1353345.58</v>
      </c>
      <c r="R1037" s="11" t="s">
        <v>2340</v>
      </c>
      <c r="S1037" s="11" t="s">
        <v>40</v>
      </c>
      <c r="T1037" s="11">
        <v>0</v>
      </c>
      <c r="V1037" s="11" t="s">
        <v>41</v>
      </c>
    </row>
    <row r="1038" spans="1:22" x14ac:dyDescent="0.25">
      <c r="A1038" s="11">
        <v>101060401</v>
      </c>
      <c r="B1038" s="11" t="s">
        <v>34</v>
      </c>
      <c r="C1038" s="41">
        <v>44907</v>
      </c>
      <c r="D1038" s="41">
        <v>44907</v>
      </c>
      <c r="E1038" s="11" t="s">
        <v>42</v>
      </c>
      <c r="F1038" s="11" t="s">
        <v>2341</v>
      </c>
      <c r="G1038" s="11">
        <v>110043</v>
      </c>
      <c r="H1038" s="11" t="s">
        <v>57</v>
      </c>
      <c r="K1038" s="11">
        <v>101060402</v>
      </c>
      <c r="L1038" s="11" t="s">
        <v>44</v>
      </c>
      <c r="M1038" s="11"/>
      <c r="N1038" s="11">
        <v>102.41</v>
      </c>
      <c r="O1038" s="42">
        <v>-102.41</v>
      </c>
      <c r="P1038" s="43" t="s">
        <v>4481</v>
      </c>
      <c r="Q1038" s="11">
        <v>1353243.17</v>
      </c>
      <c r="R1038" s="11" t="s">
        <v>2342</v>
      </c>
      <c r="S1038" s="11" t="s">
        <v>40</v>
      </c>
      <c r="T1038" s="11">
        <v>0</v>
      </c>
    </row>
    <row r="1039" spans="1:22" x14ac:dyDescent="0.25">
      <c r="A1039" s="11">
        <v>101060401</v>
      </c>
      <c r="B1039" s="11" t="s">
        <v>34</v>
      </c>
      <c r="C1039" s="41">
        <v>44907</v>
      </c>
      <c r="D1039" s="41">
        <v>44907</v>
      </c>
      <c r="E1039" s="11" t="s">
        <v>36</v>
      </c>
      <c r="F1039" s="11" t="s">
        <v>2343</v>
      </c>
      <c r="G1039" s="11">
        <v>110046</v>
      </c>
      <c r="H1039" s="11" t="s">
        <v>92</v>
      </c>
      <c r="K1039" s="11">
        <v>201040506</v>
      </c>
      <c r="L1039" s="11" t="s">
        <v>46</v>
      </c>
      <c r="M1039" s="11">
        <v>2079</v>
      </c>
      <c r="N1039" s="11"/>
      <c r="O1039" s="42">
        <v>2079</v>
      </c>
      <c r="P1039" s="43" t="s">
        <v>4480</v>
      </c>
      <c r="Q1039" s="11">
        <v>1355322.17</v>
      </c>
      <c r="R1039" s="11" t="s">
        <v>2344</v>
      </c>
      <c r="S1039" s="11" t="s">
        <v>40</v>
      </c>
      <c r="T1039" s="11">
        <v>0</v>
      </c>
    </row>
    <row r="1040" spans="1:22" x14ac:dyDescent="0.25">
      <c r="A1040" s="11">
        <v>101060401</v>
      </c>
      <c r="B1040" s="11" t="s">
        <v>34</v>
      </c>
      <c r="C1040" s="41">
        <v>44907</v>
      </c>
      <c r="D1040" s="41">
        <v>44907</v>
      </c>
      <c r="E1040" s="11" t="s">
        <v>42</v>
      </c>
      <c r="F1040" s="11" t="s">
        <v>2345</v>
      </c>
      <c r="G1040" s="11">
        <v>110047</v>
      </c>
      <c r="H1040" s="11" t="s">
        <v>47</v>
      </c>
      <c r="J1040" s="11" t="s">
        <v>38</v>
      </c>
      <c r="K1040" s="11">
        <v>51010101</v>
      </c>
      <c r="L1040" s="11" t="s">
        <v>48</v>
      </c>
      <c r="M1040" s="11"/>
      <c r="N1040" s="11">
        <v>2079</v>
      </c>
      <c r="O1040" s="42">
        <v>-2079</v>
      </c>
      <c r="P1040" s="43" t="s">
        <v>4489</v>
      </c>
      <c r="Q1040" s="11">
        <v>1353243.17</v>
      </c>
      <c r="R1040" s="11" t="s">
        <v>2346</v>
      </c>
      <c r="S1040" s="11" t="s">
        <v>40</v>
      </c>
      <c r="T1040" s="11">
        <v>0</v>
      </c>
      <c r="V1040" s="11" t="s">
        <v>41</v>
      </c>
    </row>
    <row r="1041" spans="1:22" x14ac:dyDescent="0.25">
      <c r="A1041" s="11">
        <v>101060401</v>
      </c>
      <c r="B1041" s="11" t="s">
        <v>34</v>
      </c>
      <c r="C1041" s="41">
        <v>44907</v>
      </c>
      <c r="D1041" s="41">
        <v>44907</v>
      </c>
      <c r="E1041" s="11" t="s">
        <v>42</v>
      </c>
      <c r="F1041" s="11" t="s">
        <v>2347</v>
      </c>
      <c r="G1041" s="11">
        <v>110391</v>
      </c>
      <c r="H1041" s="11" t="s">
        <v>2116</v>
      </c>
      <c r="J1041" s="11" t="s">
        <v>38</v>
      </c>
      <c r="K1041" s="11">
        <v>51010101</v>
      </c>
      <c r="L1041" s="11" t="s">
        <v>48</v>
      </c>
      <c r="M1041" s="11">
        <v>84.01</v>
      </c>
      <c r="N1041" s="11"/>
      <c r="O1041" s="42">
        <v>84.01</v>
      </c>
      <c r="P1041" s="43" t="s">
        <v>4489</v>
      </c>
      <c r="Q1041" s="11">
        <v>1353327.18</v>
      </c>
      <c r="R1041" s="11" t="s">
        <v>2348</v>
      </c>
      <c r="S1041" s="11" t="s">
        <v>40</v>
      </c>
      <c r="T1041" s="11">
        <v>0</v>
      </c>
      <c r="V1041" s="11" t="s">
        <v>41</v>
      </c>
    </row>
    <row r="1042" spans="1:22" x14ac:dyDescent="0.25">
      <c r="A1042" s="11">
        <v>101060401</v>
      </c>
      <c r="B1042" s="11" t="s">
        <v>34</v>
      </c>
      <c r="C1042" s="41">
        <v>44907</v>
      </c>
      <c r="D1042" s="41">
        <v>44907</v>
      </c>
      <c r="E1042" s="11" t="s">
        <v>42</v>
      </c>
      <c r="F1042" s="11" t="s">
        <v>2349</v>
      </c>
      <c r="G1042" s="11">
        <v>110523</v>
      </c>
      <c r="H1042" s="11" t="s">
        <v>88</v>
      </c>
      <c r="J1042" s="11" t="s">
        <v>38</v>
      </c>
      <c r="K1042" s="11">
        <v>51010101</v>
      </c>
      <c r="L1042" s="11" t="s">
        <v>48</v>
      </c>
      <c r="M1042" s="11">
        <v>828.92</v>
      </c>
      <c r="N1042" s="11"/>
      <c r="O1042" s="42">
        <v>828.92</v>
      </c>
      <c r="P1042" s="43" t="s">
        <v>4489</v>
      </c>
      <c r="Q1042" s="11">
        <v>1354156.1</v>
      </c>
      <c r="R1042" s="11" t="s">
        <v>2338</v>
      </c>
      <c r="S1042" s="11" t="s">
        <v>40</v>
      </c>
      <c r="T1042" s="11">
        <v>0</v>
      </c>
      <c r="V1042" s="11" t="s">
        <v>41</v>
      </c>
    </row>
    <row r="1043" spans="1:22" x14ac:dyDescent="0.25">
      <c r="A1043" s="11">
        <v>101060401</v>
      </c>
      <c r="B1043" s="11" t="s">
        <v>34</v>
      </c>
      <c r="C1043" s="41">
        <v>44907</v>
      </c>
      <c r="D1043" s="41">
        <v>44907</v>
      </c>
      <c r="E1043" s="11" t="s">
        <v>60</v>
      </c>
      <c r="F1043" s="11" t="s">
        <v>2350</v>
      </c>
      <c r="G1043" s="11">
        <v>110524</v>
      </c>
      <c r="H1043" s="11" t="s">
        <v>61</v>
      </c>
      <c r="K1043" s="11">
        <v>201040506</v>
      </c>
      <c r="L1043" s="11" t="s">
        <v>46</v>
      </c>
      <c r="M1043" s="11"/>
      <c r="N1043" s="11">
        <v>828.92</v>
      </c>
      <c r="O1043" s="42">
        <v>-828.92</v>
      </c>
      <c r="P1043" s="43" t="s">
        <v>4480</v>
      </c>
      <c r="Q1043" s="11">
        <v>1353327.18</v>
      </c>
      <c r="R1043" s="11" t="s">
        <v>2340</v>
      </c>
      <c r="S1043" s="11" t="s">
        <v>40</v>
      </c>
      <c r="T1043" s="11">
        <v>0</v>
      </c>
    </row>
    <row r="1044" spans="1:22" x14ac:dyDescent="0.25">
      <c r="A1044" s="11">
        <v>101060401</v>
      </c>
      <c r="B1044" s="11" t="s">
        <v>34</v>
      </c>
      <c r="C1044" s="41">
        <v>44908</v>
      </c>
      <c r="D1044" s="41">
        <v>44908</v>
      </c>
      <c r="E1044" s="11" t="s">
        <v>42</v>
      </c>
      <c r="F1044" s="11" t="s">
        <v>2351</v>
      </c>
      <c r="G1044" s="11">
        <v>110058</v>
      </c>
      <c r="H1044" s="11" t="s">
        <v>53</v>
      </c>
      <c r="J1044" s="11" t="s">
        <v>38</v>
      </c>
      <c r="K1044" s="11">
        <v>51010101</v>
      </c>
      <c r="L1044" s="11" t="s">
        <v>48</v>
      </c>
      <c r="M1044" s="11"/>
      <c r="N1044" s="11">
        <v>20.86</v>
      </c>
      <c r="O1044" s="42">
        <v>-20.86</v>
      </c>
      <c r="P1044" s="43" t="s">
        <v>4489</v>
      </c>
      <c r="Q1044" s="11">
        <v>1353306.32</v>
      </c>
      <c r="R1044" s="11" t="s">
        <v>2352</v>
      </c>
      <c r="S1044" s="11" t="s">
        <v>40</v>
      </c>
      <c r="T1044" s="11">
        <v>0</v>
      </c>
      <c r="V1044" s="11" t="s">
        <v>41</v>
      </c>
    </row>
    <row r="1045" spans="1:22" x14ac:dyDescent="0.25">
      <c r="A1045" s="11">
        <v>101060401</v>
      </c>
      <c r="B1045" s="11" t="s">
        <v>34</v>
      </c>
      <c r="C1045" s="41">
        <v>44908</v>
      </c>
      <c r="D1045" s="41">
        <v>44908</v>
      </c>
      <c r="E1045" s="11" t="s">
        <v>42</v>
      </c>
      <c r="F1045" s="11" t="s">
        <v>2353</v>
      </c>
      <c r="G1045" s="11">
        <v>110065</v>
      </c>
      <c r="H1045" s="11" t="s">
        <v>94</v>
      </c>
      <c r="J1045" s="11" t="s">
        <v>38</v>
      </c>
      <c r="K1045" s="11">
        <v>51010101</v>
      </c>
      <c r="L1045" s="11" t="s">
        <v>48</v>
      </c>
      <c r="M1045" s="11"/>
      <c r="N1045" s="11">
        <v>409.52</v>
      </c>
      <c r="O1045" s="42">
        <v>-409.52</v>
      </c>
      <c r="P1045" s="43" t="s">
        <v>4489</v>
      </c>
      <c r="Q1045" s="11">
        <v>1352896.8</v>
      </c>
      <c r="R1045" s="11" t="s">
        <v>2354</v>
      </c>
      <c r="S1045" s="11" t="s">
        <v>40</v>
      </c>
      <c r="T1045" s="11">
        <v>0</v>
      </c>
      <c r="V1045" s="11" t="s">
        <v>41</v>
      </c>
    </row>
    <row r="1046" spans="1:22" x14ac:dyDescent="0.25">
      <c r="A1046" s="11">
        <v>101060401</v>
      </c>
      <c r="B1046" s="11" t="s">
        <v>34</v>
      </c>
      <c r="C1046" s="41">
        <v>44908</v>
      </c>
      <c r="D1046" s="41">
        <v>44908</v>
      </c>
      <c r="E1046" s="11" t="s">
        <v>42</v>
      </c>
      <c r="F1046" s="11" t="s">
        <v>2355</v>
      </c>
      <c r="G1046" s="11">
        <v>110066</v>
      </c>
      <c r="H1046" s="11" t="s">
        <v>108</v>
      </c>
      <c r="J1046" s="11" t="s">
        <v>38</v>
      </c>
      <c r="K1046" s="11">
        <v>51010101</v>
      </c>
      <c r="L1046" s="11" t="s">
        <v>48</v>
      </c>
      <c r="M1046" s="11"/>
      <c r="N1046" s="11">
        <v>4600.5</v>
      </c>
      <c r="O1046" s="42">
        <v>-4600.5</v>
      </c>
      <c r="P1046" s="43" t="s">
        <v>4489</v>
      </c>
      <c r="Q1046" s="11">
        <v>1348296.3</v>
      </c>
      <c r="R1046" s="11" t="s">
        <v>2356</v>
      </c>
      <c r="S1046" s="11" t="s">
        <v>40</v>
      </c>
      <c r="T1046" s="11">
        <v>0</v>
      </c>
      <c r="V1046" s="11" t="s">
        <v>41</v>
      </c>
    </row>
    <row r="1047" spans="1:22" x14ac:dyDescent="0.25">
      <c r="A1047" s="11">
        <v>101060401</v>
      </c>
      <c r="B1047" s="11" t="s">
        <v>34</v>
      </c>
      <c r="C1047" s="41">
        <v>44908</v>
      </c>
      <c r="D1047" s="41">
        <v>44908</v>
      </c>
      <c r="E1047" s="11" t="s">
        <v>36</v>
      </c>
      <c r="F1047" s="11" t="s">
        <v>2357</v>
      </c>
      <c r="G1047" s="11">
        <v>110070</v>
      </c>
      <c r="H1047" s="11" t="s">
        <v>52</v>
      </c>
      <c r="K1047" s="11">
        <v>201040506</v>
      </c>
      <c r="L1047" s="11" t="s">
        <v>46</v>
      </c>
      <c r="M1047" s="11">
        <v>642.55999999999995</v>
      </c>
      <c r="N1047" s="11"/>
      <c r="O1047" s="42">
        <v>642.55999999999995</v>
      </c>
      <c r="P1047" s="43" t="s">
        <v>4480</v>
      </c>
      <c r="Q1047" s="11">
        <v>1348938.86</v>
      </c>
      <c r="R1047" s="11" t="s">
        <v>2358</v>
      </c>
      <c r="S1047" s="11" t="s">
        <v>40</v>
      </c>
      <c r="T1047" s="11">
        <v>0</v>
      </c>
    </row>
    <row r="1048" spans="1:22" x14ac:dyDescent="0.25">
      <c r="A1048" s="11">
        <v>101060401</v>
      </c>
      <c r="B1048" s="11" t="s">
        <v>34</v>
      </c>
      <c r="C1048" s="41">
        <v>44908</v>
      </c>
      <c r="D1048" s="41">
        <v>44908</v>
      </c>
      <c r="E1048" s="11" t="s">
        <v>42</v>
      </c>
      <c r="F1048" s="11" t="s">
        <v>2359</v>
      </c>
      <c r="G1048" s="11">
        <v>110071</v>
      </c>
      <c r="H1048" s="11" t="s">
        <v>1810</v>
      </c>
      <c r="J1048" s="11" t="s">
        <v>38</v>
      </c>
      <c r="K1048" s="11">
        <v>51010101</v>
      </c>
      <c r="L1048" s="11" t="s">
        <v>48</v>
      </c>
      <c r="M1048" s="11"/>
      <c r="N1048" s="11">
        <v>1533.76</v>
      </c>
      <c r="O1048" s="42">
        <v>-1533.76</v>
      </c>
      <c r="P1048" s="43" t="s">
        <v>4489</v>
      </c>
      <c r="Q1048" s="11">
        <v>1347405.1</v>
      </c>
      <c r="R1048" s="11" t="s">
        <v>2360</v>
      </c>
      <c r="S1048" s="11" t="s">
        <v>106</v>
      </c>
      <c r="T1048" s="11">
        <v>0</v>
      </c>
      <c r="V1048" s="11" t="s">
        <v>41</v>
      </c>
    </row>
    <row r="1049" spans="1:22" x14ac:dyDescent="0.25">
      <c r="A1049" s="11">
        <v>101060401</v>
      </c>
      <c r="B1049" s="11" t="s">
        <v>34</v>
      </c>
      <c r="C1049" s="41">
        <v>44908</v>
      </c>
      <c r="D1049" s="41">
        <v>44908</v>
      </c>
      <c r="E1049" s="11" t="s">
        <v>42</v>
      </c>
      <c r="F1049" s="11" t="s">
        <v>2361</v>
      </c>
      <c r="G1049" s="11">
        <v>110072</v>
      </c>
      <c r="H1049" s="11" t="s">
        <v>57</v>
      </c>
      <c r="K1049" s="11">
        <v>101060402</v>
      </c>
      <c r="L1049" s="11" t="s">
        <v>44</v>
      </c>
      <c r="M1049" s="11"/>
      <c r="N1049" s="11">
        <v>642.55999999999995</v>
      </c>
      <c r="O1049" s="42">
        <v>-642.55999999999995</v>
      </c>
      <c r="P1049" s="43" t="s">
        <v>4481</v>
      </c>
      <c r="Q1049" s="11">
        <v>1346762.54</v>
      </c>
      <c r="R1049" s="11" t="s">
        <v>2362</v>
      </c>
      <c r="S1049" s="11" t="s">
        <v>40</v>
      </c>
      <c r="T1049" s="11">
        <v>0</v>
      </c>
    </row>
    <row r="1050" spans="1:22" x14ac:dyDescent="0.25">
      <c r="A1050" s="11">
        <v>101060401</v>
      </c>
      <c r="B1050" s="11" t="s">
        <v>34</v>
      </c>
      <c r="C1050" s="41">
        <v>44908</v>
      </c>
      <c r="D1050" s="41">
        <v>44908</v>
      </c>
      <c r="E1050" s="11" t="s">
        <v>42</v>
      </c>
      <c r="F1050" s="11" t="s">
        <v>2363</v>
      </c>
      <c r="G1050" s="11">
        <v>110074</v>
      </c>
      <c r="H1050" s="11" t="s">
        <v>71</v>
      </c>
      <c r="J1050" s="11" t="s">
        <v>38</v>
      </c>
      <c r="K1050" s="11">
        <v>51010101</v>
      </c>
      <c r="L1050" s="11" t="s">
        <v>48</v>
      </c>
      <c r="M1050" s="11"/>
      <c r="N1050" s="11">
        <v>51.67</v>
      </c>
      <c r="O1050" s="42">
        <v>-51.67</v>
      </c>
      <c r="P1050" s="43" t="s">
        <v>4489</v>
      </c>
      <c r="Q1050" s="11">
        <v>1346710.87</v>
      </c>
      <c r="R1050" s="11" t="s">
        <v>2364</v>
      </c>
      <c r="S1050" s="11" t="s">
        <v>40</v>
      </c>
      <c r="T1050" s="11">
        <v>0</v>
      </c>
      <c r="V1050" s="11" t="s">
        <v>41</v>
      </c>
    </row>
    <row r="1051" spans="1:22" x14ac:dyDescent="0.25">
      <c r="A1051" s="11">
        <v>101060401</v>
      </c>
      <c r="B1051" s="11" t="s">
        <v>34</v>
      </c>
      <c r="C1051" s="41">
        <v>44908</v>
      </c>
      <c r="D1051" s="41">
        <v>44908</v>
      </c>
      <c r="E1051" s="11" t="s">
        <v>42</v>
      </c>
      <c r="F1051" s="11" t="s">
        <v>2365</v>
      </c>
      <c r="G1051" s="11">
        <v>110076</v>
      </c>
      <c r="H1051" s="11" t="s">
        <v>174</v>
      </c>
      <c r="J1051" s="11" t="s">
        <v>38</v>
      </c>
      <c r="K1051" s="11">
        <v>51010101</v>
      </c>
      <c r="L1051" s="11" t="s">
        <v>48</v>
      </c>
      <c r="M1051" s="11"/>
      <c r="N1051" s="11">
        <v>1701.53</v>
      </c>
      <c r="O1051" s="42">
        <v>-1701.53</v>
      </c>
      <c r="P1051" s="43" t="s">
        <v>4489</v>
      </c>
      <c r="Q1051" s="11">
        <v>1345009.34</v>
      </c>
      <c r="R1051" s="11" t="s">
        <v>2366</v>
      </c>
      <c r="S1051" s="11" t="s">
        <v>40</v>
      </c>
      <c r="T1051" s="11">
        <v>0</v>
      </c>
      <c r="V1051" s="11" t="s">
        <v>41</v>
      </c>
    </row>
    <row r="1052" spans="1:22" x14ac:dyDescent="0.25">
      <c r="A1052" s="11">
        <v>101060401</v>
      </c>
      <c r="B1052" s="11" t="s">
        <v>34</v>
      </c>
      <c r="C1052" s="41">
        <v>44908</v>
      </c>
      <c r="D1052" s="41">
        <v>44908</v>
      </c>
      <c r="E1052" s="11" t="s">
        <v>36</v>
      </c>
      <c r="F1052" s="11" t="s">
        <v>2367</v>
      </c>
      <c r="G1052" s="11">
        <v>110077</v>
      </c>
      <c r="H1052" s="11" t="s">
        <v>37</v>
      </c>
      <c r="J1052" s="11" t="s">
        <v>38</v>
      </c>
      <c r="K1052" s="11">
        <v>401030105</v>
      </c>
      <c r="L1052" s="11" t="s">
        <v>54</v>
      </c>
      <c r="M1052" s="26">
        <v>30.13</v>
      </c>
      <c r="O1052" s="44">
        <v>30.13</v>
      </c>
      <c r="P1052" s="43" t="s">
        <v>4494</v>
      </c>
      <c r="Q1052" s="11">
        <v>1345039.47</v>
      </c>
      <c r="R1052" s="11" t="s">
        <v>1433</v>
      </c>
      <c r="S1052" s="11" t="s">
        <v>40</v>
      </c>
      <c r="T1052" s="11">
        <v>0</v>
      </c>
      <c r="V1052" s="11" t="s">
        <v>41</v>
      </c>
    </row>
    <row r="1053" spans="1:22" x14ac:dyDescent="0.25">
      <c r="A1053" s="11">
        <v>101060401</v>
      </c>
      <c r="B1053" s="11" t="s">
        <v>34</v>
      </c>
      <c r="C1053" s="41">
        <v>44908</v>
      </c>
      <c r="D1053" s="41">
        <v>44908</v>
      </c>
      <c r="E1053" s="11" t="s">
        <v>42</v>
      </c>
      <c r="F1053" s="11" t="s">
        <v>2368</v>
      </c>
      <c r="G1053" s="11">
        <v>110078</v>
      </c>
      <c r="H1053" s="11" t="s">
        <v>56</v>
      </c>
      <c r="J1053" s="11" t="s">
        <v>38</v>
      </c>
      <c r="K1053" s="11">
        <v>51010101</v>
      </c>
      <c r="L1053" s="11" t="s">
        <v>48</v>
      </c>
      <c r="M1053" s="11"/>
      <c r="N1053" s="11">
        <v>89.69</v>
      </c>
      <c r="O1053" s="42">
        <v>-89.69</v>
      </c>
      <c r="P1053" s="43" t="s">
        <v>4489</v>
      </c>
      <c r="Q1053" s="11">
        <v>1344949.78</v>
      </c>
      <c r="R1053" s="11" t="s">
        <v>2369</v>
      </c>
      <c r="S1053" s="11" t="s">
        <v>40</v>
      </c>
      <c r="T1053" s="11">
        <v>0</v>
      </c>
      <c r="V1053" s="11" t="s">
        <v>41</v>
      </c>
    </row>
    <row r="1054" spans="1:22" x14ac:dyDescent="0.25">
      <c r="A1054" s="11">
        <v>101060401</v>
      </c>
      <c r="B1054" s="11" t="s">
        <v>34</v>
      </c>
      <c r="C1054" s="41">
        <v>44908</v>
      </c>
      <c r="D1054" s="41">
        <v>44908</v>
      </c>
      <c r="E1054" s="11" t="s">
        <v>42</v>
      </c>
      <c r="F1054" s="11" t="s">
        <v>2370</v>
      </c>
      <c r="G1054" s="11">
        <v>110079</v>
      </c>
      <c r="H1054" s="11" t="s">
        <v>56</v>
      </c>
      <c r="J1054" s="11" t="s">
        <v>38</v>
      </c>
      <c r="K1054" s="11">
        <v>51010101</v>
      </c>
      <c r="L1054" s="11" t="s">
        <v>48</v>
      </c>
      <c r="M1054" s="11"/>
      <c r="N1054" s="11">
        <v>21.72</v>
      </c>
      <c r="O1054" s="42">
        <v>-21.72</v>
      </c>
      <c r="P1054" s="43" t="s">
        <v>4489</v>
      </c>
      <c r="Q1054" s="11">
        <v>1344928.06</v>
      </c>
      <c r="R1054" s="11" t="s">
        <v>2371</v>
      </c>
      <c r="S1054" s="11" t="s">
        <v>40</v>
      </c>
      <c r="T1054" s="11">
        <v>0</v>
      </c>
      <c r="V1054" s="11" t="s">
        <v>41</v>
      </c>
    </row>
    <row r="1055" spans="1:22" x14ac:dyDescent="0.25">
      <c r="A1055" s="11">
        <v>101060401</v>
      </c>
      <c r="B1055" s="11" t="s">
        <v>34</v>
      </c>
      <c r="C1055" s="41">
        <v>44908</v>
      </c>
      <c r="D1055" s="41">
        <v>44908</v>
      </c>
      <c r="E1055" s="11" t="s">
        <v>42</v>
      </c>
      <c r="F1055" s="11" t="s">
        <v>2372</v>
      </c>
      <c r="G1055" s="11">
        <v>110081</v>
      </c>
      <c r="H1055" s="11" t="s">
        <v>623</v>
      </c>
      <c r="J1055" s="11" t="s">
        <v>38</v>
      </c>
      <c r="K1055" s="11">
        <v>51010101</v>
      </c>
      <c r="L1055" s="11" t="s">
        <v>48</v>
      </c>
      <c r="M1055" s="11"/>
      <c r="N1055" s="11">
        <v>23.88</v>
      </c>
      <c r="O1055" s="42">
        <v>-23.88</v>
      </c>
      <c r="P1055" s="43" t="s">
        <v>4489</v>
      </c>
      <c r="Q1055" s="11">
        <v>1344904.18</v>
      </c>
      <c r="R1055" s="11" t="s">
        <v>317</v>
      </c>
      <c r="S1055" s="11" t="s">
        <v>40</v>
      </c>
      <c r="T1055" s="11">
        <v>0</v>
      </c>
      <c r="V1055" s="11" t="s">
        <v>41</v>
      </c>
    </row>
    <row r="1056" spans="1:22" x14ac:dyDescent="0.25">
      <c r="A1056" s="11">
        <v>101060401</v>
      </c>
      <c r="B1056" s="11" t="s">
        <v>34</v>
      </c>
      <c r="C1056" s="41">
        <v>44908</v>
      </c>
      <c r="D1056" s="41">
        <v>44908</v>
      </c>
      <c r="E1056" s="11" t="s">
        <v>42</v>
      </c>
      <c r="F1056" s="11" t="s">
        <v>2373</v>
      </c>
      <c r="G1056" s="11">
        <v>110084</v>
      </c>
      <c r="H1056" s="11" t="s">
        <v>50</v>
      </c>
      <c r="J1056" s="11" t="s">
        <v>38</v>
      </c>
      <c r="K1056" s="11">
        <v>51010101</v>
      </c>
      <c r="L1056" s="11" t="s">
        <v>48</v>
      </c>
      <c r="M1056" s="11"/>
      <c r="N1056" s="11">
        <v>44.12</v>
      </c>
      <c r="O1056" s="42">
        <v>-44.12</v>
      </c>
      <c r="P1056" s="43" t="s">
        <v>4489</v>
      </c>
      <c r="Q1056" s="11">
        <v>1344860.06</v>
      </c>
      <c r="R1056" s="11" t="s">
        <v>2374</v>
      </c>
      <c r="S1056" s="11" t="s">
        <v>40</v>
      </c>
      <c r="T1056" s="11">
        <v>0</v>
      </c>
      <c r="V1056" s="11" t="s">
        <v>41</v>
      </c>
    </row>
    <row r="1057" spans="1:22" x14ac:dyDescent="0.25">
      <c r="A1057" s="11">
        <v>101060401</v>
      </c>
      <c r="B1057" s="11" t="s">
        <v>34</v>
      </c>
      <c r="C1057" s="41">
        <v>44908</v>
      </c>
      <c r="D1057" s="41">
        <v>44908</v>
      </c>
      <c r="E1057" s="11" t="s">
        <v>36</v>
      </c>
      <c r="F1057" s="11" t="s">
        <v>2375</v>
      </c>
      <c r="G1057" s="11">
        <v>110086</v>
      </c>
      <c r="H1057" s="11" t="s">
        <v>156</v>
      </c>
      <c r="K1057" s="11">
        <v>201040506</v>
      </c>
      <c r="L1057" s="11" t="s">
        <v>46</v>
      </c>
      <c r="M1057" s="11">
        <v>390</v>
      </c>
      <c r="N1057" s="11"/>
      <c r="O1057" s="42">
        <v>390</v>
      </c>
      <c r="P1057" s="43" t="s">
        <v>4480</v>
      </c>
      <c r="Q1057" s="11">
        <v>1345250.06</v>
      </c>
      <c r="R1057" s="11" t="s">
        <v>2376</v>
      </c>
      <c r="S1057" s="11" t="s">
        <v>40</v>
      </c>
      <c r="T1057" s="11">
        <v>0</v>
      </c>
    </row>
    <row r="1058" spans="1:22" x14ac:dyDescent="0.25">
      <c r="A1058" s="11">
        <v>101060401</v>
      </c>
      <c r="B1058" s="11" t="s">
        <v>34</v>
      </c>
      <c r="C1058" s="41">
        <v>44908</v>
      </c>
      <c r="D1058" s="41">
        <v>44908</v>
      </c>
      <c r="E1058" s="11" t="s">
        <v>36</v>
      </c>
      <c r="F1058" s="11" t="s">
        <v>2377</v>
      </c>
      <c r="G1058" s="11">
        <v>110087</v>
      </c>
      <c r="H1058" s="11" t="s">
        <v>154</v>
      </c>
      <c r="K1058" s="11">
        <v>201040506</v>
      </c>
      <c r="L1058" s="11" t="s">
        <v>46</v>
      </c>
      <c r="M1058" s="11">
        <v>487.05</v>
      </c>
      <c r="N1058" s="11"/>
      <c r="O1058" s="42">
        <v>487.05</v>
      </c>
      <c r="P1058" s="43" t="s">
        <v>4480</v>
      </c>
      <c r="Q1058" s="11">
        <v>1345737.11</v>
      </c>
      <c r="R1058" s="11" t="s">
        <v>2378</v>
      </c>
      <c r="S1058" s="11" t="s">
        <v>40</v>
      </c>
      <c r="T1058" s="11">
        <v>0</v>
      </c>
    </row>
    <row r="1059" spans="1:22" x14ac:dyDescent="0.25">
      <c r="A1059" s="11">
        <v>101060401</v>
      </c>
      <c r="B1059" s="11" t="s">
        <v>34</v>
      </c>
      <c r="C1059" s="41">
        <v>44908</v>
      </c>
      <c r="D1059" s="41">
        <v>44908</v>
      </c>
      <c r="E1059" s="11" t="s">
        <v>42</v>
      </c>
      <c r="F1059" s="11" t="s">
        <v>2379</v>
      </c>
      <c r="G1059" s="11">
        <v>110091</v>
      </c>
      <c r="H1059" s="11" t="s">
        <v>2380</v>
      </c>
      <c r="J1059" s="11" t="s">
        <v>38</v>
      </c>
      <c r="K1059" s="11">
        <v>51010101</v>
      </c>
      <c r="L1059" s="11" t="s">
        <v>48</v>
      </c>
      <c r="M1059" s="11"/>
      <c r="N1059" s="11">
        <v>390</v>
      </c>
      <c r="O1059" s="42">
        <v>-390</v>
      </c>
      <c r="P1059" s="43" t="s">
        <v>4489</v>
      </c>
      <c r="Q1059" s="11">
        <v>1345347.11</v>
      </c>
      <c r="R1059" s="11" t="s">
        <v>2381</v>
      </c>
      <c r="S1059" s="11" t="s">
        <v>40</v>
      </c>
      <c r="T1059" s="11">
        <v>0</v>
      </c>
      <c r="V1059" s="11" t="s">
        <v>41</v>
      </c>
    </row>
    <row r="1060" spans="1:22" x14ac:dyDescent="0.25">
      <c r="A1060" s="11">
        <v>101060401</v>
      </c>
      <c r="B1060" s="11" t="s">
        <v>34</v>
      </c>
      <c r="C1060" s="41">
        <v>44908</v>
      </c>
      <c r="D1060" s="41">
        <v>44908</v>
      </c>
      <c r="E1060" s="11" t="s">
        <v>42</v>
      </c>
      <c r="F1060" s="11" t="s">
        <v>2382</v>
      </c>
      <c r="G1060" s="11">
        <v>110094</v>
      </c>
      <c r="H1060" s="11" t="s">
        <v>158</v>
      </c>
      <c r="J1060" s="11" t="s">
        <v>38</v>
      </c>
      <c r="K1060" s="11">
        <v>51010101</v>
      </c>
      <c r="L1060" s="11" t="s">
        <v>48</v>
      </c>
      <c r="M1060" s="11"/>
      <c r="N1060" s="11">
        <v>663.98</v>
      </c>
      <c r="O1060" s="42">
        <v>-663.98</v>
      </c>
      <c r="P1060" s="43" t="s">
        <v>4489</v>
      </c>
      <c r="Q1060" s="11">
        <v>1344683.13</v>
      </c>
      <c r="R1060" s="11" t="s">
        <v>351</v>
      </c>
      <c r="S1060" s="11" t="s">
        <v>40</v>
      </c>
      <c r="T1060" s="11">
        <v>0</v>
      </c>
      <c r="V1060" s="11" t="s">
        <v>41</v>
      </c>
    </row>
    <row r="1061" spans="1:22" x14ac:dyDescent="0.25">
      <c r="A1061" s="11">
        <v>101060401</v>
      </c>
      <c r="B1061" s="11" t="s">
        <v>34</v>
      </c>
      <c r="C1061" s="41">
        <v>44908</v>
      </c>
      <c r="D1061" s="41">
        <v>44908</v>
      </c>
      <c r="E1061" s="11" t="s">
        <v>42</v>
      </c>
      <c r="F1061" s="11" t="s">
        <v>2383</v>
      </c>
      <c r="G1061" s="11">
        <v>110100</v>
      </c>
      <c r="H1061" s="11" t="s">
        <v>158</v>
      </c>
      <c r="J1061" s="11" t="s">
        <v>38</v>
      </c>
      <c r="K1061" s="11">
        <v>51010101</v>
      </c>
      <c r="L1061" s="11" t="s">
        <v>48</v>
      </c>
      <c r="M1061" s="11"/>
      <c r="N1061" s="11">
        <v>663.98</v>
      </c>
      <c r="O1061" s="42">
        <v>-663.98</v>
      </c>
      <c r="P1061" s="43" t="s">
        <v>4489</v>
      </c>
      <c r="Q1061" s="11">
        <v>1344019.15</v>
      </c>
      <c r="R1061" s="11" t="s">
        <v>351</v>
      </c>
      <c r="S1061" s="11" t="s">
        <v>40</v>
      </c>
      <c r="T1061" s="11">
        <v>0</v>
      </c>
      <c r="V1061" s="11" t="s">
        <v>41</v>
      </c>
    </row>
    <row r="1062" spans="1:22" x14ac:dyDescent="0.25">
      <c r="A1062" s="11">
        <v>101060401</v>
      </c>
      <c r="B1062" s="11" t="s">
        <v>34</v>
      </c>
      <c r="C1062" s="41">
        <v>44908</v>
      </c>
      <c r="D1062" s="41">
        <v>44908</v>
      </c>
      <c r="E1062" s="11" t="s">
        <v>42</v>
      </c>
      <c r="F1062" s="11" t="s">
        <v>2384</v>
      </c>
      <c r="G1062" s="11">
        <v>110107</v>
      </c>
      <c r="H1062" s="11" t="s">
        <v>65</v>
      </c>
      <c r="J1062" s="11" t="s">
        <v>38</v>
      </c>
      <c r="K1062" s="11">
        <v>51010101</v>
      </c>
      <c r="L1062" s="11" t="s">
        <v>48</v>
      </c>
      <c r="M1062" s="11"/>
      <c r="N1062" s="11">
        <v>16.420000000000002</v>
      </c>
      <c r="O1062" s="42">
        <v>-16.420000000000002</v>
      </c>
      <c r="P1062" s="43" t="s">
        <v>4489</v>
      </c>
      <c r="Q1062" s="11">
        <v>1344002.73</v>
      </c>
      <c r="R1062" s="11" t="s">
        <v>345</v>
      </c>
      <c r="S1062" s="11" t="s">
        <v>40</v>
      </c>
      <c r="T1062" s="11">
        <v>0</v>
      </c>
      <c r="V1062" s="11" t="s">
        <v>41</v>
      </c>
    </row>
    <row r="1063" spans="1:22" x14ac:dyDescent="0.25">
      <c r="A1063" s="11">
        <v>101060401</v>
      </c>
      <c r="B1063" s="11" t="s">
        <v>34</v>
      </c>
      <c r="C1063" s="41">
        <v>44908</v>
      </c>
      <c r="D1063" s="41">
        <v>44908</v>
      </c>
      <c r="E1063" s="11" t="s">
        <v>42</v>
      </c>
      <c r="F1063" s="11" t="s">
        <v>2385</v>
      </c>
      <c r="G1063" s="11">
        <v>110112</v>
      </c>
      <c r="H1063" s="11" t="s">
        <v>57</v>
      </c>
      <c r="K1063" s="11">
        <v>101060406</v>
      </c>
      <c r="L1063" s="11" t="s">
        <v>289</v>
      </c>
      <c r="M1063" s="11"/>
      <c r="N1063" s="11">
        <v>222.71</v>
      </c>
      <c r="O1063" s="42">
        <v>-222.71</v>
      </c>
      <c r="P1063" s="43" t="s">
        <v>4481</v>
      </c>
      <c r="Q1063" s="11">
        <v>1343780.02</v>
      </c>
      <c r="R1063" s="11" t="s">
        <v>79</v>
      </c>
      <c r="S1063" s="11" t="s">
        <v>40</v>
      </c>
      <c r="T1063" s="11">
        <v>0</v>
      </c>
    </row>
    <row r="1064" spans="1:22" x14ac:dyDescent="0.25">
      <c r="A1064" s="11">
        <v>101060401</v>
      </c>
      <c r="B1064" s="11" t="s">
        <v>34</v>
      </c>
      <c r="C1064" s="41">
        <v>44908</v>
      </c>
      <c r="D1064" s="41">
        <v>44908</v>
      </c>
      <c r="E1064" s="11" t="s">
        <v>42</v>
      </c>
      <c r="F1064" s="11" t="s">
        <v>2386</v>
      </c>
      <c r="G1064" s="11">
        <v>110139</v>
      </c>
      <c r="H1064" s="11" t="s">
        <v>849</v>
      </c>
      <c r="J1064" s="11" t="s">
        <v>38</v>
      </c>
      <c r="K1064" s="11">
        <v>51010101</v>
      </c>
      <c r="L1064" s="11" t="s">
        <v>48</v>
      </c>
      <c r="M1064" s="11"/>
      <c r="N1064" s="11">
        <v>429.73</v>
      </c>
      <c r="O1064" s="42">
        <v>-429.73</v>
      </c>
      <c r="P1064" s="43" t="s">
        <v>4489</v>
      </c>
      <c r="Q1064" s="11">
        <v>1343350.29</v>
      </c>
      <c r="R1064" s="11" t="s">
        <v>2387</v>
      </c>
      <c r="S1064" s="11" t="s">
        <v>40</v>
      </c>
      <c r="T1064" s="11">
        <v>0</v>
      </c>
      <c r="V1064" s="11" t="s">
        <v>41</v>
      </c>
    </row>
    <row r="1065" spans="1:22" x14ac:dyDescent="0.25">
      <c r="A1065" s="11">
        <v>101060401</v>
      </c>
      <c r="B1065" s="11" t="s">
        <v>34</v>
      </c>
      <c r="C1065" s="41">
        <v>44908</v>
      </c>
      <c r="D1065" s="41">
        <v>44908</v>
      </c>
      <c r="E1065" s="11" t="s">
        <v>42</v>
      </c>
      <c r="F1065" s="11" t="s">
        <v>2388</v>
      </c>
      <c r="G1065" s="11">
        <v>110150</v>
      </c>
      <c r="H1065" s="11" t="s">
        <v>57</v>
      </c>
      <c r="K1065" s="11">
        <v>101060402</v>
      </c>
      <c r="L1065" s="11" t="s">
        <v>44</v>
      </c>
      <c r="M1065" s="11"/>
      <c r="N1065" s="11">
        <v>487.05</v>
      </c>
      <c r="O1065" s="42">
        <v>-487.05</v>
      </c>
      <c r="P1065" s="43" t="s">
        <v>4481</v>
      </c>
      <c r="Q1065" s="11">
        <v>1342863.24</v>
      </c>
      <c r="R1065" s="11" t="s">
        <v>2389</v>
      </c>
      <c r="S1065" s="11" t="s">
        <v>40</v>
      </c>
      <c r="T1065" s="11">
        <v>0</v>
      </c>
    </row>
    <row r="1066" spans="1:22" x14ac:dyDescent="0.25">
      <c r="A1066" s="11">
        <v>101060401</v>
      </c>
      <c r="B1066" s="11" t="s">
        <v>34</v>
      </c>
      <c r="C1066" s="41">
        <v>44908</v>
      </c>
      <c r="D1066" s="41">
        <v>44908</v>
      </c>
      <c r="E1066" s="11" t="s">
        <v>42</v>
      </c>
      <c r="F1066" s="11" t="s">
        <v>2390</v>
      </c>
      <c r="G1066" s="11">
        <v>110154</v>
      </c>
      <c r="H1066" s="11" t="s">
        <v>57</v>
      </c>
      <c r="K1066" s="11">
        <v>101060402</v>
      </c>
      <c r="L1066" s="11" t="s">
        <v>44</v>
      </c>
      <c r="M1066" s="11">
        <v>99.7</v>
      </c>
      <c r="N1066" s="11"/>
      <c r="O1066" s="42">
        <v>99.7</v>
      </c>
      <c r="P1066" s="43" t="s">
        <v>4481</v>
      </c>
      <c r="Q1066" s="11">
        <v>1342962.94</v>
      </c>
      <c r="R1066" s="11" t="s">
        <v>2391</v>
      </c>
      <c r="S1066" s="11" t="s">
        <v>106</v>
      </c>
      <c r="T1066" s="11">
        <v>0</v>
      </c>
    </row>
    <row r="1067" spans="1:22" x14ac:dyDescent="0.25">
      <c r="A1067" s="11">
        <v>101060401</v>
      </c>
      <c r="B1067" s="11" t="s">
        <v>34</v>
      </c>
      <c r="C1067" s="41">
        <v>44908</v>
      </c>
      <c r="D1067" s="41">
        <v>44908</v>
      </c>
      <c r="E1067" s="11" t="s">
        <v>36</v>
      </c>
      <c r="F1067" s="11" t="s">
        <v>2392</v>
      </c>
      <c r="G1067" s="11">
        <v>110159</v>
      </c>
      <c r="H1067" s="11" t="s">
        <v>75</v>
      </c>
      <c r="J1067" s="11" t="s">
        <v>38</v>
      </c>
      <c r="K1067" s="11">
        <v>51010101</v>
      </c>
      <c r="L1067" s="11" t="s">
        <v>48</v>
      </c>
      <c r="M1067" s="11"/>
      <c r="N1067" s="11">
        <v>2.5099999999999998</v>
      </c>
      <c r="O1067" s="42">
        <v>-2.5099999999999998</v>
      </c>
      <c r="P1067" s="43" t="s">
        <v>4489</v>
      </c>
      <c r="Q1067" s="11">
        <v>1342960.43</v>
      </c>
      <c r="R1067" s="11" t="s">
        <v>2393</v>
      </c>
      <c r="S1067" s="11" t="s">
        <v>40</v>
      </c>
      <c r="T1067" s="11">
        <v>0</v>
      </c>
      <c r="V1067" s="11" t="s">
        <v>41</v>
      </c>
    </row>
    <row r="1068" spans="1:22" x14ac:dyDescent="0.25">
      <c r="A1068" s="11">
        <v>101060401</v>
      </c>
      <c r="B1068" s="11" t="s">
        <v>34</v>
      </c>
      <c r="C1068" s="41">
        <v>44908</v>
      </c>
      <c r="D1068" s="41">
        <v>44908</v>
      </c>
      <c r="E1068" s="11" t="s">
        <v>36</v>
      </c>
      <c r="F1068" s="11" t="s">
        <v>2394</v>
      </c>
      <c r="G1068" s="11">
        <v>110161</v>
      </c>
      <c r="H1068" s="11" t="s">
        <v>37</v>
      </c>
      <c r="J1068" s="11" t="s">
        <v>38</v>
      </c>
      <c r="K1068" s="11">
        <v>401030105</v>
      </c>
      <c r="L1068" s="11" t="s">
        <v>54</v>
      </c>
      <c r="M1068" s="26">
        <v>7.33</v>
      </c>
      <c r="O1068" s="44">
        <v>7.33</v>
      </c>
      <c r="P1068" s="43" t="s">
        <v>4494</v>
      </c>
      <c r="Q1068" s="11">
        <v>1342967.76</v>
      </c>
      <c r="R1068" s="11" t="s">
        <v>2395</v>
      </c>
      <c r="S1068" s="11" t="s">
        <v>40</v>
      </c>
      <c r="T1068" s="11">
        <v>0</v>
      </c>
      <c r="V1068" s="11" t="s">
        <v>41</v>
      </c>
    </row>
    <row r="1069" spans="1:22" x14ac:dyDescent="0.25">
      <c r="A1069" s="11">
        <v>101060401</v>
      </c>
      <c r="B1069" s="11" t="s">
        <v>34</v>
      </c>
      <c r="C1069" s="41">
        <v>44908</v>
      </c>
      <c r="D1069" s="41">
        <v>44908</v>
      </c>
      <c r="E1069" s="11" t="s">
        <v>42</v>
      </c>
      <c r="F1069" s="11" t="s">
        <v>2396</v>
      </c>
      <c r="G1069" s="11">
        <v>110162</v>
      </c>
      <c r="H1069" s="11" t="s">
        <v>57</v>
      </c>
      <c r="K1069" s="11">
        <v>101060402</v>
      </c>
      <c r="L1069" s="11" t="s">
        <v>44</v>
      </c>
      <c r="M1069" s="11"/>
      <c r="N1069" s="11">
        <v>7.33</v>
      </c>
      <c r="O1069" s="42">
        <v>-7.33</v>
      </c>
      <c r="P1069" s="43" t="s">
        <v>4481</v>
      </c>
      <c r="Q1069" s="11">
        <v>1342960.43</v>
      </c>
      <c r="R1069" s="11" t="s">
        <v>2397</v>
      </c>
      <c r="S1069" s="11" t="s">
        <v>40</v>
      </c>
      <c r="T1069" s="11">
        <v>0</v>
      </c>
    </row>
    <row r="1070" spans="1:22" x14ac:dyDescent="0.25">
      <c r="A1070" s="11">
        <v>101060401</v>
      </c>
      <c r="B1070" s="11" t="s">
        <v>34</v>
      </c>
      <c r="C1070" s="41">
        <v>44908</v>
      </c>
      <c r="D1070" s="41">
        <v>44908</v>
      </c>
      <c r="E1070" s="11" t="s">
        <v>42</v>
      </c>
      <c r="F1070" s="11" t="s">
        <v>2398</v>
      </c>
      <c r="G1070" s="11">
        <v>110165</v>
      </c>
      <c r="H1070" s="11" t="s">
        <v>93</v>
      </c>
      <c r="J1070" s="11" t="s">
        <v>38</v>
      </c>
      <c r="K1070" s="11">
        <v>51010101</v>
      </c>
      <c r="L1070" s="11" t="s">
        <v>48</v>
      </c>
      <c r="M1070" s="11"/>
      <c r="N1070" s="11">
        <v>152.97999999999999</v>
      </c>
      <c r="O1070" s="42">
        <v>-152.97999999999999</v>
      </c>
      <c r="P1070" s="43" t="s">
        <v>4489</v>
      </c>
      <c r="Q1070" s="11">
        <v>1342807.45</v>
      </c>
      <c r="R1070" s="11" t="s">
        <v>2399</v>
      </c>
      <c r="S1070" s="11" t="s">
        <v>40</v>
      </c>
      <c r="T1070" s="11">
        <v>0</v>
      </c>
      <c r="V1070" s="11" t="s">
        <v>41</v>
      </c>
    </row>
    <row r="1071" spans="1:22" x14ac:dyDescent="0.25">
      <c r="A1071" s="11">
        <v>101060401</v>
      </c>
      <c r="B1071" s="11" t="s">
        <v>34</v>
      </c>
      <c r="C1071" s="41">
        <v>44908</v>
      </c>
      <c r="D1071" s="41">
        <v>44908</v>
      </c>
      <c r="E1071" s="11" t="s">
        <v>42</v>
      </c>
      <c r="F1071" s="11" t="s">
        <v>2400</v>
      </c>
      <c r="G1071" s="11">
        <v>110166</v>
      </c>
      <c r="H1071" s="11" t="s">
        <v>93</v>
      </c>
      <c r="J1071" s="11" t="s">
        <v>38</v>
      </c>
      <c r="K1071" s="11">
        <v>51010101</v>
      </c>
      <c r="L1071" s="11" t="s">
        <v>48</v>
      </c>
      <c r="M1071" s="11"/>
      <c r="N1071" s="11">
        <v>70.459999999999994</v>
      </c>
      <c r="O1071" s="42">
        <v>-70.459999999999994</v>
      </c>
      <c r="P1071" s="43" t="s">
        <v>4489</v>
      </c>
      <c r="Q1071" s="11">
        <v>1342736.99</v>
      </c>
      <c r="R1071" s="11" t="s">
        <v>2401</v>
      </c>
      <c r="S1071" s="11" t="s">
        <v>40</v>
      </c>
      <c r="T1071" s="11">
        <v>0</v>
      </c>
      <c r="V1071" s="11" t="s">
        <v>41</v>
      </c>
    </row>
    <row r="1072" spans="1:22" x14ac:dyDescent="0.25">
      <c r="A1072" s="11">
        <v>101060401</v>
      </c>
      <c r="B1072" s="11" t="s">
        <v>34</v>
      </c>
      <c r="C1072" s="41">
        <v>44908</v>
      </c>
      <c r="D1072" s="41">
        <v>44908</v>
      </c>
      <c r="E1072" s="11" t="s">
        <v>42</v>
      </c>
      <c r="F1072" s="11" t="s">
        <v>2402</v>
      </c>
      <c r="G1072" s="11">
        <v>110167</v>
      </c>
      <c r="H1072" s="11" t="s">
        <v>174</v>
      </c>
      <c r="J1072" s="11" t="s">
        <v>38</v>
      </c>
      <c r="K1072" s="11">
        <v>51010101</v>
      </c>
      <c r="L1072" s="11" t="s">
        <v>48</v>
      </c>
      <c r="M1072" s="11"/>
      <c r="N1072" s="11">
        <v>99.7</v>
      </c>
      <c r="O1072" s="42">
        <v>-99.7</v>
      </c>
      <c r="P1072" s="43" t="s">
        <v>4489</v>
      </c>
      <c r="Q1072" s="11">
        <v>1342637.29</v>
      </c>
      <c r="R1072" s="11" t="s">
        <v>2403</v>
      </c>
      <c r="S1072" s="11" t="s">
        <v>40</v>
      </c>
      <c r="T1072" s="11">
        <v>0</v>
      </c>
      <c r="V1072" s="11" t="s">
        <v>41</v>
      </c>
    </row>
    <row r="1073" spans="1:22" x14ac:dyDescent="0.25">
      <c r="A1073" s="11">
        <v>101060401</v>
      </c>
      <c r="B1073" s="11" t="s">
        <v>34</v>
      </c>
      <c r="C1073" s="41">
        <v>44908</v>
      </c>
      <c r="D1073" s="41">
        <v>44908</v>
      </c>
      <c r="E1073" s="11" t="s">
        <v>42</v>
      </c>
      <c r="F1073" s="11" t="s">
        <v>2404</v>
      </c>
      <c r="G1073" s="11">
        <v>110172</v>
      </c>
      <c r="H1073" s="11" t="s">
        <v>319</v>
      </c>
      <c r="J1073" s="11" t="s">
        <v>38</v>
      </c>
      <c r="K1073" s="11" t="s">
        <v>320</v>
      </c>
      <c r="L1073" s="11" t="s">
        <v>321</v>
      </c>
      <c r="M1073" s="11">
        <v>87.8</v>
      </c>
      <c r="N1073" s="11"/>
      <c r="O1073" s="42">
        <v>87.8</v>
      </c>
      <c r="P1073" s="43" t="s">
        <v>4488</v>
      </c>
      <c r="Q1073" s="11">
        <v>1342725.09</v>
      </c>
      <c r="R1073" s="11" t="s">
        <v>2405</v>
      </c>
      <c r="S1073" s="11" t="s">
        <v>69</v>
      </c>
      <c r="T1073" s="11">
        <v>0</v>
      </c>
      <c r="V1073" s="11" t="s">
        <v>41</v>
      </c>
    </row>
    <row r="1074" spans="1:22" x14ac:dyDescent="0.25">
      <c r="A1074" s="11">
        <v>101060401</v>
      </c>
      <c r="B1074" s="11" t="s">
        <v>34</v>
      </c>
      <c r="C1074" s="41">
        <v>44908</v>
      </c>
      <c r="D1074" s="41">
        <v>44908</v>
      </c>
      <c r="E1074" s="11" t="s">
        <v>42</v>
      </c>
      <c r="F1074" s="11" t="s">
        <v>2406</v>
      </c>
      <c r="G1074" s="11">
        <v>110392</v>
      </c>
      <c r="H1074" s="11" t="s">
        <v>2116</v>
      </c>
      <c r="J1074" s="11" t="s">
        <v>38</v>
      </c>
      <c r="K1074" s="11">
        <v>51010101</v>
      </c>
      <c r="L1074" s="11" t="s">
        <v>48</v>
      </c>
      <c r="M1074" s="11">
        <v>20.86</v>
      </c>
      <c r="N1074" s="11"/>
      <c r="O1074" s="42">
        <v>20.86</v>
      </c>
      <c r="P1074" s="43" t="s">
        <v>4489</v>
      </c>
      <c r="Q1074" s="11">
        <v>1342745.95</v>
      </c>
      <c r="R1074" s="11" t="s">
        <v>2407</v>
      </c>
      <c r="S1074" s="11" t="s">
        <v>40</v>
      </c>
      <c r="T1074" s="11">
        <v>0</v>
      </c>
      <c r="V1074" s="11" t="s">
        <v>41</v>
      </c>
    </row>
    <row r="1075" spans="1:22" x14ac:dyDescent="0.25">
      <c r="A1075" s="11">
        <v>101060401</v>
      </c>
      <c r="B1075" s="11" t="s">
        <v>34</v>
      </c>
      <c r="C1075" s="41">
        <v>44909</v>
      </c>
      <c r="D1075" s="41">
        <v>44909</v>
      </c>
      <c r="E1075" s="11" t="s">
        <v>42</v>
      </c>
      <c r="F1075" s="11" t="s">
        <v>2408</v>
      </c>
      <c r="G1075" s="11">
        <v>110184</v>
      </c>
      <c r="H1075" s="11" t="s">
        <v>174</v>
      </c>
      <c r="J1075" s="11" t="s">
        <v>38</v>
      </c>
      <c r="K1075" s="11">
        <v>51010101</v>
      </c>
      <c r="L1075" s="11" t="s">
        <v>48</v>
      </c>
      <c r="M1075" s="11"/>
      <c r="N1075" s="11">
        <v>1694.85</v>
      </c>
      <c r="O1075" s="42">
        <v>-1694.85</v>
      </c>
      <c r="P1075" s="43" t="s">
        <v>4489</v>
      </c>
      <c r="Q1075" s="11">
        <v>1341051.1000000001</v>
      </c>
      <c r="R1075" s="11" t="s">
        <v>2409</v>
      </c>
      <c r="S1075" s="11" t="s">
        <v>40</v>
      </c>
      <c r="T1075" s="11">
        <v>0</v>
      </c>
      <c r="V1075" s="11" t="s">
        <v>41</v>
      </c>
    </row>
    <row r="1076" spans="1:22" x14ac:dyDescent="0.25">
      <c r="A1076" s="11">
        <v>101060401</v>
      </c>
      <c r="B1076" s="11" t="s">
        <v>34</v>
      </c>
      <c r="C1076" s="41">
        <v>44909</v>
      </c>
      <c r="D1076" s="41">
        <v>44909</v>
      </c>
      <c r="E1076" s="11" t="s">
        <v>36</v>
      </c>
      <c r="F1076" s="11" t="s">
        <v>2410</v>
      </c>
      <c r="G1076" s="11">
        <v>110202</v>
      </c>
      <c r="H1076" s="11" t="s">
        <v>85</v>
      </c>
      <c r="K1076" s="11">
        <v>201040506</v>
      </c>
      <c r="L1076" s="11" t="s">
        <v>46</v>
      </c>
      <c r="M1076" s="11">
        <v>113.92</v>
      </c>
      <c r="N1076" s="11"/>
      <c r="O1076" s="42">
        <v>113.92</v>
      </c>
      <c r="P1076" s="43" t="s">
        <v>4480</v>
      </c>
      <c r="Q1076" s="11">
        <v>1341165.02</v>
      </c>
      <c r="R1076" s="11" t="s">
        <v>2411</v>
      </c>
      <c r="S1076" s="11" t="s">
        <v>40</v>
      </c>
      <c r="T1076" s="11">
        <v>0</v>
      </c>
    </row>
    <row r="1077" spans="1:22" x14ac:dyDescent="0.25">
      <c r="A1077" s="11">
        <v>101060401</v>
      </c>
      <c r="B1077" s="11" t="s">
        <v>34</v>
      </c>
      <c r="C1077" s="41">
        <v>44909</v>
      </c>
      <c r="D1077" s="41">
        <v>44909</v>
      </c>
      <c r="E1077" s="11" t="s">
        <v>42</v>
      </c>
      <c r="F1077" s="11" t="s">
        <v>2412</v>
      </c>
      <c r="G1077" s="11">
        <v>110205</v>
      </c>
      <c r="H1077" s="11" t="s">
        <v>112</v>
      </c>
      <c r="J1077" s="11" t="s">
        <v>38</v>
      </c>
      <c r="K1077" s="11">
        <v>51010101</v>
      </c>
      <c r="L1077" s="11" t="s">
        <v>48</v>
      </c>
      <c r="M1077" s="11"/>
      <c r="N1077" s="11">
        <v>164.19</v>
      </c>
      <c r="O1077" s="42">
        <v>-164.19</v>
      </c>
      <c r="P1077" s="43" t="s">
        <v>4489</v>
      </c>
      <c r="Q1077" s="11">
        <v>1341000.83</v>
      </c>
      <c r="R1077" s="11" t="s">
        <v>2413</v>
      </c>
      <c r="S1077" s="11" t="s">
        <v>40</v>
      </c>
      <c r="T1077" s="11">
        <v>0</v>
      </c>
      <c r="V1077" s="11" t="s">
        <v>41</v>
      </c>
    </row>
    <row r="1078" spans="1:22" x14ac:dyDescent="0.25">
      <c r="A1078" s="11">
        <v>101060401</v>
      </c>
      <c r="B1078" s="11" t="s">
        <v>34</v>
      </c>
      <c r="C1078" s="41">
        <v>44909</v>
      </c>
      <c r="D1078" s="41">
        <v>44909</v>
      </c>
      <c r="E1078" s="11" t="s">
        <v>42</v>
      </c>
      <c r="F1078" s="11" t="s">
        <v>2414</v>
      </c>
      <c r="G1078" s="11">
        <v>110213</v>
      </c>
      <c r="H1078" s="11" t="s">
        <v>249</v>
      </c>
      <c r="J1078" s="11" t="s">
        <v>38</v>
      </c>
      <c r="K1078" s="11">
        <v>51010101</v>
      </c>
      <c r="L1078" s="11" t="s">
        <v>48</v>
      </c>
      <c r="M1078" s="11"/>
      <c r="N1078" s="11">
        <v>76.78</v>
      </c>
      <c r="O1078" s="42">
        <v>-76.78</v>
      </c>
      <c r="P1078" s="43" t="s">
        <v>4489</v>
      </c>
      <c r="Q1078" s="11">
        <v>1340924.05</v>
      </c>
      <c r="R1078" s="11" t="s">
        <v>2415</v>
      </c>
      <c r="S1078" s="11" t="s">
        <v>40</v>
      </c>
      <c r="T1078" s="11">
        <v>0</v>
      </c>
      <c r="V1078" s="11" t="s">
        <v>41</v>
      </c>
    </row>
    <row r="1079" spans="1:22" x14ac:dyDescent="0.25">
      <c r="A1079" s="11">
        <v>101060401</v>
      </c>
      <c r="B1079" s="11" t="s">
        <v>34</v>
      </c>
      <c r="C1079" s="41">
        <v>44909</v>
      </c>
      <c r="D1079" s="41">
        <v>44909</v>
      </c>
      <c r="E1079" s="11" t="s">
        <v>42</v>
      </c>
      <c r="F1079" s="11" t="s">
        <v>2416</v>
      </c>
      <c r="G1079" s="11">
        <v>110214</v>
      </c>
      <c r="H1079" s="11" t="s">
        <v>57</v>
      </c>
      <c r="K1079" s="11">
        <v>101060402</v>
      </c>
      <c r="L1079" s="11" t="s">
        <v>44</v>
      </c>
      <c r="M1079" s="11">
        <v>189.82</v>
      </c>
      <c r="N1079" s="11"/>
      <c r="O1079" s="42">
        <v>189.82</v>
      </c>
      <c r="P1079" s="43" t="s">
        <v>4481</v>
      </c>
      <c r="Q1079" s="11">
        <v>1341113.8700000001</v>
      </c>
      <c r="R1079" s="11" t="s">
        <v>2417</v>
      </c>
      <c r="S1079" s="11" t="s">
        <v>106</v>
      </c>
      <c r="T1079" s="11">
        <v>0</v>
      </c>
    </row>
    <row r="1080" spans="1:22" x14ac:dyDescent="0.25">
      <c r="A1080" s="11">
        <v>101060401</v>
      </c>
      <c r="B1080" s="11" t="s">
        <v>34</v>
      </c>
      <c r="C1080" s="41">
        <v>44909</v>
      </c>
      <c r="D1080" s="41">
        <v>44909</v>
      </c>
      <c r="E1080" s="11" t="s">
        <v>36</v>
      </c>
      <c r="F1080" s="11" t="s">
        <v>2418</v>
      </c>
      <c r="G1080" s="11">
        <v>110215</v>
      </c>
      <c r="H1080" s="11" t="s">
        <v>52</v>
      </c>
      <c r="K1080" s="11">
        <v>201040506</v>
      </c>
      <c r="L1080" s="11" t="s">
        <v>46</v>
      </c>
      <c r="M1080" s="11">
        <v>156.96</v>
      </c>
      <c r="N1080" s="11"/>
      <c r="O1080" s="42">
        <v>156.96</v>
      </c>
      <c r="P1080" s="43" t="s">
        <v>4480</v>
      </c>
      <c r="Q1080" s="11">
        <v>1341270.83</v>
      </c>
      <c r="R1080" s="11" t="s">
        <v>2419</v>
      </c>
      <c r="S1080" s="11" t="s">
        <v>40</v>
      </c>
      <c r="T1080" s="11">
        <v>0</v>
      </c>
    </row>
    <row r="1081" spans="1:22" x14ac:dyDescent="0.25">
      <c r="A1081" s="11">
        <v>101060401</v>
      </c>
      <c r="B1081" s="11" t="s">
        <v>34</v>
      </c>
      <c r="C1081" s="41">
        <v>44909</v>
      </c>
      <c r="D1081" s="41">
        <v>44909</v>
      </c>
      <c r="E1081" s="11" t="s">
        <v>36</v>
      </c>
      <c r="F1081" s="11" t="s">
        <v>2420</v>
      </c>
      <c r="G1081" s="11">
        <v>110216</v>
      </c>
      <c r="H1081" s="11" t="s">
        <v>52</v>
      </c>
      <c r="K1081" s="11">
        <v>201040506</v>
      </c>
      <c r="L1081" s="11" t="s">
        <v>46</v>
      </c>
      <c r="M1081" s="11">
        <v>226.1</v>
      </c>
      <c r="N1081" s="11"/>
      <c r="O1081" s="42">
        <v>226.1</v>
      </c>
      <c r="P1081" s="43" t="s">
        <v>4480</v>
      </c>
      <c r="Q1081" s="11">
        <v>1341496.93</v>
      </c>
      <c r="R1081" s="11" t="s">
        <v>2148</v>
      </c>
      <c r="S1081" s="11" t="s">
        <v>40</v>
      </c>
      <c r="T1081" s="11">
        <v>0</v>
      </c>
    </row>
    <row r="1082" spans="1:22" x14ac:dyDescent="0.25">
      <c r="A1082" s="11">
        <v>101060401</v>
      </c>
      <c r="B1082" s="11" t="s">
        <v>34</v>
      </c>
      <c r="C1082" s="41">
        <v>44909</v>
      </c>
      <c r="D1082" s="41">
        <v>44909</v>
      </c>
      <c r="E1082" s="11" t="s">
        <v>42</v>
      </c>
      <c r="F1082" s="11" t="s">
        <v>2421</v>
      </c>
      <c r="G1082" s="11">
        <v>110217</v>
      </c>
      <c r="H1082" s="11" t="s">
        <v>47</v>
      </c>
      <c r="J1082" s="11" t="s">
        <v>38</v>
      </c>
      <c r="K1082" s="11">
        <v>51010101</v>
      </c>
      <c r="L1082" s="11" t="s">
        <v>48</v>
      </c>
      <c r="M1082" s="11"/>
      <c r="N1082" s="11">
        <v>156.96</v>
      </c>
      <c r="O1082" s="42">
        <v>-156.96</v>
      </c>
      <c r="P1082" s="43" t="s">
        <v>4489</v>
      </c>
      <c r="Q1082" s="11">
        <v>1341339.97</v>
      </c>
      <c r="R1082" s="11" t="s">
        <v>2422</v>
      </c>
      <c r="S1082" s="11" t="s">
        <v>40</v>
      </c>
      <c r="T1082" s="11">
        <v>0</v>
      </c>
      <c r="V1082" s="11" t="s">
        <v>41</v>
      </c>
    </row>
    <row r="1083" spans="1:22" x14ac:dyDescent="0.25">
      <c r="A1083" s="11">
        <v>101060401</v>
      </c>
      <c r="B1083" s="11" t="s">
        <v>34</v>
      </c>
      <c r="C1083" s="41">
        <v>44909</v>
      </c>
      <c r="D1083" s="41">
        <v>44909</v>
      </c>
      <c r="E1083" s="11" t="s">
        <v>42</v>
      </c>
      <c r="F1083" s="11" t="s">
        <v>2423</v>
      </c>
      <c r="G1083" s="11">
        <v>110218</v>
      </c>
      <c r="H1083" s="11" t="s">
        <v>47</v>
      </c>
      <c r="J1083" s="11" t="s">
        <v>38</v>
      </c>
      <c r="K1083" s="11">
        <v>51010101</v>
      </c>
      <c r="L1083" s="11" t="s">
        <v>48</v>
      </c>
      <c r="M1083" s="11"/>
      <c r="N1083" s="11">
        <v>226.1</v>
      </c>
      <c r="O1083" s="42">
        <v>-226.1</v>
      </c>
      <c r="P1083" s="43" t="s">
        <v>4489</v>
      </c>
      <c r="Q1083" s="11">
        <v>1341113.8700000001</v>
      </c>
      <c r="R1083" s="11" t="s">
        <v>2424</v>
      </c>
      <c r="S1083" s="11" t="s">
        <v>40</v>
      </c>
      <c r="T1083" s="11">
        <v>0</v>
      </c>
      <c r="V1083" s="11" t="s">
        <v>41</v>
      </c>
    </row>
    <row r="1084" spans="1:22" x14ac:dyDescent="0.25">
      <c r="A1084" s="11">
        <v>101060401</v>
      </c>
      <c r="B1084" s="11" t="s">
        <v>34</v>
      </c>
      <c r="C1084" s="41">
        <v>44909</v>
      </c>
      <c r="D1084" s="41">
        <v>44909</v>
      </c>
      <c r="E1084" s="11" t="s">
        <v>42</v>
      </c>
      <c r="F1084" s="11" t="s">
        <v>2425</v>
      </c>
      <c r="G1084" s="11">
        <v>110219</v>
      </c>
      <c r="H1084" s="11" t="s">
        <v>849</v>
      </c>
      <c r="J1084" s="11" t="s">
        <v>38</v>
      </c>
      <c r="K1084" s="11">
        <v>51010101</v>
      </c>
      <c r="L1084" s="11" t="s">
        <v>48</v>
      </c>
      <c r="M1084" s="11"/>
      <c r="N1084" s="11">
        <v>1106.19</v>
      </c>
      <c r="O1084" s="42">
        <v>-1106.19</v>
      </c>
      <c r="P1084" s="43" t="s">
        <v>4489</v>
      </c>
      <c r="Q1084" s="11">
        <v>1340007.68</v>
      </c>
      <c r="R1084" s="11" t="s">
        <v>2426</v>
      </c>
      <c r="S1084" s="11" t="s">
        <v>40</v>
      </c>
      <c r="T1084" s="11">
        <v>0</v>
      </c>
      <c r="V1084" s="11" t="s">
        <v>41</v>
      </c>
    </row>
    <row r="1085" spans="1:22" x14ac:dyDescent="0.25">
      <c r="A1085" s="11">
        <v>101060401</v>
      </c>
      <c r="B1085" s="11" t="s">
        <v>34</v>
      </c>
      <c r="C1085" s="41">
        <v>44909</v>
      </c>
      <c r="D1085" s="41">
        <v>44909</v>
      </c>
      <c r="E1085" s="11" t="s">
        <v>42</v>
      </c>
      <c r="F1085" s="11" t="s">
        <v>2427</v>
      </c>
      <c r="G1085" s="11">
        <v>110221</v>
      </c>
      <c r="H1085" s="11" t="s">
        <v>93</v>
      </c>
      <c r="J1085" s="11" t="s">
        <v>38</v>
      </c>
      <c r="K1085" s="11">
        <v>51010101</v>
      </c>
      <c r="L1085" s="11" t="s">
        <v>48</v>
      </c>
      <c r="M1085" s="11"/>
      <c r="N1085" s="11">
        <v>25.24</v>
      </c>
      <c r="O1085" s="42">
        <v>-25.24</v>
      </c>
      <c r="P1085" s="43" t="s">
        <v>4489</v>
      </c>
      <c r="Q1085" s="11">
        <v>1339982.44</v>
      </c>
      <c r="R1085" s="11" t="s">
        <v>2428</v>
      </c>
      <c r="S1085" s="11" t="s">
        <v>40</v>
      </c>
      <c r="T1085" s="11">
        <v>0</v>
      </c>
      <c r="V1085" s="11" t="s">
        <v>41</v>
      </c>
    </row>
    <row r="1086" spans="1:22" x14ac:dyDescent="0.25">
      <c r="A1086" s="11">
        <v>101060401</v>
      </c>
      <c r="B1086" s="11" t="s">
        <v>34</v>
      </c>
      <c r="C1086" s="41">
        <v>44909</v>
      </c>
      <c r="D1086" s="41">
        <v>44909</v>
      </c>
      <c r="E1086" s="11" t="s">
        <v>42</v>
      </c>
      <c r="F1086" s="11" t="s">
        <v>2429</v>
      </c>
      <c r="G1086" s="11">
        <v>110223</v>
      </c>
      <c r="H1086" s="11" t="s">
        <v>308</v>
      </c>
      <c r="J1086" s="11" t="s">
        <v>38</v>
      </c>
      <c r="K1086" s="11" t="s">
        <v>309</v>
      </c>
      <c r="L1086" s="11" t="s">
        <v>310</v>
      </c>
      <c r="M1086" s="11">
        <v>129.04</v>
      </c>
      <c r="N1086" s="11"/>
      <c r="O1086" s="42">
        <v>129.04</v>
      </c>
      <c r="P1086" s="43" t="s">
        <v>4488</v>
      </c>
      <c r="Q1086" s="11">
        <v>1340111.48</v>
      </c>
      <c r="R1086" s="11" t="s">
        <v>2430</v>
      </c>
      <c r="S1086" s="11" t="s">
        <v>69</v>
      </c>
      <c r="T1086" s="11">
        <v>0</v>
      </c>
      <c r="V1086" s="11" t="s">
        <v>41</v>
      </c>
    </row>
    <row r="1087" spans="1:22" x14ac:dyDescent="0.25">
      <c r="A1087" s="11">
        <v>101060401</v>
      </c>
      <c r="B1087" s="11" t="s">
        <v>34</v>
      </c>
      <c r="C1087" s="41">
        <v>44910</v>
      </c>
      <c r="D1087" s="41">
        <v>44910</v>
      </c>
      <c r="E1087" s="11" t="s">
        <v>42</v>
      </c>
      <c r="F1087" s="11" t="s">
        <v>2431</v>
      </c>
      <c r="G1087" s="11">
        <v>110230</v>
      </c>
      <c r="H1087" s="11" t="s">
        <v>193</v>
      </c>
      <c r="J1087" s="11" t="s">
        <v>38</v>
      </c>
      <c r="K1087" s="11">
        <v>51010101</v>
      </c>
      <c r="L1087" s="11" t="s">
        <v>48</v>
      </c>
      <c r="M1087" s="11"/>
      <c r="N1087" s="11">
        <v>963.79</v>
      </c>
      <c r="O1087" s="42">
        <v>-963.79</v>
      </c>
      <c r="P1087" s="43" t="s">
        <v>4489</v>
      </c>
      <c r="Q1087" s="11">
        <v>1339147.69</v>
      </c>
      <c r="R1087" s="11" t="s">
        <v>2432</v>
      </c>
      <c r="S1087" s="11" t="s">
        <v>40</v>
      </c>
      <c r="T1087" s="11">
        <v>0</v>
      </c>
      <c r="V1087" s="11" t="s">
        <v>41</v>
      </c>
    </row>
    <row r="1088" spans="1:22" x14ac:dyDescent="0.25">
      <c r="A1088" s="11">
        <v>101060401</v>
      </c>
      <c r="B1088" s="11" t="s">
        <v>34</v>
      </c>
      <c r="C1088" s="41">
        <v>44910</v>
      </c>
      <c r="D1088" s="41">
        <v>44910</v>
      </c>
      <c r="E1088" s="11" t="s">
        <v>42</v>
      </c>
      <c r="F1088" s="11" t="s">
        <v>2433</v>
      </c>
      <c r="G1088" s="11">
        <v>110236</v>
      </c>
      <c r="H1088" s="11" t="s">
        <v>56</v>
      </c>
      <c r="J1088" s="11" t="s">
        <v>38</v>
      </c>
      <c r="K1088" s="11">
        <v>51010101</v>
      </c>
      <c r="L1088" s="11" t="s">
        <v>48</v>
      </c>
      <c r="M1088" s="11"/>
      <c r="N1088" s="11">
        <v>12.28</v>
      </c>
      <c r="O1088" s="42">
        <v>-12.28</v>
      </c>
      <c r="P1088" s="43" t="s">
        <v>4489</v>
      </c>
      <c r="Q1088" s="11">
        <v>1339135.4099999999</v>
      </c>
      <c r="R1088" s="11" t="s">
        <v>2434</v>
      </c>
      <c r="S1088" s="11" t="s">
        <v>40</v>
      </c>
      <c r="T1088" s="11">
        <v>0</v>
      </c>
      <c r="V1088" s="11" t="s">
        <v>41</v>
      </c>
    </row>
    <row r="1089" spans="1:22" x14ac:dyDescent="0.25">
      <c r="A1089" s="11">
        <v>101060401</v>
      </c>
      <c r="B1089" s="11" t="s">
        <v>34</v>
      </c>
      <c r="C1089" s="41">
        <v>44910</v>
      </c>
      <c r="D1089" s="41">
        <v>44910</v>
      </c>
      <c r="E1089" s="11" t="s">
        <v>42</v>
      </c>
      <c r="F1089" s="11" t="s">
        <v>2435</v>
      </c>
      <c r="G1089" s="11">
        <v>110237</v>
      </c>
      <c r="H1089" s="11" t="s">
        <v>95</v>
      </c>
      <c r="J1089" s="11" t="s">
        <v>38</v>
      </c>
      <c r="K1089" s="11">
        <v>51010101</v>
      </c>
      <c r="L1089" s="11" t="s">
        <v>48</v>
      </c>
      <c r="M1089" s="11"/>
      <c r="N1089" s="11">
        <v>12.95</v>
      </c>
      <c r="O1089" s="42">
        <v>-12.95</v>
      </c>
      <c r="P1089" s="43" t="s">
        <v>4489</v>
      </c>
      <c r="Q1089" s="11">
        <v>1339122.46</v>
      </c>
      <c r="R1089" s="11" t="s">
        <v>2436</v>
      </c>
      <c r="S1089" s="11" t="s">
        <v>40</v>
      </c>
      <c r="T1089" s="11">
        <v>0</v>
      </c>
      <c r="V1089" s="11" t="s">
        <v>41</v>
      </c>
    </row>
    <row r="1090" spans="1:22" x14ac:dyDescent="0.25">
      <c r="A1090" s="11">
        <v>101060401</v>
      </c>
      <c r="B1090" s="11" t="s">
        <v>34</v>
      </c>
      <c r="C1090" s="41">
        <v>44910</v>
      </c>
      <c r="D1090" s="41">
        <v>44910</v>
      </c>
      <c r="E1090" s="11" t="s">
        <v>42</v>
      </c>
      <c r="F1090" s="11" t="s">
        <v>2437</v>
      </c>
      <c r="G1090" s="11">
        <v>110247</v>
      </c>
      <c r="H1090" s="11" t="s">
        <v>187</v>
      </c>
      <c r="J1090" s="11" t="s">
        <v>38</v>
      </c>
      <c r="K1090" s="11">
        <v>51010101</v>
      </c>
      <c r="L1090" s="11" t="s">
        <v>48</v>
      </c>
      <c r="M1090" s="11"/>
      <c r="N1090" s="11">
        <v>2.21</v>
      </c>
      <c r="O1090" s="42">
        <v>-2.21</v>
      </c>
      <c r="P1090" s="43" t="s">
        <v>4489</v>
      </c>
      <c r="Q1090" s="11">
        <v>1339120.25</v>
      </c>
      <c r="R1090" s="11" t="s">
        <v>330</v>
      </c>
      <c r="S1090" s="11" t="s">
        <v>40</v>
      </c>
      <c r="T1090" s="11">
        <v>0</v>
      </c>
      <c r="V1090" s="11" t="s">
        <v>41</v>
      </c>
    </row>
    <row r="1091" spans="1:22" x14ac:dyDescent="0.25">
      <c r="A1091" s="11">
        <v>101060401</v>
      </c>
      <c r="B1091" s="11" t="s">
        <v>34</v>
      </c>
      <c r="C1091" s="41">
        <v>44910</v>
      </c>
      <c r="D1091" s="41">
        <v>44910</v>
      </c>
      <c r="E1091" s="11" t="s">
        <v>42</v>
      </c>
      <c r="F1091" s="11" t="s">
        <v>2438</v>
      </c>
      <c r="G1091" s="11">
        <v>110255</v>
      </c>
      <c r="H1091" s="11" t="s">
        <v>47</v>
      </c>
      <c r="J1091" s="11" t="s">
        <v>38</v>
      </c>
      <c r="K1091" s="11">
        <v>51010101</v>
      </c>
      <c r="L1091" s="11" t="s">
        <v>48</v>
      </c>
      <c r="M1091" s="11"/>
      <c r="N1091" s="11">
        <v>142.75</v>
      </c>
      <c r="O1091" s="42">
        <v>-142.75</v>
      </c>
      <c r="P1091" s="43" t="s">
        <v>4489</v>
      </c>
      <c r="Q1091" s="11">
        <v>1338977.5</v>
      </c>
      <c r="R1091" s="11" t="s">
        <v>2439</v>
      </c>
      <c r="S1091" s="11" t="s">
        <v>40</v>
      </c>
      <c r="T1091" s="11">
        <v>0</v>
      </c>
      <c r="V1091" s="11" t="s">
        <v>41</v>
      </c>
    </row>
    <row r="1092" spans="1:22" x14ac:dyDescent="0.25">
      <c r="A1092" s="11">
        <v>101060401</v>
      </c>
      <c r="B1092" s="11" t="s">
        <v>34</v>
      </c>
      <c r="C1092" s="41">
        <v>44910</v>
      </c>
      <c r="D1092" s="41">
        <v>44910</v>
      </c>
      <c r="E1092" s="11" t="s">
        <v>42</v>
      </c>
      <c r="F1092" s="11" t="s">
        <v>2440</v>
      </c>
      <c r="G1092" s="11">
        <v>110257</v>
      </c>
      <c r="H1092" s="11" t="s">
        <v>57</v>
      </c>
      <c r="K1092" s="11">
        <v>101060406</v>
      </c>
      <c r="L1092" s="11" t="s">
        <v>289</v>
      </c>
      <c r="M1092" s="11"/>
      <c r="N1092" s="11">
        <v>148.47</v>
      </c>
      <c r="O1092" s="42">
        <v>-148.47</v>
      </c>
      <c r="P1092" s="43" t="s">
        <v>4481</v>
      </c>
      <c r="Q1092" s="11">
        <v>1338829.03</v>
      </c>
      <c r="R1092" s="11" t="s">
        <v>111</v>
      </c>
      <c r="S1092" s="11" t="s">
        <v>40</v>
      </c>
      <c r="T1092" s="11">
        <v>0</v>
      </c>
    </row>
    <row r="1093" spans="1:22" x14ac:dyDescent="0.25">
      <c r="A1093" s="11">
        <v>101060401</v>
      </c>
      <c r="B1093" s="11" t="s">
        <v>34</v>
      </c>
      <c r="C1093" s="41">
        <v>44910</v>
      </c>
      <c r="D1093" s="41">
        <v>44910</v>
      </c>
      <c r="E1093" s="11" t="s">
        <v>42</v>
      </c>
      <c r="F1093" s="11" t="s">
        <v>2441</v>
      </c>
      <c r="G1093" s="11">
        <v>110276</v>
      </c>
      <c r="H1093" s="11" t="s">
        <v>57</v>
      </c>
      <c r="K1093" s="11">
        <v>101060402</v>
      </c>
      <c r="L1093" s="11" t="s">
        <v>44</v>
      </c>
      <c r="M1093" s="11">
        <v>1520.22</v>
      </c>
      <c r="N1093" s="11"/>
      <c r="O1093" s="42">
        <v>1520.22</v>
      </c>
      <c r="P1093" s="43" t="s">
        <v>4481</v>
      </c>
      <c r="Q1093" s="11">
        <v>1340349.25</v>
      </c>
      <c r="R1093" s="11" t="s">
        <v>2442</v>
      </c>
      <c r="S1093" s="11" t="s">
        <v>106</v>
      </c>
      <c r="T1093" s="11">
        <v>0</v>
      </c>
    </row>
    <row r="1094" spans="1:22" x14ac:dyDescent="0.25">
      <c r="A1094" s="11">
        <v>101060401</v>
      </c>
      <c r="B1094" s="11" t="s">
        <v>34</v>
      </c>
      <c r="C1094" s="41">
        <v>44910</v>
      </c>
      <c r="D1094" s="41">
        <v>44910</v>
      </c>
      <c r="E1094" s="11" t="s">
        <v>42</v>
      </c>
      <c r="F1094" s="11" t="s">
        <v>2443</v>
      </c>
      <c r="G1094" s="11">
        <v>110283</v>
      </c>
      <c r="H1094" s="11" t="s">
        <v>57</v>
      </c>
      <c r="K1094" s="11">
        <v>101060402</v>
      </c>
      <c r="L1094" s="11" t="s">
        <v>44</v>
      </c>
      <c r="M1094" s="11">
        <v>29.38</v>
      </c>
      <c r="N1094" s="11"/>
      <c r="O1094" s="42">
        <v>29.38</v>
      </c>
      <c r="P1094" s="43" t="s">
        <v>4481</v>
      </c>
      <c r="Q1094" s="11">
        <v>1340378.6299999999</v>
      </c>
      <c r="R1094" s="11" t="s">
        <v>2444</v>
      </c>
      <c r="S1094" s="11" t="s">
        <v>106</v>
      </c>
      <c r="T1094" s="11">
        <v>0</v>
      </c>
    </row>
    <row r="1095" spans="1:22" x14ac:dyDescent="0.25">
      <c r="A1095" s="11">
        <v>101060401</v>
      </c>
      <c r="B1095" s="11" t="s">
        <v>34</v>
      </c>
      <c r="C1095" s="41">
        <v>44910</v>
      </c>
      <c r="D1095" s="41">
        <v>44910</v>
      </c>
      <c r="E1095" s="11" t="s">
        <v>42</v>
      </c>
      <c r="F1095" s="11" t="s">
        <v>2445</v>
      </c>
      <c r="G1095" s="11">
        <v>110284</v>
      </c>
      <c r="H1095" s="11" t="s">
        <v>141</v>
      </c>
      <c r="J1095" s="11" t="s">
        <v>38</v>
      </c>
      <c r="K1095" s="11">
        <v>51010101</v>
      </c>
      <c r="L1095" s="11" t="s">
        <v>48</v>
      </c>
      <c r="M1095" s="11"/>
      <c r="N1095" s="11">
        <v>129.04</v>
      </c>
      <c r="O1095" s="42">
        <v>-129.04</v>
      </c>
      <c r="P1095" s="43" t="s">
        <v>4489</v>
      </c>
      <c r="Q1095" s="11">
        <v>1340249.5900000001</v>
      </c>
      <c r="R1095" s="11" t="s">
        <v>1951</v>
      </c>
      <c r="S1095" s="11" t="s">
        <v>40</v>
      </c>
      <c r="T1095" s="11">
        <v>0</v>
      </c>
      <c r="V1095" s="11" t="s">
        <v>41</v>
      </c>
    </row>
    <row r="1096" spans="1:22" x14ac:dyDescent="0.25">
      <c r="A1096" s="11">
        <v>101060401</v>
      </c>
      <c r="B1096" s="11" t="s">
        <v>34</v>
      </c>
      <c r="C1096" s="41">
        <v>44910</v>
      </c>
      <c r="D1096" s="41">
        <v>44910</v>
      </c>
      <c r="E1096" s="11" t="s">
        <v>42</v>
      </c>
      <c r="F1096" s="11" t="s">
        <v>2446</v>
      </c>
      <c r="G1096" s="11">
        <v>110285</v>
      </c>
      <c r="H1096" s="11" t="s">
        <v>57</v>
      </c>
      <c r="K1096" s="11">
        <v>101060402</v>
      </c>
      <c r="L1096" s="11" t="s">
        <v>44</v>
      </c>
      <c r="M1096" s="11"/>
      <c r="N1096" s="11">
        <v>733.64</v>
      </c>
      <c r="O1096" s="42">
        <v>-733.64</v>
      </c>
      <c r="P1096" s="43" t="s">
        <v>4481</v>
      </c>
      <c r="Q1096" s="11">
        <v>1339515.95</v>
      </c>
      <c r="R1096" s="11" t="s">
        <v>2447</v>
      </c>
      <c r="S1096" s="11" t="s">
        <v>40</v>
      </c>
      <c r="T1096" s="11">
        <v>0</v>
      </c>
    </row>
    <row r="1097" spans="1:22" x14ac:dyDescent="0.25">
      <c r="A1097" s="11">
        <v>101060401</v>
      </c>
      <c r="B1097" s="11" t="s">
        <v>34</v>
      </c>
      <c r="C1097" s="41">
        <v>44910</v>
      </c>
      <c r="D1097" s="41">
        <v>44910</v>
      </c>
      <c r="E1097" s="11" t="s">
        <v>42</v>
      </c>
      <c r="F1097" s="11" t="s">
        <v>2448</v>
      </c>
      <c r="G1097" s="11">
        <v>110292</v>
      </c>
      <c r="H1097" s="11" t="s">
        <v>55</v>
      </c>
      <c r="J1097" s="11" t="s">
        <v>38</v>
      </c>
      <c r="K1097" s="11">
        <v>51010101</v>
      </c>
      <c r="L1097" s="11" t="s">
        <v>48</v>
      </c>
      <c r="M1097" s="11"/>
      <c r="N1097" s="11">
        <v>1359.48</v>
      </c>
      <c r="O1097" s="42">
        <v>-1359.48</v>
      </c>
      <c r="P1097" s="43" t="s">
        <v>4489</v>
      </c>
      <c r="Q1097" s="11">
        <v>1338156.47</v>
      </c>
      <c r="R1097" s="11" t="s">
        <v>2449</v>
      </c>
      <c r="S1097" s="11" t="s">
        <v>40</v>
      </c>
      <c r="T1097" s="11">
        <v>0</v>
      </c>
      <c r="V1097" s="11" t="s">
        <v>41</v>
      </c>
    </row>
    <row r="1098" spans="1:22" x14ac:dyDescent="0.25">
      <c r="A1098" s="11">
        <v>101060401</v>
      </c>
      <c r="B1098" s="11" t="s">
        <v>34</v>
      </c>
      <c r="C1098" s="41">
        <v>44910</v>
      </c>
      <c r="D1098" s="41">
        <v>44910</v>
      </c>
      <c r="E1098" s="11" t="s">
        <v>42</v>
      </c>
      <c r="F1098" s="11" t="s">
        <v>2450</v>
      </c>
      <c r="G1098" s="11">
        <v>110294</v>
      </c>
      <c r="H1098" s="11" t="s">
        <v>849</v>
      </c>
      <c r="J1098" s="11" t="s">
        <v>38</v>
      </c>
      <c r="K1098" s="11">
        <v>51010101</v>
      </c>
      <c r="L1098" s="11" t="s">
        <v>48</v>
      </c>
      <c r="M1098" s="11"/>
      <c r="N1098" s="11">
        <v>184.79</v>
      </c>
      <c r="O1098" s="42">
        <v>-184.79</v>
      </c>
      <c r="P1098" s="43" t="s">
        <v>4489</v>
      </c>
      <c r="Q1098" s="11">
        <v>1337971.68</v>
      </c>
      <c r="R1098" s="11" t="s">
        <v>2451</v>
      </c>
      <c r="S1098" s="11" t="s">
        <v>40</v>
      </c>
      <c r="T1098" s="11">
        <v>0</v>
      </c>
      <c r="V1098" s="11" t="s">
        <v>41</v>
      </c>
    </row>
    <row r="1099" spans="1:22" x14ac:dyDescent="0.25">
      <c r="A1099" s="11">
        <v>101060401</v>
      </c>
      <c r="B1099" s="11" t="s">
        <v>34</v>
      </c>
      <c r="C1099" s="41">
        <v>44910</v>
      </c>
      <c r="D1099" s="41">
        <v>44910</v>
      </c>
      <c r="E1099" s="11" t="s">
        <v>36</v>
      </c>
      <c r="F1099" s="11" t="s">
        <v>2452</v>
      </c>
      <c r="G1099" s="11">
        <v>110295</v>
      </c>
      <c r="H1099" s="11" t="s">
        <v>52</v>
      </c>
      <c r="K1099" s="11">
        <v>201040506</v>
      </c>
      <c r="L1099" s="11" t="s">
        <v>46</v>
      </c>
      <c r="M1099" s="11">
        <v>46.75</v>
      </c>
      <c r="N1099" s="11"/>
      <c r="O1099" s="42">
        <v>46.75</v>
      </c>
      <c r="P1099" s="43" t="s">
        <v>4480</v>
      </c>
      <c r="Q1099" s="11">
        <v>1338018.43</v>
      </c>
      <c r="R1099" s="11" t="s">
        <v>246</v>
      </c>
      <c r="S1099" s="11" t="s">
        <v>40</v>
      </c>
      <c r="T1099" s="11">
        <v>0</v>
      </c>
    </row>
    <row r="1100" spans="1:22" x14ac:dyDescent="0.25">
      <c r="A1100" s="11">
        <v>101060401</v>
      </c>
      <c r="B1100" s="11" t="s">
        <v>34</v>
      </c>
      <c r="C1100" s="41">
        <v>44910</v>
      </c>
      <c r="D1100" s="41">
        <v>44910</v>
      </c>
      <c r="E1100" s="11" t="s">
        <v>42</v>
      </c>
      <c r="F1100" s="11" t="s">
        <v>2453</v>
      </c>
      <c r="G1100" s="11">
        <v>110296</v>
      </c>
      <c r="H1100" s="11" t="s">
        <v>47</v>
      </c>
      <c r="J1100" s="11" t="s">
        <v>38</v>
      </c>
      <c r="K1100" s="11">
        <v>51010101</v>
      </c>
      <c r="L1100" s="11" t="s">
        <v>48</v>
      </c>
      <c r="M1100" s="11"/>
      <c r="N1100" s="11">
        <v>46.75</v>
      </c>
      <c r="O1100" s="42">
        <v>-46.75</v>
      </c>
      <c r="P1100" s="43" t="s">
        <v>4489</v>
      </c>
      <c r="Q1100" s="11">
        <v>1337971.68</v>
      </c>
      <c r="R1100" s="11" t="s">
        <v>225</v>
      </c>
      <c r="S1100" s="11" t="s">
        <v>40</v>
      </c>
      <c r="T1100" s="11">
        <v>0</v>
      </c>
      <c r="V1100" s="11" t="s">
        <v>41</v>
      </c>
    </row>
    <row r="1101" spans="1:22" x14ac:dyDescent="0.25">
      <c r="A1101" s="11">
        <v>101060401</v>
      </c>
      <c r="B1101" s="11" t="s">
        <v>34</v>
      </c>
      <c r="C1101" s="41">
        <v>44910</v>
      </c>
      <c r="D1101" s="41">
        <v>44910</v>
      </c>
      <c r="E1101" s="11" t="s">
        <v>42</v>
      </c>
      <c r="F1101" s="11" t="s">
        <v>2454</v>
      </c>
      <c r="G1101" s="11">
        <v>110299</v>
      </c>
      <c r="H1101" s="11" t="s">
        <v>105</v>
      </c>
      <c r="J1101" s="11" t="s">
        <v>38</v>
      </c>
      <c r="K1101" s="11">
        <v>51010101</v>
      </c>
      <c r="L1101" s="11" t="s">
        <v>48</v>
      </c>
      <c r="M1101" s="11"/>
      <c r="N1101" s="11">
        <v>2505.34</v>
      </c>
      <c r="O1101" s="42">
        <v>-2505.34</v>
      </c>
      <c r="P1101" s="43" t="s">
        <v>4489</v>
      </c>
      <c r="Q1101" s="11">
        <v>1335466.3400000001</v>
      </c>
      <c r="R1101" s="11" t="s">
        <v>2455</v>
      </c>
      <c r="S1101" s="11" t="s">
        <v>40</v>
      </c>
      <c r="T1101" s="11">
        <v>0</v>
      </c>
      <c r="V1101" s="11" t="s">
        <v>41</v>
      </c>
    </row>
    <row r="1102" spans="1:22" x14ac:dyDescent="0.25">
      <c r="A1102" s="11">
        <v>101060401</v>
      </c>
      <c r="B1102" s="11" t="s">
        <v>34</v>
      </c>
      <c r="C1102" s="41">
        <v>44910</v>
      </c>
      <c r="D1102" s="41">
        <v>44910</v>
      </c>
      <c r="E1102" s="11" t="s">
        <v>42</v>
      </c>
      <c r="F1102" s="11" t="s">
        <v>2456</v>
      </c>
      <c r="G1102" s="11">
        <v>110300</v>
      </c>
      <c r="H1102" s="11" t="s">
        <v>105</v>
      </c>
      <c r="J1102" s="11" t="s">
        <v>38</v>
      </c>
      <c r="K1102" s="11">
        <v>51010101</v>
      </c>
      <c r="L1102" s="11" t="s">
        <v>48</v>
      </c>
      <c r="M1102" s="11"/>
      <c r="N1102" s="11">
        <v>59.71</v>
      </c>
      <c r="O1102" s="42">
        <v>-59.71</v>
      </c>
      <c r="P1102" s="43" t="s">
        <v>4489</v>
      </c>
      <c r="Q1102" s="11">
        <v>1335406.6299999999</v>
      </c>
      <c r="R1102" s="11" t="s">
        <v>2457</v>
      </c>
      <c r="S1102" s="11" t="s">
        <v>40</v>
      </c>
      <c r="T1102" s="11">
        <v>0</v>
      </c>
      <c r="V1102" s="11" t="s">
        <v>41</v>
      </c>
    </row>
    <row r="1103" spans="1:22" x14ac:dyDescent="0.25">
      <c r="A1103" s="11">
        <v>101060401</v>
      </c>
      <c r="B1103" s="11" t="s">
        <v>34</v>
      </c>
      <c r="C1103" s="41">
        <v>44910</v>
      </c>
      <c r="D1103" s="41">
        <v>44910</v>
      </c>
      <c r="E1103" s="11" t="s">
        <v>42</v>
      </c>
      <c r="F1103" s="11" t="s">
        <v>2458</v>
      </c>
      <c r="G1103" s="11">
        <v>110307</v>
      </c>
      <c r="H1103" s="11" t="s">
        <v>305</v>
      </c>
      <c r="J1103" s="11" t="s">
        <v>38</v>
      </c>
      <c r="K1103" s="11" t="s">
        <v>306</v>
      </c>
      <c r="L1103" s="11" t="s">
        <v>307</v>
      </c>
      <c r="M1103" s="11">
        <v>136.5</v>
      </c>
      <c r="N1103" s="11"/>
      <c r="O1103" s="42">
        <v>136.5</v>
      </c>
      <c r="P1103" s="43" t="s">
        <v>4488</v>
      </c>
      <c r="Q1103" s="11">
        <v>1335543.1299999999</v>
      </c>
      <c r="R1103" s="11" t="s">
        <v>564</v>
      </c>
      <c r="S1103" s="11" t="s">
        <v>69</v>
      </c>
      <c r="T1103" s="11">
        <v>0</v>
      </c>
      <c r="V1103" s="11" t="s">
        <v>41</v>
      </c>
    </row>
    <row r="1104" spans="1:22" x14ac:dyDescent="0.25">
      <c r="A1104" s="11">
        <v>101060401</v>
      </c>
      <c r="B1104" s="11" t="s">
        <v>34</v>
      </c>
      <c r="C1104" s="41">
        <v>44910</v>
      </c>
      <c r="D1104" s="41">
        <v>44910</v>
      </c>
      <c r="E1104" s="11" t="s">
        <v>42</v>
      </c>
      <c r="F1104" s="11" t="s">
        <v>2459</v>
      </c>
      <c r="G1104" s="11">
        <v>110308</v>
      </c>
      <c r="H1104" s="11" t="s">
        <v>305</v>
      </c>
      <c r="J1104" s="11" t="s">
        <v>38</v>
      </c>
      <c r="K1104" s="11" t="s">
        <v>306</v>
      </c>
      <c r="L1104" s="11" t="s">
        <v>307</v>
      </c>
      <c r="M1104" s="11">
        <v>31.12</v>
      </c>
      <c r="N1104" s="11"/>
      <c r="O1104" s="42">
        <v>31.12</v>
      </c>
      <c r="P1104" s="43" t="s">
        <v>4488</v>
      </c>
      <c r="Q1104" s="11">
        <v>1335574.25</v>
      </c>
      <c r="R1104" s="11" t="s">
        <v>2460</v>
      </c>
      <c r="S1104" s="11" t="s">
        <v>69</v>
      </c>
      <c r="T1104" s="11">
        <v>0</v>
      </c>
      <c r="V1104" s="11" t="s">
        <v>41</v>
      </c>
    </row>
    <row r="1105" spans="1:22" x14ac:dyDescent="0.25">
      <c r="A1105" s="11">
        <v>101060401</v>
      </c>
      <c r="B1105" s="11" t="s">
        <v>34</v>
      </c>
      <c r="C1105" s="41">
        <v>44910</v>
      </c>
      <c r="D1105" s="41">
        <v>44910</v>
      </c>
      <c r="E1105" s="11" t="s">
        <v>42</v>
      </c>
      <c r="F1105" s="11" t="s">
        <v>2461</v>
      </c>
      <c r="G1105" s="11">
        <v>110312</v>
      </c>
      <c r="H1105" s="11" t="s">
        <v>86</v>
      </c>
      <c r="J1105" s="11" t="s">
        <v>38</v>
      </c>
      <c r="K1105" s="11">
        <v>51010101</v>
      </c>
      <c r="L1105" s="11" t="s">
        <v>48</v>
      </c>
      <c r="M1105" s="11"/>
      <c r="N1105" s="11">
        <v>136.5</v>
      </c>
      <c r="O1105" s="42">
        <v>-136.5</v>
      </c>
      <c r="P1105" s="43" t="s">
        <v>4489</v>
      </c>
      <c r="Q1105" s="11">
        <v>1335437.75</v>
      </c>
      <c r="R1105" s="11" t="s">
        <v>566</v>
      </c>
      <c r="S1105" s="11" t="s">
        <v>40</v>
      </c>
      <c r="T1105" s="11">
        <v>0</v>
      </c>
      <c r="V1105" s="11" t="s">
        <v>41</v>
      </c>
    </row>
    <row r="1106" spans="1:22" x14ac:dyDescent="0.25">
      <c r="A1106" s="11">
        <v>101060401</v>
      </c>
      <c r="B1106" s="11" t="s">
        <v>34</v>
      </c>
      <c r="C1106" s="41">
        <v>44910</v>
      </c>
      <c r="D1106" s="41">
        <v>44910</v>
      </c>
      <c r="E1106" s="11" t="s">
        <v>42</v>
      </c>
      <c r="F1106" s="11" t="s">
        <v>2462</v>
      </c>
      <c r="G1106" s="11">
        <v>110313</v>
      </c>
      <c r="H1106" s="11" t="s">
        <v>86</v>
      </c>
      <c r="J1106" s="11" t="s">
        <v>38</v>
      </c>
      <c r="K1106" s="11">
        <v>51010101</v>
      </c>
      <c r="L1106" s="11" t="s">
        <v>48</v>
      </c>
      <c r="M1106" s="11"/>
      <c r="N1106" s="11">
        <v>31.12</v>
      </c>
      <c r="O1106" s="42">
        <v>-31.12</v>
      </c>
      <c r="P1106" s="43" t="s">
        <v>4489</v>
      </c>
      <c r="Q1106" s="11">
        <v>1335406.6299999999</v>
      </c>
      <c r="R1106" s="11" t="s">
        <v>2003</v>
      </c>
      <c r="S1106" s="11" t="s">
        <v>40</v>
      </c>
      <c r="T1106" s="11">
        <v>0</v>
      </c>
      <c r="V1106" s="11" t="s">
        <v>41</v>
      </c>
    </row>
    <row r="1107" spans="1:22" x14ac:dyDescent="0.25">
      <c r="A1107" s="11">
        <v>101060401</v>
      </c>
      <c r="B1107" s="11" t="s">
        <v>34</v>
      </c>
      <c r="C1107" s="41">
        <v>44911</v>
      </c>
      <c r="D1107" s="41">
        <v>44911</v>
      </c>
      <c r="E1107" s="11" t="s">
        <v>42</v>
      </c>
      <c r="F1107" s="11" t="s">
        <v>2463</v>
      </c>
      <c r="G1107" s="11">
        <v>110330</v>
      </c>
      <c r="H1107" s="11" t="s">
        <v>57</v>
      </c>
      <c r="K1107" s="11">
        <v>101060407</v>
      </c>
      <c r="L1107" s="11" t="s">
        <v>78</v>
      </c>
      <c r="M1107" s="11"/>
      <c r="N1107" s="11">
        <v>1.26</v>
      </c>
      <c r="O1107" s="42">
        <v>-1.26</v>
      </c>
      <c r="P1107" s="43" t="s">
        <v>4481</v>
      </c>
      <c r="Q1107" s="11">
        <v>1335405.3700000001</v>
      </c>
      <c r="R1107" s="11" t="s">
        <v>2464</v>
      </c>
      <c r="S1107" s="11" t="s">
        <v>40</v>
      </c>
      <c r="T1107" s="11">
        <v>0</v>
      </c>
    </row>
    <row r="1108" spans="1:22" x14ac:dyDescent="0.25">
      <c r="A1108" s="11">
        <v>101060401</v>
      </c>
      <c r="B1108" s="11" t="s">
        <v>34</v>
      </c>
      <c r="C1108" s="41">
        <v>44911</v>
      </c>
      <c r="D1108" s="41">
        <v>44911</v>
      </c>
      <c r="E1108" s="11" t="s">
        <v>36</v>
      </c>
      <c r="F1108" s="11" t="s">
        <v>2465</v>
      </c>
      <c r="G1108" s="11">
        <v>110338</v>
      </c>
      <c r="H1108" s="11" t="s">
        <v>324</v>
      </c>
      <c r="K1108" s="11">
        <v>201040506</v>
      </c>
      <c r="L1108" s="11" t="s">
        <v>46</v>
      </c>
      <c r="M1108" s="11">
        <v>288</v>
      </c>
      <c r="N1108" s="11"/>
      <c r="O1108" s="42">
        <v>288</v>
      </c>
      <c r="P1108" s="43" t="s">
        <v>4480</v>
      </c>
      <c r="Q1108" s="11">
        <v>1335693.3700000001</v>
      </c>
      <c r="R1108" s="11" t="s">
        <v>2466</v>
      </c>
      <c r="S1108" s="11" t="s">
        <v>40</v>
      </c>
      <c r="T1108" s="11">
        <v>0</v>
      </c>
    </row>
    <row r="1109" spans="1:22" x14ac:dyDescent="0.25">
      <c r="A1109" s="11">
        <v>101060401</v>
      </c>
      <c r="B1109" s="11" t="s">
        <v>34</v>
      </c>
      <c r="C1109" s="41">
        <v>44911</v>
      </c>
      <c r="D1109" s="41">
        <v>44911</v>
      </c>
      <c r="E1109" s="11" t="s">
        <v>42</v>
      </c>
      <c r="F1109" s="11" t="s">
        <v>2467</v>
      </c>
      <c r="G1109" s="11">
        <v>110339</v>
      </c>
      <c r="H1109" s="11" t="s">
        <v>47</v>
      </c>
      <c r="J1109" s="11" t="s">
        <v>38</v>
      </c>
      <c r="K1109" s="11">
        <v>51010101</v>
      </c>
      <c r="L1109" s="11" t="s">
        <v>48</v>
      </c>
      <c r="M1109" s="11"/>
      <c r="N1109" s="11">
        <v>288</v>
      </c>
      <c r="O1109" s="42">
        <v>-288</v>
      </c>
      <c r="P1109" s="43" t="s">
        <v>4489</v>
      </c>
      <c r="Q1109" s="11">
        <v>1335405.3700000001</v>
      </c>
      <c r="R1109" s="11" t="s">
        <v>2468</v>
      </c>
      <c r="S1109" s="11" t="s">
        <v>40</v>
      </c>
      <c r="T1109" s="11">
        <v>0</v>
      </c>
      <c r="V1109" s="11" t="s">
        <v>41</v>
      </c>
    </row>
    <row r="1110" spans="1:22" x14ac:dyDescent="0.25">
      <c r="A1110" s="11">
        <v>101060401</v>
      </c>
      <c r="B1110" s="11" t="s">
        <v>34</v>
      </c>
      <c r="C1110" s="41">
        <v>44911</v>
      </c>
      <c r="D1110" s="41">
        <v>44911</v>
      </c>
      <c r="E1110" s="11" t="s">
        <v>42</v>
      </c>
      <c r="F1110" s="11" t="s">
        <v>2469</v>
      </c>
      <c r="G1110" s="11">
        <v>110340</v>
      </c>
      <c r="H1110" s="11" t="s">
        <v>47</v>
      </c>
      <c r="J1110" s="11" t="s">
        <v>38</v>
      </c>
      <c r="K1110" s="11">
        <v>51010101</v>
      </c>
      <c r="L1110" s="11" t="s">
        <v>48</v>
      </c>
      <c r="M1110" s="11"/>
      <c r="N1110" s="11">
        <v>527.94000000000005</v>
      </c>
      <c r="O1110" s="42">
        <v>-527.94000000000005</v>
      </c>
      <c r="P1110" s="43" t="s">
        <v>4489</v>
      </c>
      <c r="Q1110" s="11">
        <v>1334877.43</v>
      </c>
      <c r="R1110" s="11" t="s">
        <v>2470</v>
      </c>
      <c r="S1110" s="11" t="s">
        <v>40</v>
      </c>
      <c r="T1110" s="11">
        <v>0</v>
      </c>
      <c r="V1110" s="11" t="s">
        <v>41</v>
      </c>
    </row>
    <row r="1111" spans="1:22" x14ac:dyDescent="0.25">
      <c r="A1111" s="11">
        <v>101060401</v>
      </c>
      <c r="B1111" s="11" t="s">
        <v>34</v>
      </c>
      <c r="C1111" s="41">
        <v>44911</v>
      </c>
      <c r="D1111" s="41">
        <v>44911</v>
      </c>
      <c r="E1111" s="11" t="s">
        <v>42</v>
      </c>
      <c r="F1111" s="11" t="s">
        <v>2471</v>
      </c>
      <c r="G1111" s="11">
        <v>110341</v>
      </c>
      <c r="H1111" s="11" t="s">
        <v>88</v>
      </c>
      <c r="J1111" s="11" t="s">
        <v>38</v>
      </c>
      <c r="K1111" s="11">
        <v>51010101</v>
      </c>
      <c r="L1111" s="11" t="s">
        <v>48</v>
      </c>
      <c r="M1111" s="11">
        <v>288</v>
      </c>
      <c r="N1111" s="11"/>
      <c r="O1111" s="42">
        <v>288</v>
      </c>
      <c r="P1111" s="43" t="s">
        <v>4489</v>
      </c>
      <c r="Q1111" s="11">
        <v>1335165.43</v>
      </c>
      <c r="R1111" s="11" t="s">
        <v>2466</v>
      </c>
      <c r="S1111" s="11" t="s">
        <v>40</v>
      </c>
      <c r="T1111" s="11">
        <v>0</v>
      </c>
      <c r="V1111" s="11" t="s">
        <v>41</v>
      </c>
    </row>
    <row r="1112" spans="1:22" x14ac:dyDescent="0.25">
      <c r="A1112" s="11">
        <v>101060401</v>
      </c>
      <c r="B1112" s="11" t="s">
        <v>34</v>
      </c>
      <c r="C1112" s="41">
        <v>44911</v>
      </c>
      <c r="D1112" s="41">
        <v>44911</v>
      </c>
      <c r="E1112" s="11" t="s">
        <v>42</v>
      </c>
      <c r="F1112" s="11" t="s">
        <v>2472</v>
      </c>
      <c r="G1112" s="11">
        <v>110342</v>
      </c>
      <c r="H1112" s="11" t="s">
        <v>215</v>
      </c>
      <c r="J1112" s="11" t="s">
        <v>38</v>
      </c>
      <c r="K1112" s="11" t="s">
        <v>216</v>
      </c>
      <c r="L1112" s="11" t="s">
        <v>217</v>
      </c>
      <c r="M1112" s="11">
        <v>490.62</v>
      </c>
      <c r="N1112" s="11"/>
      <c r="O1112" s="42">
        <v>490.62</v>
      </c>
      <c r="P1112" s="43" t="s">
        <v>4488</v>
      </c>
      <c r="Q1112" s="11">
        <v>1335656.05</v>
      </c>
      <c r="R1112" s="11" t="s">
        <v>2473</v>
      </c>
      <c r="S1112" s="11" t="s">
        <v>69</v>
      </c>
      <c r="T1112" s="11">
        <v>0</v>
      </c>
      <c r="V1112" s="11" t="s">
        <v>41</v>
      </c>
    </row>
    <row r="1113" spans="1:22" x14ac:dyDescent="0.25">
      <c r="A1113" s="11">
        <v>101060401</v>
      </c>
      <c r="B1113" s="11" t="s">
        <v>34</v>
      </c>
      <c r="C1113" s="41">
        <v>44911</v>
      </c>
      <c r="D1113" s="41">
        <v>44911</v>
      </c>
      <c r="E1113" s="11" t="s">
        <v>42</v>
      </c>
      <c r="F1113" s="11" t="s">
        <v>2474</v>
      </c>
      <c r="G1113" s="11">
        <v>110343</v>
      </c>
      <c r="H1113" s="11" t="s">
        <v>47</v>
      </c>
      <c r="J1113" s="11" t="s">
        <v>38</v>
      </c>
      <c r="K1113" s="11">
        <v>51010101</v>
      </c>
      <c r="L1113" s="11" t="s">
        <v>48</v>
      </c>
      <c r="M1113" s="11"/>
      <c r="N1113" s="11">
        <v>144</v>
      </c>
      <c r="O1113" s="42">
        <v>-144</v>
      </c>
      <c r="P1113" s="43" t="s">
        <v>4489</v>
      </c>
      <c r="Q1113" s="11">
        <v>1335512.05</v>
      </c>
      <c r="R1113" s="11" t="s">
        <v>286</v>
      </c>
      <c r="S1113" s="11" t="s">
        <v>40</v>
      </c>
      <c r="T1113" s="11">
        <v>0</v>
      </c>
      <c r="V1113" s="11" t="s">
        <v>41</v>
      </c>
    </row>
    <row r="1114" spans="1:22" x14ac:dyDescent="0.25">
      <c r="A1114" s="11">
        <v>101060401</v>
      </c>
      <c r="B1114" s="11" t="s">
        <v>34</v>
      </c>
      <c r="C1114" s="41">
        <v>44911</v>
      </c>
      <c r="D1114" s="41">
        <v>44911</v>
      </c>
      <c r="E1114" s="11" t="s">
        <v>42</v>
      </c>
      <c r="F1114" s="11" t="s">
        <v>2475</v>
      </c>
      <c r="G1114" s="11">
        <v>110350</v>
      </c>
      <c r="H1114" s="11" t="s">
        <v>141</v>
      </c>
      <c r="J1114" s="11" t="s">
        <v>38</v>
      </c>
      <c r="K1114" s="11">
        <v>51010101</v>
      </c>
      <c r="L1114" s="11" t="s">
        <v>48</v>
      </c>
      <c r="M1114" s="11"/>
      <c r="N1114" s="11">
        <v>549.71</v>
      </c>
      <c r="O1114" s="42">
        <v>-549.71</v>
      </c>
      <c r="P1114" s="43" t="s">
        <v>4489</v>
      </c>
      <c r="Q1114" s="11">
        <v>1334962.3400000001</v>
      </c>
      <c r="R1114" s="11" t="s">
        <v>2476</v>
      </c>
      <c r="S1114" s="11" t="s">
        <v>40</v>
      </c>
      <c r="T1114" s="11">
        <v>0</v>
      </c>
      <c r="V1114" s="11" t="s">
        <v>41</v>
      </c>
    </row>
    <row r="1115" spans="1:22" x14ac:dyDescent="0.25">
      <c r="A1115" s="11">
        <v>101060401</v>
      </c>
      <c r="B1115" s="11" t="s">
        <v>34</v>
      </c>
      <c r="C1115" s="41">
        <v>44911</v>
      </c>
      <c r="D1115" s="41">
        <v>44911</v>
      </c>
      <c r="E1115" s="11" t="s">
        <v>36</v>
      </c>
      <c r="F1115" s="11" t="s">
        <v>2477</v>
      </c>
      <c r="G1115" s="11">
        <v>110354</v>
      </c>
      <c r="H1115" s="11" t="s">
        <v>119</v>
      </c>
      <c r="K1115" s="11">
        <v>201040506</v>
      </c>
      <c r="L1115" s="11" t="s">
        <v>46</v>
      </c>
      <c r="M1115" s="11">
        <v>4225</v>
      </c>
      <c r="N1115" s="11"/>
      <c r="O1115" s="42">
        <v>4225</v>
      </c>
      <c r="P1115" s="43" t="s">
        <v>4480</v>
      </c>
      <c r="Q1115" s="11">
        <v>1339187.3400000001</v>
      </c>
      <c r="R1115" s="11" t="s">
        <v>2478</v>
      </c>
      <c r="S1115" s="11" t="s">
        <v>40</v>
      </c>
      <c r="T1115" s="11">
        <v>0</v>
      </c>
    </row>
    <row r="1116" spans="1:22" x14ac:dyDescent="0.25">
      <c r="A1116" s="11">
        <v>101060401</v>
      </c>
      <c r="B1116" s="11" t="s">
        <v>34</v>
      </c>
      <c r="C1116" s="41">
        <v>44911</v>
      </c>
      <c r="D1116" s="41">
        <v>44911</v>
      </c>
      <c r="E1116" s="11" t="s">
        <v>42</v>
      </c>
      <c r="F1116" s="11" t="s">
        <v>2479</v>
      </c>
      <c r="G1116" s="11">
        <v>110355</v>
      </c>
      <c r="H1116" s="11" t="s">
        <v>47</v>
      </c>
      <c r="J1116" s="11" t="s">
        <v>38</v>
      </c>
      <c r="K1116" s="11">
        <v>51010101</v>
      </c>
      <c r="L1116" s="11" t="s">
        <v>48</v>
      </c>
      <c r="M1116" s="11"/>
      <c r="N1116" s="11">
        <v>4225</v>
      </c>
      <c r="O1116" s="42">
        <v>-4225</v>
      </c>
      <c r="P1116" s="43" t="s">
        <v>4489</v>
      </c>
      <c r="Q1116" s="11">
        <v>1334962.3400000001</v>
      </c>
      <c r="R1116" s="11" t="s">
        <v>2480</v>
      </c>
      <c r="S1116" s="11" t="s">
        <v>40</v>
      </c>
      <c r="T1116" s="11">
        <v>0</v>
      </c>
      <c r="V1116" s="11" t="s">
        <v>41</v>
      </c>
    </row>
    <row r="1117" spans="1:22" x14ac:dyDescent="0.25">
      <c r="A1117" s="11">
        <v>101060401</v>
      </c>
      <c r="B1117" s="11" t="s">
        <v>34</v>
      </c>
      <c r="C1117" s="41">
        <v>44911</v>
      </c>
      <c r="D1117" s="41">
        <v>44911</v>
      </c>
      <c r="E1117" s="11" t="s">
        <v>42</v>
      </c>
      <c r="F1117" s="11" t="s">
        <v>2481</v>
      </c>
      <c r="G1117" s="11">
        <v>110356</v>
      </c>
      <c r="H1117" s="11" t="s">
        <v>66</v>
      </c>
      <c r="J1117" s="11" t="s">
        <v>38</v>
      </c>
      <c r="K1117" s="11">
        <v>51010101</v>
      </c>
      <c r="L1117" s="11" t="s">
        <v>48</v>
      </c>
      <c r="M1117" s="11"/>
      <c r="N1117" s="11">
        <v>490.62</v>
      </c>
      <c r="O1117" s="42">
        <v>-490.62</v>
      </c>
      <c r="P1117" s="43" t="s">
        <v>4489</v>
      </c>
      <c r="Q1117" s="11">
        <v>1334471.72</v>
      </c>
      <c r="R1117" s="11" t="s">
        <v>2277</v>
      </c>
      <c r="S1117" s="11" t="s">
        <v>40</v>
      </c>
      <c r="T1117" s="11">
        <v>0</v>
      </c>
      <c r="V1117" s="11" t="s">
        <v>41</v>
      </c>
    </row>
    <row r="1118" spans="1:22" x14ac:dyDescent="0.25">
      <c r="A1118" s="11">
        <v>101060401</v>
      </c>
      <c r="B1118" s="11" t="s">
        <v>34</v>
      </c>
      <c r="C1118" s="41">
        <v>44911</v>
      </c>
      <c r="D1118" s="41">
        <v>44911</v>
      </c>
      <c r="E1118" s="11" t="s">
        <v>42</v>
      </c>
      <c r="F1118" s="11" t="s">
        <v>2482</v>
      </c>
      <c r="G1118" s="11">
        <v>110357</v>
      </c>
      <c r="H1118" s="11" t="s">
        <v>76</v>
      </c>
      <c r="J1118" s="11" t="s">
        <v>38</v>
      </c>
      <c r="K1118" s="11">
        <v>51010101</v>
      </c>
      <c r="L1118" s="11" t="s">
        <v>48</v>
      </c>
      <c r="M1118" s="11"/>
      <c r="N1118" s="11">
        <v>12.37</v>
      </c>
      <c r="O1118" s="42">
        <v>-12.37</v>
      </c>
      <c r="P1118" s="43" t="s">
        <v>4489</v>
      </c>
      <c r="Q1118" s="11">
        <v>1334459.3500000001</v>
      </c>
      <c r="R1118" s="11" t="s">
        <v>2483</v>
      </c>
      <c r="S1118" s="11" t="s">
        <v>40</v>
      </c>
      <c r="T1118" s="11">
        <v>0</v>
      </c>
      <c r="V1118" s="11" t="s">
        <v>41</v>
      </c>
    </row>
    <row r="1119" spans="1:22" x14ac:dyDescent="0.25">
      <c r="A1119" s="11">
        <v>101060401</v>
      </c>
      <c r="B1119" s="11" t="s">
        <v>34</v>
      </c>
      <c r="C1119" s="41">
        <v>44911</v>
      </c>
      <c r="D1119" s="41">
        <v>44911</v>
      </c>
      <c r="E1119" s="11" t="s">
        <v>42</v>
      </c>
      <c r="F1119" s="11" t="s">
        <v>2484</v>
      </c>
      <c r="G1119" s="11">
        <v>110360</v>
      </c>
      <c r="H1119" s="11" t="s">
        <v>215</v>
      </c>
      <c r="J1119" s="11" t="s">
        <v>38</v>
      </c>
      <c r="K1119" s="11" t="s">
        <v>216</v>
      </c>
      <c r="L1119" s="11" t="s">
        <v>217</v>
      </c>
      <c r="M1119" s="11">
        <v>490.62</v>
      </c>
      <c r="N1119" s="11"/>
      <c r="O1119" s="42">
        <v>490.62</v>
      </c>
      <c r="P1119" s="43" t="s">
        <v>4488</v>
      </c>
      <c r="Q1119" s="11">
        <v>1334949.97</v>
      </c>
      <c r="R1119" s="11" t="s">
        <v>2473</v>
      </c>
      <c r="S1119" s="11" t="s">
        <v>69</v>
      </c>
      <c r="T1119" s="11">
        <v>0</v>
      </c>
      <c r="V1119" s="11" t="s">
        <v>41</v>
      </c>
    </row>
    <row r="1120" spans="1:22" x14ac:dyDescent="0.25">
      <c r="A1120" s="11">
        <v>101060401</v>
      </c>
      <c r="B1120" s="11" t="s">
        <v>34</v>
      </c>
      <c r="C1120" s="41">
        <v>44911</v>
      </c>
      <c r="D1120" s="41">
        <v>44911</v>
      </c>
      <c r="E1120" s="11" t="s">
        <v>42</v>
      </c>
      <c r="F1120" s="11" t="s">
        <v>2485</v>
      </c>
      <c r="G1120" s="11">
        <v>110361</v>
      </c>
      <c r="H1120" s="11" t="s">
        <v>2486</v>
      </c>
      <c r="J1120" s="11" t="s">
        <v>38</v>
      </c>
      <c r="K1120" s="11" t="s">
        <v>2487</v>
      </c>
      <c r="L1120" s="11" t="s">
        <v>2488</v>
      </c>
      <c r="M1120" s="11">
        <v>85.61</v>
      </c>
      <c r="N1120" s="11"/>
      <c r="O1120" s="42">
        <v>85.61</v>
      </c>
      <c r="P1120" s="43" t="s">
        <v>4488</v>
      </c>
      <c r="Q1120" s="11">
        <v>1335035.58</v>
      </c>
      <c r="R1120" s="11" t="s">
        <v>2489</v>
      </c>
      <c r="S1120" s="11" t="s">
        <v>69</v>
      </c>
      <c r="T1120" s="11">
        <v>0</v>
      </c>
      <c r="V1120" s="11" t="s">
        <v>41</v>
      </c>
    </row>
    <row r="1121" spans="1:22" x14ac:dyDescent="0.25">
      <c r="A1121" s="11">
        <v>101060401</v>
      </c>
      <c r="B1121" s="11" t="s">
        <v>34</v>
      </c>
      <c r="C1121" s="41">
        <v>44911</v>
      </c>
      <c r="D1121" s="41">
        <v>44911</v>
      </c>
      <c r="E1121" s="11" t="s">
        <v>36</v>
      </c>
      <c r="F1121" s="11" t="s">
        <v>2490</v>
      </c>
      <c r="G1121" s="11">
        <v>110362</v>
      </c>
      <c r="H1121" s="11" t="s">
        <v>89</v>
      </c>
      <c r="K1121" s="11">
        <v>201040506</v>
      </c>
      <c r="L1121" s="11" t="s">
        <v>46</v>
      </c>
      <c r="M1121" s="11">
        <v>126</v>
      </c>
      <c r="N1121" s="11"/>
      <c r="O1121" s="42">
        <v>126</v>
      </c>
      <c r="P1121" s="43" t="s">
        <v>4480</v>
      </c>
      <c r="Q1121" s="11">
        <v>1335161.58</v>
      </c>
      <c r="R1121" s="11" t="s">
        <v>2491</v>
      </c>
      <c r="S1121" s="11" t="s">
        <v>40</v>
      </c>
      <c r="T1121" s="11">
        <v>0</v>
      </c>
    </row>
    <row r="1122" spans="1:22" x14ac:dyDescent="0.25">
      <c r="A1122" s="11">
        <v>101060401</v>
      </c>
      <c r="B1122" s="11" t="s">
        <v>34</v>
      </c>
      <c r="C1122" s="41">
        <v>44911</v>
      </c>
      <c r="D1122" s="41">
        <v>44911</v>
      </c>
      <c r="E1122" s="11" t="s">
        <v>42</v>
      </c>
      <c r="F1122" s="11" t="s">
        <v>2492</v>
      </c>
      <c r="G1122" s="11">
        <v>110363</v>
      </c>
      <c r="H1122" s="11" t="s">
        <v>130</v>
      </c>
      <c r="J1122" s="11" t="s">
        <v>38</v>
      </c>
      <c r="K1122" s="11" t="s">
        <v>131</v>
      </c>
      <c r="L1122" s="11" t="s">
        <v>132</v>
      </c>
      <c r="M1122" s="11">
        <v>1359.48</v>
      </c>
      <c r="N1122" s="11"/>
      <c r="O1122" s="42">
        <v>1359.48</v>
      </c>
      <c r="P1122" s="43" t="s">
        <v>4488</v>
      </c>
      <c r="Q1122" s="11">
        <v>1336521.06</v>
      </c>
      <c r="R1122" s="11" t="s">
        <v>2493</v>
      </c>
      <c r="S1122" s="11" t="s">
        <v>69</v>
      </c>
      <c r="T1122" s="11">
        <v>0</v>
      </c>
      <c r="V1122" s="11" t="s">
        <v>41</v>
      </c>
    </row>
    <row r="1123" spans="1:22" x14ac:dyDescent="0.25">
      <c r="A1123" s="11">
        <v>101060401</v>
      </c>
      <c r="B1123" s="11" t="s">
        <v>34</v>
      </c>
      <c r="C1123" s="41">
        <v>44911</v>
      </c>
      <c r="D1123" s="41">
        <v>44911</v>
      </c>
      <c r="E1123" s="11" t="s">
        <v>42</v>
      </c>
      <c r="F1123" s="11" t="s">
        <v>2494</v>
      </c>
      <c r="G1123" s="11">
        <v>110364</v>
      </c>
      <c r="H1123" s="11" t="s">
        <v>47</v>
      </c>
      <c r="J1123" s="11" t="s">
        <v>38</v>
      </c>
      <c r="K1123" s="11">
        <v>51010101</v>
      </c>
      <c r="L1123" s="11" t="s">
        <v>48</v>
      </c>
      <c r="M1123" s="11"/>
      <c r="N1123" s="11">
        <v>126</v>
      </c>
      <c r="O1123" s="42">
        <v>-126</v>
      </c>
      <c r="P1123" s="43" t="s">
        <v>4489</v>
      </c>
      <c r="Q1123" s="11">
        <v>1336395.06</v>
      </c>
      <c r="R1123" s="11" t="s">
        <v>2495</v>
      </c>
      <c r="S1123" s="11" t="s">
        <v>40</v>
      </c>
      <c r="T1123" s="11">
        <v>0</v>
      </c>
      <c r="V1123" s="11" t="s">
        <v>41</v>
      </c>
    </row>
    <row r="1124" spans="1:22" x14ac:dyDescent="0.25">
      <c r="A1124" s="11">
        <v>101060401</v>
      </c>
      <c r="B1124" s="11" t="s">
        <v>34</v>
      </c>
      <c r="C1124" s="41">
        <v>44911</v>
      </c>
      <c r="D1124" s="41">
        <v>44911</v>
      </c>
      <c r="E1124" s="11" t="s">
        <v>36</v>
      </c>
      <c r="F1124" s="11" t="s">
        <v>2496</v>
      </c>
      <c r="G1124" s="11">
        <v>110365</v>
      </c>
      <c r="H1124" s="11" t="s">
        <v>52</v>
      </c>
      <c r="K1124" s="11">
        <v>201040506</v>
      </c>
      <c r="L1124" s="11" t="s">
        <v>46</v>
      </c>
      <c r="M1124" s="11">
        <v>73.78</v>
      </c>
      <c r="N1124" s="11"/>
      <c r="O1124" s="42">
        <v>73.78</v>
      </c>
      <c r="P1124" s="43" t="s">
        <v>4480</v>
      </c>
      <c r="Q1124" s="11">
        <v>1336468.8400000001</v>
      </c>
      <c r="R1124" s="11" t="s">
        <v>2497</v>
      </c>
      <c r="S1124" s="11" t="s">
        <v>40</v>
      </c>
      <c r="T1124" s="11">
        <v>0</v>
      </c>
    </row>
    <row r="1125" spans="1:22" x14ac:dyDescent="0.25">
      <c r="A1125" s="11">
        <v>101060401</v>
      </c>
      <c r="B1125" s="11" t="s">
        <v>34</v>
      </c>
      <c r="C1125" s="41">
        <v>44911</v>
      </c>
      <c r="D1125" s="41">
        <v>44911</v>
      </c>
      <c r="E1125" s="11" t="s">
        <v>36</v>
      </c>
      <c r="F1125" s="11" t="s">
        <v>2498</v>
      </c>
      <c r="G1125" s="11">
        <v>110366</v>
      </c>
      <c r="H1125" s="11" t="s">
        <v>52</v>
      </c>
      <c r="K1125" s="11">
        <v>201040506</v>
      </c>
      <c r="L1125" s="11" t="s">
        <v>46</v>
      </c>
      <c r="M1125" s="11">
        <v>544.51</v>
      </c>
      <c r="N1125" s="11"/>
      <c r="O1125" s="42">
        <v>544.51</v>
      </c>
      <c r="P1125" s="43" t="s">
        <v>4480</v>
      </c>
      <c r="Q1125" s="11">
        <v>1337013.3500000001</v>
      </c>
      <c r="R1125" s="11" t="s">
        <v>2499</v>
      </c>
      <c r="S1125" s="11" t="s">
        <v>40</v>
      </c>
      <c r="T1125" s="11">
        <v>0</v>
      </c>
    </row>
    <row r="1126" spans="1:22" x14ac:dyDescent="0.25">
      <c r="A1126" s="11">
        <v>101060401</v>
      </c>
      <c r="B1126" s="11" t="s">
        <v>34</v>
      </c>
      <c r="C1126" s="41">
        <v>44911</v>
      </c>
      <c r="D1126" s="41">
        <v>44911</v>
      </c>
      <c r="E1126" s="11" t="s">
        <v>42</v>
      </c>
      <c r="F1126" s="11" t="s">
        <v>2500</v>
      </c>
      <c r="G1126" s="11">
        <v>110367</v>
      </c>
      <c r="H1126" s="11" t="s">
        <v>57</v>
      </c>
      <c r="K1126" s="11">
        <v>101060402</v>
      </c>
      <c r="L1126" s="11" t="s">
        <v>44</v>
      </c>
      <c r="M1126" s="11"/>
      <c r="N1126" s="11">
        <v>544.51</v>
      </c>
      <c r="O1126" s="42">
        <v>-544.51</v>
      </c>
      <c r="P1126" s="43" t="s">
        <v>4481</v>
      </c>
      <c r="Q1126" s="11">
        <v>1336468.8400000001</v>
      </c>
      <c r="R1126" s="11" t="s">
        <v>2501</v>
      </c>
      <c r="S1126" s="11" t="s">
        <v>40</v>
      </c>
      <c r="T1126" s="11">
        <v>0</v>
      </c>
    </row>
    <row r="1127" spans="1:22" x14ac:dyDescent="0.25">
      <c r="A1127" s="11">
        <v>101060401</v>
      </c>
      <c r="B1127" s="11" t="s">
        <v>34</v>
      </c>
      <c r="C1127" s="41">
        <v>44911</v>
      </c>
      <c r="D1127" s="41">
        <v>44911</v>
      </c>
      <c r="E1127" s="11" t="s">
        <v>42</v>
      </c>
      <c r="F1127" s="11" t="s">
        <v>2502</v>
      </c>
      <c r="G1127" s="11">
        <v>110369</v>
      </c>
      <c r="H1127" s="11" t="s">
        <v>66</v>
      </c>
      <c r="J1127" s="11" t="s">
        <v>38</v>
      </c>
      <c r="K1127" s="11">
        <v>51010101</v>
      </c>
      <c r="L1127" s="11" t="s">
        <v>48</v>
      </c>
      <c r="M1127" s="11"/>
      <c r="N1127" s="11">
        <v>490.62</v>
      </c>
      <c r="O1127" s="42">
        <v>-490.62</v>
      </c>
      <c r="P1127" s="43" t="s">
        <v>4489</v>
      </c>
      <c r="Q1127" s="11">
        <v>1335978.22</v>
      </c>
      <c r="R1127" s="11" t="s">
        <v>2277</v>
      </c>
      <c r="S1127" s="11" t="s">
        <v>40</v>
      </c>
      <c r="T1127" s="11">
        <v>0</v>
      </c>
      <c r="V1127" s="11" t="s">
        <v>41</v>
      </c>
    </row>
    <row r="1128" spans="1:22" x14ac:dyDescent="0.25">
      <c r="A1128" s="11">
        <v>101060401</v>
      </c>
      <c r="B1128" s="11" t="s">
        <v>34</v>
      </c>
      <c r="C1128" s="41">
        <v>44914</v>
      </c>
      <c r="D1128" s="41">
        <v>44914</v>
      </c>
      <c r="E1128" s="11" t="s">
        <v>42</v>
      </c>
      <c r="F1128" s="11" t="s">
        <v>2503</v>
      </c>
      <c r="G1128" s="11">
        <v>110373</v>
      </c>
      <c r="H1128" s="11" t="s">
        <v>55</v>
      </c>
      <c r="J1128" s="11" t="s">
        <v>38</v>
      </c>
      <c r="K1128" s="11">
        <v>51010101</v>
      </c>
      <c r="L1128" s="11" t="s">
        <v>48</v>
      </c>
      <c r="M1128" s="11"/>
      <c r="N1128" s="11">
        <v>1336.63</v>
      </c>
      <c r="O1128" s="42">
        <v>-1336.63</v>
      </c>
      <c r="P1128" s="43" t="s">
        <v>4489</v>
      </c>
      <c r="Q1128" s="11">
        <v>1334641.5900000001</v>
      </c>
      <c r="R1128" s="11" t="s">
        <v>2504</v>
      </c>
      <c r="S1128" s="11" t="s">
        <v>40</v>
      </c>
      <c r="T1128" s="11">
        <v>0</v>
      </c>
      <c r="V1128" s="11" t="s">
        <v>41</v>
      </c>
    </row>
    <row r="1129" spans="1:22" x14ac:dyDescent="0.25">
      <c r="A1129" s="11">
        <v>101060401</v>
      </c>
      <c r="B1129" s="11" t="s">
        <v>34</v>
      </c>
      <c r="C1129" s="41">
        <v>44914</v>
      </c>
      <c r="D1129" s="41">
        <v>44914</v>
      </c>
      <c r="E1129" s="11" t="s">
        <v>42</v>
      </c>
      <c r="F1129" s="11" t="s">
        <v>2505</v>
      </c>
      <c r="G1129" s="11">
        <v>110374</v>
      </c>
      <c r="H1129" s="11" t="s">
        <v>141</v>
      </c>
      <c r="J1129" s="11" t="s">
        <v>38</v>
      </c>
      <c r="K1129" s="11">
        <v>51010101</v>
      </c>
      <c r="L1129" s="11" t="s">
        <v>48</v>
      </c>
      <c r="M1129" s="11"/>
      <c r="N1129" s="11">
        <v>73.78</v>
      </c>
      <c r="O1129" s="42">
        <v>-73.78</v>
      </c>
      <c r="P1129" s="43" t="s">
        <v>4489</v>
      </c>
      <c r="Q1129" s="11">
        <v>1334567.81</v>
      </c>
      <c r="R1129" s="11" t="s">
        <v>2506</v>
      </c>
      <c r="S1129" s="11" t="s">
        <v>40</v>
      </c>
      <c r="T1129" s="11">
        <v>0</v>
      </c>
      <c r="V1129" s="11" t="s">
        <v>41</v>
      </c>
    </row>
    <row r="1130" spans="1:22" x14ac:dyDescent="0.25">
      <c r="A1130" s="11">
        <v>101060401</v>
      </c>
      <c r="B1130" s="11" t="s">
        <v>34</v>
      </c>
      <c r="C1130" s="41">
        <v>44914</v>
      </c>
      <c r="D1130" s="41">
        <v>44914</v>
      </c>
      <c r="E1130" s="11" t="s">
        <v>36</v>
      </c>
      <c r="F1130" s="11" t="s">
        <v>2507</v>
      </c>
      <c r="G1130" s="11">
        <v>110375</v>
      </c>
      <c r="H1130" s="11" t="s">
        <v>119</v>
      </c>
      <c r="K1130" s="11">
        <v>201040506</v>
      </c>
      <c r="L1130" s="11" t="s">
        <v>46</v>
      </c>
      <c r="M1130" s="11">
        <v>27</v>
      </c>
      <c r="N1130" s="11"/>
      <c r="O1130" s="42">
        <v>27</v>
      </c>
      <c r="P1130" s="43" t="s">
        <v>4480</v>
      </c>
      <c r="Q1130" s="11">
        <v>1334594.81</v>
      </c>
      <c r="R1130" s="11" t="s">
        <v>1403</v>
      </c>
      <c r="S1130" s="11" t="s">
        <v>40</v>
      </c>
      <c r="T1130" s="11">
        <v>0</v>
      </c>
    </row>
    <row r="1131" spans="1:22" x14ac:dyDescent="0.25">
      <c r="A1131" s="11">
        <v>101060401</v>
      </c>
      <c r="B1131" s="11" t="s">
        <v>34</v>
      </c>
      <c r="C1131" s="41">
        <v>44914</v>
      </c>
      <c r="D1131" s="41">
        <v>44914</v>
      </c>
      <c r="E1131" s="11" t="s">
        <v>42</v>
      </c>
      <c r="F1131" s="11" t="s">
        <v>2508</v>
      </c>
      <c r="G1131" s="11">
        <v>110376</v>
      </c>
      <c r="H1131" s="11" t="s">
        <v>114</v>
      </c>
      <c r="J1131" s="11" t="s">
        <v>38</v>
      </c>
      <c r="K1131" s="11">
        <v>51010101</v>
      </c>
      <c r="L1131" s="11" t="s">
        <v>48</v>
      </c>
      <c r="M1131" s="11"/>
      <c r="N1131" s="11">
        <v>27</v>
      </c>
      <c r="O1131" s="42">
        <v>-27</v>
      </c>
      <c r="P1131" s="43" t="s">
        <v>4489</v>
      </c>
      <c r="Q1131" s="11">
        <v>1334567.81</v>
      </c>
      <c r="R1131" s="11" t="s">
        <v>1405</v>
      </c>
      <c r="S1131" s="11" t="s">
        <v>40</v>
      </c>
      <c r="T1131" s="11">
        <v>0</v>
      </c>
      <c r="V1131" s="11" t="s">
        <v>41</v>
      </c>
    </row>
    <row r="1132" spans="1:22" x14ac:dyDescent="0.25">
      <c r="A1132" s="11">
        <v>101060401</v>
      </c>
      <c r="B1132" s="11" t="s">
        <v>34</v>
      </c>
      <c r="C1132" s="41">
        <v>44914</v>
      </c>
      <c r="D1132" s="41">
        <v>44914</v>
      </c>
      <c r="E1132" s="11" t="s">
        <v>42</v>
      </c>
      <c r="F1132" s="11" t="s">
        <v>2509</v>
      </c>
      <c r="G1132" s="11">
        <v>110387</v>
      </c>
      <c r="H1132" s="11" t="s">
        <v>57</v>
      </c>
      <c r="K1132" s="11">
        <v>101060406</v>
      </c>
      <c r="L1132" s="11" t="s">
        <v>289</v>
      </c>
      <c r="M1132" s="11"/>
      <c r="N1132" s="11">
        <v>148.47</v>
      </c>
      <c r="O1132" s="42">
        <v>-148.47</v>
      </c>
      <c r="P1132" s="43" t="s">
        <v>4481</v>
      </c>
      <c r="Q1132" s="11">
        <v>1334419.3400000001</v>
      </c>
      <c r="R1132" s="11" t="s">
        <v>111</v>
      </c>
      <c r="S1132" s="11" t="s">
        <v>40</v>
      </c>
      <c r="T1132" s="11">
        <v>0</v>
      </c>
    </row>
    <row r="1133" spans="1:22" x14ac:dyDescent="0.25">
      <c r="A1133" s="11">
        <v>101060401</v>
      </c>
      <c r="B1133" s="11" t="s">
        <v>34</v>
      </c>
      <c r="C1133" s="41">
        <v>44914</v>
      </c>
      <c r="D1133" s="41">
        <v>44914</v>
      </c>
      <c r="E1133" s="11" t="s">
        <v>42</v>
      </c>
      <c r="F1133" s="11" t="s">
        <v>2510</v>
      </c>
      <c r="G1133" s="11">
        <v>110388</v>
      </c>
      <c r="H1133" s="11" t="s">
        <v>57</v>
      </c>
      <c r="K1133" s="11">
        <v>101060407</v>
      </c>
      <c r="L1133" s="11" t="s">
        <v>78</v>
      </c>
      <c r="M1133" s="11"/>
      <c r="N1133" s="11">
        <v>74.239999999999995</v>
      </c>
      <c r="O1133" s="42">
        <v>-74.239999999999995</v>
      </c>
      <c r="P1133" s="43" t="s">
        <v>4481</v>
      </c>
      <c r="Q1133" s="11">
        <v>1334345.1000000001</v>
      </c>
      <c r="R1133" s="11" t="s">
        <v>81</v>
      </c>
      <c r="S1133" s="11" t="s">
        <v>40</v>
      </c>
      <c r="T1133" s="11">
        <v>0</v>
      </c>
    </row>
    <row r="1134" spans="1:22" x14ac:dyDescent="0.25">
      <c r="A1134" s="11">
        <v>101060401</v>
      </c>
      <c r="B1134" s="11" t="s">
        <v>34</v>
      </c>
      <c r="C1134" s="41">
        <v>44914</v>
      </c>
      <c r="D1134" s="41">
        <v>44914</v>
      </c>
      <c r="E1134" s="11" t="s">
        <v>42</v>
      </c>
      <c r="F1134" s="11" t="s">
        <v>2511</v>
      </c>
      <c r="G1134" s="11">
        <v>110389</v>
      </c>
      <c r="H1134" s="11" t="s">
        <v>141</v>
      </c>
      <c r="J1134" s="11" t="s">
        <v>38</v>
      </c>
      <c r="K1134" s="11">
        <v>51010101</v>
      </c>
      <c r="L1134" s="11" t="s">
        <v>48</v>
      </c>
      <c r="M1134" s="11"/>
      <c r="N1134" s="11">
        <v>84.01</v>
      </c>
      <c r="O1134" s="42">
        <v>-84.01</v>
      </c>
      <c r="P1134" s="43" t="s">
        <v>4489</v>
      </c>
      <c r="Q1134" s="11">
        <v>1334261.0900000001</v>
      </c>
      <c r="R1134" s="11" t="s">
        <v>2303</v>
      </c>
      <c r="S1134" s="11" t="s">
        <v>40</v>
      </c>
      <c r="T1134" s="11">
        <v>0</v>
      </c>
      <c r="V1134" s="11" t="s">
        <v>41</v>
      </c>
    </row>
    <row r="1135" spans="1:22" x14ac:dyDescent="0.25">
      <c r="A1135" s="11">
        <v>101060401</v>
      </c>
      <c r="B1135" s="11" t="s">
        <v>34</v>
      </c>
      <c r="C1135" s="41">
        <v>44914</v>
      </c>
      <c r="D1135" s="41">
        <v>44914</v>
      </c>
      <c r="E1135" s="11" t="s">
        <v>42</v>
      </c>
      <c r="F1135" s="11" t="s">
        <v>2512</v>
      </c>
      <c r="G1135" s="11">
        <v>110390</v>
      </c>
      <c r="H1135" s="11" t="s">
        <v>141</v>
      </c>
      <c r="J1135" s="11" t="s">
        <v>38</v>
      </c>
      <c r="K1135" s="11">
        <v>51010101</v>
      </c>
      <c r="L1135" s="11" t="s">
        <v>48</v>
      </c>
      <c r="M1135" s="11"/>
      <c r="N1135" s="11">
        <v>20.86</v>
      </c>
      <c r="O1135" s="42">
        <v>-20.86</v>
      </c>
      <c r="P1135" s="43" t="s">
        <v>4489</v>
      </c>
      <c r="Q1135" s="11">
        <v>1334240.23</v>
      </c>
      <c r="R1135" s="11" t="s">
        <v>2352</v>
      </c>
      <c r="S1135" s="11" t="s">
        <v>40</v>
      </c>
      <c r="T1135" s="11">
        <v>0</v>
      </c>
      <c r="V1135" s="11" t="s">
        <v>41</v>
      </c>
    </row>
    <row r="1136" spans="1:22" x14ac:dyDescent="0.25">
      <c r="A1136" s="11">
        <v>101060401</v>
      </c>
      <c r="B1136" s="11" t="s">
        <v>34</v>
      </c>
      <c r="C1136" s="41">
        <v>44914</v>
      </c>
      <c r="D1136" s="41">
        <v>44914</v>
      </c>
      <c r="E1136" s="11" t="s">
        <v>36</v>
      </c>
      <c r="F1136" s="11" t="s">
        <v>2513</v>
      </c>
      <c r="G1136" s="11">
        <v>110393</v>
      </c>
      <c r="H1136" s="11" t="s">
        <v>154</v>
      </c>
      <c r="K1136" s="11">
        <v>201040506</v>
      </c>
      <c r="L1136" s="11" t="s">
        <v>46</v>
      </c>
      <c r="M1136" s="11">
        <v>1349.19</v>
      </c>
      <c r="N1136" s="11"/>
      <c r="O1136" s="42">
        <v>1349.19</v>
      </c>
      <c r="P1136" s="43" t="s">
        <v>4480</v>
      </c>
      <c r="Q1136" s="11">
        <v>1335589.42</v>
      </c>
      <c r="R1136" s="11" t="s">
        <v>2514</v>
      </c>
      <c r="S1136" s="11" t="s">
        <v>40</v>
      </c>
      <c r="T1136" s="11">
        <v>0</v>
      </c>
    </row>
    <row r="1137" spans="1:22" x14ac:dyDescent="0.25">
      <c r="A1137" s="11">
        <v>101060401</v>
      </c>
      <c r="B1137" s="11" t="s">
        <v>34</v>
      </c>
      <c r="C1137" s="41">
        <v>44914</v>
      </c>
      <c r="D1137" s="41">
        <v>44914</v>
      </c>
      <c r="E1137" s="11" t="s">
        <v>42</v>
      </c>
      <c r="F1137" s="11" t="s">
        <v>2515</v>
      </c>
      <c r="G1137" s="11">
        <v>110394</v>
      </c>
      <c r="H1137" s="11" t="s">
        <v>57</v>
      </c>
      <c r="K1137" s="11">
        <v>101060402</v>
      </c>
      <c r="L1137" s="11" t="s">
        <v>44</v>
      </c>
      <c r="M1137" s="11"/>
      <c r="N1137" s="11">
        <v>1349.19</v>
      </c>
      <c r="O1137" s="42">
        <v>-1349.19</v>
      </c>
      <c r="P1137" s="43" t="s">
        <v>4481</v>
      </c>
      <c r="Q1137" s="11">
        <v>1334240.23</v>
      </c>
      <c r="R1137" s="11" t="s">
        <v>2516</v>
      </c>
      <c r="S1137" s="11" t="s">
        <v>40</v>
      </c>
      <c r="T1137" s="11">
        <v>0</v>
      </c>
    </row>
    <row r="1138" spans="1:22" x14ac:dyDescent="0.25">
      <c r="A1138" s="11">
        <v>101060401</v>
      </c>
      <c r="B1138" s="11" t="s">
        <v>34</v>
      </c>
      <c r="C1138" s="41">
        <v>44914</v>
      </c>
      <c r="D1138" s="41">
        <v>44914</v>
      </c>
      <c r="E1138" s="11" t="s">
        <v>42</v>
      </c>
      <c r="F1138" s="11" t="s">
        <v>2517</v>
      </c>
      <c r="G1138" s="11">
        <v>110396</v>
      </c>
      <c r="H1138" s="11" t="s">
        <v>55</v>
      </c>
      <c r="J1138" s="11" t="s">
        <v>38</v>
      </c>
      <c r="K1138" s="11">
        <v>51010101</v>
      </c>
      <c r="L1138" s="11" t="s">
        <v>48</v>
      </c>
      <c r="M1138" s="11"/>
      <c r="N1138" s="11">
        <v>1359.48</v>
      </c>
      <c r="O1138" s="42">
        <v>-1359.48</v>
      </c>
      <c r="P1138" s="43" t="s">
        <v>4489</v>
      </c>
      <c r="Q1138" s="11">
        <v>1332880.75</v>
      </c>
      <c r="R1138" s="11" t="s">
        <v>2449</v>
      </c>
      <c r="S1138" s="11" t="s">
        <v>40</v>
      </c>
      <c r="T1138" s="11">
        <v>0</v>
      </c>
      <c r="V1138" s="11" t="s">
        <v>41</v>
      </c>
    </row>
    <row r="1139" spans="1:22" x14ac:dyDescent="0.25">
      <c r="A1139" s="11">
        <v>101060401</v>
      </c>
      <c r="B1139" s="11" t="s">
        <v>34</v>
      </c>
      <c r="C1139" s="41">
        <v>44914</v>
      </c>
      <c r="D1139" s="41">
        <v>44914</v>
      </c>
      <c r="E1139" s="11" t="s">
        <v>36</v>
      </c>
      <c r="F1139" s="11" t="s">
        <v>2518</v>
      </c>
      <c r="G1139" s="11">
        <v>110398</v>
      </c>
      <c r="H1139" s="11" t="s">
        <v>52</v>
      </c>
      <c r="K1139" s="11">
        <v>201040506</v>
      </c>
      <c r="L1139" s="11" t="s">
        <v>46</v>
      </c>
      <c r="M1139" s="11">
        <v>41.07</v>
      </c>
      <c r="N1139" s="11"/>
      <c r="O1139" s="42">
        <v>41.07</v>
      </c>
      <c r="P1139" s="43" t="s">
        <v>4480</v>
      </c>
      <c r="Q1139" s="11">
        <v>1332921.82</v>
      </c>
      <c r="R1139" s="11" t="s">
        <v>2519</v>
      </c>
      <c r="S1139" s="11" t="s">
        <v>40</v>
      </c>
      <c r="T1139" s="11">
        <v>0</v>
      </c>
    </row>
    <row r="1140" spans="1:22" x14ac:dyDescent="0.25">
      <c r="A1140" s="11">
        <v>101060401</v>
      </c>
      <c r="B1140" s="11" t="s">
        <v>34</v>
      </c>
      <c r="C1140" s="41">
        <v>44914</v>
      </c>
      <c r="D1140" s="41">
        <v>44914</v>
      </c>
      <c r="E1140" s="11" t="s">
        <v>36</v>
      </c>
      <c r="F1140" s="11" t="s">
        <v>2520</v>
      </c>
      <c r="G1140" s="11">
        <v>110399</v>
      </c>
      <c r="H1140" s="11" t="s">
        <v>52</v>
      </c>
      <c r="K1140" s="11">
        <v>201040506</v>
      </c>
      <c r="L1140" s="11" t="s">
        <v>46</v>
      </c>
      <c r="M1140" s="11">
        <v>359.04</v>
      </c>
      <c r="N1140" s="11"/>
      <c r="O1140" s="42">
        <v>359.04</v>
      </c>
      <c r="P1140" s="43" t="s">
        <v>4480</v>
      </c>
      <c r="Q1140" s="11">
        <v>1333280.8600000001</v>
      </c>
      <c r="R1140" s="11" t="s">
        <v>2521</v>
      </c>
      <c r="S1140" s="11" t="s">
        <v>40</v>
      </c>
      <c r="T1140" s="11">
        <v>0</v>
      </c>
    </row>
    <row r="1141" spans="1:22" x14ac:dyDescent="0.25">
      <c r="A1141" s="11">
        <v>101060401</v>
      </c>
      <c r="B1141" s="11" t="s">
        <v>34</v>
      </c>
      <c r="C1141" s="41">
        <v>44914</v>
      </c>
      <c r="D1141" s="41">
        <v>44914</v>
      </c>
      <c r="E1141" s="11" t="s">
        <v>36</v>
      </c>
      <c r="F1141" s="11" t="s">
        <v>2522</v>
      </c>
      <c r="G1141" s="11">
        <v>110400</v>
      </c>
      <c r="H1141" s="11" t="s">
        <v>52</v>
      </c>
      <c r="K1141" s="11">
        <v>201040506</v>
      </c>
      <c r="L1141" s="11" t="s">
        <v>46</v>
      </c>
      <c r="M1141" s="11">
        <v>58.8</v>
      </c>
      <c r="N1141" s="11"/>
      <c r="O1141" s="42">
        <v>58.8</v>
      </c>
      <c r="P1141" s="43" t="s">
        <v>4480</v>
      </c>
      <c r="Q1141" s="11">
        <v>1333339.6599999999</v>
      </c>
      <c r="R1141" s="11" t="s">
        <v>2523</v>
      </c>
      <c r="S1141" s="11" t="s">
        <v>40</v>
      </c>
      <c r="T1141" s="11">
        <v>0</v>
      </c>
    </row>
    <row r="1142" spans="1:22" x14ac:dyDescent="0.25">
      <c r="A1142" s="11">
        <v>101060401</v>
      </c>
      <c r="B1142" s="11" t="s">
        <v>34</v>
      </c>
      <c r="C1142" s="41">
        <v>44914</v>
      </c>
      <c r="D1142" s="41">
        <v>44914</v>
      </c>
      <c r="E1142" s="11" t="s">
        <v>36</v>
      </c>
      <c r="F1142" s="11" t="s">
        <v>2524</v>
      </c>
      <c r="G1142" s="11">
        <v>110401</v>
      </c>
      <c r="H1142" s="11" t="s">
        <v>52</v>
      </c>
      <c r="K1142" s="11">
        <v>201040506</v>
      </c>
      <c r="L1142" s="11" t="s">
        <v>46</v>
      </c>
      <c r="M1142" s="11">
        <v>1002.32</v>
      </c>
      <c r="N1142" s="11"/>
      <c r="O1142" s="42">
        <v>1002.32</v>
      </c>
      <c r="P1142" s="43" t="s">
        <v>4480</v>
      </c>
      <c r="Q1142" s="11">
        <v>1334341.98</v>
      </c>
      <c r="R1142" s="11" t="s">
        <v>2525</v>
      </c>
      <c r="S1142" s="11" t="s">
        <v>40</v>
      </c>
      <c r="T1142" s="11">
        <v>0</v>
      </c>
    </row>
    <row r="1143" spans="1:22" x14ac:dyDescent="0.25">
      <c r="A1143" s="11">
        <v>101060401</v>
      </c>
      <c r="B1143" s="11" t="s">
        <v>34</v>
      </c>
      <c r="C1143" s="41">
        <v>44914</v>
      </c>
      <c r="D1143" s="41">
        <v>44914</v>
      </c>
      <c r="E1143" s="11" t="s">
        <v>36</v>
      </c>
      <c r="F1143" s="11" t="s">
        <v>2526</v>
      </c>
      <c r="G1143" s="11">
        <v>110402</v>
      </c>
      <c r="H1143" s="11" t="s">
        <v>52</v>
      </c>
      <c r="K1143" s="11">
        <v>201040506</v>
      </c>
      <c r="L1143" s="11" t="s">
        <v>46</v>
      </c>
      <c r="M1143" s="11">
        <v>75.680000000000007</v>
      </c>
      <c r="N1143" s="11"/>
      <c r="O1143" s="42">
        <v>75.680000000000007</v>
      </c>
      <c r="P1143" s="43" t="s">
        <v>4480</v>
      </c>
      <c r="Q1143" s="11">
        <v>1334417.6599999999</v>
      </c>
      <c r="R1143" s="11" t="s">
        <v>2527</v>
      </c>
      <c r="S1143" s="11" t="s">
        <v>40</v>
      </c>
      <c r="T1143" s="11">
        <v>0</v>
      </c>
    </row>
    <row r="1144" spans="1:22" x14ac:dyDescent="0.25">
      <c r="A1144" s="11">
        <v>101060401</v>
      </c>
      <c r="B1144" s="11" t="s">
        <v>34</v>
      </c>
      <c r="C1144" s="41">
        <v>44914</v>
      </c>
      <c r="D1144" s="41">
        <v>44914</v>
      </c>
      <c r="E1144" s="11" t="s">
        <v>42</v>
      </c>
      <c r="F1144" s="11" t="s">
        <v>2528</v>
      </c>
      <c r="G1144" s="11">
        <v>110403</v>
      </c>
      <c r="H1144" s="11" t="s">
        <v>50</v>
      </c>
      <c r="J1144" s="11" t="s">
        <v>38</v>
      </c>
      <c r="K1144" s="11">
        <v>51010101</v>
      </c>
      <c r="L1144" s="11" t="s">
        <v>48</v>
      </c>
      <c r="M1144" s="11"/>
      <c r="N1144" s="11">
        <v>86.3</v>
      </c>
      <c r="O1144" s="42">
        <v>-86.3</v>
      </c>
      <c r="P1144" s="43" t="s">
        <v>4489</v>
      </c>
      <c r="Q1144" s="11">
        <v>1334331.3600000001</v>
      </c>
      <c r="R1144" s="11" t="s">
        <v>2529</v>
      </c>
      <c r="S1144" s="11" t="s">
        <v>40</v>
      </c>
      <c r="T1144" s="11">
        <v>0</v>
      </c>
      <c r="V1144" s="11" t="s">
        <v>41</v>
      </c>
    </row>
    <row r="1145" spans="1:22" x14ac:dyDescent="0.25">
      <c r="A1145" s="11">
        <v>101060401</v>
      </c>
      <c r="B1145" s="11" t="s">
        <v>34</v>
      </c>
      <c r="C1145" s="41">
        <v>44914</v>
      </c>
      <c r="D1145" s="41">
        <v>44914</v>
      </c>
      <c r="E1145" s="11" t="s">
        <v>42</v>
      </c>
      <c r="F1145" s="11" t="s">
        <v>2530</v>
      </c>
      <c r="G1145" s="11">
        <v>110405</v>
      </c>
      <c r="H1145" s="11" t="s">
        <v>63</v>
      </c>
      <c r="J1145" s="11" t="s">
        <v>38</v>
      </c>
      <c r="K1145" s="11">
        <v>51010101</v>
      </c>
      <c r="L1145" s="11" t="s">
        <v>48</v>
      </c>
      <c r="M1145" s="11"/>
      <c r="N1145" s="11">
        <v>91.38</v>
      </c>
      <c r="O1145" s="42">
        <v>-91.38</v>
      </c>
      <c r="P1145" s="43" t="s">
        <v>4489</v>
      </c>
      <c r="Q1145" s="11">
        <v>1334239.98</v>
      </c>
      <c r="R1145" s="11" t="s">
        <v>2531</v>
      </c>
      <c r="S1145" s="11" t="s">
        <v>40</v>
      </c>
      <c r="T1145" s="11">
        <v>0</v>
      </c>
      <c r="V1145" s="11" t="s">
        <v>41</v>
      </c>
    </row>
    <row r="1146" spans="1:22" x14ac:dyDescent="0.25">
      <c r="A1146" s="11">
        <v>101060401</v>
      </c>
      <c r="B1146" s="11" t="s">
        <v>34</v>
      </c>
      <c r="C1146" s="41">
        <v>44914</v>
      </c>
      <c r="D1146" s="41">
        <v>44914</v>
      </c>
      <c r="E1146" s="11" t="s">
        <v>42</v>
      </c>
      <c r="F1146" s="11" t="s">
        <v>2532</v>
      </c>
      <c r="G1146" s="11">
        <v>110406</v>
      </c>
      <c r="H1146" s="11" t="s">
        <v>57</v>
      </c>
      <c r="K1146" s="11">
        <v>101060402</v>
      </c>
      <c r="L1146" s="11" t="s">
        <v>44</v>
      </c>
      <c r="M1146" s="11"/>
      <c r="N1146" s="11">
        <v>534.59</v>
      </c>
      <c r="O1146" s="42">
        <v>-534.59</v>
      </c>
      <c r="P1146" s="43" t="s">
        <v>4481</v>
      </c>
      <c r="Q1146" s="11">
        <v>1333705.3899999999</v>
      </c>
      <c r="R1146" s="11" t="s">
        <v>2533</v>
      </c>
      <c r="S1146" s="11" t="s">
        <v>40</v>
      </c>
      <c r="T1146" s="11">
        <v>0</v>
      </c>
    </row>
    <row r="1147" spans="1:22" x14ac:dyDescent="0.25">
      <c r="A1147" s="11">
        <v>101060401</v>
      </c>
      <c r="B1147" s="11" t="s">
        <v>34</v>
      </c>
      <c r="C1147" s="41">
        <v>44914</v>
      </c>
      <c r="D1147" s="41">
        <v>44914</v>
      </c>
      <c r="E1147" s="11" t="s">
        <v>42</v>
      </c>
      <c r="F1147" s="11" t="s">
        <v>2534</v>
      </c>
      <c r="G1147" s="11">
        <v>110408</v>
      </c>
      <c r="H1147" s="11" t="s">
        <v>49</v>
      </c>
      <c r="J1147" s="11" t="s">
        <v>38</v>
      </c>
      <c r="K1147" s="11">
        <v>51010101</v>
      </c>
      <c r="L1147" s="11" t="s">
        <v>48</v>
      </c>
      <c r="M1147" s="11"/>
      <c r="N1147" s="11">
        <v>773.45</v>
      </c>
      <c r="O1147" s="42">
        <v>-773.45</v>
      </c>
      <c r="P1147" s="43" t="s">
        <v>4489</v>
      </c>
      <c r="Q1147" s="11">
        <v>1332931.94</v>
      </c>
      <c r="R1147" s="11" t="s">
        <v>2535</v>
      </c>
      <c r="S1147" s="11" t="s">
        <v>40</v>
      </c>
      <c r="T1147" s="11">
        <v>0</v>
      </c>
      <c r="V1147" s="11" t="s">
        <v>41</v>
      </c>
    </row>
    <row r="1148" spans="1:22" x14ac:dyDescent="0.25">
      <c r="A1148" s="11">
        <v>101060401</v>
      </c>
      <c r="B1148" s="11" t="s">
        <v>34</v>
      </c>
      <c r="C1148" s="41">
        <v>44914</v>
      </c>
      <c r="D1148" s="41">
        <v>44914</v>
      </c>
      <c r="E1148" s="11" t="s">
        <v>36</v>
      </c>
      <c r="F1148" s="11" t="s">
        <v>2536</v>
      </c>
      <c r="G1148" s="11">
        <v>110409</v>
      </c>
      <c r="H1148" s="11" t="s">
        <v>92</v>
      </c>
      <c r="K1148" s="11">
        <v>201040506</v>
      </c>
      <c r="L1148" s="11" t="s">
        <v>46</v>
      </c>
      <c r="M1148" s="11">
        <v>448</v>
      </c>
      <c r="N1148" s="11"/>
      <c r="O1148" s="42">
        <v>448</v>
      </c>
      <c r="P1148" s="43" t="s">
        <v>4480</v>
      </c>
      <c r="Q1148" s="11">
        <v>1333379.94</v>
      </c>
      <c r="R1148" s="11" t="s">
        <v>121</v>
      </c>
      <c r="S1148" s="11" t="s">
        <v>40</v>
      </c>
      <c r="T1148" s="11">
        <v>0</v>
      </c>
    </row>
    <row r="1149" spans="1:22" x14ac:dyDescent="0.25">
      <c r="A1149" s="11">
        <v>101060401</v>
      </c>
      <c r="B1149" s="11" t="s">
        <v>34</v>
      </c>
      <c r="C1149" s="41">
        <v>44914</v>
      </c>
      <c r="D1149" s="41">
        <v>44914</v>
      </c>
      <c r="E1149" s="11" t="s">
        <v>42</v>
      </c>
      <c r="F1149" s="11" t="s">
        <v>2537</v>
      </c>
      <c r="G1149" s="11">
        <v>110410</v>
      </c>
      <c r="H1149" s="11" t="s">
        <v>1912</v>
      </c>
      <c r="J1149" s="11" t="s">
        <v>38</v>
      </c>
      <c r="K1149" s="11">
        <v>51010101</v>
      </c>
      <c r="L1149" s="11" t="s">
        <v>48</v>
      </c>
      <c r="M1149" s="11"/>
      <c r="N1149" s="11">
        <v>448</v>
      </c>
      <c r="O1149" s="42">
        <v>-448</v>
      </c>
      <c r="P1149" s="43" t="s">
        <v>4489</v>
      </c>
      <c r="Q1149" s="11">
        <v>1332931.94</v>
      </c>
      <c r="R1149" s="11" t="s">
        <v>124</v>
      </c>
      <c r="S1149" s="11" t="s">
        <v>40</v>
      </c>
      <c r="T1149" s="11">
        <v>0</v>
      </c>
      <c r="V1149" s="11" t="s">
        <v>41</v>
      </c>
    </row>
    <row r="1150" spans="1:22" x14ac:dyDescent="0.25">
      <c r="A1150" s="11">
        <v>101060401</v>
      </c>
      <c r="B1150" s="11" t="s">
        <v>34</v>
      </c>
      <c r="C1150" s="41">
        <v>44914</v>
      </c>
      <c r="D1150" s="41">
        <v>44914</v>
      </c>
      <c r="E1150" s="11" t="s">
        <v>36</v>
      </c>
      <c r="F1150" s="11" t="s">
        <v>2538</v>
      </c>
      <c r="G1150" s="11">
        <v>110411</v>
      </c>
      <c r="H1150" s="11" t="s">
        <v>52</v>
      </c>
      <c r="K1150" s="11">
        <v>201040506</v>
      </c>
      <c r="L1150" s="11" t="s">
        <v>46</v>
      </c>
      <c r="M1150" s="11">
        <v>59.6</v>
      </c>
      <c r="N1150" s="11"/>
      <c r="O1150" s="42">
        <v>59.6</v>
      </c>
      <c r="P1150" s="43" t="s">
        <v>4480</v>
      </c>
      <c r="Q1150" s="11">
        <v>1332991.54</v>
      </c>
      <c r="R1150" s="11" t="s">
        <v>2539</v>
      </c>
      <c r="S1150" s="11" t="s">
        <v>40</v>
      </c>
      <c r="T1150" s="11">
        <v>0</v>
      </c>
    </row>
    <row r="1151" spans="1:22" x14ac:dyDescent="0.25">
      <c r="A1151" s="11">
        <v>101060401</v>
      </c>
      <c r="B1151" s="11" t="s">
        <v>34</v>
      </c>
      <c r="C1151" s="41">
        <v>44914</v>
      </c>
      <c r="D1151" s="41">
        <v>44914</v>
      </c>
      <c r="E1151" s="11" t="s">
        <v>42</v>
      </c>
      <c r="F1151" s="11" t="s">
        <v>2540</v>
      </c>
      <c r="G1151" s="11">
        <v>110412</v>
      </c>
      <c r="H1151" s="11" t="s">
        <v>1912</v>
      </c>
      <c r="J1151" s="11" t="s">
        <v>38</v>
      </c>
      <c r="K1151" s="11">
        <v>51010101</v>
      </c>
      <c r="L1151" s="11" t="s">
        <v>48</v>
      </c>
      <c r="M1151" s="11"/>
      <c r="N1151" s="11">
        <v>59.6</v>
      </c>
      <c r="O1151" s="42">
        <v>-59.6</v>
      </c>
      <c r="P1151" s="43" t="s">
        <v>4489</v>
      </c>
      <c r="Q1151" s="11">
        <v>1332931.94</v>
      </c>
      <c r="R1151" s="11" t="s">
        <v>2541</v>
      </c>
      <c r="S1151" s="11" t="s">
        <v>40</v>
      </c>
      <c r="T1151" s="11">
        <v>0</v>
      </c>
      <c r="V1151" s="11" t="s">
        <v>41</v>
      </c>
    </row>
    <row r="1152" spans="1:22" x14ac:dyDescent="0.25">
      <c r="A1152" s="11">
        <v>101060401</v>
      </c>
      <c r="B1152" s="11" t="s">
        <v>34</v>
      </c>
      <c r="C1152" s="41">
        <v>44914</v>
      </c>
      <c r="D1152" s="41">
        <v>44914</v>
      </c>
      <c r="E1152" s="11" t="s">
        <v>42</v>
      </c>
      <c r="F1152" s="11" t="s">
        <v>2542</v>
      </c>
      <c r="G1152" s="11">
        <v>110413</v>
      </c>
      <c r="H1152" s="11" t="s">
        <v>50</v>
      </c>
      <c r="J1152" s="11" t="s">
        <v>38</v>
      </c>
      <c r="K1152" s="11">
        <v>51010101</v>
      </c>
      <c r="L1152" s="11" t="s">
        <v>48</v>
      </c>
      <c r="M1152" s="11"/>
      <c r="N1152" s="11">
        <v>34.07</v>
      </c>
      <c r="O1152" s="42">
        <v>-34.07</v>
      </c>
      <c r="P1152" s="43" t="s">
        <v>4489</v>
      </c>
      <c r="Q1152" s="11">
        <v>1332897.8700000001</v>
      </c>
      <c r="R1152" s="11" t="s">
        <v>2543</v>
      </c>
      <c r="S1152" s="11" t="s">
        <v>40</v>
      </c>
      <c r="T1152" s="11">
        <v>0</v>
      </c>
      <c r="V1152" s="11" t="s">
        <v>41</v>
      </c>
    </row>
    <row r="1153" spans="1:22" x14ac:dyDescent="0.25">
      <c r="A1153" s="11">
        <v>101060401</v>
      </c>
      <c r="B1153" s="11" t="s">
        <v>34</v>
      </c>
      <c r="C1153" s="41">
        <v>44914</v>
      </c>
      <c r="D1153" s="41">
        <v>44914</v>
      </c>
      <c r="E1153" s="11" t="s">
        <v>36</v>
      </c>
      <c r="F1153" s="11" t="s">
        <v>2544</v>
      </c>
      <c r="G1153" s="11">
        <v>110416</v>
      </c>
      <c r="H1153" s="11" t="s">
        <v>89</v>
      </c>
      <c r="K1153" s="11">
        <v>201040506</v>
      </c>
      <c r="L1153" s="11" t="s">
        <v>46</v>
      </c>
      <c r="M1153" s="11">
        <v>182</v>
      </c>
      <c r="N1153" s="11"/>
      <c r="O1153" s="42">
        <v>182</v>
      </c>
      <c r="P1153" s="43" t="s">
        <v>4480</v>
      </c>
      <c r="Q1153" s="11">
        <v>1333079.8700000001</v>
      </c>
      <c r="R1153" s="11" t="s">
        <v>2545</v>
      </c>
      <c r="S1153" s="11" t="s">
        <v>40</v>
      </c>
      <c r="T1153" s="11">
        <v>0</v>
      </c>
    </row>
    <row r="1154" spans="1:22" x14ac:dyDescent="0.25">
      <c r="A1154" s="11">
        <v>101060401</v>
      </c>
      <c r="B1154" s="11" t="s">
        <v>34</v>
      </c>
      <c r="C1154" s="41">
        <v>44914</v>
      </c>
      <c r="D1154" s="41">
        <v>44914</v>
      </c>
      <c r="E1154" s="11" t="s">
        <v>42</v>
      </c>
      <c r="F1154" s="11" t="s">
        <v>2546</v>
      </c>
      <c r="G1154" s="11">
        <v>110418</v>
      </c>
      <c r="H1154" s="11" t="s">
        <v>47</v>
      </c>
      <c r="J1154" s="11" t="s">
        <v>38</v>
      </c>
      <c r="K1154" s="11">
        <v>51010101</v>
      </c>
      <c r="L1154" s="11" t="s">
        <v>48</v>
      </c>
      <c r="M1154" s="11"/>
      <c r="N1154" s="11">
        <v>182</v>
      </c>
      <c r="O1154" s="42">
        <v>-182</v>
      </c>
      <c r="P1154" s="43" t="s">
        <v>4489</v>
      </c>
      <c r="Q1154" s="11">
        <v>1332897.8700000001</v>
      </c>
      <c r="R1154" s="11" t="s">
        <v>2547</v>
      </c>
      <c r="S1154" s="11" t="s">
        <v>40</v>
      </c>
      <c r="T1154" s="11">
        <v>0</v>
      </c>
      <c r="V1154" s="11" t="s">
        <v>41</v>
      </c>
    </row>
    <row r="1155" spans="1:22" x14ac:dyDescent="0.25">
      <c r="A1155" s="11">
        <v>101060401</v>
      </c>
      <c r="B1155" s="11" t="s">
        <v>34</v>
      </c>
      <c r="C1155" s="41">
        <v>44914</v>
      </c>
      <c r="D1155" s="41">
        <v>44914</v>
      </c>
      <c r="E1155" s="11" t="s">
        <v>36</v>
      </c>
      <c r="F1155" s="11" t="s">
        <v>2548</v>
      </c>
      <c r="G1155" s="11">
        <v>110419</v>
      </c>
      <c r="H1155" s="11" t="s">
        <v>134</v>
      </c>
      <c r="K1155" s="11">
        <v>201040506</v>
      </c>
      <c r="L1155" s="11" t="s">
        <v>46</v>
      </c>
      <c r="M1155" s="11">
        <v>310.38</v>
      </c>
      <c r="N1155" s="11"/>
      <c r="O1155" s="42">
        <v>310.38</v>
      </c>
      <c r="P1155" s="43" t="s">
        <v>4480</v>
      </c>
      <c r="Q1155" s="11">
        <v>1333208.25</v>
      </c>
      <c r="R1155" s="11" t="s">
        <v>2549</v>
      </c>
      <c r="S1155" s="11" t="s">
        <v>40</v>
      </c>
      <c r="T1155" s="11">
        <v>0</v>
      </c>
    </row>
    <row r="1156" spans="1:22" x14ac:dyDescent="0.25">
      <c r="A1156" s="11">
        <v>101060401</v>
      </c>
      <c r="B1156" s="11" t="s">
        <v>34</v>
      </c>
      <c r="C1156" s="41">
        <v>44914</v>
      </c>
      <c r="D1156" s="41">
        <v>44914</v>
      </c>
      <c r="E1156" s="11" t="s">
        <v>60</v>
      </c>
      <c r="F1156" s="11" t="s">
        <v>2550</v>
      </c>
      <c r="G1156" s="11">
        <v>110521</v>
      </c>
      <c r="H1156" s="11" t="s">
        <v>61</v>
      </c>
      <c r="K1156" s="11">
        <v>201040506</v>
      </c>
      <c r="L1156" s="11" t="s">
        <v>46</v>
      </c>
      <c r="M1156" s="11"/>
      <c r="N1156" s="11">
        <v>75.680000000000007</v>
      </c>
      <c r="O1156" s="42">
        <v>-75.680000000000007</v>
      </c>
      <c r="P1156" s="43" t="s">
        <v>4480</v>
      </c>
      <c r="Q1156" s="11">
        <v>1333132.57</v>
      </c>
      <c r="R1156" s="11" t="s">
        <v>2551</v>
      </c>
      <c r="S1156" s="11" t="s">
        <v>40</v>
      </c>
      <c r="T1156" s="11">
        <v>0</v>
      </c>
    </row>
    <row r="1157" spans="1:22" x14ac:dyDescent="0.25">
      <c r="A1157" s="11">
        <v>101060401</v>
      </c>
      <c r="B1157" s="11" t="s">
        <v>34</v>
      </c>
      <c r="C1157" s="41">
        <v>44915</v>
      </c>
      <c r="D1157" s="41">
        <v>44915</v>
      </c>
      <c r="E1157" s="11" t="s">
        <v>42</v>
      </c>
      <c r="F1157" s="11" t="s">
        <v>2552</v>
      </c>
      <c r="G1157" s="11">
        <v>110421</v>
      </c>
      <c r="H1157" s="11" t="s">
        <v>130</v>
      </c>
      <c r="J1157" s="11" t="s">
        <v>38</v>
      </c>
      <c r="K1157" s="11" t="s">
        <v>131</v>
      </c>
      <c r="L1157" s="11" t="s">
        <v>132</v>
      </c>
      <c r="M1157" s="11">
        <v>2696.11</v>
      </c>
      <c r="N1157" s="11"/>
      <c r="O1157" s="42">
        <v>2696.11</v>
      </c>
      <c r="P1157" s="43" t="s">
        <v>4488</v>
      </c>
      <c r="Q1157" s="11">
        <v>1335828.68</v>
      </c>
      <c r="R1157" s="11" t="s">
        <v>2553</v>
      </c>
      <c r="S1157" s="11" t="s">
        <v>69</v>
      </c>
      <c r="T1157" s="11">
        <v>0</v>
      </c>
      <c r="V1157" s="11" t="s">
        <v>41</v>
      </c>
    </row>
    <row r="1158" spans="1:22" x14ac:dyDescent="0.25">
      <c r="A1158" s="11">
        <v>101060401</v>
      </c>
      <c r="B1158" s="11" t="s">
        <v>34</v>
      </c>
      <c r="C1158" s="41">
        <v>44915</v>
      </c>
      <c r="D1158" s="41">
        <v>44915</v>
      </c>
      <c r="E1158" s="11" t="s">
        <v>42</v>
      </c>
      <c r="F1158" s="11" t="s">
        <v>2554</v>
      </c>
      <c r="G1158" s="11">
        <v>110425</v>
      </c>
      <c r="H1158" s="11" t="s">
        <v>96</v>
      </c>
      <c r="J1158" s="11" t="s">
        <v>38</v>
      </c>
      <c r="K1158" s="11">
        <v>51010101</v>
      </c>
      <c r="L1158" s="11" t="s">
        <v>48</v>
      </c>
      <c r="M1158" s="11"/>
      <c r="N1158" s="11">
        <v>4.21</v>
      </c>
      <c r="O1158" s="42">
        <v>-4.21</v>
      </c>
      <c r="P1158" s="43" t="s">
        <v>4489</v>
      </c>
      <c r="Q1158" s="11">
        <v>1335824.47</v>
      </c>
      <c r="R1158" s="11" t="s">
        <v>2555</v>
      </c>
      <c r="S1158" s="11" t="s">
        <v>40</v>
      </c>
      <c r="T1158" s="11">
        <v>0</v>
      </c>
      <c r="V1158" s="11" t="s">
        <v>41</v>
      </c>
    </row>
    <row r="1159" spans="1:22" x14ac:dyDescent="0.25">
      <c r="A1159" s="11">
        <v>101060401</v>
      </c>
      <c r="B1159" s="11" t="s">
        <v>34</v>
      </c>
      <c r="C1159" s="41">
        <v>44915</v>
      </c>
      <c r="D1159" s="41">
        <v>44915</v>
      </c>
      <c r="E1159" s="11" t="s">
        <v>42</v>
      </c>
      <c r="F1159" s="11" t="s">
        <v>2556</v>
      </c>
      <c r="G1159" s="11">
        <v>110434</v>
      </c>
      <c r="H1159" s="11" t="s">
        <v>141</v>
      </c>
      <c r="J1159" s="11" t="s">
        <v>38</v>
      </c>
      <c r="K1159" s="11">
        <v>51010101</v>
      </c>
      <c r="L1159" s="11" t="s">
        <v>48</v>
      </c>
      <c r="M1159" s="11"/>
      <c r="N1159" s="11">
        <v>1074.57</v>
      </c>
      <c r="O1159" s="42">
        <v>-1074.57</v>
      </c>
      <c r="P1159" s="43" t="s">
        <v>4489</v>
      </c>
      <c r="Q1159" s="11">
        <v>1334749.8999999999</v>
      </c>
      <c r="R1159" s="11" t="s">
        <v>2557</v>
      </c>
      <c r="S1159" s="11" t="s">
        <v>40</v>
      </c>
      <c r="T1159" s="11">
        <v>0</v>
      </c>
      <c r="V1159" s="11" t="s">
        <v>41</v>
      </c>
    </row>
    <row r="1160" spans="1:22" x14ac:dyDescent="0.25">
      <c r="A1160" s="11">
        <v>101060401</v>
      </c>
      <c r="B1160" s="11" t="s">
        <v>34</v>
      </c>
      <c r="C1160" s="41">
        <v>44915</v>
      </c>
      <c r="D1160" s="41">
        <v>44915</v>
      </c>
      <c r="E1160" s="11" t="s">
        <v>42</v>
      </c>
      <c r="F1160" s="11" t="s">
        <v>2558</v>
      </c>
      <c r="G1160" s="11">
        <v>110435</v>
      </c>
      <c r="H1160" s="11" t="s">
        <v>141</v>
      </c>
      <c r="J1160" s="11" t="s">
        <v>38</v>
      </c>
      <c r="K1160" s="11">
        <v>51010101</v>
      </c>
      <c r="L1160" s="11" t="s">
        <v>48</v>
      </c>
      <c r="M1160" s="11"/>
      <c r="N1160" s="11">
        <v>861.83</v>
      </c>
      <c r="O1160" s="42">
        <v>-861.83</v>
      </c>
      <c r="P1160" s="43" t="s">
        <v>4489</v>
      </c>
      <c r="Q1160" s="11">
        <v>1333888.07</v>
      </c>
      <c r="R1160" s="11" t="s">
        <v>2559</v>
      </c>
      <c r="S1160" s="11" t="s">
        <v>40</v>
      </c>
      <c r="T1160" s="11">
        <v>0</v>
      </c>
      <c r="V1160" s="11" t="s">
        <v>41</v>
      </c>
    </row>
    <row r="1161" spans="1:22" x14ac:dyDescent="0.25">
      <c r="A1161" s="11">
        <v>101060401</v>
      </c>
      <c r="B1161" s="11" t="s">
        <v>34</v>
      </c>
      <c r="C1161" s="41">
        <v>44915</v>
      </c>
      <c r="D1161" s="41">
        <v>44915</v>
      </c>
      <c r="E1161" s="11" t="s">
        <v>42</v>
      </c>
      <c r="F1161" s="11" t="s">
        <v>2560</v>
      </c>
      <c r="G1161" s="11">
        <v>110438</v>
      </c>
      <c r="H1161" s="11" t="s">
        <v>55</v>
      </c>
      <c r="J1161" s="11" t="s">
        <v>38</v>
      </c>
      <c r="K1161" s="11">
        <v>51010101</v>
      </c>
      <c r="L1161" s="11" t="s">
        <v>48</v>
      </c>
      <c r="M1161" s="11"/>
      <c r="N1161" s="11">
        <v>25.93</v>
      </c>
      <c r="O1161" s="42">
        <v>-25.93</v>
      </c>
      <c r="P1161" s="43" t="s">
        <v>4489</v>
      </c>
      <c r="Q1161" s="11">
        <v>1333862.1399999999</v>
      </c>
      <c r="R1161" s="11" t="s">
        <v>2561</v>
      </c>
      <c r="S1161" s="11" t="s">
        <v>40</v>
      </c>
      <c r="T1161" s="11">
        <v>0</v>
      </c>
      <c r="V1161" s="11" t="s">
        <v>41</v>
      </c>
    </row>
    <row r="1162" spans="1:22" x14ac:dyDescent="0.25">
      <c r="A1162" s="11">
        <v>101060401</v>
      </c>
      <c r="B1162" s="11" t="s">
        <v>34</v>
      </c>
      <c r="C1162" s="41">
        <v>44915</v>
      </c>
      <c r="D1162" s="41">
        <v>44915</v>
      </c>
      <c r="E1162" s="11" t="s">
        <v>42</v>
      </c>
      <c r="F1162" s="11" t="s">
        <v>2562</v>
      </c>
      <c r="G1162" s="11">
        <v>110439</v>
      </c>
      <c r="H1162" s="11" t="s">
        <v>2563</v>
      </c>
      <c r="J1162" s="11" t="s">
        <v>38</v>
      </c>
      <c r="K1162" s="11">
        <v>51010101</v>
      </c>
      <c r="L1162" s="11" t="s">
        <v>48</v>
      </c>
      <c r="M1162" s="11"/>
      <c r="N1162" s="11">
        <v>704.71</v>
      </c>
      <c r="O1162" s="42">
        <v>-704.71</v>
      </c>
      <c r="P1162" s="43" t="s">
        <v>4489</v>
      </c>
      <c r="Q1162" s="11">
        <v>1333157.43</v>
      </c>
      <c r="R1162" s="11" t="s">
        <v>2564</v>
      </c>
      <c r="S1162" s="11" t="s">
        <v>40</v>
      </c>
      <c r="T1162" s="11">
        <v>0</v>
      </c>
      <c r="V1162" s="11" t="s">
        <v>41</v>
      </c>
    </row>
    <row r="1163" spans="1:22" x14ac:dyDescent="0.25">
      <c r="A1163" s="11">
        <v>101060401</v>
      </c>
      <c r="B1163" s="11" t="s">
        <v>34</v>
      </c>
      <c r="C1163" s="41">
        <v>44915</v>
      </c>
      <c r="D1163" s="41">
        <v>44915</v>
      </c>
      <c r="E1163" s="11" t="s">
        <v>42</v>
      </c>
      <c r="F1163" s="11" t="s">
        <v>2565</v>
      </c>
      <c r="G1163" s="11">
        <v>110441</v>
      </c>
      <c r="H1163" s="11" t="s">
        <v>57</v>
      </c>
      <c r="K1163" s="11">
        <v>101060408</v>
      </c>
      <c r="L1163" s="11" t="s">
        <v>82</v>
      </c>
      <c r="M1163" s="11">
        <v>84526.7</v>
      </c>
      <c r="N1163" s="11"/>
      <c r="O1163" s="42">
        <v>84526.7</v>
      </c>
      <c r="P1163" s="43" t="s">
        <v>4481</v>
      </c>
      <c r="Q1163" s="11">
        <v>1417684.13</v>
      </c>
      <c r="R1163" s="11" t="s">
        <v>2566</v>
      </c>
      <c r="S1163" s="11" t="s">
        <v>40</v>
      </c>
      <c r="T1163" s="11">
        <v>0</v>
      </c>
    </row>
    <row r="1164" spans="1:22" x14ac:dyDescent="0.25">
      <c r="A1164" s="11">
        <v>101060401</v>
      </c>
      <c r="B1164" s="11" t="s">
        <v>34</v>
      </c>
      <c r="C1164" s="41">
        <v>44915</v>
      </c>
      <c r="D1164" s="41">
        <v>44915</v>
      </c>
      <c r="E1164" s="11" t="s">
        <v>42</v>
      </c>
      <c r="F1164" s="11" t="s">
        <v>2567</v>
      </c>
      <c r="G1164" s="11">
        <v>110444</v>
      </c>
      <c r="H1164" s="11" t="s">
        <v>57</v>
      </c>
      <c r="K1164" s="11">
        <v>101060402</v>
      </c>
      <c r="L1164" s="11" t="s">
        <v>44</v>
      </c>
      <c r="M1164" s="11"/>
      <c r="N1164" s="11">
        <v>89047.07</v>
      </c>
      <c r="O1164" s="42">
        <v>-89047.07</v>
      </c>
      <c r="P1164" s="43" t="s">
        <v>4481</v>
      </c>
      <c r="Q1164" s="11">
        <v>1328637.06</v>
      </c>
      <c r="R1164" s="11" t="s">
        <v>2568</v>
      </c>
      <c r="S1164" s="11" t="s">
        <v>40</v>
      </c>
      <c r="T1164" s="11">
        <v>0</v>
      </c>
    </row>
    <row r="1165" spans="1:22" x14ac:dyDescent="0.25">
      <c r="A1165" s="11">
        <v>101060401</v>
      </c>
      <c r="B1165" s="11" t="s">
        <v>34</v>
      </c>
      <c r="C1165" s="41">
        <v>44915</v>
      </c>
      <c r="D1165" s="41">
        <v>44915</v>
      </c>
      <c r="E1165" s="11" t="s">
        <v>42</v>
      </c>
      <c r="F1165" s="11" t="s">
        <v>2569</v>
      </c>
      <c r="G1165" s="11">
        <v>110446</v>
      </c>
      <c r="H1165" s="11" t="s">
        <v>43</v>
      </c>
      <c r="K1165" s="11">
        <v>101060402</v>
      </c>
      <c r="L1165" s="11" t="s">
        <v>44</v>
      </c>
      <c r="M1165" s="11">
        <v>88299.23</v>
      </c>
      <c r="N1165" s="11"/>
      <c r="O1165" s="42">
        <v>88299.23</v>
      </c>
      <c r="P1165" s="43" t="s">
        <v>4481</v>
      </c>
      <c r="Q1165" s="11">
        <v>1416936.29</v>
      </c>
      <c r="R1165" s="11" t="s">
        <v>2570</v>
      </c>
      <c r="S1165" s="11" t="s">
        <v>40</v>
      </c>
      <c r="T1165" s="11">
        <v>0</v>
      </c>
    </row>
    <row r="1166" spans="1:22" x14ac:dyDescent="0.25">
      <c r="A1166" s="11">
        <v>101060401</v>
      </c>
      <c r="B1166" s="11" t="s">
        <v>34</v>
      </c>
      <c r="C1166" s="41">
        <v>44915</v>
      </c>
      <c r="D1166" s="41">
        <v>44915</v>
      </c>
      <c r="E1166" s="11" t="s">
        <v>42</v>
      </c>
      <c r="F1166" s="11" t="s">
        <v>2571</v>
      </c>
      <c r="G1166" s="11">
        <v>110448</v>
      </c>
      <c r="H1166" s="11" t="s">
        <v>70</v>
      </c>
      <c r="J1166" s="11" t="s">
        <v>38</v>
      </c>
      <c r="K1166" s="11">
        <v>51010101</v>
      </c>
      <c r="L1166" s="11" t="s">
        <v>48</v>
      </c>
      <c r="M1166" s="11"/>
      <c r="N1166" s="11">
        <v>67.02</v>
      </c>
      <c r="O1166" s="42">
        <v>-67.02</v>
      </c>
      <c r="P1166" s="43" t="s">
        <v>4489</v>
      </c>
      <c r="Q1166" s="11">
        <v>1416869.27</v>
      </c>
      <c r="R1166" s="11" t="s">
        <v>2572</v>
      </c>
      <c r="S1166" s="11" t="s">
        <v>40</v>
      </c>
      <c r="T1166" s="11">
        <v>0</v>
      </c>
      <c r="V1166" s="11" t="s">
        <v>41</v>
      </c>
    </row>
    <row r="1167" spans="1:22" x14ac:dyDescent="0.25">
      <c r="A1167" s="11">
        <v>101060401</v>
      </c>
      <c r="B1167" s="11" t="s">
        <v>34</v>
      </c>
      <c r="C1167" s="41">
        <v>44915</v>
      </c>
      <c r="D1167" s="41">
        <v>44915</v>
      </c>
      <c r="E1167" s="11" t="s">
        <v>42</v>
      </c>
      <c r="F1167" s="11" t="s">
        <v>2573</v>
      </c>
      <c r="G1167" s="11">
        <v>110451</v>
      </c>
      <c r="H1167" s="11" t="s">
        <v>141</v>
      </c>
      <c r="J1167" s="11" t="s">
        <v>38</v>
      </c>
      <c r="K1167" s="11">
        <v>51010101</v>
      </c>
      <c r="L1167" s="11" t="s">
        <v>48</v>
      </c>
      <c r="M1167" s="11"/>
      <c r="N1167" s="11">
        <v>486.33</v>
      </c>
      <c r="O1167" s="42">
        <v>-486.33</v>
      </c>
      <c r="P1167" s="43" t="s">
        <v>4489</v>
      </c>
      <c r="Q1167" s="11">
        <v>1416382.94</v>
      </c>
      <c r="R1167" s="11" t="s">
        <v>2574</v>
      </c>
      <c r="S1167" s="11" t="s">
        <v>40</v>
      </c>
      <c r="T1167" s="11">
        <v>0</v>
      </c>
      <c r="V1167" s="11" t="s">
        <v>41</v>
      </c>
    </row>
    <row r="1168" spans="1:22" x14ac:dyDescent="0.25">
      <c r="A1168" s="11">
        <v>101060401</v>
      </c>
      <c r="B1168" s="11" t="s">
        <v>34</v>
      </c>
      <c r="C1168" s="41">
        <v>44915</v>
      </c>
      <c r="D1168" s="41">
        <v>44915</v>
      </c>
      <c r="E1168" s="11" t="s">
        <v>42</v>
      </c>
      <c r="F1168" s="11" t="s">
        <v>2575</v>
      </c>
      <c r="G1168" s="11">
        <v>110453</v>
      </c>
      <c r="H1168" s="11" t="s">
        <v>219</v>
      </c>
      <c r="J1168" s="11" t="s">
        <v>38</v>
      </c>
      <c r="K1168" s="11">
        <v>51010101</v>
      </c>
      <c r="L1168" s="11" t="s">
        <v>48</v>
      </c>
      <c r="M1168" s="11"/>
      <c r="N1168" s="11">
        <v>69.95</v>
      </c>
      <c r="O1168" s="42">
        <v>-69.95</v>
      </c>
      <c r="P1168" s="43" t="s">
        <v>4489</v>
      </c>
      <c r="Q1168" s="11">
        <v>1416312.99</v>
      </c>
      <c r="R1168" s="11" t="s">
        <v>2576</v>
      </c>
      <c r="S1168" s="11" t="s">
        <v>40</v>
      </c>
      <c r="T1168" s="11">
        <v>0</v>
      </c>
      <c r="V1168" s="11" t="s">
        <v>41</v>
      </c>
    </row>
    <row r="1169" spans="1:22" x14ac:dyDescent="0.25">
      <c r="A1169" s="11">
        <v>101060401</v>
      </c>
      <c r="B1169" s="11" t="s">
        <v>34</v>
      </c>
      <c r="C1169" s="41">
        <v>44915</v>
      </c>
      <c r="D1169" s="41">
        <v>44915</v>
      </c>
      <c r="E1169" s="11" t="s">
        <v>42</v>
      </c>
      <c r="F1169" s="11" t="s">
        <v>2577</v>
      </c>
      <c r="G1169" s="11">
        <v>110454</v>
      </c>
      <c r="H1169" s="11" t="s">
        <v>47</v>
      </c>
      <c r="J1169" s="11" t="s">
        <v>38</v>
      </c>
      <c r="K1169" s="11">
        <v>51010101</v>
      </c>
      <c r="L1169" s="11" t="s">
        <v>48</v>
      </c>
      <c r="M1169" s="11"/>
      <c r="N1169" s="11">
        <v>35.340000000000003</v>
      </c>
      <c r="O1169" s="42">
        <v>-35.340000000000003</v>
      </c>
      <c r="P1169" s="43" t="s">
        <v>4489</v>
      </c>
      <c r="Q1169" s="11">
        <v>1416277.65</v>
      </c>
      <c r="R1169" s="11" t="s">
        <v>2578</v>
      </c>
      <c r="S1169" s="11" t="s">
        <v>40</v>
      </c>
      <c r="T1169" s="11">
        <v>0</v>
      </c>
      <c r="V1169" s="11" t="s">
        <v>41</v>
      </c>
    </row>
    <row r="1170" spans="1:22" x14ac:dyDescent="0.25">
      <c r="A1170" s="11">
        <v>101060401</v>
      </c>
      <c r="B1170" s="11" t="s">
        <v>34</v>
      </c>
      <c r="C1170" s="41">
        <v>44915</v>
      </c>
      <c r="D1170" s="41">
        <v>44915</v>
      </c>
      <c r="E1170" s="11" t="s">
        <v>42</v>
      </c>
      <c r="F1170" s="11" t="s">
        <v>2579</v>
      </c>
      <c r="G1170" s="11">
        <v>110455</v>
      </c>
      <c r="H1170" s="11" t="s">
        <v>57</v>
      </c>
      <c r="K1170" s="11">
        <v>101060402</v>
      </c>
      <c r="L1170" s="11" t="s">
        <v>44</v>
      </c>
      <c r="M1170" s="11"/>
      <c r="N1170" s="11">
        <v>42044.34</v>
      </c>
      <c r="O1170" s="42">
        <v>-42044.34</v>
      </c>
      <c r="P1170" s="43" t="s">
        <v>4481</v>
      </c>
      <c r="Q1170" s="11">
        <v>1374233.31</v>
      </c>
      <c r="R1170" s="11" t="s">
        <v>2580</v>
      </c>
      <c r="S1170" s="11" t="s">
        <v>40</v>
      </c>
      <c r="T1170" s="11">
        <v>0</v>
      </c>
    </row>
    <row r="1171" spans="1:22" x14ac:dyDescent="0.25">
      <c r="A1171" s="11">
        <v>101060401</v>
      </c>
      <c r="B1171" s="11" t="s">
        <v>34</v>
      </c>
      <c r="C1171" s="41">
        <v>44915</v>
      </c>
      <c r="D1171" s="41">
        <v>44915</v>
      </c>
      <c r="E1171" s="11" t="s">
        <v>42</v>
      </c>
      <c r="F1171" s="11" t="s">
        <v>2581</v>
      </c>
      <c r="G1171" s="11">
        <v>110471</v>
      </c>
      <c r="H1171" s="11" t="s">
        <v>57</v>
      </c>
      <c r="K1171" s="11">
        <v>101060402</v>
      </c>
      <c r="L1171" s="11" t="s">
        <v>44</v>
      </c>
      <c r="M1171" s="11">
        <v>99.6</v>
      </c>
      <c r="N1171" s="11"/>
      <c r="O1171" s="42">
        <v>99.6</v>
      </c>
      <c r="P1171" s="43" t="s">
        <v>4481</v>
      </c>
      <c r="Q1171" s="11">
        <v>1374332.91</v>
      </c>
      <c r="R1171" s="11" t="s">
        <v>2582</v>
      </c>
      <c r="S1171" s="11" t="s">
        <v>106</v>
      </c>
      <c r="T1171" s="11">
        <v>0</v>
      </c>
    </row>
    <row r="1172" spans="1:22" x14ac:dyDescent="0.25">
      <c r="A1172" s="11">
        <v>101060401</v>
      </c>
      <c r="B1172" s="11" t="s">
        <v>34</v>
      </c>
      <c r="C1172" s="41">
        <v>44915</v>
      </c>
      <c r="D1172" s="41">
        <v>44915</v>
      </c>
      <c r="E1172" s="11" t="s">
        <v>42</v>
      </c>
      <c r="F1172" s="11" t="s">
        <v>2583</v>
      </c>
      <c r="G1172" s="11">
        <v>110473</v>
      </c>
      <c r="H1172" s="11" t="s">
        <v>58</v>
      </c>
      <c r="J1172" s="11" t="s">
        <v>38</v>
      </c>
      <c r="K1172" s="11">
        <v>51010101</v>
      </c>
      <c r="L1172" s="11" t="s">
        <v>48</v>
      </c>
      <c r="M1172" s="11"/>
      <c r="N1172" s="11">
        <v>29.92</v>
      </c>
      <c r="O1172" s="42">
        <v>-29.92</v>
      </c>
      <c r="P1172" s="43" t="s">
        <v>4489</v>
      </c>
      <c r="Q1172" s="11">
        <v>1374302.99</v>
      </c>
      <c r="R1172" s="11" t="s">
        <v>2584</v>
      </c>
      <c r="S1172" s="11" t="s">
        <v>40</v>
      </c>
      <c r="T1172" s="11">
        <v>0</v>
      </c>
      <c r="V1172" s="11" t="s">
        <v>41</v>
      </c>
    </row>
    <row r="1173" spans="1:22" x14ac:dyDescent="0.25">
      <c r="A1173" s="11">
        <v>101060401</v>
      </c>
      <c r="B1173" s="11" t="s">
        <v>34</v>
      </c>
      <c r="C1173" s="41">
        <v>44915</v>
      </c>
      <c r="D1173" s="41">
        <v>44915</v>
      </c>
      <c r="E1173" s="11" t="s">
        <v>42</v>
      </c>
      <c r="F1173" s="11" t="s">
        <v>2585</v>
      </c>
      <c r="G1173" s="11">
        <v>110474</v>
      </c>
      <c r="H1173" s="11" t="s">
        <v>58</v>
      </c>
      <c r="J1173" s="11" t="s">
        <v>38</v>
      </c>
      <c r="K1173" s="11">
        <v>51010101</v>
      </c>
      <c r="L1173" s="11" t="s">
        <v>48</v>
      </c>
      <c r="M1173" s="11"/>
      <c r="N1173" s="11">
        <v>42.95</v>
      </c>
      <c r="O1173" s="42">
        <v>-42.95</v>
      </c>
      <c r="P1173" s="43" t="s">
        <v>4489</v>
      </c>
      <c r="Q1173" s="11">
        <v>1374260.04</v>
      </c>
      <c r="R1173" s="11" t="s">
        <v>2586</v>
      </c>
      <c r="S1173" s="11" t="s">
        <v>40</v>
      </c>
      <c r="T1173" s="11">
        <v>0</v>
      </c>
      <c r="V1173" s="11" t="s">
        <v>41</v>
      </c>
    </row>
    <row r="1174" spans="1:22" x14ac:dyDescent="0.25">
      <c r="A1174" s="11">
        <v>101060401</v>
      </c>
      <c r="B1174" s="11" t="s">
        <v>34</v>
      </c>
      <c r="C1174" s="41">
        <v>44915</v>
      </c>
      <c r="D1174" s="41">
        <v>44915</v>
      </c>
      <c r="E1174" s="11" t="s">
        <v>42</v>
      </c>
      <c r="F1174" s="11" t="s">
        <v>2587</v>
      </c>
      <c r="G1174" s="11">
        <v>110476</v>
      </c>
      <c r="H1174" s="11" t="s">
        <v>141</v>
      </c>
      <c r="J1174" s="11" t="s">
        <v>38</v>
      </c>
      <c r="K1174" s="11">
        <v>51010101</v>
      </c>
      <c r="L1174" s="11" t="s">
        <v>48</v>
      </c>
      <c r="M1174" s="11"/>
      <c r="N1174" s="11">
        <v>310.38</v>
      </c>
      <c r="O1174" s="42">
        <v>-310.38</v>
      </c>
      <c r="P1174" s="43" t="s">
        <v>4489</v>
      </c>
      <c r="Q1174" s="11">
        <v>1373949.66</v>
      </c>
      <c r="R1174" s="11" t="s">
        <v>2588</v>
      </c>
      <c r="S1174" s="11" t="s">
        <v>40</v>
      </c>
      <c r="T1174" s="11">
        <v>0</v>
      </c>
      <c r="V1174" s="11" t="s">
        <v>41</v>
      </c>
    </row>
    <row r="1175" spans="1:22" x14ac:dyDescent="0.25">
      <c r="A1175" s="11">
        <v>101060401</v>
      </c>
      <c r="B1175" s="11" t="s">
        <v>34</v>
      </c>
      <c r="C1175" s="41">
        <v>44915</v>
      </c>
      <c r="D1175" s="41">
        <v>44915</v>
      </c>
      <c r="E1175" s="11" t="s">
        <v>42</v>
      </c>
      <c r="F1175" s="11" t="s">
        <v>2589</v>
      </c>
      <c r="G1175" s="11">
        <v>110487</v>
      </c>
      <c r="H1175" s="11" t="s">
        <v>327</v>
      </c>
      <c r="J1175" s="11" t="s">
        <v>38</v>
      </c>
      <c r="K1175" s="11">
        <v>51010101</v>
      </c>
      <c r="L1175" s="11" t="s">
        <v>48</v>
      </c>
      <c r="M1175" s="11"/>
      <c r="N1175" s="11">
        <v>46.38</v>
      </c>
      <c r="O1175" s="42">
        <v>-46.38</v>
      </c>
      <c r="P1175" s="43" t="s">
        <v>4489</v>
      </c>
      <c r="Q1175" s="11">
        <v>1373903.28</v>
      </c>
      <c r="R1175" s="11" t="s">
        <v>2590</v>
      </c>
      <c r="S1175" s="11" t="s">
        <v>40</v>
      </c>
      <c r="T1175" s="11">
        <v>0</v>
      </c>
      <c r="V1175" s="11" t="s">
        <v>41</v>
      </c>
    </row>
    <row r="1176" spans="1:22" x14ac:dyDescent="0.25">
      <c r="A1176" s="11">
        <v>101060401</v>
      </c>
      <c r="B1176" s="11" t="s">
        <v>34</v>
      </c>
      <c r="C1176" s="41">
        <v>44915</v>
      </c>
      <c r="D1176" s="41">
        <v>44915</v>
      </c>
      <c r="E1176" s="11" t="s">
        <v>36</v>
      </c>
      <c r="F1176" s="11" t="s">
        <v>2591</v>
      </c>
      <c r="G1176" s="11">
        <v>110488</v>
      </c>
      <c r="H1176" s="11" t="s">
        <v>52</v>
      </c>
      <c r="K1176" s="11">
        <v>201040506</v>
      </c>
      <c r="L1176" s="11" t="s">
        <v>46</v>
      </c>
      <c r="M1176" s="11">
        <v>229.19</v>
      </c>
      <c r="N1176" s="11"/>
      <c r="O1176" s="42">
        <v>229.19</v>
      </c>
      <c r="P1176" s="43" t="s">
        <v>4480</v>
      </c>
      <c r="Q1176" s="11">
        <v>1374132.47</v>
      </c>
      <c r="R1176" s="11" t="s">
        <v>2592</v>
      </c>
      <c r="S1176" s="11" t="s">
        <v>40</v>
      </c>
      <c r="T1176" s="11">
        <v>0</v>
      </c>
    </row>
    <row r="1177" spans="1:22" x14ac:dyDescent="0.25">
      <c r="A1177" s="11">
        <v>101060401</v>
      </c>
      <c r="B1177" s="11" t="s">
        <v>34</v>
      </c>
      <c r="C1177" s="41">
        <v>44915</v>
      </c>
      <c r="D1177" s="41">
        <v>44915</v>
      </c>
      <c r="E1177" s="11" t="s">
        <v>36</v>
      </c>
      <c r="F1177" s="11" t="s">
        <v>2593</v>
      </c>
      <c r="G1177" s="11">
        <v>110489</v>
      </c>
      <c r="H1177" s="11" t="s">
        <v>52</v>
      </c>
      <c r="K1177" s="11">
        <v>201040506</v>
      </c>
      <c r="L1177" s="11" t="s">
        <v>46</v>
      </c>
      <c r="M1177" s="11">
        <v>2009.41</v>
      </c>
      <c r="N1177" s="11"/>
      <c r="O1177" s="42">
        <v>2009.41</v>
      </c>
      <c r="P1177" s="43" t="s">
        <v>4480</v>
      </c>
      <c r="Q1177" s="11">
        <v>1376141.88</v>
      </c>
      <c r="R1177" s="11" t="s">
        <v>2594</v>
      </c>
      <c r="S1177" s="11" t="s">
        <v>40</v>
      </c>
      <c r="T1177" s="11">
        <v>0</v>
      </c>
    </row>
    <row r="1178" spans="1:22" x14ac:dyDescent="0.25">
      <c r="A1178" s="11">
        <v>101060401</v>
      </c>
      <c r="B1178" s="11" t="s">
        <v>34</v>
      </c>
      <c r="C1178" s="41">
        <v>44915</v>
      </c>
      <c r="D1178" s="41">
        <v>44915</v>
      </c>
      <c r="E1178" s="11" t="s">
        <v>36</v>
      </c>
      <c r="F1178" s="11" t="s">
        <v>2595</v>
      </c>
      <c r="G1178" s="11">
        <v>110490</v>
      </c>
      <c r="H1178" s="11" t="s">
        <v>52</v>
      </c>
      <c r="K1178" s="11">
        <v>201040506</v>
      </c>
      <c r="L1178" s="11" t="s">
        <v>46</v>
      </c>
      <c r="M1178" s="11">
        <v>41.28</v>
      </c>
      <c r="N1178" s="11"/>
      <c r="O1178" s="42">
        <v>41.28</v>
      </c>
      <c r="P1178" s="43" t="s">
        <v>4480</v>
      </c>
      <c r="Q1178" s="11">
        <v>1376183.16</v>
      </c>
      <c r="R1178" s="11" t="s">
        <v>2596</v>
      </c>
      <c r="S1178" s="11" t="s">
        <v>40</v>
      </c>
      <c r="T1178" s="11">
        <v>0</v>
      </c>
    </row>
    <row r="1179" spans="1:22" x14ac:dyDescent="0.25">
      <c r="A1179" s="11">
        <v>101060401</v>
      </c>
      <c r="B1179" s="11" t="s">
        <v>34</v>
      </c>
      <c r="C1179" s="41">
        <v>44915</v>
      </c>
      <c r="D1179" s="41">
        <v>44915</v>
      </c>
      <c r="E1179" s="11" t="s">
        <v>36</v>
      </c>
      <c r="F1179" s="11" t="s">
        <v>2597</v>
      </c>
      <c r="G1179" s="11">
        <v>110491</v>
      </c>
      <c r="H1179" s="11" t="s">
        <v>52</v>
      </c>
      <c r="K1179" s="11">
        <v>201040506</v>
      </c>
      <c r="L1179" s="11" t="s">
        <v>46</v>
      </c>
      <c r="M1179" s="11">
        <v>326.39999999999998</v>
      </c>
      <c r="N1179" s="11"/>
      <c r="O1179" s="42">
        <v>326.39999999999998</v>
      </c>
      <c r="P1179" s="43" t="s">
        <v>4480</v>
      </c>
      <c r="Q1179" s="11">
        <v>1376509.56</v>
      </c>
      <c r="R1179" s="11" t="s">
        <v>2060</v>
      </c>
      <c r="S1179" s="11" t="s">
        <v>40</v>
      </c>
      <c r="T1179" s="11">
        <v>0</v>
      </c>
    </row>
    <row r="1180" spans="1:22" x14ac:dyDescent="0.25">
      <c r="A1180" s="11">
        <v>101060401</v>
      </c>
      <c r="B1180" s="11" t="s">
        <v>34</v>
      </c>
      <c r="C1180" s="41">
        <v>44915</v>
      </c>
      <c r="D1180" s="41">
        <v>44915</v>
      </c>
      <c r="E1180" s="11" t="s">
        <v>42</v>
      </c>
      <c r="F1180" s="11" t="s">
        <v>2598</v>
      </c>
      <c r="G1180" s="11">
        <v>110492</v>
      </c>
      <c r="H1180" s="11" t="s">
        <v>47</v>
      </c>
      <c r="J1180" s="11" t="s">
        <v>38</v>
      </c>
      <c r="K1180" s="11">
        <v>51010101</v>
      </c>
      <c r="L1180" s="11" t="s">
        <v>48</v>
      </c>
      <c r="M1180" s="11"/>
      <c r="N1180" s="11">
        <v>334.46</v>
      </c>
      <c r="O1180" s="42">
        <v>-334.46</v>
      </c>
      <c r="P1180" s="43" t="s">
        <v>4489</v>
      </c>
      <c r="Q1180" s="11">
        <v>1376175.1</v>
      </c>
      <c r="R1180" s="11" t="s">
        <v>2599</v>
      </c>
      <c r="S1180" s="11" t="s">
        <v>40</v>
      </c>
      <c r="T1180" s="11">
        <v>0</v>
      </c>
      <c r="V1180" s="11" t="s">
        <v>41</v>
      </c>
    </row>
    <row r="1181" spans="1:22" x14ac:dyDescent="0.25">
      <c r="A1181" s="11">
        <v>101060401</v>
      </c>
      <c r="B1181" s="11" t="s">
        <v>34</v>
      </c>
      <c r="C1181" s="41">
        <v>44915</v>
      </c>
      <c r="D1181" s="41">
        <v>44915</v>
      </c>
      <c r="E1181" s="11" t="s">
        <v>42</v>
      </c>
      <c r="F1181" s="11" t="s">
        <v>2600</v>
      </c>
      <c r="G1181" s="11">
        <v>110493</v>
      </c>
      <c r="H1181" s="11" t="s">
        <v>1912</v>
      </c>
      <c r="J1181" s="11" t="s">
        <v>38</v>
      </c>
      <c r="K1181" s="11">
        <v>51010101</v>
      </c>
      <c r="L1181" s="11" t="s">
        <v>48</v>
      </c>
      <c r="M1181" s="11"/>
      <c r="N1181" s="11">
        <v>2184.0300000000002</v>
      </c>
      <c r="O1181" s="42">
        <v>-2184.0300000000002</v>
      </c>
      <c r="P1181" s="43" t="s">
        <v>4489</v>
      </c>
      <c r="Q1181" s="11">
        <v>1373991.07</v>
      </c>
      <c r="R1181" s="11" t="s">
        <v>2601</v>
      </c>
      <c r="S1181" s="11" t="s">
        <v>40</v>
      </c>
      <c r="T1181" s="11">
        <v>0</v>
      </c>
      <c r="V1181" s="11" t="s">
        <v>41</v>
      </c>
    </row>
    <row r="1182" spans="1:22" x14ac:dyDescent="0.25">
      <c r="A1182" s="11">
        <v>101060401</v>
      </c>
      <c r="B1182" s="11" t="s">
        <v>34</v>
      </c>
      <c r="C1182" s="41">
        <v>44915</v>
      </c>
      <c r="D1182" s="41">
        <v>44915</v>
      </c>
      <c r="E1182" s="11" t="s">
        <v>42</v>
      </c>
      <c r="F1182" s="11" t="s">
        <v>2602</v>
      </c>
      <c r="G1182" s="11">
        <v>110497</v>
      </c>
      <c r="H1182" s="11" t="s">
        <v>97</v>
      </c>
      <c r="J1182" s="11" t="s">
        <v>38</v>
      </c>
      <c r="K1182" s="11">
        <v>51010101</v>
      </c>
      <c r="L1182" s="11" t="s">
        <v>48</v>
      </c>
      <c r="M1182" s="11"/>
      <c r="N1182" s="11">
        <v>76.42</v>
      </c>
      <c r="O1182" s="42">
        <v>-76.42</v>
      </c>
      <c r="P1182" s="43" t="s">
        <v>4489</v>
      </c>
      <c r="Q1182" s="11">
        <v>1373914.65</v>
      </c>
      <c r="R1182" s="11" t="s">
        <v>2603</v>
      </c>
      <c r="S1182" s="11" t="s">
        <v>40</v>
      </c>
      <c r="T1182" s="11">
        <v>0</v>
      </c>
      <c r="V1182" s="11" t="s">
        <v>41</v>
      </c>
    </row>
    <row r="1183" spans="1:22" x14ac:dyDescent="0.25">
      <c r="A1183" s="11">
        <v>101060401</v>
      </c>
      <c r="B1183" s="11" t="s">
        <v>34</v>
      </c>
      <c r="C1183" s="41">
        <v>44915</v>
      </c>
      <c r="D1183" s="41">
        <v>44915</v>
      </c>
      <c r="E1183" s="11" t="s">
        <v>42</v>
      </c>
      <c r="F1183" s="11" t="s">
        <v>2604</v>
      </c>
      <c r="G1183" s="11">
        <v>110499</v>
      </c>
      <c r="H1183" s="11" t="s">
        <v>1912</v>
      </c>
      <c r="J1183" s="11" t="s">
        <v>38</v>
      </c>
      <c r="K1183" s="11">
        <v>51010101</v>
      </c>
      <c r="L1183" s="11" t="s">
        <v>48</v>
      </c>
      <c r="M1183" s="11"/>
      <c r="N1183" s="11">
        <v>15.81</v>
      </c>
      <c r="O1183" s="42">
        <v>-15.81</v>
      </c>
      <c r="P1183" s="43" t="s">
        <v>4489</v>
      </c>
      <c r="Q1183" s="11">
        <v>1373898.84</v>
      </c>
      <c r="R1183" s="11" t="s">
        <v>228</v>
      </c>
      <c r="S1183" s="11" t="s">
        <v>40</v>
      </c>
      <c r="T1183" s="11">
        <v>0</v>
      </c>
      <c r="V1183" s="11" t="s">
        <v>41</v>
      </c>
    </row>
    <row r="1184" spans="1:22" x14ac:dyDescent="0.25">
      <c r="A1184" s="11">
        <v>101060401</v>
      </c>
      <c r="B1184" s="11" t="s">
        <v>34</v>
      </c>
      <c r="C1184" s="41">
        <v>44915</v>
      </c>
      <c r="D1184" s="41">
        <v>44915</v>
      </c>
      <c r="E1184" s="11" t="s">
        <v>42</v>
      </c>
      <c r="F1184" s="11" t="s">
        <v>2605</v>
      </c>
      <c r="G1184" s="11">
        <v>110500</v>
      </c>
      <c r="H1184" s="11" t="s">
        <v>57</v>
      </c>
      <c r="K1184" s="11">
        <v>101060402</v>
      </c>
      <c r="L1184" s="11" t="s">
        <v>44</v>
      </c>
      <c r="M1184" s="11">
        <v>35.18</v>
      </c>
      <c r="N1184" s="11"/>
      <c r="O1184" s="42">
        <v>35.18</v>
      </c>
      <c r="P1184" s="43" t="s">
        <v>4481</v>
      </c>
      <c r="Q1184" s="11">
        <v>1373934.02</v>
      </c>
      <c r="R1184" s="11" t="s">
        <v>2606</v>
      </c>
      <c r="S1184" s="11" t="s">
        <v>106</v>
      </c>
      <c r="T1184" s="11">
        <v>0</v>
      </c>
    </row>
    <row r="1185" spans="1:22" x14ac:dyDescent="0.25">
      <c r="A1185" s="11">
        <v>101060401</v>
      </c>
      <c r="B1185" s="11" t="s">
        <v>34</v>
      </c>
      <c r="C1185" s="41">
        <v>44915</v>
      </c>
      <c r="D1185" s="41">
        <v>44915</v>
      </c>
      <c r="E1185" s="11" t="s">
        <v>36</v>
      </c>
      <c r="F1185" s="11" t="s">
        <v>2607</v>
      </c>
      <c r="G1185" s="11">
        <v>110505</v>
      </c>
      <c r="H1185" s="11" t="s">
        <v>92</v>
      </c>
      <c r="K1185" s="11">
        <v>201040506</v>
      </c>
      <c r="L1185" s="11" t="s">
        <v>46</v>
      </c>
      <c r="M1185" s="11">
        <v>566</v>
      </c>
      <c r="N1185" s="11"/>
      <c r="O1185" s="42">
        <v>566</v>
      </c>
      <c r="P1185" s="43" t="s">
        <v>4480</v>
      </c>
      <c r="Q1185" s="11">
        <v>1374500.02</v>
      </c>
      <c r="R1185" s="11" t="s">
        <v>2608</v>
      </c>
      <c r="S1185" s="11" t="s">
        <v>40</v>
      </c>
      <c r="T1185" s="11">
        <v>0</v>
      </c>
    </row>
    <row r="1186" spans="1:22" x14ac:dyDescent="0.25">
      <c r="A1186" s="11">
        <v>101060401</v>
      </c>
      <c r="B1186" s="11" t="s">
        <v>34</v>
      </c>
      <c r="C1186" s="41">
        <v>44915</v>
      </c>
      <c r="D1186" s="41">
        <v>44915</v>
      </c>
      <c r="E1186" s="11" t="s">
        <v>42</v>
      </c>
      <c r="F1186" s="11" t="s">
        <v>2609</v>
      </c>
      <c r="G1186" s="11">
        <v>110506</v>
      </c>
      <c r="H1186" s="11" t="s">
        <v>1912</v>
      </c>
      <c r="J1186" s="11" t="s">
        <v>38</v>
      </c>
      <c r="K1186" s="11">
        <v>51010101</v>
      </c>
      <c r="L1186" s="11" t="s">
        <v>48</v>
      </c>
      <c r="M1186" s="11"/>
      <c r="N1186" s="11">
        <v>566</v>
      </c>
      <c r="O1186" s="42">
        <v>-566</v>
      </c>
      <c r="P1186" s="43" t="s">
        <v>4489</v>
      </c>
      <c r="Q1186" s="11">
        <v>1373934.02</v>
      </c>
      <c r="R1186" s="11" t="s">
        <v>2610</v>
      </c>
      <c r="S1186" s="11" t="s">
        <v>40</v>
      </c>
      <c r="T1186" s="11">
        <v>0</v>
      </c>
      <c r="V1186" s="11" t="s">
        <v>41</v>
      </c>
    </row>
    <row r="1187" spans="1:22" x14ac:dyDescent="0.25">
      <c r="A1187" s="11">
        <v>101060401</v>
      </c>
      <c r="B1187" s="11" t="s">
        <v>34</v>
      </c>
      <c r="C1187" s="41">
        <v>44915</v>
      </c>
      <c r="D1187" s="41">
        <v>44915</v>
      </c>
      <c r="E1187" s="11" t="s">
        <v>42</v>
      </c>
      <c r="F1187" s="11" t="s">
        <v>2611</v>
      </c>
      <c r="G1187" s="11">
        <v>110508</v>
      </c>
      <c r="H1187" s="11" t="s">
        <v>47</v>
      </c>
      <c r="J1187" s="11" t="s">
        <v>38</v>
      </c>
      <c r="K1187" s="11">
        <v>51010101</v>
      </c>
      <c r="L1187" s="11" t="s">
        <v>48</v>
      </c>
      <c r="M1187" s="11"/>
      <c r="N1187" s="11">
        <v>326.39999999999998</v>
      </c>
      <c r="O1187" s="42">
        <v>-326.39999999999998</v>
      </c>
      <c r="P1187" s="43" t="s">
        <v>4489</v>
      </c>
      <c r="Q1187" s="11">
        <v>1373607.62</v>
      </c>
      <c r="R1187" s="11" t="s">
        <v>2612</v>
      </c>
      <c r="S1187" s="11" t="s">
        <v>40</v>
      </c>
      <c r="T1187" s="11">
        <v>0</v>
      </c>
      <c r="V1187" s="11" t="s">
        <v>41</v>
      </c>
    </row>
    <row r="1188" spans="1:22" x14ac:dyDescent="0.25">
      <c r="A1188" s="11">
        <v>101060401</v>
      </c>
      <c r="B1188" s="11" t="s">
        <v>34</v>
      </c>
      <c r="C1188" s="41">
        <v>44915</v>
      </c>
      <c r="D1188" s="41">
        <v>44915</v>
      </c>
      <c r="E1188" s="11" t="s">
        <v>42</v>
      </c>
      <c r="F1188" s="11" t="s">
        <v>2613</v>
      </c>
      <c r="G1188" s="11">
        <v>110516</v>
      </c>
      <c r="H1188" s="11" t="s">
        <v>47</v>
      </c>
      <c r="J1188" s="11" t="s">
        <v>38</v>
      </c>
      <c r="K1188" s="11">
        <v>51010101</v>
      </c>
      <c r="L1188" s="11" t="s">
        <v>48</v>
      </c>
      <c r="M1188" s="11"/>
      <c r="N1188" s="11">
        <v>41.28</v>
      </c>
      <c r="O1188" s="42">
        <v>-41.28</v>
      </c>
      <c r="P1188" s="43" t="s">
        <v>4489</v>
      </c>
      <c r="Q1188" s="11">
        <v>1373566.34</v>
      </c>
      <c r="R1188" s="11" t="s">
        <v>2614</v>
      </c>
      <c r="S1188" s="11" t="s">
        <v>40</v>
      </c>
      <c r="T1188" s="11">
        <v>0</v>
      </c>
      <c r="V1188" s="11" t="s">
        <v>41</v>
      </c>
    </row>
    <row r="1189" spans="1:22" x14ac:dyDescent="0.25">
      <c r="A1189" s="11">
        <v>101060401</v>
      </c>
      <c r="B1189" s="11" t="s">
        <v>34</v>
      </c>
      <c r="C1189" s="41">
        <v>44915</v>
      </c>
      <c r="D1189" s="41">
        <v>44915</v>
      </c>
      <c r="E1189" s="11" t="s">
        <v>42</v>
      </c>
      <c r="F1189" s="11" t="s">
        <v>2615</v>
      </c>
      <c r="G1189" s="11">
        <v>110586</v>
      </c>
      <c r="H1189" s="11" t="s">
        <v>2616</v>
      </c>
      <c r="J1189" s="11" t="s">
        <v>38</v>
      </c>
      <c r="K1189" s="11">
        <v>51010101</v>
      </c>
      <c r="L1189" s="11" t="s">
        <v>48</v>
      </c>
      <c r="M1189" s="11">
        <v>2184.0300000000002</v>
      </c>
      <c r="N1189" s="11"/>
      <c r="O1189" s="42">
        <v>2184.0300000000002</v>
      </c>
      <c r="P1189" s="43" t="s">
        <v>4489</v>
      </c>
      <c r="Q1189" s="11">
        <v>1375750.37</v>
      </c>
      <c r="R1189" s="11" t="s">
        <v>2617</v>
      </c>
      <c r="S1189" s="11" t="s">
        <v>40</v>
      </c>
      <c r="T1189" s="11">
        <v>0</v>
      </c>
      <c r="V1189" s="11" t="s">
        <v>41</v>
      </c>
    </row>
    <row r="1190" spans="1:22" x14ac:dyDescent="0.25">
      <c r="A1190" s="11">
        <v>101060401</v>
      </c>
      <c r="B1190" s="11" t="s">
        <v>34</v>
      </c>
      <c r="C1190" s="41">
        <v>44915</v>
      </c>
      <c r="D1190" s="41">
        <v>44915</v>
      </c>
      <c r="E1190" s="11" t="s">
        <v>60</v>
      </c>
      <c r="F1190" s="11" t="s">
        <v>2618</v>
      </c>
      <c r="G1190" s="11">
        <v>110587</v>
      </c>
      <c r="H1190" s="11" t="s">
        <v>61</v>
      </c>
      <c r="K1190" s="11">
        <v>201040506</v>
      </c>
      <c r="L1190" s="11" t="s">
        <v>46</v>
      </c>
      <c r="M1190" s="11"/>
      <c r="N1190" s="11">
        <v>2009.41</v>
      </c>
      <c r="O1190" s="42">
        <v>-2009.41</v>
      </c>
      <c r="P1190" s="43" t="s">
        <v>4480</v>
      </c>
      <c r="Q1190" s="11">
        <v>1373740.96</v>
      </c>
      <c r="R1190" s="11" t="s">
        <v>2619</v>
      </c>
      <c r="S1190" s="11" t="s">
        <v>40</v>
      </c>
      <c r="T1190" s="11">
        <v>0</v>
      </c>
    </row>
    <row r="1191" spans="1:22" x14ac:dyDescent="0.25">
      <c r="A1191" s="11">
        <v>101060401</v>
      </c>
      <c r="B1191" s="11" t="s">
        <v>34</v>
      </c>
      <c r="C1191" s="41">
        <v>44916</v>
      </c>
      <c r="D1191" s="41">
        <v>44916</v>
      </c>
      <c r="E1191" s="11" t="s">
        <v>42</v>
      </c>
      <c r="F1191" s="11" t="s">
        <v>2620</v>
      </c>
      <c r="G1191" s="11">
        <v>110520</v>
      </c>
      <c r="H1191" s="11" t="s">
        <v>57</v>
      </c>
      <c r="K1191" s="11">
        <v>101060402</v>
      </c>
      <c r="L1191" s="11" t="s">
        <v>44</v>
      </c>
      <c r="M1191" s="11">
        <v>75.680000000000007</v>
      </c>
      <c r="N1191" s="11"/>
      <c r="O1191" s="42">
        <v>75.680000000000007</v>
      </c>
      <c r="P1191" s="43" t="s">
        <v>4481</v>
      </c>
      <c r="Q1191" s="11">
        <v>1373816.64</v>
      </c>
      <c r="R1191" s="11" t="s">
        <v>2527</v>
      </c>
      <c r="S1191" s="11" t="s">
        <v>40</v>
      </c>
      <c r="T1191" s="11">
        <v>0</v>
      </c>
    </row>
    <row r="1192" spans="1:22" x14ac:dyDescent="0.25">
      <c r="A1192" s="11">
        <v>101060401</v>
      </c>
      <c r="B1192" s="11" t="s">
        <v>34</v>
      </c>
      <c r="C1192" s="41">
        <v>44916</v>
      </c>
      <c r="D1192" s="41">
        <v>44916</v>
      </c>
      <c r="E1192" s="11" t="s">
        <v>36</v>
      </c>
      <c r="F1192" s="11" t="s">
        <v>2621</v>
      </c>
      <c r="G1192" s="11">
        <v>110522</v>
      </c>
      <c r="H1192" s="11" t="s">
        <v>52</v>
      </c>
      <c r="K1192" s="11">
        <v>201040506</v>
      </c>
      <c r="L1192" s="11" t="s">
        <v>46</v>
      </c>
      <c r="M1192" s="11">
        <v>92</v>
      </c>
      <c r="N1192" s="11"/>
      <c r="O1192" s="42">
        <v>92</v>
      </c>
      <c r="P1192" s="43" t="s">
        <v>4480</v>
      </c>
      <c r="Q1192" s="11">
        <v>1373908.64</v>
      </c>
      <c r="R1192" s="11" t="s">
        <v>1939</v>
      </c>
      <c r="S1192" s="11" t="s">
        <v>40</v>
      </c>
      <c r="T1192" s="11">
        <v>0</v>
      </c>
    </row>
    <row r="1193" spans="1:22" x14ac:dyDescent="0.25">
      <c r="A1193" s="11">
        <v>101060401</v>
      </c>
      <c r="B1193" s="11" t="s">
        <v>34</v>
      </c>
      <c r="C1193" s="41">
        <v>44916</v>
      </c>
      <c r="D1193" s="41">
        <v>44916</v>
      </c>
      <c r="E1193" s="11" t="s">
        <v>36</v>
      </c>
      <c r="F1193" s="11" t="s">
        <v>2622</v>
      </c>
      <c r="G1193" s="11">
        <v>110525</v>
      </c>
      <c r="H1193" s="11" t="s">
        <v>52</v>
      </c>
      <c r="K1193" s="11">
        <v>201040506</v>
      </c>
      <c r="L1193" s="11" t="s">
        <v>46</v>
      </c>
      <c r="M1193" s="11">
        <v>830.11</v>
      </c>
      <c r="N1193" s="11"/>
      <c r="O1193" s="42">
        <v>830.11</v>
      </c>
      <c r="P1193" s="43" t="s">
        <v>4480</v>
      </c>
      <c r="Q1193" s="11">
        <v>1374738.75</v>
      </c>
      <c r="R1193" s="11" t="s">
        <v>2623</v>
      </c>
      <c r="S1193" s="11" t="s">
        <v>40</v>
      </c>
      <c r="T1193" s="11">
        <v>0</v>
      </c>
    </row>
    <row r="1194" spans="1:22" x14ac:dyDescent="0.25">
      <c r="A1194" s="11">
        <v>101060401</v>
      </c>
      <c r="B1194" s="11" t="s">
        <v>34</v>
      </c>
      <c r="C1194" s="41">
        <v>44916</v>
      </c>
      <c r="D1194" s="41">
        <v>44916</v>
      </c>
      <c r="E1194" s="11" t="s">
        <v>42</v>
      </c>
      <c r="F1194" s="11" t="s">
        <v>2624</v>
      </c>
      <c r="G1194" s="11">
        <v>110526</v>
      </c>
      <c r="H1194" s="11" t="s">
        <v>47</v>
      </c>
      <c r="J1194" s="11" t="s">
        <v>38</v>
      </c>
      <c r="K1194" s="11">
        <v>51010101</v>
      </c>
      <c r="L1194" s="11" t="s">
        <v>48</v>
      </c>
      <c r="M1194" s="11"/>
      <c r="N1194" s="11">
        <v>830.11</v>
      </c>
      <c r="O1194" s="42">
        <v>-830.11</v>
      </c>
      <c r="P1194" s="43" t="s">
        <v>4489</v>
      </c>
      <c r="Q1194" s="11">
        <v>1373908.64</v>
      </c>
      <c r="R1194" s="11" t="s">
        <v>2625</v>
      </c>
      <c r="S1194" s="11" t="s">
        <v>40</v>
      </c>
      <c r="T1194" s="11">
        <v>0</v>
      </c>
      <c r="V1194" s="11" t="s">
        <v>41</v>
      </c>
    </row>
    <row r="1195" spans="1:22" x14ac:dyDescent="0.25">
      <c r="A1195" s="11">
        <v>101060401</v>
      </c>
      <c r="B1195" s="11" t="s">
        <v>34</v>
      </c>
      <c r="C1195" s="41">
        <v>44916</v>
      </c>
      <c r="D1195" s="41">
        <v>44916</v>
      </c>
      <c r="E1195" s="11" t="s">
        <v>42</v>
      </c>
      <c r="F1195" s="11" t="s">
        <v>2626</v>
      </c>
      <c r="G1195" s="11">
        <v>110528</v>
      </c>
      <c r="H1195" s="11" t="s">
        <v>64</v>
      </c>
      <c r="J1195" s="11" t="s">
        <v>38</v>
      </c>
      <c r="K1195" s="11">
        <v>51010101</v>
      </c>
      <c r="L1195" s="11" t="s">
        <v>48</v>
      </c>
      <c r="M1195" s="11"/>
      <c r="N1195" s="11">
        <v>211.68</v>
      </c>
      <c r="O1195" s="42">
        <v>-211.68</v>
      </c>
      <c r="P1195" s="43" t="s">
        <v>4489</v>
      </c>
      <c r="Q1195" s="11">
        <v>1373696.96</v>
      </c>
      <c r="R1195" s="11" t="s">
        <v>2627</v>
      </c>
      <c r="S1195" s="11" t="s">
        <v>40</v>
      </c>
      <c r="T1195" s="11">
        <v>0</v>
      </c>
      <c r="V1195" s="11" t="s">
        <v>41</v>
      </c>
    </row>
    <row r="1196" spans="1:22" x14ac:dyDescent="0.25">
      <c r="A1196" s="11">
        <v>101060401</v>
      </c>
      <c r="B1196" s="11" t="s">
        <v>34</v>
      </c>
      <c r="C1196" s="41">
        <v>44916</v>
      </c>
      <c r="D1196" s="41">
        <v>44916</v>
      </c>
      <c r="E1196" s="11" t="s">
        <v>42</v>
      </c>
      <c r="F1196" s="11" t="s">
        <v>2628</v>
      </c>
      <c r="G1196" s="11">
        <v>110529</v>
      </c>
      <c r="H1196" s="11" t="s">
        <v>62</v>
      </c>
      <c r="J1196" s="11" t="s">
        <v>38</v>
      </c>
      <c r="K1196" s="11">
        <v>51010101</v>
      </c>
      <c r="L1196" s="11" t="s">
        <v>48</v>
      </c>
      <c r="M1196" s="11"/>
      <c r="N1196" s="11">
        <v>163.57</v>
      </c>
      <c r="O1196" s="42">
        <v>-163.57</v>
      </c>
      <c r="P1196" s="43" t="s">
        <v>4489</v>
      </c>
      <c r="Q1196" s="11">
        <v>1373533.39</v>
      </c>
      <c r="R1196" s="11" t="s">
        <v>2629</v>
      </c>
      <c r="S1196" s="11" t="s">
        <v>40</v>
      </c>
      <c r="T1196" s="11">
        <v>0</v>
      </c>
      <c r="V1196" s="11" t="s">
        <v>41</v>
      </c>
    </row>
    <row r="1197" spans="1:22" x14ac:dyDescent="0.25">
      <c r="A1197" s="11">
        <v>101060401</v>
      </c>
      <c r="B1197" s="11" t="s">
        <v>34</v>
      </c>
      <c r="C1197" s="41">
        <v>44916</v>
      </c>
      <c r="D1197" s="41">
        <v>44916</v>
      </c>
      <c r="E1197" s="11" t="s">
        <v>42</v>
      </c>
      <c r="F1197" s="11" t="s">
        <v>2630</v>
      </c>
      <c r="G1197" s="11">
        <v>110531</v>
      </c>
      <c r="H1197" s="11" t="s">
        <v>2631</v>
      </c>
      <c r="J1197" s="11" t="s">
        <v>38</v>
      </c>
      <c r="K1197" s="11">
        <v>51010101</v>
      </c>
      <c r="L1197" s="11" t="s">
        <v>48</v>
      </c>
      <c r="M1197" s="11"/>
      <c r="N1197" s="11">
        <v>99.6</v>
      </c>
      <c r="O1197" s="42">
        <v>-99.6</v>
      </c>
      <c r="P1197" s="43" t="s">
        <v>4489</v>
      </c>
      <c r="Q1197" s="11">
        <v>1373433.79</v>
      </c>
      <c r="R1197" s="11" t="s">
        <v>951</v>
      </c>
      <c r="S1197" s="11" t="s">
        <v>40</v>
      </c>
      <c r="T1197" s="11">
        <v>0</v>
      </c>
      <c r="V1197" s="11" t="s">
        <v>41</v>
      </c>
    </row>
    <row r="1198" spans="1:22" x14ac:dyDescent="0.25">
      <c r="A1198" s="11">
        <v>101060401</v>
      </c>
      <c r="B1198" s="11" t="s">
        <v>34</v>
      </c>
      <c r="C1198" s="41">
        <v>44916</v>
      </c>
      <c r="D1198" s="41">
        <v>44916</v>
      </c>
      <c r="E1198" s="11" t="s">
        <v>42</v>
      </c>
      <c r="F1198" s="11" t="s">
        <v>2632</v>
      </c>
      <c r="G1198" s="11">
        <v>110534</v>
      </c>
      <c r="H1198" s="11" t="s">
        <v>1128</v>
      </c>
      <c r="J1198" s="11" t="s">
        <v>38</v>
      </c>
      <c r="K1198" s="11">
        <v>51010101</v>
      </c>
      <c r="L1198" s="11" t="s">
        <v>48</v>
      </c>
      <c r="M1198" s="11"/>
      <c r="N1198" s="11">
        <v>54.86</v>
      </c>
      <c r="O1198" s="42">
        <v>-54.86</v>
      </c>
      <c r="P1198" s="43" t="s">
        <v>4489</v>
      </c>
      <c r="Q1198" s="11">
        <v>1373378.93</v>
      </c>
      <c r="R1198" s="11" t="s">
        <v>2633</v>
      </c>
      <c r="S1198" s="11" t="s">
        <v>40</v>
      </c>
      <c r="T1198" s="11">
        <v>0</v>
      </c>
      <c r="V1198" s="11" t="s">
        <v>41</v>
      </c>
    </row>
    <row r="1199" spans="1:22" x14ac:dyDescent="0.25">
      <c r="A1199" s="11">
        <v>101060401</v>
      </c>
      <c r="B1199" s="11" t="s">
        <v>34</v>
      </c>
      <c r="C1199" s="41">
        <v>44916</v>
      </c>
      <c r="D1199" s="41">
        <v>44916</v>
      </c>
      <c r="E1199" s="11" t="s">
        <v>36</v>
      </c>
      <c r="F1199" s="11" t="s">
        <v>2634</v>
      </c>
      <c r="G1199" s="11">
        <v>110541</v>
      </c>
      <c r="H1199" s="11" t="s">
        <v>2635</v>
      </c>
      <c r="J1199" s="11" t="s">
        <v>38</v>
      </c>
      <c r="K1199" s="11">
        <v>51010101</v>
      </c>
      <c r="L1199" s="11" t="s">
        <v>48</v>
      </c>
      <c r="M1199" s="11">
        <v>58.71</v>
      </c>
      <c r="N1199" s="11"/>
      <c r="O1199" s="42">
        <v>58.71</v>
      </c>
      <c r="P1199" s="43" t="s">
        <v>4489</v>
      </c>
      <c r="Q1199" s="11">
        <v>1373437.64</v>
      </c>
      <c r="R1199" s="11" t="s">
        <v>2636</v>
      </c>
      <c r="S1199" s="11" t="s">
        <v>40</v>
      </c>
      <c r="T1199" s="11">
        <v>0</v>
      </c>
      <c r="V1199" s="11" t="s">
        <v>41</v>
      </c>
    </row>
    <row r="1200" spans="1:22" x14ac:dyDescent="0.25">
      <c r="A1200" s="11">
        <v>101060401</v>
      </c>
      <c r="B1200" s="11" t="s">
        <v>34</v>
      </c>
      <c r="C1200" s="41">
        <v>44916</v>
      </c>
      <c r="D1200" s="41">
        <v>44916</v>
      </c>
      <c r="E1200" s="11" t="s">
        <v>42</v>
      </c>
      <c r="F1200" s="11" t="s">
        <v>2637</v>
      </c>
      <c r="G1200" s="11">
        <v>110543</v>
      </c>
      <c r="H1200" s="11" t="s">
        <v>50</v>
      </c>
      <c r="J1200" s="11" t="s">
        <v>38</v>
      </c>
      <c r="K1200" s="11">
        <v>51010101</v>
      </c>
      <c r="L1200" s="11" t="s">
        <v>48</v>
      </c>
      <c r="M1200" s="11"/>
      <c r="N1200" s="11">
        <v>20.36</v>
      </c>
      <c r="O1200" s="42">
        <v>-20.36</v>
      </c>
      <c r="P1200" s="43" t="s">
        <v>4489</v>
      </c>
      <c r="Q1200" s="11">
        <v>1373417.28</v>
      </c>
      <c r="R1200" s="11" t="s">
        <v>2638</v>
      </c>
      <c r="S1200" s="11" t="s">
        <v>40</v>
      </c>
      <c r="T1200" s="11">
        <v>0</v>
      </c>
      <c r="V1200" s="11" t="s">
        <v>41</v>
      </c>
    </row>
    <row r="1201" spans="1:22" x14ac:dyDescent="0.25">
      <c r="A1201" s="11">
        <v>101060401</v>
      </c>
      <c r="B1201" s="11" t="s">
        <v>34</v>
      </c>
      <c r="C1201" s="41">
        <v>44916</v>
      </c>
      <c r="D1201" s="41">
        <v>44916</v>
      </c>
      <c r="E1201" s="11" t="s">
        <v>42</v>
      </c>
      <c r="F1201" s="11" t="s">
        <v>2639</v>
      </c>
      <c r="G1201" s="11">
        <v>110544</v>
      </c>
      <c r="H1201" s="11" t="s">
        <v>50</v>
      </c>
      <c r="J1201" s="11" t="s">
        <v>38</v>
      </c>
      <c r="K1201" s="11">
        <v>51010101</v>
      </c>
      <c r="L1201" s="11" t="s">
        <v>48</v>
      </c>
      <c r="M1201" s="11"/>
      <c r="N1201" s="11">
        <v>438.37</v>
      </c>
      <c r="O1201" s="42">
        <v>-438.37</v>
      </c>
      <c r="P1201" s="43" t="s">
        <v>4489</v>
      </c>
      <c r="Q1201" s="11">
        <v>1372978.91</v>
      </c>
      <c r="R1201" s="11" t="s">
        <v>2640</v>
      </c>
      <c r="S1201" s="11" t="s">
        <v>40</v>
      </c>
      <c r="T1201" s="11">
        <v>0</v>
      </c>
      <c r="V1201" s="11" t="s">
        <v>41</v>
      </c>
    </row>
    <row r="1202" spans="1:22" x14ac:dyDescent="0.25">
      <c r="A1202" s="11">
        <v>101060401</v>
      </c>
      <c r="B1202" s="11" t="s">
        <v>34</v>
      </c>
      <c r="C1202" s="41">
        <v>44916</v>
      </c>
      <c r="D1202" s="41">
        <v>44916</v>
      </c>
      <c r="E1202" s="11" t="s">
        <v>42</v>
      </c>
      <c r="F1202" s="11" t="s">
        <v>2641</v>
      </c>
      <c r="G1202" s="11">
        <v>110547</v>
      </c>
      <c r="H1202" s="11" t="s">
        <v>55</v>
      </c>
      <c r="J1202" s="11" t="s">
        <v>38</v>
      </c>
      <c r="K1202" s="11">
        <v>51010101</v>
      </c>
      <c r="L1202" s="11" t="s">
        <v>48</v>
      </c>
      <c r="M1202" s="11"/>
      <c r="N1202" s="11">
        <v>2696.1</v>
      </c>
      <c r="O1202" s="42">
        <v>-2696.1</v>
      </c>
      <c r="P1202" s="43" t="s">
        <v>4489</v>
      </c>
      <c r="Q1202" s="11">
        <v>1370282.81</v>
      </c>
      <c r="R1202" s="11" t="s">
        <v>2642</v>
      </c>
      <c r="S1202" s="11" t="s">
        <v>40</v>
      </c>
      <c r="T1202" s="11">
        <v>0</v>
      </c>
      <c r="V1202" s="11" t="s">
        <v>41</v>
      </c>
    </row>
    <row r="1203" spans="1:22" x14ac:dyDescent="0.25">
      <c r="A1203" s="11">
        <v>101060401</v>
      </c>
      <c r="B1203" s="11" t="s">
        <v>34</v>
      </c>
      <c r="C1203" s="41">
        <v>44916</v>
      </c>
      <c r="D1203" s="41">
        <v>44916</v>
      </c>
      <c r="E1203" s="11" t="s">
        <v>42</v>
      </c>
      <c r="F1203" s="11" t="s">
        <v>2643</v>
      </c>
      <c r="G1203" s="11">
        <v>110549</v>
      </c>
      <c r="H1203" s="11" t="s">
        <v>2644</v>
      </c>
      <c r="J1203" s="11" t="s">
        <v>38</v>
      </c>
      <c r="K1203" s="11">
        <v>51010101</v>
      </c>
      <c r="L1203" s="11" t="s">
        <v>48</v>
      </c>
      <c r="M1203" s="11"/>
      <c r="N1203" s="11">
        <v>33.76</v>
      </c>
      <c r="O1203" s="42">
        <v>-33.76</v>
      </c>
      <c r="P1203" s="43" t="s">
        <v>4489</v>
      </c>
      <c r="Q1203" s="11">
        <v>1370249.05</v>
      </c>
      <c r="R1203" s="11" t="s">
        <v>272</v>
      </c>
      <c r="S1203" s="11" t="s">
        <v>40</v>
      </c>
      <c r="T1203" s="11">
        <v>0</v>
      </c>
      <c r="V1203" s="11" t="s">
        <v>41</v>
      </c>
    </row>
    <row r="1204" spans="1:22" x14ac:dyDescent="0.25">
      <c r="A1204" s="11">
        <v>101060401</v>
      </c>
      <c r="B1204" s="11" t="s">
        <v>34</v>
      </c>
      <c r="C1204" s="41">
        <v>44916</v>
      </c>
      <c r="D1204" s="41">
        <v>44916</v>
      </c>
      <c r="E1204" s="11" t="s">
        <v>42</v>
      </c>
      <c r="F1204" s="11" t="s">
        <v>2645</v>
      </c>
      <c r="G1204" s="11">
        <v>110551</v>
      </c>
      <c r="H1204" s="11" t="s">
        <v>66</v>
      </c>
      <c r="J1204" s="11" t="s">
        <v>38</v>
      </c>
      <c r="K1204" s="11">
        <v>51010101</v>
      </c>
      <c r="L1204" s="11" t="s">
        <v>48</v>
      </c>
      <c r="M1204" s="11"/>
      <c r="N1204" s="11">
        <v>194.26</v>
      </c>
      <c r="O1204" s="42">
        <v>-194.26</v>
      </c>
      <c r="P1204" s="43" t="s">
        <v>4489</v>
      </c>
      <c r="Q1204" s="11">
        <v>1370054.79</v>
      </c>
      <c r="R1204" s="11" t="s">
        <v>2017</v>
      </c>
      <c r="S1204" s="11" t="s">
        <v>40</v>
      </c>
      <c r="T1204" s="11">
        <v>0</v>
      </c>
      <c r="V1204" s="11" t="s">
        <v>41</v>
      </c>
    </row>
    <row r="1205" spans="1:22" x14ac:dyDescent="0.25">
      <c r="A1205" s="11">
        <v>101060401</v>
      </c>
      <c r="B1205" s="11" t="s">
        <v>34</v>
      </c>
      <c r="C1205" s="41">
        <v>44916</v>
      </c>
      <c r="D1205" s="41">
        <v>44916</v>
      </c>
      <c r="E1205" s="11" t="s">
        <v>36</v>
      </c>
      <c r="F1205" s="11" t="s">
        <v>2646</v>
      </c>
      <c r="G1205" s="11">
        <v>110554</v>
      </c>
      <c r="H1205" s="11" t="s">
        <v>52</v>
      </c>
      <c r="K1205" s="11">
        <v>201040506</v>
      </c>
      <c r="L1205" s="11" t="s">
        <v>46</v>
      </c>
      <c r="M1205" s="11">
        <v>4.08</v>
      </c>
      <c r="N1205" s="11"/>
      <c r="O1205" s="42">
        <v>4.08</v>
      </c>
      <c r="P1205" s="43" t="s">
        <v>4480</v>
      </c>
      <c r="Q1205" s="11">
        <v>1370058.87</v>
      </c>
      <c r="R1205" s="11" t="s">
        <v>2647</v>
      </c>
      <c r="S1205" s="11" t="s">
        <v>40</v>
      </c>
      <c r="T1205" s="11">
        <v>0</v>
      </c>
    </row>
    <row r="1206" spans="1:22" x14ac:dyDescent="0.25">
      <c r="A1206" s="11">
        <v>101060401</v>
      </c>
      <c r="B1206" s="11" t="s">
        <v>34</v>
      </c>
      <c r="C1206" s="41">
        <v>44916</v>
      </c>
      <c r="D1206" s="41">
        <v>44916</v>
      </c>
      <c r="E1206" s="11" t="s">
        <v>42</v>
      </c>
      <c r="F1206" s="11" t="s">
        <v>2648</v>
      </c>
      <c r="G1206" s="11">
        <v>110556</v>
      </c>
      <c r="H1206" s="11" t="s">
        <v>74</v>
      </c>
      <c r="J1206" s="11" t="s">
        <v>38</v>
      </c>
      <c r="K1206" s="11">
        <v>51010101</v>
      </c>
      <c r="L1206" s="11" t="s">
        <v>48</v>
      </c>
      <c r="M1206" s="11"/>
      <c r="N1206" s="11">
        <v>111.09</v>
      </c>
      <c r="O1206" s="42">
        <v>-111.09</v>
      </c>
      <c r="P1206" s="43" t="s">
        <v>4489</v>
      </c>
      <c r="Q1206" s="11">
        <v>1369947.78</v>
      </c>
      <c r="R1206" s="11" t="s">
        <v>2649</v>
      </c>
      <c r="S1206" s="11" t="s">
        <v>40</v>
      </c>
      <c r="T1206" s="11">
        <v>0</v>
      </c>
      <c r="V1206" s="11" t="s">
        <v>41</v>
      </c>
    </row>
    <row r="1207" spans="1:22" x14ac:dyDescent="0.25">
      <c r="A1207" s="11">
        <v>101060401</v>
      </c>
      <c r="B1207" s="11" t="s">
        <v>34</v>
      </c>
      <c r="C1207" s="41">
        <v>44916</v>
      </c>
      <c r="D1207" s="41">
        <v>44916</v>
      </c>
      <c r="E1207" s="11" t="s">
        <v>42</v>
      </c>
      <c r="F1207" s="11" t="s">
        <v>2650</v>
      </c>
      <c r="G1207" s="11">
        <v>110559</v>
      </c>
      <c r="H1207" s="11" t="s">
        <v>141</v>
      </c>
      <c r="J1207" s="11" t="s">
        <v>38</v>
      </c>
      <c r="K1207" s="11">
        <v>51010101</v>
      </c>
      <c r="L1207" s="11" t="s">
        <v>48</v>
      </c>
      <c r="M1207" s="11"/>
      <c r="N1207" s="11">
        <v>25.83</v>
      </c>
      <c r="O1207" s="42">
        <v>-25.83</v>
      </c>
      <c r="P1207" s="43" t="s">
        <v>4489</v>
      </c>
      <c r="Q1207" s="11">
        <v>1369921.95</v>
      </c>
      <c r="R1207" s="11" t="s">
        <v>300</v>
      </c>
      <c r="S1207" s="11" t="s">
        <v>40</v>
      </c>
      <c r="T1207" s="11">
        <v>0</v>
      </c>
      <c r="V1207" s="11" t="s">
        <v>41</v>
      </c>
    </row>
    <row r="1208" spans="1:22" x14ac:dyDescent="0.25">
      <c r="A1208" s="11">
        <v>101060401</v>
      </c>
      <c r="B1208" s="11" t="s">
        <v>34</v>
      </c>
      <c r="C1208" s="41">
        <v>44916</v>
      </c>
      <c r="D1208" s="41">
        <v>44916</v>
      </c>
      <c r="E1208" s="11" t="s">
        <v>42</v>
      </c>
      <c r="F1208" s="11" t="s">
        <v>2651</v>
      </c>
      <c r="G1208" s="11">
        <v>110561</v>
      </c>
      <c r="H1208" s="11" t="s">
        <v>71</v>
      </c>
      <c r="J1208" s="11" t="s">
        <v>38</v>
      </c>
      <c r="K1208" s="11">
        <v>51010101</v>
      </c>
      <c r="L1208" s="11" t="s">
        <v>48</v>
      </c>
      <c r="M1208" s="11"/>
      <c r="N1208" s="11">
        <v>137.65</v>
      </c>
      <c r="O1208" s="42">
        <v>-137.65</v>
      </c>
      <c r="P1208" s="43" t="s">
        <v>4489</v>
      </c>
      <c r="Q1208" s="11">
        <v>1369784.3</v>
      </c>
      <c r="R1208" s="11" t="s">
        <v>2652</v>
      </c>
      <c r="S1208" s="11" t="s">
        <v>40</v>
      </c>
      <c r="T1208" s="11">
        <v>0</v>
      </c>
      <c r="V1208" s="11" t="s">
        <v>41</v>
      </c>
    </row>
    <row r="1209" spans="1:22" x14ac:dyDescent="0.25">
      <c r="A1209" s="11">
        <v>101060401</v>
      </c>
      <c r="B1209" s="11" t="s">
        <v>34</v>
      </c>
      <c r="C1209" s="41">
        <v>44916</v>
      </c>
      <c r="D1209" s="41">
        <v>44916</v>
      </c>
      <c r="E1209" s="11" t="s">
        <v>42</v>
      </c>
      <c r="F1209" s="11" t="s">
        <v>2653</v>
      </c>
      <c r="G1209" s="11">
        <v>110566</v>
      </c>
      <c r="H1209" s="11" t="s">
        <v>158</v>
      </c>
      <c r="J1209" s="11" t="s">
        <v>38</v>
      </c>
      <c r="K1209" s="11">
        <v>51010101</v>
      </c>
      <c r="L1209" s="11" t="s">
        <v>48</v>
      </c>
      <c r="M1209" s="11"/>
      <c r="N1209" s="11">
        <v>673.79</v>
      </c>
      <c r="O1209" s="42">
        <v>-673.79</v>
      </c>
      <c r="P1209" s="43" t="s">
        <v>4489</v>
      </c>
      <c r="Q1209" s="11">
        <v>1369110.51</v>
      </c>
      <c r="R1209" s="11" t="s">
        <v>2654</v>
      </c>
      <c r="S1209" s="11" t="s">
        <v>40</v>
      </c>
      <c r="T1209" s="11">
        <v>0</v>
      </c>
      <c r="V1209" s="11" t="s">
        <v>41</v>
      </c>
    </row>
    <row r="1210" spans="1:22" x14ac:dyDescent="0.25">
      <c r="A1210" s="11">
        <v>101060401</v>
      </c>
      <c r="B1210" s="11" t="s">
        <v>34</v>
      </c>
      <c r="C1210" s="41">
        <v>44916</v>
      </c>
      <c r="D1210" s="41">
        <v>44916</v>
      </c>
      <c r="E1210" s="11" t="s">
        <v>42</v>
      </c>
      <c r="F1210" s="11" t="s">
        <v>2655</v>
      </c>
      <c r="G1210" s="11">
        <v>110575</v>
      </c>
      <c r="H1210" s="11" t="s">
        <v>176</v>
      </c>
      <c r="J1210" s="11" t="s">
        <v>38</v>
      </c>
      <c r="K1210" s="11">
        <v>51010101</v>
      </c>
      <c r="L1210" s="11" t="s">
        <v>48</v>
      </c>
      <c r="M1210" s="11"/>
      <c r="N1210" s="11">
        <v>79.7</v>
      </c>
      <c r="O1210" s="42">
        <v>-79.7</v>
      </c>
      <c r="P1210" s="43" t="s">
        <v>4489</v>
      </c>
      <c r="Q1210" s="11">
        <v>1369030.81</v>
      </c>
      <c r="R1210" s="11" t="s">
        <v>2656</v>
      </c>
      <c r="S1210" s="11" t="s">
        <v>40</v>
      </c>
      <c r="T1210" s="11">
        <v>0</v>
      </c>
      <c r="V1210" s="11" t="s">
        <v>41</v>
      </c>
    </row>
    <row r="1211" spans="1:22" x14ac:dyDescent="0.25">
      <c r="A1211" s="11">
        <v>101060401</v>
      </c>
      <c r="B1211" s="11" t="s">
        <v>34</v>
      </c>
      <c r="C1211" s="41">
        <v>44916</v>
      </c>
      <c r="D1211" s="41">
        <v>44916</v>
      </c>
      <c r="E1211" s="11" t="s">
        <v>36</v>
      </c>
      <c r="F1211" s="11" t="s">
        <v>2657</v>
      </c>
      <c r="G1211" s="11">
        <v>110577</v>
      </c>
      <c r="H1211" s="11" t="s">
        <v>52</v>
      </c>
      <c r="K1211" s="11">
        <v>201040506</v>
      </c>
      <c r="L1211" s="11" t="s">
        <v>46</v>
      </c>
      <c r="M1211" s="11">
        <v>1897.2</v>
      </c>
      <c r="N1211" s="11"/>
      <c r="O1211" s="42">
        <v>1897.2</v>
      </c>
      <c r="P1211" s="43" t="s">
        <v>4480</v>
      </c>
      <c r="Q1211" s="11">
        <v>1370928.01</v>
      </c>
      <c r="R1211" s="11" t="s">
        <v>2658</v>
      </c>
      <c r="S1211" s="11" t="s">
        <v>40</v>
      </c>
      <c r="T1211" s="11">
        <v>0</v>
      </c>
    </row>
    <row r="1212" spans="1:22" x14ac:dyDescent="0.25">
      <c r="A1212" s="11">
        <v>101060401</v>
      </c>
      <c r="B1212" s="11" t="s">
        <v>34</v>
      </c>
      <c r="C1212" s="41">
        <v>44916</v>
      </c>
      <c r="D1212" s="41">
        <v>44916</v>
      </c>
      <c r="E1212" s="11" t="s">
        <v>42</v>
      </c>
      <c r="F1212" s="11" t="s">
        <v>2659</v>
      </c>
      <c r="G1212" s="11">
        <v>110578</v>
      </c>
      <c r="H1212" s="11" t="s">
        <v>47</v>
      </c>
      <c r="J1212" s="11" t="s">
        <v>38</v>
      </c>
      <c r="K1212" s="11">
        <v>51010101</v>
      </c>
      <c r="L1212" s="11" t="s">
        <v>48</v>
      </c>
      <c r="M1212" s="11"/>
      <c r="N1212" s="11">
        <v>1897.2</v>
      </c>
      <c r="O1212" s="42">
        <v>-1897.2</v>
      </c>
      <c r="P1212" s="43" t="s">
        <v>4489</v>
      </c>
      <c r="Q1212" s="11">
        <v>1369030.81</v>
      </c>
      <c r="R1212" s="11" t="s">
        <v>2660</v>
      </c>
      <c r="S1212" s="11" t="s">
        <v>40</v>
      </c>
      <c r="T1212" s="11">
        <v>0</v>
      </c>
      <c r="V1212" s="11" t="s">
        <v>41</v>
      </c>
    </row>
    <row r="1213" spans="1:22" x14ac:dyDescent="0.25">
      <c r="A1213" s="11">
        <v>101060401</v>
      </c>
      <c r="B1213" s="11" t="s">
        <v>34</v>
      </c>
      <c r="C1213" s="41">
        <v>44916</v>
      </c>
      <c r="D1213" s="41">
        <v>44916</v>
      </c>
      <c r="E1213" s="11" t="s">
        <v>42</v>
      </c>
      <c r="F1213" s="11" t="s">
        <v>2661</v>
      </c>
      <c r="G1213" s="11">
        <v>110579</v>
      </c>
      <c r="H1213" s="11" t="s">
        <v>97</v>
      </c>
      <c r="J1213" s="11" t="s">
        <v>38</v>
      </c>
      <c r="K1213" s="11">
        <v>51010101</v>
      </c>
      <c r="L1213" s="11" t="s">
        <v>48</v>
      </c>
      <c r="M1213" s="11"/>
      <c r="N1213" s="11">
        <v>25.59</v>
      </c>
      <c r="O1213" s="42">
        <v>-25.59</v>
      </c>
      <c r="P1213" s="43" t="s">
        <v>4489</v>
      </c>
      <c r="Q1213" s="11">
        <v>1369005.22</v>
      </c>
      <c r="R1213" s="11" t="s">
        <v>2662</v>
      </c>
      <c r="S1213" s="11" t="s">
        <v>40</v>
      </c>
      <c r="T1213" s="11">
        <v>0</v>
      </c>
      <c r="V1213" s="11" t="s">
        <v>41</v>
      </c>
    </row>
    <row r="1214" spans="1:22" x14ac:dyDescent="0.25">
      <c r="A1214" s="11">
        <v>101060401</v>
      </c>
      <c r="B1214" s="11" t="s">
        <v>34</v>
      </c>
      <c r="C1214" s="41">
        <v>44916</v>
      </c>
      <c r="D1214" s="41">
        <v>44916</v>
      </c>
      <c r="E1214" s="11" t="s">
        <v>42</v>
      </c>
      <c r="F1214" s="11" t="s">
        <v>2663</v>
      </c>
      <c r="G1214" s="11">
        <v>110580</v>
      </c>
      <c r="H1214" s="11" t="s">
        <v>57</v>
      </c>
      <c r="K1214" s="11">
        <v>101060402</v>
      </c>
      <c r="L1214" s="11" t="s">
        <v>44</v>
      </c>
      <c r="M1214" s="11">
        <v>63.83</v>
      </c>
      <c r="N1214" s="11"/>
      <c r="O1214" s="42">
        <v>63.83</v>
      </c>
      <c r="P1214" s="43" t="s">
        <v>4481</v>
      </c>
      <c r="Q1214" s="11">
        <v>1369069.05</v>
      </c>
      <c r="R1214" s="11" t="s">
        <v>2664</v>
      </c>
      <c r="S1214" s="11" t="s">
        <v>106</v>
      </c>
      <c r="T1214" s="11">
        <v>0</v>
      </c>
    </row>
    <row r="1215" spans="1:22" x14ac:dyDescent="0.25">
      <c r="A1215" s="11">
        <v>101060401</v>
      </c>
      <c r="B1215" s="11" t="s">
        <v>34</v>
      </c>
      <c r="C1215" s="41">
        <v>44916</v>
      </c>
      <c r="D1215" s="41">
        <v>44916</v>
      </c>
      <c r="E1215" s="11" t="s">
        <v>42</v>
      </c>
      <c r="F1215" s="11" t="s">
        <v>2665</v>
      </c>
      <c r="G1215" s="11">
        <v>110581</v>
      </c>
      <c r="H1215" s="11" t="s">
        <v>88</v>
      </c>
      <c r="J1215" s="11" t="s">
        <v>38</v>
      </c>
      <c r="K1215" s="11">
        <v>51010101</v>
      </c>
      <c r="L1215" s="11" t="s">
        <v>48</v>
      </c>
      <c r="M1215" s="11">
        <v>1897.2</v>
      </c>
      <c r="N1215" s="11"/>
      <c r="O1215" s="42">
        <v>1897.2</v>
      </c>
      <c r="P1215" s="43" t="s">
        <v>4489</v>
      </c>
      <c r="Q1215" s="11">
        <v>1370966.25</v>
      </c>
      <c r="R1215" s="11" t="s">
        <v>2658</v>
      </c>
      <c r="S1215" s="11" t="s">
        <v>40</v>
      </c>
      <c r="T1215" s="11">
        <v>0</v>
      </c>
      <c r="V1215" s="11" t="s">
        <v>41</v>
      </c>
    </row>
    <row r="1216" spans="1:22" x14ac:dyDescent="0.25">
      <c r="A1216" s="11">
        <v>101060401</v>
      </c>
      <c r="B1216" s="11" t="s">
        <v>34</v>
      </c>
      <c r="C1216" s="41">
        <v>44916</v>
      </c>
      <c r="D1216" s="41">
        <v>44916</v>
      </c>
      <c r="E1216" s="11" t="s">
        <v>60</v>
      </c>
      <c r="F1216" s="11" t="s">
        <v>2666</v>
      </c>
      <c r="G1216" s="11">
        <v>110582</v>
      </c>
      <c r="H1216" s="11" t="s">
        <v>61</v>
      </c>
      <c r="K1216" s="11">
        <v>201040506</v>
      </c>
      <c r="L1216" s="11" t="s">
        <v>46</v>
      </c>
      <c r="M1216" s="11"/>
      <c r="N1216" s="11">
        <v>1897.2</v>
      </c>
      <c r="O1216" s="42">
        <v>-1897.2</v>
      </c>
      <c r="P1216" s="43" t="s">
        <v>4480</v>
      </c>
      <c r="Q1216" s="11">
        <v>1369069.05</v>
      </c>
      <c r="R1216" s="11" t="s">
        <v>2660</v>
      </c>
      <c r="S1216" s="11" t="s">
        <v>40</v>
      </c>
      <c r="T1216" s="11">
        <v>0</v>
      </c>
    </row>
    <row r="1217" spans="1:22" x14ac:dyDescent="0.25">
      <c r="A1217" s="11">
        <v>101060401</v>
      </c>
      <c r="B1217" s="11" t="s">
        <v>34</v>
      </c>
      <c r="C1217" s="41">
        <v>44916</v>
      </c>
      <c r="D1217" s="41">
        <v>44916</v>
      </c>
      <c r="E1217" s="11" t="s">
        <v>36</v>
      </c>
      <c r="F1217" s="11" t="s">
        <v>2667</v>
      </c>
      <c r="G1217" s="11">
        <v>110583</v>
      </c>
      <c r="H1217" s="11" t="s">
        <v>52</v>
      </c>
      <c r="K1217" s="11">
        <v>201040506</v>
      </c>
      <c r="L1217" s="11" t="s">
        <v>46</v>
      </c>
      <c r="M1217" s="11">
        <v>1570.8</v>
      </c>
      <c r="N1217" s="11"/>
      <c r="O1217" s="42">
        <v>1570.8</v>
      </c>
      <c r="P1217" s="43" t="s">
        <v>4480</v>
      </c>
      <c r="Q1217" s="11">
        <v>1370639.85</v>
      </c>
      <c r="R1217" s="11" t="s">
        <v>2668</v>
      </c>
      <c r="S1217" s="11" t="s">
        <v>40</v>
      </c>
      <c r="T1217" s="11">
        <v>0</v>
      </c>
    </row>
    <row r="1218" spans="1:22" x14ac:dyDescent="0.25">
      <c r="A1218" s="11">
        <v>101060401</v>
      </c>
      <c r="B1218" s="11" t="s">
        <v>34</v>
      </c>
      <c r="C1218" s="41">
        <v>44916</v>
      </c>
      <c r="D1218" s="41">
        <v>44916</v>
      </c>
      <c r="E1218" s="11" t="s">
        <v>42</v>
      </c>
      <c r="F1218" s="11" t="s">
        <v>2669</v>
      </c>
      <c r="G1218" s="11">
        <v>110584</v>
      </c>
      <c r="H1218" s="11" t="s">
        <v>47</v>
      </c>
      <c r="J1218" s="11" t="s">
        <v>38</v>
      </c>
      <c r="K1218" s="11">
        <v>51010101</v>
      </c>
      <c r="L1218" s="11" t="s">
        <v>48</v>
      </c>
      <c r="M1218" s="11"/>
      <c r="N1218" s="11">
        <v>1570.8</v>
      </c>
      <c r="O1218" s="42">
        <v>-1570.8</v>
      </c>
      <c r="P1218" s="43" t="s">
        <v>4489</v>
      </c>
      <c r="Q1218" s="11">
        <v>1369069.05</v>
      </c>
      <c r="R1218" s="11" t="s">
        <v>2670</v>
      </c>
      <c r="S1218" s="11" t="s">
        <v>40</v>
      </c>
      <c r="T1218" s="11">
        <v>0</v>
      </c>
      <c r="V1218" s="11" t="s">
        <v>41</v>
      </c>
    </row>
    <row r="1219" spans="1:22" x14ac:dyDescent="0.25">
      <c r="A1219" s="11">
        <v>101060401</v>
      </c>
      <c r="B1219" s="11" t="s">
        <v>34</v>
      </c>
      <c r="C1219" s="41">
        <v>44916</v>
      </c>
      <c r="D1219" s="41">
        <v>44916</v>
      </c>
      <c r="E1219" s="11" t="s">
        <v>36</v>
      </c>
      <c r="F1219" s="11" t="s">
        <v>2671</v>
      </c>
      <c r="G1219" s="11">
        <v>110585</v>
      </c>
      <c r="H1219" s="11" t="s">
        <v>2672</v>
      </c>
      <c r="J1219" s="11" t="s">
        <v>38</v>
      </c>
      <c r="K1219" s="11">
        <v>51010101</v>
      </c>
      <c r="L1219" s="11" t="s">
        <v>48</v>
      </c>
      <c r="M1219" s="11"/>
      <c r="N1219" s="11">
        <v>58.71</v>
      </c>
      <c r="O1219" s="42">
        <v>-58.71</v>
      </c>
      <c r="P1219" s="43" t="s">
        <v>4489</v>
      </c>
      <c r="Q1219" s="11">
        <v>1369010.34</v>
      </c>
      <c r="R1219" s="11" t="s">
        <v>2673</v>
      </c>
      <c r="S1219" s="11" t="s">
        <v>40</v>
      </c>
      <c r="T1219" s="11">
        <v>0</v>
      </c>
      <c r="V1219" s="11" t="s">
        <v>41</v>
      </c>
    </row>
    <row r="1220" spans="1:22" x14ac:dyDescent="0.25">
      <c r="A1220" s="11">
        <v>101060401</v>
      </c>
      <c r="B1220" s="11" t="s">
        <v>34</v>
      </c>
      <c r="C1220" s="41">
        <v>44916</v>
      </c>
      <c r="D1220" s="41">
        <v>44916</v>
      </c>
      <c r="E1220" s="11" t="s">
        <v>36</v>
      </c>
      <c r="F1220" s="11" t="s">
        <v>2674</v>
      </c>
      <c r="G1220" s="11">
        <v>110588</v>
      </c>
      <c r="H1220" s="11" t="s">
        <v>52</v>
      </c>
      <c r="K1220" s="11">
        <v>201040506</v>
      </c>
      <c r="L1220" s="11" t="s">
        <v>46</v>
      </c>
      <c r="M1220" s="11">
        <v>1658.1</v>
      </c>
      <c r="N1220" s="11"/>
      <c r="O1220" s="42">
        <v>1658.1</v>
      </c>
      <c r="P1220" s="43" t="s">
        <v>4480</v>
      </c>
      <c r="Q1220" s="11">
        <v>1370668.44</v>
      </c>
      <c r="R1220" s="11" t="s">
        <v>2675</v>
      </c>
      <c r="S1220" s="11" t="s">
        <v>40</v>
      </c>
      <c r="T1220" s="11">
        <v>0</v>
      </c>
    </row>
    <row r="1221" spans="1:22" x14ac:dyDescent="0.25">
      <c r="A1221" s="11">
        <v>101060401</v>
      </c>
      <c r="B1221" s="11" t="s">
        <v>34</v>
      </c>
      <c r="C1221" s="41">
        <v>44916</v>
      </c>
      <c r="D1221" s="41">
        <v>44916</v>
      </c>
      <c r="E1221" s="11" t="s">
        <v>42</v>
      </c>
      <c r="F1221" s="11" t="s">
        <v>2676</v>
      </c>
      <c r="G1221" s="11">
        <v>110589</v>
      </c>
      <c r="H1221" s="11" t="s">
        <v>1912</v>
      </c>
      <c r="J1221" s="11" t="s">
        <v>38</v>
      </c>
      <c r="K1221" s="11">
        <v>51010101</v>
      </c>
      <c r="L1221" s="11" t="s">
        <v>48</v>
      </c>
      <c r="M1221" s="11"/>
      <c r="N1221" s="11">
        <v>1832.87</v>
      </c>
      <c r="O1221" s="42">
        <v>-1832.87</v>
      </c>
      <c r="P1221" s="43" t="s">
        <v>4489</v>
      </c>
      <c r="Q1221" s="11">
        <v>1368835.57</v>
      </c>
      <c r="R1221" s="11" t="s">
        <v>2677</v>
      </c>
      <c r="S1221" s="11" t="s">
        <v>40</v>
      </c>
      <c r="T1221" s="11">
        <v>0</v>
      </c>
      <c r="V1221" s="11" t="s">
        <v>41</v>
      </c>
    </row>
    <row r="1222" spans="1:22" x14ac:dyDescent="0.25">
      <c r="A1222" s="11">
        <v>101060401</v>
      </c>
      <c r="B1222" s="11" t="s">
        <v>34</v>
      </c>
      <c r="C1222" s="41">
        <v>44916</v>
      </c>
      <c r="D1222" s="41">
        <v>44916</v>
      </c>
      <c r="E1222" s="11" t="s">
        <v>42</v>
      </c>
      <c r="F1222" s="11" t="s">
        <v>2678</v>
      </c>
      <c r="G1222" s="11">
        <v>110590</v>
      </c>
      <c r="H1222" s="11" t="s">
        <v>57</v>
      </c>
      <c r="K1222" s="11">
        <v>101060408</v>
      </c>
      <c r="L1222" s="11" t="s">
        <v>82</v>
      </c>
      <c r="M1222" s="11">
        <v>20078.560000000001</v>
      </c>
      <c r="N1222" s="11"/>
      <c r="O1222" s="42">
        <v>20078.560000000001</v>
      </c>
      <c r="P1222" s="43" t="s">
        <v>4481</v>
      </c>
      <c r="Q1222" s="11">
        <v>1388914.13</v>
      </c>
      <c r="R1222" s="11" t="s">
        <v>2679</v>
      </c>
      <c r="S1222" s="11" t="s">
        <v>40</v>
      </c>
      <c r="T1222" s="11">
        <v>0</v>
      </c>
    </row>
    <row r="1223" spans="1:22" x14ac:dyDescent="0.25">
      <c r="A1223" s="11">
        <v>101060401</v>
      </c>
      <c r="B1223" s="11" t="s">
        <v>34</v>
      </c>
      <c r="C1223" s="41">
        <v>44916</v>
      </c>
      <c r="D1223" s="41">
        <v>44916</v>
      </c>
      <c r="E1223" s="11" t="s">
        <v>42</v>
      </c>
      <c r="F1223" s="11" t="s">
        <v>2680</v>
      </c>
      <c r="G1223" s="11">
        <v>110591</v>
      </c>
      <c r="H1223" s="11" t="s">
        <v>57</v>
      </c>
      <c r="K1223" s="11">
        <v>101060402</v>
      </c>
      <c r="L1223" s="11" t="s">
        <v>44</v>
      </c>
      <c r="M1223" s="11"/>
      <c r="N1223" s="11">
        <v>20266.14</v>
      </c>
      <c r="O1223" s="42">
        <v>-20266.14</v>
      </c>
      <c r="P1223" s="43" t="s">
        <v>4481</v>
      </c>
      <c r="Q1223" s="11">
        <v>1368647.99</v>
      </c>
      <c r="R1223" s="11" t="s">
        <v>2681</v>
      </c>
      <c r="S1223" s="11" t="s">
        <v>40</v>
      </c>
      <c r="T1223" s="11">
        <v>0</v>
      </c>
    </row>
    <row r="1224" spans="1:22" x14ac:dyDescent="0.25">
      <c r="A1224" s="11">
        <v>101060401</v>
      </c>
      <c r="B1224" s="11" t="s">
        <v>34</v>
      </c>
      <c r="C1224" s="41">
        <v>44916</v>
      </c>
      <c r="D1224" s="41">
        <v>44916</v>
      </c>
      <c r="E1224" s="11" t="s">
        <v>42</v>
      </c>
      <c r="F1224" s="11" t="s">
        <v>2682</v>
      </c>
      <c r="G1224" s="11">
        <v>110592</v>
      </c>
      <c r="H1224" s="11" t="s">
        <v>43</v>
      </c>
      <c r="K1224" s="11">
        <v>101060402</v>
      </c>
      <c r="L1224" s="11" t="s">
        <v>44</v>
      </c>
      <c r="M1224" s="11">
        <v>20249.89</v>
      </c>
      <c r="N1224" s="11"/>
      <c r="O1224" s="42">
        <v>20249.89</v>
      </c>
      <c r="P1224" s="43" t="s">
        <v>4481</v>
      </c>
      <c r="Q1224" s="11">
        <v>1388897.88</v>
      </c>
      <c r="R1224" s="11" t="s">
        <v>2683</v>
      </c>
      <c r="S1224" s="11" t="s">
        <v>40</v>
      </c>
      <c r="T1224" s="11">
        <v>0</v>
      </c>
    </row>
    <row r="1225" spans="1:22" x14ac:dyDescent="0.25">
      <c r="A1225" s="11">
        <v>101060401</v>
      </c>
      <c r="B1225" s="11" t="s">
        <v>34</v>
      </c>
      <c r="C1225" s="41">
        <v>44917</v>
      </c>
      <c r="D1225" s="41">
        <v>44917</v>
      </c>
      <c r="E1225" s="11" t="s">
        <v>36</v>
      </c>
      <c r="F1225" s="11" t="s">
        <v>2684</v>
      </c>
      <c r="G1225" s="11">
        <v>110593</v>
      </c>
      <c r="H1225" s="11" t="s">
        <v>119</v>
      </c>
      <c r="K1225" s="11">
        <v>201040506</v>
      </c>
      <c r="L1225" s="11" t="s">
        <v>46</v>
      </c>
      <c r="M1225" s="11">
        <v>27</v>
      </c>
      <c r="N1225" s="11"/>
      <c r="O1225" s="42">
        <v>27</v>
      </c>
      <c r="P1225" s="43" t="s">
        <v>4480</v>
      </c>
      <c r="Q1225" s="11">
        <v>1388924.88</v>
      </c>
      <c r="R1225" s="11" t="s">
        <v>1403</v>
      </c>
      <c r="S1225" s="11" t="s">
        <v>40</v>
      </c>
      <c r="T1225" s="11">
        <v>0</v>
      </c>
    </row>
    <row r="1226" spans="1:22" x14ac:dyDescent="0.25">
      <c r="A1226" s="11">
        <v>101060401</v>
      </c>
      <c r="B1226" s="11" t="s">
        <v>34</v>
      </c>
      <c r="C1226" s="41">
        <v>44917</v>
      </c>
      <c r="D1226" s="41">
        <v>44917</v>
      </c>
      <c r="E1226" s="11" t="s">
        <v>42</v>
      </c>
      <c r="F1226" s="11" t="s">
        <v>2685</v>
      </c>
      <c r="G1226" s="11">
        <v>110594</v>
      </c>
      <c r="H1226" s="11" t="s">
        <v>114</v>
      </c>
      <c r="J1226" s="11" t="s">
        <v>38</v>
      </c>
      <c r="K1226" s="11">
        <v>51010101</v>
      </c>
      <c r="L1226" s="11" t="s">
        <v>48</v>
      </c>
      <c r="M1226" s="11"/>
      <c r="N1226" s="11">
        <v>27</v>
      </c>
      <c r="O1226" s="42">
        <v>-27</v>
      </c>
      <c r="P1226" s="43" t="s">
        <v>4489</v>
      </c>
      <c r="Q1226" s="11">
        <v>1388897.88</v>
      </c>
      <c r="R1226" s="11" t="s">
        <v>1405</v>
      </c>
      <c r="S1226" s="11" t="s">
        <v>40</v>
      </c>
      <c r="T1226" s="11">
        <v>0</v>
      </c>
      <c r="V1226" s="11" t="s">
        <v>41</v>
      </c>
    </row>
    <row r="1227" spans="1:22" x14ac:dyDescent="0.25">
      <c r="A1227" s="11">
        <v>101060401</v>
      </c>
      <c r="B1227" s="11" t="s">
        <v>34</v>
      </c>
      <c r="C1227" s="41">
        <v>44917</v>
      </c>
      <c r="D1227" s="41">
        <v>44917</v>
      </c>
      <c r="E1227" s="11" t="s">
        <v>42</v>
      </c>
      <c r="F1227" s="11" t="s">
        <v>2686</v>
      </c>
      <c r="G1227" s="11">
        <v>110605</v>
      </c>
      <c r="H1227" s="11" t="s">
        <v>57</v>
      </c>
      <c r="K1227" s="11">
        <v>101060408</v>
      </c>
      <c r="L1227" s="11" t="s">
        <v>82</v>
      </c>
      <c r="M1227" s="11">
        <v>14849.79</v>
      </c>
      <c r="N1227" s="11"/>
      <c r="O1227" s="42">
        <v>14849.79</v>
      </c>
      <c r="P1227" s="43" t="s">
        <v>4481</v>
      </c>
      <c r="Q1227" s="11">
        <v>1403747.67</v>
      </c>
      <c r="R1227" s="11" t="s">
        <v>2687</v>
      </c>
      <c r="S1227" s="11" t="s">
        <v>40</v>
      </c>
      <c r="T1227" s="11">
        <v>0</v>
      </c>
    </row>
    <row r="1228" spans="1:22" x14ac:dyDescent="0.25">
      <c r="A1228" s="11">
        <v>101060401</v>
      </c>
      <c r="B1228" s="11" t="s">
        <v>34</v>
      </c>
      <c r="C1228" s="41">
        <v>44917</v>
      </c>
      <c r="D1228" s="41">
        <v>44917</v>
      </c>
      <c r="E1228" s="11" t="s">
        <v>42</v>
      </c>
      <c r="F1228" s="11" t="s">
        <v>2688</v>
      </c>
      <c r="G1228" s="11">
        <v>110606</v>
      </c>
      <c r="H1228" s="11" t="s">
        <v>57</v>
      </c>
      <c r="K1228" s="11">
        <v>101060408</v>
      </c>
      <c r="L1228" s="11" t="s">
        <v>82</v>
      </c>
      <c r="M1228" s="11">
        <v>19700.330000000002</v>
      </c>
      <c r="N1228" s="11"/>
      <c r="O1228" s="42">
        <v>19700.330000000002</v>
      </c>
      <c r="P1228" s="43" t="s">
        <v>4481</v>
      </c>
      <c r="Q1228" s="11">
        <v>1423448</v>
      </c>
      <c r="R1228" s="11" t="s">
        <v>2689</v>
      </c>
      <c r="S1228" s="11" t="s">
        <v>40</v>
      </c>
      <c r="T1228" s="11">
        <v>0</v>
      </c>
    </row>
    <row r="1229" spans="1:22" x14ac:dyDescent="0.25">
      <c r="A1229" s="11">
        <v>101060401</v>
      </c>
      <c r="B1229" s="11" t="s">
        <v>34</v>
      </c>
      <c r="C1229" s="41">
        <v>44917</v>
      </c>
      <c r="D1229" s="41">
        <v>44917</v>
      </c>
      <c r="E1229" s="11" t="s">
        <v>42</v>
      </c>
      <c r="F1229" s="11" t="s">
        <v>2690</v>
      </c>
      <c r="G1229" s="11">
        <v>110607</v>
      </c>
      <c r="H1229" s="11" t="s">
        <v>57</v>
      </c>
      <c r="K1229" s="11">
        <v>101060402</v>
      </c>
      <c r="L1229" s="11" t="s">
        <v>44</v>
      </c>
      <c r="M1229" s="11"/>
      <c r="N1229" s="11">
        <v>34550.120000000003</v>
      </c>
      <c r="O1229" s="42">
        <v>-34550.120000000003</v>
      </c>
      <c r="P1229" s="43" t="s">
        <v>4481</v>
      </c>
      <c r="Q1229" s="11">
        <v>1388897.88</v>
      </c>
      <c r="R1229" s="11" t="s">
        <v>2691</v>
      </c>
      <c r="S1229" s="11" t="s">
        <v>40</v>
      </c>
      <c r="T1229" s="11">
        <v>0</v>
      </c>
    </row>
    <row r="1230" spans="1:22" x14ac:dyDescent="0.25">
      <c r="A1230" s="11">
        <v>101060401</v>
      </c>
      <c r="B1230" s="11" t="s">
        <v>34</v>
      </c>
      <c r="C1230" s="41">
        <v>44917</v>
      </c>
      <c r="D1230" s="41">
        <v>44917</v>
      </c>
      <c r="E1230" s="11" t="s">
        <v>42</v>
      </c>
      <c r="F1230" s="11" t="s">
        <v>2692</v>
      </c>
      <c r="G1230" s="11">
        <v>110608</v>
      </c>
      <c r="H1230" s="11" t="s">
        <v>43</v>
      </c>
      <c r="K1230" s="11">
        <v>101060402</v>
      </c>
      <c r="L1230" s="11" t="s">
        <v>44</v>
      </c>
      <c r="M1230" s="11">
        <v>34550.120000000003</v>
      </c>
      <c r="N1230" s="11"/>
      <c r="O1230" s="42">
        <v>34550.120000000003</v>
      </c>
      <c r="P1230" s="43" t="s">
        <v>4481</v>
      </c>
      <c r="Q1230" s="11">
        <v>1423448</v>
      </c>
      <c r="R1230" s="11" t="s">
        <v>2693</v>
      </c>
      <c r="S1230" s="11" t="s">
        <v>40</v>
      </c>
      <c r="T1230" s="11">
        <v>0</v>
      </c>
    </row>
    <row r="1231" spans="1:22" x14ac:dyDescent="0.25">
      <c r="A1231" s="11">
        <v>101060401</v>
      </c>
      <c r="B1231" s="11" t="s">
        <v>34</v>
      </c>
      <c r="C1231" s="41">
        <v>44917</v>
      </c>
      <c r="D1231" s="41">
        <v>44917</v>
      </c>
      <c r="E1231" s="11" t="s">
        <v>36</v>
      </c>
      <c r="F1231" s="11" t="s">
        <v>2694</v>
      </c>
      <c r="G1231" s="11">
        <v>110610</v>
      </c>
      <c r="H1231" s="11" t="s">
        <v>75</v>
      </c>
      <c r="J1231" s="11" t="s">
        <v>38</v>
      </c>
      <c r="K1231" s="11">
        <v>51010101</v>
      </c>
      <c r="L1231" s="11" t="s">
        <v>48</v>
      </c>
      <c r="M1231" s="11"/>
      <c r="N1231" s="11">
        <v>10995.77</v>
      </c>
      <c r="O1231" s="42">
        <v>-10995.77</v>
      </c>
      <c r="P1231" s="43" t="s">
        <v>4489</v>
      </c>
      <c r="Q1231" s="11">
        <v>1412452.23</v>
      </c>
      <c r="R1231" s="11" t="s">
        <v>2695</v>
      </c>
      <c r="S1231" s="11" t="s">
        <v>40</v>
      </c>
      <c r="T1231" s="11">
        <v>0</v>
      </c>
      <c r="V1231" s="11" t="s">
        <v>41</v>
      </c>
    </row>
    <row r="1232" spans="1:22" x14ac:dyDescent="0.25">
      <c r="A1232" s="11">
        <v>101060401</v>
      </c>
      <c r="B1232" s="11" t="s">
        <v>34</v>
      </c>
      <c r="C1232" s="41">
        <v>44917</v>
      </c>
      <c r="D1232" s="41">
        <v>44917</v>
      </c>
      <c r="E1232" s="11" t="s">
        <v>36</v>
      </c>
      <c r="F1232" s="11" t="s">
        <v>2696</v>
      </c>
      <c r="G1232" s="11">
        <v>110611</v>
      </c>
      <c r="H1232" s="11" t="s">
        <v>37</v>
      </c>
      <c r="J1232" s="11" t="s">
        <v>38</v>
      </c>
      <c r="K1232" s="11">
        <v>401030105</v>
      </c>
      <c r="L1232" s="11" t="s">
        <v>54</v>
      </c>
      <c r="M1232" s="26">
        <v>11020</v>
      </c>
      <c r="O1232" s="44">
        <v>11020</v>
      </c>
      <c r="P1232" s="43" t="s">
        <v>4494</v>
      </c>
      <c r="Q1232" s="11">
        <v>1423472.23</v>
      </c>
      <c r="R1232" s="11" t="s">
        <v>2697</v>
      </c>
      <c r="S1232" s="11" t="s">
        <v>40</v>
      </c>
      <c r="T1232" s="11">
        <v>0</v>
      </c>
      <c r="V1232" s="11" t="s">
        <v>41</v>
      </c>
    </row>
    <row r="1233" spans="1:22" x14ac:dyDescent="0.25">
      <c r="A1233" s="11">
        <v>101060401</v>
      </c>
      <c r="B1233" s="11" t="s">
        <v>34</v>
      </c>
      <c r="C1233" s="41">
        <v>44917</v>
      </c>
      <c r="D1233" s="41">
        <v>44917</v>
      </c>
      <c r="E1233" s="11" t="s">
        <v>42</v>
      </c>
      <c r="F1233" s="11" t="s">
        <v>2698</v>
      </c>
      <c r="G1233" s="11">
        <v>110618</v>
      </c>
      <c r="H1233" s="11" t="s">
        <v>57</v>
      </c>
      <c r="K1233" s="11">
        <v>101060402</v>
      </c>
      <c r="L1233" s="11" t="s">
        <v>44</v>
      </c>
      <c r="M1233" s="11"/>
      <c r="N1233" s="11">
        <v>9608.99</v>
      </c>
      <c r="O1233" s="42">
        <v>-9608.99</v>
      </c>
      <c r="P1233" s="43" t="s">
        <v>4481</v>
      </c>
      <c r="Q1233" s="11">
        <v>1413863.24</v>
      </c>
      <c r="R1233" s="11" t="s">
        <v>2699</v>
      </c>
      <c r="S1233" s="11" t="s">
        <v>40</v>
      </c>
      <c r="T1233" s="11">
        <v>0</v>
      </c>
    </row>
    <row r="1234" spans="1:22" x14ac:dyDescent="0.25">
      <c r="A1234" s="11">
        <v>101060401</v>
      </c>
      <c r="B1234" s="11" t="s">
        <v>34</v>
      </c>
      <c r="C1234" s="41">
        <v>44917</v>
      </c>
      <c r="D1234" s="41">
        <v>44917</v>
      </c>
      <c r="E1234" s="11" t="s">
        <v>42</v>
      </c>
      <c r="F1234" s="11" t="s">
        <v>2700</v>
      </c>
      <c r="G1234" s="11">
        <v>110625</v>
      </c>
      <c r="H1234" s="11" t="s">
        <v>74</v>
      </c>
      <c r="J1234" s="11" t="s">
        <v>38</v>
      </c>
      <c r="K1234" s="11">
        <v>51010101</v>
      </c>
      <c r="L1234" s="11" t="s">
        <v>48</v>
      </c>
      <c r="M1234" s="11"/>
      <c r="N1234" s="11">
        <v>75.17</v>
      </c>
      <c r="O1234" s="42">
        <v>-75.17</v>
      </c>
      <c r="P1234" s="43" t="s">
        <v>4489</v>
      </c>
      <c r="Q1234" s="11">
        <v>1413788.07</v>
      </c>
      <c r="R1234" s="11" t="s">
        <v>2701</v>
      </c>
      <c r="S1234" s="11" t="s">
        <v>40</v>
      </c>
      <c r="T1234" s="11">
        <v>0</v>
      </c>
      <c r="V1234" s="11" t="s">
        <v>41</v>
      </c>
    </row>
    <row r="1235" spans="1:22" x14ac:dyDescent="0.25">
      <c r="A1235" s="11">
        <v>101060401</v>
      </c>
      <c r="B1235" s="11" t="s">
        <v>34</v>
      </c>
      <c r="C1235" s="41">
        <v>44917</v>
      </c>
      <c r="D1235" s="41">
        <v>44917</v>
      </c>
      <c r="E1235" s="11" t="s">
        <v>42</v>
      </c>
      <c r="F1235" s="11" t="s">
        <v>2702</v>
      </c>
      <c r="G1235" s="11">
        <v>110627</v>
      </c>
      <c r="H1235" s="11" t="s">
        <v>105</v>
      </c>
      <c r="J1235" s="11" t="s">
        <v>38</v>
      </c>
      <c r="K1235" s="11">
        <v>51010101</v>
      </c>
      <c r="L1235" s="11" t="s">
        <v>48</v>
      </c>
      <c r="M1235" s="11"/>
      <c r="N1235" s="11">
        <v>30.61</v>
      </c>
      <c r="O1235" s="42">
        <v>-30.61</v>
      </c>
      <c r="P1235" s="43" t="s">
        <v>4489</v>
      </c>
      <c r="Q1235" s="11">
        <v>1413757.46</v>
      </c>
      <c r="R1235" s="11" t="s">
        <v>2703</v>
      </c>
      <c r="S1235" s="11" t="s">
        <v>40</v>
      </c>
      <c r="T1235" s="11">
        <v>0</v>
      </c>
      <c r="V1235" s="11" t="s">
        <v>41</v>
      </c>
    </row>
    <row r="1236" spans="1:22" x14ac:dyDescent="0.25">
      <c r="A1236" s="11">
        <v>101060401</v>
      </c>
      <c r="B1236" s="11" t="s">
        <v>34</v>
      </c>
      <c r="C1236" s="41">
        <v>44917</v>
      </c>
      <c r="D1236" s="41">
        <v>44917</v>
      </c>
      <c r="E1236" s="11" t="s">
        <v>42</v>
      </c>
      <c r="F1236" s="11" t="s">
        <v>2704</v>
      </c>
      <c r="G1236" s="11">
        <v>110628</v>
      </c>
      <c r="H1236" s="11" t="s">
        <v>105</v>
      </c>
      <c r="J1236" s="11" t="s">
        <v>38</v>
      </c>
      <c r="K1236" s="11">
        <v>51010101</v>
      </c>
      <c r="L1236" s="11" t="s">
        <v>48</v>
      </c>
      <c r="M1236" s="11"/>
      <c r="N1236" s="11">
        <v>1002.32</v>
      </c>
      <c r="O1236" s="42">
        <v>-1002.32</v>
      </c>
      <c r="P1236" s="43" t="s">
        <v>4489</v>
      </c>
      <c r="Q1236" s="11">
        <v>1412755.14</v>
      </c>
      <c r="R1236" s="11" t="s">
        <v>2705</v>
      </c>
      <c r="S1236" s="11" t="s">
        <v>40</v>
      </c>
      <c r="T1236" s="11">
        <v>0</v>
      </c>
      <c r="V1236" s="11" t="s">
        <v>41</v>
      </c>
    </row>
    <row r="1237" spans="1:22" x14ac:dyDescent="0.25">
      <c r="A1237" s="11">
        <v>101060401</v>
      </c>
      <c r="B1237" s="11" t="s">
        <v>34</v>
      </c>
      <c r="C1237" s="41">
        <v>44917</v>
      </c>
      <c r="D1237" s="41">
        <v>44917</v>
      </c>
      <c r="E1237" s="11" t="s">
        <v>42</v>
      </c>
      <c r="F1237" s="11" t="s">
        <v>2706</v>
      </c>
      <c r="G1237" s="11">
        <v>110629</v>
      </c>
      <c r="H1237" s="11" t="s">
        <v>99</v>
      </c>
      <c r="J1237" s="11" t="s">
        <v>38</v>
      </c>
      <c r="K1237" s="11">
        <v>51010101</v>
      </c>
      <c r="L1237" s="11" t="s">
        <v>48</v>
      </c>
      <c r="M1237" s="11"/>
      <c r="N1237" s="11">
        <v>3267.39</v>
      </c>
      <c r="O1237" s="42">
        <v>-3267.39</v>
      </c>
      <c r="P1237" s="43" t="s">
        <v>4489</v>
      </c>
      <c r="Q1237" s="11">
        <v>1409487.75</v>
      </c>
      <c r="R1237" s="11" t="s">
        <v>2707</v>
      </c>
      <c r="S1237" s="11" t="s">
        <v>40</v>
      </c>
      <c r="T1237" s="11">
        <v>0</v>
      </c>
      <c r="V1237" s="11" t="s">
        <v>41</v>
      </c>
    </row>
    <row r="1238" spans="1:22" x14ac:dyDescent="0.25">
      <c r="A1238" s="11">
        <v>101060401</v>
      </c>
      <c r="B1238" s="11" t="s">
        <v>34</v>
      </c>
      <c r="C1238" s="41">
        <v>44917</v>
      </c>
      <c r="D1238" s="41">
        <v>44917</v>
      </c>
      <c r="E1238" s="11" t="s">
        <v>36</v>
      </c>
      <c r="F1238" s="11" t="s">
        <v>2708</v>
      </c>
      <c r="G1238" s="11">
        <v>110631</v>
      </c>
      <c r="H1238" s="11" t="s">
        <v>52</v>
      </c>
      <c r="K1238" s="11">
        <v>201040506</v>
      </c>
      <c r="L1238" s="11" t="s">
        <v>46</v>
      </c>
      <c r="M1238" s="11">
        <v>844.52</v>
      </c>
      <c r="N1238" s="11"/>
      <c r="O1238" s="42">
        <v>844.52</v>
      </c>
      <c r="P1238" s="43" t="s">
        <v>4480</v>
      </c>
      <c r="Q1238" s="11">
        <v>1410332.27</v>
      </c>
      <c r="R1238" s="11" t="s">
        <v>2709</v>
      </c>
      <c r="S1238" s="11" t="s">
        <v>40</v>
      </c>
      <c r="T1238" s="11">
        <v>0</v>
      </c>
    </row>
    <row r="1239" spans="1:22" x14ac:dyDescent="0.25">
      <c r="A1239" s="11">
        <v>101060401</v>
      </c>
      <c r="B1239" s="11" t="s">
        <v>34</v>
      </c>
      <c r="C1239" s="41">
        <v>44917</v>
      </c>
      <c r="D1239" s="41">
        <v>44917</v>
      </c>
      <c r="E1239" s="11" t="s">
        <v>36</v>
      </c>
      <c r="F1239" s="11" t="s">
        <v>2710</v>
      </c>
      <c r="G1239" s="11">
        <v>110632</v>
      </c>
      <c r="H1239" s="11" t="s">
        <v>52</v>
      </c>
      <c r="K1239" s="11">
        <v>201040506</v>
      </c>
      <c r="L1239" s="11" t="s">
        <v>46</v>
      </c>
      <c r="M1239" s="11">
        <v>695.71</v>
      </c>
      <c r="N1239" s="11"/>
      <c r="O1239" s="42">
        <v>695.71</v>
      </c>
      <c r="P1239" s="43" t="s">
        <v>4480</v>
      </c>
      <c r="Q1239" s="11">
        <v>1411027.98</v>
      </c>
      <c r="R1239" s="11" t="s">
        <v>2711</v>
      </c>
      <c r="S1239" s="11" t="s">
        <v>40</v>
      </c>
      <c r="T1239" s="11">
        <v>0</v>
      </c>
    </row>
    <row r="1240" spans="1:22" x14ac:dyDescent="0.25">
      <c r="A1240" s="11">
        <v>101060401</v>
      </c>
      <c r="B1240" s="11" t="s">
        <v>34</v>
      </c>
      <c r="C1240" s="41">
        <v>44917</v>
      </c>
      <c r="D1240" s="41">
        <v>44917</v>
      </c>
      <c r="E1240" s="11" t="s">
        <v>42</v>
      </c>
      <c r="F1240" s="11" t="s">
        <v>2712</v>
      </c>
      <c r="G1240" s="11">
        <v>110633</v>
      </c>
      <c r="H1240" s="11" t="s">
        <v>47</v>
      </c>
      <c r="J1240" s="11" t="s">
        <v>38</v>
      </c>
      <c r="K1240" s="11">
        <v>51010101</v>
      </c>
      <c r="L1240" s="11" t="s">
        <v>48</v>
      </c>
      <c r="M1240" s="11"/>
      <c r="N1240" s="11">
        <v>845.24</v>
      </c>
      <c r="O1240" s="42">
        <v>-845.24</v>
      </c>
      <c r="P1240" s="43" t="s">
        <v>4489</v>
      </c>
      <c r="Q1240" s="11">
        <v>1410182.74</v>
      </c>
      <c r="R1240" s="11" t="s">
        <v>2713</v>
      </c>
      <c r="S1240" s="11" t="s">
        <v>40</v>
      </c>
      <c r="T1240" s="11">
        <v>0</v>
      </c>
      <c r="V1240" s="11" t="s">
        <v>41</v>
      </c>
    </row>
    <row r="1241" spans="1:22" x14ac:dyDescent="0.25">
      <c r="A1241" s="11">
        <v>101060401</v>
      </c>
      <c r="B1241" s="11" t="s">
        <v>34</v>
      </c>
      <c r="C1241" s="41">
        <v>44917</v>
      </c>
      <c r="D1241" s="41">
        <v>44917</v>
      </c>
      <c r="E1241" s="11" t="s">
        <v>42</v>
      </c>
      <c r="F1241" s="11" t="s">
        <v>2714</v>
      </c>
      <c r="G1241" s="11">
        <v>110635</v>
      </c>
      <c r="H1241" s="11" t="s">
        <v>47</v>
      </c>
      <c r="J1241" s="11" t="s">
        <v>38</v>
      </c>
      <c r="K1241" s="11">
        <v>51010101</v>
      </c>
      <c r="L1241" s="11" t="s">
        <v>48</v>
      </c>
      <c r="M1241" s="11"/>
      <c r="N1241" s="11">
        <v>727.11</v>
      </c>
      <c r="O1241" s="42">
        <v>-727.11</v>
      </c>
      <c r="P1241" s="43" t="s">
        <v>4489</v>
      </c>
      <c r="Q1241" s="11">
        <v>1409455.63</v>
      </c>
      <c r="R1241" s="11" t="s">
        <v>2715</v>
      </c>
      <c r="S1241" s="11" t="s">
        <v>40</v>
      </c>
      <c r="T1241" s="11">
        <v>0</v>
      </c>
      <c r="V1241" s="11" t="s">
        <v>41</v>
      </c>
    </row>
    <row r="1242" spans="1:22" x14ac:dyDescent="0.25">
      <c r="A1242" s="11">
        <v>101060401</v>
      </c>
      <c r="B1242" s="11" t="s">
        <v>34</v>
      </c>
      <c r="C1242" s="41">
        <v>44917</v>
      </c>
      <c r="D1242" s="41">
        <v>44917</v>
      </c>
      <c r="E1242" s="11" t="s">
        <v>42</v>
      </c>
      <c r="F1242" s="11" t="s">
        <v>2716</v>
      </c>
      <c r="G1242" s="11">
        <v>110638</v>
      </c>
      <c r="H1242" s="11" t="s">
        <v>47</v>
      </c>
      <c r="J1242" s="11" t="s">
        <v>38</v>
      </c>
      <c r="K1242" s="11">
        <v>51010101</v>
      </c>
      <c r="L1242" s="11" t="s">
        <v>48</v>
      </c>
      <c r="M1242" s="11"/>
      <c r="N1242" s="11">
        <v>177.78</v>
      </c>
      <c r="O1242" s="42">
        <v>-177.78</v>
      </c>
      <c r="P1242" s="43" t="s">
        <v>4489</v>
      </c>
      <c r="Q1242" s="11">
        <v>1409277.85</v>
      </c>
      <c r="R1242" s="11" t="s">
        <v>2717</v>
      </c>
      <c r="S1242" s="11" t="s">
        <v>40</v>
      </c>
      <c r="T1242" s="11">
        <v>0</v>
      </c>
      <c r="V1242" s="11" t="s">
        <v>41</v>
      </c>
    </row>
    <row r="1243" spans="1:22" x14ac:dyDescent="0.25">
      <c r="A1243" s="11">
        <v>101060401</v>
      </c>
      <c r="B1243" s="11" t="s">
        <v>34</v>
      </c>
      <c r="C1243" s="41">
        <v>44917</v>
      </c>
      <c r="D1243" s="41">
        <v>44917</v>
      </c>
      <c r="E1243" s="11" t="s">
        <v>36</v>
      </c>
      <c r="F1243" s="11" t="s">
        <v>2718</v>
      </c>
      <c r="G1243" s="11">
        <v>110649</v>
      </c>
      <c r="H1243" s="11" t="s">
        <v>92</v>
      </c>
      <c r="K1243" s="11">
        <v>201040506</v>
      </c>
      <c r="L1243" s="11" t="s">
        <v>46</v>
      </c>
      <c r="M1243" s="11">
        <v>472</v>
      </c>
      <c r="N1243" s="11"/>
      <c r="O1243" s="42">
        <v>472</v>
      </c>
      <c r="P1243" s="43" t="s">
        <v>4480</v>
      </c>
      <c r="Q1243" s="11">
        <v>1409749.85</v>
      </c>
      <c r="R1243" s="11" t="s">
        <v>2719</v>
      </c>
      <c r="S1243" s="11" t="s">
        <v>40</v>
      </c>
      <c r="T1243" s="11">
        <v>0</v>
      </c>
    </row>
    <row r="1244" spans="1:22" x14ac:dyDescent="0.25">
      <c r="A1244" s="11">
        <v>101060401</v>
      </c>
      <c r="B1244" s="11" t="s">
        <v>34</v>
      </c>
      <c r="C1244" s="41">
        <v>44917</v>
      </c>
      <c r="D1244" s="41">
        <v>44917</v>
      </c>
      <c r="E1244" s="11" t="s">
        <v>36</v>
      </c>
      <c r="F1244" s="11" t="s">
        <v>2720</v>
      </c>
      <c r="G1244" s="11">
        <v>110651</v>
      </c>
      <c r="H1244" s="11" t="s">
        <v>2312</v>
      </c>
      <c r="K1244" s="11">
        <v>201040506</v>
      </c>
      <c r="L1244" s="11" t="s">
        <v>46</v>
      </c>
      <c r="M1244" s="11">
        <v>860</v>
      </c>
      <c r="N1244" s="11"/>
      <c r="O1244" s="42">
        <v>860</v>
      </c>
      <c r="P1244" s="43" t="s">
        <v>4480</v>
      </c>
      <c r="Q1244" s="11">
        <v>1410609.85</v>
      </c>
      <c r="R1244" s="11" t="s">
        <v>2721</v>
      </c>
      <c r="S1244" s="11" t="s">
        <v>40</v>
      </c>
      <c r="T1244" s="11">
        <v>0</v>
      </c>
    </row>
    <row r="1245" spans="1:22" x14ac:dyDescent="0.25">
      <c r="A1245" s="11">
        <v>101060401</v>
      </c>
      <c r="B1245" s="11" t="s">
        <v>34</v>
      </c>
      <c r="C1245" s="41">
        <v>44917</v>
      </c>
      <c r="D1245" s="41">
        <v>44917</v>
      </c>
      <c r="E1245" s="11" t="s">
        <v>42</v>
      </c>
      <c r="F1245" s="11" t="s">
        <v>2722</v>
      </c>
      <c r="G1245" s="11">
        <v>110652</v>
      </c>
      <c r="H1245" s="11" t="s">
        <v>47</v>
      </c>
      <c r="J1245" s="11" t="s">
        <v>38</v>
      </c>
      <c r="K1245" s="11">
        <v>51010101</v>
      </c>
      <c r="L1245" s="11" t="s">
        <v>48</v>
      </c>
      <c r="M1245" s="11"/>
      <c r="N1245" s="11">
        <v>860</v>
      </c>
      <c r="O1245" s="42">
        <v>-860</v>
      </c>
      <c r="P1245" s="43" t="s">
        <v>4489</v>
      </c>
      <c r="Q1245" s="11">
        <v>1409749.85</v>
      </c>
      <c r="R1245" s="11" t="s">
        <v>2723</v>
      </c>
      <c r="S1245" s="11" t="s">
        <v>40</v>
      </c>
      <c r="T1245" s="11">
        <v>0</v>
      </c>
      <c r="V1245" s="11" t="s">
        <v>41</v>
      </c>
    </row>
    <row r="1246" spans="1:22" x14ac:dyDescent="0.25">
      <c r="A1246" s="11">
        <v>101060401</v>
      </c>
      <c r="B1246" s="11" t="s">
        <v>34</v>
      </c>
      <c r="C1246" s="41">
        <v>44917</v>
      </c>
      <c r="D1246" s="41">
        <v>44917</v>
      </c>
      <c r="E1246" s="11" t="s">
        <v>42</v>
      </c>
      <c r="F1246" s="11" t="s">
        <v>2724</v>
      </c>
      <c r="G1246" s="11">
        <v>110653</v>
      </c>
      <c r="H1246" s="11" t="s">
        <v>47</v>
      </c>
      <c r="J1246" s="11" t="s">
        <v>38</v>
      </c>
      <c r="K1246" s="11">
        <v>51010101</v>
      </c>
      <c r="L1246" s="11" t="s">
        <v>48</v>
      </c>
      <c r="M1246" s="11"/>
      <c r="N1246" s="11">
        <v>472</v>
      </c>
      <c r="O1246" s="42">
        <v>-472</v>
      </c>
      <c r="P1246" s="43" t="s">
        <v>4489</v>
      </c>
      <c r="Q1246" s="11">
        <v>1409277.85</v>
      </c>
      <c r="R1246" s="11" t="s">
        <v>2725</v>
      </c>
      <c r="S1246" s="11" t="s">
        <v>40</v>
      </c>
      <c r="T1246" s="11">
        <v>0</v>
      </c>
      <c r="V1246" s="11" t="s">
        <v>41</v>
      </c>
    </row>
    <row r="1247" spans="1:22" x14ac:dyDescent="0.25">
      <c r="A1247" s="11">
        <v>101060401</v>
      </c>
      <c r="B1247" s="11" t="s">
        <v>34</v>
      </c>
      <c r="C1247" s="41">
        <v>44917</v>
      </c>
      <c r="D1247" s="41">
        <v>44917</v>
      </c>
      <c r="E1247" s="11" t="s">
        <v>42</v>
      </c>
      <c r="F1247" s="11" t="s">
        <v>2726</v>
      </c>
      <c r="G1247" s="11">
        <v>110658</v>
      </c>
      <c r="H1247" s="11" t="s">
        <v>123</v>
      </c>
      <c r="J1247" s="11" t="s">
        <v>38</v>
      </c>
      <c r="K1247" s="11">
        <v>51010101</v>
      </c>
      <c r="L1247" s="11" t="s">
        <v>48</v>
      </c>
      <c r="M1247" s="11"/>
      <c r="N1247" s="11">
        <v>226.71</v>
      </c>
      <c r="O1247" s="42">
        <v>-226.71</v>
      </c>
      <c r="P1247" s="43" t="s">
        <v>4489</v>
      </c>
      <c r="Q1247" s="11">
        <v>1409051.14</v>
      </c>
      <c r="R1247" s="11" t="s">
        <v>1060</v>
      </c>
      <c r="S1247" s="11" t="s">
        <v>40</v>
      </c>
      <c r="T1247" s="11">
        <v>0</v>
      </c>
      <c r="V1247" s="11" t="s">
        <v>41</v>
      </c>
    </row>
    <row r="1248" spans="1:22" x14ac:dyDescent="0.25">
      <c r="A1248" s="11">
        <v>101060401</v>
      </c>
      <c r="B1248" s="11" t="s">
        <v>34</v>
      </c>
      <c r="C1248" s="41">
        <v>44917</v>
      </c>
      <c r="D1248" s="41">
        <v>44917</v>
      </c>
      <c r="E1248" s="11" t="s">
        <v>36</v>
      </c>
      <c r="F1248" s="11" t="s">
        <v>2727</v>
      </c>
      <c r="G1248" s="11">
        <v>110660</v>
      </c>
      <c r="H1248" s="11" t="s">
        <v>119</v>
      </c>
      <c r="K1248" s="11">
        <v>201040506</v>
      </c>
      <c r="L1248" s="11" t="s">
        <v>46</v>
      </c>
      <c r="M1248" s="11">
        <v>3100</v>
      </c>
      <c r="N1248" s="11"/>
      <c r="O1248" s="42">
        <v>3100</v>
      </c>
      <c r="P1248" s="43" t="s">
        <v>4480</v>
      </c>
      <c r="Q1248" s="11">
        <v>1412151.14</v>
      </c>
      <c r="R1248" s="11" t="s">
        <v>2728</v>
      </c>
      <c r="S1248" s="11" t="s">
        <v>40</v>
      </c>
      <c r="T1248" s="11">
        <v>0</v>
      </c>
    </row>
    <row r="1249" spans="1:22" x14ac:dyDescent="0.25">
      <c r="A1249" s="11">
        <v>101060401</v>
      </c>
      <c r="B1249" s="11" t="s">
        <v>34</v>
      </c>
      <c r="C1249" s="41">
        <v>44917</v>
      </c>
      <c r="D1249" s="41">
        <v>44917</v>
      </c>
      <c r="E1249" s="11" t="s">
        <v>42</v>
      </c>
      <c r="F1249" s="11" t="s">
        <v>2729</v>
      </c>
      <c r="G1249" s="11">
        <v>110661</v>
      </c>
      <c r="H1249" s="11" t="s">
        <v>47</v>
      </c>
      <c r="J1249" s="11" t="s">
        <v>38</v>
      </c>
      <c r="K1249" s="11">
        <v>51010101</v>
      </c>
      <c r="L1249" s="11" t="s">
        <v>48</v>
      </c>
      <c r="M1249" s="11"/>
      <c r="N1249" s="11">
        <v>3100</v>
      </c>
      <c r="O1249" s="42">
        <v>-3100</v>
      </c>
      <c r="P1249" s="43" t="s">
        <v>4489</v>
      </c>
      <c r="Q1249" s="11">
        <v>1409051.14</v>
      </c>
      <c r="R1249" s="11" t="s">
        <v>2730</v>
      </c>
      <c r="S1249" s="11" t="s">
        <v>40</v>
      </c>
      <c r="T1249" s="11">
        <v>0</v>
      </c>
      <c r="V1249" s="11" t="s">
        <v>41</v>
      </c>
    </row>
    <row r="1250" spans="1:22" x14ac:dyDescent="0.25">
      <c r="A1250" s="11">
        <v>101060401</v>
      </c>
      <c r="B1250" s="11" t="s">
        <v>34</v>
      </c>
      <c r="C1250" s="41">
        <v>44917</v>
      </c>
      <c r="D1250" s="41">
        <v>44917</v>
      </c>
      <c r="E1250" s="11" t="s">
        <v>36</v>
      </c>
      <c r="F1250" s="11" t="s">
        <v>2731</v>
      </c>
      <c r="G1250" s="11">
        <v>110666</v>
      </c>
      <c r="H1250" s="11" t="s">
        <v>85</v>
      </c>
      <c r="K1250" s="11">
        <v>201040506</v>
      </c>
      <c r="L1250" s="11" t="s">
        <v>46</v>
      </c>
      <c r="M1250" s="11">
        <v>216</v>
      </c>
      <c r="N1250" s="11"/>
      <c r="O1250" s="42">
        <v>216</v>
      </c>
      <c r="P1250" s="43" t="s">
        <v>4480</v>
      </c>
      <c r="Q1250" s="11">
        <v>1409267.14</v>
      </c>
      <c r="R1250" s="11" t="s">
        <v>2732</v>
      </c>
      <c r="S1250" s="11" t="s">
        <v>40</v>
      </c>
      <c r="T1250" s="11">
        <v>0</v>
      </c>
    </row>
    <row r="1251" spans="1:22" x14ac:dyDescent="0.25">
      <c r="A1251" s="11">
        <v>101060401</v>
      </c>
      <c r="B1251" s="11" t="s">
        <v>34</v>
      </c>
      <c r="C1251" s="41">
        <v>44917</v>
      </c>
      <c r="D1251" s="41">
        <v>44917</v>
      </c>
      <c r="E1251" s="11" t="s">
        <v>42</v>
      </c>
      <c r="F1251" s="11" t="s">
        <v>2733</v>
      </c>
      <c r="G1251" s="11">
        <v>110667</v>
      </c>
      <c r="H1251" s="11" t="s">
        <v>158</v>
      </c>
      <c r="J1251" s="11" t="s">
        <v>38</v>
      </c>
      <c r="K1251" s="11">
        <v>51010101</v>
      </c>
      <c r="L1251" s="11" t="s">
        <v>48</v>
      </c>
      <c r="M1251" s="11"/>
      <c r="N1251" s="11">
        <v>216</v>
      </c>
      <c r="O1251" s="42">
        <v>-216</v>
      </c>
      <c r="P1251" s="43" t="s">
        <v>4489</v>
      </c>
      <c r="Q1251" s="11">
        <v>1409051.14</v>
      </c>
      <c r="R1251" s="11" t="s">
        <v>2734</v>
      </c>
      <c r="S1251" s="11" t="s">
        <v>40</v>
      </c>
      <c r="T1251" s="11">
        <v>0</v>
      </c>
      <c r="V1251" s="11" t="s">
        <v>41</v>
      </c>
    </row>
    <row r="1252" spans="1:22" x14ac:dyDescent="0.25">
      <c r="A1252" s="11">
        <v>101060401</v>
      </c>
      <c r="B1252" s="11" t="s">
        <v>34</v>
      </c>
      <c r="C1252" s="41">
        <v>44918</v>
      </c>
      <c r="D1252" s="41">
        <v>44918</v>
      </c>
      <c r="E1252" s="11" t="s">
        <v>42</v>
      </c>
      <c r="F1252" s="11" t="s">
        <v>2735</v>
      </c>
      <c r="G1252" s="11">
        <v>110668</v>
      </c>
      <c r="H1252" s="11" t="s">
        <v>74</v>
      </c>
      <c r="J1252" s="11" t="s">
        <v>38</v>
      </c>
      <c r="K1252" s="11">
        <v>51010101</v>
      </c>
      <c r="L1252" s="11" t="s">
        <v>48</v>
      </c>
      <c r="M1252" s="11"/>
      <c r="N1252" s="11">
        <v>14.2</v>
      </c>
      <c r="O1252" s="42">
        <v>-14.2</v>
      </c>
      <c r="P1252" s="43" t="s">
        <v>4489</v>
      </c>
      <c r="Q1252" s="11">
        <v>1409036.94</v>
      </c>
      <c r="R1252" s="11" t="s">
        <v>113</v>
      </c>
      <c r="S1252" s="11" t="s">
        <v>40</v>
      </c>
      <c r="T1252" s="11">
        <v>0</v>
      </c>
      <c r="V1252" s="11" t="s">
        <v>41</v>
      </c>
    </row>
    <row r="1253" spans="1:22" x14ac:dyDescent="0.25">
      <c r="A1253" s="11">
        <v>101060401</v>
      </c>
      <c r="B1253" s="11" t="s">
        <v>34</v>
      </c>
      <c r="C1253" s="41">
        <v>44918</v>
      </c>
      <c r="D1253" s="41">
        <v>44918</v>
      </c>
      <c r="E1253" s="11" t="s">
        <v>42</v>
      </c>
      <c r="F1253" s="11" t="s">
        <v>2736</v>
      </c>
      <c r="G1253" s="11">
        <v>110675</v>
      </c>
      <c r="H1253" s="11" t="s">
        <v>346</v>
      </c>
      <c r="J1253" s="11" t="s">
        <v>38</v>
      </c>
      <c r="K1253" s="11">
        <v>51010101</v>
      </c>
      <c r="L1253" s="11" t="s">
        <v>48</v>
      </c>
      <c r="M1253" s="11"/>
      <c r="N1253" s="11">
        <v>303.31</v>
      </c>
      <c r="O1253" s="42">
        <v>-303.31</v>
      </c>
      <c r="P1253" s="43" t="s">
        <v>4489</v>
      </c>
      <c r="Q1253" s="11">
        <v>1408733.63</v>
      </c>
      <c r="R1253" s="11" t="s">
        <v>2737</v>
      </c>
      <c r="S1253" s="11" t="s">
        <v>40</v>
      </c>
      <c r="T1253" s="11">
        <v>0</v>
      </c>
      <c r="V1253" s="11" t="s">
        <v>41</v>
      </c>
    </row>
    <row r="1254" spans="1:22" x14ac:dyDescent="0.25">
      <c r="A1254" s="11">
        <v>101060401</v>
      </c>
      <c r="B1254" s="11" t="s">
        <v>34</v>
      </c>
      <c r="C1254" s="41">
        <v>44922</v>
      </c>
      <c r="D1254" s="41">
        <v>44922</v>
      </c>
      <c r="E1254" s="11" t="s">
        <v>42</v>
      </c>
      <c r="F1254" s="11" t="s">
        <v>2738</v>
      </c>
      <c r="G1254" s="11">
        <v>110685</v>
      </c>
      <c r="H1254" s="11" t="s">
        <v>158</v>
      </c>
      <c r="J1254" s="11" t="s">
        <v>38</v>
      </c>
      <c r="K1254" s="11">
        <v>51010101</v>
      </c>
      <c r="L1254" s="11" t="s">
        <v>48</v>
      </c>
      <c r="M1254" s="11"/>
      <c r="N1254" s="11">
        <v>27.77</v>
      </c>
      <c r="O1254" s="42">
        <v>-27.77</v>
      </c>
      <c r="P1254" s="43" t="s">
        <v>4489</v>
      </c>
      <c r="Q1254" s="11">
        <v>1408705.86</v>
      </c>
      <c r="R1254" s="11" t="s">
        <v>2739</v>
      </c>
      <c r="S1254" s="11" t="s">
        <v>40</v>
      </c>
      <c r="T1254" s="11">
        <v>0</v>
      </c>
      <c r="V1254" s="11" t="s">
        <v>41</v>
      </c>
    </row>
    <row r="1255" spans="1:22" x14ac:dyDescent="0.25">
      <c r="A1255" s="11">
        <v>101060401</v>
      </c>
      <c r="B1255" s="11" t="s">
        <v>34</v>
      </c>
      <c r="C1255" s="41">
        <v>44922</v>
      </c>
      <c r="D1255" s="41">
        <v>44922</v>
      </c>
      <c r="E1255" s="11" t="s">
        <v>42</v>
      </c>
      <c r="F1255" s="11" t="s">
        <v>2740</v>
      </c>
      <c r="G1255" s="11">
        <v>110728</v>
      </c>
      <c r="H1255" s="11" t="s">
        <v>2741</v>
      </c>
      <c r="J1255" s="11" t="s">
        <v>38</v>
      </c>
      <c r="K1255" s="11">
        <v>51010101</v>
      </c>
      <c r="L1255" s="11" t="s">
        <v>48</v>
      </c>
      <c r="M1255" s="11"/>
      <c r="N1255" s="11">
        <v>62.79</v>
      </c>
      <c r="O1255" s="42">
        <v>-62.79</v>
      </c>
      <c r="P1255" s="43" t="s">
        <v>4489</v>
      </c>
      <c r="Q1255" s="11">
        <v>1408643.07</v>
      </c>
      <c r="R1255" s="11" t="s">
        <v>2742</v>
      </c>
      <c r="S1255" s="11" t="s">
        <v>40</v>
      </c>
      <c r="T1255" s="11">
        <v>0</v>
      </c>
      <c r="V1255" s="11" t="s">
        <v>41</v>
      </c>
    </row>
    <row r="1256" spans="1:22" x14ac:dyDescent="0.25">
      <c r="A1256" s="11">
        <v>101060401</v>
      </c>
      <c r="B1256" s="11" t="s">
        <v>34</v>
      </c>
      <c r="C1256" s="41">
        <v>44922</v>
      </c>
      <c r="D1256" s="41">
        <v>44922</v>
      </c>
      <c r="E1256" s="11" t="s">
        <v>42</v>
      </c>
      <c r="F1256" s="11" t="s">
        <v>2743</v>
      </c>
      <c r="G1256" s="11">
        <v>110734</v>
      </c>
      <c r="H1256" s="11" t="s">
        <v>57</v>
      </c>
      <c r="K1256" s="11">
        <v>101060408</v>
      </c>
      <c r="L1256" s="11" t="s">
        <v>82</v>
      </c>
      <c r="M1256" s="11">
        <v>19901.849999999999</v>
      </c>
      <c r="N1256" s="11"/>
      <c r="O1256" s="42">
        <v>19901.849999999999</v>
      </c>
      <c r="P1256" s="43" t="s">
        <v>4481</v>
      </c>
      <c r="Q1256" s="11">
        <v>1428544.92</v>
      </c>
      <c r="R1256" s="11" t="s">
        <v>2744</v>
      </c>
      <c r="S1256" s="11" t="s">
        <v>40</v>
      </c>
      <c r="T1256" s="11">
        <v>0</v>
      </c>
    </row>
    <row r="1257" spans="1:22" x14ac:dyDescent="0.25">
      <c r="A1257" s="11">
        <v>101060401</v>
      </c>
      <c r="B1257" s="11" t="s">
        <v>34</v>
      </c>
      <c r="C1257" s="41">
        <v>44922</v>
      </c>
      <c r="D1257" s="41">
        <v>44922</v>
      </c>
      <c r="E1257" s="11" t="s">
        <v>42</v>
      </c>
      <c r="F1257" s="11" t="s">
        <v>2745</v>
      </c>
      <c r="G1257" s="11">
        <v>110736</v>
      </c>
      <c r="H1257" s="11" t="s">
        <v>57</v>
      </c>
      <c r="K1257" s="11">
        <v>101060402</v>
      </c>
      <c r="L1257" s="11" t="s">
        <v>44</v>
      </c>
      <c r="M1257" s="11"/>
      <c r="N1257" s="11">
        <v>31344.080000000002</v>
      </c>
      <c r="O1257" s="42">
        <v>-31344.080000000002</v>
      </c>
      <c r="P1257" s="43" t="s">
        <v>4481</v>
      </c>
      <c r="Q1257" s="11">
        <v>1397200.84</v>
      </c>
      <c r="R1257" s="11" t="s">
        <v>2746</v>
      </c>
      <c r="S1257" s="11" t="s">
        <v>40</v>
      </c>
      <c r="T1257" s="11">
        <v>0</v>
      </c>
    </row>
    <row r="1258" spans="1:22" x14ac:dyDescent="0.25">
      <c r="A1258" s="11">
        <v>101060401</v>
      </c>
      <c r="B1258" s="11" t="s">
        <v>34</v>
      </c>
      <c r="C1258" s="41">
        <v>44922</v>
      </c>
      <c r="D1258" s="41">
        <v>44922</v>
      </c>
      <c r="E1258" s="11" t="s">
        <v>42</v>
      </c>
      <c r="F1258" s="11" t="s">
        <v>2747</v>
      </c>
      <c r="G1258" s="11">
        <v>110737</v>
      </c>
      <c r="H1258" s="11" t="s">
        <v>43</v>
      </c>
      <c r="K1258" s="11">
        <v>101060402</v>
      </c>
      <c r="L1258" s="11" t="s">
        <v>44</v>
      </c>
      <c r="M1258" s="11">
        <v>31344.080000000002</v>
      </c>
      <c r="N1258" s="11"/>
      <c r="O1258" s="42">
        <v>31344.080000000002</v>
      </c>
      <c r="P1258" s="43" t="s">
        <v>4481</v>
      </c>
      <c r="Q1258" s="11">
        <v>1428544.92</v>
      </c>
      <c r="R1258" s="11" t="s">
        <v>2748</v>
      </c>
      <c r="S1258" s="11" t="s">
        <v>40</v>
      </c>
      <c r="T1258" s="11">
        <v>0</v>
      </c>
    </row>
    <row r="1259" spans="1:22" x14ac:dyDescent="0.25">
      <c r="A1259" s="11">
        <v>101060401</v>
      </c>
      <c r="B1259" s="11" t="s">
        <v>34</v>
      </c>
      <c r="C1259" s="41">
        <v>44922</v>
      </c>
      <c r="D1259" s="41">
        <v>44922</v>
      </c>
      <c r="E1259" s="11" t="s">
        <v>36</v>
      </c>
      <c r="F1259" s="11" t="s">
        <v>2749</v>
      </c>
      <c r="G1259" s="11">
        <v>110757</v>
      </c>
      <c r="H1259" s="11" t="s">
        <v>59</v>
      </c>
      <c r="K1259" s="11">
        <v>201040506</v>
      </c>
      <c r="L1259" s="11" t="s">
        <v>46</v>
      </c>
      <c r="M1259" s="11">
        <v>16240</v>
      </c>
      <c r="N1259" s="11"/>
      <c r="O1259" s="42">
        <v>16240</v>
      </c>
      <c r="P1259" s="43" t="s">
        <v>4480</v>
      </c>
      <c r="Q1259" s="11">
        <v>1444784.92</v>
      </c>
      <c r="R1259" s="11" t="s">
        <v>2750</v>
      </c>
      <c r="S1259" s="11" t="s">
        <v>40</v>
      </c>
      <c r="T1259" s="11">
        <v>0</v>
      </c>
    </row>
    <row r="1260" spans="1:22" x14ac:dyDescent="0.25">
      <c r="A1260" s="11">
        <v>101060401</v>
      </c>
      <c r="B1260" s="11" t="s">
        <v>34</v>
      </c>
      <c r="C1260" s="41">
        <v>44922</v>
      </c>
      <c r="D1260" s="41">
        <v>44922</v>
      </c>
      <c r="E1260" s="11" t="s">
        <v>36</v>
      </c>
      <c r="F1260" s="11" t="s">
        <v>2751</v>
      </c>
      <c r="G1260" s="11">
        <v>110760</v>
      </c>
      <c r="H1260" s="11" t="s">
        <v>45</v>
      </c>
      <c r="K1260" s="11">
        <v>201040506</v>
      </c>
      <c r="L1260" s="11" t="s">
        <v>46</v>
      </c>
      <c r="M1260" s="11">
        <v>357.72</v>
      </c>
      <c r="N1260" s="11"/>
      <c r="O1260" s="42">
        <v>357.72</v>
      </c>
      <c r="P1260" s="43" t="s">
        <v>4480</v>
      </c>
      <c r="Q1260" s="11">
        <v>1445142.64</v>
      </c>
      <c r="R1260" s="11" t="s">
        <v>2752</v>
      </c>
      <c r="S1260" s="11" t="s">
        <v>40</v>
      </c>
      <c r="T1260" s="11">
        <v>0</v>
      </c>
    </row>
    <row r="1261" spans="1:22" x14ac:dyDescent="0.25">
      <c r="A1261" s="11">
        <v>101060401</v>
      </c>
      <c r="B1261" s="11" t="s">
        <v>34</v>
      </c>
      <c r="C1261" s="41">
        <v>44922</v>
      </c>
      <c r="D1261" s="41">
        <v>44922</v>
      </c>
      <c r="E1261" s="11" t="s">
        <v>42</v>
      </c>
      <c r="F1261" s="11" t="s">
        <v>2753</v>
      </c>
      <c r="G1261" s="11">
        <v>110761</v>
      </c>
      <c r="H1261" s="11" t="s">
        <v>47</v>
      </c>
      <c r="J1261" s="11" t="s">
        <v>38</v>
      </c>
      <c r="K1261" s="11">
        <v>51010101</v>
      </c>
      <c r="L1261" s="11" t="s">
        <v>48</v>
      </c>
      <c r="M1261" s="11"/>
      <c r="N1261" s="11">
        <v>357.72</v>
      </c>
      <c r="O1261" s="42">
        <v>-357.72</v>
      </c>
      <c r="P1261" s="43" t="s">
        <v>4489</v>
      </c>
      <c r="Q1261" s="11">
        <v>1444784.92</v>
      </c>
      <c r="R1261" s="11" t="s">
        <v>2754</v>
      </c>
      <c r="S1261" s="11" t="s">
        <v>40</v>
      </c>
      <c r="T1261" s="11">
        <v>0</v>
      </c>
      <c r="V1261" s="11" t="s">
        <v>41</v>
      </c>
    </row>
    <row r="1262" spans="1:22" x14ac:dyDescent="0.25">
      <c r="A1262" s="11">
        <v>101060401</v>
      </c>
      <c r="B1262" s="11" t="s">
        <v>34</v>
      </c>
      <c r="C1262" s="41">
        <v>44922</v>
      </c>
      <c r="D1262" s="41">
        <v>44922</v>
      </c>
      <c r="E1262" s="11" t="s">
        <v>42</v>
      </c>
      <c r="F1262" s="11" t="s">
        <v>2755</v>
      </c>
      <c r="G1262" s="11">
        <v>110763</v>
      </c>
      <c r="H1262" s="11" t="s">
        <v>47</v>
      </c>
      <c r="J1262" s="11" t="s">
        <v>38</v>
      </c>
      <c r="K1262" s="11">
        <v>51010101</v>
      </c>
      <c r="L1262" s="11" t="s">
        <v>48</v>
      </c>
      <c r="M1262" s="11"/>
      <c r="N1262" s="11">
        <v>70</v>
      </c>
      <c r="O1262" s="42">
        <v>-70</v>
      </c>
      <c r="P1262" s="43" t="s">
        <v>4489</v>
      </c>
      <c r="Q1262" s="11">
        <v>1444714.92</v>
      </c>
      <c r="R1262" s="11" t="s">
        <v>2756</v>
      </c>
      <c r="S1262" s="11" t="s">
        <v>40</v>
      </c>
      <c r="T1262" s="11">
        <v>0</v>
      </c>
      <c r="V1262" s="11" t="s">
        <v>41</v>
      </c>
    </row>
    <row r="1263" spans="1:22" x14ac:dyDescent="0.25">
      <c r="A1263" s="11">
        <v>101060401</v>
      </c>
      <c r="B1263" s="11" t="s">
        <v>34</v>
      </c>
      <c r="C1263" s="41">
        <v>44922</v>
      </c>
      <c r="D1263" s="41">
        <v>44922</v>
      </c>
      <c r="E1263" s="11" t="s">
        <v>36</v>
      </c>
      <c r="F1263" s="11" t="s">
        <v>2757</v>
      </c>
      <c r="G1263" s="11">
        <v>110769</v>
      </c>
      <c r="H1263" s="11" t="s">
        <v>296</v>
      </c>
      <c r="K1263" s="11">
        <v>201040506</v>
      </c>
      <c r="L1263" s="11" t="s">
        <v>46</v>
      </c>
      <c r="M1263" s="11">
        <v>44741.5</v>
      </c>
      <c r="N1263" s="11"/>
      <c r="O1263" s="42">
        <v>44741.5</v>
      </c>
      <c r="P1263" s="43" t="s">
        <v>4480</v>
      </c>
      <c r="Q1263" s="11">
        <v>1489456.42</v>
      </c>
      <c r="R1263" s="11" t="s">
        <v>2758</v>
      </c>
      <c r="S1263" s="11" t="s">
        <v>40</v>
      </c>
      <c r="T1263" s="11">
        <v>0</v>
      </c>
    </row>
    <row r="1264" spans="1:22" x14ac:dyDescent="0.25">
      <c r="A1264" s="11">
        <v>101060401</v>
      </c>
      <c r="B1264" s="11" t="s">
        <v>34</v>
      </c>
      <c r="C1264" s="41">
        <v>44922</v>
      </c>
      <c r="D1264" s="41">
        <v>44922</v>
      </c>
      <c r="E1264" s="11" t="s">
        <v>42</v>
      </c>
      <c r="F1264" s="11" t="s">
        <v>2759</v>
      </c>
      <c r="G1264" s="11">
        <v>110772</v>
      </c>
      <c r="H1264" s="11" t="s">
        <v>71</v>
      </c>
      <c r="J1264" s="11" t="s">
        <v>38</v>
      </c>
      <c r="K1264" s="11">
        <v>51010101</v>
      </c>
      <c r="L1264" s="11" t="s">
        <v>48</v>
      </c>
      <c r="M1264" s="11"/>
      <c r="N1264" s="11">
        <v>104.93</v>
      </c>
      <c r="O1264" s="42">
        <v>-104.93</v>
      </c>
      <c r="P1264" s="43" t="s">
        <v>4489</v>
      </c>
      <c r="Q1264" s="11">
        <v>1489351.49</v>
      </c>
      <c r="R1264" s="11" t="s">
        <v>2760</v>
      </c>
      <c r="S1264" s="11" t="s">
        <v>40</v>
      </c>
      <c r="T1264" s="11">
        <v>0</v>
      </c>
      <c r="V1264" s="11" t="s">
        <v>41</v>
      </c>
    </row>
    <row r="1265" spans="1:22" x14ac:dyDescent="0.25">
      <c r="A1265" s="11">
        <v>101060401</v>
      </c>
      <c r="B1265" s="11" t="s">
        <v>34</v>
      </c>
      <c r="C1265" s="41">
        <v>44922</v>
      </c>
      <c r="D1265" s="41">
        <v>44922</v>
      </c>
      <c r="E1265" s="11" t="s">
        <v>36</v>
      </c>
      <c r="F1265" s="11" t="s">
        <v>2761</v>
      </c>
      <c r="G1265" s="11">
        <v>110777</v>
      </c>
      <c r="H1265" s="11" t="s">
        <v>190</v>
      </c>
      <c r="J1265" s="11" t="s">
        <v>38</v>
      </c>
      <c r="K1265" s="11">
        <v>51010101</v>
      </c>
      <c r="L1265" s="11" t="s">
        <v>48</v>
      </c>
      <c r="M1265" s="11">
        <v>285.60000000000002</v>
      </c>
      <c r="N1265" s="11"/>
      <c r="O1265" s="42">
        <v>285.60000000000002</v>
      </c>
      <c r="P1265" s="43" t="s">
        <v>4489</v>
      </c>
      <c r="Q1265" s="11">
        <v>1489637.09</v>
      </c>
      <c r="R1265" s="11" t="s">
        <v>2762</v>
      </c>
      <c r="S1265" s="11" t="s">
        <v>106</v>
      </c>
      <c r="T1265" s="11">
        <v>0</v>
      </c>
      <c r="V1265" s="11" t="s">
        <v>41</v>
      </c>
    </row>
    <row r="1266" spans="1:22" x14ac:dyDescent="0.25">
      <c r="A1266" s="11">
        <v>101060401</v>
      </c>
      <c r="B1266" s="11" t="s">
        <v>34</v>
      </c>
      <c r="C1266" s="41">
        <v>44922</v>
      </c>
      <c r="D1266" s="41">
        <v>44922</v>
      </c>
      <c r="E1266" s="11" t="s">
        <v>42</v>
      </c>
      <c r="F1266" s="11" t="s">
        <v>2763</v>
      </c>
      <c r="G1266" s="11">
        <v>110782</v>
      </c>
      <c r="H1266" s="11" t="s">
        <v>57</v>
      </c>
      <c r="K1266" s="11">
        <v>101060408</v>
      </c>
      <c r="L1266" s="11" t="s">
        <v>82</v>
      </c>
      <c r="M1266" s="11">
        <v>87431.93</v>
      </c>
      <c r="N1266" s="11"/>
      <c r="O1266" s="42">
        <v>87431.93</v>
      </c>
      <c r="P1266" s="43" t="s">
        <v>4481</v>
      </c>
      <c r="Q1266" s="11">
        <v>1577069.02</v>
      </c>
      <c r="R1266" s="11" t="s">
        <v>2764</v>
      </c>
      <c r="S1266" s="11" t="s">
        <v>40</v>
      </c>
      <c r="T1266" s="11">
        <v>0</v>
      </c>
    </row>
    <row r="1267" spans="1:22" x14ac:dyDescent="0.25">
      <c r="A1267" s="11">
        <v>101060401</v>
      </c>
      <c r="B1267" s="11" t="s">
        <v>34</v>
      </c>
      <c r="C1267" s="41">
        <v>44922</v>
      </c>
      <c r="D1267" s="41">
        <v>44922</v>
      </c>
      <c r="E1267" s="11" t="s">
        <v>42</v>
      </c>
      <c r="F1267" s="11" t="s">
        <v>2765</v>
      </c>
      <c r="G1267" s="11">
        <v>110784</v>
      </c>
      <c r="H1267" s="11" t="s">
        <v>57</v>
      </c>
      <c r="K1267" s="11">
        <v>101060402</v>
      </c>
      <c r="L1267" s="11" t="s">
        <v>44</v>
      </c>
      <c r="M1267" s="11"/>
      <c r="N1267" s="11">
        <v>87431.93</v>
      </c>
      <c r="O1267" s="42">
        <v>-87431.93</v>
      </c>
      <c r="P1267" s="43" t="s">
        <v>4481</v>
      </c>
      <c r="Q1267" s="11">
        <v>1489637.09</v>
      </c>
      <c r="R1267" s="11" t="s">
        <v>2766</v>
      </c>
      <c r="S1267" s="11" t="s">
        <v>40</v>
      </c>
      <c r="T1267" s="11">
        <v>0</v>
      </c>
    </row>
    <row r="1268" spans="1:22" x14ac:dyDescent="0.25">
      <c r="A1268" s="11">
        <v>101060401</v>
      </c>
      <c r="B1268" s="11" t="s">
        <v>34</v>
      </c>
      <c r="C1268" s="41">
        <v>44922</v>
      </c>
      <c r="D1268" s="41">
        <v>44922</v>
      </c>
      <c r="E1268" s="11" t="s">
        <v>36</v>
      </c>
      <c r="F1268" s="11" t="s">
        <v>2767</v>
      </c>
      <c r="G1268" s="11">
        <v>110788</v>
      </c>
      <c r="H1268" s="11" t="s">
        <v>154</v>
      </c>
      <c r="K1268" s="11">
        <v>201040506</v>
      </c>
      <c r="L1268" s="11" t="s">
        <v>46</v>
      </c>
      <c r="M1268" s="11">
        <v>889.92</v>
      </c>
      <c r="N1268" s="11"/>
      <c r="O1268" s="42">
        <v>889.92</v>
      </c>
      <c r="P1268" s="43" t="s">
        <v>4480</v>
      </c>
      <c r="Q1268" s="11">
        <v>1490527.01</v>
      </c>
      <c r="R1268" s="11" t="s">
        <v>2768</v>
      </c>
      <c r="S1268" s="11" t="s">
        <v>40</v>
      </c>
      <c r="T1268" s="11">
        <v>0</v>
      </c>
    </row>
    <row r="1269" spans="1:22" x14ac:dyDescent="0.25">
      <c r="A1269" s="11">
        <v>101060401</v>
      </c>
      <c r="B1269" s="11" t="s">
        <v>34</v>
      </c>
      <c r="C1269" s="41">
        <v>44922</v>
      </c>
      <c r="D1269" s="41">
        <v>44922</v>
      </c>
      <c r="E1269" s="11" t="s">
        <v>42</v>
      </c>
      <c r="F1269" s="11" t="s">
        <v>2769</v>
      </c>
      <c r="G1269" s="11">
        <v>110789</v>
      </c>
      <c r="H1269" s="11" t="s">
        <v>47</v>
      </c>
      <c r="J1269" s="11" t="s">
        <v>38</v>
      </c>
      <c r="K1269" s="11">
        <v>51010101</v>
      </c>
      <c r="L1269" s="11" t="s">
        <v>48</v>
      </c>
      <c r="M1269" s="11"/>
      <c r="N1269" s="11">
        <v>889.92</v>
      </c>
      <c r="O1269" s="42">
        <v>-889.92</v>
      </c>
      <c r="P1269" s="43" t="s">
        <v>4489</v>
      </c>
      <c r="Q1269" s="11">
        <v>1489637.09</v>
      </c>
      <c r="R1269" s="11" t="s">
        <v>2770</v>
      </c>
      <c r="S1269" s="11" t="s">
        <v>40</v>
      </c>
      <c r="T1269" s="11">
        <v>0</v>
      </c>
      <c r="V1269" s="11" t="s">
        <v>41</v>
      </c>
    </row>
    <row r="1270" spans="1:22" x14ac:dyDescent="0.25">
      <c r="A1270" s="11">
        <v>101060401</v>
      </c>
      <c r="B1270" s="11" t="s">
        <v>34</v>
      </c>
      <c r="C1270" s="41">
        <v>44922</v>
      </c>
      <c r="D1270" s="41">
        <v>44922</v>
      </c>
      <c r="E1270" s="11" t="s">
        <v>42</v>
      </c>
      <c r="F1270" s="11" t="s">
        <v>2771</v>
      </c>
      <c r="G1270" s="11">
        <v>110791</v>
      </c>
      <c r="H1270" s="11" t="s">
        <v>139</v>
      </c>
      <c r="J1270" s="11" t="s">
        <v>38</v>
      </c>
      <c r="K1270" s="11">
        <v>51010101</v>
      </c>
      <c r="L1270" s="11" t="s">
        <v>48</v>
      </c>
      <c r="M1270" s="11"/>
      <c r="N1270" s="11">
        <v>1130.5899999999999</v>
      </c>
      <c r="O1270" s="42">
        <v>-1130.5899999999999</v>
      </c>
      <c r="P1270" s="43" t="s">
        <v>4489</v>
      </c>
      <c r="Q1270" s="11">
        <v>1488506.5</v>
      </c>
      <c r="R1270" s="11" t="s">
        <v>2772</v>
      </c>
      <c r="S1270" s="11" t="s">
        <v>40</v>
      </c>
      <c r="T1270" s="11">
        <v>0</v>
      </c>
      <c r="V1270" s="11" t="s">
        <v>41</v>
      </c>
    </row>
    <row r="1271" spans="1:22" x14ac:dyDescent="0.25">
      <c r="A1271" s="11">
        <v>101060401</v>
      </c>
      <c r="B1271" s="11" t="s">
        <v>34</v>
      </c>
      <c r="C1271" s="41">
        <v>44922</v>
      </c>
      <c r="D1271" s="41">
        <v>44922</v>
      </c>
      <c r="E1271" s="11" t="s">
        <v>36</v>
      </c>
      <c r="F1271" s="11" t="s">
        <v>2773</v>
      </c>
      <c r="G1271" s="11">
        <v>110792</v>
      </c>
      <c r="H1271" s="11" t="s">
        <v>75</v>
      </c>
      <c r="J1271" s="11" t="s">
        <v>38</v>
      </c>
      <c r="K1271" s="11">
        <v>51010101</v>
      </c>
      <c r="L1271" s="11" t="s">
        <v>48</v>
      </c>
      <c r="M1271" s="11"/>
      <c r="N1271" s="11">
        <v>545.5</v>
      </c>
      <c r="O1271" s="42">
        <v>-545.5</v>
      </c>
      <c r="P1271" s="43" t="s">
        <v>4489</v>
      </c>
      <c r="Q1271" s="11">
        <v>1487961</v>
      </c>
      <c r="R1271" s="11" t="s">
        <v>2774</v>
      </c>
      <c r="S1271" s="11" t="s">
        <v>137</v>
      </c>
      <c r="T1271" s="11">
        <v>0</v>
      </c>
      <c r="V1271" s="11" t="s">
        <v>41</v>
      </c>
    </row>
    <row r="1272" spans="1:22" x14ac:dyDescent="0.25">
      <c r="A1272" s="11">
        <v>101060401</v>
      </c>
      <c r="B1272" s="11" t="s">
        <v>34</v>
      </c>
      <c r="C1272" s="41">
        <v>44922</v>
      </c>
      <c r="D1272" s="41">
        <v>44922</v>
      </c>
      <c r="E1272" s="11" t="s">
        <v>60</v>
      </c>
      <c r="F1272" s="11" t="s">
        <v>2775</v>
      </c>
      <c r="G1272" s="11">
        <v>111116</v>
      </c>
      <c r="H1272" s="11" t="s">
        <v>61</v>
      </c>
      <c r="K1272" s="11">
        <v>201040506</v>
      </c>
      <c r="L1272" s="11" t="s">
        <v>46</v>
      </c>
      <c r="M1272" s="11"/>
      <c r="N1272" s="11">
        <v>44741.5</v>
      </c>
      <c r="O1272" s="42">
        <v>-44741.5</v>
      </c>
      <c r="P1272" s="43" t="s">
        <v>4480</v>
      </c>
      <c r="Q1272" s="11">
        <v>1443219.5</v>
      </c>
      <c r="R1272" s="11" t="s">
        <v>2776</v>
      </c>
      <c r="S1272" s="11" t="s">
        <v>40</v>
      </c>
      <c r="T1272" s="11">
        <v>0</v>
      </c>
    </row>
    <row r="1273" spans="1:22" x14ac:dyDescent="0.25">
      <c r="A1273" s="11">
        <v>101060401</v>
      </c>
      <c r="B1273" s="11" t="s">
        <v>34</v>
      </c>
      <c r="C1273" s="41">
        <v>44923</v>
      </c>
      <c r="D1273" s="41">
        <v>44923</v>
      </c>
      <c r="E1273" s="11" t="s">
        <v>42</v>
      </c>
      <c r="F1273" s="11" t="s">
        <v>2777</v>
      </c>
      <c r="G1273" s="11">
        <v>110794</v>
      </c>
      <c r="H1273" s="11" t="s">
        <v>83</v>
      </c>
      <c r="J1273" s="11" t="s">
        <v>38</v>
      </c>
      <c r="K1273" s="11">
        <v>51010101</v>
      </c>
      <c r="L1273" s="11" t="s">
        <v>48</v>
      </c>
      <c r="M1273" s="11"/>
      <c r="N1273" s="11">
        <v>16240</v>
      </c>
      <c r="O1273" s="42">
        <v>-16240</v>
      </c>
      <c r="P1273" s="43" t="s">
        <v>4489</v>
      </c>
      <c r="Q1273" s="11">
        <v>1426979.5</v>
      </c>
      <c r="R1273" s="11" t="s">
        <v>2778</v>
      </c>
      <c r="S1273" s="11" t="s">
        <v>40</v>
      </c>
      <c r="T1273" s="11">
        <v>0</v>
      </c>
      <c r="V1273" s="11" t="s">
        <v>41</v>
      </c>
    </row>
    <row r="1274" spans="1:22" x14ac:dyDescent="0.25">
      <c r="A1274" s="11">
        <v>101060401</v>
      </c>
      <c r="B1274" s="11" t="s">
        <v>34</v>
      </c>
      <c r="C1274" s="41">
        <v>44923</v>
      </c>
      <c r="D1274" s="41">
        <v>44923</v>
      </c>
      <c r="E1274" s="11" t="s">
        <v>42</v>
      </c>
      <c r="F1274" s="11" t="s">
        <v>2779</v>
      </c>
      <c r="G1274" s="11">
        <v>110795</v>
      </c>
      <c r="H1274" s="11" t="s">
        <v>141</v>
      </c>
      <c r="J1274" s="11" t="s">
        <v>38</v>
      </c>
      <c r="K1274" s="11">
        <v>51010101</v>
      </c>
      <c r="L1274" s="11" t="s">
        <v>48</v>
      </c>
      <c r="M1274" s="11"/>
      <c r="N1274" s="11">
        <v>995.4</v>
      </c>
      <c r="O1274" s="42">
        <v>-995.4</v>
      </c>
      <c r="P1274" s="43" t="s">
        <v>4489</v>
      </c>
      <c r="Q1274" s="11">
        <v>1425984.1</v>
      </c>
      <c r="R1274" s="11" t="s">
        <v>2780</v>
      </c>
      <c r="S1274" s="11" t="s">
        <v>40</v>
      </c>
      <c r="T1274" s="11">
        <v>0</v>
      </c>
      <c r="V1274" s="11" t="s">
        <v>41</v>
      </c>
    </row>
    <row r="1275" spans="1:22" x14ac:dyDescent="0.25">
      <c r="A1275" s="11">
        <v>101060401</v>
      </c>
      <c r="B1275" s="11" t="s">
        <v>34</v>
      </c>
      <c r="C1275" s="41">
        <v>44923</v>
      </c>
      <c r="D1275" s="41">
        <v>44923</v>
      </c>
      <c r="E1275" s="11" t="s">
        <v>42</v>
      </c>
      <c r="F1275" s="11" t="s">
        <v>2781</v>
      </c>
      <c r="G1275" s="11">
        <v>110799</v>
      </c>
      <c r="H1275" s="11" t="s">
        <v>62</v>
      </c>
      <c r="J1275" s="11" t="s">
        <v>38</v>
      </c>
      <c r="K1275" s="11">
        <v>51010101</v>
      </c>
      <c r="L1275" s="11" t="s">
        <v>48</v>
      </c>
      <c r="M1275" s="11"/>
      <c r="N1275" s="11">
        <v>431.36</v>
      </c>
      <c r="O1275" s="42">
        <v>-431.36</v>
      </c>
      <c r="P1275" s="43" t="s">
        <v>4489</v>
      </c>
      <c r="Q1275" s="11">
        <v>1425552.74</v>
      </c>
      <c r="R1275" s="11" t="s">
        <v>2782</v>
      </c>
      <c r="S1275" s="11" t="s">
        <v>40</v>
      </c>
      <c r="T1275" s="11">
        <v>0</v>
      </c>
      <c r="V1275" s="11" t="s">
        <v>41</v>
      </c>
    </row>
    <row r="1276" spans="1:22" x14ac:dyDescent="0.25">
      <c r="A1276" s="11">
        <v>101060401</v>
      </c>
      <c r="B1276" s="11" t="s">
        <v>34</v>
      </c>
      <c r="C1276" s="41">
        <v>44923</v>
      </c>
      <c r="D1276" s="41">
        <v>44923</v>
      </c>
      <c r="E1276" s="11" t="s">
        <v>42</v>
      </c>
      <c r="F1276" s="11" t="s">
        <v>2783</v>
      </c>
      <c r="G1276" s="11">
        <v>110802</v>
      </c>
      <c r="H1276" s="11" t="s">
        <v>47</v>
      </c>
      <c r="J1276" s="11" t="s">
        <v>38</v>
      </c>
      <c r="K1276" s="11">
        <v>51010101</v>
      </c>
      <c r="L1276" s="11" t="s">
        <v>48</v>
      </c>
      <c r="M1276" s="11"/>
      <c r="N1276" s="11">
        <v>127.13</v>
      </c>
      <c r="O1276" s="42">
        <v>-127.13</v>
      </c>
      <c r="P1276" s="43" t="s">
        <v>4489</v>
      </c>
      <c r="Q1276" s="11">
        <v>1425425.61</v>
      </c>
      <c r="R1276" s="11" t="s">
        <v>2784</v>
      </c>
      <c r="S1276" s="11" t="s">
        <v>40</v>
      </c>
      <c r="T1276" s="11">
        <v>0</v>
      </c>
      <c r="V1276" s="11" t="s">
        <v>41</v>
      </c>
    </row>
    <row r="1277" spans="1:22" x14ac:dyDescent="0.25">
      <c r="A1277" s="11">
        <v>101060401</v>
      </c>
      <c r="B1277" s="11" t="s">
        <v>34</v>
      </c>
      <c r="C1277" s="41">
        <v>44923</v>
      </c>
      <c r="D1277" s="41">
        <v>44923</v>
      </c>
      <c r="E1277" s="11" t="s">
        <v>42</v>
      </c>
      <c r="F1277" s="11" t="s">
        <v>2785</v>
      </c>
      <c r="G1277" s="11">
        <v>110804</v>
      </c>
      <c r="H1277" s="11" t="s">
        <v>158</v>
      </c>
      <c r="J1277" s="11" t="s">
        <v>38</v>
      </c>
      <c r="K1277" s="11">
        <v>51010101</v>
      </c>
      <c r="L1277" s="11" t="s">
        <v>48</v>
      </c>
      <c r="M1277" s="11"/>
      <c r="N1277" s="11">
        <v>1921.48</v>
      </c>
      <c r="O1277" s="42">
        <v>-1921.48</v>
      </c>
      <c r="P1277" s="43" t="s">
        <v>4489</v>
      </c>
      <c r="Q1277" s="11">
        <v>1423504.13</v>
      </c>
      <c r="R1277" s="11" t="s">
        <v>2786</v>
      </c>
      <c r="S1277" s="11" t="s">
        <v>40</v>
      </c>
      <c r="T1277" s="11">
        <v>0</v>
      </c>
      <c r="V1277" s="11" t="s">
        <v>41</v>
      </c>
    </row>
    <row r="1278" spans="1:22" x14ac:dyDescent="0.25">
      <c r="A1278" s="11">
        <v>101060401</v>
      </c>
      <c r="B1278" s="11" t="s">
        <v>34</v>
      </c>
      <c r="C1278" s="41">
        <v>44923</v>
      </c>
      <c r="D1278" s="41">
        <v>44923</v>
      </c>
      <c r="E1278" s="11" t="s">
        <v>42</v>
      </c>
      <c r="F1278" s="11" t="s">
        <v>2787</v>
      </c>
      <c r="G1278" s="11">
        <v>110805</v>
      </c>
      <c r="H1278" s="11" t="s">
        <v>57</v>
      </c>
      <c r="K1278" s="11">
        <v>101060402</v>
      </c>
      <c r="L1278" s="11" t="s">
        <v>44</v>
      </c>
      <c r="M1278" s="11"/>
      <c r="N1278" s="11">
        <v>6216.7</v>
      </c>
      <c r="O1278" s="42">
        <v>-6216.7</v>
      </c>
      <c r="P1278" s="43" t="s">
        <v>4481</v>
      </c>
      <c r="Q1278" s="11">
        <v>1417287.43</v>
      </c>
      <c r="R1278" s="11" t="s">
        <v>2788</v>
      </c>
      <c r="S1278" s="11" t="s">
        <v>40</v>
      </c>
      <c r="T1278" s="11">
        <v>0</v>
      </c>
    </row>
    <row r="1279" spans="1:22" x14ac:dyDescent="0.25">
      <c r="A1279" s="11">
        <v>101060401</v>
      </c>
      <c r="B1279" s="11" t="s">
        <v>34</v>
      </c>
      <c r="C1279" s="41">
        <v>44923</v>
      </c>
      <c r="D1279" s="41">
        <v>44923</v>
      </c>
      <c r="E1279" s="11" t="s">
        <v>42</v>
      </c>
      <c r="F1279" s="11" t="s">
        <v>2789</v>
      </c>
      <c r="G1279" s="11">
        <v>110808</v>
      </c>
      <c r="H1279" s="11" t="s">
        <v>174</v>
      </c>
      <c r="J1279" s="11" t="s">
        <v>38</v>
      </c>
      <c r="K1279" s="11">
        <v>51010101</v>
      </c>
      <c r="L1279" s="11" t="s">
        <v>48</v>
      </c>
      <c r="M1279" s="11"/>
      <c r="N1279" s="11">
        <v>1092.43</v>
      </c>
      <c r="O1279" s="42">
        <v>-1092.43</v>
      </c>
      <c r="P1279" s="43" t="s">
        <v>4489</v>
      </c>
      <c r="Q1279" s="11">
        <v>1416195</v>
      </c>
      <c r="R1279" s="11" t="s">
        <v>2790</v>
      </c>
      <c r="S1279" s="11" t="s">
        <v>40</v>
      </c>
      <c r="T1279" s="11">
        <v>0</v>
      </c>
      <c r="V1279" s="11" t="s">
        <v>41</v>
      </c>
    </row>
    <row r="1280" spans="1:22" x14ac:dyDescent="0.25">
      <c r="A1280" s="11">
        <v>101060401</v>
      </c>
      <c r="B1280" s="11" t="s">
        <v>34</v>
      </c>
      <c r="C1280" s="41">
        <v>44923</v>
      </c>
      <c r="D1280" s="41">
        <v>44923</v>
      </c>
      <c r="E1280" s="11" t="s">
        <v>42</v>
      </c>
      <c r="F1280" s="11" t="s">
        <v>2791</v>
      </c>
      <c r="G1280" s="11">
        <v>110809</v>
      </c>
      <c r="H1280" s="11" t="s">
        <v>302</v>
      </c>
      <c r="J1280" s="11" t="s">
        <v>38</v>
      </c>
      <c r="K1280" s="11">
        <v>51010101</v>
      </c>
      <c r="L1280" s="11" t="s">
        <v>48</v>
      </c>
      <c r="M1280" s="11"/>
      <c r="N1280" s="11">
        <v>49.05</v>
      </c>
      <c r="O1280" s="42">
        <v>-49.05</v>
      </c>
      <c r="P1280" s="43" t="s">
        <v>4489</v>
      </c>
      <c r="Q1280" s="11">
        <v>1416145.95</v>
      </c>
      <c r="R1280" s="11" t="s">
        <v>2792</v>
      </c>
      <c r="S1280" s="11" t="s">
        <v>40</v>
      </c>
      <c r="T1280" s="11">
        <v>0</v>
      </c>
      <c r="V1280" s="11" t="s">
        <v>41</v>
      </c>
    </row>
    <row r="1281" spans="1:22" x14ac:dyDescent="0.25">
      <c r="A1281" s="11">
        <v>101060401</v>
      </c>
      <c r="B1281" s="11" t="s">
        <v>34</v>
      </c>
      <c r="C1281" s="41">
        <v>44923</v>
      </c>
      <c r="D1281" s="41">
        <v>44923</v>
      </c>
      <c r="E1281" s="11" t="s">
        <v>42</v>
      </c>
      <c r="F1281" s="11" t="s">
        <v>2793</v>
      </c>
      <c r="G1281" s="11">
        <v>110838</v>
      </c>
      <c r="H1281" s="11" t="s">
        <v>57</v>
      </c>
      <c r="K1281" s="11">
        <v>101060402</v>
      </c>
      <c r="L1281" s="11" t="s">
        <v>44</v>
      </c>
      <c r="M1281" s="11">
        <v>223.47</v>
      </c>
      <c r="N1281" s="11"/>
      <c r="O1281" s="42">
        <v>223.47</v>
      </c>
      <c r="P1281" s="43" t="s">
        <v>4481</v>
      </c>
      <c r="Q1281" s="11">
        <v>1416369.42</v>
      </c>
      <c r="R1281" s="11" t="s">
        <v>2794</v>
      </c>
      <c r="S1281" s="11" t="s">
        <v>106</v>
      </c>
      <c r="T1281" s="11">
        <v>0</v>
      </c>
    </row>
    <row r="1282" spans="1:22" x14ac:dyDescent="0.25">
      <c r="A1282" s="11">
        <v>101060401</v>
      </c>
      <c r="B1282" s="11" t="s">
        <v>34</v>
      </c>
      <c r="C1282" s="41">
        <v>44923</v>
      </c>
      <c r="D1282" s="41">
        <v>44923</v>
      </c>
      <c r="E1282" s="11" t="s">
        <v>42</v>
      </c>
      <c r="F1282" s="11" t="s">
        <v>2795</v>
      </c>
      <c r="G1282" s="11">
        <v>110845</v>
      </c>
      <c r="H1282" s="11" t="s">
        <v>2796</v>
      </c>
      <c r="J1282" s="11" t="s">
        <v>38</v>
      </c>
      <c r="K1282" s="11">
        <v>51010101</v>
      </c>
      <c r="L1282" s="11" t="s">
        <v>48</v>
      </c>
      <c r="M1282" s="11"/>
      <c r="N1282" s="11">
        <v>7.65</v>
      </c>
      <c r="O1282" s="42">
        <v>-7.65</v>
      </c>
      <c r="P1282" s="43" t="s">
        <v>4489</v>
      </c>
      <c r="Q1282" s="11">
        <v>1416361.77</v>
      </c>
      <c r="R1282" s="11" t="s">
        <v>188</v>
      </c>
      <c r="S1282" s="11" t="s">
        <v>40</v>
      </c>
      <c r="T1282" s="11">
        <v>0</v>
      </c>
      <c r="V1282" s="11" t="s">
        <v>41</v>
      </c>
    </row>
    <row r="1283" spans="1:22" x14ac:dyDescent="0.25">
      <c r="A1283" s="11">
        <v>101060401</v>
      </c>
      <c r="B1283" s="11" t="s">
        <v>34</v>
      </c>
      <c r="C1283" s="41">
        <v>44923</v>
      </c>
      <c r="D1283" s="41">
        <v>44923</v>
      </c>
      <c r="E1283" s="11" t="s">
        <v>42</v>
      </c>
      <c r="F1283" s="11" t="s">
        <v>2797</v>
      </c>
      <c r="G1283" s="11">
        <v>110847</v>
      </c>
      <c r="H1283" s="11" t="s">
        <v>47</v>
      </c>
      <c r="J1283" s="11" t="s">
        <v>38</v>
      </c>
      <c r="K1283" s="11">
        <v>51010101</v>
      </c>
      <c r="L1283" s="11" t="s">
        <v>48</v>
      </c>
      <c r="M1283" s="11"/>
      <c r="N1283" s="11">
        <v>29674.3</v>
      </c>
      <c r="O1283" s="42">
        <v>-29674.3</v>
      </c>
      <c r="P1283" s="43" t="s">
        <v>4489</v>
      </c>
      <c r="Q1283" s="11">
        <v>1386687.47</v>
      </c>
      <c r="R1283" s="11" t="s">
        <v>2798</v>
      </c>
      <c r="S1283" s="11" t="s">
        <v>40</v>
      </c>
      <c r="T1283" s="11">
        <v>0</v>
      </c>
      <c r="V1283" s="11" t="s">
        <v>41</v>
      </c>
    </row>
    <row r="1284" spans="1:22" x14ac:dyDescent="0.25">
      <c r="A1284" s="11">
        <v>101060401</v>
      </c>
      <c r="B1284" s="11" t="s">
        <v>34</v>
      </c>
      <c r="C1284" s="41">
        <v>44923</v>
      </c>
      <c r="D1284" s="41">
        <v>44923</v>
      </c>
      <c r="E1284" s="11" t="s">
        <v>42</v>
      </c>
      <c r="F1284" s="11" t="s">
        <v>2799</v>
      </c>
      <c r="G1284" s="11">
        <v>110848</v>
      </c>
      <c r="H1284" s="11" t="s">
        <v>47</v>
      </c>
      <c r="J1284" s="11" t="s">
        <v>38</v>
      </c>
      <c r="K1284" s="11">
        <v>51010101</v>
      </c>
      <c r="L1284" s="11" t="s">
        <v>48</v>
      </c>
      <c r="M1284" s="11"/>
      <c r="N1284" s="11">
        <v>14615.7</v>
      </c>
      <c r="O1284" s="42">
        <v>-14615.7</v>
      </c>
      <c r="P1284" s="43" t="s">
        <v>4489</v>
      </c>
      <c r="Q1284" s="11">
        <v>1372071.77</v>
      </c>
      <c r="R1284" s="11" t="s">
        <v>2800</v>
      </c>
      <c r="S1284" s="11" t="s">
        <v>40</v>
      </c>
      <c r="T1284" s="11">
        <v>0</v>
      </c>
      <c r="V1284" s="11" t="s">
        <v>41</v>
      </c>
    </row>
    <row r="1285" spans="1:22" x14ac:dyDescent="0.25">
      <c r="A1285" s="11">
        <v>101060401</v>
      </c>
      <c r="B1285" s="11" t="s">
        <v>34</v>
      </c>
      <c r="C1285" s="41">
        <v>44923</v>
      </c>
      <c r="D1285" s="41">
        <v>44923</v>
      </c>
      <c r="E1285" s="11" t="s">
        <v>36</v>
      </c>
      <c r="F1285" s="11" t="s">
        <v>2801</v>
      </c>
      <c r="G1285" s="11">
        <v>110859</v>
      </c>
      <c r="H1285" s="11" t="s">
        <v>73</v>
      </c>
      <c r="K1285" s="11">
        <v>201040506</v>
      </c>
      <c r="L1285" s="11" t="s">
        <v>46</v>
      </c>
      <c r="M1285" s="11">
        <v>2268</v>
      </c>
      <c r="N1285" s="11"/>
      <c r="O1285" s="42">
        <v>2268</v>
      </c>
      <c r="P1285" s="43" t="s">
        <v>4480</v>
      </c>
      <c r="Q1285" s="11">
        <v>1374339.77</v>
      </c>
      <c r="R1285" s="11" t="s">
        <v>2802</v>
      </c>
      <c r="S1285" s="11" t="s">
        <v>40</v>
      </c>
      <c r="T1285" s="11">
        <v>0</v>
      </c>
    </row>
    <row r="1286" spans="1:22" x14ac:dyDescent="0.25">
      <c r="A1286" s="11">
        <v>101060401</v>
      </c>
      <c r="B1286" s="11" t="s">
        <v>34</v>
      </c>
      <c r="C1286" s="41">
        <v>44923</v>
      </c>
      <c r="D1286" s="41">
        <v>44923</v>
      </c>
      <c r="E1286" s="11" t="s">
        <v>42</v>
      </c>
      <c r="F1286" s="11" t="s">
        <v>2803</v>
      </c>
      <c r="G1286" s="11">
        <v>110861</v>
      </c>
      <c r="H1286" s="11" t="s">
        <v>141</v>
      </c>
      <c r="J1286" s="11" t="s">
        <v>38</v>
      </c>
      <c r="K1286" s="11">
        <v>51010101</v>
      </c>
      <c r="L1286" s="11" t="s">
        <v>48</v>
      </c>
      <c r="M1286" s="11"/>
      <c r="N1286" s="11">
        <v>2268</v>
      </c>
      <c r="O1286" s="42">
        <v>-2268</v>
      </c>
      <c r="P1286" s="43" t="s">
        <v>4489</v>
      </c>
      <c r="Q1286" s="11">
        <v>1372071.77</v>
      </c>
      <c r="R1286" s="11" t="s">
        <v>2804</v>
      </c>
      <c r="S1286" s="11" t="s">
        <v>40</v>
      </c>
      <c r="T1286" s="11">
        <v>0</v>
      </c>
      <c r="V1286" s="11" t="s">
        <v>41</v>
      </c>
    </row>
    <row r="1287" spans="1:22" x14ac:dyDescent="0.25">
      <c r="A1287" s="11">
        <v>101060401</v>
      </c>
      <c r="B1287" s="11" t="s">
        <v>34</v>
      </c>
      <c r="C1287" s="41">
        <v>44923</v>
      </c>
      <c r="D1287" s="41">
        <v>44923</v>
      </c>
      <c r="E1287" s="11" t="s">
        <v>42</v>
      </c>
      <c r="F1287" s="11" t="s">
        <v>2805</v>
      </c>
      <c r="G1287" s="11">
        <v>110865</v>
      </c>
      <c r="H1287" s="11" t="s">
        <v>56</v>
      </c>
      <c r="J1287" s="11" t="s">
        <v>38</v>
      </c>
      <c r="K1287" s="11">
        <v>51010101</v>
      </c>
      <c r="L1287" s="11" t="s">
        <v>48</v>
      </c>
      <c r="M1287" s="11"/>
      <c r="N1287" s="11">
        <v>22.27</v>
      </c>
      <c r="O1287" s="42">
        <v>-22.27</v>
      </c>
      <c r="P1287" s="43" t="s">
        <v>4489</v>
      </c>
      <c r="Q1287" s="11">
        <v>1372049.5</v>
      </c>
      <c r="R1287" s="11" t="s">
        <v>2806</v>
      </c>
      <c r="S1287" s="11" t="s">
        <v>40</v>
      </c>
      <c r="T1287" s="11">
        <v>0</v>
      </c>
      <c r="V1287" s="11" t="s">
        <v>41</v>
      </c>
    </row>
    <row r="1288" spans="1:22" x14ac:dyDescent="0.25">
      <c r="A1288" s="11">
        <v>101060401</v>
      </c>
      <c r="B1288" s="11" t="s">
        <v>34</v>
      </c>
      <c r="C1288" s="41">
        <v>44923</v>
      </c>
      <c r="D1288" s="41">
        <v>44923</v>
      </c>
      <c r="E1288" s="11" t="s">
        <v>42</v>
      </c>
      <c r="F1288" s="11" t="s">
        <v>2807</v>
      </c>
      <c r="G1288" s="11">
        <v>110878</v>
      </c>
      <c r="H1288" s="11" t="s">
        <v>57</v>
      </c>
      <c r="K1288" s="11">
        <v>101060408</v>
      </c>
      <c r="L1288" s="11" t="s">
        <v>82</v>
      </c>
      <c r="M1288" s="11">
        <v>3424.71</v>
      </c>
      <c r="N1288" s="11"/>
      <c r="O1288" s="42">
        <v>3424.71</v>
      </c>
      <c r="P1288" s="43" t="s">
        <v>4481</v>
      </c>
      <c r="Q1288" s="11">
        <v>1375474.21</v>
      </c>
      <c r="R1288" s="11" t="s">
        <v>2808</v>
      </c>
      <c r="S1288" s="11" t="s">
        <v>40</v>
      </c>
      <c r="T1288" s="11">
        <v>0</v>
      </c>
    </row>
    <row r="1289" spans="1:22" x14ac:dyDescent="0.25">
      <c r="A1289" s="11">
        <v>101060401</v>
      </c>
      <c r="B1289" s="11" t="s">
        <v>34</v>
      </c>
      <c r="C1289" s="41">
        <v>44923</v>
      </c>
      <c r="D1289" s="41">
        <v>44923</v>
      </c>
      <c r="E1289" s="11" t="s">
        <v>42</v>
      </c>
      <c r="F1289" s="11" t="s">
        <v>2809</v>
      </c>
      <c r="G1289" s="11">
        <v>110879</v>
      </c>
      <c r="H1289" s="11" t="s">
        <v>2810</v>
      </c>
      <c r="J1289" s="11" t="s">
        <v>38</v>
      </c>
      <c r="K1289" s="11" t="s">
        <v>2811</v>
      </c>
      <c r="L1289" s="11" t="s">
        <v>2812</v>
      </c>
      <c r="M1289" s="11">
        <v>1092.43</v>
      </c>
      <c r="N1289" s="11"/>
      <c r="O1289" s="42">
        <v>1092.43</v>
      </c>
      <c r="P1289" s="43" t="s">
        <v>4488</v>
      </c>
      <c r="Q1289" s="11">
        <v>1376566.64</v>
      </c>
      <c r="R1289" s="11" t="s">
        <v>2813</v>
      </c>
      <c r="S1289" s="11" t="s">
        <v>69</v>
      </c>
      <c r="T1289" s="11">
        <v>0</v>
      </c>
      <c r="V1289" s="11" t="s">
        <v>41</v>
      </c>
    </row>
    <row r="1290" spans="1:22" x14ac:dyDescent="0.25">
      <c r="A1290" s="11">
        <v>101060401</v>
      </c>
      <c r="B1290" s="11" t="s">
        <v>34</v>
      </c>
      <c r="C1290" s="41">
        <v>44923</v>
      </c>
      <c r="D1290" s="41">
        <v>44923</v>
      </c>
      <c r="E1290" s="11" t="s">
        <v>42</v>
      </c>
      <c r="F1290" s="11" t="s">
        <v>2814</v>
      </c>
      <c r="G1290" s="11">
        <v>110880</v>
      </c>
      <c r="H1290" s="11" t="s">
        <v>57</v>
      </c>
      <c r="K1290" s="11">
        <v>101060402</v>
      </c>
      <c r="L1290" s="11" t="s">
        <v>44</v>
      </c>
      <c r="M1290" s="11"/>
      <c r="N1290" s="11">
        <v>3591.22</v>
      </c>
      <c r="O1290" s="42">
        <v>-3591.22</v>
      </c>
      <c r="P1290" s="43" t="s">
        <v>4481</v>
      </c>
      <c r="Q1290" s="11">
        <v>1372975.42</v>
      </c>
      <c r="R1290" s="11" t="s">
        <v>2815</v>
      </c>
      <c r="S1290" s="11" t="s">
        <v>40</v>
      </c>
      <c r="T1290" s="11">
        <v>0</v>
      </c>
    </row>
    <row r="1291" spans="1:22" x14ac:dyDescent="0.25">
      <c r="A1291" s="11">
        <v>101060401</v>
      </c>
      <c r="B1291" s="11" t="s">
        <v>34</v>
      </c>
      <c r="C1291" s="41">
        <v>44923</v>
      </c>
      <c r="D1291" s="41">
        <v>44923</v>
      </c>
      <c r="E1291" s="11" t="s">
        <v>42</v>
      </c>
      <c r="F1291" s="11" t="s">
        <v>2816</v>
      </c>
      <c r="G1291" s="11">
        <v>110881</v>
      </c>
      <c r="H1291" s="11" t="s">
        <v>43</v>
      </c>
      <c r="K1291" s="11">
        <v>101060402</v>
      </c>
      <c r="L1291" s="11" t="s">
        <v>44</v>
      </c>
      <c r="M1291" s="11">
        <v>3591.22</v>
      </c>
      <c r="N1291" s="11"/>
      <c r="O1291" s="42">
        <v>3591.22</v>
      </c>
      <c r="P1291" s="43" t="s">
        <v>4481</v>
      </c>
      <c r="Q1291" s="11">
        <v>1376566.64</v>
      </c>
      <c r="R1291" s="11" t="s">
        <v>2817</v>
      </c>
      <c r="S1291" s="11" t="s">
        <v>40</v>
      </c>
      <c r="T1291" s="11">
        <v>0</v>
      </c>
    </row>
    <row r="1292" spans="1:22" x14ac:dyDescent="0.25">
      <c r="A1292" s="11">
        <v>101060401</v>
      </c>
      <c r="B1292" s="11" t="s">
        <v>34</v>
      </c>
      <c r="C1292" s="41">
        <v>44923</v>
      </c>
      <c r="D1292" s="41">
        <v>44923</v>
      </c>
      <c r="E1292" s="11" t="s">
        <v>42</v>
      </c>
      <c r="F1292" s="11" t="s">
        <v>2818</v>
      </c>
      <c r="G1292" s="11">
        <v>111114</v>
      </c>
      <c r="H1292" s="11" t="s">
        <v>88</v>
      </c>
      <c r="J1292" s="11" t="s">
        <v>38</v>
      </c>
      <c r="K1292" s="11">
        <v>51010101</v>
      </c>
      <c r="L1292" s="11" t="s">
        <v>48</v>
      </c>
      <c r="M1292" s="11">
        <v>29674.3</v>
      </c>
      <c r="N1292" s="11"/>
      <c r="O1292" s="42">
        <v>29674.3</v>
      </c>
      <c r="P1292" s="43" t="s">
        <v>4489</v>
      </c>
      <c r="Q1292" s="11">
        <v>1406240.94</v>
      </c>
      <c r="R1292" s="11" t="s">
        <v>2819</v>
      </c>
      <c r="S1292" s="11" t="s">
        <v>40</v>
      </c>
      <c r="T1292" s="11">
        <v>0</v>
      </c>
      <c r="V1292" s="11" t="s">
        <v>41</v>
      </c>
    </row>
    <row r="1293" spans="1:22" x14ac:dyDescent="0.25">
      <c r="A1293" s="11">
        <v>101060401</v>
      </c>
      <c r="B1293" s="11" t="s">
        <v>34</v>
      </c>
      <c r="C1293" s="41">
        <v>44923</v>
      </c>
      <c r="D1293" s="41">
        <v>44923</v>
      </c>
      <c r="E1293" s="11" t="s">
        <v>42</v>
      </c>
      <c r="F1293" s="11" t="s">
        <v>2820</v>
      </c>
      <c r="G1293" s="11">
        <v>111115</v>
      </c>
      <c r="H1293" s="11" t="s">
        <v>88</v>
      </c>
      <c r="J1293" s="11" t="s">
        <v>38</v>
      </c>
      <c r="K1293" s="11">
        <v>51010101</v>
      </c>
      <c r="L1293" s="11" t="s">
        <v>48</v>
      </c>
      <c r="M1293" s="11">
        <v>14615.7</v>
      </c>
      <c r="N1293" s="11"/>
      <c r="O1293" s="42">
        <v>14615.7</v>
      </c>
      <c r="P1293" s="43" t="s">
        <v>4489</v>
      </c>
      <c r="Q1293" s="11">
        <v>1420856.64</v>
      </c>
      <c r="R1293" s="11" t="s">
        <v>2821</v>
      </c>
      <c r="S1293" s="11" t="s">
        <v>40</v>
      </c>
      <c r="T1293" s="11">
        <v>0</v>
      </c>
      <c r="V1293" s="11" t="s">
        <v>41</v>
      </c>
    </row>
    <row r="1294" spans="1:22" x14ac:dyDescent="0.25">
      <c r="A1294" s="11">
        <v>101060401</v>
      </c>
      <c r="B1294" s="11" t="s">
        <v>34</v>
      </c>
      <c r="C1294" s="41">
        <v>44924</v>
      </c>
      <c r="D1294" s="41">
        <v>44924</v>
      </c>
      <c r="E1294" s="11" t="s">
        <v>42</v>
      </c>
      <c r="F1294" s="11" t="s">
        <v>2822</v>
      </c>
      <c r="G1294" s="11">
        <v>110899</v>
      </c>
      <c r="H1294" s="11" t="s">
        <v>178</v>
      </c>
      <c r="J1294" s="11" t="s">
        <v>38</v>
      </c>
      <c r="K1294" s="11">
        <v>51010101</v>
      </c>
      <c r="L1294" s="11" t="s">
        <v>48</v>
      </c>
      <c r="M1294" s="11"/>
      <c r="N1294" s="11">
        <v>134.69</v>
      </c>
      <c r="O1294" s="42">
        <v>-134.69</v>
      </c>
      <c r="P1294" s="43" t="s">
        <v>4489</v>
      </c>
      <c r="Q1294" s="11">
        <v>1420721.95</v>
      </c>
      <c r="R1294" s="11" t="s">
        <v>234</v>
      </c>
      <c r="S1294" s="11" t="s">
        <v>40</v>
      </c>
      <c r="T1294" s="11">
        <v>0</v>
      </c>
      <c r="V1294" s="11" t="s">
        <v>41</v>
      </c>
    </row>
    <row r="1295" spans="1:22" x14ac:dyDescent="0.25">
      <c r="A1295" s="11">
        <v>101060401</v>
      </c>
      <c r="B1295" s="11" t="s">
        <v>34</v>
      </c>
      <c r="C1295" s="41">
        <v>44924</v>
      </c>
      <c r="D1295" s="41">
        <v>44924</v>
      </c>
      <c r="E1295" s="11" t="s">
        <v>42</v>
      </c>
      <c r="F1295" s="11" t="s">
        <v>2823</v>
      </c>
      <c r="G1295" s="11">
        <v>110906</v>
      </c>
      <c r="H1295" s="11" t="s">
        <v>62</v>
      </c>
      <c r="J1295" s="11" t="s">
        <v>38</v>
      </c>
      <c r="K1295" s="11">
        <v>51010101</v>
      </c>
      <c r="L1295" s="11" t="s">
        <v>48</v>
      </c>
      <c r="M1295" s="11"/>
      <c r="N1295" s="11">
        <v>539.58000000000004</v>
      </c>
      <c r="O1295" s="42">
        <v>-539.58000000000004</v>
      </c>
      <c r="P1295" s="43" t="s">
        <v>4489</v>
      </c>
      <c r="Q1295" s="11">
        <v>1420182.37</v>
      </c>
      <c r="R1295" s="11" t="s">
        <v>2824</v>
      </c>
      <c r="S1295" s="11" t="s">
        <v>40</v>
      </c>
      <c r="T1295" s="11">
        <v>0</v>
      </c>
      <c r="V1295" s="11" t="s">
        <v>41</v>
      </c>
    </row>
    <row r="1296" spans="1:22" x14ac:dyDescent="0.25">
      <c r="A1296" s="11">
        <v>101060401</v>
      </c>
      <c r="B1296" s="11" t="s">
        <v>34</v>
      </c>
      <c r="C1296" s="41">
        <v>44924</v>
      </c>
      <c r="D1296" s="41">
        <v>44924</v>
      </c>
      <c r="E1296" s="11" t="s">
        <v>42</v>
      </c>
      <c r="F1296" s="11" t="s">
        <v>2825</v>
      </c>
      <c r="G1296" s="11">
        <v>110907</v>
      </c>
      <c r="H1296" s="11" t="s">
        <v>2826</v>
      </c>
      <c r="J1296" s="11" t="s">
        <v>38</v>
      </c>
      <c r="K1296" s="11">
        <v>51010101</v>
      </c>
      <c r="L1296" s="11" t="s">
        <v>48</v>
      </c>
      <c r="M1296" s="11"/>
      <c r="N1296" s="11">
        <v>13.8</v>
      </c>
      <c r="O1296" s="42">
        <v>-13.8</v>
      </c>
      <c r="P1296" s="43" t="s">
        <v>4489</v>
      </c>
      <c r="Q1296" s="11">
        <v>1420168.57</v>
      </c>
      <c r="R1296" s="11" t="s">
        <v>189</v>
      </c>
      <c r="S1296" s="11" t="s">
        <v>40</v>
      </c>
      <c r="T1296" s="11">
        <v>0</v>
      </c>
      <c r="V1296" s="11" t="s">
        <v>41</v>
      </c>
    </row>
    <row r="1297" spans="1:22" x14ac:dyDescent="0.25">
      <c r="A1297" s="11">
        <v>101060401</v>
      </c>
      <c r="B1297" s="11" t="s">
        <v>34</v>
      </c>
      <c r="C1297" s="41">
        <v>44924</v>
      </c>
      <c r="D1297" s="41">
        <v>44924</v>
      </c>
      <c r="E1297" s="11" t="s">
        <v>42</v>
      </c>
      <c r="F1297" s="11" t="s">
        <v>2827</v>
      </c>
      <c r="G1297" s="11">
        <v>110909</v>
      </c>
      <c r="H1297" s="11" t="s">
        <v>135</v>
      </c>
      <c r="J1297" s="11" t="s">
        <v>38</v>
      </c>
      <c r="K1297" s="11">
        <v>51010101</v>
      </c>
      <c r="L1297" s="11" t="s">
        <v>48</v>
      </c>
      <c r="M1297" s="11"/>
      <c r="N1297" s="11">
        <v>321.73</v>
      </c>
      <c r="O1297" s="42">
        <v>-321.73</v>
      </c>
      <c r="P1297" s="43" t="s">
        <v>4489</v>
      </c>
      <c r="Q1297" s="11">
        <v>1419846.84</v>
      </c>
      <c r="R1297" s="11" t="s">
        <v>2828</v>
      </c>
      <c r="S1297" s="11" t="s">
        <v>40</v>
      </c>
      <c r="T1297" s="11">
        <v>0</v>
      </c>
      <c r="V1297" s="11" t="s">
        <v>41</v>
      </c>
    </row>
    <row r="1298" spans="1:22" x14ac:dyDescent="0.25">
      <c r="A1298" s="11">
        <v>101060401</v>
      </c>
      <c r="B1298" s="11" t="s">
        <v>34</v>
      </c>
      <c r="C1298" s="41">
        <v>44924</v>
      </c>
      <c r="D1298" s="41">
        <v>44924</v>
      </c>
      <c r="E1298" s="11" t="s">
        <v>42</v>
      </c>
      <c r="F1298" s="11" t="s">
        <v>2829</v>
      </c>
      <c r="G1298" s="11">
        <v>110926</v>
      </c>
      <c r="H1298" s="11" t="s">
        <v>158</v>
      </c>
      <c r="J1298" s="11" t="s">
        <v>38</v>
      </c>
      <c r="K1298" s="11">
        <v>51010101</v>
      </c>
      <c r="L1298" s="11" t="s">
        <v>48</v>
      </c>
      <c r="M1298" s="11"/>
      <c r="N1298" s="11">
        <v>280.14999999999998</v>
      </c>
      <c r="O1298" s="42">
        <v>-280.14999999999998</v>
      </c>
      <c r="P1298" s="43" t="s">
        <v>4489</v>
      </c>
      <c r="Q1298" s="11">
        <v>1419566.69</v>
      </c>
      <c r="R1298" s="11" t="s">
        <v>2830</v>
      </c>
      <c r="S1298" s="11" t="s">
        <v>40</v>
      </c>
      <c r="T1298" s="11">
        <v>0</v>
      </c>
      <c r="V1298" s="11" t="s">
        <v>41</v>
      </c>
    </row>
    <row r="1299" spans="1:22" x14ac:dyDescent="0.25">
      <c r="A1299" s="11">
        <v>101060401</v>
      </c>
      <c r="B1299" s="11" t="s">
        <v>34</v>
      </c>
      <c r="C1299" s="41">
        <v>44924</v>
      </c>
      <c r="D1299" s="41">
        <v>44924</v>
      </c>
      <c r="E1299" s="11" t="s">
        <v>42</v>
      </c>
      <c r="F1299" s="11" t="s">
        <v>2831</v>
      </c>
      <c r="G1299" s="11">
        <v>110947</v>
      </c>
      <c r="H1299" s="11" t="s">
        <v>57</v>
      </c>
      <c r="K1299" s="11">
        <v>101060402</v>
      </c>
      <c r="L1299" s="11" t="s">
        <v>44</v>
      </c>
      <c r="M1299" s="11"/>
      <c r="N1299" s="11">
        <v>1621.94</v>
      </c>
      <c r="O1299" s="42">
        <v>-1621.94</v>
      </c>
      <c r="P1299" s="43" t="s">
        <v>4481</v>
      </c>
      <c r="Q1299" s="11">
        <v>1417944.75</v>
      </c>
      <c r="R1299" s="11" t="s">
        <v>2832</v>
      </c>
      <c r="S1299" s="11" t="s">
        <v>40</v>
      </c>
      <c r="T1299" s="11">
        <v>0</v>
      </c>
    </row>
    <row r="1300" spans="1:22" x14ac:dyDescent="0.25">
      <c r="A1300" s="11">
        <v>101060401</v>
      </c>
      <c r="B1300" s="11" t="s">
        <v>34</v>
      </c>
      <c r="C1300" s="41">
        <v>44924</v>
      </c>
      <c r="D1300" s="41">
        <v>44924</v>
      </c>
      <c r="E1300" s="11" t="s">
        <v>42</v>
      </c>
      <c r="F1300" s="11" t="s">
        <v>2833</v>
      </c>
      <c r="G1300" s="11">
        <v>110951</v>
      </c>
      <c r="H1300" s="11" t="s">
        <v>141</v>
      </c>
      <c r="J1300" s="11" t="s">
        <v>38</v>
      </c>
      <c r="K1300" s="11">
        <v>51010101</v>
      </c>
      <c r="L1300" s="11" t="s">
        <v>48</v>
      </c>
      <c r="M1300" s="11"/>
      <c r="N1300" s="11">
        <v>223.47</v>
      </c>
      <c r="O1300" s="42">
        <v>-223.47</v>
      </c>
      <c r="P1300" s="43" t="s">
        <v>4489</v>
      </c>
      <c r="Q1300" s="11">
        <v>1417721.28</v>
      </c>
      <c r="R1300" s="11" t="s">
        <v>2834</v>
      </c>
      <c r="S1300" s="11" t="s">
        <v>40</v>
      </c>
      <c r="T1300" s="11">
        <v>0</v>
      </c>
      <c r="V1300" s="11" t="s">
        <v>41</v>
      </c>
    </row>
    <row r="1301" spans="1:22" x14ac:dyDescent="0.25">
      <c r="A1301" s="11">
        <v>101060401</v>
      </c>
      <c r="B1301" s="11" t="s">
        <v>34</v>
      </c>
      <c r="C1301" s="41">
        <v>44924</v>
      </c>
      <c r="D1301" s="41">
        <v>44924</v>
      </c>
      <c r="E1301" s="11" t="s">
        <v>42</v>
      </c>
      <c r="F1301" s="11" t="s">
        <v>2835</v>
      </c>
      <c r="G1301" s="11">
        <v>110953</v>
      </c>
      <c r="H1301" s="11" t="s">
        <v>174</v>
      </c>
      <c r="J1301" s="11" t="s">
        <v>38</v>
      </c>
      <c r="K1301" s="11">
        <v>51010101</v>
      </c>
      <c r="L1301" s="11" t="s">
        <v>48</v>
      </c>
      <c r="M1301" s="11"/>
      <c r="N1301" s="11">
        <v>1092.43</v>
      </c>
      <c r="O1301" s="42">
        <v>-1092.43</v>
      </c>
      <c r="P1301" s="43" t="s">
        <v>4489</v>
      </c>
      <c r="Q1301" s="11">
        <v>1416628.85</v>
      </c>
      <c r="R1301" s="11" t="s">
        <v>2790</v>
      </c>
      <c r="S1301" s="11" t="s">
        <v>40</v>
      </c>
      <c r="T1301" s="11">
        <v>0</v>
      </c>
      <c r="V1301" s="11" t="s">
        <v>41</v>
      </c>
    </row>
    <row r="1302" spans="1:22" x14ac:dyDescent="0.25">
      <c r="A1302" s="11">
        <v>101060401</v>
      </c>
      <c r="B1302" s="11" t="s">
        <v>34</v>
      </c>
      <c r="C1302" s="41">
        <v>44924</v>
      </c>
      <c r="D1302" s="41">
        <v>44924</v>
      </c>
      <c r="E1302" s="11" t="s">
        <v>42</v>
      </c>
      <c r="F1302" s="11" t="s">
        <v>2836</v>
      </c>
      <c r="G1302" s="11">
        <v>110959</v>
      </c>
      <c r="H1302" s="11" t="s">
        <v>67</v>
      </c>
      <c r="J1302" s="11" t="s">
        <v>38</v>
      </c>
      <c r="K1302" s="11">
        <v>51010101</v>
      </c>
      <c r="L1302" s="11" t="s">
        <v>48</v>
      </c>
      <c r="M1302" s="11"/>
      <c r="N1302" s="11">
        <v>2.71</v>
      </c>
      <c r="O1302" s="42">
        <v>-2.71</v>
      </c>
      <c r="P1302" s="43" t="s">
        <v>4489</v>
      </c>
      <c r="Q1302" s="11">
        <v>1416626.14</v>
      </c>
      <c r="R1302" s="11" t="s">
        <v>1399</v>
      </c>
      <c r="S1302" s="11" t="s">
        <v>40</v>
      </c>
      <c r="T1302" s="11">
        <v>0</v>
      </c>
      <c r="V1302" s="11" t="s">
        <v>41</v>
      </c>
    </row>
    <row r="1303" spans="1:22" x14ac:dyDescent="0.25">
      <c r="A1303" s="11">
        <v>101060401</v>
      </c>
      <c r="B1303" s="11" t="s">
        <v>34</v>
      </c>
      <c r="C1303" s="41">
        <v>44924</v>
      </c>
      <c r="D1303" s="41">
        <v>44924</v>
      </c>
      <c r="E1303" s="11" t="s">
        <v>42</v>
      </c>
      <c r="F1303" s="11" t="s">
        <v>2837</v>
      </c>
      <c r="G1303" s="11">
        <v>110960</v>
      </c>
      <c r="H1303" s="11" t="s">
        <v>140</v>
      </c>
      <c r="J1303" s="11" t="s">
        <v>38</v>
      </c>
      <c r="K1303" s="11">
        <v>51010101</v>
      </c>
      <c r="L1303" s="11" t="s">
        <v>48</v>
      </c>
      <c r="M1303" s="11"/>
      <c r="N1303" s="11">
        <v>22.31</v>
      </c>
      <c r="O1303" s="42">
        <v>-22.31</v>
      </c>
      <c r="P1303" s="43" t="s">
        <v>4489</v>
      </c>
      <c r="Q1303" s="11">
        <v>1416603.83</v>
      </c>
      <c r="R1303" s="11" t="s">
        <v>2838</v>
      </c>
      <c r="S1303" s="11" t="s">
        <v>40</v>
      </c>
      <c r="T1303" s="11">
        <v>0</v>
      </c>
      <c r="V1303" s="11" t="s">
        <v>41</v>
      </c>
    </row>
    <row r="1304" spans="1:22" x14ac:dyDescent="0.25">
      <c r="A1304" s="11">
        <v>101060401</v>
      </c>
      <c r="B1304" s="11" t="s">
        <v>34</v>
      </c>
      <c r="C1304" s="41">
        <v>44924</v>
      </c>
      <c r="D1304" s="41">
        <v>44924</v>
      </c>
      <c r="E1304" s="11" t="s">
        <v>42</v>
      </c>
      <c r="F1304" s="11" t="s">
        <v>2839</v>
      </c>
      <c r="G1304" s="11">
        <v>110967</v>
      </c>
      <c r="H1304" s="11" t="s">
        <v>57</v>
      </c>
      <c r="K1304" s="11">
        <v>101060402</v>
      </c>
      <c r="L1304" s="11" t="s">
        <v>44</v>
      </c>
      <c r="M1304" s="11">
        <v>1908.28</v>
      </c>
      <c r="N1304" s="11"/>
      <c r="O1304" s="42">
        <v>1908.28</v>
      </c>
      <c r="P1304" s="43" t="s">
        <v>4481</v>
      </c>
      <c r="Q1304" s="11">
        <v>1418512.11</v>
      </c>
      <c r="R1304" s="11" t="s">
        <v>2840</v>
      </c>
      <c r="S1304" s="11" t="s">
        <v>106</v>
      </c>
      <c r="T1304" s="11">
        <v>0</v>
      </c>
    </row>
    <row r="1305" spans="1:22" x14ac:dyDescent="0.25">
      <c r="A1305" s="11">
        <v>101060401</v>
      </c>
      <c r="B1305" s="11" t="s">
        <v>34</v>
      </c>
      <c r="C1305" s="41">
        <v>44924</v>
      </c>
      <c r="D1305" s="41">
        <v>44924</v>
      </c>
      <c r="E1305" s="11" t="s">
        <v>42</v>
      </c>
      <c r="F1305" s="11" t="s">
        <v>2841</v>
      </c>
      <c r="G1305" s="11">
        <v>110972</v>
      </c>
      <c r="H1305" s="11" t="s">
        <v>158</v>
      </c>
      <c r="J1305" s="11" t="s">
        <v>38</v>
      </c>
      <c r="K1305" s="11">
        <v>51010101</v>
      </c>
      <c r="L1305" s="11" t="s">
        <v>48</v>
      </c>
      <c r="M1305" s="11"/>
      <c r="N1305" s="11">
        <v>673.79</v>
      </c>
      <c r="O1305" s="42">
        <v>-673.79</v>
      </c>
      <c r="P1305" s="43" t="s">
        <v>4489</v>
      </c>
      <c r="Q1305" s="11">
        <v>1417838.32</v>
      </c>
      <c r="R1305" s="11" t="s">
        <v>2654</v>
      </c>
      <c r="S1305" s="11" t="s">
        <v>40</v>
      </c>
      <c r="T1305" s="11">
        <v>0</v>
      </c>
      <c r="V1305" s="11" t="s">
        <v>41</v>
      </c>
    </row>
    <row r="1306" spans="1:22" x14ac:dyDescent="0.25">
      <c r="A1306" s="11">
        <v>101060401</v>
      </c>
      <c r="B1306" s="11" t="s">
        <v>34</v>
      </c>
      <c r="C1306" s="41">
        <v>44924</v>
      </c>
      <c r="D1306" s="41">
        <v>44924</v>
      </c>
      <c r="E1306" s="11" t="s">
        <v>42</v>
      </c>
      <c r="F1306" s="11" t="s">
        <v>2842</v>
      </c>
      <c r="G1306" s="11">
        <v>110974</v>
      </c>
      <c r="H1306" s="11" t="s">
        <v>158</v>
      </c>
      <c r="J1306" s="11" t="s">
        <v>38</v>
      </c>
      <c r="K1306" s="11">
        <v>51010101</v>
      </c>
      <c r="L1306" s="11" t="s">
        <v>48</v>
      </c>
      <c r="M1306" s="11"/>
      <c r="N1306" s="11">
        <v>700.71</v>
      </c>
      <c r="O1306" s="42">
        <v>-700.71</v>
      </c>
      <c r="P1306" s="43" t="s">
        <v>4489</v>
      </c>
      <c r="Q1306" s="11">
        <v>1417137.61</v>
      </c>
      <c r="R1306" s="11" t="s">
        <v>2843</v>
      </c>
      <c r="S1306" s="11" t="s">
        <v>40</v>
      </c>
      <c r="T1306" s="11">
        <v>0</v>
      </c>
      <c r="V1306" s="11" t="s">
        <v>41</v>
      </c>
    </row>
    <row r="1307" spans="1:22" x14ac:dyDescent="0.25">
      <c r="A1307" s="11">
        <v>101060401</v>
      </c>
      <c r="B1307" s="11" t="s">
        <v>34</v>
      </c>
      <c r="C1307" s="41">
        <v>44924</v>
      </c>
      <c r="D1307" s="41">
        <v>44924</v>
      </c>
      <c r="E1307" s="11" t="s">
        <v>42</v>
      </c>
      <c r="F1307" s="11" t="s">
        <v>2844</v>
      </c>
      <c r="G1307" s="11">
        <v>111011</v>
      </c>
      <c r="H1307" s="11" t="s">
        <v>248</v>
      </c>
      <c r="J1307" s="11" t="s">
        <v>38</v>
      </c>
      <c r="K1307" s="11">
        <v>51010101</v>
      </c>
      <c r="L1307" s="11" t="s">
        <v>48</v>
      </c>
      <c r="M1307" s="11">
        <v>539.58000000000004</v>
      </c>
      <c r="N1307" s="11"/>
      <c r="O1307" s="42">
        <v>539.58000000000004</v>
      </c>
      <c r="P1307" s="43" t="s">
        <v>4489</v>
      </c>
      <c r="Q1307" s="11">
        <v>1417677.19</v>
      </c>
      <c r="R1307" s="11" t="s">
        <v>2845</v>
      </c>
      <c r="S1307" s="11" t="s">
        <v>40</v>
      </c>
      <c r="T1307" s="11">
        <v>0</v>
      </c>
      <c r="V1307" s="11" t="s">
        <v>41</v>
      </c>
    </row>
    <row r="1308" spans="1:22" x14ac:dyDescent="0.25">
      <c r="A1308" s="11">
        <v>101060401</v>
      </c>
      <c r="B1308" s="11" t="s">
        <v>34</v>
      </c>
      <c r="C1308" s="41">
        <v>44925</v>
      </c>
      <c r="D1308" s="41">
        <v>44925</v>
      </c>
      <c r="E1308" s="11" t="s">
        <v>42</v>
      </c>
      <c r="F1308" s="11" t="s">
        <v>2846</v>
      </c>
      <c r="G1308" s="11">
        <v>110998</v>
      </c>
      <c r="H1308" s="11" t="s">
        <v>93</v>
      </c>
      <c r="J1308" s="11" t="s">
        <v>38</v>
      </c>
      <c r="K1308" s="11">
        <v>51010101</v>
      </c>
      <c r="L1308" s="11" t="s">
        <v>48</v>
      </c>
      <c r="M1308" s="11"/>
      <c r="N1308" s="11">
        <v>109.16</v>
      </c>
      <c r="O1308" s="42">
        <v>-109.16</v>
      </c>
      <c r="P1308" s="43" t="s">
        <v>4489</v>
      </c>
      <c r="Q1308" s="11">
        <v>1417568.03</v>
      </c>
      <c r="R1308" s="11" t="s">
        <v>2847</v>
      </c>
      <c r="S1308" s="11" t="s">
        <v>40</v>
      </c>
      <c r="T1308" s="11">
        <v>0</v>
      </c>
      <c r="V1308" s="11" t="s">
        <v>41</v>
      </c>
    </row>
    <row r="1309" spans="1:22" x14ac:dyDescent="0.25">
      <c r="A1309" s="11">
        <v>101060401</v>
      </c>
      <c r="B1309" s="11" t="s">
        <v>34</v>
      </c>
      <c r="C1309" s="41">
        <v>44925</v>
      </c>
      <c r="D1309" s="41">
        <v>44925</v>
      </c>
      <c r="E1309" s="11" t="s">
        <v>36</v>
      </c>
      <c r="F1309" s="11" t="s">
        <v>2848</v>
      </c>
      <c r="G1309" s="11">
        <v>111000</v>
      </c>
      <c r="H1309" s="11" t="s">
        <v>80</v>
      </c>
      <c r="K1309" s="11">
        <v>201040506</v>
      </c>
      <c r="L1309" s="11" t="s">
        <v>46</v>
      </c>
      <c r="M1309" s="11">
        <v>430</v>
      </c>
      <c r="N1309" s="11"/>
      <c r="O1309" s="42">
        <v>430</v>
      </c>
      <c r="P1309" s="43" t="s">
        <v>4480</v>
      </c>
      <c r="Q1309" s="11">
        <v>1417998.03</v>
      </c>
      <c r="R1309" s="11" t="s">
        <v>2849</v>
      </c>
      <c r="S1309" s="11" t="s">
        <v>40</v>
      </c>
      <c r="T1309" s="11">
        <v>0</v>
      </c>
    </row>
    <row r="1310" spans="1:22" x14ac:dyDescent="0.25">
      <c r="A1310" s="11">
        <v>101060401</v>
      </c>
      <c r="B1310" s="11" t="s">
        <v>34</v>
      </c>
      <c r="C1310" s="41">
        <v>44925</v>
      </c>
      <c r="D1310" s="41">
        <v>44925</v>
      </c>
      <c r="E1310" s="11" t="s">
        <v>42</v>
      </c>
      <c r="F1310" s="11" t="s">
        <v>2850</v>
      </c>
      <c r="G1310" s="11">
        <v>111001</v>
      </c>
      <c r="H1310" s="11" t="s">
        <v>57</v>
      </c>
      <c r="K1310" s="11">
        <v>101060402</v>
      </c>
      <c r="L1310" s="11" t="s">
        <v>44</v>
      </c>
      <c r="M1310" s="11"/>
      <c r="N1310" s="11">
        <v>430</v>
      </c>
      <c r="O1310" s="42">
        <v>-430</v>
      </c>
      <c r="P1310" s="43" t="s">
        <v>4481</v>
      </c>
      <c r="Q1310" s="11">
        <v>1417568.03</v>
      </c>
      <c r="R1310" s="11" t="s">
        <v>2851</v>
      </c>
      <c r="S1310" s="11" t="s">
        <v>40</v>
      </c>
      <c r="T1310" s="11">
        <v>0</v>
      </c>
    </row>
    <row r="1311" spans="1:22" x14ac:dyDescent="0.25">
      <c r="A1311" s="11">
        <v>101060401</v>
      </c>
      <c r="B1311" s="11" t="s">
        <v>34</v>
      </c>
      <c r="C1311" s="41">
        <v>44925</v>
      </c>
      <c r="D1311" s="41">
        <v>44925</v>
      </c>
      <c r="E1311" s="11" t="s">
        <v>42</v>
      </c>
      <c r="F1311" s="11" t="s">
        <v>2852</v>
      </c>
      <c r="G1311" s="11">
        <v>111004</v>
      </c>
      <c r="H1311" s="11" t="s">
        <v>71</v>
      </c>
      <c r="J1311" s="11" t="s">
        <v>38</v>
      </c>
      <c r="K1311" s="11">
        <v>51010101</v>
      </c>
      <c r="L1311" s="11" t="s">
        <v>48</v>
      </c>
      <c r="M1311" s="11"/>
      <c r="N1311" s="11">
        <v>88.44</v>
      </c>
      <c r="O1311" s="42">
        <v>-88.44</v>
      </c>
      <c r="P1311" s="43" t="s">
        <v>4489</v>
      </c>
      <c r="Q1311" s="11">
        <v>1417479.59</v>
      </c>
      <c r="R1311" s="11" t="s">
        <v>2853</v>
      </c>
      <c r="S1311" s="11" t="s">
        <v>40</v>
      </c>
      <c r="T1311" s="11">
        <v>0</v>
      </c>
      <c r="V1311" s="11" t="s">
        <v>41</v>
      </c>
    </row>
    <row r="1312" spans="1:22" x14ac:dyDescent="0.25">
      <c r="A1312" s="11">
        <v>101060401</v>
      </c>
      <c r="B1312" s="11" t="s">
        <v>34</v>
      </c>
      <c r="C1312" s="41">
        <v>44925</v>
      </c>
      <c r="D1312" s="41">
        <v>44925</v>
      </c>
      <c r="E1312" s="11" t="s">
        <v>36</v>
      </c>
      <c r="F1312" s="11" t="s">
        <v>2854</v>
      </c>
      <c r="G1312" s="11">
        <v>111205</v>
      </c>
      <c r="H1312" s="11" t="s">
        <v>2855</v>
      </c>
      <c r="J1312" s="11" t="s">
        <v>38</v>
      </c>
      <c r="K1312" s="11">
        <v>51010104</v>
      </c>
      <c r="L1312" s="11" t="s">
        <v>2856</v>
      </c>
      <c r="N1312" s="26">
        <v>55286.42</v>
      </c>
      <c r="O1312" s="44">
        <v>-55286.42</v>
      </c>
      <c r="P1312" s="43" t="s">
        <v>4490</v>
      </c>
      <c r="Q1312" s="11">
        <v>1362193.17</v>
      </c>
      <c r="R1312" s="11" t="s">
        <v>2857</v>
      </c>
      <c r="S1312" s="11" t="s">
        <v>202</v>
      </c>
      <c r="T1312" s="11">
        <v>0</v>
      </c>
      <c r="V1312" s="11" t="s">
        <v>41</v>
      </c>
    </row>
    <row r="1313" spans="1:22" x14ac:dyDescent="0.25">
      <c r="A1313" s="11">
        <v>101060401</v>
      </c>
      <c r="B1313" s="11" t="s">
        <v>34</v>
      </c>
      <c r="C1313" s="41">
        <v>44925</v>
      </c>
      <c r="D1313" s="41">
        <v>44925</v>
      </c>
      <c r="E1313" s="11" t="s">
        <v>36</v>
      </c>
      <c r="F1313" s="11" t="s">
        <v>2858</v>
      </c>
      <c r="G1313" s="11">
        <v>112009</v>
      </c>
      <c r="H1313" s="11" t="s">
        <v>2859</v>
      </c>
      <c r="J1313" s="11" t="s">
        <v>38</v>
      </c>
      <c r="K1313" s="11">
        <v>51010101</v>
      </c>
      <c r="L1313" s="11" t="s">
        <v>48</v>
      </c>
      <c r="M1313" s="11">
        <v>2235.83</v>
      </c>
      <c r="N1313" s="11"/>
      <c r="O1313" s="42">
        <v>2235.83</v>
      </c>
      <c r="P1313" s="43" t="s">
        <v>4489</v>
      </c>
      <c r="Q1313" s="11">
        <v>1364429</v>
      </c>
      <c r="R1313" s="11" t="s">
        <v>2860</v>
      </c>
      <c r="S1313" s="11" t="s">
        <v>202</v>
      </c>
      <c r="T1313" s="11">
        <v>0</v>
      </c>
      <c r="V1313" s="11" t="s">
        <v>41</v>
      </c>
    </row>
    <row r="1314" spans="1:22" x14ac:dyDescent="0.25">
      <c r="A1314" s="11">
        <v>101060401</v>
      </c>
      <c r="B1314" s="11" t="s">
        <v>34</v>
      </c>
      <c r="C1314" s="41">
        <v>44925</v>
      </c>
      <c r="D1314" s="41">
        <v>44925</v>
      </c>
      <c r="E1314" s="11" t="s">
        <v>36</v>
      </c>
      <c r="F1314" s="11" t="s">
        <v>2861</v>
      </c>
      <c r="G1314" s="11">
        <v>112011</v>
      </c>
      <c r="H1314" s="11" t="s">
        <v>2862</v>
      </c>
      <c r="J1314" s="11" t="s">
        <v>38</v>
      </c>
      <c r="K1314" s="11">
        <v>51010101</v>
      </c>
      <c r="L1314" s="11" t="s">
        <v>48</v>
      </c>
      <c r="M1314" s="11"/>
      <c r="N1314" s="11">
        <v>3845.28</v>
      </c>
      <c r="O1314" s="42">
        <v>-3845.28</v>
      </c>
      <c r="P1314" s="43" t="s">
        <v>4489</v>
      </c>
      <c r="Q1314" s="11">
        <v>1360583.72</v>
      </c>
      <c r="R1314" s="11" t="s">
        <v>2863</v>
      </c>
      <c r="S1314" s="11" t="s">
        <v>202</v>
      </c>
      <c r="T1314" s="11">
        <v>0</v>
      </c>
      <c r="V1314" s="11" t="s">
        <v>41</v>
      </c>
    </row>
    <row r="1315" spans="1:22" x14ac:dyDescent="0.25">
      <c r="A1315" s="11">
        <v>101060401</v>
      </c>
      <c r="B1315" s="11" t="s">
        <v>34</v>
      </c>
      <c r="C1315" s="41">
        <v>44925</v>
      </c>
      <c r="D1315" s="41">
        <v>44925</v>
      </c>
      <c r="E1315" s="11" t="s">
        <v>36</v>
      </c>
      <c r="F1315" s="11" t="s">
        <v>2864</v>
      </c>
      <c r="G1315" s="11">
        <v>112094</v>
      </c>
      <c r="H1315" s="11" t="s">
        <v>2862</v>
      </c>
      <c r="J1315" s="11" t="s">
        <v>240</v>
      </c>
      <c r="K1315" s="11">
        <v>51010103</v>
      </c>
      <c r="L1315" s="11" t="s">
        <v>39</v>
      </c>
      <c r="M1315" s="26">
        <v>1.26</v>
      </c>
      <c r="O1315" s="44">
        <v>1.26</v>
      </c>
      <c r="P1315" s="43" t="s">
        <v>4493</v>
      </c>
      <c r="Q1315" s="11">
        <v>1360584.98</v>
      </c>
      <c r="R1315" s="11" t="s">
        <v>2865</v>
      </c>
      <c r="S1315" s="11" t="s">
        <v>202</v>
      </c>
      <c r="T1315" s="11">
        <v>0</v>
      </c>
      <c r="V1315" s="11" t="s">
        <v>241</v>
      </c>
    </row>
    <row r="1316" spans="1:22" x14ac:dyDescent="0.25">
      <c r="A1316" s="11">
        <v>101060401</v>
      </c>
      <c r="B1316" s="11" t="s">
        <v>34</v>
      </c>
      <c r="C1316" s="41">
        <v>44925</v>
      </c>
      <c r="D1316" s="41">
        <v>44925</v>
      </c>
      <c r="E1316" s="11" t="s">
        <v>36</v>
      </c>
      <c r="F1316" s="11" t="s">
        <v>2866</v>
      </c>
      <c r="G1316" s="11">
        <v>112095</v>
      </c>
      <c r="H1316" s="11" t="s">
        <v>2867</v>
      </c>
      <c r="J1316" s="11" t="s">
        <v>38</v>
      </c>
      <c r="K1316" s="11">
        <v>51010101</v>
      </c>
      <c r="L1316" s="11" t="s">
        <v>48</v>
      </c>
      <c r="M1316" s="11"/>
      <c r="N1316" s="11">
        <v>17.510000000000002</v>
      </c>
      <c r="O1316" s="42">
        <v>-17.510000000000002</v>
      </c>
      <c r="P1316" s="43" t="s">
        <v>4489</v>
      </c>
      <c r="Q1316" s="11">
        <v>1360567.47</v>
      </c>
      <c r="R1316" s="11" t="s">
        <v>2868</v>
      </c>
      <c r="S1316" s="11" t="s">
        <v>202</v>
      </c>
      <c r="T1316" s="11">
        <v>0</v>
      </c>
      <c r="V1316" s="11" t="s">
        <v>41</v>
      </c>
    </row>
    <row r="1317" spans="1:22" x14ac:dyDescent="0.25">
      <c r="A1317" s="11">
        <v>101060401</v>
      </c>
      <c r="B1317" s="11" t="s">
        <v>34</v>
      </c>
      <c r="C1317" s="41">
        <v>44926</v>
      </c>
      <c r="D1317" s="41">
        <v>44926</v>
      </c>
      <c r="E1317" s="11" t="s">
        <v>42</v>
      </c>
      <c r="F1317" s="11" t="s">
        <v>2869</v>
      </c>
      <c r="G1317" s="11">
        <v>111520</v>
      </c>
      <c r="H1317" s="11" t="s">
        <v>57</v>
      </c>
      <c r="K1317" s="11">
        <v>101060402</v>
      </c>
      <c r="L1317" s="11" t="s">
        <v>44</v>
      </c>
      <c r="M1317" s="11"/>
      <c r="N1317" s="11">
        <v>28233.8</v>
      </c>
      <c r="O1317" s="42">
        <v>-28233.8</v>
      </c>
      <c r="P1317" s="43" t="s">
        <v>4481</v>
      </c>
      <c r="Q1317" s="11">
        <v>1332333.67</v>
      </c>
      <c r="R1317" s="11" t="s">
        <v>2870</v>
      </c>
      <c r="S1317" s="11" t="s">
        <v>40</v>
      </c>
      <c r="T1317" s="11">
        <v>0</v>
      </c>
    </row>
    <row r="1318" spans="1:22" x14ac:dyDescent="0.25">
      <c r="A1318" s="11">
        <v>101060401</v>
      </c>
      <c r="B1318" s="11" t="s">
        <v>34</v>
      </c>
      <c r="C1318" s="41">
        <v>44926</v>
      </c>
      <c r="D1318" s="41">
        <v>44926</v>
      </c>
      <c r="E1318" s="11" t="s">
        <v>42</v>
      </c>
      <c r="F1318" s="11" t="s">
        <v>2869</v>
      </c>
      <c r="G1318" s="11">
        <v>111520</v>
      </c>
      <c r="H1318" s="11" t="s">
        <v>57</v>
      </c>
      <c r="K1318" s="11">
        <v>101060402</v>
      </c>
      <c r="L1318" s="11" t="s">
        <v>44</v>
      </c>
      <c r="M1318" s="11">
        <v>6586.37</v>
      </c>
      <c r="N1318" s="11"/>
      <c r="O1318" s="42">
        <v>6586.37</v>
      </c>
      <c r="P1318" s="43" t="s">
        <v>4481</v>
      </c>
      <c r="Q1318" s="11">
        <v>1338920.04</v>
      </c>
      <c r="R1318" s="11" t="s">
        <v>2871</v>
      </c>
      <c r="S1318" s="11" t="s">
        <v>40</v>
      </c>
      <c r="T1318" s="11">
        <v>0</v>
      </c>
    </row>
    <row r="1319" spans="1:22" x14ac:dyDescent="0.25">
      <c r="A1319" s="11">
        <v>101060402</v>
      </c>
      <c r="B1319" s="11" t="s">
        <v>44</v>
      </c>
      <c r="C1319" s="11" t="s">
        <v>35</v>
      </c>
      <c r="D1319" s="11">
        <v>101060402</v>
      </c>
      <c r="H1319" s="11" t="s">
        <v>9</v>
      </c>
      <c r="M1319" s="11">
        <v>1274570.99</v>
      </c>
      <c r="N1319" s="11"/>
      <c r="O1319" s="40">
        <v>1274570.99</v>
      </c>
      <c r="P1319" s="11" t="s">
        <v>9</v>
      </c>
      <c r="Q1319" s="11">
        <v>1274570.99</v>
      </c>
    </row>
    <row r="1320" spans="1:22" x14ac:dyDescent="0.25">
      <c r="A1320" s="11">
        <v>101060402</v>
      </c>
      <c r="B1320" s="11" t="s">
        <v>44</v>
      </c>
      <c r="C1320" s="41">
        <v>44835</v>
      </c>
      <c r="D1320" s="41">
        <v>44835</v>
      </c>
      <c r="E1320" s="11" t="s">
        <v>42</v>
      </c>
      <c r="F1320" s="11" t="s">
        <v>2896</v>
      </c>
      <c r="G1320" s="11">
        <v>106369</v>
      </c>
      <c r="H1320" s="11" t="s">
        <v>165</v>
      </c>
      <c r="J1320" s="11" t="s">
        <v>240</v>
      </c>
      <c r="K1320" s="11">
        <v>51010102</v>
      </c>
      <c r="L1320" s="11" t="s">
        <v>194</v>
      </c>
      <c r="M1320" s="11"/>
      <c r="N1320" s="11">
        <v>170.6</v>
      </c>
      <c r="O1320" s="42">
        <v>-170.6</v>
      </c>
      <c r="P1320" s="43" t="s">
        <v>4489</v>
      </c>
      <c r="Q1320" s="11">
        <v>669069.05000000005</v>
      </c>
      <c r="R1320" s="11" t="s">
        <v>2897</v>
      </c>
      <c r="S1320" s="11" t="s">
        <v>106</v>
      </c>
      <c r="T1320" s="11">
        <v>0</v>
      </c>
      <c r="V1320" s="11" t="s">
        <v>241</v>
      </c>
    </row>
    <row r="1321" spans="1:22" x14ac:dyDescent="0.25">
      <c r="A1321" s="11">
        <v>101060402</v>
      </c>
      <c r="B1321" s="11" t="s">
        <v>44</v>
      </c>
      <c r="C1321" s="41">
        <v>44835</v>
      </c>
      <c r="D1321" s="41">
        <v>44835</v>
      </c>
      <c r="E1321" s="11" t="s">
        <v>42</v>
      </c>
      <c r="F1321" s="11" t="s">
        <v>2898</v>
      </c>
      <c r="G1321" s="11">
        <v>106370</v>
      </c>
      <c r="H1321" s="11" t="s">
        <v>208</v>
      </c>
      <c r="J1321" s="11" t="s">
        <v>38</v>
      </c>
      <c r="K1321" s="11">
        <v>51010102</v>
      </c>
      <c r="L1321" s="11" t="s">
        <v>194</v>
      </c>
      <c r="M1321" s="11"/>
      <c r="N1321" s="11">
        <v>27.05</v>
      </c>
      <c r="O1321" s="42">
        <v>-27.05</v>
      </c>
      <c r="P1321" s="43" t="s">
        <v>4489</v>
      </c>
      <c r="Q1321" s="11">
        <v>669042</v>
      </c>
      <c r="R1321" s="11" t="s">
        <v>2899</v>
      </c>
      <c r="S1321" s="11" t="s">
        <v>106</v>
      </c>
      <c r="T1321" s="11">
        <v>0</v>
      </c>
      <c r="V1321" s="11" t="s">
        <v>41</v>
      </c>
    </row>
    <row r="1322" spans="1:22" x14ac:dyDescent="0.25">
      <c r="A1322" s="11">
        <v>101060402</v>
      </c>
      <c r="B1322" s="11" t="s">
        <v>44</v>
      </c>
      <c r="C1322" s="41">
        <v>44835</v>
      </c>
      <c r="D1322" s="41">
        <v>44835</v>
      </c>
      <c r="E1322" s="11" t="s">
        <v>42</v>
      </c>
      <c r="F1322" s="11" t="s">
        <v>2898</v>
      </c>
      <c r="G1322" s="11">
        <v>106370</v>
      </c>
      <c r="H1322" s="11" t="s">
        <v>208</v>
      </c>
      <c r="J1322" s="11" t="s">
        <v>240</v>
      </c>
      <c r="K1322" s="11">
        <v>51010102</v>
      </c>
      <c r="L1322" s="11" t="s">
        <v>194</v>
      </c>
      <c r="M1322" s="11"/>
      <c r="N1322" s="11">
        <v>28.9</v>
      </c>
      <c r="O1322" s="42">
        <v>-28.9</v>
      </c>
      <c r="P1322" s="43" t="s">
        <v>4489</v>
      </c>
      <c r="Q1322" s="11">
        <v>669013.1</v>
      </c>
      <c r="R1322" s="11" t="s">
        <v>256</v>
      </c>
      <c r="S1322" s="11" t="s">
        <v>106</v>
      </c>
      <c r="T1322" s="11">
        <v>0</v>
      </c>
      <c r="V1322" s="11" t="s">
        <v>241</v>
      </c>
    </row>
    <row r="1323" spans="1:22" x14ac:dyDescent="0.25">
      <c r="A1323" s="11">
        <v>101060402</v>
      </c>
      <c r="B1323" s="11" t="s">
        <v>44</v>
      </c>
      <c r="C1323" s="41">
        <v>44835</v>
      </c>
      <c r="D1323" s="41">
        <v>44835</v>
      </c>
      <c r="E1323" s="11" t="s">
        <v>42</v>
      </c>
      <c r="F1323" s="11" t="s">
        <v>2900</v>
      </c>
      <c r="G1323" s="11">
        <v>106371</v>
      </c>
      <c r="H1323" s="11" t="s">
        <v>222</v>
      </c>
      <c r="J1323" s="11" t="s">
        <v>240</v>
      </c>
      <c r="K1323" s="11">
        <v>51010102</v>
      </c>
      <c r="L1323" s="11" t="s">
        <v>194</v>
      </c>
      <c r="M1323" s="11"/>
      <c r="N1323" s="11">
        <v>22.39</v>
      </c>
      <c r="O1323" s="42">
        <v>-22.39</v>
      </c>
      <c r="P1323" s="43" t="s">
        <v>4489</v>
      </c>
      <c r="Q1323" s="11">
        <v>668990.71</v>
      </c>
      <c r="R1323" s="11" t="s">
        <v>2901</v>
      </c>
      <c r="S1323" s="11" t="s">
        <v>106</v>
      </c>
      <c r="T1323" s="11">
        <v>0</v>
      </c>
      <c r="V1323" s="11" t="s">
        <v>241</v>
      </c>
    </row>
    <row r="1324" spans="1:22" x14ac:dyDescent="0.25">
      <c r="A1324" s="11">
        <v>101060402</v>
      </c>
      <c r="B1324" s="11" t="s">
        <v>44</v>
      </c>
      <c r="C1324" s="41">
        <v>44837</v>
      </c>
      <c r="D1324" s="41">
        <v>44837</v>
      </c>
      <c r="E1324" s="11" t="s">
        <v>42</v>
      </c>
      <c r="F1324" s="11" t="s">
        <v>2902</v>
      </c>
      <c r="G1324" s="11">
        <v>106372</v>
      </c>
      <c r="H1324" s="11" t="s">
        <v>99</v>
      </c>
      <c r="J1324" s="11" t="s">
        <v>240</v>
      </c>
      <c r="K1324" s="11">
        <v>51010102</v>
      </c>
      <c r="L1324" s="11" t="s">
        <v>194</v>
      </c>
      <c r="M1324" s="11"/>
      <c r="N1324" s="11">
        <v>815.4</v>
      </c>
      <c r="O1324" s="42">
        <v>-815.4</v>
      </c>
      <c r="P1324" s="43" t="s">
        <v>4489</v>
      </c>
      <c r="Q1324" s="11">
        <v>668175.31000000006</v>
      </c>
      <c r="R1324" s="11" t="s">
        <v>441</v>
      </c>
      <c r="S1324" s="11" t="s">
        <v>106</v>
      </c>
      <c r="T1324" s="11">
        <v>0</v>
      </c>
      <c r="V1324" s="11" t="s">
        <v>241</v>
      </c>
    </row>
    <row r="1325" spans="1:22" x14ac:dyDescent="0.25">
      <c r="A1325" s="11">
        <v>101060402</v>
      </c>
      <c r="B1325" s="11" t="s">
        <v>44</v>
      </c>
      <c r="C1325" s="41">
        <v>44837</v>
      </c>
      <c r="D1325" s="41">
        <v>44837</v>
      </c>
      <c r="E1325" s="11" t="s">
        <v>42</v>
      </c>
      <c r="F1325" s="11" t="s">
        <v>359</v>
      </c>
      <c r="G1325" s="11">
        <v>106375</v>
      </c>
      <c r="H1325" s="11" t="s">
        <v>57</v>
      </c>
      <c r="K1325" s="11">
        <v>101060409</v>
      </c>
      <c r="L1325" s="11" t="s">
        <v>128</v>
      </c>
      <c r="M1325" s="11">
        <v>83.46</v>
      </c>
      <c r="N1325" s="11"/>
      <c r="O1325" s="42">
        <v>83.46</v>
      </c>
      <c r="P1325" s="43" t="s">
        <v>4481</v>
      </c>
      <c r="Q1325" s="11">
        <v>668258.77</v>
      </c>
      <c r="R1325" s="11" t="s">
        <v>2903</v>
      </c>
      <c r="S1325" s="11" t="s">
        <v>40</v>
      </c>
      <c r="T1325" s="11">
        <v>0</v>
      </c>
    </row>
    <row r="1326" spans="1:22" x14ac:dyDescent="0.25">
      <c r="A1326" s="11">
        <v>101060402</v>
      </c>
      <c r="B1326" s="11" t="s">
        <v>44</v>
      </c>
      <c r="C1326" s="41">
        <v>44837</v>
      </c>
      <c r="D1326" s="41">
        <v>44837</v>
      </c>
      <c r="E1326" s="11" t="s">
        <v>42</v>
      </c>
      <c r="F1326" s="11" t="s">
        <v>2904</v>
      </c>
      <c r="G1326" s="11">
        <v>106378</v>
      </c>
      <c r="H1326" s="11" t="s">
        <v>245</v>
      </c>
      <c r="J1326" s="11" t="s">
        <v>240</v>
      </c>
      <c r="K1326" s="11">
        <v>51010102</v>
      </c>
      <c r="L1326" s="11" t="s">
        <v>194</v>
      </c>
      <c r="M1326" s="11"/>
      <c r="N1326" s="11">
        <v>841.13</v>
      </c>
      <c r="O1326" s="42">
        <v>-841.13</v>
      </c>
      <c r="P1326" s="43" t="s">
        <v>4489</v>
      </c>
      <c r="Q1326" s="11">
        <v>667417.64</v>
      </c>
      <c r="R1326" s="11" t="s">
        <v>2905</v>
      </c>
      <c r="S1326" s="11" t="s">
        <v>106</v>
      </c>
      <c r="T1326" s="11">
        <v>0</v>
      </c>
      <c r="V1326" s="11" t="s">
        <v>241</v>
      </c>
    </row>
    <row r="1327" spans="1:22" x14ac:dyDescent="0.25">
      <c r="A1327" s="11">
        <v>101060402</v>
      </c>
      <c r="B1327" s="11" t="s">
        <v>44</v>
      </c>
      <c r="C1327" s="41">
        <v>44837</v>
      </c>
      <c r="D1327" s="41">
        <v>44837</v>
      </c>
      <c r="E1327" s="11" t="s">
        <v>42</v>
      </c>
      <c r="F1327" s="11" t="s">
        <v>2906</v>
      </c>
      <c r="G1327" s="11">
        <v>106383</v>
      </c>
      <c r="H1327" s="11" t="s">
        <v>114</v>
      </c>
      <c r="J1327" s="11" t="s">
        <v>240</v>
      </c>
      <c r="K1327" s="11">
        <v>51010102</v>
      </c>
      <c r="L1327" s="11" t="s">
        <v>194</v>
      </c>
      <c r="M1327" s="11"/>
      <c r="N1327" s="11">
        <v>56</v>
      </c>
      <c r="O1327" s="42">
        <v>-56</v>
      </c>
      <c r="P1327" s="43" t="s">
        <v>4489</v>
      </c>
      <c r="Q1327" s="11">
        <v>667361.64</v>
      </c>
      <c r="R1327" s="11" t="s">
        <v>271</v>
      </c>
      <c r="S1327" s="11" t="s">
        <v>106</v>
      </c>
      <c r="T1327" s="11">
        <v>0</v>
      </c>
      <c r="V1327" s="11" t="s">
        <v>241</v>
      </c>
    </row>
    <row r="1328" spans="1:22" x14ac:dyDescent="0.25">
      <c r="A1328" s="11">
        <v>101060402</v>
      </c>
      <c r="B1328" s="11" t="s">
        <v>44</v>
      </c>
      <c r="C1328" s="41">
        <v>44837</v>
      </c>
      <c r="D1328" s="41">
        <v>44837</v>
      </c>
      <c r="E1328" s="11" t="s">
        <v>42</v>
      </c>
      <c r="F1328" s="11" t="s">
        <v>380</v>
      </c>
      <c r="G1328" s="11">
        <v>106394</v>
      </c>
      <c r="H1328" s="11" t="s">
        <v>57</v>
      </c>
      <c r="K1328" s="11">
        <v>101060401</v>
      </c>
      <c r="L1328" s="11" t="s">
        <v>34</v>
      </c>
      <c r="M1328" s="11">
        <v>246.57</v>
      </c>
      <c r="N1328" s="11"/>
      <c r="O1328" s="42">
        <v>246.57</v>
      </c>
      <c r="P1328" s="43" t="s">
        <v>4481</v>
      </c>
      <c r="Q1328" s="11">
        <v>667608.21</v>
      </c>
      <c r="R1328" s="11" t="s">
        <v>2907</v>
      </c>
      <c r="S1328" s="11" t="s">
        <v>40</v>
      </c>
      <c r="T1328" s="11">
        <v>0</v>
      </c>
    </row>
    <row r="1329" spans="1:22" x14ac:dyDescent="0.25">
      <c r="A1329" s="11">
        <v>101060402</v>
      </c>
      <c r="B1329" s="11" t="s">
        <v>44</v>
      </c>
      <c r="C1329" s="41">
        <v>44837</v>
      </c>
      <c r="D1329" s="41">
        <v>44837</v>
      </c>
      <c r="E1329" s="11" t="s">
        <v>42</v>
      </c>
      <c r="F1329" s="11" t="s">
        <v>2908</v>
      </c>
      <c r="G1329" s="11">
        <v>106398</v>
      </c>
      <c r="H1329" s="11" t="s">
        <v>47</v>
      </c>
      <c r="J1329" s="11" t="s">
        <v>240</v>
      </c>
      <c r="K1329" s="11">
        <v>51010102</v>
      </c>
      <c r="L1329" s="11" t="s">
        <v>194</v>
      </c>
      <c r="M1329" s="11"/>
      <c r="N1329" s="11">
        <v>92.93</v>
      </c>
      <c r="O1329" s="42">
        <v>-92.93</v>
      </c>
      <c r="P1329" s="43" t="s">
        <v>4489</v>
      </c>
      <c r="Q1329" s="11">
        <v>667515.28</v>
      </c>
      <c r="R1329" s="11" t="s">
        <v>2909</v>
      </c>
      <c r="S1329" s="11" t="s">
        <v>106</v>
      </c>
      <c r="T1329" s="11">
        <v>0</v>
      </c>
      <c r="V1329" s="11" t="s">
        <v>241</v>
      </c>
    </row>
    <row r="1330" spans="1:22" x14ac:dyDescent="0.25">
      <c r="A1330" s="11">
        <v>101060402</v>
      </c>
      <c r="B1330" s="11" t="s">
        <v>44</v>
      </c>
      <c r="C1330" s="41">
        <v>44837</v>
      </c>
      <c r="D1330" s="41">
        <v>44837</v>
      </c>
      <c r="E1330" s="11" t="s">
        <v>42</v>
      </c>
      <c r="F1330" s="11" t="s">
        <v>2910</v>
      </c>
      <c r="G1330" s="11">
        <v>108855</v>
      </c>
      <c r="H1330" s="11" t="s">
        <v>268</v>
      </c>
      <c r="J1330" s="11" t="s">
        <v>240</v>
      </c>
      <c r="K1330" s="11">
        <v>51010102</v>
      </c>
      <c r="L1330" s="11" t="s">
        <v>194</v>
      </c>
      <c r="M1330" s="11">
        <v>815.4</v>
      </c>
      <c r="N1330" s="11"/>
      <c r="O1330" s="42">
        <v>815.4</v>
      </c>
      <c r="P1330" s="43" t="s">
        <v>4489</v>
      </c>
      <c r="Q1330" s="11">
        <v>668330.68000000005</v>
      </c>
      <c r="R1330" s="11" t="s">
        <v>2911</v>
      </c>
      <c r="S1330" s="11" t="s">
        <v>40</v>
      </c>
      <c r="T1330" s="11">
        <v>0</v>
      </c>
      <c r="V1330" s="11" t="s">
        <v>241</v>
      </c>
    </row>
    <row r="1331" spans="1:22" x14ac:dyDescent="0.25">
      <c r="A1331" s="11">
        <v>101060402</v>
      </c>
      <c r="B1331" s="11" t="s">
        <v>44</v>
      </c>
      <c r="C1331" s="41">
        <v>44838</v>
      </c>
      <c r="D1331" s="41">
        <v>44838</v>
      </c>
      <c r="E1331" s="11" t="s">
        <v>42</v>
      </c>
      <c r="F1331" s="11" t="s">
        <v>398</v>
      </c>
      <c r="G1331" s="11">
        <v>106463</v>
      </c>
      <c r="H1331" s="11" t="s">
        <v>57</v>
      </c>
      <c r="K1331" s="11">
        <v>101060401</v>
      </c>
      <c r="L1331" s="11" t="s">
        <v>34</v>
      </c>
      <c r="M1331" s="11">
        <v>123.19</v>
      </c>
      <c r="N1331" s="11"/>
      <c r="O1331" s="42">
        <v>123.19</v>
      </c>
      <c r="P1331" s="43" t="s">
        <v>4481</v>
      </c>
      <c r="Q1331" s="11">
        <v>668453.87</v>
      </c>
      <c r="R1331" s="11" t="s">
        <v>2884</v>
      </c>
      <c r="S1331" s="11" t="s">
        <v>40</v>
      </c>
      <c r="T1331" s="11">
        <v>0</v>
      </c>
    </row>
    <row r="1332" spans="1:22" x14ac:dyDescent="0.25">
      <c r="A1332" s="11">
        <v>101060402</v>
      </c>
      <c r="B1332" s="11" t="s">
        <v>44</v>
      </c>
      <c r="C1332" s="41">
        <v>44838</v>
      </c>
      <c r="D1332" s="41">
        <v>44838</v>
      </c>
      <c r="E1332" s="11" t="s">
        <v>36</v>
      </c>
      <c r="F1332" s="11" t="s">
        <v>412</v>
      </c>
      <c r="G1332" s="11">
        <v>106544</v>
      </c>
      <c r="H1332" s="11" t="s">
        <v>37</v>
      </c>
      <c r="K1332" s="11">
        <v>401030105</v>
      </c>
      <c r="L1332" s="11" t="s">
        <v>54</v>
      </c>
      <c r="M1332" s="26">
        <v>102.04</v>
      </c>
      <c r="O1332" s="44">
        <v>102.04</v>
      </c>
      <c r="P1332" s="43" t="s">
        <v>4494</v>
      </c>
      <c r="Q1332" s="11">
        <v>668555.91</v>
      </c>
      <c r="R1332" s="11" t="s">
        <v>2912</v>
      </c>
      <c r="S1332" s="11" t="s">
        <v>40</v>
      </c>
      <c r="T1332" s="11">
        <v>0</v>
      </c>
    </row>
    <row r="1333" spans="1:22" x14ac:dyDescent="0.25">
      <c r="A1333" s="11">
        <v>101060402</v>
      </c>
      <c r="B1333" s="11" t="s">
        <v>44</v>
      </c>
      <c r="C1333" s="41">
        <v>44838</v>
      </c>
      <c r="D1333" s="41">
        <v>44838</v>
      </c>
      <c r="E1333" s="11" t="s">
        <v>42</v>
      </c>
      <c r="F1333" s="11" t="s">
        <v>414</v>
      </c>
      <c r="G1333" s="11">
        <v>106546</v>
      </c>
      <c r="H1333" s="11" t="s">
        <v>57</v>
      </c>
      <c r="K1333" s="11">
        <v>101060401</v>
      </c>
      <c r="L1333" s="11" t="s">
        <v>34</v>
      </c>
      <c r="M1333" s="11">
        <v>781.03</v>
      </c>
      <c r="N1333" s="11"/>
      <c r="O1333" s="42">
        <v>781.03</v>
      </c>
      <c r="P1333" s="43" t="s">
        <v>4481</v>
      </c>
      <c r="Q1333" s="11">
        <v>669336.93999999994</v>
      </c>
      <c r="R1333" s="11" t="s">
        <v>2913</v>
      </c>
      <c r="S1333" s="11" t="s">
        <v>40</v>
      </c>
      <c r="T1333" s="11">
        <v>0</v>
      </c>
    </row>
    <row r="1334" spans="1:22" x14ac:dyDescent="0.25">
      <c r="A1334" s="11">
        <v>101060402</v>
      </c>
      <c r="B1334" s="11" t="s">
        <v>44</v>
      </c>
      <c r="C1334" s="41">
        <v>44839</v>
      </c>
      <c r="D1334" s="41">
        <v>44839</v>
      </c>
      <c r="E1334" s="11" t="s">
        <v>42</v>
      </c>
      <c r="F1334" s="11" t="s">
        <v>2914</v>
      </c>
      <c r="G1334" s="11">
        <v>106547</v>
      </c>
      <c r="H1334" s="11" t="s">
        <v>162</v>
      </c>
      <c r="J1334" s="11" t="s">
        <v>240</v>
      </c>
      <c r="K1334" s="11">
        <v>51010102</v>
      </c>
      <c r="L1334" s="11" t="s">
        <v>194</v>
      </c>
      <c r="M1334" s="11"/>
      <c r="N1334" s="11">
        <v>15.27</v>
      </c>
      <c r="O1334" s="42">
        <v>-15.27</v>
      </c>
      <c r="P1334" s="43" t="s">
        <v>4489</v>
      </c>
      <c r="Q1334" s="11">
        <v>669321.67000000004</v>
      </c>
      <c r="R1334" s="11" t="s">
        <v>2915</v>
      </c>
      <c r="S1334" s="11" t="s">
        <v>106</v>
      </c>
      <c r="T1334" s="11">
        <v>0</v>
      </c>
      <c r="V1334" s="11" t="s">
        <v>241</v>
      </c>
    </row>
    <row r="1335" spans="1:22" x14ac:dyDescent="0.25">
      <c r="A1335" s="11">
        <v>101060402</v>
      </c>
      <c r="B1335" s="11" t="s">
        <v>44</v>
      </c>
      <c r="C1335" s="41">
        <v>44839</v>
      </c>
      <c r="D1335" s="41">
        <v>44839</v>
      </c>
      <c r="E1335" s="11" t="s">
        <v>42</v>
      </c>
      <c r="F1335" s="11" t="s">
        <v>2914</v>
      </c>
      <c r="G1335" s="11">
        <v>106547</v>
      </c>
      <c r="H1335" s="11" t="s">
        <v>162</v>
      </c>
      <c r="J1335" s="11" t="s">
        <v>240</v>
      </c>
      <c r="K1335" s="11">
        <v>51010102</v>
      </c>
      <c r="L1335" s="11" t="s">
        <v>194</v>
      </c>
      <c r="M1335" s="11"/>
      <c r="N1335" s="11">
        <v>352.06</v>
      </c>
      <c r="O1335" s="42">
        <v>-352.06</v>
      </c>
      <c r="P1335" s="43" t="s">
        <v>4489</v>
      </c>
      <c r="Q1335" s="11">
        <v>668969.61</v>
      </c>
      <c r="R1335" s="11" t="s">
        <v>2916</v>
      </c>
      <c r="S1335" s="11" t="s">
        <v>106</v>
      </c>
      <c r="T1335" s="11">
        <v>0</v>
      </c>
      <c r="V1335" s="11" t="s">
        <v>241</v>
      </c>
    </row>
    <row r="1336" spans="1:22" x14ac:dyDescent="0.25">
      <c r="A1336" s="11">
        <v>101060402</v>
      </c>
      <c r="B1336" s="11" t="s">
        <v>44</v>
      </c>
      <c r="C1336" s="41">
        <v>44839</v>
      </c>
      <c r="D1336" s="41">
        <v>44839</v>
      </c>
      <c r="E1336" s="11" t="s">
        <v>42</v>
      </c>
      <c r="F1336" s="11" t="s">
        <v>416</v>
      </c>
      <c r="G1336" s="11">
        <v>106548</v>
      </c>
      <c r="H1336" s="11" t="s">
        <v>57</v>
      </c>
      <c r="K1336" s="11">
        <v>101060401</v>
      </c>
      <c r="L1336" s="11" t="s">
        <v>34</v>
      </c>
      <c r="M1336" s="11"/>
      <c r="N1336" s="11">
        <v>144.96</v>
      </c>
      <c r="O1336" s="42">
        <v>-144.96</v>
      </c>
      <c r="P1336" s="43" t="s">
        <v>4481</v>
      </c>
      <c r="Q1336" s="11">
        <v>668824.65</v>
      </c>
      <c r="R1336" s="11" t="s">
        <v>2917</v>
      </c>
      <c r="S1336" s="11" t="s">
        <v>106</v>
      </c>
      <c r="T1336" s="11">
        <v>0</v>
      </c>
    </row>
    <row r="1337" spans="1:22" x14ac:dyDescent="0.25">
      <c r="A1337" s="11">
        <v>101060402</v>
      </c>
      <c r="B1337" s="11" t="s">
        <v>44</v>
      </c>
      <c r="C1337" s="41">
        <v>44839</v>
      </c>
      <c r="D1337" s="41">
        <v>44839</v>
      </c>
      <c r="E1337" s="11" t="s">
        <v>42</v>
      </c>
      <c r="F1337" s="11" t="s">
        <v>418</v>
      </c>
      <c r="G1337" s="11">
        <v>106558</v>
      </c>
      <c r="H1337" s="11" t="s">
        <v>57</v>
      </c>
      <c r="K1337" s="11">
        <v>101060401</v>
      </c>
      <c r="L1337" s="11" t="s">
        <v>34</v>
      </c>
      <c r="M1337" s="11">
        <v>234.7</v>
      </c>
      <c r="N1337" s="11"/>
      <c r="O1337" s="42">
        <v>234.7</v>
      </c>
      <c r="P1337" s="43" t="s">
        <v>4481</v>
      </c>
      <c r="Q1337" s="11">
        <v>669059.35</v>
      </c>
      <c r="R1337" s="11" t="s">
        <v>355</v>
      </c>
      <c r="S1337" s="11" t="s">
        <v>40</v>
      </c>
      <c r="T1337" s="11">
        <v>0</v>
      </c>
    </row>
    <row r="1338" spans="1:22" x14ac:dyDescent="0.25">
      <c r="A1338" s="11">
        <v>101060402</v>
      </c>
      <c r="B1338" s="11" t="s">
        <v>44</v>
      </c>
      <c r="C1338" s="41">
        <v>44839</v>
      </c>
      <c r="D1338" s="41">
        <v>44839</v>
      </c>
      <c r="E1338" s="11" t="s">
        <v>42</v>
      </c>
      <c r="F1338" s="11" t="s">
        <v>2918</v>
      </c>
      <c r="G1338" s="11">
        <v>106565</v>
      </c>
      <c r="H1338" s="11" t="s">
        <v>47</v>
      </c>
      <c r="J1338" s="11" t="s">
        <v>240</v>
      </c>
      <c r="K1338" s="11">
        <v>51010102</v>
      </c>
      <c r="L1338" s="11" t="s">
        <v>194</v>
      </c>
      <c r="M1338" s="11"/>
      <c r="N1338" s="11">
        <v>12.9</v>
      </c>
      <c r="O1338" s="42">
        <v>-12.9</v>
      </c>
      <c r="P1338" s="43" t="s">
        <v>4489</v>
      </c>
      <c r="Q1338" s="11">
        <v>669046.44999999995</v>
      </c>
      <c r="R1338" s="11" t="s">
        <v>2919</v>
      </c>
      <c r="S1338" s="11" t="s">
        <v>106</v>
      </c>
      <c r="T1338" s="11">
        <v>0</v>
      </c>
      <c r="V1338" s="11" t="s">
        <v>241</v>
      </c>
    </row>
    <row r="1339" spans="1:22" x14ac:dyDescent="0.25">
      <c r="A1339" s="11">
        <v>101060402</v>
      </c>
      <c r="B1339" s="11" t="s">
        <v>44</v>
      </c>
      <c r="C1339" s="41">
        <v>44839</v>
      </c>
      <c r="D1339" s="41">
        <v>44839</v>
      </c>
      <c r="E1339" s="11" t="s">
        <v>42</v>
      </c>
      <c r="F1339" s="11" t="s">
        <v>422</v>
      </c>
      <c r="G1339" s="11">
        <v>106566</v>
      </c>
      <c r="H1339" s="11" t="s">
        <v>57</v>
      </c>
      <c r="K1339" s="11">
        <v>101060401</v>
      </c>
      <c r="L1339" s="11" t="s">
        <v>34</v>
      </c>
      <c r="M1339" s="11">
        <v>7922.1</v>
      </c>
      <c r="N1339" s="11"/>
      <c r="O1339" s="42">
        <v>7922.1</v>
      </c>
      <c r="P1339" s="43" t="s">
        <v>4481</v>
      </c>
      <c r="Q1339" s="11">
        <v>676968.55</v>
      </c>
      <c r="R1339" s="11" t="s">
        <v>2920</v>
      </c>
      <c r="S1339" s="11" t="s">
        <v>106</v>
      </c>
      <c r="T1339" s="11">
        <v>0</v>
      </c>
    </row>
    <row r="1340" spans="1:22" x14ac:dyDescent="0.25">
      <c r="A1340" s="11">
        <v>101060402</v>
      </c>
      <c r="B1340" s="11" t="s">
        <v>44</v>
      </c>
      <c r="C1340" s="41">
        <v>44839</v>
      </c>
      <c r="D1340" s="41">
        <v>44839</v>
      </c>
      <c r="E1340" s="11" t="s">
        <v>42</v>
      </c>
      <c r="F1340" s="11" t="s">
        <v>422</v>
      </c>
      <c r="G1340" s="11">
        <v>106566</v>
      </c>
      <c r="H1340" s="11" t="s">
        <v>57</v>
      </c>
      <c r="K1340" s="11">
        <v>101060401</v>
      </c>
      <c r="L1340" s="11" t="s">
        <v>34</v>
      </c>
      <c r="M1340" s="11"/>
      <c r="N1340" s="11">
        <v>1958.13</v>
      </c>
      <c r="O1340" s="42">
        <v>-1958.13</v>
      </c>
      <c r="P1340" s="43" t="s">
        <v>4481</v>
      </c>
      <c r="Q1340" s="11">
        <v>675010.42</v>
      </c>
      <c r="R1340" s="11" t="s">
        <v>2921</v>
      </c>
      <c r="S1340" s="11" t="s">
        <v>106</v>
      </c>
      <c r="T1340" s="11">
        <v>0</v>
      </c>
    </row>
    <row r="1341" spans="1:22" x14ac:dyDescent="0.25">
      <c r="A1341" s="11">
        <v>101060402</v>
      </c>
      <c r="B1341" s="11" t="s">
        <v>44</v>
      </c>
      <c r="C1341" s="41">
        <v>44839</v>
      </c>
      <c r="D1341" s="41">
        <v>44839</v>
      </c>
      <c r="E1341" s="11" t="s">
        <v>42</v>
      </c>
      <c r="F1341" s="11" t="s">
        <v>2922</v>
      </c>
      <c r="G1341" s="11">
        <v>106568</v>
      </c>
      <c r="H1341" s="11" t="s">
        <v>114</v>
      </c>
      <c r="J1341" s="11" t="s">
        <v>240</v>
      </c>
      <c r="K1341" s="11">
        <v>51010102</v>
      </c>
      <c r="L1341" s="11" t="s">
        <v>194</v>
      </c>
      <c r="M1341" s="11"/>
      <c r="N1341" s="11">
        <v>123.19</v>
      </c>
      <c r="O1341" s="42">
        <v>-123.19</v>
      </c>
      <c r="P1341" s="43" t="s">
        <v>4489</v>
      </c>
      <c r="Q1341" s="11">
        <v>674887.23</v>
      </c>
      <c r="R1341" s="11" t="s">
        <v>269</v>
      </c>
      <c r="S1341" s="11" t="s">
        <v>106</v>
      </c>
      <c r="T1341" s="11">
        <v>0</v>
      </c>
      <c r="V1341" s="11" t="s">
        <v>241</v>
      </c>
    </row>
    <row r="1342" spans="1:22" x14ac:dyDescent="0.25">
      <c r="A1342" s="11">
        <v>101060402</v>
      </c>
      <c r="B1342" s="11" t="s">
        <v>44</v>
      </c>
      <c r="C1342" s="41">
        <v>44839</v>
      </c>
      <c r="D1342" s="41">
        <v>44839</v>
      </c>
      <c r="E1342" s="11" t="s">
        <v>42</v>
      </c>
      <c r="F1342" s="11" t="s">
        <v>2923</v>
      </c>
      <c r="G1342" s="11">
        <v>106569</v>
      </c>
      <c r="H1342" s="11" t="s">
        <v>2873</v>
      </c>
      <c r="J1342" s="11" t="s">
        <v>240</v>
      </c>
      <c r="K1342" s="11">
        <v>51010102</v>
      </c>
      <c r="L1342" s="11" t="s">
        <v>194</v>
      </c>
      <c r="M1342" s="11"/>
      <c r="N1342" s="11">
        <v>17.420000000000002</v>
      </c>
      <c r="O1342" s="42">
        <v>-17.420000000000002</v>
      </c>
      <c r="P1342" s="43" t="s">
        <v>4489</v>
      </c>
      <c r="Q1342" s="11">
        <v>674869.81</v>
      </c>
      <c r="R1342" s="11" t="s">
        <v>280</v>
      </c>
      <c r="S1342" s="11" t="s">
        <v>106</v>
      </c>
      <c r="T1342" s="11">
        <v>0</v>
      </c>
      <c r="V1342" s="11" t="s">
        <v>241</v>
      </c>
    </row>
    <row r="1343" spans="1:22" x14ac:dyDescent="0.25">
      <c r="A1343" s="11">
        <v>101060402</v>
      </c>
      <c r="B1343" s="11" t="s">
        <v>44</v>
      </c>
      <c r="C1343" s="41">
        <v>44839</v>
      </c>
      <c r="D1343" s="41">
        <v>44839</v>
      </c>
      <c r="E1343" s="11" t="s">
        <v>42</v>
      </c>
      <c r="F1343" s="11" t="s">
        <v>436</v>
      </c>
      <c r="G1343" s="11">
        <v>106577</v>
      </c>
      <c r="H1343" s="11" t="s">
        <v>57</v>
      </c>
      <c r="K1343" s="11">
        <v>101060401</v>
      </c>
      <c r="L1343" s="11" t="s">
        <v>34</v>
      </c>
      <c r="M1343" s="11"/>
      <c r="N1343" s="11">
        <v>1548.09</v>
      </c>
      <c r="O1343" s="42">
        <v>-1548.09</v>
      </c>
      <c r="P1343" s="43" t="s">
        <v>4481</v>
      </c>
      <c r="Q1343" s="11">
        <v>673321.72</v>
      </c>
      <c r="R1343" s="11" t="s">
        <v>2924</v>
      </c>
      <c r="S1343" s="11" t="s">
        <v>106</v>
      </c>
      <c r="T1343" s="11">
        <v>0</v>
      </c>
    </row>
    <row r="1344" spans="1:22" x14ac:dyDescent="0.25">
      <c r="A1344" s="11">
        <v>101060402</v>
      </c>
      <c r="B1344" s="11" t="s">
        <v>44</v>
      </c>
      <c r="C1344" s="41">
        <v>44839</v>
      </c>
      <c r="D1344" s="41">
        <v>44839</v>
      </c>
      <c r="E1344" s="11" t="s">
        <v>42</v>
      </c>
      <c r="F1344" s="11" t="s">
        <v>440</v>
      </c>
      <c r="G1344" s="11">
        <v>106580</v>
      </c>
      <c r="H1344" s="11" t="s">
        <v>57</v>
      </c>
      <c r="K1344" s="11">
        <v>101060401</v>
      </c>
      <c r="L1344" s="11" t="s">
        <v>34</v>
      </c>
      <c r="M1344" s="11">
        <v>815.4</v>
      </c>
      <c r="N1344" s="11"/>
      <c r="O1344" s="42">
        <v>815.4</v>
      </c>
      <c r="P1344" s="43" t="s">
        <v>4481</v>
      </c>
      <c r="Q1344" s="11">
        <v>674137.12</v>
      </c>
      <c r="R1344" s="11" t="s">
        <v>2911</v>
      </c>
      <c r="S1344" s="11" t="s">
        <v>106</v>
      </c>
      <c r="T1344" s="11">
        <v>0</v>
      </c>
    </row>
    <row r="1345" spans="1:22" x14ac:dyDescent="0.25">
      <c r="A1345" s="11">
        <v>101060402</v>
      </c>
      <c r="B1345" s="11" t="s">
        <v>44</v>
      </c>
      <c r="C1345" s="41">
        <v>44839</v>
      </c>
      <c r="D1345" s="41">
        <v>44839</v>
      </c>
      <c r="E1345" s="11" t="s">
        <v>42</v>
      </c>
      <c r="F1345" s="11" t="s">
        <v>446</v>
      </c>
      <c r="G1345" s="11">
        <v>106590</v>
      </c>
      <c r="H1345" s="11" t="s">
        <v>57</v>
      </c>
      <c r="K1345" s="11">
        <v>101060401</v>
      </c>
      <c r="L1345" s="11" t="s">
        <v>34</v>
      </c>
      <c r="M1345" s="11">
        <v>3415.86</v>
      </c>
      <c r="N1345" s="11"/>
      <c r="O1345" s="42">
        <v>3415.86</v>
      </c>
      <c r="P1345" s="43" t="s">
        <v>4481</v>
      </c>
      <c r="Q1345" s="11">
        <v>677552.98</v>
      </c>
      <c r="R1345" s="11" t="s">
        <v>2925</v>
      </c>
      <c r="S1345" s="11" t="s">
        <v>40</v>
      </c>
      <c r="T1345" s="11">
        <v>0</v>
      </c>
    </row>
    <row r="1346" spans="1:22" x14ac:dyDescent="0.25">
      <c r="A1346" s="11">
        <v>101060402</v>
      </c>
      <c r="B1346" s="11" t="s">
        <v>44</v>
      </c>
      <c r="C1346" s="41">
        <v>44839</v>
      </c>
      <c r="D1346" s="41">
        <v>44839</v>
      </c>
      <c r="E1346" s="11" t="s">
        <v>42</v>
      </c>
      <c r="F1346" s="11" t="s">
        <v>448</v>
      </c>
      <c r="G1346" s="11">
        <v>106591</v>
      </c>
      <c r="H1346" s="11" t="s">
        <v>57</v>
      </c>
      <c r="K1346" s="11">
        <v>101060401</v>
      </c>
      <c r="L1346" s="11" t="s">
        <v>34</v>
      </c>
      <c r="M1346" s="11"/>
      <c r="N1346" s="11">
        <v>89.9</v>
      </c>
      <c r="O1346" s="42">
        <v>-89.9</v>
      </c>
      <c r="P1346" s="43" t="s">
        <v>4481</v>
      </c>
      <c r="Q1346" s="11">
        <v>677463.08</v>
      </c>
      <c r="R1346" s="11" t="s">
        <v>452</v>
      </c>
      <c r="S1346" s="11" t="s">
        <v>106</v>
      </c>
      <c r="T1346" s="11">
        <v>0</v>
      </c>
    </row>
    <row r="1347" spans="1:22" x14ac:dyDescent="0.25">
      <c r="A1347" s="11">
        <v>101060402</v>
      </c>
      <c r="B1347" s="11" t="s">
        <v>44</v>
      </c>
      <c r="C1347" s="41">
        <v>44839</v>
      </c>
      <c r="D1347" s="41">
        <v>44839</v>
      </c>
      <c r="E1347" s="11" t="s">
        <v>42</v>
      </c>
      <c r="F1347" s="11" t="s">
        <v>448</v>
      </c>
      <c r="G1347" s="11">
        <v>106591</v>
      </c>
      <c r="H1347" s="11" t="s">
        <v>57</v>
      </c>
      <c r="K1347" s="11">
        <v>101060401</v>
      </c>
      <c r="L1347" s="11" t="s">
        <v>34</v>
      </c>
      <c r="M1347" s="11">
        <v>32.54</v>
      </c>
      <c r="N1347" s="11"/>
      <c r="O1347" s="42">
        <v>32.54</v>
      </c>
      <c r="P1347" s="43" t="s">
        <v>4481</v>
      </c>
      <c r="Q1347" s="11">
        <v>677495.62</v>
      </c>
      <c r="R1347" s="11" t="s">
        <v>453</v>
      </c>
      <c r="S1347" s="11" t="s">
        <v>106</v>
      </c>
      <c r="T1347" s="11">
        <v>0</v>
      </c>
    </row>
    <row r="1348" spans="1:22" x14ac:dyDescent="0.25">
      <c r="A1348" s="11">
        <v>101060402</v>
      </c>
      <c r="B1348" s="11" t="s">
        <v>44</v>
      </c>
      <c r="C1348" s="41">
        <v>44839</v>
      </c>
      <c r="D1348" s="41">
        <v>44839</v>
      </c>
      <c r="E1348" s="11" t="s">
        <v>42</v>
      </c>
      <c r="F1348" s="11" t="s">
        <v>451</v>
      </c>
      <c r="G1348" s="11">
        <v>106592</v>
      </c>
      <c r="H1348" s="11" t="s">
        <v>57</v>
      </c>
      <c r="K1348" s="11">
        <v>101060401</v>
      </c>
      <c r="L1348" s="11" t="s">
        <v>34</v>
      </c>
      <c r="M1348" s="11">
        <v>89.9</v>
      </c>
      <c r="N1348" s="11"/>
      <c r="O1348" s="42">
        <v>89.9</v>
      </c>
      <c r="P1348" s="43" t="s">
        <v>4481</v>
      </c>
      <c r="Q1348" s="11">
        <v>677585.52</v>
      </c>
      <c r="R1348" s="11" t="s">
        <v>449</v>
      </c>
      <c r="S1348" s="11" t="s">
        <v>106</v>
      </c>
      <c r="T1348" s="11">
        <v>0</v>
      </c>
    </row>
    <row r="1349" spans="1:22" x14ac:dyDescent="0.25">
      <c r="A1349" s="11">
        <v>101060402</v>
      </c>
      <c r="B1349" s="11" t="s">
        <v>44</v>
      </c>
      <c r="C1349" s="41">
        <v>44839</v>
      </c>
      <c r="D1349" s="41">
        <v>44839</v>
      </c>
      <c r="E1349" s="11" t="s">
        <v>42</v>
      </c>
      <c r="F1349" s="11" t="s">
        <v>451</v>
      </c>
      <c r="G1349" s="11">
        <v>106592</v>
      </c>
      <c r="H1349" s="11" t="s">
        <v>57</v>
      </c>
      <c r="K1349" s="11">
        <v>101060401</v>
      </c>
      <c r="L1349" s="11" t="s">
        <v>34</v>
      </c>
      <c r="M1349" s="11"/>
      <c r="N1349" s="11">
        <v>32.54</v>
      </c>
      <c r="O1349" s="42">
        <v>-32.54</v>
      </c>
      <c r="P1349" s="43" t="s">
        <v>4481</v>
      </c>
      <c r="Q1349" s="11">
        <v>677552.98</v>
      </c>
      <c r="R1349" s="11" t="s">
        <v>450</v>
      </c>
      <c r="S1349" s="11" t="s">
        <v>106</v>
      </c>
      <c r="T1349" s="11">
        <v>0</v>
      </c>
    </row>
    <row r="1350" spans="1:22" x14ac:dyDescent="0.25">
      <c r="A1350" s="11">
        <v>101060402</v>
      </c>
      <c r="B1350" s="11" t="s">
        <v>44</v>
      </c>
      <c r="C1350" s="41">
        <v>44839</v>
      </c>
      <c r="D1350" s="41">
        <v>44839</v>
      </c>
      <c r="E1350" s="11" t="s">
        <v>42</v>
      </c>
      <c r="F1350" s="11" t="s">
        <v>459</v>
      </c>
      <c r="G1350" s="11">
        <v>106596</v>
      </c>
      <c r="H1350" s="11" t="s">
        <v>57</v>
      </c>
      <c r="K1350" s="11">
        <v>101060401</v>
      </c>
      <c r="L1350" s="11" t="s">
        <v>34</v>
      </c>
      <c r="M1350" s="11">
        <v>100.32</v>
      </c>
      <c r="N1350" s="11"/>
      <c r="O1350" s="42">
        <v>100.32</v>
      </c>
      <c r="P1350" s="43" t="s">
        <v>4481</v>
      </c>
      <c r="Q1350" s="11">
        <v>677653.3</v>
      </c>
      <c r="R1350" s="11" t="s">
        <v>2926</v>
      </c>
      <c r="S1350" s="11" t="s">
        <v>106</v>
      </c>
      <c r="T1350" s="11">
        <v>0</v>
      </c>
    </row>
    <row r="1351" spans="1:22" x14ac:dyDescent="0.25">
      <c r="A1351" s="11">
        <v>101060402</v>
      </c>
      <c r="B1351" s="11" t="s">
        <v>44</v>
      </c>
      <c r="C1351" s="41">
        <v>44839</v>
      </c>
      <c r="D1351" s="41">
        <v>44839</v>
      </c>
      <c r="E1351" s="11" t="s">
        <v>42</v>
      </c>
      <c r="F1351" s="11" t="s">
        <v>459</v>
      </c>
      <c r="G1351" s="11">
        <v>106596</v>
      </c>
      <c r="H1351" s="11" t="s">
        <v>57</v>
      </c>
      <c r="K1351" s="11">
        <v>101060401</v>
      </c>
      <c r="L1351" s="11" t="s">
        <v>34</v>
      </c>
      <c r="M1351" s="11"/>
      <c r="N1351" s="11">
        <v>7.69</v>
      </c>
      <c r="O1351" s="42">
        <v>-7.69</v>
      </c>
      <c r="P1351" s="43" t="s">
        <v>4481</v>
      </c>
      <c r="Q1351" s="11">
        <v>677645.61</v>
      </c>
      <c r="R1351" s="11" t="s">
        <v>191</v>
      </c>
      <c r="S1351" s="11" t="s">
        <v>106</v>
      </c>
      <c r="T1351" s="11">
        <v>0</v>
      </c>
    </row>
    <row r="1352" spans="1:22" x14ac:dyDescent="0.25">
      <c r="A1352" s="11">
        <v>101060402</v>
      </c>
      <c r="B1352" s="11" t="s">
        <v>44</v>
      </c>
      <c r="C1352" s="41">
        <v>44840</v>
      </c>
      <c r="D1352" s="41">
        <v>44840</v>
      </c>
      <c r="E1352" s="11" t="s">
        <v>42</v>
      </c>
      <c r="F1352" s="11" t="s">
        <v>464</v>
      </c>
      <c r="G1352" s="11">
        <v>106599</v>
      </c>
      <c r="H1352" s="11" t="s">
        <v>193</v>
      </c>
      <c r="J1352" s="11" t="s">
        <v>240</v>
      </c>
      <c r="K1352" s="11">
        <v>51010102</v>
      </c>
      <c r="L1352" s="11" t="s">
        <v>194</v>
      </c>
      <c r="M1352" s="11"/>
      <c r="N1352" s="11">
        <v>35.6</v>
      </c>
      <c r="O1352" s="42">
        <v>-35.6</v>
      </c>
      <c r="P1352" s="43" t="s">
        <v>4489</v>
      </c>
      <c r="Q1352" s="11">
        <v>677610.01</v>
      </c>
      <c r="R1352" s="11" t="s">
        <v>2927</v>
      </c>
      <c r="S1352" s="11" t="s">
        <v>40</v>
      </c>
      <c r="T1352" s="11">
        <v>0</v>
      </c>
      <c r="V1352" s="11" t="s">
        <v>241</v>
      </c>
    </row>
    <row r="1353" spans="1:22" x14ac:dyDescent="0.25">
      <c r="A1353" s="11">
        <v>101060402</v>
      </c>
      <c r="B1353" s="11" t="s">
        <v>44</v>
      </c>
      <c r="C1353" s="41">
        <v>44840</v>
      </c>
      <c r="D1353" s="41">
        <v>44840</v>
      </c>
      <c r="E1353" s="11" t="s">
        <v>42</v>
      </c>
      <c r="F1353" s="11" t="s">
        <v>500</v>
      </c>
      <c r="G1353" s="11">
        <v>106650</v>
      </c>
      <c r="H1353" s="11" t="s">
        <v>57</v>
      </c>
      <c r="K1353" s="11">
        <v>101060401</v>
      </c>
      <c r="L1353" s="11" t="s">
        <v>34</v>
      </c>
      <c r="M1353" s="11">
        <v>451.12</v>
      </c>
      <c r="N1353" s="11"/>
      <c r="O1353" s="42">
        <v>451.12</v>
      </c>
      <c r="P1353" s="43" t="s">
        <v>4481</v>
      </c>
      <c r="Q1353" s="11">
        <v>678061.13</v>
      </c>
      <c r="R1353" s="11" t="s">
        <v>2928</v>
      </c>
      <c r="S1353" s="11" t="s">
        <v>40</v>
      </c>
      <c r="T1353" s="11">
        <v>0</v>
      </c>
    </row>
    <row r="1354" spans="1:22" x14ac:dyDescent="0.25">
      <c r="A1354" s="11">
        <v>101060402</v>
      </c>
      <c r="B1354" s="11" t="s">
        <v>44</v>
      </c>
      <c r="C1354" s="41">
        <v>44840</v>
      </c>
      <c r="D1354" s="41">
        <v>44840</v>
      </c>
      <c r="E1354" s="11" t="s">
        <v>42</v>
      </c>
      <c r="F1354" s="11" t="s">
        <v>2929</v>
      </c>
      <c r="G1354" s="11">
        <v>106651</v>
      </c>
      <c r="H1354" s="11" t="s">
        <v>222</v>
      </c>
      <c r="J1354" s="11" t="s">
        <v>240</v>
      </c>
      <c r="K1354" s="11">
        <v>51010102</v>
      </c>
      <c r="L1354" s="11" t="s">
        <v>194</v>
      </c>
      <c r="M1354" s="11"/>
      <c r="N1354" s="11">
        <v>456.64</v>
      </c>
      <c r="O1354" s="42">
        <v>-456.64</v>
      </c>
      <c r="P1354" s="43" t="s">
        <v>4489</v>
      </c>
      <c r="Q1354" s="11">
        <v>677604.49</v>
      </c>
      <c r="R1354" s="11" t="s">
        <v>2930</v>
      </c>
      <c r="S1354" s="11" t="s">
        <v>106</v>
      </c>
      <c r="T1354" s="11">
        <v>0</v>
      </c>
      <c r="V1354" s="11" t="s">
        <v>241</v>
      </c>
    </row>
    <row r="1355" spans="1:22" x14ac:dyDescent="0.25">
      <c r="A1355" s="11">
        <v>101060402</v>
      </c>
      <c r="B1355" s="11" t="s">
        <v>44</v>
      </c>
      <c r="C1355" s="41">
        <v>44840</v>
      </c>
      <c r="D1355" s="41">
        <v>44840</v>
      </c>
      <c r="E1355" s="11" t="s">
        <v>42</v>
      </c>
      <c r="F1355" s="11" t="s">
        <v>2929</v>
      </c>
      <c r="G1355" s="11">
        <v>106651</v>
      </c>
      <c r="H1355" s="11" t="s">
        <v>222</v>
      </c>
      <c r="J1355" s="11" t="s">
        <v>240</v>
      </c>
      <c r="K1355" s="11">
        <v>51010102</v>
      </c>
      <c r="L1355" s="11" t="s">
        <v>194</v>
      </c>
      <c r="M1355" s="11"/>
      <c r="N1355" s="11">
        <v>39.81</v>
      </c>
      <c r="O1355" s="42">
        <v>-39.81</v>
      </c>
      <c r="P1355" s="43" t="s">
        <v>4489</v>
      </c>
      <c r="Q1355" s="11">
        <v>677564.68</v>
      </c>
      <c r="R1355" s="11" t="s">
        <v>356</v>
      </c>
      <c r="S1355" s="11" t="s">
        <v>106</v>
      </c>
      <c r="T1355" s="11">
        <v>0</v>
      </c>
      <c r="V1355" s="11" t="s">
        <v>241</v>
      </c>
    </row>
    <row r="1356" spans="1:22" x14ac:dyDescent="0.25">
      <c r="A1356" s="11">
        <v>101060402</v>
      </c>
      <c r="B1356" s="11" t="s">
        <v>44</v>
      </c>
      <c r="C1356" s="41">
        <v>44840</v>
      </c>
      <c r="D1356" s="41">
        <v>44840</v>
      </c>
      <c r="E1356" s="11" t="s">
        <v>42</v>
      </c>
      <c r="F1356" s="11" t="s">
        <v>2931</v>
      </c>
      <c r="G1356" s="11">
        <v>106672</v>
      </c>
      <c r="H1356" s="11" t="s">
        <v>285</v>
      </c>
      <c r="J1356" s="11" t="s">
        <v>240</v>
      </c>
      <c r="K1356" s="11">
        <v>51010102</v>
      </c>
      <c r="L1356" s="11" t="s">
        <v>194</v>
      </c>
      <c r="M1356" s="11"/>
      <c r="N1356" s="11">
        <v>1233.1199999999999</v>
      </c>
      <c r="O1356" s="42">
        <v>-1233.1199999999999</v>
      </c>
      <c r="P1356" s="43" t="s">
        <v>4489</v>
      </c>
      <c r="Q1356" s="11">
        <v>676331.56</v>
      </c>
      <c r="R1356" s="11" t="s">
        <v>2932</v>
      </c>
      <c r="S1356" s="11" t="s">
        <v>40</v>
      </c>
      <c r="T1356" s="11">
        <v>0</v>
      </c>
      <c r="V1356" s="11" t="s">
        <v>241</v>
      </c>
    </row>
    <row r="1357" spans="1:22" x14ac:dyDescent="0.25">
      <c r="A1357" s="11">
        <v>101060402</v>
      </c>
      <c r="B1357" s="11" t="s">
        <v>44</v>
      </c>
      <c r="C1357" s="41">
        <v>44840</v>
      </c>
      <c r="D1357" s="41">
        <v>44840</v>
      </c>
      <c r="E1357" s="11" t="s">
        <v>42</v>
      </c>
      <c r="F1357" s="11" t="s">
        <v>515</v>
      </c>
      <c r="G1357" s="11">
        <v>106678</v>
      </c>
      <c r="H1357" s="11" t="s">
        <v>57</v>
      </c>
      <c r="K1357" s="11">
        <v>101060401</v>
      </c>
      <c r="L1357" s="11" t="s">
        <v>34</v>
      </c>
      <c r="M1357" s="11">
        <v>73.099999999999994</v>
      </c>
      <c r="N1357" s="11"/>
      <c r="O1357" s="42">
        <v>73.099999999999994</v>
      </c>
      <c r="P1357" s="43" t="s">
        <v>4481</v>
      </c>
      <c r="Q1357" s="11">
        <v>676404.66</v>
      </c>
      <c r="R1357" s="11" t="s">
        <v>400</v>
      </c>
      <c r="S1357" s="11" t="s">
        <v>40</v>
      </c>
      <c r="T1357" s="11">
        <v>0</v>
      </c>
    </row>
    <row r="1358" spans="1:22" x14ac:dyDescent="0.25">
      <c r="A1358" s="11">
        <v>101060402</v>
      </c>
      <c r="B1358" s="11" t="s">
        <v>44</v>
      </c>
      <c r="C1358" s="41">
        <v>44840</v>
      </c>
      <c r="D1358" s="41">
        <v>44840</v>
      </c>
      <c r="E1358" s="11" t="s">
        <v>42</v>
      </c>
      <c r="F1358" s="11" t="s">
        <v>517</v>
      </c>
      <c r="G1358" s="11">
        <v>106679</v>
      </c>
      <c r="H1358" s="11" t="s">
        <v>57</v>
      </c>
      <c r="K1358" s="11">
        <v>101060401</v>
      </c>
      <c r="L1358" s="11" t="s">
        <v>34</v>
      </c>
      <c r="M1358" s="11"/>
      <c r="N1358" s="11">
        <v>291.27</v>
      </c>
      <c r="O1358" s="42">
        <v>-291.27</v>
      </c>
      <c r="P1358" s="43" t="s">
        <v>4481</v>
      </c>
      <c r="Q1358" s="11">
        <v>676113.39</v>
      </c>
      <c r="R1358" s="11" t="s">
        <v>2933</v>
      </c>
      <c r="S1358" s="11" t="s">
        <v>106</v>
      </c>
      <c r="T1358" s="11">
        <v>0</v>
      </c>
    </row>
    <row r="1359" spans="1:22" x14ac:dyDescent="0.25">
      <c r="A1359" s="11">
        <v>101060402</v>
      </c>
      <c r="B1359" s="11" t="s">
        <v>44</v>
      </c>
      <c r="C1359" s="41">
        <v>44841</v>
      </c>
      <c r="D1359" s="41">
        <v>44841</v>
      </c>
      <c r="E1359" s="11" t="s">
        <v>42</v>
      </c>
      <c r="F1359" s="11" t="s">
        <v>521</v>
      </c>
      <c r="G1359" s="11">
        <v>106687</v>
      </c>
      <c r="H1359" s="11" t="s">
        <v>43</v>
      </c>
      <c r="K1359" s="11">
        <v>101060401</v>
      </c>
      <c r="L1359" s="11" t="s">
        <v>34</v>
      </c>
      <c r="M1359" s="11"/>
      <c r="N1359" s="11">
        <v>35.36</v>
      </c>
      <c r="O1359" s="42">
        <v>-35.36</v>
      </c>
      <c r="P1359" s="43" t="s">
        <v>4481</v>
      </c>
      <c r="Q1359" s="11">
        <v>676078.03</v>
      </c>
      <c r="R1359" s="11" t="s">
        <v>520</v>
      </c>
      <c r="S1359" s="11" t="s">
        <v>40</v>
      </c>
      <c r="T1359" s="11">
        <v>0</v>
      </c>
    </row>
    <row r="1360" spans="1:22" x14ac:dyDescent="0.25">
      <c r="A1360" s="11">
        <v>101060402</v>
      </c>
      <c r="B1360" s="11" t="s">
        <v>44</v>
      </c>
      <c r="C1360" s="41">
        <v>44841</v>
      </c>
      <c r="D1360" s="41">
        <v>44841</v>
      </c>
      <c r="E1360" s="11" t="s">
        <v>42</v>
      </c>
      <c r="F1360" s="11" t="s">
        <v>524</v>
      </c>
      <c r="G1360" s="11">
        <v>106690</v>
      </c>
      <c r="H1360" s="11" t="s">
        <v>43</v>
      </c>
      <c r="K1360" s="11">
        <v>101060401</v>
      </c>
      <c r="L1360" s="11" t="s">
        <v>34</v>
      </c>
      <c r="M1360" s="11">
        <v>34.96</v>
      </c>
      <c r="N1360" s="11"/>
      <c r="O1360" s="42">
        <v>34.96</v>
      </c>
      <c r="P1360" s="43" t="s">
        <v>4481</v>
      </c>
      <c r="Q1360" s="11">
        <v>676112.99</v>
      </c>
      <c r="R1360" s="11" t="s">
        <v>523</v>
      </c>
      <c r="S1360" s="11" t="s">
        <v>40</v>
      </c>
      <c r="T1360" s="11">
        <v>0</v>
      </c>
    </row>
    <row r="1361" spans="1:22" x14ac:dyDescent="0.25">
      <c r="A1361" s="11">
        <v>101060402</v>
      </c>
      <c r="B1361" s="11" t="s">
        <v>44</v>
      </c>
      <c r="C1361" s="41">
        <v>44841</v>
      </c>
      <c r="D1361" s="41">
        <v>44841</v>
      </c>
      <c r="E1361" s="11" t="s">
        <v>42</v>
      </c>
      <c r="F1361" s="11" t="s">
        <v>2934</v>
      </c>
      <c r="G1361" s="11">
        <v>106691</v>
      </c>
      <c r="H1361" s="11" t="s">
        <v>141</v>
      </c>
      <c r="J1361" s="11" t="s">
        <v>240</v>
      </c>
      <c r="K1361" s="11">
        <v>51010102</v>
      </c>
      <c r="L1361" s="11" t="s">
        <v>194</v>
      </c>
      <c r="M1361" s="11"/>
      <c r="N1361" s="11">
        <v>371.53</v>
      </c>
      <c r="O1361" s="42">
        <v>-371.53</v>
      </c>
      <c r="P1361" s="43" t="s">
        <v>4489</v>
      </c>
      <c r="Q1361" s="11">
        <v>675741.46</v>
      </c>
      <c r="R1361" s="11" t="s">
        <v>2935</v>
      </c>
      <c r="S1361" s="11" t="s">
        <v>106</v>
      </c>
      <c r="T1361" s="11">
        <v>0</v>
      </c>
      <c r="V1361" s="11" t="s">
        <v>241</v>
      </c>
    </row>
    <row r="1362" spans="1:22" x14ac:dyDescent="0.25">
      <c r="A1362" s="11">
        <v>101060402</v>
      </c>
      <c r="B1362" s="11" t="s">
        <v>44</v>
      </c>
      <c r="C1362" s="41">
        <v>44841</v>
      </c>
      <c r="D1362" s="41">
        <v>44841</v>
      </c>
      <c r="E1362" s="11" t="s">
        <v>42</v>
      </c>
      <c r="F1362" s="11" t="s">
        <v>2936</v>
      </c>
      <c r="G1362" s="11">
        <v>106694</v>
      </c>
      <c r="H1362" s="11" t="s">
        <v>57</v>
      </c>
      <c r="K1362" s="11">
        <v>101060409</v>
      </c>
      <c r="L1362" s="11" t="s">
        <v>128</v>
      </c>
      <c r="M1362" s="11"/>
      <c r="N1362" s="11">
        <v>34.97</v>
      </c>
      <c r="O1362" s="42">
        <v>-34.97</v>
      </c>
      <c r="P1362" s="43" t="s">
        <v>4481</v>
      </c>
      <c r="Q1362" s="11">
        <v>675706.49</v>
      </c>
      <c r="R1362" s="11" t="s">
        <v>2937</v>
      </c>
      <c r="S1362" s="11" t="s">
        <v>106</v>
      </c>
      <c r="T1362" s="11">
        <v>0</v>
      </c>
    </row>
    <row r="1363" spans="1:22" x14ac:dyDescent="0.25">
      <c r="A1363" s="11">
        <v>101060402</v>
      </c>
      <c r="B1363" s="11" t="s">
        <v>44</v>
      </c>
      <c r="C1363" s="41">
        <v>44841</v>
      </c>
      <c r="D1363" s="41">
        <v>44841</v>
      </c>
      <c r="E1363" s="11" t="s">
        <v>42</v>
      </c>
      <c r="F1363" s="11" t="s">
        <v>2938</v>
      </c>
      <c r="G1363" s="11">
        <v>106702</v>
      </c>
      <c r="H1363" s="11" t="s">
        <v>141</v>
      </c>
      <c r="J1363" s="11" t="s">
        <v>240</v>
      </c>
      <c r="K1363" s="11">
        <v>51010102</v>
      </c>
      <c r="L1363" s="11" t="s">
        <v>194</v>
      </c>
      <c r="M1363" s="11"/>
      <c r="N1363" s="11">
        <v>364.96</v>
      </c>
      <c r="O1363" s="42">
        <v>-364.96</v>
      </c>
      <c r="P1363" s="43" t="s">
        <v>4489</v>
      </c>
      <c r="Q1363" s="11">
        <v>675341.53</v>
      </c>
      <c r="R1363" s="11" t="s">
        <v>2939</v>
      </c>
      <c r="S1363" s="11" t="s">
        <v>106</v>
      </c>
      <c r="T1363" s="11">
        <v>0</v>
      </c>
      <c r="V1363" s="11" t="s">
        <v>241</v>
      </c>
    </row>
    <row r="1364" spans="1:22" x14ac:dyDescent="0.25">
      <c r="A1364" s="11">
        <v>101060402</v>
      </c>
      <c r="B1364" s="11" t="s">
        <v>44</v>
      </c>
      <c r="C1364" s="41">
        <v>44841</v>
      </c>
      <c r="D1364" s="41">
        <v>44841</v>
      </c>
      <c r="E1364" s="11" t="s">
        <v>42</v>
      </c>
      <c r="F1364" s="11" t="s">
        <v>2938</v>
      </c>
      <c r="G1364" s="11">
        <v>106702</v>
      </c>
      <c r="H1364" s="11" t="s">
        <v>141</v>
      </c>
      <c r="J1364" s="11" t="s">
        <v>240</v>
      </c>
      <c r="K1364" s="11">
        <v>51010102</v>
      </c>
      <c r="L1364" s="11" t="s">
        <v>194</v>
      </c>
      <c r="M1364" s="11"/>
      <c r="N1364" s="11">
        <v>1595.07</v>
      </c>
      <c r="O1364" s="42">
        <v>-1595.07</v>
      </c>
      <c r="P1364" s="43" t="s">
        <v>4489</v>
      </c>
      <c r="Q1364" s="11">
        <v>673746.46</v>
      </c>
      <c r="R1364" s="11" t="s">
        <v>2940</v>
      </c>
      <c r="S1364" s="11" t="s">
        <v>106</v>
      </c>
      <c r="T1364" s="11">
        <v>0</v>
      </c>
      <c r="V1364" s="11" t="s">
        <v>241</v>
      </c>
    </row>
    <row r="1365" spans="1:22" x14ac:dyDescent="0.25">
      <c r="A1365" s="11">
        <v>101060402</v>
      </c>
      <c r="B1365" s="11" t="s">
        <v>44</v>
      </c>
      <c r="C1365" s="41">
        <v>44841</v>
      </c>
      <c r="D1365" s="41">
        <v>44841</v>
      </c>
      <c r="E1365" s="11" t="s">
        <v>42</v>
      </c>
      <c r="F1365" s="11" t="s">
        <v>2941</v>
      </c>
      <c r="G1365" s="11">
        <v>106714</v>
      </c>
      <c r="H1365" s="11" t="s">
        <v>47</v>
      </c>
      <c r="J1365" s="11" t="s">
        <v>240</v>
      </c>
      <c r="K1365" s="11">
        <v>51010102</v>
      </c>
      <c r="L1365" s="11" t="s">
        <v>194</v>
      </c>
      <c r="M1365" s="11"/>
      <c r="N1365" s="11">
        <v>425.36</v>
      </c>
      <c r="O1365" s="42">
        <v>-425.36</v>
      </c>
      <c r="P1365" s="43" t="s">
        <v>4489</v>
      </c>
      <c r="Q1365" s="11">
        <v>673321.1</v>
      </c>
      <c r="R1365" s="11" t="s">
        <v>2942</v>
      </c>
      <c r="S1365" s="11" t="s">
        <v>106</v>
      </c>
      <c r="T1365" s="11">
        <v>0</v>
      </c>
      <c r="V1365" s="11" t="s">
        <v>241</v>
      </c>
    </row>
    <row r="1366" spans="1:22" x14ac:dyDescent="0.25">
      <c r="A1366" s="11">
        <v>101060402</v>
      </c>
      <c r="B1366" s="11" t="s">
        <v>44</v>
      </c>
      <c r="C1366" s="41">
        <v>44841</v>
      </c>
      <c r="D1366" s="41">
        <v>44841</v>
      </c>
      <c r="E1366" s="11" t="s">
        <v>42</v>
      </c>
      <c r="F1366" s="11" t="s">
        <v>2943</v>
      </c>
      <c r="G1366" s="11">
        <v>106721</v>
      </c>
      <c r="H1366" s="11" t="s">
        <v>141</v>
      </c>
      <c r="J1366" s="11" t="s">
        <v>240</v>
      </c>
      <c r="K1366" s="11">
        <v>51010102</v>
      </c>
      <c r="L1366" s="11" t="s">
        <v>194</v>
      </c>
      <c r="M1366" s="11"/>
      <c r="N1366" s="11">
        <v>52.53</v>
      </c>
      <c r="O1366" s="42">
        <v>-52.53</v>
      </c>
      <c r="P1366" s="43" t="s">
        <v>4489</v>
      </c>
      <c r="Q1366" s="11">
        <v>673268.57</v>
      </c>
      <c r="R1366" s="11" t="s">
        <v>2944</v>
      </c>
      <c r="S1366" s="11" t="s">
        <v>106</v>
      </c>
      <c r="T1366" s="11">
        <v>0</v>
      </c>
      <c r="V1366" s="11" t="s">
        <v>241</v>
      </c>
    </row>
    <row r="1367" spans="1:22" x14ac:dyDescent="0.25">
      <c r="A1367" s="11">
        <v>101060402</v>
      </c>
      <c r="B1367" s="11" t="s">
        <v>44</v>
      </c>
      <c r="C1367" s="41">
        <v>44841</v>
      </c>
      <c r="D1367" s="41">
        <v>44841</v>
      </c>
      <c r="E1367" s="11" t="s">
        <v>42</v>
      </c>
      <c r="F1367" s="11" t="s">
        <v>2945</v>
      </c>
      <c r="G1367" s="11">
        <v>106724</v>
      </c>
      <c r="H1367" s="11" t="s">
        <v>179</v>
      </c>
      <c r="J1367" s="11" t="s">
        <v>240</v>
      </c>
      <c r="K1367" s="11" t="s">
        <v>180</v>
      </c>
      <c r="L1367" s="11" t="s">
        <v>181</v>
      </c>
      <c r="M1367" s="11">
        <v>4033.82</v>
      </c>
      <c r="N1367" s="11"/>
      <c r="O1367" s="42">
        <v>4033.82</v>
      </c>
      <c r="P1367" s="43" t="s">
        <v>4488</v>
      </c>
      <c r="Q1367" s="11">
        <v>677302.39</v>
      </c>
      <c r="R1367" s="11" t="s">
        <v>2946</v>
      </c>
      <c r="S1367" s="11" t="s">
        <v>69</v>
      </c>
      <c r="T1367" s="11">
        <v>0</v>
      </c>
      <c r="V1367" s="11" t="s">
        <v>241</v>
      </c>
    </row>
    <row r="1368" spans="1:22" x14ac:dyDescent="0.25">
      <c r="A1368" s="11">
        <v>101060402</v>
      </c>
      <c r="B1368" s="11" t="s">
        <v>44</v>
      </c>
      <c r="C1368" s="41">
        <v>44841</v>
      </c>
      <c r="D1368" s="41">
        <v>44841</v>
      </c>
      <c r="E1368" s="11" t="s">
        <v>42</v>
      </c>
      <c r="F1368" s="11" t="s">
        <v>2947</v>
      </c>
      <c r="G1368" s="11">
        <v>106725</v>
      </c>
      <c r="H1368" s="11" t="s">
        <v>47</v>
      </c>
      <c r="J1368" s="11" t="s">
        <v>240</v>
      </c>
      <c r="K1368" s="11">
        <v>51010102</v>
      </c>
      <c r="L1368" s="11" t="s">
        <v>194</v>
      </c>
      <c r="M1368" s="11"/>
      <c r="N1368" s="11">
        <v>4033.82</v>
      </c>
      <c r="O1368" s="42">
        <v>-4033.82</v>
      </c>
      <c r="P1368" s="43" t="s">
        <v>4489</v>
      </c>
      <c r="Q1368" s="11">
        <v>673268.57</v>
      </c>
      <c r="R1368" s="11" t="s">
        <v>2889</v>
      </c>
      <c r="S1368" s="11" t="s">
        <v>40</v>
      </c>
      <c r="T1368" s="11">
        <v>0</v>
      </c>
      <c r="V1368" s="11" t="s">
        <v>241</v>
      </c>
    </row>
    <row r="1369" spans="1:22" x14ac:dyDescent="0.25">
      <c r="A1369" s="11">
        <v>101060402</v>
      </c>
      <c r="B1369" s="11" t="s">
        <v>44</v>
      </c>
      <c r="C1369" s="41">
        <v>44841</v>
      </c>
      <c r="D1369" s="41">
        <v>44841</v>
      </c>
      <c r="E1369" s="11" t="s">
        <v>42</v>
      </c>
      <c r="F1369" s="11" t="s">
        <v>549</v>
      </c>
      <c r="G1369" s="11">
        <v>106728</v>
      </c>
      <c r="H1369" s="11" t="s">
        <v>57</v>
      </c>
      <c r="K1369" s="11">
        <v>101060401</v>
      </c>
      <c r="L1369" s="11" t="s">
        <v>34</v>
      </c>
      <c r="M1369" s="11">
        <v>4844.82</v>
      </c>
      <c r="N1369" s="11"/>
      <c r="O1369" s="42">
        <v>4844.82</v>
      </c>
      <c r="P1369" s="43" t="s">
        <v>4481</v>
      </c>
      <c r="Q1369" s="11">
        <v>678113.39</v>
      </c>
      <c r="R1369" s="11" t="s">
        <v>2948</v>
      </c>
      <c r="S1369" s="11" t="s">
        <v>106</v>
      </c>
      <c r="T1369" s="11">
        <v>0</v>
      </c>
    </row>
    <row r="1370" spans="1:22" x14ac:dyDescent="0.25">
      <c r="A1370" s="11">
        <v>101060402</v>
      </c>
      <c r="B1370" s="11" t="s">
        <v>44</v>
      </c>
      <c r="C1370" s="41">
        <v>44841</v>
      </c>
      <c r="D1370" s="41">
        <v>44841</v>
      </c>
      <c r="E1370" s="11" t="s">
        <v>42</v>
      </c>
      <c r="F1370" s="11" t="s">
        <v>553</v>
      </c>
      <c r="G1370" s="11">
        <v>106731</v>
      </c>
      <c r="H1370" s="11" t="s">
        <v>57</v>
      </c>
      <c r="K1370" s="11">
        <v>101060401</v>
      </c>
      <c r="L1370" s="11" t="s">
        <v>34</v>
      </c>
      <c r="M1370" s="11">
        <v>3411.35</v>
      </c>
      <c r="N1370" s="11"/>
      <c r="O1370" s="42">
        <v>3411.35</v>
      </c>
      <c r="P1370" s="43" t="s">
        <v>4481</v>
      </c>
      <c r="Q1370" s="11">
        <v>681524.74</v>
      </c>
      <c r="R1370" s="11" t="s">
        <v>2949</v>
      </c>
      <c r="S1370" s="11" t="s">
        <v>40</v>
      </c>
      <c r="T1370" s="11">
        <v>0</v>
      </c>
    </row>
    <row r="1371" spans="1:22" x14ac:dyDescent="0.25">
      <c r="A1371" s="11">
        <v>101060402</v>
      </c>
      <c r="B1371" s="11" t="s">
        <v>44</v>
      </c>
      <c r="C1371" s="41">
        <v>44841</v>
      </c>
      <c r="D1371" s="41">
        <v>44841</v>
      </c>
      <c r="E1371" s="11" t="s">
        <v>42</v>
      </c>
      <c r="F1371" s="11" t="s">
        <v>559</v>
      </c>
      <c r="G1371" s="11">
        <v>106741</v>
      </c>
      <c r="H1371" s="11" t="s">
        <v>57</v>
      </c>
      <c r="K1371" s="11">
        <v>101060401</v>
      </c>
      <c r="L1371" s="11" t="s">
        <v>34</v>
      </c>
      <c r="M1371" s="11">
        <v>157.44</v>
      </c>
      <c r="N1371" s="11"/>
      <c r="O1371" s="42">
        <v>157.44</v>
      </c>
      <c r="P1371" s="43" t="s">
        <v>4481</v>
      </c>
      <c r="Q1371" s="11">
        <v>681682.18</v>
      </c>
      <c r="R1371" s="11" t="s">
        <v>2950</v>
      </c>
      <c r="S1371" s="11" t="s">
        <v>106</v>
      </c>
      <c r="T1371" s="11">
        <v>0</v>
      </c>
    </row>
    <row r="1372" spans="1:22" x14ac:dyDescent="0.25">
      <c r="A1372" s="11">
        <v>101060402</v>
      </c>
      <c r="B1372" s="11" t="s">
        <v>44</v>
      </c>
      <c r="C1372" s="41">
        <v>44841</v>
      </c>
      <c r="D1372" s="41">
        <v>44841</v>
      </c>
      <c r="E1372" s="11" t="s">
        <v>42</v>
      </c>
      <c r="F1372" s="11" t="s">
        <v>561</v>
      </c>
      <c r="G1372" s="11">
        <v>106743</v>
      </c>
      <c r="H1372" s="11" t="s">
        <v>57</v>
      </c>
      <c r="K1372" s="11">
        <v>101060401</v>
      </c>
      <c r="L1372" s="11" t="s">
        <v>34</v>
      </c>
      <c r="M1372" s="11"/>
      <c r="N1372" s="11">
        <v>4235.28</v>
      </c>
      <c r="O1372" s="42">
        <v>-4235.28</v>
      </c>
      <c r="P1372" s="43" t="s">
        <v>4481</v>
      </c>
      <c r="Q1372" s="11">
        <v>677446.9</v>
      </c>
      <c r="R1372" s="11" t="s">
        <v>2951</v>
      </c>
      <c r="S1372" s="11" t="s">
        <v>106</v>
      </c>
      <c r="T1372" s="11">
        <v>0</v>
      </c>
    </row>
    <row r="1373" spans="1:22" x14ac:dyDescent="0.25">
      <c r="A1373" s="11">
        <v>101060402</v>
      </c>
      <c r="B1373" s="11" t="s">
        <v>44</v>
      </c>
      <c r="C1373" s="41">
        <v>44845</v>
      </c>
      <c r="D1373" s="41">
        <v>44845</v>
      </c>
      <c r="E1373" s="11" t="s">
        <v>36</v>
      </c>
      <c r="F1373" s="11" t="s">
        <v>574</v>
      </c>
      <c r="G1373" s="11">
        <v>106770</v>
      </c>
      <c r="H1373" s="11" t="s">
        <v>572</v>
      </c>
      <c r="J1373" s="11" t="s">
        <v>240</v>
      </c>
      <c r="K1373" s="11">
        <v>51010102</v>
      </c>
      <c r="L1373" s="11" t="s">
        <v>194</v>
      </c>
      <c r="M1373" s="11">
        <v>111.82</v>
      </c>
      <c r="N1373" s="11"/>
      <c r="O1373" s="42">
        <v>111.82</v>
      </c>
      <c r="P1373" s="43" t="s">
        <v>4489</v>
      </c>
      <c r="Q1373" s="11">
        <v>677558.72</v>
      </c>
      <c r="R1373" s="11" t="s">
        <v>2952</v>
      </c>
      <c r="S1373" s="11" t="s">
        <v>40</v>
      </c>
      <c r="T1373" s="11">
        <v>0</v>
      </c>
      <c r="V1373" s="11" t="s">
        <v>241</v>
      </c>
    </row>
    <row r="1374" spans="1:22" x14ac:dyDescent="0.25">
      <c r="A1374" s="11">
        <v>101060402</v>
      </c>
      <c r="B1374" s="11" t="s">
        <v>44</v>
      </c>
      <c r="C1374" s="41">
        <v>44845</v>
      </c>
      <c r="D1374" s="41">
        <v>44845</v>
      </c>
      <c r="E1374" s="11" t="s">
        <v>42</v>
      </c>
      <c r="F1374" s="11" t="s">
        <v>2953</v>
      </c>
      <c r="G1374" s="11">
        <v>106792</v>
      </c>
      <c r="H1374" s="11" t="s">
        <v>261</v>
      </c>
      <c r="J1374" s="11" t="s">
        <v>240</v>
      </c>
      <c r="K1374" s="11">
        <v>51010102</v>
      </c>
      <c r="L1374" s="11" t="s">
        <v>194</v>
      </c>
      <c r="M1374" s="11"/>
      <c r="N1374" s="11">
        <v>337.67</v>
      </c>
      <c r="O1374" s="42">
        <v>-337.67</v>
      </c>
      <c r="P1374" s="43" t="s">
        <v>4489</v>
      </c>
      <c r="Q1374" s="11">
        <v>677221.05</v>
      </c>
      <c r="R1374" s="11" t="s">
        <v>2954</v>
      </c>
      <c r="S1374" s="11" t="s">
        <v>106</v>
      </c>
      <c r="T1374" s="11">
        <v>0</v>
      </c>
      <c r="V1374" s="11" t="s">
        <v>241</v>
      </c>
    </row>
    <row r="1375" spans="1:22" x14ac:dyDescent="0.25">
      <c r="A1375" s="11">
        <v>101060402</v>
      </c>
      <c r="B1375" s="11" t="s">
        <v>44</v>
      </c>
      <c r="C1375" s="41">
        <v>44845</v>
      </c>
      <c r="D1375" s="41">
        <v>44845</v>
      </c>
      <c r="E1375" s="11" t="s">
        <v>42</v>
      </c>
      <c r="F1375" s="11" t="s">
        <v>2955</v>
      </c>
      <c r="G1375" s="11">
        <v>106794</v>
      </c>
      <c r="H1375" s="11" t="s">
        <v>57</v>
      </c>
      <c r="K1375" s="11">
        <v>101060409</v>
      </c>
      <c r="L1375" s="11" t="s">
        <v>128</v>
      </c>
      <c r="M1375" s="11"/>
      <c r="N1375" s="11">
        <v>3835.71</v>
      </c>
      <c r="O1375" s="42">
        <v>-3835.71</v>
      </c>
      <c r="P1375" s="43" t="s">
        <v>4481</v>
      </c>
      <c r="Q1375" s="11">
        <v>673385.34</v>
      </c>
      <c r="R1375" s="11" t="s">
        <v>2956</v>
      </c>
      <c r="S1375" s="11" t="s">
        <v>40</v>
      </c>
      <c r="T1375" s="11">
        <v>0</v>
      </c>
    </row>
    <row r="1376" spans="1:22" x14ac:dyDescent="0.25">
      <c r="A1376" s="11">
        <v>101060402</v>
      </c>
      <c r="B1376" s="11" t="s">
        <v>44</v>
      </c>
      <c r="C1376" s="41">
        <v>44845</v>
      </c>
      <c r="D1376" s="41">
        <v>44845</v>
      </c>
      <c r="E1376" s="11" t="s">
        <v>42</v>
      </c>
      <c r="F1376" s="11" t="s">
        <v>2957</v>
      </c>
      <c r="G1376" s="11">
        <v>106821</v>
      </c>
      <c r="H1376" s="11" t="s">
        <v>47</v>
      </c>
      <c r="J1376" s="11" t="s">
        <v>240</v>
      </c>
      <c r="K1376" s="11">
        <v>51010102</v>
      </c>
      <c r="L1376" s="11" t="s">
        <v>194</v>
      </c>
      <c r="M1376" s="11"/>
      <c r="N1376" s="11">
        <v>389.15</v>
      </c>
      <c r="O1376" s="42">
        <v>-389.15</v>
      </c>
      <c r="P1376" s="43" t="s">
        <v>4489</v>
      </c>
      <c r="Q1376" s="11">
        <v>672996.19</v>
      </c>
      <c r="R1376" s="11" t="s">
        <v>294</v>
      </c>
      <c r="S1376" s="11" t="s">
        <v>106</v>
      </c>
      <c r="T1376" s="11">
        <v>0</v>
      </c>
      <c r="V1376" s="11" t="s">
        <v>241</v>
      </c>
    </row>
    <row r="1377" spans="1:22" x14ac:dyDescent="0.25">
      <c r="A1377" s="11">
        <v>101060402</v>
      </c>
      <c r="B1377" s="11" t="s">
        <v>44</v>
      </c>
      <c r="C1377" s="41">
        <v>44846</v>
      </c>
      <c r="D1377" s="41">
        <v>44846</v>
      </c>
      <c r="E1377" s="11" t="s">
        <v>42</v>
      </c>
      <c r="F1377" s="11" t="s">
        <v>2958</v>
      </c>
      <c r="G1377" s="11">
        <v>106843</v>
      </c>
      <c r="H1377" s="11" t="s">
        <v>222</v>
      </c>
      <c r="J1377" s="11" t="s">
        <v>240</v>
      </c>
      <c r="K1377" s="11">
        <v>51010102</v>
      </c>
      <c r="L1377" s="11" t="s">
        <v>194</v>
      </c>
      <c r="M1377" s="11"/>
      <c r="N1377" s="11">
        <v>73.099999999999994</v>
      </c>
      <c r="O1377" s="42">
        <v>-73.099999999999994</v>
      </c>
      <c r="P1377" s="43" t="s">
        <v>4489</v>
      </c>
      <c r="Q1377" s="11">
        <v>672923.09</v>
      </c>
      <c r="R1377" s="11" t="s">
        <v>516</v>
      </c>
      <c r="S1377" s="11" t="s">
        <v>106</v>
      </c>
      <c r="T1377" s="11">
        <v>0</v>
      </c>
      <c r="V1377" s="11" t="s">
        <v>241</v>
      </c>
    </row>
    <row r="1378" spans="1:22" x14ac:dyDescent="0.25">
      <c r="A1378" s="11">
        <v>101060402</v>
      </c>
      <c r="B1378" s="11" t="s">
        <v>44</v>
      </c>
      <c r="C1378" s="41">
        <v>44846</v>
      </c>
      <c r="D1378" s="41">
        <v>44846</v>
      </c>
      <c r="E1378" s="11" t="s">
        <v>42</v>
      </c>
      <c r="F1378" s="11" t="s">
        <v>2959</v>
      </c>
      <c r="G1378" s="11">
        <v>106882</v>
      </c>
      <c r="H1378" s="11" t="s">
        <v>98</v>
      </c>
      <c r="J1378" s="11" t="s">
        <v>240</v>
      </c>
      <c r="K1378" s="11">
        <v>51010102</v>
      </c>
      <c r="L1378" s="11" t="s">
        <v>194</v>
      </c>
      <c r="M1378" s="11"/>
      <c r="N1378" s="11">
        <v>1069.3699999999999</v>
      </c>
      <c r="O1378" s="42">
        <v>-1069.3699999999999</v>
      </c>
      <c r="P1378" s="43" t="s">
        <v>4489</v>
      </c>
      <c r="Q1378" s="11">
        <v>671853.72</v>
      </c>
      <c r="R1378" s="11" t="s">
        <v>2960</v>
      </c>
      <c r="S1378" s="11" t="s">
        <v>106</v>
      </c>
      <c r="T1378" s="11">
        <v>0</v>
      </c>
      <c r="V1378" s="11" t="s">
        <v>241</v>
      </c>
    </row>
    <row r="1379" spans="1:22" x14ac:dyDescent="0.25">
      <c r="A1379" s="11">
        <v>101060402</v>
      </c>
      <c r="B1379" s="11" t="s">
        <v>44</v>
      </c>
      <c r="C1379" s="41">
        <v>44846</v>
      </c>
      <c r="D1379" s="41">
        <v>44846</v>
      </c>
      <c r="E1379" s="11" t="s">
        <v>42</v>
      </c>
      <c r="F1379" s="11" t="s">
        <v>2961</v>
      </c>
      <c r="G1379" s="11">
        <v>106883</v>
      </c>
      <c r="H1379" s="11" t="s">
        <v>176</v>
      </c>
      <c r="J1379" s="11" t="s">
        <v>240</v>
      </c>
      <c r="K1379" s="11">
        <v>51010102</v>
      </c>
      <c r="L1379" s="11" t="s">
        <v>194</v>
      </c>
      <c r="M1379" s="11"/>
      <c r="N1379" s="11">
        <v>21.02</v>
      </c>
      <c r="O1379" s="42">
        <v>-21.02</v>
      </c>
      <c r="P1379" s="43" t="s">
        <v>4489</v>
      </c>
      <c r="Q1379" s="11">
        <v>671832.7</v>
      </c>
      <c r="R1379" s="11" t="s">
        <v>2962</v>
      </c>
      <c r="S1379" s="11" t="s">
        <v>106</v>
      </c>
      <c r="T1379" s="11">
        <v>0</v>
      </c>
      <c r="V1379" s="11" t="s">
        <v>241</v>
      </c>
    </row>
    <row r="1380" spans="1:22" x14ac:dyDescent="0.25">
      <c r="A1380" s="11">
        <v>101060402</v>
      </c>
      <c r="B1380" s="11" t="s">
        <v>44</v>
      </c>
      <c r="C1380" s="41">
        <v>44846</v>
      </c>
      <c r="D1380" s="41">
        <v>44846</v>
      </c>
      <c r="E1380" s="11" t="s">
        <v>42</v>
      </c>
      <c r="F1380" s="11" t="s">
        <v>2963</v>
      </c>
      <c r="G1380" s="11">
        <v>106884</v>
      </c>
      <c r="H1380" s="11" t="s">
        <v>176</v>
      </c>
      <c r="J1380" s="11" t="s">
        <v>240</v>
      </c>
      <c r="K1380" s="11">
        <v>51010102</v>
      </c>
      <c r="L1380" s="11" t="s">
        <v>194</v>
      </c>
      <c r="M1380" s="11"/>
      <c r="N1380" s="11">
        <v>14.83</v>
      </c>
      <c r="O1380" s="42">
        <v>-14.83</v>
      </c>
      <c r="P1380" s="43" t="s">
        <v>4489</v>
      </c>
      <c r="Q1380" s="11">
        <v>671817.87</v>
      </c>
      <c r="R1380" s="11" t="s">
        <v>2964</v>
      </c>
      <c r="S1380" s="11" t="s">
        <v>106</v>
      </c>
      <c r="T1380" s="11">
        <v>0</v>
      </c>
      <c r="V1380" s="11" t="s">
        <v>241</v>
      </c>
    </row>
    <row r="1381" spans="1:22" x14ac:dyDescent="0.25">
      <c r="A1381" s="11">
        <v>101060402</v>
      </c>
      <c r="B1381" s="11" t="s">
        <v>44</v>
      </c>
      <c r="C1381" s="41">
        <v>44846</v>
      </c>
      <c r="D1381" s="41">
        <v>44846</v>
      </c>
      <c r="E1381" s="11" t="s">
        <v>42</v>
      </c>
      <c r="F1381" s="11" t="s">
        <v>611</v>
      </c>
      <c r="G1381" s="11">
        <v>106899</v>
      </c>
      <c r="H1381" s="11" t="s">
        <v>57</v>
      </c>
      <c r="K1381" s="11">
        <v>101060401</v>
      </c>
      <c r="L1381" s="11" t="s">
        <v>34</v>
      </c>
      <c r="M1381" s="11"/>
      <c r="N1381" s="11">
        <v>4487.71</v>
      </c>
      <c r="O1381" s="42">
        <v>-4487.71</v>
      </c>
      <c r="P1381" s="43" t="s">
        <v>4481</v>
      </c>
      <c r="Q1381" s="11">
        <v>667330.16</v>
      </c>
      <c r="R1381" s="11" t="s">
        <v>2965</v>
      </c>
      <c r="S1381" s="11" t="s">
        <v>106</v>
      </c>
      <c r="T1381" s="11">
        <v>0</v>
      </c>
    </row>
    <row r="1382" spans="1:22" x14ac:dyDescent="0.25">
      <c r="A1382" s="11">
        <v>101060402</v>
      </c>
      <c r="B1382" s="11" t="s">
        <v>44</v>
      </c>
      <c r="C1382" s="41">
        <v>44846</v>
      </c>
      <c r="D1382" s="41">
        <v>44846</v>
      </c>
      <c r="E1382" s="11" t="s">
        <v>42</v>
      </c>
      <c r="F1382" s="11" t="s">
        <v>611</v>
      </c>
      <c r="G1382" s="11">
        <v>106899</v>
      </c>
      <c r="H1382" s="11" t="s">
        <v>57</v>
      </c>
      <c r="K1382" s="11">
        <v>101060401</v>
      </c>
      <c r="L1382" s="11" t="s">
        <v>34</v>
      </c>
      <c r="M1382" s="11">
        <v>486.92</v>
      </c>
      <c r="N1382" s="11"/>
      <c r="O1382" s="42">
        <v>486.92</v>
      </c>
      <c r="P1382" s="43" t="s">
        <v>4481</v>
      </c>
      <c r="Q1382" s="11">
        <v>667817.07999999996</v>
      </c>
      <c r="R1382" s="11" t="s">
        <v>2966</v>
      </c>
      <c r="S1382" s="11" t="s">
        <v>106</v>
      </c>
      <c r="T1382" s="11">
        <v>0</v>
      </c>
    </row>
    <row r="1383" spans="1:22" x14ac:dyDescent="0.25">
      <c r="A1383" s="11">
        <v>101060402</v>
      </c>
      <c r="B1383" s="11" t="s">
        <v>44</v>
      </c>
      <c r="C1383" s="41">
        <v>44846</v>
      </c>
      <c r="D1383" s="41">
        <v>44846</v>
      </c>
      <c r="E1383" s="11" t="s">
        <v>36</v>
      </c>
      <c r="F1383" s="11" t="s">
        <v>2967</v>
      </c>
      <c r="G1383" s="11">
        <v>106900</v>
      </c>
      <c r="H1383" s="11" t="s">
        <v>75</v>
      </c>
      <c r="J1383" s="11" t="s">
        <v>240</v>
      </c>
      <c r="K1383" s="11">
        <v>51010102</v>
      </c>
      <c r="L1383" s="11" t="s">
        <v>194</v>
      </c>
      <c r="M1383" s="11"/>
      <c r="N1383" s="11">
        <v>242.94</v>
      </c>
      <c r="O1383" s="42">
        <v>-242.94</v>
      </c>
      <c r="P1383" s="43" t="s">
        <v>4489</v>
      </c>
      <c r="Q1383" s="11">
        <v>667574.14</v>
      </c>
      <c r="R1383" s="11" t="s">
        <v>2968</v>
      </c>
      <c r="S1383" s="11" t="s">
        <v>40</v>
      </c>
      <c r="T1383" s="11">
        <v>0</v>
      </c>
      <c r="V1383" s="11" t="s">
        <v>241</v>
      </c>
    </row>
    <row r="1384" spans="1:22" x14ac:dyDescent="0.25">
      <c r="A1384" s="11">
        <v>101060402</v>
      </c>
      <c r="B1384" s="11" t="s">
        <v>44</v>
      </c>
      <c r="C1384" s="41">
        <v>44846</v>
      </c>
      <c r="D1384" s="41">
        <v>44846</v>
      </c>
      <c r="E1384" s="11" t="s">
        <v>36</v>
      </c>
      <c r="F1384" s="11" t="s">
        <v>2969</v>
      </c>
      <c r="G1384" s="11">
        <v>106901</v>
      </c>
      <c r="H1384" s="11" t="s">
        <v>37</v>
      </c>
      <c r="K1384" s="11">
        <v>401030105</v>
      </c>
      <c r="L1384" s="11" t="s">
        <v>54</v>
      </c>
      <c r="M1384" s="26">
        <v>251.68</v>
      </c>
      <c r="O1384" s="44">
        <v>251.68</v>
      </c>
      <c r="P1384" s="43" t="s">
        <v>4494</v>
      </c>
      <c r="Q1384" s="11">
        <v>667825.81999999995</v>
      </c>
      <c r="R1384" s="11" t="s">
        <v>646</v>
      </c>
      <c r="S1384" s="11" t="s">
        <v>40</v>
      </c>
      <c r="T1384" s="11">
        <v>0</v>
      </c>
    </row>
    <row r="1385" spans="1:22" x14ac:dyDescent="0.25">
      <c r="A1385" s="11">
        <v>101060402</v>
      </c>
      <c r="B1385" s="11" t="s">
        <v>44</v>
      </c>
      <c r="C1385" s="41">
        <v>44846</v>
      </c>
      <c r="D1385" s="41">
        <v>44846</v>
      </c>
      <c r="E1385" s="11" t="s">
        <v>42</v>
      </c>
      <c r="F1385" s="11" t="s">
        <v>2970</v>
      </c>
      <c r="G1385" s="11">
        <v>108857</v>
      </c>
      <c r="H1385" s="11" t="s">
        <v>265</v>
      </c>
      <c r="J1385" s="11" t="s">
        <v>240</v>
      </c>
      <c r="K1385" s="11">
        <v>51010102</v>
      </c>
      <c r="L1385" s="11" t="s">
        <v>194</v>
      </c>
      <c r="M1385" s="11">
        <v>21.02</v>
      </c>
      <c r="N1385" s="11"/>
      <c r="O1385" s="42">
        <v>21.02</v>
      </c>
      <c r="P1385" s="43" t="s">
        <v>4489</v>
      </c>
      <c r="Q1385" s="11">
        <v>667846.84</v>
      </c>
      <c r="R1385" s="11" t="s">
        <v>2971</v>
      </c>
      <c r="S1385" s="11" t="s">
        <v>40</v>
      </c>
      <c r="T1385" s="11">
        <v>0</v>
      </c>
      <c r="V1385" s="11" t="s">
        <v>241</v>
      </c>
    </row>
    <row r="1386" spans="1:22" x14ac:dyDescent="0.25">
      <c r="A1386" s="11">
        <v>101060402</v>
      </c>
      <c r="B1386" s="11" t="s">
        <v>44</v>
      </c>
      <c r="C1386" s="41">
        <v>44847</v>
      </c>
      <c r="D1386" s="41">
        <v>44847</v>
      </c>
      <c r="E1386" s="11" t="s">
        <v>42</v>
      </c>
      <c r="F1386" s="11" t="s">
        <v>2972</v>
      </c>
      <c r="G1386" s="11">
        <v>106903</v>
      </c>
      <c r="H1386" s="11" t="s">
        <v>162</v>
      </c>
      <c r="J1386" s="11" t="s">
        <v>240</v>
      </c>
      <c r="K1386" s="11">
        <v>51010102</v>
      </c>
      <c r="L1386" s="11" t="s">
        <v>194</v>
      </c>
      <c r="M1386" s="11"/>
      <c r="N1386" s="11">
        <v>246.57</v>
      </c>
      <c r="O1386" s="42">
        <v>-246.57</v>
      </c>
      <c r="P1386" s="43" t="s">
        <v>4489</v>
      </c>
      <c r="Q1386" s="11">
        <v>667600.27</v>
      </c>
      <c r="R1386" s="11" t="s">
        <v>381</v>
      </c>
      <c r="S1386" s="11" t="s">
        <v>106</v>
      </c>
      <c r="T1386" s="11">
        <v>0</v>
      </c>
      <c r="V1386" s="11" t="s">
        <v>241</v>
      </c>
    </row>
    <row r="1387" spans="1:22" x14ac:dyDescent="0.25">
      <c r="A1387" s="11">
        <v>101060402</v>
      </c>
      <c r="B1387" s="11" t="s">
        <v>44</v>
      </c>
      <c r="C1387" s="41">
        <v>44847</v>
      </c>
      <c r="D1387" s="41">
        <v>44847</v>
      </c>
      <c r="E1387" s="11" t="s">
        <v>42</v>
      </c>
      <c r="F1387" s="11" t="s">
        <v>2973</v>
      </c>
      <c r="G1387" s="11">
        <v>106904</v>
      </c>
      <c r="H1387" s="11" t="s">
        <v>162</v>
      </c>
      <c r="J1387" s="11" t="s">
        <v>240</v>
      </c>
      <c r="K1387" s="11">
        <v>51010102</v>
      </c>
      <c r="L1387" s="11" t="s">
        <v>194</v>
      </c>
      <c r="M1387" s="11"/>
      <c r="N1387" s="11">
        <v>431.5</v>
      </c>
      <c r="O1387" s="42">
        <v>-431.5</v>
      </c>
      <c r="P1387" s="43" t="s">
        <v>4489</v>
      </c>
      <c r="Q1387" s="11">
        <v>667168.77</v>
      </c>
      <c r="R1387" s="11" t="s">
        <v>2974</v>
      </c>
      <c r="S1387" s="11" t="s">
        <v>106</v>
      </c>
      <c r="T1387" s="11">
        <v>0</v>
      </c>
      <c r="V1387" s="11" t="s">
        <v>241</v>
      </c>
    </row>
    <row r="1388" spans="1:22" x14ac:dyDescent="0.25">
      <c r="A1388" s="11">
        <v>101060402</v>
      </c>
      <c r="B1388" s="11" t="s">
        <v>44</v>
      </c>
      <c r="C1388" s="41">
        <v>44847</v>
      </c>
      <c r="D1388" s="41">
        <v>44847</v>
      </c>
      <c r="E1388" s="11" t="s">
        <v>36</v>
      </c>
      <c r="F1388" s="11" t="s">
        <v>2975</v>
      </c>
      <c r="G1388" s="11">
        <v>106924</v>
      </c>
      <c r="H1388" s="11" t="s">
        <v>190</v>
      </c>
      <c r="J1388" s="11" t="s">
        <v>240</v>
      </c>
      <c r="K1388" s="11">
        <v>51010102</v>
      </c>
      <c r="L1388" s="11" t="s">
        <v>194</v>
      </c>
      <c r="M1388" s="11">
        <v>349.7</v>
      </c>
      <c r="N1388" s="11"/>
      <c r="O1388" s="42">
        <v>349.7</v>
      </c>
      <c r="P1388" s="43" t="s">
        <v>4489</v>
      </c>
      <c r="Q1388" s="11">
        <v>667518.47</v>
      </c>
      <c r="R1388" s="11" t="s">
        <v>2976</v>
      </c>
      <c r="S1388" s="11" t="s">
        <v>106</v>
      </c>
      <c r="T1388" s="11">
        <v>0</v>
      </c>
      <c r="V1388" s="11" t="s">
        <v>241</v>
      </c>
    </row>
    <row r="1389" spans="1:22" x14ac:dyDescent="0.25">
      <c r="A1389" s="11">
        <v>101060402</v>
      </c>
      <c r="B1389" s="11" t="s">
        <v>44</v>
      </c>
      <c r="C1389" s="41">
        <v>44847</v>
      </c>
      <c r="D1389" s="41">
        <v>44847</v>
      </c>
      <c r="E1389" s="11" t="s">
        <v>42</v>
      </c>
      <c r="F1389" s="11" t="s">
        <v>2977</v>
      </c>
      <c r="G1389" s="11">
        <v>106935</v>
      </c>
      <c r="H1389" s="11" t="s">
        <v>98</v>
      </c>
      <c r="J1389" s="11" t="s">
        <v>240</v>
      </c>
      <c r="K1389" s="11">
        <v>51010102</v>
      </c>
      <c r="L1389" s="11" t="s">
        <v>194</v>
      </c>
      <c r="M1389" s="11"/>
      <c r="N1389" s="11">
        <v>1186.79</v>
      </c>
      <c r="O1389" s="42">
        <v>-1186.79</v>
      </c>
      <c r="P1389" s="43" t="s">
        <v>4489</v>
      </c>
      <c r="Q1389" s="11">
        <v>666331.68000000005</v>
      </c>
      <c r="R1389" s="11" t="s">
        <v>2978</v>
      </c>
      <c r="S1389" s="11" t="s">
        <v>106</v>
      </c>
      <c r="T1389" s="11">
        <v>0</v>
      </c>
      <c r="V1389" s="11" t="s">
        <v>241</v>
      </c>
    </row>
    <row r="1390" spans="1:22" x14ac:dyDescent="0.25">
      <c r="A1390" s="11">
        <v>101060402</v>
      </c>
      <c r="B1390" s="11" t="s">
        <v>44</v>
      </c>
      <c r="C1390" s="41">
        <v>44847</v>
      </c>
      <c r="D1390" s="41">
        <v>44847</v>
      </c>
      <c r="E1390" s="11" t="s">
        <v>42</v>
      </c>
      <c r="F1390" s="11" t="s">
        <v>2979</v>
      </c>
      <c r="G1390" s="11">
        <v>106937</v>
      </c>
      <c r="H1390" s="11" t="s">
        <v>2980</v>
      </c>
      <c r="J1390" s="11" t="s">
        <v>240</v>
      </c>
      <c r="K1390" s="11">
        <v>51010102</v>
      </c>
      <c r="L1390" s="11" t="s">
        <v>194</v>
      </c>
      <c r="M1390" s="11">
        <v>1186.79</v>
      </c>
      <c r="N1390" s="11"/>
      <c r="O1390" s="42">
        <v>1186.79</v>
      </c>
      <c r="P1390" s="43" t="s">
        <v>4489</v>
      </c>
      <c r="Q1390" s="11">
        <v>667518.47</v>
      </c>
      <c r="R1390" s="11" t="s">
        <v>2981</v>
      </c>
      <c r="S1390" s="11" t="s">
        <v>106</v>
      </c>
      <c r="T1390" s="11">
        <v>0</v>
      </c>
      <c r="V1390" s="11" t="s">
        <v>241</v>
      </c>
    </row>
    <row r="1391" spans="1:22" x14ac:dyDescent="0.25">
      <c r="A1391" s="11">
        <v>101060402</v>
      </c>
      <c r="B1391" s="11" t="s">
        <v>44</v>
      </c>
      <c r="C1391" s="41">
        <v>44847</v>
      </c>
      <c r="D1391" s="41">
        <v>44847</v>
      </c>
      <c r="E1391" s="11" t="s">
        <v>42</v>
      </c>
      <c r="F1391" s="11" t="s">
        <v>2982</v>
      </c>
      <c r="G1391" s="11">
        <v>106941</v>
      </c>
      <c r="H1391" s="11" t="s">
        <v>98</v>
      </c>
      <c r="J1391" s="11" t="s">
        <v>240</v>
      </c>
      <c r="K1391" s="11">
        <v>51010102</v>
      </c>
      <c r="L1391" s="11" t="s">
        <v>194</v>
      </c>
      <c r="M1391" s="11"/>
      <c r="N1391" s="11">
        <v>1186.79</v>
      </c>
      <c r="O1391" s="42">
        <v>-1186.79</v>
      </c>
      <c r="P1391" s="43" t="s">
        <v>4489</v>
      </c>
      <c r="Q1391" s="11">
        <v>666331.68000000005</v>
      </c>
      <c r="R1391" s="11" t="s">
        <v>2978</v>
      </c>
      <c r="S1391" s="11" t="s">
        <v>106</v>
      </c>
      <c r="T1391" s="11">
        <v>0</v>
      </c>
      <c r="V1391" s="11" t="s">
        <v>241</v>
      </c>
    </row>
    <row r="1392" spans="1:22" x14ac:dyDescent="0.25">
      <c r="A1392" s="11">
        <v>101060402</v>
      </c>
      <c r="B1392" s="11" t="s">
        <v>44</v>
      </c>
      <c r="C1392" s="41">
        <v>44847</v>
      </c>
      <c r="D1392" s="41">
        <v>44847</v>
      </c>
      <c r="E1392" s="11" t="s">
        <v>42</v>
      </c>
      <c r="F1392" s="11" t="s">
        <v>2983</v>
      </c>
      <c r="G1392" s="11">
        <v>106950</v>
      </c>
      <c r="H1392" s="11" t="s">
        <v>53</v>
      </c>
      <c r="J1392" s="11" t="s">
        <v>240</v>
      </c>
      <c r="K1392" s="11">
        <v>51010102</v>
      </c>
      <c r="L1392" s="11" t="s">
        <v>194</v>
      </c>
      <c r="M1392" s="11"/>
      <c r="N1392" s="11">
        <v>11.72</v>
      </c>
      <c r="O1392" s="42">
        <v>-11.72</v>
      </c>
      <c r="P1392" s="43" t="s">
        <v>4489</v>
      </c>
      <c r="Q1392" s="11">
        <v>666319.96</v>
      </c>
      <c r="R1392" s="11" t="s">
        <v>183</v>
      </c>
      <c r="S1392" s="11" t="s">
        <v>106</v>
      </c>
      <c r="T1392" s="11">
        <v>0</v>
      </c>
      <c r="V1392" s="11" t="s">
        <v>241</v>
      </c>
    </row>
    <row r="1393" spans="1:22" x14ac:dyDescent="0.25">
      <c r="A1393" s="11">
        <v>101060402</v>
      </c>
      <c r="B1393" s="11" t="s">
        <v>44</v>
      </c>
      <c r="C1393" s="41">
        <v>44847</v>
      </c>
      <c r="D1393" s="41">
        <v>44847</v>
      </c>
      <c r="E1393" s="11" t="s">
        <v>42</v>
      </c>
      <c r="F1393" s="11" t="s">
        <v>641</v>
      </c>
      <c r="G1393" s="11">
        <v>106953</v>
      </c>
      <c r="H1393" s="11" t="s">
        <v>57</v>
      </c>
      <c r="K1393" s="11">
        <v>101060401</v>
      </c>
      <c r="L1393" s="11" t="s">
        <v>34</v>
      </c>
      <c r="M1393" s="11">
        <v>139240</v>
      </c>
      <c r="N1393" s="11"/>
      <c r="O1393" s="42">
        <v>139240</v>
      </c>
      <c r="P1393" s="43" t="s">
        <v>4481</v>
      </c>
      <c r="Q1393" s="11">
        <v>805559.96</v>
      </c>
      <c r="R1393" s="11" t="s">
        <v>2984</v>
      </c>
      <c r="S1393" s="11" t="s">
        <v>40</v>
      </c>
      <c r="T1393" s="11">
        <v>0</v>
      </c>
    </row>
    <row r="1394" spans="1:22" x14ac:dyDescent="0.25">
      <c r="A1394" s="11">
        <v>101060402</v>
      </c>
      <c r="B1394" s="11" t="s">
        <v>44</v>
      </c>
      <c r="C1394" s="41">
        <v>44847</v>
      </c>
      <c r="D1394" s="41">
        <v>44847</v>
      </c>
      <c r="E1394" s="11" t="s">
        <v>42</v>
      </c>
      <c r="F1394" s="11" t="s">
        <v>643</v>
      </c>
      <c r="G1394" s="11">
        <v>106956</v>
      </c>
      <c r="H1394" s="11" t="s">
        <v>43</v>
      </c>
      <c r="K1394" s="11">
        <v>101060401</v>
      </c>
      <c r="L1394" s="11" t="s">
        <v>34</v>
      </c>
      <c r="M1394" s="11"/>
      <c r="N1394" s="11">
        <v>139233.51</v>
      </c>
      <c r="O1394" s="42">
        <v>-139233.51</v>
      </c>
      <c r="P1394" s="43" t="s">
        <v>4481</v>
      </c>
      <c r="Q1394" s="11">
        <v>666326.44999999995</v>
      </c>
      <c r="R1394" s="11" t="s">
        <v>2985</v>
      </c>
      <c r="S1394" s="11" t="s">
        <v>40</v>
      </c>
      <c r="T1394" s="11">
        <v>0</v>
      </c>
    </row>
    <row r="1395" spans="1:22" x14ac:dyDescent="0.25">
      <c r="A1395" s="11">
        <v>101060402</v>
      </c>
      <c r="B1395" s="11" t="s">
        <v>44</v>
      </c>
      <c r="C1395" s="41">
        <v>44847</v>
      </c>
      <c r="D1395" s="41">
        <v>44847</v>
      </c>
      <c r="E1395" s="11" t="s">
        <v>42</v>
      </c>
      <c r="F1395" s="11" t="s">
        <v>645</v>
      </c>
      <c r="G1395" s="11">
        <v>106957</v>
      </c>
      <c r="H1395" s="11" t="s">
        <v>57</v>
      </c>
      <c r="K1395" s="11">
        <v>101060401</v>
      </c>
      <c r="L1395" s="11" t="s">
        <v>34</v>
      </c>
      <c r="M1395" s="11"/>
      <c r="N1395" s="11">
        <v>251.68</v>
      </c>
      <c r="O1395" s="42">
        <v>-251.68</v>
      </c>
      <c r="P1395" s="43" t="s">
        <v>4481</v>
      </c>
      <c r="Q1395" s="11">
        <v>666074.77</v>
      </c>
      <c r="R1395" s="11" t="s">
        <v>648</v>
      </c>
      <c r="S1395" s="11" t="s">
        <v>40</v>
      </c>
      <c r="T1395" s="11">
        <v>0</v>
      </c>
    </row>
    <row r="1396" spans="1:22" x14ac:dyDescent="0.25">
      <c r="A1396" s="11">
        <v>101060402</v>
      </c>
      <c r="B1396" s="11" t="s">
        <v>44</v>
      </c>
      <c r="C1396" s="41">
        <v>44847</v>
      </c>
      <c r="D1396" s="41">
        <v>44847</v>
      </c>
      <c r="E1396" s="11" t="s">
        <v>42</v>
      </c>
      <c r="F1396" s="11" t="s">
        <v>647</v>
      </c>
      <c r="G1396" s="11">
        <v>106958</v>
      </c>
      <c r="H1396" s="11" t="s">
        <v>43</v>
      </c>
      <c r="K1396" s="11">
        <v>101060401</v>
      </c>
      <c r="L1396" s="11" t="s">
        <v>34</v>
      </c>
      <c r="M1396" s="11">
        <v>251.68</v>
      </c>
      <c r="N1396" s="11"/>
      <c r="O1396" s="42">
        <v>251.68</v>
      </c>
      <c r="P1396" s="43" t="s">
        <v>4481</v>
      </c>
      <c r="Q1396" s="11">
        <v>666326.44999999995</v>
      </c>
      <c r="R1396" s="11" t="s">
        <v>646</v>
      </c>
      <c r="S1396" s="11" t="s">
        <v>40</v>
      </c>
      <c r="T1396" s="11">
        <v>0</v>
      </c>
    </row>
    <row r="1397" spans="1:22" x14ac:dyDescent="0.25">
      <c r="A1397" s="11">
        <v>101060402</v>
      </c>
      <c r="B1397" s="11" t="s">
        <v>44</v>
      </c>
      <c r="C1397" s="41">
        <v>44847</v>
      </c>
      <c r="D1397" s="41">
        <v>44847</v>
      </c>
      <c r="E1397" s="11" t="s">
        <v>42</v>
      </c>
      <c r="F1397" s="11" t="s">
        <v>651</v>
      </c>
      <c r="G1397" s="11">
        <v>106964</v>
      </c>
      <c r="H1397" s="11" t="s">
        <v>57</v>
      </c>
      <c r="K1397" s="11">
        <v>101060401</v>
      </c>
      <c r="L1397" s="11" t="s">
        <v>34</v>
      </c>
      <c r="M1397" s="11">
        <v>774.54</v>
      </c>
      <c r="N1397" s="11"/>
      <c r="O1397" s="42">
        <v>774.54</v>
      </c>
      <c r="P1397" s="43" t="s">
        <v>4481</v>
      </c>
      <c r="Q1397" s="11">
        <v>667100.99</v>
      </c>
      <c r="R1397" s="11" t="s">
        <v>650</v>
      </c>
      <c r="S1397" s="11" t="s">
        <v>40</v>
      </c>
      <c r="T1397" s="11">
        <v>0</v>
      </c>
    </row>
    <row r="1398" spans="1:22" x14ac:dyDescent="0.25">
      <c r="A1398" s="11">
        <v>101060402</v>
      </c>
      <c r="B1398" s="11" t="s">
        <v>44</v>
      </c>
      <c r="C1398" s="41">
        <v>44847</v>
      </c>
      <c r="D1398" s="41">
        <v>44847</v>
      </c>
      <c r="E1398" s="11" t="s">
        <v>42</v>
      </c>
      <c r="F1398" s="11" t="s">
        <v>2986</v>
      </c>
      <c r="G1398" s="11">
        <v>106973</v>
      </c>
      <c r="H1398" s="11" t="s">
        <v>141</v>
      </c>
      <c r="J1398" s="11" t="s">
        <v>240</v>
      </c>
      <c r="K1398" s="11">
        <v>51010102</v>
      </c>
      <c r="L1398" s="11" t="s">
        <v>194</v>
      </c>
      <c r="M1398" s="11"/>
      <c r="N1398" s="11">
        <v>102.04</v>
      </c>
      <c r="O1398" s="42">
        <v>-102.04</v>
      </c>
      <c r="P1398" s="43" t="s">
        <v>4489</v>
      </c>
      <c r="Q1398" s="11">
        <v>666998.94999999995</v>
      </c>
      <c r="R1398" s="11" t="s">
        <v>2987</v>
      </c>
      <c r="S1398" s="11" t="s">
        <v>106</v>
      </c>
      <c r="T1398" s="11">
        <v>0</v>
      </c>
      <c r="V1398" s="11" t="s">
        <v>241</v>
      </c>
    </row>
    <row r="1399" spans="1:22" x14ac:dyDescent="0.25">
      <c r="A1399" s="11">
        <v>101060402</v>
      </c>
      <c r="B1399" s="11" t="s">
        <v>44</v>
      </c>
      <c r="C1399" s="41">
        <v>44847</v>
      </c>
      <c r="D1399" s="41">
        <v>44847</v>
      </c>
      <c r="E1399" s="11" t="s">
        <v>42</v>
      </c>
      <c r="F1399" s="11" t="s">
        <v>654</v>
      </c>
      <c r="G1399" s="11">
        <v>106979</v>
      </c>
      <c r="H1399" s="11" t="s">
        <v>57</v>
      </c>
      <c r="K1399" s="11">
        <v>101060401</v>
      </c>
      <c r="L1399" s="11" t="s">
        <v>34</v>
      </c>
      <c r="M1399" s="11"/>
      <c r="N1399" s="11">
        <v>73.099999999999994</v>
      </c>
      <c r="O1399" s="42">
        <v>-73.099999999999994</v>
      </c>
      <c r="P1399" s="43" t="s">
        <v>4481</v>
      </c>
      <c r="Q1399" s="11">
        <v>666925.85</v>
      </c>
      <c r="R1399" s="11" t="s">
        <v>516</v>
      </c>
      <c r="S1399" s="11" t="s">
        <v>106</v>
      </c>
      <c r="T1399" s="11">
        <v>0</v>
      </c>
    </row>
    <row r="1400" spans="1:22" x14ac:dyDescent="0.25">
      <c r="A1400" s="11">
        <v>101060402</v>
      </c>
      <c r="B1400" s="11" t="s">
        <v>44</v>
      </c>
      <c r="C1400" s="41">
        <v>44847</v>
      </c>
      <c r="D1400" s="41">
        <v>44847</v>
      </c>
      <c r="E1400" s="11" t="s">
        <v>42</v>
      </c>
      <c r="F1400" s="11" t="s">
        <v>658</v>
      </c>
      <c r="G1400" s="11">
        <v>106990</v>
      </c>
      <c r="H1400" s="11" t="s">
        <v>47</v>
      </c>
      <c r="J1400" s="11" t="s">
        <v>240</v>
      </c>
      <c r="K1400" s="11">
        <v>51010102</v>
      </c>
      <c r="L1400" s="11" t="s">
        <v>194</v>
      </c>
      <c r="M1400" s="11"/>
      <c r="N1400" s="11">
        <v>224.09</v>
      </c>
      <c r="O1400" s="42">
        <v>-224.09</v>
      </c>
      <c r="P1400" s="43" t="s">
        <v>4489</v>
      </c>
      <c r="Q1400" s="11">
        <v>666701.76</v>
      </c>
      <c r="R1400" s="11" t="s">
        <v>2895</v>
      </c>
      <c r="S1400" s="11" t="s">
        <v>40</v>
      </c>
      <c r="T1400" s="11">
        <v>0</v>
      </c>
      <c r="V1400" s="11" t="s">
        <v>241</v>
      </c>
    </row>
    <row r="1401" spans="1:22" x14ac:dyDescent="0.25">
      <c r="A1401" s="11">
        <v>101060402</v>
      </c>
      <c r="B1401" s="11" t="s">
        <v>44</v>
      </c>
      <c r="C1401" s="41">
        <v>44847</v>
      </c>
      <c r="D1401" s="41">
        <v>44847</v>
      </c>
      <c r="E1401" s="11" t="s">
        <v>42</v>
      </c>
      <c r="F1401" s="11" t="s">
        <v>668</v>
      </c>
      <c r="G1401" s="11">
        <v>107009</v>
      </c>
      <c r="H1401" s="11" t="s">
        <v>57</v>
      </c>
      <c r="K1401" s="11">
        <v>101060401</v>
      </c>
      <c r="L1401" s="11" t="s">
        <v>34</v>
      </c>
      <c r="M1401" s="11">
        <v>264.25</v>
      </c>
      <c r="N1401" s="11"/>
      <c r="O1401" s="42">
        <v>264.25</v>
      </c>
      <c r="P1401" s="43" t="s">
        <v>4481</v>
      </c>
      <c r="Q1401" s="11">
        <v>666966.01</v>
      </c>
      <c r="R1401" s="11" t="s">
        <v>667</v>
      </c>
      <c r="S1401" s="11" t="s">
        <v>40</v>
      </c>
      <c r="T1401" s="11">
        <v>0</v>
      </c>
    </row>
    <row r="1402" spans="1:22" x14ac:dyDescent="0.25">
      <c r="A1402" s="11">
        <v>101060402</v>
      </c>
      <c r="B1402" s="11" t="s">
        <v>44</v>
      </c>
      <c r="C1402" s="41">
        <v>44848</v>
      </c>
      <c r="D1402" s="41">
        <v>44848</v>
      </c>
      <c r="E1402" s="11" t="s">
        <v>42</v>
      </c>
      <c r="F1402" s="11" t="s">
        <v>2988</v>
      </c>
      <c r="G1402" s="11">
        <v>107010</v>
      </c>
      <c r="H1402" s="11" t="s">
        <v>114</v>
      </c>
      <c r="J1402" s="11" t="s">
        <v>240</v>
      </c>
      <c r="K1402" s="11">
        <v>51010102</v>
      </c>
      <c r="L1402" s="11" t="s">
        <v>194</v>
      </c>
      <c r="M1402" s="11"/>
      <c r="N1402" s="11">
        <v>264.25</v>
      </c>
      <c r="O1402" s="42">
        <v>-264.25</v>
      </c>
      <c r="P1402" s="43" t="s">
        <v>4489</v>
      </c>
      <c r="Q1402" s="11">
        <v>666701.76</v>
      </c>
      <c r="R1402" s="11" t="s">
        <v>669</v>
      </c>
      <c r="S1402" s="11" t="s">
        <v>106</v>
      </c>
      <c r="T1402" s="11">
        <v>0</v>
      </c>
      <c r="V1402" s="11" t="s">
        <v>241</v>
      </c>
    </row>
    <row r="1403" spans="1:22" x14ac:dyDescent="0.25">
      <c r="A1403" s="11">
        <v>101060402</v>
      </c>
      <c r="B1403" s="11" t="s">
        <v>44</v>
      </c>
      <c r="C1403" s="41">
        <v>44848</v>
      </c>
      <c r="D1403" s="41">
        <v>44848</v>
      </c>
      <c r="E1403" s="11" t="s">
        <v>42</v>
      </c>
      <c r="F1403" s="11" t="s">
        <v>674</v>
      </c>
      <c r="G1403" s="11">
        <v>107013</v>
      </c>
      <c r="H1403" s="11" t="s">
        <v>57</v>
      </c>
      <c r="K1403" s="11">
        <v>101060401</v>
      </c>
      <c r="L1403" s="11" t="s">
        <v>34</v>
      </c>
      <c r="M1403" s="11"/>
      <c r="N1403" s="11">
        <v>399.56</v>
      </c>
      <c r="O1403" s="42">
        <v>-399.56</v>
      </c>
      <c r="P1403" s="43" t="s">
        <v>4481</v>
      </c>
      <c r="Q1403" s="11">
        <v>666302.19999999995</v>
      </c>
      <c r="R1403" s="11" t="s">
        <v>820</v>
      </c>
      <c r="S1403" s="11" t="s">
        <v>106</v>
      </c>
      <c r="T1403" s="11">
        <v>0</v>
      </c>
    </row>
    <row r="1404" spans="1:22" x14ac:dyDescent="0.25">
      <c r="A1404" s="11">
        <v>101060402</v>
      </c>
      <c r="B1404" s="11" t="s">
        <v>44</v>
      </c>
      <c r="C1404" s="41">
        <v>44848</v>
      </c>
      <c r="D1404" s="41">
        <v>44848</v>
      </c>
      <c r="E1404" s="11" t="s">
        <v>42</v>
      </c>
      <c r="F1404" s="11" t="s">
        <v>676</v>
      </c>
      <c r="G1404" s="11">
        <v>107014</v>
      </c>
      <c r="H1404" s="11" t="s">
        <v>57</v>
      </c>
      <c r="K1404" s="11">
        <v>101060401</v>
      </c>
      <c r="L1404" s="11" t="s">
        <v>34</v>
      </c>
      <c r="M1404" s="11">
        <v>133.19</v>
      </c>
      <c r="N1404" s="11"/>
      <c r="O1404" s="42">
        <v>133.19</v>
      </c>
      <c r="P1404" s="43" t="s">
        <v>4481</v>
      </c>
      <c r="Q1404" s="11">
        <v>666435.39</v>
      </c>
      <c r="R1404" s="11" t="s">
        <v>2989</v>
      </c>
      <c r="S1404" s="11" t="s">
        <v>40</v>
      </c>
      <c r="T1404" s="11">
        <v>0</v>
      </c>
    </row>
    <row r="1405" spans="1:22" x14ac:dyDescent="0.25">
      <c r="A1405" s="11">
        <v>101060402</v>
      </c>
      <c r="B1405" s="11" t="s">
        <v>44</v>
      </c>
      <c r="C1405" s="41">
        <v>44848</v>
      </c>
      <c r="D1405" s="41">
        <v>44848</v>
      </c>
      <c r="E1405" s="11" t="s">
        <v>42</v>
      </c>
      <c r="F1405" s="11" t="s">
        <v>677</v>
      </c>
      <c r="G1405" s="11">
        <v>107015</v>
      </c>
      <c r="H1405" s="11" t="s">
        <v>62</v>
      </c>
      <c r="J1405" s="11" t="s">
        <v>240</v>
      </c>
      <c r="K1405" s="11">
        <v>51010102</v>
      </c>
      <c r="L1405" s="11" t="s">
        <v>194</v>
      </c>
      <c r="M1405" s="11"/>
      <c r="N1405" s="11">
        <v>399.56</v>
      </c>
      <c r="O1405" s="42">
        <v>-399.56</v>
      </c>
      <c r="P1405" s="43" t="s">
        <v>4489</v>
      </c>
      <c r="Q1405" s="11">
        <v>666035.82999999996</v>
      </c>
      <c r="R1405" s="11" t="s">
        <v>820</v>
      </c>
      <c r="S1405" s="11" t="s">
        <v>40</v>
      </c>
      <c r="T1405" s="11">
        <v>0</v>
      </c>
      <c r="V1405" s="11" t="s">
        <v>241</v>
      </c>
    </row>
    <row r="1406" spans="1:22" x14ac:dyDescent="0.25">
      <c r="A1406" s="11">
        <v>101060402</v>
      </c>
      <c r="B1406" s="11" t="s">
        <v>44</v>
      </c>
      <c r="C1406" s="41">
        <v>44848</v>
      </c>
      <c r="D1406" s="41">
        <v>44848</v>
      </c>
      <c r="E1406" s="11" t="s">
        <v>42</v>
      </c>
      <c r="F1406" s="11" t="s">
        <v>683</v>
      </c>
      <c r="G1406" s="11">
        <v>107018</v>
      </c>
      <c r="H1406" s="11" t="s">
        <v>43</v>
      </c>
      <c r="K1406" s="11">
        <v>101060401</v>
      </c>
      <c r="L1406" s="11" t="s">
        <v>34</v>
      </c>
      <c r="M1406" s="11">
        <v>146896.03</v>
      </c>
      <c r="N1406" s="11"/>
      <c r="O1406" s="42">
        <v>146896.03</v>
      </c>
      <c r="P1406" s="43" t="s">
        <v>4481</v>
      </c>
      <c r="Q1406" s="11">
        <v>812931.86</v>
      </c>
      <c r="R1406" s="11" t="s">
        <v>682</v>
      </c>
      <c r="S1406" s="11" t="s">
        <v>40</v>
      </c>
      <c r="T1406" s="11">
        <v>0</v>
      </c>
    </row>
    <row r="1407" spans="1:22" x14ac:dyDescent="0.25">
      <c r="A1407" s="11">
        <v>101060402</v>
      </c>
      <c r="B1407" s="11" t="s">
        <v>44</v>
      </c>
      <c r="C1407" s="41">
        <v>44848</v>
      </c>
      <c r="D1407" s="41">
        <v>44848</v>
      </c>
      <c r="E1407" s="11" t="s">
        <v>42</v>
      </c>
      <c r="F1407" s="11" t="s">
        <v>685</v>
      </c>
      <c r="G1407" s="11">
        <v>107019</v>
      </c>
      <c r="H1407" s="11" t="s">
        <v>57</v>
      </c>
      <c r="K1407" s="11">
        <v>101060401</v>
      </c>
      <c r="L1407" s="11" t="s">
        <v>34</v>
      </c>
      <c r="M1407" s="11">
        <v>73.099999999999994</v>
      </c>
      <c r="N1407" s="11"/>
      <c r="O1407" s="42">
        <v>73.099999999999994</v>
      </c>
      <c r="P1407" s="43" t="s">
        <v>4481</v>
      </c>
      <c r="Q1407" s="11">
        <v>813004.96</v>
      </c>
      <c r="R1407" s="11" t="s">
        <v>400</v>
      </c>
      <c r="S1407" s="11" t="s">
        <v>40</v>
      </c>
      <c r="T1407" s="11">
        <v>0</v>
      </c>
    </row>
    <row r="1408" spans="1:22" x14ac:dyDescent="0.25">
      <c r="A1408" s="11">
        <v>101060402</v>
      </c>
      <c r="B1408" s="11" t="s">
        <v>44</v>
      </c>
      <c r="C1408" s="41">
        <v>44848</v>
      </c>
      <c r="D1408" s="41">
        <v>44848</v>
      </c>
      <c r="E1408" s="11" t="s">
        <v>42</v>
      </c>
      <c r="F1408" s="11" t="s">
        <v>686</v>
      </c>
      <c r="G1408" s="11">
        <v>107020</v>
      </c>
      <c r="H1408" s="11" t="s">
        <v>43</v>
      </c>
      <c r="K1408" s="11">
        <v>101060401</v>
      </c>
      <c r="L1408" s="11" t="s">
        <v>34</v>
      </c>
      <c r="M1408" s="11"/>
      <c r="N1408" s="11">
        <v>73.099999999999994</v>
      </c>
      <c r="O1408" s="42">
        <v>-73.099999999999994</v>
      </c>
      <c r="P1408" s="43" t="s">
        <v>4481</v>
      </c>
      <c r="Q1408" s="11">
        <v>812931.86</v>
      </c>
      <c r="R1408" s="11" t="s">
        <v>516</v>
      </c>
      <c r="S1408" s="11" t="s">
        <v>40</v>
      </c>
      <c r="T1408" s="11">
        <v>0</v>
      </c>
    </row>
    <row r="1409" spans="1:22" x14ac:dyDescent="0.25">
      <c r="A1409" s="11">
        <v>101060402</v>
      </c>
      <c r="B1409" s="11" t="s">
        <v>44</v>
      </c>
      <c r="C1409" s="41">
        <v>44848</v>
      </c>
      <c r="D1409" s="41">
        <v>44848</v>
      </c>
      <c r="E1409" s="11" t="s">
        <v>42</v>
      </c>
      <c r="F1409" s="11" t="s">
        <v>2990</v>
      </c>
      <c r="G1409" s="11">
        <v>107039</v>
      </c>
      <c r="H1409" s="11" t="s">
        <v>162</v>
      </c>
      <c r="J1409" s="11" t="s">
        <v>240</v>
      </c>
      <c r="K1409" s="11">
        <v>51010102</v>
      </c>
      <c r="L1409" s="11" t="s">
        <v>194</v>
      </c>
      <c r="M1409" s="11"/>
      <c r="N1409" s="11">
        <v>69.06</v>
      </c>
      <c r="O1409" s="42">
        <v>-69.06</v>
      </c>
      <c r="P1409" s="43" t="s">
        <v>4489</v>
      </c>
      <c r="Q1409" s="11">
        <v>812862.8</v>
      </c>
      <c r="R1409" s="11" t="s">
        <v>2991</v>
      </c>
      <c r="S1409" s="11" t="s">
        <v>106</v>
      </c>
      <c r="T1409" s="11">
        <v>0</v>
      </c>
      <c r="V1409" s="11" t="s">
        <v>241</v>
      </c>
    </row>
    <row r="1410" spans="1:22" x14ac:dyDescent="0.25">
      <c r="A1410" s="11">
        <v>101060402</v>
      </c>
      <c r="B1410" s="11" t="s">
        <v>44</v>
      </c>
      <c r="C1410" s="41">
        <v>44851</v>
      </c>
      <c r="D1410" s="41">
        <v>44851</v>
      </c>
      <c r="E1410" s="11" t="s">
        <v>42</v>
      </c>
      <c r="F1410" s="11" t="s">
        <v>2992</v>
      </c>
      <c r="G1410" s="11">
        <v>107060</v>
      </c>
      <c r="H1410" s="11" t="s">
        <v>162</v>
      </c>
      <c r="J1410" s="11" t="s">
        <v>240</v>
      </c>
      <c r="K1410" s="11">
        <v>51010102</v>
      </c>
      <c r="L1410" s="11" t="s">
        <v>194</v>
      </c>
      <c r="M1410" s="11"/>
      <c r="N1410" s="11">
        <v>774.54</v>
      </c>
      <c r="O1410" s="42">
        <v>-774.54</v>
      </c>
      <c r="P1410" s="43" t="s">
        <v>4489</v>
      </c>
      <c r="Q1410" s="11">
        <v>812088.26</v>
      </c>
      <c r="R1410" s="11" t="s">
        <v>652</v>
      </c>
      <c r="S1410" s="11" t="s">
        <v>106</v>
      </c>
      <c r="T1410" s="11">
        <v>0</v>
      </c>
      <c r="V1410" s="11" t="s">
        <v>241</v>
      </c>
    </row>
    <row r="1411" spans="1:22" x14ac:dyDescent="0.25">
      <c r="A1411" s="11">
        <v>101060402</v>
      </c>
      <c r="B1411" s="11" t="s">
        <v>44</v>
      </c>
      <c r="C1411" s="41">
        <v>44851</v>
      </c>
      <c r="D1411" s="41">
        <v>44851</v>
      </c>
      <c r="E1411" s="11" t="s">
        <v>42</v>
      </c>
      <c r="F1411" s="11" t="s">
        <v>2993</v>
      </c>
      <c r="G1411" s="11">
        <v>107065</v>
      </c>
      <c r="H1411" s="11" t="s">
        <v>76</v>
      </c>
      <c r="J1411" s="11" t="s">
        <v>240</v>
      </c>
      <c r="K1411" s="11">
        <v>51010102</v>
      </c>
      <c r="L1411" s="11" t="s">
        <v>194</v>
      </c>
      <c r="M1411" s="11"/>
      <c r="N1411" s="11">
        <v>2876.84</v>
      </c>
      <c r="O1411" s="42">
        <v>-2876.84</v>
      </c>
      <c r="P1411" s="43" t="s">
        <v>4489</v>
      </c>
      <c r="Q1411" s="11">
        <v>809211.42</v>
      </c>
      <c r="R1411" s="11" t="s">
        <v>2994</v>
      </c>
      <c r="S1411" s="11" t="s">
        <v>106</v>
      </c>
      <c r="T1411" s="11">
        <v>0</v>
      </c>
      <c r="V1411" s="11" t="s">
        <v>241</v>
      </c>
    </row>
    <row r="1412" spans="1:22" x14ac:dyDescent="0.25">
      <c r="A1412" s="11">
        <v>101060402</v>
      </c>
      <c r="B1412" s="11" t="s">
        <v>44</v>
      </c>
      <c r="C1412" s="41">
        <v>44851</v>
      </c>
      <c r="D1412" s="41">
        <v>44851</v>
      </c>
      <c r="E1412" s="11" t="s">
        <v>36</v>
      </c>
      <c r="F1412" s="11" t="s">
        <v>2995</v>
      </c>
      <c r="G1412" s="11">
        <v>107067</v>
      </c>
      <c r="H1412" s="11" t="s">
        <v>37</v>
      </c>
      <c r="K1412" s="11">
        <v>401030105</v>
      </c>
      <c r="L1412" s="11" t="s">
        <v>54</v>
      </c>
      <c r="M1412" s="26">
        <v>101.52</v>
      </c>
      <c r="O1412" s="44">
        <v>101.52</v>
      </c>
      <c r="P1412" s="43" t="s">
        <v>4494</v>
      </c>
      <c r="Q1412" s="11">
        <v>809312.94</v>
      </c>
      <c r="R1412" s="11" t="s">
        <v>2894</v>
      </c>
      <c r="S1412" s="11" t="s">
        <v>40</v>
      </c>
      <c r="T1412" s="11">
        <v>0</v>
      </c>
    </row>
    <row r="1413" spans="1:22" x14ac:dyDescent="0.25">
      <c r="A1413" s="11">
        <v>101060402</v>
      </c>
      <c r="B1413" s="11" t="s">
        <v>44</v>
      </c>
      <c r="C1413" s="41">
        <v>44851</v>
      </c>
      <c r="D1413" s="41">
        <v>44851</v>
      </c>
      <c r="E1413" s="11" t="s">
        <v>42</v>
      </c>
      <c r="F1413" s="11" t="s">
        <v>712</v>
      </c>
      <c r="G1413" s="11">
        <v>107071</v>
      </c>
      <c r="H1413" s="11" t="s">
        <v>57</v>
      </c>
      <c r="K1413" s="11">
        <v>101060401</v>
      </c>
      <c r="L1413" s="11" t="s">
        <v>34</v>
      </c>
      <c r="M1413" s="11"/>
      <c r="N1413" s="11">
        <v>520</v>
      </c>
      <c r="O1413" s="42">
        <v>-520</v>
      </c>
      <c r="P1413" s="43" t="s">
        <v>4481</v>
      </c>
      <c r="Q1413" s="11">
        <v>808792.94</v>
      </c>
      <c r="R1413" s="11" t="s">
        <v>2996</v>
      </c>
      <c r="S1413" s="11" t="s">
        <v>40</v>
      </c>
      <c r="T1413" s="11">
        <v>0</v>
      </c>
    </row>
    <row r="1414" spans="1:22" x14ac:dyDescent="0.25">
      <c r="A1414" s="11">
        <v>101060402</v>
      </c>
      <c r="B1414" s="11" t="s">
        <v>44</v>
      </c>
      <c r="C1414" s="41">
        <v>44851</v>
      </c>
      <c r="D1414" s="41">
        <v>44851</v>
      </c>
      <c r="E1414" s="11" t="s">
        <v>42</v>
      </c>
      <c r="F1414" s="11" t="s">
        <v>2997</v>
      </c>
      <c r="G1414" s="11">
        <v>107072</v>
      </c>
      <c r="H1414" s="11" t="s">
        <v>266</v>
      </c>
      <c r="J1414" s="11" t="s">
        <v>240</v>
      </c>
      <c r="K1414" s="11">
        <v>51010102</v>
      </c>
      <c r="L1414" s="11" t="s">
        <v>194</v>
      </c>
      <c r="M1414" s="11"/>
      <c r="N1414" s="11">
        <v>123.77</v>
      </c>
      <c r="O1414" s="42">
        <v>-123.77</v>
      </c>
      <c r="P1414" s="43" t="s">
        <v>4489</v>
      </c>
      <c r="Q1414" s="11">
        <v>808669.17</v>
      </c>
      <c r="R1414" s="11" t="s">
        <v>2998</v>
      </c>
      <c r="S1414" s="11" t="s">
        <v>106</v>
      </c>
      <c r="T1414" s="11">
        <v>0</v>
      </c>
      <c r="V1414" s="11" t="s">
        <v>241</v>
      </c>
    </row>
    <row r="1415" spans="1:22" x14ac:dyDescent="0.25">
      <c r="A1415" s="11">
        <v>101060402</v>
      </c>
      <c r="B1415" s="11" t="s">
        <v>44</v>
      </c>
      <c r="C1415" s="41">
        <v>44851</v>
      </c>
      <c r="D1415" s="41">
        <v>44851</v>
      </c>
      <c r="E1415" s="11" t="s">
        <v>42</v>
      </c>
      <c r="F1415" s="11" t="s">
        <v>2999</v>
      </c>
      <c r="G1415" s="11">
        <v>107078</v>
      </c>
      <c r="H1415" s="11" t="s">
        <v>47</v>
      </c>
      <c r="J1415" s="11" t="s">
        <v>240</v>
      </c>
      <c r="K1415" s="11">
        <v>51010102</v>
      </c>
      <c r="L1415" s="11" t="s">
        <v>194</v>
      </c>
      <c r="M1415" s="11"/>
      <c r="N1415" s="11">
        <v>875.25</v>
      </c>
      <c r="O1415" s="42">
        <v>-875.25</v>
      </c>
      <c r="P1415" s="43" t="s">
        <v>4489</v>
      </c>
      <c r="Q1415" s="11">
        <v>807793.92</v>
      </c>
      <c r="R1415" s="11" t="s">
        <v>3000</v>
      </c>
      <c r="S1415" s="11" t="s">
        <v>106</v>
      </c>
      <c r="T1415" s="11">
        <v>0</v>
      </c>
      <c r="V1415" s="11" t="s">
        <v>241</v>
      </c>
    </row>
    <row r="1416" spans="1:22" x14ac:dyDescent="0.25">
      <c r="A1416" s="11">
        <v>101060402</v>
      </c>
      <c r="B1416" s="11" t="s">
        <v>44</v>
      </c>
      <c r="C1416" s="41">
        <v>44851</v>
      </c>
      <c r="D1416" s="41">
        <v>44851</v>
      </c>
      <c r="E1416" s="11" t="s">
        <v>42</v>
      </c>
      <c r="F1416" s="11" t="s">
        <v>3001</v>
      </c>
      <c r="G1416" s="11">
        <v>107079</v>
      </c>
      <c r="H1416" s="11" t="s">
        <v>47</v>
      </c>
      <c r="J1416" s="11" t="s">
        <v>240</v>
      </c>
      <c r="K1416" s="11">
        <v>51010102</v>
      </c>
      <c r="L1416" s="11" t="s">
        <v>194</v>
      </c>
      <c r="M1416" s="11"/>
      <c r="N1416" s="11">
        <v>262.77</v>
      </c>
      <c r="O1416" s="42">
        <v>-262.77</v>
      </c>
      <c r="P1416" s="43" t="s">
        <v>4489</v>
      </c>
      <c r="Q1416" s="11">
        <v>807531.15</v>
      </c>
      <c r="R1416" s="11" t="s">
        <v>3002</v>
      </c>
      <c r="S1416" s="11" t="s">
        <v>106</v>
      </c>
      <c r="T1416" s="11">
        <v>0</v>
      </c>
      <c r="V1416" s="11" t="s">
        <v>241</v>
      </c>
    </row>
    <row r="1417" spans="1:22" x14ac:dyDescent="0.25">
      <c r="A1417" s="11">
        <v>101060402</v>
      </c>
      <c r="B1417" s="11" t="s">
        <v>44</v>
      </c>
      <c r="C1417" s="41">
        <v>44851</v>
      </c>
      <c r="D1417" s="41">
        <v>44851</v>
      </c>
      <c r="E1417" s="11" t="s">
        <v>42</v>
      </c>
      <c r="F1417" s="11" t="s">
        <v>3003</v>
      </c>
      <c r="G1417" s="11">
        <v>107080</v>
      </c>
      <c r="H1417" s="11" t="s">
        <v>47</v>
      </c>
      <c r="J1417" s="11" t="s">
        <v>240</v>
      </c>
      <c r="K1417" s="11">
        <v>51010102</v>
      </c>
      <c r="L1417" s="11" t="s">
        <v>194</v>
      </c>
      <c r="M1417" s="11"/>
      <c r="N1417" s="11">
        <v>90.82</v>
      </c>
      <c r="O1417" s="42">
        <v>-90.82</v>
      </c>
      <c r="P1417" s="43" t="s">
        <v>4489</v>
      </c>
      <c r="Q1417" s="11">
        <v>807440.33</v>
      </c>
      <c r="R1417" s="11" t="s">
        <v>3004</v>
      </c>
      <c r="S1417" s="11" t="s">
        <v>106</v>
      </c>
      <c r="T1417" s="11">
        <v>0</v>
      </c>
      <c r="V1417" s="11" t="s">
        <v>241</v>
      </c>
    </row>
    <row r="1418" spans="1:22" x14ac:dyDescent="0.25">
      <c r="A1418" s="11">
        <v>101060402</v>
      </c>
      <c r="B1418" s="11" t="s">
        <v>44</v>
      </c>
      <c r="C1418" s="41">
        <v>44851</v>
      </c>
      <c r="D1418" s="41">
        <v>44851</v>
      </c>
      <c r="E1418" s="11" t="s">
        <v>42</v>
      </c>
      <c r="F1418" s="11" t="s">
        <v>719</v>
      </c>
      <c r="G1418" s="11">
        <v>107084</v>
      </c>
      <c r="H1418" s="11" t="s">
        <v>57</v>
      </c>
      <c r="K1418" s="11">
        <v>101060401</v>
      </c>
      <c r="L1418" s="11" t="s">
        <v>34</v>
      </c>
      <c r="M1418" s="11">
        <v>57178.87</v>
      </c>
      <c r="N1418" s="11"/>
      <c r="O1418" s="42">
        <v>57178.87</v>
      </c>
      <c r="P1418" s="43" t="s">
        <v>4481</v>
      </c>
      <c r="Q1418" s="11">
        <v>864619.2</v>
      </c>
      <c r="R1418" s="11" t="s">
        <v>3005</v>
      </c>
      <c r="S1418" s="11" t="s">
        <v>40</v>
      </c>
      <c r="T1418" s="11">
        <v>0</v>
      </c>
    </row>
    <row r="1419" spans="1:22" x14ac:dyDescent="0.25">
      <c r="A1419" s="11">
        <v>101060402</v>
      </c>
      <c r="B1419" s="11" t="s">
        <v>44</v>
      </c>
      <c r="C1419" s="41">
        <v>44852</v>
      </c>
      <c r="D1419" s="41">
        <v>44852</v>
      </c>
      <c r="E1419" s="11" t="s">
        <v>42</v>
      </c>
      <c r="F1419" s="11" t="s">
        <v>3006</v>
      </c>
      <c r="G1419" s="11">
        <v>107107</v>
      </c>
      <c r="H1419" s="11" t="s">
        <v>57</v>
      </c>
      <c r="K1419" s="11">
        <v>101060409</v>
      </c>
      <c r="L1419" s="11" t="s">
        <v>128</v>
      </c>
      <c r="M1419" s="11"/>
      <c r="N1419" s="11">
        <v>196.54</v>
      </c>
      <c r="O1419" s="42">
        <v>-196.54</v>
      </c>
      <c r="P1419" s="43" t="s">
        <v>4481</v>
      </c>
      <c r="Q1419" s="11">
        <v>864422.66</v>
      </c>
      <c r="R1419" s="11" t="s">
        <v>3007</v>
      </c>
      <c r="S1419" s="11" t="s">
        <v>106</v>
      </c>
      <c r="T1419" s="11">
        <v>0</v>
      </c>
    </row>
    <row r="1420" spans="1:22" x14ac:dyDescent="0.25">
      <c r="A1420" s="11">
        <v>101060402</v>
      </c>
      <c r="B1420" s="11" t="s">
        <v>44</v>
      </c>
      <c r="C1420" s="41">
        <v>44852</v>
      </c>
      <c r="D1420" s="41">
        <v>44852</v>
      </c>
      <c r="E1420" s="11" t="s">
        <v>42</v>
      </c>
      <c r="F1420" s="11" t="s">
        <v>3008</v>
      </c>
      <c r="G1420" s="11">
        <v>107108</v>
      </c>
      <c r="H1420" s="11" t="s">
        <v>47</v>
      </c>
      <c r="J1420" s="11" t="s">
        <v>240</v>
      </c>
      <c r="K1420" s="11">
        <v>51010102</v>
      </c>
      <c r="L1420" s="11" t="s">
        <v>194</v>
      </c>
      <c r="M1420" s="11"/>
      <c r="N1420" s="11">
        <v>37.54</v>
      </c>
      <c r="O1420" s="42">
        <v>-37.54</v>
      </c>
      <c r="P1420" s="43" t="s">
        <v>4489</v>
      </c>
      <c r="Q1420" s="11">
        <v>864385.12</v>
      </c>
      <c r="R1420" s="11" t="s">
        <v>3009</v>
      </c>
      <c r="S1420" s="11" t="s">
        <v>106</v>
      </c>
      <c r="T1420" s="11">
        <v>0</v>
      </c>
      <c r="V1420" s="11" t="s">
        <v>241</v>
      </c>
    </row>
    <row r="1421" spans="1:22" x14ac:dyDescent="0.25">
      <c r="A1421" s="11">
        <v>101060402</v>
      </c>
      <c r="B1421" s="11" t="s">
        <v>44</v>
      </c>
      <c r="C1421" s="41">
        <v>44852</v>
      </c>
      <c r="D1421" s="41">
        <v>44852</v>
      </c>
      <c r="E1421" s="11" t="s">
        <v>42</v>
      </c>
      <c r="F1421" s="11" t="s">
        <v>3010</v>
      </c>
      <c r="G1421" s="11">
        <v>107130</v>
      </c>
      <c r="H1421" s="11" t="s">
        <v>57</v>
      </c>
      <c r="K1421" s="11">
        <v>101060409</v>
      </c>
      <c r="L1421" s="11" t="s">
        <v>128</v>
      </c>
      <c r="M1421" s="11">
        <v>2651.4</v>
      </c>
      <c r="N1421" s="11"/>
      <c r="O1421" s="42">
        <v>2651.4</v>
      </c>
      <c r="P1421" s="43" t="s">
        <v>4481</v>
      </c>
      <c r="Q1421" s="11">
        <v>867036.52</v>
      </c>
      <c r="R1421" s="11" t="s">
        <v>3011</v>
      </c>
      <c r="S1421" s="11" t="s">
        <v>40</v>
      </c>
      <c r="T1421" s="11">
        <v>0</v>
      </c>
    </row>
    <row r="1422" spans="1:22" x14ac:dyDescent="0.25">
      <c r="A1422" s="11">
        <v>101060402</v>
      </c>
      <c r="B1422" s="11" t="s">
        <v>44</v>
      </c>
      <c r="C1422" s="41">
        <v>44852</v>
      </c>
      <c r="D1422" s="41">
        <v>44852</v>
      </c>
      <c r="E1422" s="11" t="s">
        <v>42</v>
      </c>
      <c r="F1422" s="11" t="s">
        <v>3010</v>
      </c>
      <c r="G1422" s="11">
        <v>107130</v>
      </c>
      <c r="H1422" s="11" t="s">
        <v>57</v>
      </c>
      <c r="K1422" s="11">
        <v>101060409</v>
      </c>
      <c r="L1422" s="11" t="s">
        <v>128</v>
      </c>
      <c r="M1422" s="11"/>
      <c r="N1422" s="11">
        <v>390.83</v>
      </c>
      <c r="O1422" s="42">
        <v>-390.83</v>
      </c>
      <c r="P1422" s="43" t="s">
        <v>4481</v>
      </c>
      <c r="Q1422" s="11">
        <v>866645.69</v>
      </c>
      <c r="R1422" s="11" t="s">
        <v>3012</v>
      </c>
      <c r="S1422" s="11" t="s">
        <v>40</v>
      </c>
      <c r="T1422" s="11">
        <v>0</v>
      </c>
    </row>
    <row r="1423" spans="1:22" x14ac:dyDescent="0.25">
      <c r="A1423" s="11">
        <v>101060402</v>
      </c>
      <c r="B1423" s="11" t="s">
        <v>44</v>
      </c>
      <c r="C1423" s="41">
        <v>44852</v>
      </c>
      <c r="D1423" s="41">
        <v>44852</v>
      </c>
      <c r="E1423" s="11" t="s">
        <v>42</v>
      </c>
      <c r="F1423" s="11" t="s">
        <v>771</v>
      </c>
      <c r="G1423" s="11">
        <v>107181</v>
      </c>
      <c r="H1423" s="11" t="s">
        <v>47</v>
      </c>
      <c r="J1423" s="11" t="s">
        <v>240</v>
      </c>
      <c r="K1423" s="11">
        <v>51010102</v>
      </c>
      <c r="L1423" s="11" t="s">
        <v>194</v>
      </c>
      <c r="M1423" s="11"/>
      <c r="N1423" s="11">
        <v>433.55</v>
      </c>
      <c r="O1423" s="42">
        <v>-433.55</v>
      </c>
      <c r="P1423" s="43" t="s">
        <v>4489</v>
      </c>
      <c r="Q1423" s="11">
        <v>866212.14</v>
      </c>
      <c r="R1423" s="11" t="s">
        <v>3013</v>
      </c>
      <c r="S1423" s="11" t="s">
        <v>40</v>
      </c>
      <c r="T1423" s="11">
        <v>0</v>
      </c>
      <c r="V1423" s="11" t="s">
        <v>241</v>
      </c>
    </row>
    <row r="1424" spans="1:22" x14ac:dyDescent="0.25">
      <c r="A1424" s="11">
        <v>101060402</v>
      </c>
      <c r="B1424" s="11" t="s">
        <v>44</v>
      </c>
      <c r="C1424" s="41">
        <v>44852</v>
      </c>
      <c r="D1424" s="41">
        <v>44852</v>
      </c>
      <c r="E1424" s="11" t="s">
        <v>42</v>
      </c>
      <c r="F1424" s="11" t="s">
        <v>773</v>
      </c>
      <c r="G1424" s="11">
        <v>107182</v>
      </c>
      <c r="H1424" s="11" t="s">
        <v>88</v>
      </c>
      <c r="J1424" s="11" t="s">
        <v>240</v>
      </c>
      <c r="K1424" s="11">
        <v>51010102</v>
      </c>
      <c r="L1424" s="11" t="s">
        <v>194</v>
      </c>
      <c r="M1424" s="11">
        <v>433.55</v>
      </c>
      <c r="N1424" s="11"/>
      <c r="O1424" s="42">
        <v>433.55</v>
      </c>
      <c r="P1424" s="43" t="s">
        <v>4489</v>
      </c>
      <c r="Q1424" s="11">
        <v>866645.69</v>
      </c>
      <c r="R1424" s="11" t="s">
        <v>3014</v>
      </c>
      <c r="S1424" s="11" t="s">
        <v>40</v>
      </c>
      <c r="T1424" s="11">
        <v>0</v>
      </c>
      <c r="V1424" s="11" t="s">
        <v>241</v>
      </c>
    </row>
    <row r="1425" spans="1:22" x14ac:dyDescent="0.25">
      <c r="A1425" s="11">
        <v>101060402</v>
      </c>
      <c r="B1425" s="11" t="s">
        <v>44</v>
      </c>
      <c r="C1425" s="41">
        <v>44852</v>
      </c>
      <c r="D1425" s="41">
        <v>44852</v>
      </c>
      <c r="E1425" s="11" t="s">
        <v>42</v>
      </c>
      <c r="F1425" s="11" t="s">
        <v>3015</v>
      </c>
      <c r="G1425" s="11">
        <v>107187</v>
      </c>
      <c r="H1425" s="11" t="s">
        <v>47</v>
      </c>
      <c r="J1425" s="11" t="s">
        <v>240</v>
      </c>
      <c r="K1425" s="11">
        <v>51010102</v>
      </c>
      <c r="L1425" s="11" t="s">
        <v>194</v>
      </c>
      <c r="M1425" s="11"/>
      <c r="N1425" s="11">
        <v>433.55</v>
      </c>
      <c r="O1425" s="42">
        <v>-433.55</v>
      </c>
      <c r="P1425" s="43" t="s">
        <v>4489</v>
      </c>
      <c r="Q1425" s="11">
        <v>866212.14</v>
      </c>
      <c r="R1425" s="11" t="s">
        <v>3013</v>
      </c>
      <c r="S1425" s="11" t="s">
        <v>106</v>
      </c>
      <c r="T1425" s="11">
        <v>0</v>
      </c>
      <c r="V1425" s="11" t="s">
        <v>241</v>
      </c>
    </row>
    <row r="1426" spans="1:22" x14ac:dyDescent="0.25">
      <c r="A1426" s="11">
        <v>101060402</v>
      </c>
      <c r="B1426" s="11" t="s">
        <v>44</v>
      </c>
      <c r="C1426" s="41">
        <v>44852</v>
      </c>
      <c r="D1426" s="41">
        <v>44852</v>
      </c>
      <c r="E1426" s="11" t="s">
        <v>42</v>
      </c>
      <c r="F1426" s="11" t="s">
        <v>776</v>
      </c>
      <c r="G1426" s="11">
        <v>107190</v>
      </c>
      <c r="H1426" s="11" t="s">
        <v>57</v>
      </c>
      <c r="K1426" s="11">
        <v>101060401</v>
      </c>
      <c r="L1426" s="11" t="s">
        <v>34</v>
      </c>
      <c r="M1426" s="11">
        <v>351.52</v>
      </c>
      <c r="N1426" s="11"/>
      <c r="O1426" s="42">
        <v>351.52</v>
      </c>
      <c r="P1426" s="43" t="s">
        <v>4481</v>
      </c>
      <c r="Q1426" s="11">
        <v>866563.66</v>
      </c>
      <c r="R1426" s="11" t="s">
        <v>3016</v>
      </c>
      <c r="S1426" s="11" t="s">
        <v>40</v>
      </c>
      <c r="T1426" s="11">
        <v>0</v>
      </c>
    </row>
    <row r="1427" spans="1:22" x14ac:dyDescent="0.25">
      <c r="A1427" s="11">
        <v>101060402</v>
      </c>
      <c r="B1427" s="11" t="s">
        <v>44</v>
      </c>
      <c r="C1427" s="41">
        <v>44852</v>
      </c>
      <c r="D1427" s="41">
        <v>44852</v>
      </c>
      <c r="E1427" s="11" t="s">
        <v>42</v>
      </c>
      <c r="F1427" s="11" t="s">
        <v>3017</v>
      </c>
      <c r="G1427" s="11">
        <v>107196</v>
      </c>
      <c r="H1427" s="11" t="s">
        <v>47</v>
      </c>
      <c r="J1427" s="11" t="s">
        <v>240</v>
      </c>
      <c r="K1427" s="11">
        <v>51010102</v>
      </c>
      <c r="L1427" s="11" t="s">
        <v>194</v>
      </c>
      <c r="M1427" s="11"/>
      <c r="N1427" s="11">
        <v>37.54</v>
      </c>
      <c r="O1427" s="42">
        <v>-37.54</v>
      </c>
      <c r="P1427" s="43" t="s">
        <v>4489</v>
      </c>
      <c r="Q1427" s="11">
        <v>866526.12</v>
      </c>
      <c r="R1427" s="11" t="s">
        <v>3009</v>
      </c>
      <c r="S1427" s="11" t="s">
        <v>106</v>
      </c>
      <c r="T1427" s="11">
        <v>0</v>
      </c>
      <c r="V1427" s="11" t="s">
        <v>241</v>
      </c>
    </row>
    <row r="1428" spans="1:22" x14ac:dyDescent="0.25">
      <c r="A1428" s="11">
        <v>101060402</v>
      </c>
      <c r="B1428" s="11" t="s">
        <v>44</v>
      </c>
      <c r="C1428" s="41">
        <v>44852</v>
      </c>
      <c r="D1428" s="41">
        <v>44852</v>
      </c>
      <c r="E1428" s="11" t="s">
        <v>42</v>
      </c>
      <c r="F1428" s="11" t="s">
        <v>3018</v>
      </c>
      <c r="G1428" s="11">
        <v>107200</v>
      </c>
      <c r="H1428" s="11" t="s">
        <v>341</v>
      </c>
      <c r="J1428" s="11" t="s">
        <v>240</v>
      </c>
      <c r="K1428" s="11">
        <v>51010102</v>
      </c>
      <c r="L1428" s="11" t="s">
        <v>194</v>
      </c>
      <c r="M1428" s="11"/>
      <c r="N1428" s="11">
        <v>703.04</v>
      </c>
      <c r="O1428" s="42">
        <v>-703.04</v>
      </c>
      <c r="P1428" s="43" t="s">
        <v>4489</v>
      </c>
      <c r="Q1428" s="11">
        <v>865823.08</v>
      </c>
      <c r="R1428" s="11" t="s">
        <v>3019</v>
      </c>
      <c r="S1428" s="11" t="s">
        <v>106</v>
      </c>
      <c r="T1428" s="11">
        <v>0</v>
      </c>
      <c r="V1428" s="11" t="s">
        <v>241</v>
      </c>
    </row>
    <row r="1429" spans="1:22" x14ac:dyDescent="0.25">
      <c r="A1429" s="11">
        <v>101060402</v>
      </c>
      <c r="B1429" s="11" t="s">
        <v>44</v>
      </c>
      <c r="C1429" s="41">
        <v>44852</v>
      </c>
      <c r="D1429" s="41">
        <v>44852</v>
      </c>
      <c r="E1429" s="11" t="s">
        <v>42</v>
      </c>
      <c r="F1429" s="11" t="s">
        <v>3020</v>
      </c>
      <c r="G1429" s="11">
        <v>107204</v>
      </c>
      <c r="H1429" s="11" t="s">
        <v>341</v>
      </c>
      <c r="J1429" s="11" t="s">
        <v>240</v>
      </c>
      <c r="K1429" s="11">
        <v>51010102</v>
      </c>
      <c r="L1429" s="11" t="s">
        <v>194</v>
      </c>
      <c r="M1429" s="11"/>
      <c r="N1429" s="11">
        <v>856.07</v>
      </c>
      <c r="O1429" s="42">
        <v>-856.07</v>
      </c>
      <c r="P1429" s="43" t="s">
        <v>4489</v>
      </c>
      <c r="Q1429" s="11">
        <v>864967.01</v>
      </c>
      <c r="R1429" s="11" t="s">
        <v>3021</v>
      </c>
      <c r="S1429" s="11" t="s">
        <v>106</v>
      </c>
      <c r="T1429" s="11">
        <v>0</v>
      </c>
      <c r="V1429" s="11" t="s">
        <v>241</v>
      </c>
    </row>
    <row r="1430" spans="1:22" x14ac:dyDescent="0.25">
      <c r="A1430" s="11">
        <v>101060402</v>
      </c>
      <c r="B1430" s="11" t="s">
        <v>44</v>
      </c>
      <c r="C1430" s="41">
        <v>44853</v>
      </c>
      <c r="D1430" s="41">
        <v>44853</v>
      </c>
      <c r="E1430" s="11" t="s">
        <v>42</v>
      </c>
      <c r="F1430" s="11" t="s">
        <v>3022</v>
      </c>
      <c r="G1430" s="11">
        <v>107209</v>
      </c>
      <c r="H1430" s="11" t="s">
        <v>245</v>
      </c>
      <c r="J1430" s="11" t="s">
        <v>240</v>
      </c>
      <c r="K1430" s="11">
        <v>51010102</v>
      </c>
      <c r="L1430" s="11" t="s">
        <v>194</v>
      </c>
      <c r="M1430" s="11"/>
      <c r="N1430" s="11">
        <v>1854.03</v>
      </c>
      <c r="O1430" s="42">
        <v>-1854.03</v>
      </c>
      <c r="P1430" s="43" t="s">
        <v>4489</v>
      </c>
      <c r="Q1430" s="11">
        <v>863112.98</v>
      </c>
      <c r="R1430" s="11" t="s">
        <v>3023</v>
      </c>
      <c r="S1430" s="11" t="s">
        <v>106</v>
      </c>
      <c r="T1430" s="11">
        <v>0</v>
      </c>
      <c r="V1430" s="11" t="s">
        <v>241</v>
      </c>
    </row>
    <row r="1431" spans="1:22" x14ac:dyDescent="0.25">
      <c r="A1431" s="11">
        <v>101060402</v>
      </c>
      <c r="B1431" s="11" t="s">
        <v>44</v>
      </c>
      <c r="C1431" s="41">
        <v>44853</v>
      </c>
      <c r="D1431" s="41">
        <v>44853</v>
      </c>
      <c r="E1431" s="11" t="s">
        <v>42</v>
      </c>
      <c r="F1431" s="11" t="s">
        <v>3024</v>
      </c>
      <c r="G1431" s="11">
        <v>107212</v>
      </c>
      <c r="H1431" s="11" t="s">
        <v>341</v>
      </c>
      <c r="J1431" s="11" t="s">
        <v>240</v>
      </c>
      <c r="K1431" s="11">
        <v>51010102</v>
      </c>
      <c r="L1431" s="11" t="s">
        <v>194</v>
      </c>
      <c r="M1431" s="11"/>
      <c r="N1431" s="11">
        <v>351.52</v>
      </c>
      <c r="O1431" s="42">
        <v>-351.52</v>
      </c>
      <c r="P1431" s="43" t="s">
        <v>4489</v>
      </c>
      <c r="Q1431" s="11">
        <v>862761.46</v>
      </c>
      <c r="R1431" s="11" t="s">
        <v>777</v>
      </c>
      <c r="S1431" s="11" t="s">
        <v>106</v>
      </c>
      <c r="T1431" s="11">
        <v>0</v>
      </c>
      <c r="V1431" s="11" t="s">
        <v>241</v>
      </c>
    </row>
    <row r="1432" spans="1:22" x14ac:dyDescent="0.25">
      <c r="A1432" s="11">
        <v>101060402</v>
      </c>
      <c r="B1432" s="11" t="s">
        <v>44</v>
      </c>
      <c r="C1432" s="41">
        <v>44853</v>
      </c>
      <c r="D1432" s="41">
        <v>44853</v>
      </c>
      <c r="E1432" s="11" t="s">
        <v>42</v>
      </c>
      <c r="F1432" s="11" t="s">
        <v>3025</v>
      </c>
      <c r="G1432" s="11">
        <v>107215</v>
      </c>
      <c r="H1432" s="11" t="s">
        <v>47</v>
      </c>
      <c r="J1432" s="11" t="s">
        <v>240</v>
      </c>
      <c r="K1432" s="11">
        <v>51010102</v>
      </c>
      <c r="L1432" s="11" t="s">
        <v>194</v>
      </c>
      <c r="M1432" s="11"/>
      <c r="N1432" s="11">
        <v>4461.8599999999997</v>
      </c>
      <c r="O1432" s="42">
        <v>-4461.8599999999997</v>
      </c>
      <c r="P1432" s="43" t="s">
        <v>4489</v>
      </c>
      <c r="Q1432" s="11">
        <v>858299.6</v>
      </c>
      <c r="R1432" s="11" t="s">
        <v>3026</v>
      </c>
      <c r="S1432" s="11" t="s">
        <v>106</v>
      </c>
      <c r="T1432" s="11">
        <v>0</v>
      </c>
      <c r="V1432" s="11" t="s">
        <v>241</v>
      </c>
    </row>
    <row r="1433" spans="1:22" x14ac:dyDescent="0.25">
      <c r="A1433" s="11">
        <v>101060402</v>
      </c>
      <c r="B1433" s="11" t="s">
        <v>44</v>
      </c>
      <c r="C1433" s="41">
        <v>44853</v>
      </c>
      <c r="D1433" s="41">
        <v>44853</v>
      </c>
      <c r="E1433" s="11" t="s">
        <v>42</v>
      </c>
      <c r="F1433" s="11" t="s">
        <v>3027</v>
      </c>
      <c r="G1433" s="11">
        <v>107220</v>
      </c>
      <c r="H1433" s="11" t="s">
        <v>47</v>
      </c>
      <c r="J1433" s="11" t="s">
        <v>240</v>
      </c>
      <c r="K1433" s="11">
        <v>51010102</v>
      </c>
      <c r="L1433" s="11" t="s">
        <v>194</v>
      </c>
      <c r="M1433" s="11"/>
      <c r="N1433" s="11">
        <v>815.4</v>
      </c>
      <c r="O1433" s="42">
        <v>-815.4</v>
      </c>
      <c r="P1433" s="43" t="s">
        <v>4489</v>
      </c>
      <c r="Q1433" s="11">
        <v>857484.2</v>
      </c>
      <c r="R1433" s="11" t="s">
        <v>441</v>
      </c>
      <c r="S1433" s="11" t="s">
        <v>106</v>
      </c>
      <c r="T1433" s="11">
        <v>0</v>
      </c>
      <c r="V1433" s="11" t="s">
        <v>241</v>
      </c>
    </row>
    <row r="1434" spans="1:22" x14ac:dyDescent="0.25">
      <c r="A1434" s="11">
        <v>101060402</v>
      </c>
      <c r="B1434" s="11" t="s">
        <v>44</v>
      </c>
      <c r="C1434" s="41">
        <v>44853</v>
      </c>
      <c r="D1434" s="41">
        <v>44853</v>
      </c>
      <c r="E1434" s="11" t="s">
        <v>42</v>
      </c>
      <c r="F1434" s="11" t="s">
        <v>3028</v>
      </c>
      <c r="G1434" s="11">
        <v>107229</v>
      </c>
      <c r="H1434" s="11" t="s">
        <v>47</v>
      </c>
      <c r="J1434" s="11" t="s">
        <v>240</v>
      </c>
      <c r="K1434" s="11">
        <v>51010102</v>
      </c>
      <c r="L1434" s="11" t="s">
        <v>194</v>
      </c>
      <c r="M1434" s="11"/>
      <c r="N1434" s="11">
        <v>141.01</v>
      </c>
      <c r="O1434" s="42">
        <v>-141.01</v>
      </c>
      <c r="P1434" s="43" t="s">
        <v>4489</v>
      </c>
      <c r="Q1434" s="11">
        <v>857343.19</v>
      </c>
      <c r="R1434" s="11" t="s">
        <v>3029</v>
      </c>
      <c r="S1434" s="11" t="s">
        <v>106</v>
      </c>
      <c r="T1434" s="11">
        <v>0</v>
      </c>
      <c r="V1434" s="11" t="s">
        <v>241</v>
      </c>
    </row>
    <row r="1435" spans="1:22" x14ac:dyDescent="0.25">
      <c r="A1435" s="11">
        <v>101060402</v>
      </c>
      <c r="B1435" s="11" t="s">
        <v>44</v>
      </c>
      <c r="C1435" s="41">
        <v>44853</v>
      </c>
      <c r="D1435" s="41">
        <v>44853</v>
      </c>
      <c r="E1435" s="11" t="s">
        <v>42</v>
      </c>
      <c r="F1435" s="11" t="s">
        <v>3030</v>
      </c>
      <c r="G1435" s="11">
        <v>107230</v>
      </c>
      <c r="H1435" s="11" t="s">
        <v>47</v>
      </c>
      <c r="J1435" s="11" t="s">
        <v>240</v>
      </c>
      <c r="K1435" s="11">
        <v>51010102</v>
      </c>
      <c r="L1435" s="11" t="s">
        <v>194</v>
      </c>
      <c r="M1435" s="11"/>
      <c r="N1435" s="11">
        <v>1701.03</v>
      </c>
      <c r="O1435" s="42">
        <v>-1701.03</v>
      </c>
      <c r="P1435" s="43" t="s">
        <v>4489</v>
      </c>
      <c r="Q1435" s="11">
        <v>855642.16</v>
      </c>
      <c r="R1435" s="11" t="s">
        <v>3031</v>
      </c>
      <c r="S1435" s="11" t="s">
        <v>106</v>
      </c>
      <c r="T1435" s="11">
        <v>0</v>
      </c>
      <c r="V1435" s="11" t="s">
        <v>241</v>
      </c>
    </row>
    <row r="1436" spans="1:22" x14ac:dyDescent="0.25">
      <c r="A1436" s="11">
        <v>101060402</v>
      </c>
      <c r="B1436" s="11" t="s">
        <v>44</v>
      </c>
      <c r="C1436" s="41">
        <v>44853</v>
      </c>
      <c r="D1436" s="41">
        <v>44853</v>
      </c>
      <c r="E1436" s="11" t="s">
        <v>42</v>
      </c>
      <c r="F1436" s="11" t="s">
        <v>3032</v>
      </c>
      <c r="G1436" s="11">
        <v>107239</v>
      </c>
      <c r="H1436" s="11" t="s">
        <v>47</v>
      </c>
      <c r="J1436" s="11" t="s">
        <v>240</v>
      </c>
      <c r="K1436" s="11">
        <v>51010102</v>
      </c>
      <c r="L1436" s="11" t="s">
        <v>194</v>
      </c>
      <c r="M1436" s="11"/>
      <c r="N1436" s="11">
        <v>1520.11</v>
      </c>
      <c r="O1436" s="42">
        <v>-1520.11</v>
      </c>
      <c r="P1436" s="43" t="s">
        <v>4489</v>
      </c>
      <c r="Q1436" s="11">
        <v>854122.05</v>
      </c>
      <c r="R1436" s="11" t="s">
        <v>3033</v>
      </c>
      <c r="S1436" s="11" t="s">
        <v>106</v>
      </c>
      <c r="T1436" s="11">
        <v>0</v>
      </c>
      <c r="V1436" s="11" t="s">
        <v>241</v>
      </c>
    </row>
    <row r="1437" spans="1:22" x14ac:dyDescent="0.25">
      <c r="A1437" s="11">
        <v>101060402</v>
      </c>
      <c r="B1437" s="11" t="s">
        <v>44</v>
      </c>
      <c r="C1437" s="41">
        <v>44853</v>
      </c>
      <c r="D1437" s="41">
        <v>44853</v>
      </c>
      <c r="E1437" s="11" t="s">
        <v>42</v>
      </c>
      <c r="F1437" s="11" t="s">
        <v>798</v>
      </c>
      <c r="G1437" s="11">
        <v>107246</v>
      </c>
      <c r="H1437" s="11" t="s">
        <v>57</v>
      </c>
      <c r="K1437" s="11">
        <v>101060401</v>
      </c>
      <c r="L1437" s="11" t="s">
        <v>34</v>
      </c>
      <c r="M1437" s="11"/>
      <c r="N1437" s="11">
        <v>33.44</v>
      </c>
      <c r="O1437" s="42">
        <v>-33.44</v>
      </c>
      <c r="P1437" s="43" t="s">
        <v>4481</v>
      </c>
      <c r="Q1437" s="11">
        <v>854088.61</v>
      </c>
      <c r="R1437" s="11" t="s">
        <v>3034</v>
      </c>
      <c r="S1437" s="11" t="s">
        <v>106</v>
      </c>
      <c r="T1437" s="11">
        <v>0</v>
      </c>
    </row>
    <row r="1438" spans="1:22" x14ac:dyDescent="0.25">
      <c r="A1438" s="11">
        <v>101060402</v>
      </c>
      <c r="B1438" s="11" t="s">
        <v>44</v>
      </c>
      <c r="C1438" s="41">
        <v>44853</v>
      </c>
      <c r="D1438" s="41">
        <v>44853</v>
      </c>
      <c r="E1438" s="11" t="s">
        <v>42</v>
      </c>
      <c r="F1438" s="11" t="s">
        <v>800</v>
      </c>
      <c r="G1438" s="11">
        <v>107247</v>
      </c>
      <c r="H1438" s="11" t="s">
        <v>57</v>
      </c>
      <c r="K1438" s="11">
        <v>101060401</v>
      </c>
      <c r="L1438" s="11" t="s">
        <v>34</v>
      </c>
      <c r="M1438" s="11">
        <v>87887.08</v>
      </c>
      <c r="N1438" s="11"/>
      <c r="O1438" s="42">
        <v>87887.08</v>
      </c>
      <c r="P1438" s="43" t="s">
        <v>4481</v>
      </c>
      <c r="Q1438" s="11">
        <v>941975.69</v>
      </c>
      <c r="R1438" s="11" t="s">
        <v>3035</v>
      </c>
      <c r="S1438" s="11" t="s">
        <v>40</v>
      </c>
      <c r="T1438" s="11">
        <v>0</v>
      </c>
    </row>
    <row r="1439" spans="1:22" x14ac:dyDescent="0.25">
      <c r="A1439" s="11">
        <v>101060402</v>
      </c>
      <c r="B1439" s="11" t="s">
        <v>44</v>
      </c>
      <c r="C1439" s="41">
        <v>44853</v>
      </c>
      <c r="D1439" s="41">
        <v>44853</v>
      </c>
      <c r="E1439" s="11" t="s">
        <v>42</v>
      </c>
      <c r="F1439" s="11" t="s">
        <v>802</v>
      </c>
      <c r="G1439" s="11">
        <v>107248</v>
      </c>
      <c r="H1439" s="11" t="s">
        <v>43</v>
      </c>
      <c r="K1439" s="11">
        <v>101060401</v>
      </c>
      <c r="L1439" s="11" t="s">
        <v>34</v>
      </c>
      <c r="M1439" s="11"/>
      <c r="N1439" s="11">
        <v>88083.98</v>
      </c>
      <c r="O1439" s="42">
        <v>-88083.98</v>
      </c>
      <c r="P1439" s="43" t="s">
        <v>4481</v>
      </c>
      <c r="Q1439" s="11">
        <v>853891.71</v>
      </c>
      <c r="R1439" s="11" t="s">
        <v>3036</v>
      </c>
      <c r="S1439" s="11" t="s">
        <v>40</v>
      </c>
      <c r="T1439" s="11">
        <v>0</v>
      </c>
    </row>
    <row r="1440" spans="1:22" x14ac:dyDescent="0.25">
      <c r="A1440" s="11">
        <v>101060402</v>
      </c>
      <c r="B1440" s="11" t="s">
        <v>44</v>
      </c>
      <c r="C1440" s="41">
        <v>44853</v>
      </c>
      <c r="D1440" s="41">
        <v>44853</v>
      </c>
      <c r="E1440" s="11" t="s">
        <v>42</v>
      </c>
      <c r="F1440" s="11" t="s">
        <v>804</v>
      </c>
      <c r="G1440" s="11">
        <v>107249</v>
      </c>
      <c r="H1440" s="11" t="s">
        <v>57</v>
      </c>
      <c r="K1440" s="11">
        <v>101060401</v>
      </c>
      <c r="L1440" s="11" t="s">
        <v>34</v>
      </c>
      <c r="M1440" s="11"/>
      <c r="N1440" s="11">
        <v>77880.73</v>
      </c>
      <c r="O1440" s="42">
        <v>-77880.73</v>
      </c>
      <c r="P1440" s="43" t="s">
        <v>4481</v>
      </c>
      <c r="Q1440" s="11">
        <v>776010.98</v>
      </c>
      <c r="R1440" s="11" t="s">
        <v>807</v>
      </c>
      <c r="S1440" s="11" t="s">
        <v>40</v>
      </c>
      <c r="T1440" s="11">
        <v>0</v>
      </c>
    </row>
    <row r="1441" spans="1:22" x14ac:dyDescent="0.25">
      <c r="A1441" s="11">
        <v>101060402</v>
      </c>
      <c r="B1441" s="11" t="s">
        <v>44</v>
      </c>
      <c r="C1441" s="41">
        <v>44853</v>
      </c>
      <c r="D1441" s="41">
        <v>44853</v>
      </c>
      <c r="E1441" s="11" t="s">
        <v>42</v>
      </c>
      <c r="F1441" s="11" t="s">
        <v>806</v>
      </c>
      <c r="G1441" s="11">
        <v>107250</v>
      </c>
      <c r="H1441" s="11" t="s">
        <v>43</v>
      </c>
      <c r="K1441" s="11">
        <v>101060401</v>
      </c>
      <c r="L1441" s="11" t="s">
        <v>34</v>
      </c>
      <c r="M1441" s="11">
        <v>77880.73</v>
      </c>
      <c r="N1441" s="11"/>
      <c r="O1441" s="42">
        <v>77880.73</v>
      </c>
      <c r="P1441" s="43" t="s">
        <v>4481</v>
      </c>
      <c r="Q1441" s="11">
        <v>853891.71</v>
      </c>
      <c r="R1441" s="11" t="s">
        <v>805</v>
      </c>
      <c r="S1441" s="11" t="s">
        <v>40</v>
      </c>
      <c r="T1441" s="11">
        <v>0</v>
      </c>
    </row>
    <row r="1442" spans="1:22" x14ac:dyDescent="0.25">
      <c r="A1442" s="11">
        <v>101060402</v>
      </c>
      <c r="B1442" s="11" t="s">
        <v>44</v>
      </c>
      <c r="C1442" s="41">
        <v>44853</v>
      </c>
      <c r="D1442" s="41">
        <v>44853</v>
      </c>
      <c r="E1442" s="11" t="s">
        <v>42</v>
      </c>
      <c r="F1442" s="11" t="s">
        <v>810</v>
      </c>
      <c r="G1442" s="11">
        <v>107252</v>
      </c>
      <c r="H1442" s="11" t="s">
        <v>43</v>
      </c>
      <c r="K1442" s="11">
        <v>101060401</v>
      </c>
      <c r="L1442" s="11" t="s">
        <v>34</v>
      </c>
      <c r="M1442" s="11">
        <v>58725.97</v>
      </c>
      <c r="N1442" s="11"/>
      <c r="O1442" s="42">
        <v>58725.97</v>
      </c>
      <c r="P1442" s="43" t="s">
        <v>4481</v>
      </c>
      <c r="Q1442" s="11">
        <v>912617.68</v>
      </c>
      <c r="R1442" s="11" t="s">
        <v>809</v>
      </c>
      <c r="S1442" s="11" t="s">
        <v>40</v>
      </c>
      <c r="T1442" s="11">
        <v>0</v>
      </c>
    </row>
    <row r="1443" spans="1:22" x14ac:dyDescent="0.25">
      <c r="A1443" s="11">
        <v>101060402</v>
      </c>
      <c r="B1443" s="11" t="s">
        <v>44</v>
      </c>
      <c r="C1443" s="41">
        <v>44853</v>
      </c>
      <c r="D1443" s="41">
        <v>44853</v>
      </c>
      <c r="E1443" s="11" t="s">
        <v>42</v>
      </c>
      <c r="F1443" s="11" t="s">
        <v>812</v>
      </c>
      <c r="G1443" s="11">
        <v>107253</v>
      </c>
      <c r="H1443" s="11" t="s">
        <v>43</v>
      </c>
      <c r="K1443" s="11">
        <v>101060401</v>
      </c>
      <c r="L1443" s="11" t="s">
        <v>34</v>
      </c>
      <c r="M1443" s="11"/>
      <c r="N1443" s="11">
        <v>58725.97</v>
      </c>
      <c r="O1443" s="42">
        <v>-58725.97</v>
      </c>
      <c r="P1443" s="43" t="s">
        <v>4481</v>
      </c>
      <c r="Q1443" s="11">
        <v>853891.71</v>
      </c>
      <c r="R1443" s="11" t="s">
        <v>811</v>
      </c>
      <c r="S1443" s="11" t="s">
        <v>40</v>
      </c>
      <c r="T1443" s="11">
        <v>0</v>
      </c>
    </row>
    <row r="1444" spans="1:22" x14ac:dyDescent="0.25">
      <c r="A1444" s="11">
        <v>101060402</v>
      </c>
      <c r="B1444" s="11" t="s">
        <v>44</v>
      </c>
      <c r="C1444" s="41">
        <v>44853</v>
      </c>
      <c r="D1444" s="41">
        <v>44853</v>
      </c>
      <c r="E1444" s="11" t="s">
        <v>42</v>
      </c>
      <c r="F1444" s="11" t="s">
        <v>815</v>
      </c>
      <c r="G1444" s="11">
        <v>107255</v>
      </c>
      <c r="H1444" s="11" t="s">
        <v>57</v>
      </c>
      <c r="K1444" s="11">
        <v>101060401</v>
      </c>
      <c r="L1444" s="11" t="s">
        <v>34</v>
      </c>
      <c r="M1444" s="11">
        <v>2289.21</v>
      </c>
      <c r="N1444" s="11"/>
      <c r="O1444" s="42">
        <v>2289.21</v>
      </c>
      <c r="P1444" s="43" t="s">
        <v>4481</v>
      </c>
      <c r="Q1444" s="11">
        <v>856180.92</v>
      </c>
      <c r="R1444" s="11" t="s">
        <v>828</v>
      </c>
      <c r="S1444" s="11" t="s">
        <v>40</v>
      </c>
      <c r="T1444" s="11">
        <v>0</v>
      </c>
    </row>
    <row r="1445" spans="1:22" x14ac:dyDescent="0.25">
      <c r="A1445" s="11">
        <v>101060402</v>
      </c>
      <c r="B1445" s="11" t="s">
        <v>44</v>
      </c>
      <c r="C1445" s="41">
        <v>44854</v>
      </c>
      <c r="D1445" s="41">
        <v>44854</v>
      </c>
      <c r="E1445" s="11" t="s">
        <v>42</v>
      </c>
      <c r="F1445" s="11" t="s">
        <v>3037</v>
      </c>
      <c r="G1445" s="11">
        <v>107258</v>
      </c>
      <c r="H1445" s="11" t="s">
        <v>2872</v>
      </c>
      <c r="J1445" s="11" t="s">
        <v>240</v>
      </c>
      <c r="K1445" s="11">
        <v>51010102</v>
      </c>
      <c r="L1445" s="11" t="s">
        <v>194</v>
      </c>
      <c r="M1445" s="11"/>
      <c r="N1445" s="11">
        <v>421.06</v>
      </c>
      <c r="O1445" s="42">
        <v>-421.06</v>
      </c>
      <c r="P1445" s="43" t="s">
        <v>4489</v>
      </c>
      <c r="Q1445" s="11">
        <v>855759.86</v>
      </c>
      <c r="R1445" s="11" t="s">
        <v>3038</v>
      </c>
      <c r="S1445" s="11" t="s">
        <v>106</v>
      </c>
      <c r="T1445" s="11">
        <v>0</v>
      </c>
      <c r="V1445" s="11" t="s">
        <v>241</v>
      </c>
    </row>
    <row r="1446" spans="1:22" x14ac:dyDescent="0.25">
      <c r="A1446" s="11">
        <v>101060402</v>
      </c>
      <c r="B1446" s="11" t="s">
        <v>44</v>
      </c>
      <c r="C1446" s="41">
        <v>44854</v>
      </c>
      <c r="D1446" s="41">
        <v>44854</v>
      </c>
      <c r="E1446" s="11" t="s">
        <v>42</v>
      </c>
      <c r="F1446" s="11" t="s">
        <v>3039</v>
      </c>
      <c r="G1446" s="11">
        <v>107259</v>
      </c>
      <c r="H1446" s="11" t="s">
        <v>162</v>
      </c>
      <c r="J1446" s="11" t="s">
        <v>240</v>
      </c>
      <c r="K1446" s="11">
        <v>51010102</v>
      </c>
      <c r="L1446" s="11" t="s">
        <v>194</v>
      </c>
      <c r="M1446" s="11"/>
      <c r="N1446" s="11">
        <v>344</v>
      </c>
      <c r="O1446" s="42">
        <v>-344</v>
      </c>
      <c r="P1446" s="43" t="s">
        <v>4489</v>
      </c>
      <c r="Q1446" s="11">
        <v>855415.86</v>
      </c>
      <c r="R1446" s="11" t="s">
        <v>3040</v>
      </c>
      <c r="S1446" s="11" t="s">
        <v>106</v>
      </c>
      <c r="T1446" s="11">
        <v>0</v>
      </c>
      <c r="V1446" s="11" t="s">
        <v>241</v>
      </c>
    </row>
    <row r="1447" spans="1:22" x14ac:dyDescent="0.25">
      <c r="A1447" s="11">
        <v>101060402</v>
      </c>
      <c r="B1447" s="11" t="s">
        <v>44</v>
      </c>
      <c r="C1447" s="41">
        <v>44854</v>
      </c>
      <c r="D1447" s="41">
        <v>44854</v>
      </c>
      <c r="E1447" s="11" t="s">
        <v>42</v>
      </c>
      <c r="F1447" s="11" t="s">
        <v>3039</v>
      </c>
      <c r="G1447" s="11">
        <v>107259</v>
      </c>
      <c r="H1447" s="11" t="s">
        <v>162</v>
      </c>
      <c r="J1447" s="11" t="s">
        <v>38</v>
      </c>
      <c r="K1447" s="11">
        <v>51010102</v>
      </c>
      <c r="L1447" s="11" t="s">
        <v>194</v>
      </c>
      <c r="M1447" s="11"/>
      <c r="N1447" s="11">
        <v>1520.7</v>
      </c>
      <c r="O1447" s="42">
        <v>-1520.7</v>
      </c>
      <c r="P1447" s="43" t="s">
        <v>4489</v>
      </c>
      <c r="Q1447" s="11">
        <v>853895.16</v>
      </c>
      <c r="R1447" s="11" t="s">
        <v>3041</v>
      </c>
      <c r="S1447" s="11" t="s">
        <v>106</v>
      </c>
      <c r="T1447" s="11">
        <v>0</v>
      </c>
      <c r="V1447" s="11" t="s">
        <v>41</v>
      </c>
    </row>
    <row r="1448" spans="1:22" x14ac:dyDescent="0.25">
      <c r="A1448" s="11">
        <v>101060402</v>
      </c>
      <c r="B1448" s="11" t="s">
        <v>44</v>
      </c>
      <c r="C1448" s="41">
        <v>44854</v>
      </c>
      <c r="D1448" s="41">
        <v>44854</v>
      </c>
      <c r="E1448" s="11" t="s">
        <v>42</v>
      </c>
      <c r="F1448" s="11" t="s">
        <v>819</v>
      </c>
      <c r="G1448" s="11">
        <v>107260</v>
      </c>
      <c r="H1448" s="11" t="s">
        <v>57</v>
      </c>
      <c r="K1448" s="11">
        <v>101060401</v>
      </c>
      <c r="L1448" s="11" t="s">
        <v>34</v>
      </c>
      <c r="M1448" s="11">
        <v>399.56</v>
      </c>
      <c r="N1448" s="11"/>
      <c r="O1448" s="42">
        <v>399.56</v>
      </c>
      <c r="P1448" s="43" t="s">
        <v>4481</v>
      </c>
      <c r="Q1448" s="11">
        <v>854294.72</v>
      </c>
      <c r="R1448" s="11" t="s">
        <v>675</v>
      </c>
      <c r="S1448" s="11" t="s">
        <v>40</v>
      </c>
      <c r="T1448" s="11">
        <v>0</v>
      </c>
    </row>
    <row r="1449" spans="1:22" x14ac:dyDescent="0.25">
      <c r="A1449" s="11">
        <v>101060402</v>
      </c>
      <c r="B1449" s="11" t="s">
        <v>44</v>
      </c>
      <c r="C1449" s="41">
        <v>44854</v>
      </c>
      <c r="D1449" s="41">
        <v>44854</v>
      </c>
      <c r="E1449" s="11" t="s">
        <v>42</v>
      </c>
      <c r="F1449" s="11" t="s">
        <v>3042</v>
      </c>
      <c r="G1449" s="11">
        <v>107261</v>
      </c>
      <c r="H1449" s="11" t="s">
        <v>47</v>
      </c>
      <c r="J1449" s="11" t="s">
        <v>240</v>
      </c>
      <c r="K1449" s="11">
        <v>51010102</v>
      </c>
      <c r="L1449" s="11" t="s">
        <v>194</v>
      </c>
      <c r="M1449" s="11"/>
      <c r="N1449" s="11">
        <v>24.99</v>
      </c>
      <c r="O1449" s="42">
        <v>-24.99</v>
      </c>
      <c r="P1449" s="43" t="s">
        <v>4489</v>
      </c>
      <c r="Q1449" s="11">
        <v>854269.73</v>
      </c>
      <c r="R1449" s="11" t="s">
        <v>3043</v>
      </c>
      <c r="S1449" s="11" t="s">
        <v>106</v>
      </c>
      <c r="T1449" s="11">
        <v>0</v>
      </c>
      <c r="V1449" s="11" t="s">
        <v>241</v>
      </c>
    </row>
    <row r="1450" spans="1:22" x14ac:dyDescent="0.25">
      <c r="A1450" s="11">
        <v>101060402</v>
      </c>
      <c r="B1450" s="11" t="s">
        <v>44</v>
      </c>
      <c r="C1450" s="41">
        <v>44854</v>
      </c>
      <c r="D1450" s="41">
        <v>44854</v>
      </c>
      <c r="E1450" s="11" t="s">
        <v>42</v>
      </c>
      <c r="F1450" s="11" t="s">
        <v>3044</v>
      </c>
      <c r="G1450" s="11">
        <v>107263</v>
      </c>
      <c r="H1450" s="11" t="s">
        <v>47</v>
      </c>
      <c r="J1450" s="11" t="s">
        <v>240</v>
      </c>
      <c r="K1450" s="11">
        <v>51010102</v>
      </c>
      <c r="L1450" s="11" t="s">
        <v>194</v>
      </c>
      <c r="M1450" s="11"/>
      <c r="N1450" s="11">
        <v>338.79</v>
      </c>
      <c r="O1450" s="42">
        <v>-338.79</v>
      </c>
      <c r="P1450" s="43" t="s">
        <v>4489</v>
      </c>
      <c r="Q1450" s="11">
        <v>853930.94</v>
      </c>
      <c r="R1450" s="11" t="s">
        <v>3045</v>
      </c>
      <c r="S1450" s="11" t="s">
        <v>106</v>
      </c>
      <c r="T1450" s="11">
        <v>0</v>
      </c>
      <c r="V1450" s="11" t="s">
        <v>241</v>
      </c>
    </row>
    <row r="1451" spans="1:22" x14ac:dyDescent="0.25">
      <c r="A1451" s="11">
        <v>101060402</v>
      </c>
      <c r="B1451" s="11" t="s">
        <v>44</v>
      </c>
      <c r="C1451" s="41">
        <v>44854</v>
      </c>
      <c r="D1451" s="41">
        <v>44854</v>
      </c>
      <c r="E1451" s="11" t="s">
        <v>42</v>
      </c>
      <c r="F1451" s="11" t="s">
        <v>827</v>
      </c>
      <c r="G1451" s="11">
        <v>107269</v>
      </c>
      <c r="H1451" s="11" t="s">
        <v>43</v>
      </c>
      <c r="K1451" s="11">
        <v>101060401</v>
      </c>
      <c r="L1451" s="11" t="s">
        <v>34</v>
      </c>
      <c r="M1451" s="11"/>
      <c r="N1451" s="11">
        <v>2289.21</v>
      </c>
      <c r="O1451" s="42">
        <v>-2289.21</v>
      </c>
      <c r="P1451" s="43" t="s">
        <v>4481</v>
      </c>
      <c r="Q1451" s="11">
        <v>851641.73</v>
      </c>
      <c r="R1451" s="11" t="s">
        <v>816</v>
      </c>
      <c r="S1451" s="11" t="s">
        <v>40</v>
      </c>
      <c r="T1451" s="11">
        <v>0</v>
      </c>
    </row>
    <row r="1452" spans="1:22" x14ac:dyDescent="0.25">
      <c r="A1452" s="11">
        <v>101060402</v>
      </c>
      <c r="B1452" s="11" t="s">
        <v>44</v>
      </c>
      <c r="C1452" s="41">
        <v>44854</v>
      </c>
      <c r="D1452" s="41">
        <v>44854</v>
      </c>
      <c r="E1452" s="11" t="s">
        <v>42</v>
      </c>
      <c r="F1452" s="11" t="s">
        <v>830</v>
      </c>
      <c r="G1452" s="11">
        <v>107272</v>
      </c>
      <c r="H1452" s="11" t="s">
        <v>43</v>
      </c>
      <c r="K1452" s="11">
        <v>101060401</v>
      </c>
      <c r="L1452" s="11" t="s">
        <v>34</v>
      </c>
      <c r="M1452" s="11">
        <v>2289.21</v>
      </c>
      <c r="N1452" s="11"/>
      <c r="O1452" s="42">
        <v>2289.21</v>
      </c>
      <c r="P1452" s="43" t="s">
        <v>4481</v>
      </c>
      <c r="Q1452" s="11">
        <v>853930.94</v>
      </c>
      <c r="R1452" s="11" t="s">
        <v>828</v>
      </c>
      <c r="S1452" s="11" t="s">
        <v>40</v>
      </c>
      <c r="T1452" s="11">
        <v>0</v>
      </c>
    </row>
    <row r="1453" spans="1:22" x14ac:dyDescent="0.25">
      <c r="A1453" s="11">
        <v>101060402</v>
      </c>
      <c r="B1453" s="11" t="s">
        <v>44</v>
      </c>
      <c r="C1453" s="41">
        <v>44854</v>
      </c>
      <c r="D1453" s="41">
        <v>44854</v>
      </c>
      <c r="E1453" s="11" t="s">
        <v>42</v>
      </c>
      <c r="F1453" s="11" t="s">
        <v>3046</v>
      </c>
      <c r="G1453" s="11">
        <v>107274</v>
      </c>
      <c r="H1453" s="11" t="s">
        <v>2873</v>
      </c>
      <c r="J1453" s="11" t="s">
        <v>240</v>
      </c>
      <c r="K1453" s="11">
        <v>51010102</v>
      </c>
      <c r="L1453" s="11" t="s">
        <v>194</v>
      </c>
      <c r="M1453" s="11"/>
      <c r="N1453" s="11">
        <v>54.68</v>
      </c>
      <c r="O1453" s="42">
        <v>-54.68</v>
      </c>
      <c r="P1453" s="43" t="s">
        <v>4489</v>
      </c>
      <c r="Q1453" s="11">
        <v>853876.26</v>
      </c>
      <c r="R1453" s="11" t="s">
        <v>2893</v>
      </c>
      <c r="S1453" s="11" t="s">
        <v>106</v>
      </c>
      <c r="T1453" s="11">
        <v>0</v>
      </c>
      <c r="V1453" s="11" t="s">
        <v>241</v>
      </c>
    </row>
    <row r="1454" spans="1:22" x14ac:dyDescent="0.25">
      <c r="A1454" s="11">
        <v>101060402</v>
      </c>
      <c r="B1454" s="11" t="s">
        <v>44</v>
      </c>
      <c r="C1454" s="41">
        <v>44854</v>
      </c>
      <c r="D1454" s="41">
        <v>44854</v>
      </c>
      <c r="E1454" s="11" t="s">
        <v>42</v>
      </c>
      <c r="F1454" s="11" t="s">
        <v>835</v>
      </c>
      <c r="G1454" s="11">
        <v>107278</v>
      </c>
      <c r="H1454" s="11" t="s">
        <v>57</v>
      </c>
      <c r="K1454" s="11">
        <v>101060401</v>
      </c>
      <c r="L1454" s="11" t="s">
        <v>34</v>
      </c>
      <c r="M1454" s="11"/>
      <c r="N1454" s="11">
        <v>2772.75</v>
      </c>
      <c r="O1454" s="42">
        <v>-2772.75</v>
      </c>
      <c r="P1454" s="43" t="s">
        <v>4481</v>
      </c>
      <c r="Q1454" s="11">
        <v>851103.51</v>
      </c>
      <c r="R1454" s="11" t="s">
        <v>3047</v>
      </c>
      <c r="S1454" s="11" t="s">
        <v>106</v>
      </c>
      <c r="T1454" s="11">
        <v>0</v>
      </c>
    </row>
    <row r="1455" spans="1:22" x14ac:dyDescent="0.25">
      <c r="A1455" s="11">
        <v>101060402</v>
      </c>
      <c r="B1455" s="11" t="s">
        <v>44</v>
      </c>
      <c r="C1455" s="41">
        <v>44854</v>
      </c>
      <c r="D1455" s="41">
        <v>44854</v>
      </c>
      <c r="E1455" s="11" t="s">
        <v>42</v>
      </c>
      <c r="F1455" s="11" t="s">
        <v>837</v>
      </c>
      <c r="G1455" s="11">
        <v>107279</v>
      </c>
      <c r="H1455" s="11" t="s">
        <v>57</v>
      </c>
      <c r="K1455" s="11">
        <v>101060401</v>
      </c>
      <c r="L1455" s="11" t="s">
        <v>34</v>
      </c>
      <c r="M1455" s="11">
        <v>10536.18</v>
      </c>
      <c r="N1455" s="11"/>
      <c r="O1455" s="42">
        <v>10536.18</v>
      </c>
      <c r="P1455" s="43" t="s">
        <v>4481</v>
      </c>
      <c r="Q1455" s="11">
        <v>861639.69</v>
      </c>
      <c r="R1455" s="11" t="s">
        <v>3048</v>
      </c>
      <c r="S1455" s="11" t="s">
        <v>40</v>
      </c>
      <c r="T1455" s="11">
        <v>0</v>
      </c>
    </row>
    <row r="1456" spans="1:22" x14ac:dyDescent="0.25">
      <c r="A1456" s="11">
        <v>101060402</v>
      </c>
      <c r="B1456" s="11" t="s">
        <v>44</v>
      </c>
      <c r="C1456" s="41">
        <v>44854</v>
      </c>
      <c r="D1456" s="41">
        <v>44854</v>
      </c>
      <c r="E1456" s="11" t="s">
        <v>42</v>
      </c>
      <c r="F1456" s="11" t="s">
        <v>839</v>
      </c>
      <c r="G1456" s="11">
        <v>107280</v>
      </c>
      <c r="H1456" s="11" t="s">
        <v>57</v>
      </c>
      <c r="K1456" s="11">
        <v>101060401</v>
      </c>
      <c r="L1456" s="11" t="s">
        <v>34</v>
      </c>
      <c r="M1456" s="11">
        <v>23045.16</v>
      </c>
      <c r="N1456" s="11"/>
      <c r="O1456" s="42">
        <v>23045.16</v>
      </c>
      <c r="P1456" s="43" t="s">
        <v>4481</v>
      </c>
      <c r="Q1456" s="11">
        <v>884684.85</v>
      </c>
      <c r="R1456" s="11" t="s">
        <v>3049</v>
      </c>
      <c r="S1456" s="11" t="s">
        <v>40</v>
      </c>
      <c r="T1456" s="11">
        <v>0</v>
      </c>
    </row>
    <row r="1457" spans="1:22" x14ac:dyDescent="0.25">
      <c r="A1457" s="11">
        <v>101060402</v>
      </c>
      <c r="B1457" s="11" t="s">
        <v>44</v>
      </c>
      <c r="C1457" s="41">
        <v>44854</v>
      </c>
      <c r="D1457" s="41">
        <v>44854</v>
      </c>
      <c r="E1457" s="11" t="s">
        <v>42</v>
      </c>
      <c r="F1457" s="11" t="s">
        <v>3050</v>
      </c>
      <c r="G1457" s="11">
        <v>107282</v>
      </c>
      <c r="H1457" s="11" t="s">
        <v>114</v>
      </c>
      <c r="J1457" s="11" t="s">
        <v>240</v>
      </c>
      <c r="K1457" s="11">
        <v>51010102</v>
      </c>
      <c r="L1457" s="11" t="s">
        <v>194</v>
      </c>
      <c r="M1457" s="11"/>
      <c r="N1457" s="11">
        <v>36.44</v>
      </c>
      <c r="O1457" s="42">
        <v>-36.44</v>
      </c>
      <c r="P1457" s="43" t="s">
        <v>4489</v>
      </c>
      <c r="Q1457" s="11">
        <v>884648.41</v>
      </c>
      <c r="R1457" s="11" t="s">
        <v>3051</v>
      </c>
      <c r="S1457" s="11" t="s">
        <v>106</v>
      </c>
      <c r="T1457" s="11">
        <v>0</v>
      </c>
      <c r="V1457" s="11" t="s">
        <v>241</v>
      </c>
    </row>
    <row r="1458" spans="1:22" x14ac:dyDescent="0.25">
      <c r="A1458" s="11">
        <v>101060402</v>
      </c>
      <c r="B1458" s="11" t="s">
        <v>44</v>
      </c>
      <c r="C1458" s="41">
        <v>44854</v>
      </c>
      <c r="D1458" s="41">
        <v>44854</v>
      </c>
      <c r="E1458" s="11" t="s">
        <v>42</v>
      </c>
      <c r="F1458" s="11" t="s">
        <v>3052</v>
      </c>
      <c r="G1458" s="11">
        <v>107283</v>
      </c>
      <c r="H1458" s="11" t="s">
        <v>140</v>
      </c>
      <c r="J1458" s="11" t="s">
        <v>240</v>
      </c>
      <c r="K1458" s="11">
        <v>51010102</v>
      </c>
      <c r="L1458" s="11" t="s">
        <v>194</v>
      </c>
      <c r="M1458" s="11"/>
      <c r="N1458" s="11">
        <v>13.38</v>
      </c>
      <c r="O1458" s="42">
        <v>-13.38</v>
      </c>
      <c r="P1458" s="43" t="s">
        <v>4489</v>
      </c>
      <c r="Q1458" s="11">
        <v>884635.03</v>
      </c>
      <c r="R1458" s="11" t="s">
        <v>3053</v>
      </c>
      <c r="S1458" s="11" t="s">
        <v>40</v>
      </c>
      <c r="T1458" s="11">
        <v>0</v>
      </c>
      <c r="V1458" s="11" t="s">
        <v>241</v>
      </c>
    </row>
    <row r="1459" spans="1:22" x14ac:dyDescent="0.25">
      <c r="A1459" s="11">
        <v>101060402</v>
      </c>
      <c r="B1459" s="11" t="s">
        <v>44</v>
      </c>
      <c r="C1459" s="41">
        <v>44854</v>
      </c>
      <c r="D1459" s="41">
        <v>44854</v>
      </c>
      <c r="E1459" s="11" t="s">
        <v>42</v>
      </c>
      <c r="F1459" s="11" t="s">
        <v>846</v>
      </c>
      <c r="G1459" s="11">
        <v>107284</v>
      </c>
      <c r="H1459" s="11" t="s">
        <v>57</v>
      </c>
      <c r="K1459" s="11">
        <v>101060401</v>
      </c>
      <c r="L1459" s="11" t="s">
        <v>34</v>
      </c>
      <c r="M1459" s="11"/>
      <c r="N1459" s="11">
        <v>5.86</v>
      </c>
      <c r="O1459" s="42">
        <v>-5.86</v>
      </c>
      <c r="P1459" s="43" t="s">
        <v>4481</v>
      </c>
      <c r="Q1459" s="11">
        <v>884629.17</v>
      </c>
      <c r="R1459" s="11" t="s">
        <v>311</v>
      </c>
      <c r="S1459" s="11" t="s">
        <v>106</v>
      </c>
      <c r="T1459" s="11">
        <v>0</v>
      </c>
    </row>
    <row r="1460" spans="1:22" x14ac:dyDescent="0.25">
      <c r="A1460" s="11">
        <v>101060402</v>
      </c>
      <c r="B1460" s="11" t="s">
        <v>44</v>
      </c>
      <c r="C1460" s="41">
        <v>44854</v>
      </c>
      <c r="D1460" s="41">
        <v>44854</v>
      </c>
      <c r="E1460" s="11" t="s">
        <v>42</v>
      </c>
      <c r="F1460" s="11" t="s">
        <v>853</v>
      </c>
      <c r="G1460" s="11">
        <v>107290</v>
      </c>
      <c r="H1460" s="11" t="s">
        <v>57</v>
      </c>
      <c r="K1460" s="11">
        <v>101060401</v>
      </c>
      <c r="L1460" s="11" t="s">
        <v>34</v>
      </c>
      <c r="M1460" s="11">
        <v>292.68</v>
      </c>
      <c r="N1460" s="11"/>
      <c r="O1460" s="42">
        <v>292.68</v>
      </c>
      <c r="P1460" s="43" t="s">
        <v>4481</v>
      </c>
      <c r="Q1460" s="11">
        <v>884921.85</v>
      </c>
      <c r="R1460" s="11" t="s">
        <v>852</v>
      </c>
      <c r="S1460" s="11" t="s">
        <v>40</v>
      </c>
      <c r="T1460" s="11">
        <v>0</v>
      </c>
    </row>
    <row r="1461" spans="1:22" x14ac:dyDescent="0.25">
      <c r="A1461" s="11">
        <v>101060402</v>
      </c>
      <c r="B1461" s="11" t="s">
        <v>44</v>
      </c>
      <c r="C1461" s="41">
        <v>44854</v>
      </c>
      <c r="D1461" s="41">
        <v>44854</v>
      </c>
      <c r="E1461" s="11" t="s">
        <v>42</v>
      </c>
      <c r="F1461" s="11" t="s">
        <v>3054</v>
      </c>
      <c r="G1461" s="11">
        <v>107295</v>
      </c>
      <c r="H1461" s="11" t="s">
        <v>2880</v>
      </c>
      <c r="J1461" s="11" t="s">
        <v>240</v>
      </c>
      <c r="K1461" s="11">
        <v>51010102</v>
      </c>
      <c r="L1461" s="11" t="s">
        <v>194</v>
      </c>
      <c r="M1461" s="11"/>
      <c r="N1461" s="11">
        <v>6.42</v>
      </c>
      <c r="O1461" s="42">
        <v>-6.42</v>
      </c>
      <c r="P1461" s="43" t="s">
        <v>4489</v>
      </c>
      <c r="Q1461" s="11">
        <v>884915.43</v>
      </c>
      <c r="R1461" s="11" t="s">
        <v>3055</v>
      </c>
      <c r="S1461" s="11" t="s">
        <v>106</v>
      </c>
      <c r="T1461" s="11">
        <v>0</v>
      </c>
      <c r="V1461" s="11" t="s">
        <v>241</v>
      </c>
    </row>
    <row r="1462" spans="1:22" x14ac:dyDescent="0.25">
      <c r="A1462" s="11">
        <v>101060402</v>
      </c>
      <c r="B1462" s="11" t="s">
        <v>44</v>
      </c>
      <c r="C1462" s="41">
        <v>44855</v>
      </c>
      <c r="D1462" s="41">
        <v>44855</v>
      </c>
      <c r="E1462" s="11" t="s">
        <v>42</v>
      </c>
      <c r="F1462" s="11" t="s">
        <v>860</v>
      </c>
      <c r="G1462" s="11">
        <v>107318</v>
      </c>
      <c r="H1462" s="11" t="s">
        <v>43</v>
      </c>
      <c r="K1462" s="11">
        <v>101060401</v>
      </c>
      <c r="L1462" s="11" t="s">
        <v>34</v>
      </c>
      <c r="M1462" s="11"/>
      <c r="N1462" s="11">
        <v>292.68</v>
      </c>
      <c r="O1462" s="42">
        <v>-292.68</v>
      </c>
      <c r="P1462" s="43" t="s">
        <v>4481</v>
      </c>
      <c r="Q1462" s="11">
        <v>884622.75</v>
      </c>
      <c r="R1462" s="11" t="s">
        <v>854</v>
      </c>
      <c r="S1462" s="11" t="s">
        <v>40</v>
      </c>
      <c r="T1462" s="11">
        <v>0</v>
      </c>
    </row>
    <row r="1463" spans="1:22" x14ac:dyDescent="0.25">
      <c r="A1463" s="11">
        <v>101060402</v>
      </c>
      <c r="B1463" s="11" t="s">
        <v>44</v>
      </c>
      <c r="C1463" s="41">
        <v>44855</v>
      </c>
      <c r="D1463" s="41">
        <v>44855</v>
      </c>
      <c r="E1463" s="11" t="s">
        <v>42</v>
      </c>
      <c r="F1463" s="11" t="s">
        <v>863</v>
      </c>
      <c r="G1463" s="11">
        <v>107321</v>
      </c>
      <c r="H1463" s="11" t="s">
        <v>43</v>
      </c>
      <c r="K1463" s="11">
        <v>101060401</v>
      </c>
      <c r="L1463" s="11" t="s">
        <v>34</v>
      </c>
      <c r="M1463" s="11">
        <v>234.14</v>
      </c>
      <c r="N1463" s="11"/>
      <c r="O1463" s="42">
        <v>234.14</v>
      </c>
      <c r="P1463" s="43" t="s">
        <v>4481</v>
      </c>
      <c r="Q1463" s="11">
        <v>884856.89</v>
      </c>
      <c r="R1463" s="11" t="s">
        <v>862</v>
      </c>
      <c r="S1463" s="11" t="s">
        <v>40</v>
      </c>
      <c r="T1463" s="11">
        <v>0</v>
      </c>
    </row>
    <row r="1464" spans="1:22" x14ac:dyDescent="0.25">
      <c r="A1464" s="11">
        <v>101060402</v>
      </c>
      <c r="B1464" s="11" t="s">
        <v>44</v>
      </c>
      <c r="C1464" s="41">
        <v>44855</v>
      </c>
      <c r="D1464" s="41">
        <v>44855</v>
      </c>
      <c r="E1464" s="11" t="s">
        <v>42</v>
      </c>
      <c r="F1464" s="11" t="s">
        <v>3056</v>
      </c>
      <c r="G1464" s="11">
        <v>107323</v>
      </c>
      <c r="H1464" s="11" t="s">
        <v>2879</v>
      </c>
      <c r="J1464" s="11" t="s">
        <v>240</v>
      </c>
      <c r="K1464" s="11">
        <v>51010102</v>
      </c>
      <c r="L1464" s="11" t="s">
        <v>194</v>
      </c>
      <c r="M1464" s="11"/>
      <c r="N1464" s="11">
        <v>33.06</v>
      </c>
      <c r="O1464" s="42">
        <v>-33.06</v>
      </c>
      <c r="P1464" s="43" t="s">
        <v>4489</v>
      </c>
      <c r="Q1464" s="11">
        <v>884823.83</v>
      </c>
      <c r="R1464" s="11" t="s">
        <v>3057</v>
      </c>
      <c r="S1464" s="11" t="s">
        <v>106</v>
      </c>
      <c r="T1464" s="11">
        <v>0</v>
      </c>
      <c r="V1464" s="11" t="s">
        <v>241</v>
      </c>
    </row>
    <row r="1465" spans="1:22" x14ac:dyDescent="0.25">
      <c r="A1465" s="11">
        <v>101060402</v>
      </c>
      <c r="B1465" s="11" t="s">
        <v>44</v>
      </c>
      <c r="C1465" s="41">
        <v>44855</v>
      </c>
      <c r="D1465" s="41">
        <v>44855</v>
      </c>
      <c r="E1465" s="11" t="s">
        <v>42</v>
      </c>
      <c r="F1465" s="11" t="s">
        <v>3058</v>
      </c>
      <c r="G1465" s="11">
        <v>107324</v>
      </c>
      <c r="H1465" s="11" t="s">
        <v>114</v>
      </c>
      <c r="J1465" s="11" t="s">
        <v>240</v>
      </c>
      <c r="K1465" s="11">
        <v>51010102</v>
      </c>
      <c r="L1465" s="11" t="s">
        <v>194</v>
      </c>
      <c r="M1465" s="11"/>
      <c r="N1465" s="11">
        <v>234.14</v>
      </c>
      <c r="O1465" s="42">
        <v>-234.14</v>
      </c>
      <c r="P1465" s="43" t="s">
        <v>4489</v>
      </c>
      <c r="Q1465" s="11">
        <v>884589.69</v>
      </c>
      <c r="R1465" s="11" t="s">
        <v>864</v>
      </c>
      <c r="S1465" s="11" t="s">
        <v>106</v>
      </c>
      <c r="T1465" s="11">
        <v>0</v>
      </c>
      <c r="V1465" s="11" t="s">
        <v>241</v>
      </c>
    </row>
    <row r="1466" spans="1:22" x14ac:dyDescent="0.25">
      <c r="A1466" s="11">
        <v>101060402</v>
      </c>
      <c r="B1466" s="11" t="s">
        <v>44</v>
      </c>
      <c r="C1466" s="41">
        <v>44855</v>
      </c>
      <c r="D1466" s="41">
        <v>44855</v>
      </c>
      <c r="E1466" s="11" t="s">
        <v>42</v>
      </c>
      <c r="F1466" s="11" t="s">
        <v>878</v>
      </c>
      <c r="G1466" s="11">
        <v>107344</v>
      </c>
      <c r="H1466" s="11" t="s">
        <v>57</v>
      </c>
      <c r="K1466" s="11">
        <v>101060401</v>
      </c>
      <c r="L1466" s="11" t="s">
        <v>34</v>
      </c>
      <c r="M1466" s="11">
        <v>871.3</v>
      </c>
      <c r="N1466" s="11"/>
      <c r="O1466" s="42">
        <v>871.3</v>
      </c>
      <c r="P1466" s="43" t="s">
        <v>4481</v>
      </c>
      <c r="Q1466" s="11">
        <v>885460.99</v>
      </c>
      <c r="R1466" s="11" t="s">
        <v>3059</v>
      </c>
      <c r="S1466" s="11" t="s">
        <v>40</v>
      </c>
      <c r="T1466" s="11">
        <v>0</v>
      </c>
    </row>
    <row r="1467" spans="1:22" x14ac:dyDescent="0.25">
      <c r="A1467" s="11">
        <v>101060402</v>
      </c>
      <c r="B1467" s="11" t="s">
        <v>44</v>
      </c>
      <c r="C1467" s="41">
        <v>44855</v>
      </c>
      <c r="D1467" s="41">
        <v>44855</v>
      </c>
      <c r="E1467" s="11" t="s">
        <v>42</v>
      </c>
      <c r="F1467" s="11" t="s">
        <v>3060</v>
      </c>
      <c r="G1467" s="11">
        <v>107347</v>
      </c>
      <c r="H1467" s="11" t="s">
        <v>47</v>
      </c>
      <c r="J1467" s="11" t="s">
        <v>240</v>
      </c>
      <c r="K1467" s="11">
        <v>51010102</v>
      </c>
      <c r="L1467" s="11" t="s">
        <v>194</v>
      </c>
      <c r="M1467" s="11"/>
      <c r="N1467" s="11">
        <v>1299.73</v>
      </c>
      <c r="O1467" s="42">
        <v>-1299.73</v>
      </c>
      <c r="P1467" s="43" t="s">
        <v>4489</v>
      </c>
      <c r="Q1467" s="11">
        <v>884161.26</v>
      </c>
      <c r="R1467" s="11" t="s">
        <v>3061</v>
      </c>
      <c r="S1467" s="11" t="s">
        <v>106</v>
      </c>
      <c r="T1467" s="11">
        <v>0</v>
      </c>
      <c r="V1467" s="11" t="s">
        <v>241</v>
      </c>
    </row>
    <row r="1468" spans="1:22" x14ac:dyDescent="0.25">
      <c r="A1468" s="11">
        <v>101060402</v>
      </c>
      <c r="B1468" s="11" t="s">
        <v>44</v>
      </c>
      <c r="C1468" s="41">
        <v>44855</v>
      </c>
      <c r="D1468" s="41">
        <v>44855</v>
      </c>
      <c r="E1468" s="11" t="s">
        <v>42</v>
      </c>
      <c r="F1468" s="11" t="s">
        <v>880</v>
      </c>
      <c r="G1468" s="11">
        <v>107348</v>
      </c>
      <c r="H1468" s="11" t="s">
        <v>57</v>
      </c>
      <c r="K1468" s="11">
        <v>101060401</v>
      </c>
      <c r="L1468" s="11" t="s">
        <v>34</v>
      </c>
      <c r="M1468" s="11"/>
      <c r="N1468" s="11">
        <v>11.85</v>
      </c>
      <c r="O1468" s="42">
        <v>-11.85</v>
      </c>
      <c r="P1468" s="43" t="s">
        <v>4481</v>
      </c>
      <c r="Q1468" s="11">
        <v>884149.41</v>
      </c>
      <c r="R1468" s="11" t="s">
        <v>2882</v>
      </c>
      <c r="S1468" s="11" t="s">
        <v>106</v>
      </c>
      <c r="T1468" s="11">
        <v>0</v>
      </c>
    </row>
    <row r="1469" spans="1:22" x14ac:dyDescent="0.25">
      <c r="A1469" s="11">
        <v>101060402</v>
      </c>
      <c r="B1469" s="11" t="s">
        <v>44</v>
      </c>
      <c r="C1469" s="41">
        <v>44855</v>
      </c>
      <c r="D1469" s="41">
        <v>44855</v>
      </c>
      <c r="E1469" s="11" t="s">
        <v>42</v>
      </c>
      <c r="F1469" s="11" t="s">
        <v>3062</v>
      </c>
      <c r="G1469" s="11">
        <v>107349</v>
      </c>
      <c r="H1469" s="11" t="s">
        <v>47</v>
      </c>
      <c r="J1469" s="11" t="s">
        <v>240</v>
      </c>
      <c r="K1469" s="11">
        <v>51010102</v>
      </c>
      <c r="L1469" s="11" t="s">
        <v>194</v>
      </c>
      <c r="M1469" s="11"/>
      <c r="N1469" s="11">
        <v>1186.3399999999999</v>
      </c>
      <c r="O1469" s="42">
        <v>-1186.3399999999999</v>
      </c>
      <c r="P1469" s="43" t="s">
        <v>4489</v>
      </c>
      <c r="Q1469" s="11">
        <v>882963.07</v>
      </c>
      <c r="R1469" s="11" t="s">
        <v>3063</v>
      </c>
      <c r="S1469" s="11" t="s">
        <v>106</v>
      </c>
      <c r="T1469" s="11">
        <v>0</v>
      </c>
      <c r="V1469" s="11" t="s">
        <v>241</v>
      </c>
    </row>
    <row r="1470" spans="1:22" x14ac:dyDescent="0.25">
      <c r="A1470" s="11">
        <v>101060402</v>
      </c>
      <c r="B1470" s="11" t="s">
        <v>44</v>
      </c>
      <c r="C1470" s="41">
        <v>44855</v>
      </c>
      <c r="D1470" s="41">
        <v>44855</v>
      </c>
      <c r="E1470" s="11" t="s">
        <v>42</v>
      </c>
      <c r="F1470" s="11" t="s">
        <v>3064</v>
      </c>
      <c r="G1470" s="11">
        <v>107350</v>
      </c>
      <c r="H1470" s="11" t="s">
        <v>47</v>
      </c>
      <c r="J1470" s="11" t="s">
        <v>240</v>
      </c>
      <c r="K1470" s="11">
        <v>51010102</v>
      </c>
      <c r="L1470" s="11" t="s">
        <v>194</v>
      </c>
      <c r="M1470" s="11"/>
      <c r="N1470" s="11">
        <v>29.67</v>
      </c>
      <c r="O1470" s="42">
        <v>-29.67</v>
      </c>
      <c r="P1470" s="43" t="s">
        <v>4489</v>
      </c>
      <c r="Q1470" s="11">
        <v>882933.4</v>
      </c>
      <c r="R1470" s="11" t="s">
        <v>3065</v>
      </c>
      <c r="S1470" s="11" t="s">
        <v>106</v>
      </c>
      <c r="T1470" s="11">
        <v>0</v>
      </c>
      <c r="V1470" s="11" t="s">
        <v>241</v>
      </c>
    </row>
    <row r="1471" spans="1:22" x14ac:dyDescent="0.25">
      <c r="A1471" s="11">
        <v>101060402</v>
      </c>
      <c r="B1471" s="11" t="s">
        <v>44</v>
      </c>
      <c r="C1471" s="41">
        <v>44855</v>
      </c>
      <c r="D1471" s="41">
        <v>44855</v>
      </c>
      <c r="E1471" s="11" t="s">
        <v>42</v>
      </c>
      <c r="F1471" s="11" t="s">
        <v>3066</v>
      </c>
      <c r="G1471" s="11">
        <v>107351</v>
      </c>
      <c r="H1471" s="11" t="s">
        <v>141</v>
      </c>
      <c r="J1471" s="11" t="s">
        <v>240</v>
      </c>
      <c r="K1471" s="11">
        <v>51010102</v>
      </c>
      <c r="L1471" s="11" t="s">
        <v>194</v>
      </c>
      <c r="M1471" s="11"/>
      <c r="N1471" s="11">
        <v>2727.32</v>
      </c>
      <c r="O1471" s="42">
        <v>-2727.32</v>
      </c>
      <c r="P1471" s="43" t="s">
        <v>4489</v>
      </c>
      <c r="Q1471" s="11">
        <v>880206.08</v>
      </c>
      <c r="R1471" s="11" t="s">
        <v>3067</v>
      </c>
      <c r="S1471" s="11" t="s">
        <v>106</v>
      </c>
      <c r="T1471" s="11">
        <v>0</v>
      </c>
      <c r="V1471" s="11" t="s">
        <v>241</v>
      </c>
    </row>
    <row r="1472" spans="1:22" x14ac:dyDescent="0.25">
      <c r="A1472" s="11">
        <v>101060402</v>
      </c>
      <c r="B1472" s="11" t="s">
        <v>44</v>
      </c>
      <c r="C1472" s="41">
        <v>44855</v>
      </c>
      <c r="D1472" s="41">
        <v>44855</v>
      </c>
      <c r="E1472" s="11" t="s">
        <v>42</v>
      </c>
      <c r="F1472" s="11" t="s">
        <v>886</v>
      </c>
      <c r="G1472" s="11">
        <v>107375</v>
      </c>
      <c r="H1472" s="11" t="s">
        <v>57</v>
      </c>
      <c r="K1472" s="11">
        <v>101060401</v>
      </c>
      <c r="L1472" s="11" t="s">
        <v>34</v>
      </c>
      <c r="M1472" s="11">
        <v>289</v>
      </c>
      <c r="N1472" s="11"/>
      <c r="O1472" s="42">
        <v>289</v>
      </c>
      <c r="P1472" s="43" t="s">
        <v>4481</v>
      </c>
      <c r="Q1472" s="11">
        <v>880495.08</v>
      </c>
      <c r="R1472" s="11" t="s">
        <v>885</v>
      </c>
      <c r="S1472" s="11" t="s">
        <v>40</v>
      </c>
      <c r="T1472" s="11">
        <v>0</v>
      </c>
    </row>
    <row r="1473" spans="1:22" x14ac:dyDescent="0.25">
      <c r="A1473" s="11">
        <v>101060402</v>
      </c>
      <c r="B1473" s="11" t="s">
        <v>44</v>
      </c>
      <c r="C1473" s="41">
        <v>44856</v>
      </c>
      <c r="D1473" s="41">
        <v>44856</v>
      </c>
      <c r="E1473" s="11" t="s">
        <v>42</v>
      </c>
      <c r="F1473" s="11" t="s">
        <v>888</v>
      </c>
      <c r="G1473" s="11">
        <v>107387</v>
      </c>
      <c r="H1473" s="11" t="s">
        <v>57</v>
      </c>
      <c r="K1473" s="11">
        <v>101060401</v>
      </c>
      <c r="L1473" s="11" t="s">
        <v>34</v>
      </c>
      <c r="M1473" s="11"/>
      <c r="N1473" s="11">
        <v>214.86</v>
      </c>
      <c r="O1473" s="42">
        <v>-214.86</v>
      </c>
      <c r="P1473" s="43" t="s">
        <v>4481</v>
      </c>
      <c r="Q1473" s="11">
        <v>880280.22</v>
      </c>
      <c r="R1473" s="11" t="s">
        <v>995</v>
      </c>
      <c r="S1473" s="11" t="s">
        <v>106</v>
      </c>
      <c r="T1473" s="11">
        <v>0</v>
      </c>
    </row>
    <row r="1474" spans="1:22" x14ac:dyDescent="0.25">
      <c r="A1474" s="11">
        <v>101060402</v>
      </c>
      <c r="B1474" s="11" t="s">
        <v>44</v>
      </c>
      <c r="C1474" s="41">
        <v>44856</v>
      </c>
      <c r="D1474" s="41">
        <v>44856</v>
      </c>
      <c r="E1474" s="11" t="s">
        <v>42</v>
      </c>
      <c r="F1474" s="11" t="s">
        <v>3068</v>
      </c>
      <c r="G1474" s="11">
        <v>107388</v>
      </c>
      <c r="H1474" s="11" t="s">
        <v>141</v>
      </c>
      <c r="J1474" s="11" t="s">
        <v>240</v>
      </c>
      <c r="K1474" s="11">
        <v>51010102</v>
      </c>
      <c r="L1474" s="11" t="s">
        <v>194</v>
      </c>
      <c r="M1474" s="11"/>
      <c r="N1474" s="11">
        <v>379.42</v>
      </c>
      <c r="O1474" s="42">
        <v>-379.42</v>
      </c>
      <c r="P1474" s="43" t="s">
        <v>4489</v>
      </c>
      <c r="Q1474" s="11">
        <v>879900.8</v>
      </c>
      <c r="R1474" s="11" t="s">
        <v>3069</v>
      </c>
      <c r="S1474" s="11" t="s">
        <v>106</v>
      </c>
      <c r="T1474" s="11">
        <v>0</v>
      </c>
      <c r="V1474" s="11" t="s">
        <v>241</v>
      </c>
    </row>
    <row r="1475" spans="1:22" x14ac:dyDescent="0.25">
      <c r="A1475" s="11">
        <v>101060402</v>
      </c>
      <c r="B1475" s="11" t="s">
        <v>44</v>
      </c>
      <c r="C1475" s="41">
        <v>44856</v>
      </c>
      <c r="D1475" s="41">
        <v>44856</v>
      </c>
      <c r="E1475" s="11" t="s">
        <v>42</v>
      </c>
      <c r="F1475" s="11" t="s">
        <v>3070</v>
      </c>
      <c r="G1475" s="11">
        <v>107389</v>
      </c>
      <c r="H1475" s="11" t="s">
        <v>141</v>
      </c>
      <c r="J1475" s="11" t="s">
        <v>240</v>
      </c>
      <c r="K1475" s="11">
        <v>51010102</v>
      </c>
      <c r="L1475" s="11" t="s">
        <v>194</v>
      </c>
      <c r="M1475" s="11"/>
      <c r="N1475" s="11">
        <v>871.3</v>
      </c>
      <c r="O1475" s="42">
        <v>-871.3</v>
      </c>
      <c r="P1475" s="43" t="s">
        <v>4489</v>
      </c>
      <c r="Q1475" s="11">
        <v>879029.5</v>
      </c>
      <c r="R1475" s="11" t="s">
        <v>879</v>
      </c>
      <c r="S1475" s="11" t="s">
        <v>106</v>
      </c>
      <c r="T1475" s="11">
        <v>0</v>
      </c>
      <c r="V1475" s="11" t="s">
        <v>241</v>
      </c>
    </row>
    <row r="1476" spans="1:22" x14ac:dyDescent="0.25">
      <c r="A1476" s="11">
        <v>101060402</v>
      </c>
      <c r="B1476" s="11" t="s">
        <v>44</v>
      </c>
      <c r="C1476" s="41">
        <v>44856</v>
      </c>
      <c r="D1476" s="41">
        <v>44856</v>
      </c>
      <c r="E1476" s="11" t="s">
        <v>42</v>
      </c>
      <c r="F1476" s="11" t="s">
        <v>3071</v>
      </c>
      <c r="G1476" s="11">
        <v>107390</v>
      </c>
      <c r="H1476" s="11" t="s">
        <v>47</v>
      </c>
      <c r="J1476" s="11" t="s">
        <v>240</v>
      </c>
      <c r="K1476" s="11">
        <v>51010102</v>
      </c>
      <c r="L1476" s="11" t="s">
        <v>194</v>
      </c>
      <c r="M1476" s="11"/>
      <c r="N1476" s="11">
        <v>415.26</v>
      </c>
      <c r="O1476" s="42">
        <v>-415.26</v>
      </c>
      <c r="P1476" s="43" t="s">
        <v>4489</v>
      </c>
      <c r="Q1476" s="11">
        <v>878614.24</v>
      </c>
      <c r="R1476" s="11" t="s">
        <v>3072</v>
      </c>
      <c r="S1476" s="11" t="s">
        <v>106</v>
      </c>
      <c r="T1476" s="11">
        <v>0</v>
      </c>
      <c r="V1476" s="11" t="s">
        <v>241</v>
      </c>
    </row>
    <row r="1477" spans="1:22" x14ac:dyDescent="0.25">
      <c r="A1477" s="11">
        <v>101060402</v>
      </c>
      <c r="B1477" s="11" t="s">
        <v>44</v>
      </c>
      <c r="C1477" s="41">
        <v>44858</v>
      </c>
      <c r="D1477" s="41">
        <v>44858</v>
      </c>
      <c r="E1477" s="11" t="s">
        <v>42</v>
      </c>
      <c r="F1477" s="11" t="s">
        <v>3073</v>
      </c>
      <c r="G1477" s="11">
        <v>107391</v>
      </c>
      <c r="H1477" s="11" t="s">
        <v>47</v>
      </c>
      <c r="J1477" s="11" t="s">
        <v>240</v>
      </c>
      <c r="K1477" s="11">
        <v>51010102</v>
      </c>
      <c r="L1477" s="11" t="s">
        <v>194</v>
      </c>
      <c r="M1477" s="11"/>
      <c r="N1477" s="11">
        <v>1968.04</v>
      </c>
      <c r="O1477" s="42">
        <v>-1968.04</v>
      </c>
      <c r="P1477" s="43" t="s">
        <v>4489</v>
      </c>
      <c r="Q1477" s="11">
        <v>876646.2</v>
      </c>
      <c r="R1477" s="11" t="s">
        <v>3074</v>
      </c>
      <c r="S1477" s="11" t="s">
        <v>106</v>
      </c>
      <c r="T1477" s="11">
        <v>0</v>
      </c>
      <c r="V1477" s="11" t="s">
        <v>241</v>
      </c>
    </row>
    <row r="1478" spans="1:22" x14ac:dyDescent="0.25">
      <c r="A1478" s="11">
        <v>101060402</v>
      </c>
      <c r="B1478" s="11" t="s">
        <v>44</v>
      </c>
      <c r="C1478" s="41">
        <v>44858</v>
      </c>
      <c r="D1478" s="41">
        <v>44858</v>
      </c>
      <c r="E1478" s="11" t="s">
        <v>36</v>
      </c>
      <c r="F1478" s="11" t="s">
        <v>3075</v>
      </c>
      <c r="G1478" s="11">
        <v>107420</v>
      </c>
      <c r="H1478" s="11" t="s">
        <v>37</v>
      </c>
      <c r="K1478" s="11">
        <v>401030105</v>
      </c>
      <c r="L1478" s="11" t="s">
        <v>54</v>
      </c>
      <c r="M1478" s="26">
        <v>2</v>
      </c>
      <c r="O1478" s="44">
        <v>2</v>
      </c>
      <c r="P1478" s="43" t="s">
        <v>4494</v>
      </c>
      <c r="Q1478" s="11">
        <v>876648.2</v>
      </c>
      <c r="R1478" s="11" t="s">
        <v>169</v>
      </c>
      <c r="S1478" s="11" t="s">
        <v>40</v>
      </c>
      <c r="T1478" s="11">
        <v>0</v>
      </c>
    </row>
    <row r="1479" spans="1:22" x14ac:dyDescent="0.25">
      <c r="A1479" s="11">
        <v>101060402</v>
      </c>
      <c r="B1479" s="11" t="s">
        <v>44</v>
      </c>
      <c r="C1479" s="41">
        <v>44858</v>
      </c>
      <c r="D1479" s="41">
        <v>44858</v>
      </c>
      <c r="E1479" s="11" t="s">
        <v>42</v>
      </c>
      <c r="F1479" s="11" t="s">
        <v>900</v>
      </c>
      <c r="G1479" s="11">
        <v>107421</v>
      </c>
      <c r="H1479" s="11" t="s">
        <v>57</v>
      </c>
      <c r="K1479" s="11">
        <v>101060401</v>
      </c>
      <c r="L1479" s="11" t="s">
        <v>34</v>
      </c>
      <c r="M1479" s="11">
        <v>17.239999999999998</v>
      </c>
      <c r="N1479" s="11"/>
      <c r="O1479" s="42">
        <v>17.239999999999998</v>
      </c>
      <c r="P1479" s="43" t="s">
        <v>4481</v>
      </c>
      <c r="Q1479" s="11">
        <v>876665.44</v>
      </c>
      <c r="R1479" s="11" t="s">
        <v>899</v>
      </c>
      <c r="S1479" s="11" t="s">
        <v>40</v>
      </c>
      <c r="T1479" s="11">
        <v>0</v>
      </c>
    </row>
    <row r="1480" spans="1:22" x14ac:dyDescent="0.25">
      <c r="A1480" s="11">
        <v>101060402</v>
      </c>
      <c r="B1480" s="11" t="s">
        <v>44</v>
      </c>
      <c r="C1480" s="41">
        <v>44858</v>
      </c>
      <c r="D1480" s="41">
        <v>44858</v>
      </c>
      <c r="E1480" s="11" t="s">
        <v>36</v>
      </c>
      <c r="F1480" s="11" t="s">
        <v>3076</v>
      </c>
      <c r="G1480" s="11">
        <v>107422</v>
      </c>
      <c r="H1480" s="11" t="s">
        <v>75</v>
      </c>
      <c r="J1480" s="11" t="s">
        <v>240</v>
      </c>
      <c r="K1480" s="11">
        <v>51010103</v>
      </c>
      <c r="L1480" s="11" t="s">
        <v>39</v>
      </c>
      <c r="N1480" s="26">
        <v>2</v>
      </c>
      <c r="O1480" s="44">
        <v>-2</v>
      </c>
      <c r="P1480" s="43" t="s">
        <v>4493</v>
      </c>
      <c r="Q1480" s="11">
        <v>876663.44</v>
      </c>
      <c r="R1480" s="11" t="s">
        <v>170</v>
      </c>
      <c r="S1480" s="11" t="s">
        <v>40</v>
      </c>
      <c r="T1480" s="11">
        <v>0</v>
      </c>
      <c r="V1480" s="11" t="s">
        <v>241</v>
      </c>
    </row>
    <row r="1481" spans="1:22" x14ac:dyDescent="0.25">
      <c r="A1481" s="11">
        <v>101060402</v>
      </c>
      <c r="B1481" s="11" t="s">
        <v>44</v>
      </c>
      <c r="C1481" s="41">
        <v>44858</v>
      </c>
      <c r="D1481" s="41">
        <v>44858</v>
      </c>
      <c r="E1481" s="11" t="s">
        <v>42</v>
      </c>
      <c r="F1481" s="11" t="s">
        <v>902</v>
      </c>
      <c r="G1481" s="11">
        <v>107423</v>
      </c>
      <c r="H1481" s="11" t="s">
        <v>57</v>
      </c>
      <c r="K1481" s="11">
        <v>101060401</v>
      </c>
      <c r="L1481" s="11" t="s">
        <v>34</v>
      </c>
      <c r="M1481" s="11">
        <v>2</v>
      </c>
      <c r="N1481" s="11"/>
      <c r="O1481" s="42">
        <v>2</v>
      </c>
      <c r="P1481" s="43" t="s">
        <v>4481</v>
      </c>
      <c r="Q1481" s="11">
        <v>876665.44</v>
      </c>
      <c r="R1481" s="11" t="s">
        <v>169</v>
      </c>
      <c r="S1481" s="11" t="s">
        <v>40</v>
      </c>
      <c r="T1481" s="11">
        <v>0</v>
      </c>
    </row>
    <row r="1482" spans="1:22" x14ac:dyDescent="0.25">
      <c r="A1482" s="11">
        <v>101060402</v>
      </c>
      <c r="B1482" s="11" t="s">
        <v>44</v>
      </c>
      <c r="C1482" s="41">
        <v>44858</v>
      </c>
      <c r="D1482" s="41">
        <v>44858</v>
      </c>
      <c r="E1482" s="11" t="s">
        <v>42</v>
      </c>
      <c r="F1482" s="11" t="s">
        <v>3077</v>
      </c>
      <c r="G1482" s="11">
        <v>107424</v>
      </c>
      <c r="H1482" s="11" t="s">
        <v>47</v>
      </c>
      <c r="J1482" s="11" t="s">
        <v>240</v>
      </c>
      <c r="K1482" s="11">
        <v>51010102</v>
      </c>
      <c r="L1482" s="11" t="s">
        <v>194</v>
      </c>
      <c r="M1482" s="11"/>
      <c r="N1482" s="11">
        <v>2028.37</v>
      </c>
      <c r="O1482" s="42">
        <v>-2028.37</v>
      </c>
      <c r="P1482" s="43" t="s">
        <v>4489</v>
      </c>
      <c r="Q1482" s="11">
        <v>874637.07</v>
      </c>
      <c r="R1482" s="11" t="s">
        <v>3078</v>
      </c>
      <c r="S1482" s="11" t="s">
        <v>106</v>
      </c>
      <c r="T1482" s="11">
        <v>0</v>
      </c>
      <c r="V1482" s="11" t="s">
        <v>241</v>
      </c>
    </row>
    <row r="1483" spans="1:22" x14ac:dyDescent="0.25">
      <c r="A1483" s="11">
        <v>101060402</v>
      </c>
      <c r="B1483" s="11" t="s">
        <v>44</v>
      </c>
      <c r="C1483" s="41">
        <v>44858</v>
      </c>
      <c r="D1483" s="41">
        <v>44858</v>
      </c>
      <c r="E1483" s="11" t="s">
        <v>42</v>
      </c>
      <c r="F1483" s="11" t="s">
        <v>3079</v>
      </c>
      <c r="G1483" s="11">
        <v>107425</v>
      </c>
      <c r="H1483" s="11" t="s">
        <v>3080</v>
      </c>
      <c r="J1483" s="11" t="s">
        <v>240</v>
      </c>
      <c r="K1483" s="11">
        <v>51010102</v>
      </c>
      <c r="L1483" s="11" t="s">
        <v>194</v>
      </c>
      <c r="M1483" s="11"/>
      <c r="N1483" s="11">
        <v>149</v>
      </c>
      <c r="O1483" s="42">
        <v>-149</v>
      </c>
      <c r="P1483" s="43" t="s">
        <v>4489</v>
      </c>
      <c r="Q1483" s="11">
        <v>874488.07</v>
      </c>
      <c r="R1483" s="11" t="s">
        <v>3081</v>
      </c>
      <c r="S1483" s="11" t="s">
        <v>106</v>
      </c>
      <c r="T1483" s="11">
        <v>0</v>
      </c>
      <c r="V1483" s="11" t="s">
        <v>241</v>
      </c>
    </row>
    <row r="1484" spans="1:22" x14ac:dyDescent="0.25">
      <c r="A1484" s="11">
        <v>101060402</v>
      </c>
      <c r="B1484" s="11" t="s">
        <v>44</v>
      </c>
      <c r="C1484" s="41">
        <v>44858</v>
      </c>
      <c r="D1484" s="41">
        <v>44858</v>
      </c>
      <c r="E1484" s="11" t="s">
        <v>42</v>
      </c>
      <c r="F1484" s="11" t="s">
        <v>3079</v>
      </c>
      <c r="G1484" s="11">
        <v>107425</v>
      </c>
      <c r="H1484" s="11" t="s">
        <v>3080</v>
      </c>
      <c r="J1484" s="11" t="s">
        <v>38</v>
      </c>
      <c r="K1484" s="11">
        <v>51010102</v>
      </c>
      <c r="L1484" s="11" t="s">
        <v>194</v>
      </c>
      <c r="M1484" s="11"/>
      <c r="N1484" s="11">
        <v>19.239999999999998</v>
      </c>
      <c r="O1484" s="42">
        <v>-19.239999999999998</v>
      </c>
      <c r="P1484" s="43" t="s">
        <v>4489</v>
      </c>
      <c r="Q1484" s="11">
        <v>874468.83</v>
      </c>
      <c r="R1484" s="11" t="s">
        <v>3082</v>
      </c>
      <c r="S1484" s="11" t="s">
        <v>106</v>
      </c>
      <c r="T1484" s="11">
        <v>0</v>
      </c>
      <c r="V1484" s="11" t="s">
        <v>41</v>
      </c>
    </row>
    <row r="1485" spans="1:22" x14ac:dyDescent="0.25">
      <c r="A1485" s="11">
        <v>101060402</v>
      </c>
      <c r="B1485" s="11" t="s">
        <v>44</v>
      </c>
      <c r="C1485" s="41">
        <v>44858</v>
      </c>
      <c r="D1485" s="41">
        <v>44858</v>
      </c>
      <c r="E1485" s="11" t="s">
        <v>42</v>
      </c>
      <c r="F1485" s="11" t="s">
        <v>3083</v>
      </c>
      <c r="G1485" s="11">
        <v>107440</v>
      </c>
      <c r="H1485" s="11" t="s">
        <v>162</v>
      </c>
      <c r="J1485" s="11" t="s">
        <v>240</v>
      </c>
      <c r="K1485" s="11">
        <v>51010102</v>
      </c>
      <c r="L1485" s="11" t="s">
        <v>194</v>
      </c>
      <c r="M1485" s="11"/>
      <c r="N1485" s="11">
        <v>5253.98</v>
      </c>
      <c r="O1485" s="42">
        <v>-5253.98</v>
      </c>
      <c r="P1485" s="43" t="s">
        <v>4489</v>
      </c>
      <c r="Q1485" s="11">
        <v>869214.85</v>
      </c>
      <c r="R1485" s="11" t="s">
        <v>3084</v>
      </c>
      <c r="S1485" s="11" t="s">
        <v>106</v>
      </c>
      <c r="T1485" s="11">
        <v>0</v>
      </c>
      <c r="V1485" s="11" t="s">
        <v>241</v>
      </c>
    </row>
    <row r="1486" spans="1:22" x14ac:dyDescent="0.25">
      <c r="A1486" s="11">
        <v>101060402</v>
      </c>
      <c r="B1486" s="11" t="s">
        <v>44</v>
      </c>
      <c r="C1486" s="41">
        <v>44858</v>
      </c>
      <c r="D1486" s="41">
        <v>44858</v>
      </c>
      <c r="E1486" s="11" t="s">
        <v>42</v>
      </c>
      <c r="F1486" s="11" t="s">
        <v>918</v>
      </c>
      <c r="G1486" s="11">
        <v>107459</v>
      </c>
      <c r="H1486" s="11" t="s">
        <v>57</v>
      </c>
      <c r="K1486" s="11">
        <v>101060401</v>
      </c>
      <c r="L1486" s="11" t="s">
        <v>34</v>
      </c>
      <c r="M1486" s="11">
        <v>10701.24</v>
      </c>
      <c r="N1486" s="11"/>
      <c r="O1486" s="42">
        <v>10701.24</v>
      </c>
      <c r="P1486" s="43" t="s">
        <v>4481</v>
      </c>
      <c r="Q1486" s="11">
        <v>879916.09</v>
      </c>
      <c r="R1486" s="11" t="s">
        <v>3085</v>
      </c>
      <c r="S1486" s="11" t="s">
        <v>40</v>
      </c>
      <c r="T1486" s="11">
        <v>0</v>
      </c>
    </row>
    <row r="1487" spans="1:22" x14ac:dyDescent="0.25">
      <c r="A1487" s="11">
        <v>101060402</v>
      </c>
      <c r="B1487" s="11" t="s">
        <v>44</v>
      </c>
      <c r="C1487" s="41">
        <v>44859</v>
      </c>
      <c r="D1487" s="41">
        <v>44859</v>
      </c>
      <c r="E1487" s="11" t="s">
        <v>42</v>
      </c>
      <c r="F1487" s="11" t="s">
        <v>925</v>
      </c>
      <c r="G1487" s="11">
        <v>107482</v>
      </c>
      <c r="H1487" s="11" t="s">
        <v>57</v>
      </c>
      <c r="K1487" s="11">
        <v>101060401</v>
      </c>
      <c r="L1487" s="11" t="s">
        <v>34</v>
      </c>
      <c r="M1487" s="11">
        <v>3544.26</v>
      </c>
      <c r="N1487" s="11"/>
      <c r="O1487" s="42">
        <v>3544.26</v>
      </c>
      <c r="P1487" s="43" t="s">
        <v>4481</v>
      </c>
      <c r="Q1487" s="11">
        <v>883460.35</v>
      </c>
      <c r="R1487" s="11" t="s">
        <v>3086</v>
      </c>
      <c r="S1487" s="11" t="s">
        <v>40</v>
      </c>
      <c r="T1487" s="11">
        <v>0</v>
      </c>
    </row>
    <row r="1488" spans="1:22" x14ac:dyDescent="0.25">
      <c r="A1488" s="11">
        <v>101060402</v>
      </c>
      <c r="B1488" s="11" t="s">
        <v>44</v>
      </c>
      <c r="C1488" s="41">
        <v>44859</v>
      </c>
      <c r="D1488" s="41">
        <v>44859</v>
      </c>
      <c r="E1488" s="11" t="s">
        <v>42</v>
      </c>
      <c r="F1488" s="11" t="s">
        <v>3087</v>
      </c>
      <c r="G1488" s="11">
        <v>107483</v>
      </c>
      <c r="H1488" s="11" t="s">
        <v>162</v>
      </c>
      <c r="J1488" s="11" t="s">
        <v>240</v>
      </c>
      <c r="K1488" s="11">
        <v>51010102</v>
      </c>
      <c r="L1488" s="11" t="s">
        <v>194</v>
      </c>
      <c r="M1488" s="11"/>
      <c r="N1488" s="11">
        <v>3544.26</v>
      </c>
      <c r="O1488" s="42">
        <v>-3544.26</v>
      </c>
      <c r="P1488" s="43" t="s">
        <v>4489</v>
      </c>
      <c r="Q1488" s="11">
        <v>879916.09</v>
      </c>
      <c r="R1488" s="11" t="s">
        <v>926</v>
      </c>
      <c r="S1488" s="11" t="s">
        <v>106</v>
      </c>
      <c r="T1488" s="11">
        <v>0</v>
      </c>
      <c r="V1488" s="11" t="s">
        <v>241</v>
      </c>
    </row>
    <row r="1489" spans="1:22" x14ac:dyDescent="0.25">
      <c r="A1489" s="11">
        <v>101060402</v>
      </c>
      <c r="B1489" s="11" t="s">
        <v>44</v>
      </c>
      <c r="C1489" s="41">
        <v>44859</v>
      </c>
      <c r="D1489" s="41">
        <v>44859</v>
      </c>
      <c r="E1489" s="11" t="s">
        <v>42</v>
      </c>
      <c r="F1489" s="11" t="s">
        <v>3088</v>
      </c>
      <c r="G1489" s="11">
        <v>107493</v>
      </c>
      <c r="H1489" s="11" t="s">
        <v>47</v>
      </c>
      <c r="J1489" s="11" t="s">
        <v>240</v>
      </c>
      <c r="K1489" s="11">
        <v>51010102</v>
      </c>
      <c r="L1489" s="11" t="s">
        <v>194</v>
      </c>
      <c r="M1489" s="11"/>
      <c r="N1489" s="11">
        <v>19.22</v>
      </c>
      <c r="O1489" s="42">
        <v>-19.22</v>
      </c>
      <c r="P1489" s="43" t="s">
        <v>4489</v>
      </c>
      <c r="Q1489" s="11">
        <v>879896.87</v>
      </c>
      <c r="R1489" s="11" t="s">
        <v>2874</v>
      </c>
      <c r="S1489" s="11" t="s">
        <v>106</v>
      </c>
      <c r="T1489" s="11">
        <v>0</v>
      </c>
      <c r="V1489" s="11" t="s">
        <v>241</v>
      </c>
    </row>
    <row r="1490" spans="1:22" x14ac:dyDescent="0.25">
      <c r="A1490" s="11">
        <v>101060402</v>
      </c>
      <c r="B1490" s="11" t="s">
        <v>44</v>
      </c>
      <c r="C1490" s="41">
        <v>44859</v>
      </c>
      <c r="D1490" s="41">
        <v>44859</v>
      </c>
      <c r="E1490" s="11" t="s">
        <v>42</v>
      </c>
      <c r="F1490" s="11" t="s">
        <v>3089</v>
      </c>
      <c r="G1490" s="11">
        <v>107523</v>
      </c>
      <c r="H1490" s="11" t="s">
        <v>151</v>
      </c>
      <c r="J1490" s="11" t="s">
        <v>240</v>
      </c>
      <c r="K1490" s="11">
        <v>51010102</v>
      </c>
      <c r="L1490" s="11" t="s">
        <v>194</v>
      </c>
      <c r="M1490" s="11"/>
      <c r="N1490" s="11">
        <v>23.11</v>
      </c>
      <c r="O1490" s="42">
        <v>-23.11</v>
      </c>
      <c r="P1490" s="43" t="s">
        <v>4489</v>
      </c>
      <c r="Q1490" s="11">
        <v>879873.76</v>
      </c>
      <c r="R1490" s="11" t="s">
        <v>3090</v>
      </c>
      <c r="S1490" s="11" t="s">
        <v>106</v>
      </c>
      <c r="T1490" s="11">
        <v>0</v>
      </c>
      <c r="V1490" s="11" t="s">
        <v>241</v>
      </c>
    </row>
    <row r="1491" spans="1:22" x14ac:dyDescent="0.25">
      <c r="A1491" s="11">
        <v>101060402</v>
      </c>
      <c r="B1491" s="11" t="s">
        <v>44</v>
      </c>
      <c r="C1491" s="41">
        <v>44859</v>
      </c>
      <c r="D1491" s="41">
        <v>44859</v>
      </c>
      <c r="E1491" s="11" t="s">
        <v>42</v>
      </c>
      <c r="F1491" s="11" t="s">
        <v>3091</v>
      </c>
      <c r="G1491" s="11">
        <v>107526</v>
      </c>
      <c r="H1491" s="11" t="s">
        <v>165</v>
      </c>
      <c r="J1491" s="11" t="s">
        <v>240</v>
      </c>
      <c r="K1491" s="11">
        <v>51010102</v>
      </c>
      <c r="L1491" s="11" t="s">
        <v>194</v>
      </c>
      <c r="M1491" s="11"/>
      <c r="N1491" s="11">
        <v>48.31</v>
      </c>
      <c r="O1491" s="42">
        <v>-48.31</v>
      </c>
      <c r="P1491" s="43" t="s">
        <v>4489</v>
      </c>
      <c r="Q1491" s="11">
        <v>879825.45</v>
      </c>
      <c r="R1491" s="11" t="s">
        <v>3092</v>
      </c>
      <c r="S1491" s="11" t="s">
        <v>106</v>
      </c>
      <c r="T1491" s="11">
        <v>0</v>
      </c>
      <c r="V1491" s="11" t="s">
        <v>241</v>
      </c>
    </row>
    <row r="1492" spans="1:22" x14ac:dyDescent="0.25">
      <c r="A1492" s="11">
        <v>101060402</v>
      </c>
      <c r="B1492" s="11" t="s">
        <v>44</v>
      </c>
      <c r="C1492" s="41">
        <v>44859</v>
      </c>
      <c r="D1492" s="41">
        <v>44859</v>
      </c>
      <c r="E1492" s="11" t="s">
        <v>42</v>
      </c>
      <c r="F1492" s="11" t="s">
        <v>952</v>
      </c>
      <c r="G1492" s="11">
        <v>107558</v>
      </c>
      <c r="H1492" s="11" t="s">
        <v>57</v>
      </c>
      <c r="K1492" s="11">
        <v>101060401</v>
      </c>
      <c r="L1492" s="11" t="s">
        <v>34</v>
      </c>
      <c r="M1492" s="11"/>
      <c r="N1492" s="11">
        <v>1657.74</v>
      </c>
      <c r="O1492" s="42">
        <v>-1657.74</v>
      </c>
      <c r="P1492" s="43" t="s">
        <v>4481</v>
      </c>
      <c r="Q1492" s="11">
        <v>878167.71</v>
      </c>
      <c r="R1492" s="11" t="s">
        <v>3093</v>
      </c>
      <c r="S1492" s="11" t="s">
        <v>40</v>
      </c>
      <c r="T1492" s="11">
        <v>0</v>
      </c>
    </row>
    <row r="1493" spans="1:22" x14ac:dyDescent="0.25">
      <c r="A1493" s="11">
        <v>101060402</v>
      </c>
      <c r="B1493" s="11" t="s">
        <v>44</v>
      </c>
      <c r="C1493" s="41">
        <v>44860</v>
      </c>
      <c r="D1493" s="41">
        <v>44860</v>
      </c>
      <c r="E1493" s="11" t="s">
        <v>42</v>
      </c>
      <c r="F1493" s="11" t="s">
        <v>3094</v>
      </c>
      <c r="G1493" s="11">
        <v>107614</v>
      </c>
      <c r="H1493" s="11" t="s">
        <v>266</v>
      </c>
      <c r="J1493" s="11" t="s">
        <v>240</v>
      </c>
      <c r="K1493" s="11">
        <v>51010102</v>
      </c>
      <c r="L1493" s="11" t="s">
        <v>194</v>
      </c>
      <c r="M1493" s="11"/>
      <c r="N1493" s="11">
        <v>68.22</v>
      </c>
      <c r="O1493" s="42">
        <v>-68.22</v>
      </c>
      <c r="P1493" s="43" t="s">
        <v>4489</v>
      </c>
      <c r="Q1493" s="11">
        <v>878099.49</v>
      </c>
      <c r="R1493" s="11" t="s">
        <v>204</v>
      </c>
      <c r="S1493" s="11" t="s">
        <v>106</v>
      </c>
      <c r="T1493" s="11">
        <v>0</v>
      </c>
      <c r="V1493" s="11" t="s">
        <v>241</v>
      </c>
    </row>
    <row r="1494" spans="1:22" x14ac:dyDescent="0.25">
      <c r="A1494" s="11">
        <v>101060402</v>
      </c>
      <c r="B1494" s="11" t="s">
        <v>44</v>
      </c>
      <c r="C1494" s="41">
        <v>44860</v>
      </c>
      <c r="D1494" s="41">
        <v>44860</v>
      </c>
      <c r="E1494" s="11" t="s">
        <v>42</v>
      </c>
      <c r="F1494" s="11" t="s">
        <v>972</v>
      </c>
      <c r="G1494" s="11">
        <v>107621</v>
      </c>
      <c r="H1494" s="11" t="s">
        <v>57</v>
      </c>
      <c r="K1494" s="11">
        <v>101060401</v>
      </c>
      <c r="L1494" s="11" t="s">
        <v>34</v>
      </c>
      <c r="M1494" s="11"/>
      <c r="N1494" s="11">
        <v>72.2</v>
      </c>
      <c r="O1494" s="42">
        <v>-72.2</v>
      </c>
      <c r="P1494" s="43" t="s">
        <v>4481</v>
      </c>
      <c r="Q1494" s="11">
        <v>878027.29</v>
      </c>
      <c r="R1494" s="11" t="s">
        <v>3095</v>
      </c>
      <c r="S1494" s="11" t="s">
        <v>106</v>
      </c>
      <c r="T1494" s="11">
        <v>0</v>
      </c>
    </row>
    <row r="1495" spans="1:22" x14ac:dyDescent="0.25">
      <c r="A1495" s="11">
        <v>101060402</v>
      </c>
      <c r="B1495" s="11" t="s">
        <v>44</v>
      </c>
      <c r="C1495" s="41">
        <v>44860</v>
      </c>
      <c r="D1495" s="41">
        <v>44860</v>
      </c>
      <c r="E1495" s="11" t="s">
        <v>42</v>
      </c>
      <c r="F1495" s="11" t="s">
        <v>3096</v>
      </c>
      <c r="G1495" s="11">
        <v>107624</v>
      </c>
      <c r="H1495" s="11" t="s">
        <v>162</v>
      </c>
      <c r="J1495" s="11" t="s">
        <v>240</v>
      </c>
      <c r="K1495" s="11">
        <v>51010102</v>
      </c>
      <c r="L1495" s="11" t="s">
        <v>194</v>
      </c>
      <c r="M1495" s="11"/>
      <c r="N1495" s="11">
        <v>166.5</v>
      </c>
      <c r="O1495" s="42">
        <v>-166.5</v>
      </c>
      <c r="P1495" s="43" t="s">
        <v>4489</v>
      </c>
      <c r="Q1495" s="11">
        <v>877860.79</v>
      </c>
      <c r="R1495" s="11" t="s">
        <v>1032</v>
      </c>
      <c r="S1495" s="11" t="s">
        <v>106</v>
      </c>
      <c r="T1495" s="11">
        <v>0</v>
      </c>
      <c r="V1495" s="11" t="s">
        <v>241</v>
      </c>
    </row>
    <row r="1496" spans="1:22" x14ac:dyDescent="0.25">
      <c r="A1496" s="11">
        <v>101060402</v>
      </c>
      <c r="B1496" s="11" t="s">
        <v>44</v>
      </c>
      <c r="C1496" s="41">
        <v>44860</v>
      </c>
      <c r="D1496" s="41">
        <v>44860</v>
      </c>
      <c r="E1496" s="11" t="s">
        <v>42</v>
      </c>
      <c r="F1496" s="11" t="s">
        <v>988</v>
      </c>
      <c r="G1496" s="11">
        <v>107640</v>
      </c>
      <c r="H1496" s="11" t="s">
        <v>57</v>
      </c>
      <c r="K1496" s="11">
        <v>101060401</v>
      </c>
      <c r="L1496" s="11" t="s">
        <v>34</v>
      </c>
      <c r="M1496" s="11">
        <v>14.29</v>
      </c>
      <c r="N1496" s="11"/>
      <c r="O1496" s="42">
        <v>14.29</v>
      </c>
      <c r="P1496" s="43" t="s">
        <v>4481</v>
      </c>
      <c r="Q1496" s="11">
        <v>877875.08</v>
      </c>
      <c r="R1496" s="11" t="s">
        <v>3097</v>
      </c>
      <c r="S1496" s="11" t="s">
        <v>40</v>
      </c>
      <c r="T1496" s="11">
        <v>0</v>
      </c>
    </row>
    <row r="1497" spans="1:22" x14ac:dyDescent="0.25">
      <c r="A1497" s="11">
        <v>101060402</v>
      </c>
      <c r="B1497" s="11" t="s">
        <v>44</v>
      </c>
      <c r="C1497" s="41">
        <v>44861</v>
      </c>
      <c r="D1497" s="41">
        <v>44861</v>
      </c>
      <c r="E1497" s="11" t="s">
        <v>42</v>
      </c>
      <c r="F1497" s="11" t="s">
        <v>3098</v>
      </c>
      <c r="G1497" s="11">
        <v>107660</v>
      </c>
      <c r="H1497" s="11" t="s">
        <v>1810</v>
      </c>
      <c r="J1497" s="11" t="s">
        <v>240</v>
      </c>
      <c r="K1497" s="11">
        <v>51010102</v>
      </c>
      <c r="L1497" s="11" t="s">
        <v>194</v>
      </c>
      <c r="M1497" s="11"/>
      <c r="N1497" s="11">
        <v>810.94</v>
      </c>
      <c r="O1497" s="42">
        <v>-810.94</v>
      </c>
      <c r="P1497" s="43" t="s">
        <v>4489</v>
      </c>
      <c r="Q1497" s="11">
        <v>877064.14</v>
      </c>
      <c r="R1497" s="11" t="s">
        <v>3099</v>
      </c>
      <c r="S1497" s="11" t="s">
        <v>106</v>
      </c>
      <c r="T1497" s="11">
        <v>0</v>
      </c>
      <c r="V1497" s="11" t="s">
        <v>241</v>
      </c>
    </row>
    <row r="1498" spans="1:22" x14ac:dyDescent="0.25">
      <c r="A1498" s="11">
        <v>101060402</v>
      </c>
      <c r="B1498" s="11" t="s">
        <v>44</v>
      </c>
      <c r="C1498" s="41">
        <v>44861</v>
      </c>
      <c r="D1498" s="41">
        <v>44861</v>
      </c>
      <c r="E1498" s="11" t="s">
        <v>42</v>
      </c>
      <c r="F1498" s="11" t="s">
        <v>1023</v>
      </c>
      <c r="G1498" s="11">
        <v>107719</v>
      </c>
      <c r="H1498" s="11" t="s">
        <v>57</v>
      </c>
      <c r="K1498" s="11">
        <v>101060401</v>
      </c>
      <c r="L1498" s="11" t="s">
        <v>34</v>
      </c>
      <c r="M1498" s="11">
        <v>411</v>
      </c>
      <c r="N1498" s="11"/>
      <c r="O1498" s="42">
        <v>411</v>
      </c>
      <c r="P1498" s="43" t="s">
        <v>4481</v>
      </c>
      <c r="Q1498" s="11">
        <v>877475.14</v>
      </c>
      <c r="R1498" s="11" t="s">
        <v>1022</v>
      </c>
      <c r="S1498" s="11" t="s">
        <v>40</v>
      </c>
      <c r="T1498" s="11">
        <v>0</v>
      </c>
    </row>
    <row r="1499" spans="1:22" x14ac:dyDescent="0.25">
      <c r="A1499" s="11">
        <v>101060402</v>
      </c>
      <c r="B1499" s="11" t="s">
        <v>44</v>
      </c>
      <c r="C1499" s="41">
        <v>44861</v>
      </c>
      <c r="D1499" s="41">
        <v>44861</v>
      </c>
      <c r="E1499" s="11" t="s">
        <v>42</v>
      </c>
      <c r="F1499" s="11" t="s">
        <v>1035</v>
      </c>
      <c r="G1499" s="11">
        <v>107732</v>
      </c>
      <c r="H1499" s="11" t="s">
        <v>57</v>
      </c>
      <c r="K1499" s="11">
        <v>101060401</v>
      </c>
      <c r="L1499" s="11" t="s">
        <v>34</v>
      </c>
      <c r="M1499" s="11">
        <v>270.54000000000002</v>
      </c>
      <c r="N1499" s="11"/>
      <c r="O1499" s="42">
        <v>270.54000000000002</v>
      </c>
      <c r="P1499" s="43" t="s">
        <v>4481</v>
      </c>
      <c r="Q1499" s="11">
        <v>877745.68</v>
      </c>
      <c r="R1499" s="11" t="s">
        <v>1034</v>
      </c>
      <c r="S1499" s="11" t="s">
        <v>40</v>
      </c>
      <c r="T1499" s="11">
        <v>0</v>
      </c>
    </row>
    <row r="1500" spans="1:22" x14ac:dyDescent="0.25">
      <c r="A1500" s="11">
        <v>101060402</v>
      </c>
      <c r="B1500" s="11" t="s">
        <v>44</v>
      </c>
      <c r="C1500" s="41">
        <v>44861</v>
      </c>
      <c r="D1500" s="41">
        <v>44861</v>
      </c>
      <c r="E1500" s="11" t="s">
        <v>42</v>
      </c>
      <c r="F1500" s="11" t="s">
        <v>1039</v>
      </c>
      <c r="G1500" s="11">
        <v>107736</v>
      </c>
      <c r="H1500" s="11" t="s">
        <v>57</v>
      </c>
      <c r="K1500" s="11">
        <v>101060401</v>
      </c>
      <c r="L1500" s="11" t="s">
        <v>34</v>
      </c>
      <c r="M1500" s="11">
        <v>458.41</v>
      </c>
      <c r="N1500" s="11"/>
      <c r="O1500" s="42">
        <v>458.41</v>
      </c>
      <c r="P1500" s="43" t="s">
        <v>4481</v>
      </c>
      <c r="Q1500" s="11">
        <v>878204.09</v>
      </c>
      <c r="R1500" s="11" t="s">
        <v>3100</v>
      </c>
      <c r="S1500" s="11" t="s">
        <v>40</v>
      </c>
      <c r="T1500" s="11">
        <v>0</v>
      </c>
    </row>
    <row r="1501" spans="1:22" x14ac:dyDescent="0.25">
      <c r="A1501" s="11">
        <v>101060402</v>
      </c>
      <c r="B1501" s="11" t="s">
        <v>44</v>
      </c>
      <c r="C1501" s="41">
        <v>44861</v>
      </c>
      <c r="D1501" s="41">
        <v>44861</v>
      </c>
      <c r="E1501" s="11" t="s">
        <v>42</v>
      </c>
      <c r="F1501" s="11" t="s">
        <v>3101</v>
      </c>
      <c r="G1501" s="11">
        <v>107745</v>
      </c>
      <c r="H1501" s="11" t="s">
        <v>57</v>
      </c>
      <c r="K1501" s="11">
        <v>101060409</v>
      </c>
      <c r="L1501" s="11" t="s">
        <v>128</v>
      </c>
      <c r="M1501" s="11"/>
      <c r="N1501" s="11">
        <v>299.02</v>
      </c>
      <c r="O1501" s="42">
        <v>-299.02</v>
      </c>
      <c r="P1501" s="43" t="s">
        <v>4481</v>
      </c>
      <c r="Q1501" s="11">
        <v>877905.07</v>
      </c>
      <c r="R1501" s="11" t="s">
        <v>3102</v>
      </c>
      <c r="S1501" s="11" t="s">
        <v>106</v>
      </c>
      <c r="T1501" s="11">
        <v>0</v>
      </c>
    </row>
    <row r="1502" spans="1:22" x14ac:dyDescent="0.25">
      <c r="A1502" s="11">
        <v>101060402</v>
      </c>
      <c r="B1502" s="11" t="s">
        <v>44</v>
      </c>
      <c r="C1502" s="41">
        <v>44862</v>
      </c>
      <c r="D1502" s="41">
        <v>44862</v>
      </c>
      <c r="E1502" s="11" t="s">
        <v>42</v>
      </c>
      <c r="F1502" s="11" t="s">
        <v>3103</v>
      </c>
      <c r="G1502" s="11">
        <v>107779</v>
      </c>
      <c r="H1502" s="11" t="s">
        <v>1810</v>
      </c>
      <c r="J1502" s="11" t="s">
        <v>240</v>
      </c>
      <c r="K1502" s="11">
        <v>51010102</v>
      </c>
      <c r="L1502" s="11" t="s">
        <v>194</v>
      </c>
      <c r="M1502" s="11"/>
      <c r="N1502" s="11">
        <v>411</v>
      </c>
      <c r="O1502" s="42">
        <v>-411</v>
      </c>
      <c r="P1502" s="43" t="s">
        <v>4489</v>
      </c>
      <c r="Q1502" s="11">
        <v>877494.07</v>
      </c>
      <c r="R1502" s="11" t="s">
        <v>1024</v>
      </c>
      <c r="S1502" s="11" t="s">
        <v>106</v>
      </c>
      <c r="T1502" s="11">
        <v>0</v>
      </c>
      <c r="V1502" s="11" t="s">
        <v>241</v>
      </c>
    </row>
    <row r="1503" spans="1:22" x14ac:dyDescent="0.25">
      <c r="A1503" s="11">
        <v>101060402</v>
      </c>
      <c r="B1503" s="11" t="s">
        <v>44</v>
      </c>
      <c r="C1503" s="41">
        <v>44862</v>
      </c>
      <c r="D1503" s="41">
        <v>44862</v>
      </c>
      <c r="E1503" s="11" t="s">
        <v>42</v>
      </c>
      <c r="F1503" s="11" t="s">
        <v>3104</v>
      </c>
      <c r="G1503" s="11">
        <v>107781</v>
      </c>
      <c r="H1503" s="11" t="s">
        <v>47</v>
      </c>
      <c r="J1503" s="11" t="s">
        <v>240</v>
      </c>
      <c r="K1503" s="11">
        <v>51010102</v>
      </c>
      <c r="L1503" s="11" t="s">
        <v>194</v>
      </c>
      <c r="M1503" s="11"/>
      <c r="N1503" s="11">
        <v>1132.69</v>
      </c>
      <c r="O1503" s="42">
        <v>-1132.69</v>
      </c>
      <c r="P1503" s="43" t="s">
        <v>4489</v>
      </c>
      <c r="Q1503" s="11">
        <v>876361.38</v>
      </c>
      <c r="R1503" s="11" t="s">
        <v>3105</v>
      </c>
      <c r="S1503" s="11" t="s">
        <v>106</v>
      </c>
      <c r="T1503" s="11">
        <v>0</v>
      </c>
      <c r="V1503" s="11" t="s">
        <v>241</v>
      </c>
    </row>
    <row r="1504" spans="1:22" x14ac:dyDescent="0.25">
      <c r="A1504" s="11">
        <v>101060402</v>
      </c>
      <c r="B1504" s="11" t="s">
        <v>44</v>
      </c>
      <c r="C1504" s="41">
        <v>44862</v>
      </c>
      <c r="D1504" s="41">
        <v>44862</v>
      </c>
      <c r="E1504" s="11" t="s">
        <v>42</v>
      </c>
      <c r="F1504" s="11" t="s">
        <v>3106</v>
      </c>
      <c r="G1504" s="11">
        <v>107782</v>
      </c>
      <c r="H1504" s="11" t="s">
        <v>47</v>
      </c>
      <c r="J1504" s="11" t="s">
        <v>240</v>
      </c>
      <c r="K1504" s="11">
        <v>51010102</v>
      </c>
      <c r="L1504" s="11" t="s">
        <v>194</v>
      </c>
      <c r="M1504" s="11"/>
      <c r="N1504" s="11">
        <v>619.99</v>
      </c>
      <c r="O1504" s="42">
        <v>-619.99</v>
      </c>
      <c r="P1504" s="43" t="s">
        <v>4489</v>
      </c>
      <c r="Q1504" s="11">
        <v>875741.39</v>
      </c>
      <c r="R1504" s="11" t="s">
        <v>3107</v>
      </c>
      <c r="S1504" s="11" t="s">
        <v>106</v>
      </c>
      <c r="T1504" s="11">
        <v>0</v>
      </c>
      <c r="V1504" s="11" t="s">
        <v>241</v>
      </c>
    </row>
    <row r="1505" spans="1:22" x14ac:dyDescent="0.25">
      <c r="A1505" s="11">
        <v>101060402</v>
      </c>
      <c r="B1505" s="11" t="s">
        <v>44</v>
      </c>
      <c r="C1505" s="41">
        <v>44862</v>
      </c>
      <c r="D1505" s="41">
        <v>44862</v>
      </c>
      <c r="E1505" s="11" t="s">
        <v>42</v>
      </c>
      <c r="F1505" s="11" t="s">
        <v>3108</v>
      </c>
      <c r="G1505" s="11">
        <v>107783</v>
      </c>
      <c r="H1505" s="11" t="s">
        <v>141</v>
      </c>
      <c r="J1505" s="11" t="s">
        <v>240</v>
      </c>
      <c r="K1505" s="11">
        <v>51010102</v>
      </c>
      <c r="L1505" s="11" t="s">
        <v>194</v>
      </c>
      <c r="M1505" s="11"/>
      <c r="N1505" s="11">
        <v>3011.2</v>
      </c>
      <c r="O1505" s="42">
        <v>-3011.2</v>
      </c>
      <c r="P1505" s="43" t="s">
        <v>4489</v>
      </c>
      <c r="Q1505" s="11">
        <v>872730.19</v>
      </c>
      <c r="R1505" s="11" t="s">
        <v>3109</v>
      </c>
      <c r="S1505" s="11" t="s">
        <v>106</v>
      </c>
      <c r="T1505" s="11">
        <v>0</v>
      </c>
      <c r="V1505" s="11" t="s">
        <v>241</v>
      </c>
    </row>
    <row r="1506" spans="1:22" x14ac:dyDescent="0.25">
      <c r="A1506" s="11">
        <v>101060402</v>
      </c>
      <c r="B1506" s="11" t="s">
        <v>44</v>
      </c>
      <c r="C1506" s="41">
        <v>44862</v>
      </c>
      <c r="D1506" s="41">
        <v>44862</v>
      </c>
      <c r="E1506" s="11" t="s">
        <v>42</v>
      </c>
      <c r="F1506" s="11" t="s">
        <v>1081</v>
      </c>
      <c r="G1506" s="11">
        <v>107784</v>
      </c>
      <c r="H1506" s="11" t="s">
        <v>57</v>
      </c>
      <c r="K1506" s="11">
        <v>101060401</v>
      </c>
      <c r="L1506" s="11" t="s">
        <v>34</v>
      </c>
      <c r="M1506" s="11">
        <v>416.42</v>
      </c>
      <c r="N1506" s="11"/>
      <c r="O1506" s="42">
        <v>416.42</v>
      </c>
      <c r="P1506" s="43" t="s">
        <v>4481</v>
      </c>
      <c r="Q1506" s="11">
        <v>873146.61</v>
      </c>
      <c r="R1506" s="11" t="s">
        <v>3110</v>
      </c>
      <c r="S1506" s="11" t="s">
        <v>40</v>
      </c>
      <c r="T1506" s="11">
        <v>0</v>
      </c>
    </row>
    <row r="1507" spans="1:22" x14ac:dyDescent="0.25">
      <c r="A1507" s="11">
        <v>101060402</v>
      </c>
      <c r="B1507" s="11" t="s">
        <v>44</v>
      </c>
      <c r="C1507" s="41">
        <v>44862</v>
      </c>
      <c r="D1507" s="41">
        <v>44862</v>
      </c>
      <c r="E1507" s="11" t="s">
        <v>42</v>
      </c>
      <c r="F1507" s="11" t="s">
        <v>3111</v>
      </c>
      <c r="G1507" s="11">
        <v>107797</v>
      </c>
      <c r="H1507" s="11" t="s">
        <v>47</v>
      </c>
      <c r="J1507" s="11" t="s">
        <v>240</v>
      </c>
      <c r="K1507" s="11">
        <v>51010102</v>
      </c>
      <c r="L1507" s="11" t="s">
        <v>194</v>
      </c>
      <c r="M1507" s="11"/>
      <c r="N1507" s="11">
        <v>5229.21</v>
      </c>
      <c r="O1507" s="42">
        <v>-5229.21</v>
      </c>
      <c r="P1507" s="43" t="s">
        <v>4489</v>
      </c>
      <c r="Q1507" s="11">
        <v>867917.4</v>
      </c>
      <c r="R1507" s="11" t="s">
        <v>3112</v>
      </c>
      <c r="S1507" s="11" t="s">
        <v>106</v>
      </c>
      <c r="T1507" s="11">
        <v>0</v>
      </c>
      <c r="V1507" s="11" t="s">
        <v>241</v>
      </c>
    </row>
    <row r="1508" spans="1:22" x14ac:dyDescent="0.25">
      <c r="A1508" s="11">
        <v>101060402</v>
      </c>
      <c r="B1508" s="11" t="s">
        <v>44</v>
      </c>
      <c r="C1508" s="41">
        <v>44862</v>
      </c>
      <c r="D1508" s="41">
        <v>44862</v>
      </c>
      <c r="E1508" s="11" t="s">
        <v>42</v>
      </c>
      <c r="F1508" s="11" t="s">
        <v>1089</v>
      </c>
      <c r="G1508" s="11">
        <v>107807</v>
      </c>
      <c r="H1508" s="11" t="s">
        <v>57</v>
      </c>
      <c r="K1508" s="11">
        <v>101060401</v>
      </c>
      <c r="L1508" s="11" t="s">
        <v>34</v>
      </c>
      <c r="M1508" s="11"/>
      <c r="N1508" s="11">
        <v>392.34</v>
      </c>
      <c r="O1508" s="42">
        <v>-392.34</v>
      </c>
      <c r="P1508" s="43" t="s">
        <v>4481</v>
      </c>
      <c r="Q1508" s="11">
        <v>867525.06</v>
      </c>
      <c r="R1508" s="11" t="s">
        <v>1153</v>
      </c>
      <c r="S1508" s="11" t="s">
        <v>106</v>
      </c>
      <c r="T1508" s="11">
        <v>0</v>
      </c>
    </row>
    <row r="1509" spans="1:22" x14ac:dyDescent="0.25">
      <c r="A1509" s="11">
        <v>101060402</v>
      </c>
      <c r="B1509" s="11" t="s">
        <v>44</v>
      </c>
      <c r="C1509" s="41">
        <v>44865</v>
      </c>
      <c r="D1509" s="41">
        <v>44865</v>
      </c>
      <c r="E1509" s="11" t="s">
        <v>42</v>
      </c>
      <c r="F1509" s="11" t="s">
        <v>3113</v>
      </c>
      <c r="G1509" s="11">
        <v>107809</v>
      </c>
      <c r="H1509" s="11" t="s">
        <v>162</v>
      </c>
      <c r="J1509" s="11" t="s">
        <v>240</v>
      </c>
      <c r="K1509" s="11">
        <v>51010102</v>
      </c>
      <c r="L1509" s="11" t="s">
        <v>194</v>
      </c>
      <c r="M1509" s="11"/>
      <c r="N1509" s="11">
        <v>411.4</v>
      </c>
      <c r="O1509" s="42">
        <v>-411.4</v>
      </c>
      <c r="P1509" s="43" t="s">
        <v>4489</v>
      </c>
      <c r="Q1509" s="11">
        <v>867113.66</v>
      </c>
      <c r="R1509" s="11" t="s">
        <v>136</v>
      </c>
      <c r="S1509" s="11" t="s">
        <v>106</v>
      </c>
      <c r="T1509" s="11">
        <v>0</v>
      </c>
      <c r="V1509" s="11" t="s">
        <v>241</v>
      </c>
    </row>
    <row r="1510" spans="1:22" x14ac:dyDescent="0.25">
      <c r="A1510" s="11">
        <v>101060402</v>
      </c>
      <c r="B1510" s="11" t="s">
        <v>44</v>
      </c>
      <c r="C1510" s="41">
        <v>44865</v>
      </c>
      <c r="D1510" s="41">
        <v>44865</v>
      </c>
      <c r="E1510" s="11" t="s">
        <v>42</v>
      </c>
      <c r="F1510" s="11" t="s">
        <v>3114</v>
      </c>
      <c r="G1510" s="11">
        <v>107811</v>
      </c>
      <c r="H1510" s="11" t="s">
        <v>47</v>
      </c>
      <c r="J1510" s="11" t="s">
        <v>240</v>
      </c>
      <c r="K1510" s="11">
        <v>51010102</v>
      </c>
      <c r="L1510" s="11" t="s">
        <v>194</v>
      </c>
      <c r="M1510" s="11"/>
      <c r="N1510" s="11">
        <v>2317.87</v>
      </c>
      <c r="O1510" s="42">
        <v>-2317.87</v>
      </c>
      <c r="P1510" s="43" t="s">
        <v>4489</v>
      </c>
      <c r="Q1510" s="11">
        <v>864795.79</v>
      </c>
      <c r="R1510" s="11" t="s">
        <v>3115</v>
      </c>
      <c r="S1510" s="11" t="s">
        <v>106</v>
      </c>
      <c r="T1510" s="11">
        <v>0</v>
      </c>
      <c r="V1510" s="11" t="s">
        <v>241</v>
      </c>
    </row>
    <row r="1511" spans="1:22" x14ac:dyDescent="0.25">
      <c r="A1511" s="11">
        <v>101060402</v>
      </c>
      <c r="B1511" s="11" t="s">
        <v>44</v>
      </c>
      <c r="C1511" s="41">
        <v>44865</v>
      </c>
      <c r="D1511" s="41">
        <v>44865</v>
      </c>
      <c r="E1511" s="11" t="s">
        <v>42</v>
      </c>
      <c r="F1511" s="11" t="s">
        <v>3116</v>
      </c>
      <c r="G1511" s="11">
        <v>107824</v>
      </c>
      <c r="H1511" s="11" t="s">
        <v>47</v>
      </c>
      <c r="J1511" s="11" t="s">
        <v>240</v>
      </c>
      <c r="K1511" s="11">
        <v>51010102</v>
      </c>
      <c r="L1511" s="11" t="s">
        <v>194</v>
      </c>
      <c r="M1511" s="11"/>
      <c r="N1511" s="11">
        <v>51.5</v>
      </c>
      <c r="O1511" s="42">
        <v>-51.5</v>
      </c>
      <c r="P1511" s="43" t="s">
        <v>4489</v>
      </c>
      <c r="Q1511" s="11">
        <v>864744.29</v>
      </c>
      <c r="R1511" s="11" t="s">
        <v>274</v>
      </c>
      <c r="S1511" s="11" t="s">
        <v>106</v>
      </c>
      <c r="T1511" s="11">
        <v>0</v>
      </c>
      <c r="V1511" s="11" t="s">
        <v>241</v>
      </c>
    </row>
    <row r="1512" spans="1:22" x14ac:dyDescent="0.25">
      <c r="A1512" s="11">
        <v>101060402</v>
      </c>
      <c r="B1512" s="11" t="s">
        <v>44</v>
      </c>
      <c r="C1512" s="41">
        <v>44865</v>
      </c>
      <c r="D1512" s="41">
        <v>44865</v>
      </c>
      <c r="E1512" s="11" t="s">
        <v>42</v>
      </c>
      <c r="F1512" s="11" t="s">
        <v>3117</v>
      </c>
      <c r="G1512" s="11">
        <v>107825</v>
      </c>
      <c r="H1512" s="11" t="s">
        <v>47</v>
      </c>
      <c r="J1512" s="11" t="s">
        <v>240</v>
      </c>
      <c r="K1512" s="11">
        <v>51010102</v>
      </c>
      <c r="L1512" s="11" t="s">
        <v>194</v>
      </c>
      <c r="M1512" s="11"/>
      <c r="N1512" s="11">
        <v>1527.15</v>
      </c>
      <c r="O1512" s="42">
        <v>-1527.15</v>
      </c>
      <c r="P1512" s="43" t="s">
        <v>4489</v>
      </c>
      <c r="Q1512" s="11">
        <v>863217.14</v>
      </c>
      <c r="R1512" s="11" t="s">
        <v>3118</v>
      </c>
      <c r="S1512" s="11" t="s">
        <v>106</v>
      </c>
      <c r="T1512" s="11">
        <v>0</v>
      </c>
      <c r="V1512" s="11" t="s">
        <v>241</v>
      </c>
    </row>
    <row r="1513" spans="1:22" x14ac:dyDescent="0.25">
      <c r="A1513" s="11">
        <v>101060402</v>
      </c>
      <c r="B1513" s="11" t="s">
        <v>44</v>
      </c>
      <c r="C1513" s="41">
        <v>44865</v>
      </c>
      <c r="D1513" s="41">
        <v>44865</v>
      </c>
      <c r="E1513" s="11" t="s">
        <v>42</v>
      </c>
      <c r="F1513" s="11" t="s">
        <v>3119</v>
      </c>
      <c r="G1513" s="11">
        <v>107826</v>
      </c>
      <c r="H1513" s="11" t="s">
        <v>88</v>
      </c>
      <c r="J1513" s="11" t="s">
        <v>240</v>
      </c>
      <c r="K1513" s="11">
        <v>51010102</v>
      </c>
      <c r="L1513" s="11" t="s">
        <v>194</v>
      </c>
      <c r="M1513" s="11">
        <v>1527.15</v>
      </c>
      <c r="N1513" s="11"/>
      <c r="O1513" s="42">
        <v>1527.15</v>
      </c>
      <c r="P1513" s="43" t="s">
        <v>4489</v>
      </c>
      <c r="Q1513" s="11">
        <v>864744.29</v>
      </c>
      <c r="R1513" s="11" t="s">
        <v>3120</v>
      </c>
      <c r="S1513" s="11" t="s">
        <v>106</v>
      </c>
      <c r="T1513" s="11">
        <v>0</v>
      </c>
      <c r="V1513" s="11" t="s">
        <v>241</v>
      </c>
    </row>
    <row r="1514" spans="1:22" x14ac:dyDescent="0.25">
      <c r="A1514" s="11">
        <v>101060402</v>
      </c>
      <c r="B1514" s="11" t="s">
        <v>44</v>
      </c>
      <c r="C1514" s="41">
        <v>44865</v>
      </c>
      <c r="D1514" s="41">
        <v>44865</v>
      </c>
      <c r="E1514" s="11" t="s">
        <v>42</v>
      </c>
      <c r="F1514" s="11" t="s">
        <v>3121</v>
      </c>
      <c r="G1514" s="11">
        <v>107827</v>
      </c>
      <c r="H1514" s="11" t="s">
        <v>47</v>
      </c>
      <c r="J1514" s="11" t="s">
        <v>240</v>
      </c>
      <c r="K1514" s="11">
        <v>51010102</v>
      </c>
      <c r="L1514" s="11" t="s">
        <v>194</v>
      </c>
      <c r="M1514" s="11"/>
      <c r="N1514" s="11">
        <v>1542.71</v>
      </c>
      <c r="O1514" s="42">
        <v>-1542.71</v>
      </c>
      <c r="P1514" s="43" t="s">
        <v>4489</v>
      </c>
      <c r="Q1514" s="11">
        <v>863201.58</v>
      </c>
      <c r="R1514" s="11" t="s">
        <v>3122</v>
      </c>
      <c r="S1514" s="11" t="s">
        <v>106</v>
      </c>
      <c r="T1514" s="11">
        <v>0</v>
      </c>
      <c r="V1514" s="11" t="s">
        <v>241</v>
      </c>
    </row>
    <row r="1515" spans="1:22" x14ac:dyDescent="0.25">
      <c r="A1515" s="11">
        <v>101060402</v>
      </c>
      <c r="B1515" s="11" t="s">
        <v>44</v>
      </c>
      <c r="C1515" s="41">
        <v>44865</v>
      </c>
      <c r="D1515" s="41">
        <v>44865</v>
      </c>
      <c r="E1515" s="11" t="s">
        <v>42</v>
      </c>
      <c r="F1515" s="11" t="s">
        <v>3123</v>
      </c>
      <c r="G1515" s="11">
        <v>107843</v>
      </c>
      <c r="H1515" s="11" t="s">
        <v>47</v>
      </c>
      <c r="J1515" s="11" t="s">
        <v>240</v>
      </c>
      <c r="K1515" s="11">
        <v>51010102</v>
      </c>
      <c r="L1515" s="11" t="s">
        <v>194</v>
      </c>
      <c r="M1515" s="11"/>
      <c r="N1515" s="11">
        <v>20.62</v>
      </c>
      <c r="O1515" s="42">
        <v>-20.62</v>
      </c>
      <c r="P1515" s="43" t="s">
        <v>4489</v>
      </c>
      <c r="Q1515" s="11">
        <v>863180.96</v>
      </c>
      <c r="R1515" s="11" t="s">
        <v>3124</v>
      </c>
      <c r="S1515" s="11" t="s">
        <v>106</v>
      </c>
      <c r="T1515" s="11">
        <v>0</v>
      </c>
      <c r="V1515" s="11" t="s">
        <v>241</v>
      </c>
    </row>
    <row r="1516" spans="1:22" x14ac:dyDescent="0.25">
      <c r="A1516" s="11">
        <v>101060402</v>
      </c>
      <c r="B1516" s="11" t="s">
        <v>44</v>
      </c>
      <c r="C1516" s="41">
        <v>44865</v>
      </c>
      <c r="D1516" s="41">
        <v>44865</v>
      </c>
      <c r="E1516" s="11" t="s">
        <v>42</v>
      </c>
      <c r="F1516" s="11" t="s">
        <v>3125</v>
      </c>
      <c r="G1516" s="11">
        <v>107844</v>
      </c>
      <c r="H1516" s="11" t="s">
        <v>47</v>
      </c>
      <c r="J1516" s="11" t="s">
        <v>240</v>
      </c>
      <c r="K1516" s="11">
        <v>51010102</v>
      </c>
      <c r="L1516" s="11" t="s">
        <v>194</v>
      </c>
      <c r="M1516" s="11"/>
      <c r="N1516" s="11">
        <v>214.95</v>
      </c>
      <c r="O1516" s="42">
        <v>-214.95</v>
      </c>
      <c r="P1516" s="43" t="s">
        <v>4489</v>
      </c>
      <c r="Q1516" s="11">
        <v>862966.01</v>
      </c>
      <c r="R1516" s="11" t="s">
        <v>3126</v>
      </c>
      <c r="S1516" s="11" t="s">
        <v>106</v>
      </c>
      <c r="T1516" s="11">
        <v>0</v>
      </c>
      <c r="V1516" s="11" t="s">
        <v>241</v>
      </c>
    </row>
    <row r="1517" spans="1:22" x14ac:dyDescent="0.25">
      <c r="A1517" s="11">
        <v>101060402</v>
      </c>
      <c r="B1517" s="11" t="s">
        <v>44</v>
      </c>
      <c r="C1517" s="41">
        <v>44865</v>
      </c>
      <c r="D1517" s="41">
        <v>44865</v>
      </c>
      <c r="E1517" s="11" t="s">
        <v>42</v>
      </c>
      <c r="F1517" s="11" t="s">
        <v>3127</v>
      </c>
      <c r="G1517" s="11">
        <v>107845</v>
      </c>
      <c r="H1517" s="11" t="s">
        <v>47</v>
      </c>
      <c r="J1517" s="11" t="s">
        <v>240</v>
      </c>
      <c r="K1517" s="11">
        <v>51010102</v>
      </c>
      <c r="L1517" s="11" t="s">
        <v>194</v>
      </c>
      <c r="M1517" s="11"/>
      <c r="N1517" s="11">
        <v>51.5</v>
      </c>
      <c r="O1517" s="42">
        <v>-51.5</v>
      </c>
      <c r="P1517" s="43" t="s">
        <v>4489</v>
      </c>
      <c r="Q1517" s="11">
        <v>862914.51</v>
      </c>
      <c r="R1517" s="11" t="s">
        <v>274</v>
      </c>
      <c r="S1517" s="11" t="s">
        <v>106</v>
      </c>
      <c r="T1517" s="11">
        <v>0</v>
      </c>
      <c r="V1517" s="11" t="s">
        <v>241</v>
      </c>
    </row>
    <row r="1518" spans="1:22" x14ac:dyDescent="0.25">
      <c r="A1518" s="11">
        <v>101060402</v>
      </c>
      <c r="B1518" s="11" t="s">
        <v>44</v>
      </c>
      <c r="C1518" s="41">
        <v>44865</v>
      </c>
      <c r="D1518" s="41">
        <v>44865</v>
      </c>
      <c r="E1518" s="11" t="s">
        <v>42</v>
      </c>
      <c r="F1518" s="11" t="s">
        <v>3128</v>
      </c>
      <c r="G1518" s="11">
        <v>107846</v>
      </c>
      <c r="H1518" s="11" t="s">
        <v>47</v>
      </c>
      <c r="J1518" s="11" t="s">
        <v>240</v>
      </c>
      <c r="K1518" s="11">
        <v>51010102</v>
      </c>
      <c r="L1518" s="11" t="s">
        <v>194</v>
      </c>
      <c r="M1518" s="11"/>
      <c r="N1518" s="11">
        <v>378.7</v>
      </c>
      <c r="O1518" s="42">
        <v>-378.7</v>
      </c>
      <c r="P1518" s="43" t="s">
        <v>4489</v>
      </c>
      <c r="Q1518" s="11">
        <v>862535.81</v>
      </c>
      <c r="R1518" s="11" t="s">
        <v>254</v>
      </c>
      <c r="S1518" s="11" t="s">
        <v>106</v>
      </c>
      <c r="T1518" s="11">
        <v>0</v>
      </c>
      <c r="V1518" s="11" t="s">
        <v>241</v>
      </c>
    </row>
    <row r="1519" spans="1:22" x14ac:dyDescent="0.25">
      <c r="A1519" s="11">
        <v>101060402</v>
      </c>
      <c r="B1519" s="11" t="s">
        <v>44</v>
      </c>
      <c r="C1519" s="41">
        <v>44865</v>
      </c>
      <c r="D1519" s="41">
        <v>44865</v>
      </c>
      <c r="E1519" s="11" t="s">
        <v>42</v>
      </c>
      <c r="F1519" s="11" t="s">
        <v>1127</v>
      </c>
      <c r="G1519" s="11">
        <v>107851</v>
      </c>
      <c r="H1519" s="11" t="s">
        <v>1128</v>
      </c>
      <c r="J1519" s="11" t="s">
        <v>240</v>
      </c>
      <c r="K1519" s="11">
        <v>51010102</v>
      </c>
      <c r="L1519" s="11" t="s">
        <v>194</v>
      </c>
      <c r="M1519" s="11"/>
      <c r="N1519" s="11">
        <v>39.76</v>
      </c>
      <c r="O1519" s="42">
        <v>-39.76</v>
      </c>
      <c r="P1519" s="43" t="s">
        <v>4489</v>
      </c>
      <c r="Q1519" s="11">
        <v>862496.05</v>
      </c>
      <c r="R1519" s="11" t="s">
        <v>313</v>
      </c>
      <c r="S1519" s="11" t="s">
        <v>40</v>
      </c>
      <c r="T1519" s="11">
        <v>0</v>
      </c>
      <c r="V1519" s="11" t="s">
        <v>241</v>
      </c>
    </row>
    <row r="1520" spans="1:22" x14ac:dyDescent="0.25">
      <c r="A1520" s="11">
        <v>101060402</v>
      </c>
      <c r="B1520" s="11" t="s">
        <v>44</v>
      </c>
      <c r="C1520" s="41">
        <v>44865</v>
      </c>
      <c r="D1520" s="41">
        <v>44865</v>
      </c>
      <c r="E1520" s="11" t="s">
        <v>42</v>
      </c>
      <c r="F1520" s="11" t="s">
        <v>1130</v>
      </c>
      <c r="G1520" s="11">
        <v>107853</v>
      </c>
      <c r="H1520" s="11" t="s">
        <v>1131</v>
      </c>
      <c r="J1520" s="11" t="s">
        <v>240</v>
      </c>
      <c r="K1520" s="11" t="s">
        <v>1132</v>
      </c>
      <c r="L1520" s="11" t="s">
        <v>1133</v>
      </c>
      <c r="M1520" s="11">
        <v>39.76</v>
      </c>
      <c r="N1520" s="11"/>
      <c r="O1520" s="42">
        <v>39.76</v>
      </c>
      <c r="P1520" s="43" t="s">
        <v>4488</v>
      </c>
      <c r="Q1520" s="11">
        <v>862535.81</v>
      </c>
      <c r="R1520" s="11" t="s">
        <v>3129</v>
      </c>
      <c r="S1520" s="11" t="s">
        <v>69</v>
      </c>
      <c r="T1520" s="11">
        <v>0</v>
      </c>
      <c r="V1520" s="11" t="s">
        <v>241</v>
      </c>
    </row>
    <row r="1521" spans="1:22" x14ac:dyDescent="0.25">
      <c r="A1521" s="11">
        <v>101060402</v>
      </c>
      <c r="B1521" s="11" t="s">
        <v>44</v>
      </c>
      <c r="C1521" s="41">
        <v>44865</v>
      </c>
      <c r="D1521" s="41">
        <v>44865</v>
      </c>
      <c r="E1521" s="11" t="s">
        <v>42</v>
      </c>
      <c r="F1521" s="11" t="s">
        <v>1135</v>
      </c>
      <c r="G1521" s="11">
        <v>107854</v>
      </c>
      <c r="H1521" s="11" t="s">
        <v>1128</v>
      </c>
      <c r="J1521" s="11" t="s">
        <v>240</v>
      </c>
      <c r="K1521" s="11">
        <v>51010102</v>
      </c>
      <c r="L1521" s="11" t="s">
        <v>194</v>
      </c>
      <c r="M1521" s="11"/>
      <c r="N1521" s="11">
        <v>39.76</v>
      </c>
      <c r="O1521" s="42">
        <v>-39.76</v>
      </c>
      <c r="P1521" s="43" t="s">
        <v>4489</v>
      </c>
      <c r="Q1521" s="11">
        <v>862496.05</v>
      </c>
      <c r="R1521" s="11" t="s">
        <v>313</v>
      </c>
      <c r="S1521" s="11" t="s">
        <v>40</v>
      </c>
      <c r="T1521" s="11">
        <v>0</v>
      </c>
      <c r="V1521" s="11" t="s">
        <v>241</v>
      </c>
    </row>
    <row r="1522" spans="1:22" x14ac:dyDescent="0.25">
      <c r="A1522" s="11">
        <v>101060402</v>
      </c>
      <c r="B1522" s="11" t="s">
        <v>44</v>
      </c>
      <c r="C1522" s="41">
        <v>44865</v>
      </c>
      <c r="D1522" s="41">
        <v>44865</v>
      </c>
      <c r="E1522" s="11" t="s">
        <v>42</v>
      </c>
      <c r="F1522" s="11" t="s">
        <v>1138</v>
      </c>
      <c r="G1522" s="11">
        <v>107857</v>
      </c>
      <c r="H1522" s="11" t="s">
        <v>57</v>
      </c>
      <c r="K1522" s="11">
        <v>101060401</v>
      </c>
      <c r="L1522" s="11" t="s">
        <v>34</v>
      </c>
      <c r="M1522" s="11"/>
      <c r="N1522" s="11">
        <v>103.07</v>
      </c>
      <c r="O1522" s="42">
        <v>-103.07</v>
      </c>
      <c r="P1522" s="43" t="s">
        <v>4481</v>
      </c>
      <c r="Q1522" s="11">
        <v>862392.98</v>
      </c>
      <c r="R1522" s="11" t="s">
        <v>3130</v>
      </c>
      <c r="S1522" s="11" t="s">
        <v>106</v>
      </c>
      <c r="T1522" s="11">
        <v>0</v>
      </c>
    </row>
    <row r="1523" spans="1:22" x14ac:dyDescent="0.25">
      <c r="A1523" s="11">
        <v>101060402</v>
      </c>
      <c r="B1523" s="11" t="s">
        <v>44</v>
      </c>
      <c r="C1523" s="41">
        <v>44865</v>
      </c>
      <c r="D1523" s="41">
        <v>44865</v>
      </c>
      <c r="E1523" s="11" t="s">
        <v>42</v>
      </c>
      <c r="F1523" s="11" t="s">
        <v>1148</v>
      </c>
      <c r="G1523" s="11">
        <v>107891</v>
      </c>
      <c r="H1523" s="11" t="s">
        <v>57</v>
      </c>
      <c r="K1523" s="11">
        <v>101060401</v>
      </c>
      <c r="L1523" s="11" t="s">
        <v>34</v>
      </c>
      <c r="M1523" s="11">
        <v>42.24</v>
      </c>
      <c r="N1523" s="11"/>
      <c r="O1523" s="42">
        <v>42.24</v>
      </c>
      <c r="P1523" s="43" t="s">
        <v>4481</v>
      </c>
      <c r="Q1523" s="11">
        <v>862435.22</v>
      </c>
      <c r="R1523" s="11" t="s">
        <v>1106</v>
      </c>
      <c r="S1523" s="11" t="s">
        <v>40</v>
      </c>
      <c r="T1523" s="11">
        <v>0</v>
      </c>
    </row>
    <row r="1524" spans="1:22" x14ac:dyDescent="0.25">
      <c r="A1524" s="11">
        <v>101060402</v>
      </c>
      <c r="B1524" s="11" t="s">
        <v>44</v>
      </c>
      <c r="C1524" s="41">
        <v>44865</v>
      </c>
      <c r="D1524" s="41">
        <v>44865</v>
      </c>
      <c r="E1524" s="11" t="s">
        <v>42</v>
      </c>
      <c r="F1524" s="11" t="s">
        <v>3131</v>
      </c>
      <c r="G1524" s="11">
        <v>107892</v>
      </c>
      <c r="H1524" s="11" t="s">
        <v>297</v>
      </c>
      <c r="J1524" s="11" t="s">
        <v>38</v>
      </c>
      <c r="K1524" s="11">
        <v>51010102</v>
      </c>
      <c r="L1524" s="11" t="s">
        <v>194</v>
      </c>
      <c r="M1524" s="11"/>
      <c r="N1524" s="11">
        <v>2985.3</v>
      </c>
      <c r="O1524" s="42">
        <v>-2985.3</v>
      </c>
      <c r="P1524" s="43" t="s">
        <v>4489</v>
      </c>
      <c r="Q1524" s="11">
        <v>859449.92</v>
      </c>
      <c r="R1524" s="11" t="s">
        <v>3132</v>
      </c>
      <c r="S1524" s="11" t="s">
        <v>106</v>
      </c>
      <c r="T1524" s="11">
        <v>0</v>
      </c>
      <c r="V1524" s="11" t="s">
        <v>41</v>
      </c>
    </row>
    <row r="1525" spans="1:22" x14ac:dyDescent="0.25">
      <c r="A1525" s="11">
        <v>101060402</v>
      </c>
      <c r="B1525" s="11" t="s">
        <v>44</v>
      </c>
      <c r="C1525" s="41">
        <v>44865</v>
      </c>
      <c r="D1525" s="41">
        <v>44865</v>
      </c>
      <c r="E1525" s="11" t="s">
        <v>42</v>
      </c>
      <c r="F1525" s="11" t="s">
        <v>3131</v>
      </c>
      <c r="G1525" s="11">
        <v>107892</v>
      </c>
      <c r="H1525" s="11" t="s">
        <v>297</v>
      </c>
      <c r="J1525" s="11" t="s">
        <v>240</v>
      </c>
      <c r="K1525" s="11">
        <v>51010102</v>
      </c>
      <c r="L1525" s="11" t="s">
        <v>194</v>
      </c>
      <c r="M1525" s="11"/>
      <c r="N1525" s="11">
        <v>568.26</v>
      </c>
      <c r="O1525" s="42">
        <v>-568.26</v>
      </c>
      <c r="P1525" s="43" t="s">
        <v>4489</v>
      </c>
      <c r="Q1525" s="11">
        <v>858881.66</v>
      </c>
      <c r="R1525" s="11" t="s">
        <v>3133</v>
      </c>
      <c r="S1525" s="11" t="s">
        <v>106</v>
      </c>
      <c r="T1525" s="11">
        <v>0</v>
      </c>
      <c r="V1525" s="11" t="s">
        <v>241</v>
      </c>
    </row>
    <row r="1526" spans="1:22" x14ac:dyDescent="0.25">
      <c r="A1526" s="11">
        <v>101060402</v>
      </c>
      <c r="B1526" s="11" t="s">
        <v>44</v>
      </c>
      <c r="C1526" s="41">
        <v>44866</v>
      </c>
      <c r="D1526" s="41">
        <v>44866</v>
      </c>
      <c r="E1526" s="11" t="s">
        <v>42</v>
      </c>
      <c r="F1526" s="11" t="s">
        <v>1165</v>
      </c>
      <c r="G1526" s="11">
        <v>107951</v>
      </c>
      <c r="H1526" s="11" t="s">
        <v>57</v>
      </c>
      <c r="K1526" s="11">
        <v>101060401</v>
      </c>
      <c r="L1526" s="11" t="s">
        <v>34</v>
      </c>
      <c r="M1526" s="11"/>
      <c r="N1526" s="11">
        <v>3570.19</v>
      </c>
      <c r="O1526" s="42">
        <v>-3570.19</v>
      </c>
      <c r="P1526" s="43" t="s">
        <v>4481</v>
      </c>
      <c r="Q1526" s="11">
        <v>855311.47</v>
      </c>
      <c r="R1526" s="11" t="s">
        <v>3134</v>
      </c>
      <c r="S1526" s="11" t="s">
        <v>106</v>
      </c>
      <c r="T1526" s="11">
        <v>0</v>
      </c>
    </row>
    <row r="1527" spans="1:22" x14ac:dyDescent="0.25">
      <c r="A1527" s="11">
        <v>101060402</v>
      </c>
      <c r="B1527" s="11" t="s">
        <v>44</v>
      </c>
      <c r="C1527" s="41">
        <v>44866</v>
      </c>
      <c r="D1527" s="41">
        <v>44866</v>
      </c>
      <c r="E1527" s="11" t="s">
        <v>42</v>
      </c>
      <c r="F1527" s="11" t="s">
        <v>3135</v>
      </c>
      <c r="G1527" s="11">
        <v>107953</v>
      </c>
      <c r="H1527" s="11" t="s">
        <v>165</v>
      </c>
      <c r="J1527" s="11" t="s">
        <v>240</v>
      </c>
      <c r="K1527" s="11">
        <v>51010102</v>
      </c>
      <c r="L1527" s="11" t="s">
        <v>194</v>
      </c>
      <c r="M1527" s="11"/>
      <c r="N1527" s="11">
        <v>1364.56</v>
      </c>
      <c r="O1527" s="42">
        <v>-1364.56</v>
      </c>
      <c r="P1527" s="43" t="s">
        <v>4489</v>
      </c>
      <c r="Q1527" s="11">
        <v>853946.91</v>
      </c>
      <c r="R1527" s="11" t="s">
        <v>3136</v>
      </c>
      <c r="S1527" s="11" t="s">
        <v>106</v>
      </c>
      <c r="T1527" s="11">
        <v>0</v>
      </c>
      <c r="V1527" s="11" t="s">
        <v>241</v>
      </c>
    </row>
    <row r="1528" spans="1:22" x14ac:dyDescent="0.25">
      <c r="A1528" s="11">
        <v>101060402</v>
      </c>
      <c r="B1528" s="11" t="s">
        <v>44</v>
      </c>
      <c r="C1528" s="41">
        <v>44866</v>
      </c>
      <c r="D1528" s="41">
        <v>44866</v>
      </c>
      <c r="E1528" s="11" t="s">
        <v>42</v>
      </c>
      <c r="F1528" s="11" t="s">
        <v>1178</v>
      </c>
      <c r="G1528" s="11">
        <v>107982</v>
      </c>
      <c r="H1528" s="11" t="s">
        <v>57</v>
      </c>
      <c r="K1528" s="11">
        <v>101060401</v>
      </c>
      <c r="L1528" s="11" t="s">
        <v>34</v>
      </c>
      <c r="M1528" s="11">
        <v>103.87</v>
      </c>
      <c r="N1528" s="11"/>
      <c r="O1528" s="42">
        <v>103.87</v>
      </c>
      <c r="P1528" s="43" t="s">
        <v>4481</v>
      </c>
      <c r="Q1528" s="11">
        <v>854050.78</v>
      </c>
      <c r="R1528" s="11" t="s">
        <v>3137</v>
      </c>
      <c r="S1528" s="11" t="s">
        <v>40</v>
      </c>
      <c r="T1528" s="11">
        <v>0</v>
      </c>
    </row>
    <row r="1529" spans="1:22" x14ac:dyDescent="0.25">
      <c r="A1529" s="11">
        <v>101060402</v>
      </c>
      <c r="B1529" s="11" t="s">
        <v>44</v>
      </c>
      <c r="C1529" s="41">
        <v>44866</v>
      </c>
      <c r="D1529" s="41">
        <v>44866</v>
      </c>
      <c r="E1529" s="11" t="s">
        <v>42</v>
      </c>
      <c r="F1529" s="11" t="s">
        <v>3138</v>
      </c>
      <c r="G1529" s="11">
        <v>108034</v>
      </c>
      <c r="H1529" s="11" t="s">
        <v>162</v>
      </c>
      <c r="J1529" s="11" t="s">
        <v>240</v>
      </c>
      <c r="K1529" s="11">
        <v>51010102</v>
      </c>
      <c r="L1529" s="11" t="s">
        <v>194</v>
      </c>
      <c r="M1529" s="11"/>
      <c r="N1529" s="11">
        <v>7264.09</v>
      </c>
      <c r="O1529" s="42">
        <v>-7264.09</v>
      </c>
      <c r="P1529" s="43" t="s">
        <v>4489</v>
      </c>
      <c r="Q1529" s="11">
        <v>846786.69</v>
      </c>
      <c r="R1529" s="11" t="s">
        <v>3139</v>
      </c>
      <c r="S1529" s="11" t="s">
        <v>106</v>
      </c>
      <c r="T1529" s="11">
        <v>0</v>
      </c>
      <c r="V1529" s="11" t="s">
        <v>241</v>
      </c>
    </row>
    <row r="1530" spans="1:22" x14ac:dyDescent="0.25">
      <c r="A1530" s="11">
        <v>101060402</v>
      </c>
      <c r="B1530" s="11" t="s">
        <v>44</v>
      </c>
      <c r="C1530" s="41">
        <v>44866</v>
      </c>
      <c r="D1530" s="41">
        <v>44866</v>
      </c>
      <c r="E1530" s="11" t="s">
        <v>42</v>
      </c>
      <c r="F1530" s="11" t="s">
        <v>3138</v>
      </c>
      <c r="G1530" s="11">
        <v>108034</v>
      </c>
      <c r="H1530" s="11" t="s">
        <v>162</v>
      </c>
      <c r="J1530" s="11" t="s">
        <v>240</v>
      </c>
      <c r="K1530" s="11">
        <v>51010102</v>
      </c>
      <c r="L1530" s="11" t="s">
        <v>194</v>
      </c>
      <c r="M1530" s="11"/>
      <c r="N1530" s="11">
        <v>72.290000000000006</v>
      </c>
      <c r="O1530" s="42">
        <v>-72.290000000000006</v>
      </c>
      <c r="P1530" s="43" t="s">
        <v>4489</v>
      </c>
      <c r="Q1530" s="11">
        <v>846714.4</v>
      </c>
      <c r="R1530" s="11" t="s">
        <v>3140</v>
      </c>
      <c r="S1530" s="11" t="s">
        <v>106</v>
      </c>
      <c r="T1530" s="11">
        <v>0</v>
      </c>
      <c r="V1530" s="11" t="s">
        <v>241</v>
      </c>
    </row>
    <row r="1531" spans="1:22" x14ac:dyDescent="0.25">
      <c r="A1531" s="11">
        <v>101060402</v>
      </c>
      <c r="B1531" s="11" t="s">
        <v>44</v>
      </c>
      <c r="C1531" s="41">
        <v>44866</v>
      </c>
      <c r="D1531" s="41">
        <v>44866</v>
      </c>
      <c r="E1531" s="11" t="s">
        <v>36</v>
      </c>
      <c r="F1531" s="11" t="s">
        <v>3141</v>
      </c>
      <c r="G1531" s="11">
        <v>108045</v>
      </c>
      <c r="H1531" s="11" t="s">
        <v>190</v>
      </c>
      <c r="J1531" s="11" t="s">
        <v>240</v>
      </c>
      <c r="K1531" s="11">
        <v>51010102</v>
      </c>
      <c r="L1531" s="11" t="s">
        <v>194</v>
      </c>
      <c r="M1531" s="11">
        <v>407.78</v>
      </c>
      <c r="N1531" s="11"/>
      <c r="O1531" s="42">
        <v>407.78</v>
      </c>
      <c r="P1531" s="43" t="s">
        <v>4489</v>
      </c>
      <c r="Q1531" s="11">
        <v>847122.18</v>
      </c>
      <c r="R1531" s="11" t="s">
        <v>3142</v>
      </c>
      <c r="S1531" s="11" t="s">
        <v>106</v>
      </c>
      <c r="T1531" s="11">
        <v>0</v>
      </c>
      <c r="V1531" s="11" t="s">
        <v>241</v>
      </c>
    </row>
    <row r="1532" spans="1:22" x14ac:dyDescent="0.25">
      <c r="A1532" s="11">
        <v>101060402</v>
      </c>
      <c r="B1532" s="11" t="s">
        <v>44</v>
      </c>
      <c r="C1532" s="41">
        <v>44867</v>
      </c>
      <c r="D1532" s="41">
        <v>44867</v>
      </c>
      <c r="E1532" s="11" t="s">
        <v>42</v>
      </c>
      <c r="F1532" s="11" t="s">
        <v>3143</v>
      </c>
      <c r="G1532" s="11">
        <v>108054</v>
      </c>
      <c r="H1532" s="11" t="s">
        <v>49</v>
      </c>
      <c r="J1532" s="11" t="s">
        <v>240</v>
      </c>
      <c r="K1532" s="11">
        <v>51010102</v>
      </c>
      <c r="L1532" s="11" t="s">
        <v>194</v>
      </c>
      <c r="M1532" s="11"/>
      <c r="N1532" s="11">
        <v>2386.44</v>
      </c>
      <c r="O1532" s="42">
        <v>-2386.44</v>
      </c>
      <c r="P1532" s="43" t="s">
        <v>4489</v>
      </c>
      <c r="Q1532" s="11">
        <v>844735.74</v>
      </c>
      <c r="R1532" s="11" t="s">
        <v>3144</v>
      </c>
      <c r="S1532" s="11" t="s">
        <v>40</v>
      </c>
      <c r="T1532" s="11">
        <v>0</v>
      </c>
      <c r="V1532" s="11" t="s">
        <v>241</v>
      </c>
    </row>
    <row r="1533" spans="1:22" x14ac:dyDescent="0.25">
      <c r="A1533" s="11">
        <v>101060402</v>
      </c>
      <c r="B1533" s="11" t="s">
        <v>44</v>
      </c>
      <c r="C1533" s="41">
        <v>44867</v>
      </c>
      <c r="D1533" s="41">
        <v>44867</v>
      </c>
      <c r="E1533" s="11" t="s">
        <v>42</v>
      </c>
      <c r="F1533" s="11" t="s">
        <v>1204</v>
      </c>
      <c r="G1533" s="11">
        <v>108067</v>
      </c>
      <c r="H1533" s="11" t="s">
        <v>84</v>
      </c>
      <c r="J1533" s="11" t="s">
        <v>240</v>
      </c>
      <c r="K1533" s="11">
        <v>51010102</v>
      </c>
      <c r="L1533" s="11" t="s">
        <v>194</v>
      </c>
      <c r="M1533" s="11"/>
      <c r="N1533" s="11">
        <v>13.92</v>
      </c>
      <c r="O1533" s="42">
        <v>-13.92</v>
      </c>
      <c r="P1533" s="43" t="s">
        <v>4489</v>
      </c>
      <c r="Q1533" s="11">
        <v>844721.82</v>
      </c>
      <c r="R1533" s="11" t="s">
        <v>3145</v>
      </c>
      <c r="S1533" s="11" t="s">
        <v>40</v>
      </c>
      <c r="T1533" s="11">
        <v>0</v>
      </c>
      <c r="V1533" s="11" t="s">
        <v>241</v>
      </c>
    </row>
    <row r="1534" spans="1:22" x14ac:dyDescent="0.25">
      <c r="A1534" s="11">
        <v>101060402</v>
      </c>
      <c r="B1534" s="11" t="s">
        <v>44</v>
      </c>
      <c r="C1534" s="41">
        <v>44867</v>
      </c>
      <c r="D1534" s="41">
        <v>44867</v>
      </c>
      <c r="E1534" s="11" t="s">
        <v>42</v>
      </c>
      <c r="F1534" s="11" t="s">
        <v>3146</v>
      </c>
      <c r="G1534" s="11">
        <v>108077</v>
      </c>
      <c r="H1534" s="11" t="s">
        <v>47</v>
      </c>
      <c r="J1534" s="11" t="s">
        <v>240</v>
      </c>
      <c r="K1534" s="11">
        <v>51010102</v>
      </c>
      <c r="L1534" s="11" t="s">
        <v>194</v>
      </c>
      <c r="M1534" s="11"/>
      <c r="N1534" s="11">
        <v>2351</v>
      </c>
      <c r="O1534" s="42">
        <v>-2351</v>
      </c>
      <c r="P1534" s="43" t="s">
        <v>4489</v>
      </c>
      <c r="Q1534" s="11">
        <v>842370.82</v>
      </c>
      <c r="R1534" s="11" t="s">
        <v>3147</v>
      </c>
      <c r="S1534" s="11" t="s">
        <v>106</v>
      </c>
      <c r="T1534" s="11">
        <v>0</v>
      </c>
      <c r="V1534" s="11" t="s">
        <v>241</v>
      </c>
    </row>
    <row r="1535" spans="1:22" x14ac:dyDescent="0.25">
      <c r="A1535" s="11">
        <v>101060402</v>
      </c>
      <c r="B1535" s="11" t="s">
        <v>44</v>
      </c>
      <c r="C1535" s="41">
        <v>44867</v>
      </c>
      <c r="D1535" s="41">
        <v>44867</v>
      </c>
      <c r="E1535" s="11" t="s">
        <v>42</v>
      </c>
      <c r="F1535" s="11" t="s">
        <v>3148</v>
      </c>
      <c r="G1535" s="11">
        <v>108078</v>
      </c>
      <c r="H1535" s="11" t="s">
        <v>47</v>
      </c>
      <c r="J1535" s="11" t="s">
        <v>240</v>
      </c>
      <c r="K1535" s="11">
        <v>51010102</v>
      </c>
      <c r="L1535" s="11" t="s">
        <v>194</v>
      </c>
      <c r="M1535" s="11"/>
      <c r="N1535" s="11">
        <v>1105.21</v>
      </c>
      <c r="O1535" s="42">
        <v>-1105.21</v>
      </c>
      <c r="P1535" s="43" t="s">
        <v>4489</v>
      </c>
      <c r="Q1535" s="11">
        <v>841265.61</v>
      </c>
      <c r="R1535" s="11" t="s">
        <v>3149</v>
      </c>
      <c r="S1535" s="11" t="s">
        <v>106</v>
      </c>
      <c r="T1535" s="11">
        <v>0</v>
      </c>
      <c r="V1535" s="11" t="s">
        <v>241</v>
      </c>
    </row>
    <row r="1536" spans="1:22" x14ac:dyDescent="0.25">
      <c r="A1536" s="11">
        <v>101060402</v>
      </c>
      <c r="B1536" s="11" t="s">
        <v>44</v>
      </c>
      <c r="C1536" s="41">
        <v>44867</v>
      </c>
      <c r="D1536" s="41">
        <v>44867</v>
      </c>
      <c r="E1536" s="11" t="s">
        <v>42</v>
      </c>
      <c r="F1536" s="11" t="s">
        <v>3150</v>
      </c>
      <c r="G1536" s="11">
        <v>108100</v>
      </c>
      <c r="H1536" s="11" t="s">
        <v>323</v>
      </c>
      <c r="J1536" s="11" t="s">
        <v>240</v>
      </c>
      <c r="K1536" s="11">
        <v>51010102</v>
      </c>
      <c r="L1536" s="11" t="s">
        <v>194</v>
      </c>
      <c r="M1536" s="11"/>
      <c r="N1536" s="11">
        <v>224.88</v>
      </c>
      <c r="O1536" s="42">
        <v>-224.88</v>
      </c>
      <c r="P1536" s="43" t="s">
        <v>4489</v>
      </c>
      <c r="Q1536" s="11">
        <v>841040.73</v>
      </c>
      <c r="R1536" s="11" t="s">
        <v>3151</v>
      </c>
      <c r="S1536" s="11" t="s">
        <v>106</v>
      </c>
      <c r="T1536" s="11">
        <v>0</v>
      </c>
      <c r="V1536" s="11" t="s">
        <v>241</v>
      </c>
    </row>
    <row r="1537" spans="1:22" x14ac:dyDescent="0.25">
      <c r="A1537" s="11">
        <v>101060402</v>
      </c>
      <c r="B1537" s="11" t="s">
        <v>44</v>
      </c>
      <c r="C1537" s="41">
        <v>44867</v>
      </c>
      <c r="D1537" s="41">
        <v>44867</v>
      </c>
      <c r="E1537" s="11" t="s">
        <v>42</v>
      </c>
      <c r="F1537" s="11" t="s">
        <v>3152</v>
      </c>
      <c r="G1537" s="11">
        <v>108101</v>
      </c>
      <c r="H1537" s="11" t="s">
        <v>162</v>
      </c>
      <c r="J1537" s="11" t="s">
        <v>240</v>
      </c>
      <c r="K1537" s="11">
        <v>51010102</v>
      </c>
      <c r="L1537" s="11" t="s">
        <v>194</v>
      </c>
      <c r="M1537" s="11"/>
      <c r="N1537" s="11">
        <v>124.22</v>
      </c>
      <c r="O1537" s="42">
        <v>-124.22</v>
      </c>
      <c r="P1537" s="43" t="s">
        <v>4489</v>
      </c>
      <c r="Q1537" s="11">
        <v>840916.51</v>
      </c>
      <c r="R1537" s="11" t="s">
        <v>3153</v>
      </c>
      <c r="S1537" s="11" t="s">
        <v>106</v>
      </c>
      <c r="T1537" s="11">
        <v>0</v>
      </c>
      <c r="V1537" s="11" t="s">
        <v>241</v>
      </c>
    </row>
    <row r="1538" spans="1:22" x14ac:dyDescent="0.25">
      <c r="A1538" s="11">
        <v>101060402</v>
      </c>
      <c r="B1538" s="11" t="s">
        <v>44</v>
      </c>
      <c r="C1538" s="41">
        <v>44867</v>
      </c>
      <c r="D1538" s="41">
        <v>44867</v>
      </c>
      <c r="E1538" s="11" t="s">
        <v>42</v>
      </c>
      <c r="F1538" s="11" t="s">
        <v>3154</v>
      </c>
      <c r="G1538" s="11">
        <v>108102</v>
      </c>
      <c r="H1538" s="11" t="s">
        <v>47</v>
      </c>
      <c r="J1538" s="11" t="s">
        <v>240</v>
      </c>
      <c r="K1538" s="11">
        <v>51010102</v>
      </c>
      <c r="L1538" s="11" t="s">
        <v>194</v>
      </c>
      <c r="M1538" s="11"/>
      <c r="N1538" s="11">
        <v>5808.34</v>
      </c>
      <c r="O1538" s="42">
        <v>-5808.34</v>
      </c>
      <c r="P1538" s="43" t="s">
        <v>4489</v>
      </c>
      <c r="Q1538" s="11">
        <v>835108.17</v>
      </c>
      <c r="R1538" s="11" t="s">
        <v>3155</v>
      </c>
      <c r="S1538" s="11" t="s">
        <v>106</v>
      </c>
      <c r="T1538" s="11">
        <v>0</v>
      </c>
      <c r="V1538" s="11" t="s">
        <v>241</v>
      </c>
    </row>
    <row r="1539" spans="1:22" x14ac:dyDescent="0.25">
      <c r="A1539" s="11">
        <v>101060402</v>
      </c>
      <c r="B1539" s="11" t="s">
        <v>44</v>
      </c>
      <c r="C1539" s="41">
        <v>44867</v>
      </c>
      <c r="D1539" s="41">
        <v>44867</v>
      </c>
      <c r="E1539" s="11" t="s">
        <v>42</v>
      </c>
      <c r="F1539" s="11" t="s">
        <v>3154</v>
      </c>
      <c r="G1539" s="11">
        <v>108102</v>
      </c>
      <c r="H1539" s="11" t="s">
        <v>47</v>
      </c>
      <c r="J1539" s="11" t="s">
        <v>240</v>
      </c>
      <c r="K1539" s="11">
        <v>51010102</v>
      </c>
      <c r="L1539" s="11" t="s">
        <v>194</v>
      </c>
      <c r="M1539" s="11"/>
      <c r="N1539" s="11">
        <v>40.99</v>
      </c>
      <c r="O1539" s="42">
        <v>-40.99</v>
      </c>
      <c r="P1539" s="43" t="s">
        <v>4489</v>
      </c>
      <c r="Q1539" s="11">
        <v>835067.18</v>
      </c>
      <c r="R1539" s="11" t="s">
        <v>157</v>
      </c>
      <c r="S1539" s="11" t="s">
        <v>106</v>
      </c>
      <c r="T1539" s="11">
        <v>0</v>
      </c>
      <c r="V1539" s="11" t="s">
        <v>241</v>
      </c>
    </row>
    <row r="1540" spans="1:22" x14ac:dyDescent="0.25">
      <c r="A1540" s="11">
        <v>101060402</v>
      </c>
      <c r="B1540" s="11" t="s">
        <v>44</v>
      </c>
      <c r="C1540" s="41">
        <v>44867</v>
      </c>
      <c r="D1540" s="41">
        <v>44867</v>
      </c>
      <c r="E1540" s="11" t="s">
        <v>42</v>
      </c>
      <c r="F1540" s="11" t="s">
        <v>3156</v>
      </c>
      <c r="G1540" s="11">
        <v>108103</v>
      </c>
      <c r="H1540" s="11" t="s">
        <v>47</v>
      </c>
      <c r="J1540" s="11" t="s">
        <v>240</v>
      </c>
      <c r="K1540" s="11">
        <v>51010102</v>
      </c>
      <c r="L1540" s="11" t="s">
        <v>194</v>
      </c>
      <c r="M1540" s="11"/>
      <c r="N1540" s="11">
        <v>4110.7</v>
      </c>
      <c r="O1540" s="42">
        <v>-4110.7</v>
      </c>
      <c r="P1540" s="43" t="s">
        <v>4489</v>
      </c>
      <c r="Q1540" s="11">
        <v>830956.48</v>
      </c>
      <c r="R1540" s="11" t="s">
        <v>3157</v>
      </c>
      <c r="S1540" s="11" t="s">
        <v>106</v>
      </c>
      <c r="T1540" s="11">
        <v>0</v>
      </c>
      <c r="V1540" s="11" t="s">
        <v>241</v>
      </c>
    </row>
    <row r="1541" spans="1:22" x14ac:dyDescent="0.25">
      <c r="A1541" s="11">
        <v>101060402</v>
      </c>
      <c r="B1541" s="11" t="s">
        <v>44</v>
      </c>
      <c r="C1541" s="41">
        <v>44867</v>
      </c>
      <c r="D1541" s="41">
        <v>44867</v>
      </c>
      <c r="E1541" s="11" t="s">
        <v>42</v>
      </c>
      <c r="F1541" s="11" t="s">
        <v>3158</v>
      </c>
      <c r="G1541" s="11">
        <v>108104</v>
      </c>
      <c r="H1541" s="11" t="s">
        <v>88</v>
      </c>
      <c r="J1541" s="11" t="s">
        <v>240</v>
      </c>
      <c r="K1541" s="11">
        <v>51010102</v>
      </c>
      <c r="L1541" s="11" t="s">
        <v>194</v>
      </c>
      <c r="M1541" s="11">
        <v>2351</v>
      </c>
      <c r="N1541" s="11"/>
      <c r="O1541" s="42">
        <v>2351</v>
      </c>
      <c r="P1541" s="43" t="s">
        <v>4489</v>
      </c>
      <c r="Q1541" s="11">
        <v>833307.48</v>
      </c>
      <c r="R1541" s="11" t="s">
        <v>3159</v>
      </c>
      <c r="S1541" s="11" t="s">
        <v>106</v>
      </c>
      <c r="T1541" s="11">
        <v>0</v>
      </c>
      <c r="V1541" s="11" t="s">
        <v>241</v>
      </c>
    </row>
    <row r="1542" spans="1:22" x14ac:dyDescent="0.25">
      <c r="A1542" s="11">
        <v>101060402</v>
      </c>
      <c r="B1542" s="11" t="s">
        <v>44</v>
      </c>
      <c r="C1542" s="41">
        <v>44867</v>
      </c>
      <c r="D1542" s="41">
        <v>44867</v>
      </c>
      <c r="E1542" s="11" t="s">
        <v>42</v>
      </c>
      <c r="F1542" s="11" t="s">
        <v>3160</v>
      </c>
      <c r="G1542" s="11">
        <v>108105</v>
      </c>
      <c r="H1542" s="11" t="s">
        <v>88</v>
      </c>
      <c r="J1542" s="11" t="s">
        <v>240</v>
      </c>
      <c r="K1542" s="11">
        <v>51010102</v>
      </c>
      <c r="L1542" s="11" t="s">
        <v>194</v>
      </c>
      <c r="M1542" s="11">
        <v>1105.21</v>
      </c>
      <c r="N1542" s="11"/>
      <c r="O1542" s="42">
        <v>1105.21</v>
      </c>
      <c r="P1542" s="43" t="s">
        <v>4489</v>
      </c>
      <c r="Q1542" s="11">
        <v>834412.69</v>
      </c>
      <c r="R1542" s="11" t="s">
        <v>3161</v>
      </c>
      <c r="S1542" s="11" t="s">
        <v>106</v>
      </c>
      <c r="T1542" s="11">
        <v>0</v>
      </c>
      <c r="V1542" s="11" t="s">
        <v>241</v>
      </c>
    </row>
    <row r="1543" spans="1:22" x14ac:dyDescent="0.25">
      <c r="A1543" s="11">
        <v>101060402</v>
      </c>
      <c r="B1543" s="11" t="s">
        <v>44</v>
      </c>
      <c r="C1543" s="41">
        <v>44867</v>
      </c>
      <c r="D1543" s="41">
        <v>44867</v>
      </c>
      <c r="E1543" s="11" t="s">
        <v>42</v>
      </c>
      <c r="F1543" s="11" t="s">
        <v>3162</v>
      </c>
      <c r="G1543" s="11">
        <v>108106</v>
      </c>
      <c r="H1543" s="11" t="s">
        <v>47</v>
      </c>
      <c r="J1543" s="11" t="s">
        <v>240</v>
      </c>
      <c r="K1543" s="11">
        <v>51010102</v>
      </c>
      <c r="L1543" s="11" t="s">
        <v>194</v>
      </c>
      <c r="M1543" s="11"/>
      <c r="N1543" s="11">
        <v>4644</v>
      </c>
      <c r="O1543" s="42">
        <v>-4644</v>
      </c>
      <c r="P1543" s="43" t="s">
        <v>4489</v>
      </c>
      <c r="Q1543" s="11">
        <v>829768.69</v>
      </c>
      <c r="R1543" s="11" t="s">
        <v>3163</v>
      </c>
      <c r="S1543" s="11" t="s">
        <v>106</v>
      </c>
      <c r="T1543" s="11">
        <v>0</v>
      </c>
      <c r="V1543" s="11" t="s">
        <v>241</v>
      </c>
    </row>
    <row r="1544" spans="1:22" x14ac:dyDescent="0.25">
      <c r="A1544" s="11">
        <v>101060402</v>
      </c>
      <c r="B1544" s="11" t="s">
        <v>44</v>
      </c>
      <c r="C1544" s="41">
        <v>44867</v>
      </c>
      <c r="D1544" s="41">
        <v>44867</v>
      </c>
      <c r="E1544" s="11" t="s">
        <v>42</v>
      </c>
      <c r="F1544" s="11" t="s">
        <v>3162</v>
      </c>
      <c r="G1544" s="11">
        <v>108106</v>
      </c>
      <c r="H1544" s="11" t="s">
        <v>47</v>
      </c>
      <c r="J1544" s="11" t="s">
        <v>240</v>
      </c>
      <c r="K1544" s="11">
        <v>51010102</v>
      </c>
      <c r="L1544" s="11" t="s">
        <v>194</v>
      </c>
      <c r="M1544" s="11"/>
      <c r="N1544" s="11">
        <v>40.99</v>
      </c>
      <c r="O1544" s="42">
        <v>-40.99</v>
      </c>
      <c r="P1544" s="43" t="s">
        <v>4489</v>
      </c>
      <c r="Q1544" s="11">
        <v>829727.7</v>
      </c>
      <c r="R1544" s="11" t="s">
        <v>157</v>
      </c>
      <c r="S1544" s="11" t="s">
        <v>106</v>
      </c>
      <c r="T1544" s="11">
        <v>0</v>
      </c>
      <c r="V1544" s="11" t="s">
        <v>241</v>
      </c>
    </row>
    <row r="1545" spans="1:22" x14ac:dyDescent="0.25">
      <c r="A1545" s="11">
        <v>101060402</v>
      </c>
      <c r="B1545" s="11" t="s">
        <v>44</v>
      </c>
      <c r="C1545" s="41">
        <v>44867</v>
      </c>
      <c r="D1545" s="41">
        <v>44867</v>
      </c>
      <c r="E1545" s="11" t="s">
        <v>42</v>
      </c>
      <c r="F1545" s="11" t="s">
        <v>1235</v>
      </c>
      <c r="G1545" s="11">
        <v>108107</v>
      </c>
      <c r="H1545" s="11" t="s">
        <v>57</v>
      </c>
      <c r="K1545" s="11">
        <v>101060401</v>
      </c>
      <c r="L1545" s="11" t="s">
        <v>34</v>
      </c>
      <c r="M1545" s="11"/>
      <c r="N1545" s="11">
        <v>281.05</v>
      </c>
      <c r="O1545" s="42">
        <v>-281.05</v>
      </c>
      <c r="P1545" s="43" t="s">
        <v>4481</v>
      </c>
      <c r="Q1545" s="11">
        <v>829446.65</v>
      </c>
      <c r="R1545" s="11" t="s">
        <v>3164</v>
      </c>
      <c r="S1545" s="11" t="s">
        <v>106</v>
      </c>
      <c r="T1545" s="11">
        <v>0</v>
      </c>
    </row>
    <row r="1546" spans="1:22" x14ac:dyDescent="0.25">
      <c r="A1546" s="11">
        <v>101060402</v>
      </c>
      <c r="B1546" s="11" t="s">
        <v>44</v>
      </c>
      <c r="C1546" s="41">
        <v>44867</v>
      </c>
      <c r="D1546" s="41">
        <v>44867</v>
      </c>
      <c r="E1546" s="11" t="s">
        <v>42</v>
      </c>
      <c r="F1546" s="11" t="s">
        <v>1237</v>
      </c>
      <c r="G1546" s="11">
        <v>108108</v>
      </c>
      <c r="H1546" s="11" t="s">
        <v>57</v>
      </c>
      <c r="K1546" s="11">
        <v>101060401</v>
      </c>
      <c r="L1546" s="11" t="s">
        <v>34</v>
      </c>
      <c r="M1546" s="11"/>
      <c r="N1546" s="11">
        <v>1170.9000000000001</v>
      </c>
      <c r="O1546" s="42">
        <v>-1170.9000000000001</v>
      </c>
      <c r="P1546" s="43" t="s">
        <v>4481</v>
      </c>
      <c r="Q1546" s="11">
        <v>828275.75</v>
      </c>
      <c r="R1546" s="11" t="s">
        <v>3165</v>
      </c>
      <c r="S1546" s="11" t="s">
        <v>106</v>
      </c>
      <c r="T1546" s="11">
        <v>0</v>
      </c>
    </row>
    <row r="1547" spans="1:22" x14ac:dyDescent="0.25">
      <c r="A1547" s="11">
        <v>101060402</v>
      </c>
      <c r="B1547" s="11" t="s">
        <v>44</v>
      </c>
      <c r="C1547" s="41">
        <v>44867</v>
      </c>
      <c r="D1547" s="41">
        <v>44867</v>
      </c>
      <c r="E1547" s="11" t="s">
        <v>42</v>
      </c>
      <c r="F1547" s="11" t="s">
        <v>3166</v>
      </c>
      <c r="G1547" s="11">
        <v>108109</v>
      </c>
      <c r="H1547" s="11" t="s">
        <v>2872</v>
      </c>
      <c r="J1547" s="11" t="s">
        <v>240</v>
      </c>
      <c r="K1547" s="11">
        <v>51010102</v>
      </c>
      <c r="L1547" s="11" t="s">
        <v>194</v>
      </c>
      <c r="M1547" s="11"/>
      <c r="N1547" s="11">
        <v>94.8</v>
      </c>
      <c r="O1547" s="42">
        <v>-94.8</v>
      </c>
      <c r="P1547" s="43" t="s">
        <v>4489</v>
      </c>
      <c r="Q1547" s="11">
        <v>828180.95</v>
      </c>
      <c r="R1547" s="11" t="s">
        <v>2877</v>
      </c>
      <c r="S1547" s="11" t="s">
        <v>106</v>
      </c>
      <c r="T1547" s="11">
        <v>0</v>
      </c>
      <c r="V1547" s="11" t="s">
        <v>241</v>
      </c>
    </row>
    <row r="1548" spans="1:22" x14ac:dyDescent="0.25">
      <c r="A1548" s="11">
        <v>101060402</v>
      </c>
      <c r="B1548" s="11" t="s">
        <v>44</v>
      </c>
      <c r="C1548" s="41">
        <v>44867</v>
      </c>
      <c r="D1548" s="41">
        <v>44867</v>
      </c>
      <c r="E1548" s="11" t="s">
        <v>42</v>
      </c>
      <c r="F1548" s="11" t="s">
        <v>3167</v>
      </c>
      <c r="G1548" s="11">
        <v>108110</v>
      </c>
      <c r="H1548" s="11" t="s">
        <v>2872</v>
      </c>
      <c r="J1548" s="11" t="s">
        <v>240</v>
      </c>
      <c r="K1548" s="11">
        <v>51010102</v>
      </c>
      <c r="L1548" s="11" t="s">
        <v>194</v>
      </c>
      <c r="M1548" s="11"/>
      <c r="N1548" s="11">
        <v>42.4</v>
      </c>
      <c r="O1548" s="42">
        <v>-42.4</v>
      </c>
      <c r="P1548" s="43" t="s">
        <v>4489</v>
      </c>
      <c r="Q1548" s="11">
        <v>828138.55</v>
      </c>
      <c r="R1548" s="11" t="s">
        <v>3168</v>
      </c>
      <c r="S1548" s="11" t="s">
        <v>106</v>
      </c>
      <c r="T1548" s="11">
        <v>0</v>
      </c>
      <c r="V1548" s="11" t="s">
        <v>241</v>
      </c>
    </row>
    <row r="1549" spans="1:22" x14ac:dyDescent="0.25">
      <c r="A1549" s="11">
        <v>101060402</v>
      </c>
      <c r="B1549" s="11" t="s">
        <v>44</v>
      </c>
      <c r="C1549" s="41">
        <v>44867</v>
      </c>
      <c r="D1549" s="41">
        <v>44867</v>
      </c>
      <c r="E1549" s="11" t="s">
        <v>42</v>
      </c>
      <c r="F1549" s="11" t="s">
        <v>3167</v>
      </c>
      <c r="G1549" s="11">
        <v>108110</v>
      </c>
      <c r="H1549" s="11" t="s">
        <v>2872</v>
      </c>
      <c r="J1549" s="11" t="s">
        <v>240</v>
      </c>
      <c r="K1549" s="11">
        <v>51010102</v>
      </c>
      <c r="L1549" s="11" t="s">
        <v>194</v>
      </c>
      <c r="M1549" s="11"/>
      <c r="N1549" s="11">
        <v>82.77</v>
      </c>
      <c r="O1549" s="42">
        <v>-82.77</v>
      </c>
      <c r="P1549" s="43" t="s">
        <v>4489</v>
      </c>
      <c r="Q1549" s="11">
        <v>828055.78</v>
      </c>
      <c r="R1549" s="11" t="s">
        <v>3169</v>
      </c>
      <c r="S1549" s="11" t="s">
        <v>106</v>
      </c>
      <c r="T1549" s="11">
        <v>0</v>
      </c>
      <c r="V1549" s="11" t="s">
        <v>241</v>
      </c>
    </row>
    <row r="1550" spans="1:22" x14ac:dyDescent="0.25">
      <c r="A1550" s="11">
        <v>101060402</v>
      </c>
      <c r="B1550" s="11" t="s">
        <v>44</v>
      </c>
      <c r="C1550" s="41">
        <v>44867</v>
      </c>
      <c r="D1550" s="41">
        <v>44867</v>
      </c>
      <c r="E1550" s="11" t="s">
        <v>42</v>
      </c>
      <c r="F1550" s="11" t="s">
        <v>3170</v>
      </c>
      <c r="G1550" s="11">
        <v>108111</v>
      </c>
      <c r="H1550" s="11" t="s">
        <v>88</v>
      </c>
      <c r="J1550" s="11" t="s">
        <v>240</v>
      </c>
      <c r="K1550" s="11">
        <v>51010102</v>
      </c>
      <c r="L1550" s="11" t="s">
        <v>194</v>
      </c>
      <c r="M1550" s="11">
        <v>4110.7</v>
      </c>
      <c r="N1550" s="11"/>
      <c r="O1550" s="42">
        <v>4110.7</v>
      </c>
      <c r="P1550" s="43" t="s">
        <v>4489</v>
      </c>
      <c r="Q1550" s="11">
        <v>832166.48</v>
      </c>
      <c r="R1550" s="11" t="s">
        <v>3171</v>
      </c>
      <c r="S1550" s="11" t="s">
        <v>106</v>
      </c>
      <c r="T1550" s="11">
        <v>0</v>
      </c>
      <c r="V1550" s="11" t="s">
        <v>241</v>
      </c>
    </row>
    <row r="1551" spans="1:22" x14ac:dyDescent="0.25">
      <c r="A1551" s="11">
        <v>101060402</v>
      </c>
      <c r="B1551" s="11" t="s">
        <v>44</v>
      </c>
      <c r="C1551" s="41">
        <v>44867</v>
      </c>
      <c r="D1551" s="41">
        <v>44867</v>
      </c>
      <c r="E1551" s="11" t="s">
        <v>42</v>
      </c>
      <c r="F1551" s="11" t="s">
        <v>3172</v>
      </c>
      <c r="G1551" s="11">
        <v>108114</v>
      </c>
      <c r="H1551" s="11" t="s">
        <v>88</v>
      </c>
      <c r="J1551" s="11" t="s">
        <v>240</v>
      </c>
      <c r="K1551" s="11">
        <v>51010102</v>
      </c>
      <c r="L1551" s="11" t="s">
        <v>194</v>
      </c>
      <c r="M1551" s="11">
        <v>5808.34</v>
      </c>
      <c r="N1551" s="11"/>
      <c r="O1551" s="42">
        <v>5808.34</v>
      </c>
      <c r="P1551" s="43" t="s">
        <v>4489</v>
      </c>
      <c r="Q1551" s="11">
        <v>837974.82</v>
      </c>
      <c r="R1551" s="11" t="s">
        <v>3173</v>
      </c>
      <c r="S1551" s="11" t="s">
        <v>106</v>
      </c>
      <c r="T1551" s="11">
        <v>0</v>
      </c>
      <c r="V1551" s="11" t="s">
        <v>241</v>
      </c>
    </row>
    <row r="1552" spans="1:22" x14ac:dyDescent="0.25">
      <c r="A1552" s="11">
        <v>101060402</v>
      </c>
      <c r="B1552" s="11" t="s">
        <v>44</v>
      </c>
      <c r="C1552" s="41">
        <v>44867</v>
      </c>
      <c r="D1552" s="41">
        <v>44867</v>
      </c>
      <c r="E1552" s="11" t="s">
        <v>42</v>
      </c>
      <c r="F1552" s="11" t="s">
        <v>3172</v>
      </c>
      <c r="G1552" s="11">
        <v>108114</v>
      </c>
      <c r="H1552" s="11" t="s">
        <v>88</v>
      </c>
      <c r="J1552" s="11" t="s">
        <v>240</v>
      </c>
      <c r="K1552" s="11">
        <v>51010102</v>
      </c>
      <c r="L1552" s="11" t="s">
        <v>194</v>
      </c>
      <c r="M1552" s="11">
        <v>40.99</v>
      </c>
      <c r="N1552" s="11"/>
      <c r="O1552" s="42">
        <v>40.99</v>
      </c>
      <c r="P1552" s="43" t="s">
        <v>4489</v>
      </c>
      <c r="Q1552" s="11">
        <v>838015.81</v>
      </c>
      <c r="R1552" s="11" t="s">
        <v>2885</v>
      </c>
      <c r="S1552" s="11" t="s">
        <v>106</v>
      </c>
      <c r="T1552" s="11">
        <v>0</v>
      </c>
      <c r="V1552" s="11" t="s">
        <v>241</v>
      </c>
    </row>
    <row r="1553" spans="1:22" x14ac:dyDescent="0.25">
      <c r="A1553" s="11">
        <v>101060402</v>
      </c>
      <c r="B1553" s="11" t="s">
        <v>44</v>
      </c>
      <c r="C1553" s="41">
        <v>44867</v>
      </c>
      <c r="D1553" s="41">
        <v>44867</v>
      </c>
      <c r="E1553" s="11" t="s">
        <v>42</v>
      </c>
      <c r="F1553" s="11" t="s">
        <v>3174</v>
      </c>
      <c r="G1553" s="11">
        <v>108118</v>
      </c>
      <c r="H1553" s="11" t="s">
        <v>88</v>
      </c>
      <c r="J1553" s="11" t="s">
        <v>240</v>
      </c>
      <c r="K1553" s="11">
        <v>51010102</v>
      </c>
      <c r="L1553" s="11" t="s">
        <v>194</v>
      </c>
      <c r="M1553" s="11">
        <v>4644</v>
      </c>
      <c r="N1553" s="11"/>
      <c r="O1553" s="42">
        <v>4644</v>
      </c>
      <c r="P1553" s="43" t="s">
        <v>4489</v>
      </c>
      <c r="Q1553" s="11">
        <v>842659.81</v>
      </c>
      <c r="R1553" s="11" t="s">
        <v>3175</v>
      </c>
      <c r="S1553" s="11" t="s">
        <v>106</v>
      </c>
      <c r="T1553" s="11">
        <v>0</v>
      </c>
      <c r="V1553" s="11" t="s">
        <v>241</v>
      </c>
    </row>
    <row r="1554" spans="1:22" x14ac:dyDescent="0.25">
      <c r="A1554" s="11">
        <v>101060402</v>
      </c>
      <c r="B1554" s="11" t="s">
        <v>44</v>
      </c>
      <c r="C1554" s="41">
        <v>44867</v>
      </c>
      <c r="D1554" s="41">
        <v>44867</v>
      </c>
      <c r="E1554" s="11" t="s">
        <v>42</v>
      </c>
      <c r="F1554" s="11" t="s">
        <v>3174</v>
      </c>
      <c r="G1554" s="11">
        <v>108118</v>
      </c>
      <c r="H1554" s="11" t="s">
        <v>88</v>
      </c>
      <c r="J1554" s="11" t="s">
        <v>240</v>
      </c>
      <c r="K1554" s="11">
        <v>51010102</v>
      </c>
      <c r="L1554" s="11" t="s">
        <v>194</v>
      </c>
      <c r="M1554" s="11">
        <v>40.99</v>
      </c>
      <c r="N1554" s="11"/>
      <c r="O1554" s="42">
        <v>40.99</v>
      </c>
      <c r="P1554" s="43" t="s">
        <v>4489</v>
      </c>
      <c r="Q1554" s="11">
        <v>842700.80000000005</v>
      </c>
      <c r="R1554" s="11" t="s">
        <v>2885</v>
      </c>
      <c r="S1554" s="11" t="s">
        <v>106</v>
      </c>
      <c r="T1554" s="11">
        <v>0</v>
      </c>
      <c r="V1554" s="11" t="s">
        <v>241</v>
      </c>
    </row>
    <row r="1555" spans="1:22" x14ac:dyDescent="0.25">
      <c r="A1555" s="11">
        <v>101060402</v>
      </c>
      <c r="B1555" s="11" t="s">
        <v>44</v>
      </c>
      <c r="C1555" s="41">
        <v>44868</v>
      </c>
      <c r="D1555" s="41">
        <v>44868</v>
      </c>
      <c r="E1555" s="11" t="s">
        <v>42</v>
      </c>
      <c r="F1555" s="11" t="s">
        <v>1250</v>
      </c>
      <c r="G1555" s="11">
        <v>108113</v>
      </c>
      <c r="H1555" s="11" t="s">
        <v>47</v>
      </c>
      <c r="J1555" s="11" t="s">
        <v>240</v>
      </c>
      <c r="K1555" s="11">
        <v>51010102</v>
      </c>
      <c r="L1555" s="11" t="s">
        <v>194</v>
      </c>
      <c r="M1555" s="11"/>
      <c r="N1555" s="11">
        <v>4110.7</v>
      </c>
      <c r="O1555" s="42">
        <v>-4110.7</v>
      </c>
      <c r="P1555" s="43" t="s">
        <v>4489</v>
      </c>
      <c r="Q1555" s="11">
        <v>838590.1</v>
      </c>
      <c r="R1555" s="11" t="s">
        <v>3157</v>
      </c>
      <c r="S1555" s="11" t="s">
        <v>106</v>
      </c>
      <c r="T1555" s="11">
        <v>0</v>
      </c>
      <c r="V1555" s="11" t="s">
        <v>241</v>
      </c>
    </row>
    <row r="1556" spans="1:22" x14ac:dyDescent="0.25">
      <c r="A1556" s="11">
        <v>101060402</v>
      </c>
      <c r="B1556" s="11" t="s">
        <v>44</v>
      </c>
      <c r="C1556" s="41">
        <v>44868</v>
      </c>
      <c r="D1556" s="41">
        <v>44868</v>
      </c>
      <c r="E1556" s="11" t="s">
        <v>42</v>
      </c>
      <c r="F1556" s="11" t="s">
        <v>1252</v>
      </c>
      <c r="G1556" s="11">
        <v>108116</v>
      </c>
      <c r="H1556" s="11" t="s">
        <v>47</v>
      </c>
      <c r="J1556" s="11" t="s">
        <v>240</v>
      </c>
      <c r="K1556" s="11">
        <v>51010102</v>
      </c>
      <c r="L1556" s="11" t="s">
        <v>194</v>
      </c>
      <c r="M1556" s="11"/>
      <c r="N1556" s="11">
        <v>5808.34</v>
      </c>
      <c r="O1556" s="42">
        <v>-5808.34</v>
      </c>
      <c r="P1556" s="43" t="s">
        <v>4489</v>
      </c>
      <c r="Q1556" s="11">
        <v>832781.76</v>
      </c>
      <c r="R1556" s="11" t="s">
        <v>3155</v>
      </c>
      <c r="S1556" s="11" t="s">
        <v>106</v>
      </c>
      <c r="T1556" s="11">
        <v>0</v>
      </c>
      <c r="V1556" s="11" t="s">
        <v>241</v>
      </c>
    </row>
    <row r="1557" spans="1:22" x14ac:dyDescent="0.25">
      <c r="A1557" s="11">
        <v>101060402</v>
      </c>
      <c r="B1557" s="11" t="s">
        <v>44</v>
      </c>
      <c r="C1557" s="41">
        <v>44868</v>
      </c>
      <c r="D1557" s="41">
        <v>44868</v>
      </c>
      <c r="E1557" s="11" t="s">
        <v>42</v>
      </c>
      <c r="F1557" s="11" t="s">
        <v>1252</v>
      </c>
      <c r="G1557" s="11">
        <v>108116</v>
      </c>
      <c r="H1557" s="11" t="s">
        <v>47</v>
      </c>
      <c r="J1557" s="11" t="s">
        <v>240</v>
      </c>
      <c r="K1557" s="11">
        <v>51010102</v>
      </c>
      <c r="L1557" s="11" t="s">
        <v>194</v>
      </c>
      <c r="M1557" s="11"/>
      <c r="N1557" s="11">
        <v>40.99</v>
      </c>
      <c r="O1557" s="42">
        <v>-40.99</v>
      </c>
      <c r="P1557" s="43" t="s">
        <v>4489</v>
      </c>
      <c r="Q1557" s="11">
        <v>832740.77</v>
      </c>
      <c r="R1557" s="11" t="s">
        <v>157</v>
      </c>
      <c r="S1557" s="11" t="s">
        <v>106</v>
      </c>
      <c r="T1557" s="11">
        <v>0</v>
      </c>
      <c r="V1557" s="11" t="s">
        <v>241</v>
      </c>
    </row>
    <row r="1558" spans="1:22" x14ac:dyDescent="0.25">
      <c r="A1558" s="11">
        <v>101060402</v>
      </c>
      <c r="B1558" s="11" t="s">
        <v>44</v>
      </c>
      <c r="C1558" s="41">
        <v>44868</v>
      </c>
      <c r="D1558" s="41">
        <v>44868</v>
      </c>
      <c r="E1558" s="11" t="s">
        <v>42</v>
      </c>
      <c r="F1558" s="11" t="s">
        <v>1253</v>
      </c>
      <c r="G1558" s="11">
        <v>108119</v>
      </c>
      <c r="H1558" s="11" t="s">
        <v>47</v>
      </c>
      <c r="J1558" s="11" t="s">
        <v>240</v>
      </c>
      <c r="K1558" s="11">
        <v>51010102</v>
      </c>
      <c r="L1558" s="11" t="s">
        <v>194</v>
      </c>
      <c r="M1558" s="11"/>
      <c r="N1558" s="11">
        <v>4644</v>
      </c>
      <c r="O1558" s="42">
        <v>-4644</v>
      </c>
      <c r="P1558" s="43" t="s">
        <v>4489</v>
      </c>
      <c r="Q1558" s="11">
        <v>828096.77</v>
      </c>
      <c r="R1558" s="11" t="s">
        <v>3163</v>
      </c>
      <c r="S1558" s="11" t="s">
        <v>106</v>
      </c>
      <c r="T1558" s="11">
        <v>0</v>
      </c>
      <c r="V1558" s="11" t="s">
        <v>241</v>
      </c>
    </row>
    <row r="1559" spans="1:22" x14ac:dyDescent="0.25">
      <c r="A1559" s="11">
        <v>101060402</v>
      </c>
      <c r="B1559" s="11" t="s">
        <v>44</v>
      </c>
      <c r="C1559" s="41">
        <v>44868</v>
      </c>
      <c r="D1559" s="41">
        <v>44868</v>
      </c>
      <c r="E1559" s="11" t="s">
        <v>42</v>
      </c>
      <c r="F1559" s="11" t="s">
        <v>1253</v>
      </c>
      <c r="G1559" s="11">
        <v>108119</v>
      </c>
      <c r="H1559" s="11" t="s">
        <v>47</v>
      </c>
      <c r="J1559" s="11" t="s">
        <v>240</v>
      </c>
      <c r="K1559" s="11">
        <v>51010102</v>
      </c>
      <c r="L1559" s="11" t="s">
        <v>194</v>
      </c>
      <c r="M1559" s="11"/>
      <c r="N1559" s="11">
        <v>40.99</v>
      </c>
      <c r="O1559" s="42">
        <v>-40.99</v>
      </c>
      <c r="P1559" s="43" t="s">
        <v>4489</v>
      </c>
      <c r="Q1559" s="11">
        <v>828055.78</v>
      </c>
      <c r="R1559" s="11" t="s">
        <v>157</v>
      </c>
      <c r="S1559" s="11" t="s">
        <v>106</v>
      </c>
      <c r="T1559" s="11">
        <v>0</v>
      </c>
      <c r="V1559" s="11" t="s">
        <v>241</v>
      </c>
    </row>
    <row r="1560" spans="1:22" x14ac:dyDescent="0.25">
      <c r="A1560" s="11">
        <v>101060402</v>
      </c>
      <c r="B1560" s="11" t="s">
        <v>44</v>
      </c>
      <c r="C1560" s="41">
        <v>44868</v>
      </c>
      <c r="D1560" s="41">
        <v>44868</v>
      </c>
      <c r="E1560" s="11" t="s">
        <v>42</v>
      </c>
      <c r="F1560" s="11" t="s">
        <v>3176</v>
      </c>
      <c r="G1560" s="11">
        <v>108120</v>
      </c>
      <c r="H1560" s="11" t="s">
        <v>98</v>
      </c>
      <c r="J1560" s="11" t="s">
        <v>240</v>
      </c>
      <c r="K1560" s="11">
        <v>51010102</v>
      </c>
      <c r="L1560" s="11" t="s">
        <v>194</v>
      </c>
      <c r="M1560" s="11"/>
      <c r="N1560" s="11">
        <v>2593.5700000000002</v>
      </c>
      <c r="O1560" s="42">
        <v>-2593.5700000000002</v>
      </c>
      <c r="P1560" s="43" t="s">
        <v>4489</v>
      </c>
      <c r="Q1560" s="11">
        <v>825462.21</v>
      </c>
      <c r="R1560" s="11" t="s">
        <v>3177</v>
      </c>
      <c r="S1560" s="11" t="s">
        <v>106</v>
      </c>
      <c r="T1560" s="11">
        <v>0</v>
      </c>
      <c r="V1560" s="11" t="s">
        <v>241</v>
      </c>
    </row>
    <row r="1561" spans="1:22" x14ac:dyDescent="0.25">
      <c r="A1561" s="11">
        <v>101060402</v>
      </c>
      <c r="B1561" s="11" t="s">
        <v>44</v>
      </c>
      <c r="C1561" s="41">
        <v>44868</v>
      </c>
      <c r="D1561" s="41">
        <v>44868</v>
      </c>
      <c r="E1561" s="11" t="s">
        <v>42</v>
      </c>
      <c r="F1561" s="11" t="s">
        <v>1255</v>
      </c>
      <c r="G1561" s="11">
        <v>108187</v>
      </c>
      <c r="H1561" s="11" t="s">
        <v>88</v>
      </c>
      <c r="J1561" s="11" t="s">
        <v>240</v>
      </c>
      <c r="K1561" s="11">
        <v>51010102</v>
      </c>
      <c r="L1561" s="11" t="s">
        <v>194</v>
      </c>
      <c r="M1561" s="11">
        <v>4644</v>
      </c>
      <c r="N1561" s="11"/>
      <c r="O1561" s="42">
        <v>4644</v>
      </c>
      <c r="P1561" s="43" t="s">
        <v>4489</v>
      </c>
      <c r="Q1561" s="11">
        <v>830106.21</v>
      </c>
      <c r="R1561" s="11" t="s">
        <v>3175</v>
      </c>
      <c r="S1561" s="11" t="s">
        <v>40</v>
      </c>
      <c r="T1561" s="11">
        <v>0</v>
      </c>
      <c r="V1561" s="11" t="s">
        <v>241</v>
      </c>
    </row>
    <row r="1562" spans="1:22" x14ac:dyDescent="0.25">
      <c r="A1562" s="11">
        <v>101060402</v>
      </c>
      <c r="B1562" s="11" t="s">
        <v>44</v>
      </c>
      <c r="C1562" s="41">
        <v>44868</v>
      </c>
      <c r="D1562" s="41">
        <v>44868</v>
      </c>
      <c r="E1562" s="11" t="s">
        <v>42</v>
      </c>
      <c r="F1562" s="11" t="s">
        <v>1255</v>
      </c>
      <c r="G1562" s="11">
        <v>108187</v>
      </c>
      <c r="H1562" s="11" t="s">
        <v>88</v>
      </c>
      <c r="J1562" s="11" t="s">
        <v>240</v>
      </c>
      <c r="K1562" s="11">
        <v>51010102</v>
      </c>
      <c r="L1562" s="11" t="s">
        <v>194</v>
      </c>
      <c r="M1562" s="11">
        <v>40.99</v>
      </c>
      <c r="N1562" s="11"/>
      <c r="O1562" s="42">
        <v>40.99</v>
      </c>
      <c r="P1562" s="43" t="s">
        <v>4489</v>
      </c>
      <c r="Q1562" s="11">
        <v>830147.2</v>
      </c>
      <c r="R1562" s="11" t="s">
        <v>2885</v>
      </c>
      <c r="S1562" s="11" t="s">
        <v>40</v>
      </c>
      <c r="T1562" s="11">
        <v>0</v>
      </c>
      <c r="V1562" s="11" t="s">
        <v>241</v>
      </c>
    </row>
    <row r="1563" spans="1:22" x14ac:dyDescent="0.25">
      <c r="A1563" s="11">
        <v>101060402</v>
      </c>
      <c r="B1563" s="11" t="s">
        <v>44</v>
      </c>
      <c r="C1563" s="41">
        <v>44871</v>
      </c>
      <c r="D1563" s="41">
        <v>44871</v>
      </c>
      <c r="E1563" s="11" t="s">
        <v>42</v>
      </c>
      <c r="F1563" s="11" t="s">
        <v>3178</v>
      </c>
      <c r="G1563" s="11">
        <v>108122</v>
      </c>
      <c r="H1563" s="11" t="s">
        <v>47</v>
      </c>
      <c r="J1563" s="11" t="s">
        <v>240</v>
      </c>
      <c r="K1563" s="11">
        <v>51010102</v>
      </c>
      <c r="L1563" s="11" t="s">
        <v>194</v>
      </c>
      <c r="M1563" s="11"/>
      <c r="N1563" s="11">
        <v>64.39</v>
      </c>
      <c r="O1563" s="42">
        <v>-64.39</v>
      </c>
      <c r="P1563" s="43" t="s">
        <v>4489</v>
      </c>
      <c r="Q1563" s="11">
        <v>830082.81</v>
      </c>
      <c r="R1563" s="11" t="s">
        <v>3179</v>
      </c>
      <c r="S1563" s="11" t="s">
        <v>106</v>
      </c>
      <c r="T1563" s="11">
        <v>0</v>
      </c>
      <c r="V1563" s="11" t="s">
        <v>241</v>
      </c>
    </row>
    <row r="1564" spans="1:22" x14ac:dyDescent="0.25">
      <c r="A1564" s="11">
        <v>101060402</v>
      </c>
      <c r="B1564" s="11" t="s">
        <v>44</v>
      </c>
      <c r="C1564" s="41">
        <v>44872</v>
      </c>
      <c r="D1564" s="41">
        <v>44872</v>
      </c>
      <c r="E1564" s="11" t="s">
        <v>42</v>
      </c>
      <c r="F1564" s="11" t="s">
        <v>3180</v>
      </c>
      <c r="G1564" s="11">
        <v>108123</v>
      </c>
      <c r="H1564" s="11" t="s">
        <v>47</v>
      </c>
      <c r="J1564" s="11" t="s">
        <v>240</v>
      </c>
      <c r="K1564" s="11">
        <v>51010102</v>
      </c>
      <c r="L1564" s="11" t="s">
        <v>194</v>
      </c>
      <c r="M1564" s="11"/>
      <c r="N1564" s="11">
        <v>577.19000000000005</v>
      </c>
      <c r="O1564" s="42">
        <v>-577.19000000000005</v>
      </c>
      <c r="P1564" s="43" t="s">
        <v>4489</v>
      </c>
      <c r="Q1564" s="11">
        <v>829505.62</v>
      </c>
      <c r="R1564" s="11" t="s">
        <v>3181</v>
      </c>
      <c r="S1564" s="11" t="s">
        <v>106</v>
      </c>
      <c r="T1564" s="11">
        <v>0</v>
      </c>
      <c r="V1564" s="11" t="s">
        <v>241</v>
      </c>
    </row>
    <row r="1565" spans="1:22" x14ac:dyDescent="0.25">
      <c r="A1565" s="11">
        <v>101060402</v>
      </c>
      <c r="B1565" s="11" t="s">
        <v>44</v>
      </c>
      <c r="C1565" s="41">
        <v>44872</v>
      </c>
      <c r="D1565" s="41">
        <v>44872</v>
      </c>
      <c r="E1565" s="11" t="s">
        <v>42</v>
      </c>
      <c r="F1565" s="11" t="s">
        <v>1259</v>
      </c>
      <c r="G1565" s="11">
        <v>108124</v>
      </c>
      <c r="H1565" s="11" t="s">
        <v>57</v>
      </c>
      <c r="K1565" s="11">
        <v>101060401</v>
      </c>
      <c r="L1565" s="11" t="s">
        <v>34</v>
      </c>
      <c r="M1565" s="11">
        <v>39.76</v>
      </c>
      <c r="N1565" s="11"/>
      <c r="O1565" s="42">
        <v>39.76</v>
      </c>
      <c r="P1565" s="43" t="s">
        <v>4481</v>
      </c>
      <c r="Q1565" s="11">
        <v>829545.38</v>
      </c>
      <c r="R1565" s="11" t="s">
        <v>3129</v>
      </c>
      <c r="S1565" s="11" t="s">
        <v>40</v>
      </c>
      <c r="T1565" s="11">
        <v>0</v>
      </c>
    </row>
    <row r="1566" spans="1:22" x14ac:dyDescent="0.25">
      <c r="A1566" s="11">
        <v>101060402</v>
      </c>
      <c r="B1566" s="11" t="s">
        <v>44</v>
      </c>
      <c r="C1566" s="41">
        <v>44872</v>
      </c>
      <c r="D1566" s="41">
        <v>44872</v>
      </c>
      <c r="E1566" s="11" t="s">
        <v>42</v>
      </c>
      <c r="F1566" s="11" t="s">
        <v>1266</v>
      </c>
      <c r="G1566" s="11">
        <v>108128</v>
      </c>
      <c r="H1566" s="11" t="s">
        <v>57</v>
      </c>
      <c r="K1566" s="11">
        <v>101060401</v>
      </c>
      <c r="L1566" s="11" t="s">
        <v>34</v>
      </c>
      <c r="M1566" s="11"/>
      <c r="N1566" s="11">
        <v>7.26</v>
      </c>
      <c r="O1566" s="42">
        <v>-7.26</v>
      </c>
      <c r="P1566" s="43" t="s">
        <v>4481</v>
      </c>
      <c r="Q1566" s="11">
        <v>829538.12</v>
      </c>
      <c r="R1566" s="11" t="s">
        <v>149</v>
      </c>
      <c r="S1566" s="11" t="s">
        <v>106</v>
      </c>
      <c r="T1566" s="11">
        <v>0</v>
      </c>
    </row>
    <row r="1567" spans="1:22" x14ac:dyDescent="0.25">
      <c r="A1567" s="11">
        <v>101060402</v>
      </c>
      <c r="B1567" s="11" t="s">
        <v>44</v>
      </c>
      <c r="C1567" s="41">
        <v>44872</v>
      </c>
      <c r="D1567" s="41">
        <v>44872</v>
      </c>
      <c r="E1567" s="11" t="s">
        <v>42</v>
      </c>
      <c r="F1567" s="11" t="s">
        <v>1268</v>
      </c>
      <c r="G1567" s="11">
        <v>108134</v>
      </c>
      <c r="H1567" s="11" t="s">
        <v>57</v>
      </c>
      <c r="K1567" s="11">
        <v>101060401</v>
      </c>
      <c r="L1567" s="11" t="s">
        <v>34</v>
      </c>
      <c r="M1567" s="11"/>
      <c r="N1567" s="11">
        <v>8.7799999999999994</v>
      </c>
      <c r="O1567" s="42">
        <v>-8.7799999999999994</v>
      </c>
      <c r="P1567" s="43" t="s">
        <v>4481</v>
      </c>
      <c r="Q1567" s="11">
        <v>829529.34</v>
      </c>
      <c r="R1567" s="11" t="s">
        <v>1258</v>
      </c>
      <c r="S1567" s="11" t="s">
        <v>106</v>
      </c>
      <c r="T1567" s="11">
        <v>0</v>
      </c>
    </row>
    <row r="1568" spans="1:22" x14ac:dyDescent="0.25">
      <c r="A1568" s="11">
        <v>101060402</v>
      </c>
      <c r="B1568" s="11" t="s">
        <v>44</v>
      </c>
      <c r="C1568" s="41">
        <v>44872</v>
      </c>
      <c r="D1568" s="41">
        <v>44872</v>
      </c>
      <c r="E1568" s="11" t="s">
        <v>36</v>
      </c>
      <c r="F1568" s="11" t="s">
        <v>3182</v>
      </c>
      <c r="G1568" s="11">
        <v>108143</v>
      </c>
      <c r="H1568" s="11" t="s">
        <v>190</v>
      </c>
      <c r="J1568" s="11" t="s">
        <v>240</v>
      </c>
      <c r="K1568" s="11">
        <v>51010102</v>
      </c>
      <c r="L1568" s="11" t="s">
        <v>194</v>
      </c>
      <c r="M1568" s="11">
        <v>2802.84</v>
      </c>
      <c r="N1568" s="11"/>
      <c r="O1568" s="42">
        <v>2802.84</v>
      </c>
      <c r="P1568" s="43" t="s">
        <v>4489</v>
      </c>
      <c r="Q1568" s="11">
        <v>832332.18</v>
      </c>
      <c r="R1568" s="11" t="s">
        <v>3183</v>
      </c>
      <c r="S1568" s="11" t="s">
        <v>106</v>
      </c>
      <c r="T1568" s="11">
        <v>0</v>
      </c>
      <c r="V1568" s="11" t="s">
        <v>241</v>
      </c>
    </row>
    <row r="1569" spans="1:22" x14ac:dyDescent="0.25">
      <c r="A1569" s="11">
        <v>101060402</v>
      </c>
      <c r="B1569" s="11" t="s">
        <v>44</v>
      </c>
      <c r="C1569" s="41">
        <v>44872</v>
      </c>
      <c r="D1569" s="41">
        <v>44872</v>
      </c>
      <c r="E1569" s="11" t="s">
        <v>42</v>
      </c>
      <c r="F1569" s="11" t="s">
        <v>1278</v>
      </c>
      <c r="G1569" s="11">
        <v>108144</v>
      </c>
      <c r="H1569" s="11" t="s">
        <v>57</v>
      </c>
      <c r="K1569" s="11">
        <v>101060401</v>
      </c>
      <c r="L1569" s="11" t="s">
        <v>34</v>
      </c>
      <c r="M1569" s="11">
        <v>307.08999999999997</v>
      </c>
      <c r="N1569" s="11"/>
      <c r="O1569" s="42">
        <v>307.08999999999997</v>
      </c>
      <c r="P1569" s="43" t="s">
        <v>4481</v>
      </c>
      <c r="Q1569" s="11">
        <v>832639.27</v>
      </c>
      <c r="R1569" s="11" t="s">
        <v>1277</v>
      </c>
      <c r="S1569" s="11" t="s">
        <v>40</v>
      </c>
      <c r="T1569" s="11">
        <v>0</v>
      </c>
    </row>
    <row r="1570" spans="1:22" x14ac:dyDescent="0.25">
      <c r="A1570" s="11">
        <v>101060402</v>
      </c>
      <c r="B1570" s="11" t="s">
        <v>44</v>
      </c>
      <c r="C1570" s="41">
        <v>44872</v>
      </c>
      <c r="D1570" s="41">
        <v>44872</v>
      </c>
      <c r="E1570" s="11" t="s">
        <v>42</v>
      </c>
      <c r="F1570" s="11" t="s">
        <v>1282</v>
      </c>
      <c r="G1570" s="11">
        <v>108148</v>
      </c>
      <c r="H1570" s="11" t="s">
        <v>133</v>
      </c>
      <c r="J1570" s="11" t="s">
        <v>240</v>
      </c>
      <c r="K1570" s="11">
        <v>51010102</v>
      </c>
      <c r="L1570" s="11" t="s">
        <v>194</v>
      </c>
      <c r="M1570" s="11"/>
      <c r="N1570" s="11">
        <v>6.33</v>
      </c>
      <c r="O1570" s="42">
        <v>-6.33</v>
      </c>
      <c r="P1570" s="43" t="s">
        <v>4489</v>
      </c>
      <c r="Q1570" s="11">
        <v>832632.94</v>
      </c>
      <c r="R1570" s="11" t="s">
        <v>3184</v>
      </c>
      <c r="S1570" s="11" t="s">
        <v>40</v>
      </c>
      <c r="T1570" s="11">
        <v>0</v>
      </c>
      <c r="V1570" s="11" t="s">
        <v>241</v>
      </c>
    </row>
    <row r="1571" spans="1:22" x14ac:dyDescent="0.25">
      <c r="A1571" s="11">
        <v>101060402</v>
      </c>
      <c r="B1571" s="11" t="s">
        <v>44</v>
      </c>
      <c r="C1571" s="41">
        <v>44872</v>
      </c>
      <c r="D1571" s="41">
        <v>44872</v>
      </c>
      <c r="E1571" s="11" t="s">
        <v>42</v>
      </c>
      <c r="F1571" s="11" t="s">
        <v>3185</v>
      </c>
      <c r="G1571" s="11">
        <v>108155</v>
      </c>
      <c r="H1571" s="11" t="s">
        <v>57</v>
      </c>
      <c r="K1571" s="11">
        <v>101060409</v>
      </c>
      <c r="L1571" s="11" t="s">
        <v>128</v>
      </c>
      <c r="M1571" s="11"/>
      <c r="N1571" s="11">
        <v>227.75</v>
      </c>
      <c r="O1571" s="42">
        <v>-227.75</v>
      </c>
      <c r="P1571" s="43" t="s">
        <v>4481</v>
      </c>
      <c r="Q1571" s="11">
        <v>832405.19</v>
      </c>
      <c r="R1571" s="11" t="s">
        <v>3186</v>
      </c>
      <c r="S1571" s="11" t="s">
        <v>106</v>
      </c>
      <c r="T1571" s="11">
        <v>0</v>
      </c>
    </row>
    <row r="1572" spans="1:22" x14ac:dyDescent="0.25">
      <c r="A1572" s="11">
        <v>101060402</v>
      </c>
      <c r="B1572" s="11" t="s">
        <v>44</v>
      </c>
      <c r="C1572" s="41">
        <v>44872</v>
      </c>
      <c r="D1572" s="41">
        <v>44872</v>
      </c>
      <c r="E1572" s="11" t="s">
        <v>42</v>
      </c>
      <c r="F1572" s="11" t="s">
        <v>3187</v>
      </c>
      <c r="G1572" s="11">
        <v>108169</v>
      </c>
      <c r="H1572" s="11" t="s">
        <v>2892</v>
      </c>
      <c r="J1572" s="11" t="s">
        <v>240</v>
      </c>
      <c r="K1572" s="11">
        <v>51010102</v>
      </c>
      <c r="L1572" s="11" t="s">
        <v>194</v>
      </c>
      <c r="M1572" s="11"/>
      <c r="N1572" s="11">
        <v>6.48</v>
      </c>
      <c r="O1572" s="42">
        <v>-6.48</v>
      </c>
      <c r="P1572" s="43" t="s">
        <v>4489</v>
      </c>
      <c r="Q1572" s="11">
        <v>832398.71</v>
      </c>
      <c r="R1572" s="11" t="s">
        <v>3188</v>
      </c>
      <c r="S1572" s="11" t="s">
        <v>106</v>
      </c>
      <c r="T1572" s="11">
        <v>0</v>
      </c>
      <c r="V1572" s="11" t="s">
        <v>241</v>
      </c>
    </row>
    <row r="1573" spans="1:22" x14ac:dyDescent="0.25">
      <c r="A1573" s="11">
        <v>101060402</v>
      </c>
      <c r="B1573" s="11" t="s">
        <v>44</v>
      </c>
      <c r="C1573" s="41">
        <v>44873</v>
      </c>
      <c r="D1573" s="41">
        <v>44873</v>
      </c>
      <c r="E1573" s="11" t="s">
        <v>42</v>
      </c>
      <c r="F1573" s="11" t="s">
        <v>3189</v>
      </c>
      <c r="G1573" s="11">
        <v>108181</v>
      </c>
      <c r="H1573" s="11" t="s">
        <v>141</v>
      </c>
      <c r="J1573" s="11" t="s">
        <v>240</v>
      </c>
      <c r="K1573" s="11">
        <v>51010102</v>
      </c>
      <c r="L1573" s="11" t="s">
        <v>194</v>
      </c>
      <c r="M1573" s="11"/>
      <c r="N1573" s="11">
        <v>28.5</v>
      </c>
      <c r="O1573" s="42">
        <v>-28.5</v>
      </c>
      <c r="P1573" s="43" t="s">
        <v>4489</v>
      </c>
      <c r="Q1573" s="11">
        <v>832370.21</v>
      </c>
      <c r="R1573" s="11" t="s">
        <v>3190</v>
      </c>
      <c r="S1573" s="11" t="s">
        <v>106</v>
      </c>
      <c r="T1573" s="11">
        <v>0</v>
      </c>
      <c r="V1573" s="11" t="s">
        <v>241</v>
      </c>
    </row>
    <row r="1574" spans="1:22" x14ac:dyDescent="0.25">
      <c r="A1574" s="11">
        <v>101060402</v>
      </c>
      <c r="B1574" s="11" t="s">
        <v>44</v>
      </c>
      <c r="C1574" s="41">
        <v>44873</v>
      </c>
      <c r="D1574" s="41">
        <v>44873</v>
      </c>
      <c r="E1574" s="11" t="s">
        <v>42</v>
      </c>
      <c r="F1574" s="11" t="s">
        <v>3191</v>
      </c>
      <c r="G1574" s="11">
        <v>108185</v>
      </c>
      <c r="H1574" s="11" t="s">
        <v>266</v>
      </c>
      <c r="J1574" s="11" t="s">
        <v>240</v>
      </c>
      <c r="K1574" s="11">
        <v>51010102</v>
      </c>
      <c r="L1574" s="11" t="s">
        <v>194</v>
      </c>
      <c r="M1574" s="11"/>
      <c r="N1574" s="11">
        <v>101.47</v>
      </c>
      <c r="O1574" s="42">
        <v>-101.47</v>
      </c>
      <c r="P1574" s="43" t="s">
        <v>4489</v>
      </c>
      <c r="Q1574" s="11">
        <v>832268.74</v>
      </c>
      <c r="R1574" s="11" t="s">
        <v>3192</v>
      </c>
      <c r="S1574" s="11" t="s">
        <v>106</v>
      </c>
      <c r="T1574" s="11">
        <v>0</v>
      </c>
      <c r="V1574" s="11" t="s">
        <v>241</v>
      </c>
    </row>
    <row r="1575" spans="1:22" x14ac:dyDescent="0.25">
      <c r="A1575" s="11">
        <v>101060402</v>
      </c>
      <c r="B1575" s="11" t="s">
        <v>44</v>
      </c>
      <c r="C1575" s="41">
        <v>44873</v>
      </c>
      <c r="D1575" s="41">
        <v>44873</v>
      </c>
      <c r="E1575" s="11" t="s">
        <v>42</v>
      </c>
      <c r="F1575" s="11" t="s">
        <v>1320</v>
      </c>
      <c r="G1575" s="11">
        <v>108194</v>
      </c>
      <c r="H1575" s="11" t="s">
        <v>47</v>
      </c>
      <c r="J1575" s="11" t="s">
        <v>240</v>
      </c>
      <c r="K1575" s="11">
        <v>51010102</v>
      </c>
      <c r="L1575" s="11" t="s">
        <v>194</v>
      </c>
      <c r="M1575" s="11"/>
      <c r="N1575" s="11">
        <v>4644</v>
      </c>
      <c r="O1575" s="42">
        <v>-4644</v>
      </c>
      <c r="P1575" s="43" t="s">
        <v>4489</v>
      </c>
      <c r="Q1575" s="11">
        <v>827624.74</v>
      </c>
      <c r="R1575" s="11" t="s">
        <v>3163</v>
      </c>
      <c r="S1575" s="11" t="s">
        <v>40</v>
      </c>
      <c r="T1575" s="11">
        <v>0</v>
      </c>
      <c r="V1575" s="11" t="s">
        <v>241</v>
      </c>
    </row>
    <row r="1576" spans="1:22" x14ac:dyDescent="0.25">
      <c r="A1576" s="11">
        <v>101060402</v>
      </c>
      <c r="B1576" s="11" t="s">
        <v>44</v>
      </c>
      <c r="C1576" s="41">
        <v>44873</v>
      </c>
      <c r="D1576" s="41">
        <v>44873</v>
      </c>
      <c r="E1576" s="11" t="s">
        <v>42</v>
      </c>
      <c r="F1576" s="11" t="s">
        <v>1320</v>
      </c>
      <c r="G1576" s="11">
        <v>108194</v>
      </c>
      <c r="H1576" s="11" t="s">
        <v>47</v>
      </c>
      <c r="J1576" s="11" t="s">
        <v>240</v>
      </c>
      <c r="K1576" s="11">
        <v>51010102</v>
      </c>
      <c r="L1576" s="11" t="s">
        <v>194</v>
      </c>
      <c r="M1576" s="11"/>
      <c r="N1576" s="11">
        <v>40.99</v>
      </c>
      <c r="O1576" s="42">
        <v>-40.99</v>
      </c>
      <c r="P1576" s="43" t="s">
        <v>4489</v>
      </c>
      <c r="Q1576" s="11">
        <v>827583.75</v>
      </c>
      <c r="R1576" s="11" t="s">
        <v>157</v>
      </c>
      <c r="S1576" s="11" t="s">
        <v>40</v>
      </c>
      <c r="T1576" s="11">
        <v>0</v>
      </c>
      <c r="V1576" s="11" t="s">
        <v>241</v>
      </c>
    </row>
    <row r="1577" spans="1:22" x14ac:dyDescent="0.25">
      <c r="A1577" s="11">
        <v>101060402</v>
      </c>
      <c r="B1577" s="11" t="s">
        <v>44</v>
      </c>
      <c r="C1577" s="41">
        <v>44873</v>
      </c>
      <c r="D1577" s="41">
        <v>44873</v>
      </c>
      <c r="E1577" s="11" t="s">
        <v>42</v>
      </c>
      <c r="F1577" s="11" t="s">
        <v>3193</v>
      </c>
      <c r="G1577" s="11">
        <v>108198</v>
      </c>
      <c r="H1577" s="11" t="s">
        <v>162</v>
      </c>
      <c r="J1577" s="11" t="s">
        <v>240</v>
      </c>
      <c r="K1577" s="11">
        <v>51010102</v>
      </c>
      <c r="L1577" s="11" t="s">
        <v>194</v>
      </c>
      <c r="M1577" s="11"/>
      <c r="N1577" s="11">
        <v>252.62</v>
      </c>
      <c r="O1577" s="42">
        <v>-252.62</v>
      </c>
      <c r="P1577" s="43" t="s">
        <v>4489</v>
      </c>
      <c r="Q1577" s="11">
        <v>827331.13</v>
      </c>
      <c r="R1577" s="11" t="s">
        <v>264</v>
      </c>
      <c r="S1577" s="11" t="s">
        <v>106</v>
      </c>
      <c r="T1577" s="11">
        <v>0</v>
      </c>
      <c r="V1577" s="11" t="s">
        <v>241</v>
      </c>
    </row>
    <row r="1578" spans="1:22" x14ac:dyDescent="0.25">
      <c r="A1578" s="11">
        <v>101060402</v>
      </c>
      <c r="B1578" s="11" t="s">
        <v>44</v>
      </c>
      <c r="C1578" s="41">
        <v>44873</v>
      </c>
      <c r="D1578" s="41">
        <v>44873</v>
      </c>
      <c r="E1578" s="11" t="s">
        <v>42</v>
      </c>
      <c r="F1578" s="11" t="s">
        <v>1336</v>
      </c>
      <c r="G1578" s="11">
        <v>108210</v>
      </c>
      <c r="H1578" s="11" t="s">
        <v>57</v>
      </c>
      <c r="K1578" s="11">
        <v>101060401</v>
      </c>
      <c r="L1578" s="11" t="s">
        <v>34</v>
      </c>
      <c r="M1578" s="11">
        <v>4744.33</v>
      </c>
      <c r="N1578" s="11"/>
      <c r="O1578" s="42">
        <v>4744.33</v>
      </c>
      <c r="P1578" s="43" t="s">
        <v>4481</v>
      </c>
      <c r="Q1578" s="11">
        <v>832075.46</v>
      </c>
      <c r="R1578" s="11" t="s">
        <v>1333</v>
      </c>
      <c r="S1578" s="11" t="s">
        <v>40</v>
      </c>
      <c r="T1578" s="11">
        <v>0</v>
      </c>
    </row>
    <row r="1579" spans="1:22" x14ac:dyDescent="0.25">
      <c r="A1579" s="11">
        <v>101060402</v>
      </c>
      <c r="B1579" s="11" t="s">
        <v>44</v>
      </c>
      <c r="C1579" s="41">
        <v>44874</v>
      </c>
      <c r="D1579" s="41">
        <v>44874</v>
      </c>
      <c r="E1579" s="11" t="s">
        <v>42</v>
      </c>
      <c r="F1579" s="11" t="s">
        <v>3194</v>
      </c>
      <c r="G1579" s="11">
        <v>108234</v>
      </c>
      <c r="H1579" s="11" t="s">
        <v>47</v>
      </c>
      <c r="J1579" s="11" t="s">
        <v>240</v>
      </c>
      <c r="K1579" s="11">
        <v>51010102</v>
      </c>
      <c r="L1579" s="11" t="s">
        <v>194</v>
      </c>
      <c r="M1579" s="11"/>
      <c r="N1579" s="11">
        <v>175.52</v>
      </c>
      <c r="O1579" s="42">
        <v>-175.52</v>
      </c>
      <c r="P1579" s="43" t="s">
        <v>4489</v>
      </c>
      <c r="Q1579" s="11">
        <v>831899.94</v>
      </c>
      <c r="R1579" s="11" t="s">
        <v>3195</v>
      </c>
      <c r="S1579" s="11" t="s">
        <v>106</v>
      </c>
      <c r="T1579" s="11">
        <v>0</v>
      </c>
      <c r="V1579" s="11" t="s">
        <v>241</v>
      </c>
    </row>
    <row r="1580" spans="1:22" x14ac:dyDescent="0.25">
      <c r="A1580" s="11">
        <v>101060402</v>
      </c>
      <c r="B1580" s="11" t="s">
        <v>44</v>
      </c>
      <c r="C1580" s="41">
        <v>44874</v>
      </c>
      <c r="D1580" s="41">
        <v>44874</v>
      </c>
      <c r="E1580" s="11" t="s">
        <v>42</v>
      </c>
      <c r="F1580" s="11" t="s">
        <v>3196</v>
      </c>
      <c r="G1580" s="11">
        <v>108235</v>
      </c>
      <c r="H1580" s="11" t="s">
        <v>162</v>
      </c>
      <c r="J1580" s="11" t="s">
        <v>240</v>
      </c>
      <c r="K1580" s="11">
        <v>51010102</v>
      </c>
      <c r="L1580" s="11" t="s">
        <v>194</v>
      </c>
      <c r="M1580" s="11"/>
      <c r="N1580" s="11">
        <v>265.92</v>
      </c>
      <c r="O1580" s="42">
        <v>-265.92</v>
      </c>
      <c r="P1580" s="43" t="s">
        <v>4489</v>
      </c>
      <c r="Q1580" s="11">
        <v>831634.02</v>
      </c>
      <c r="R1580" s="11" t="s">
        <v>3197</v>
      </c>
      <c r="S1580" s="11" t="s">
        <v>106</v>
      </c>
      <c r="T1580" s="11">
        <v>0</v>
      </c>
      <c r="V1580" s="11" t="s">
        <v>241</v>
      </c>
    </row>
    <row r="1581" spans="1:22" x14ac:dyDescent="0.25">
      <c r="A1581" s="11">
        <v>101060402</v>
      </c>
      <c r="B1581" s="11" t="s">
        <v>44</v>
      </c>
      <c r="C1581" s="41">
        <v>44874</v>
      </c>
      <c r="D1581" s="41">
        <v>44874</v>
      </c>
      <c r="E1581" s="11" t="s">
        <v>42</v>
      </c>
      <c r="F1581" s="11" t="s">
        <v>3198</v>
      </c>
      <c r="G1581" s="11">
        <v>108236</v>
      </c>
      <c r="H1581" s="11" t="s">
        <v>162</v>
      </c>
      <c r="J1581" s="11" t="s">
        <v>240</v>
      </c>
      <c r="K1581" s="11">
        <v>51010102</v>
      </c>
      <c r="L1581" s="11" t="s">
        <v>194</v>
      </c>
      <c r="M1581" s="11"/>
      <c r="N1581" s="11">
        <v>218.04</v>
      </c>
      <c r="O1581" s="42">
        <v>-218.04</v>
      </c>
      <c r="P1581" s="43" t="s">
        <v>4489</v>
      </c>
      <c r="Q1581" s="11">
        <v>831415.98</v>
      </c>
      <c r="R1581" s="11" t="s">
        <v>3199</v>
      </c>
      <c r="S1581" s="11" t="s">
        <v>106</v>
      </c>
      <c r="T1581" s="11">
        <v>0</v>
      </c>
      <c r="V1581" s="11" t="s">
        <v>241</v>
      </c>
    </row>
    <row r="1582" spans="1:22" x14ac:dyDescent="0.25">
      <c r="A1582" s="11">
        <v>101060402</v>
      </c>
      <c r="B1582" s="11" t="s">
        <v>44</v>
      </c>
      <c r="C1582" s="41">
        <v>44874</v>
      </c>
      <c r="D1582" s="41">
        <v>44874</v>
      </c>
      <c r="E1582" s="11" t="s">
        <v>42</v>
      </c>
      <c r="F1582" s="11" t="s">
        <v>3200</v>
      </c>
      <c r="G1582" s="11">
        <v>108238</v>
      </c>
      <c r="H1582" s="11" t="s">
        <v>141</v>
      </c>
      <c r="J1582" s="11" t="s">
        <v>240</v>
      </c>
      <c r="K1582" s="11">
        <v>51010102</v>
      </c>
      <c r="L1582" s="11" t="s">
        <v>194</v>
      </c>
      <c r="M1582" s="11"/>
      <c r="N1582" s="11">
        <v>11.19</v>
      </c>
      <c r="O1582" s="42">
        <v>-11.19</v>
      </c>
      <c r="P1582" s="43" t="s">
        <v>4489</v>
      </c>
      <c r="Q1582" s="11">
        <v>831404.79</v>
      </c>
      <c r="R1582" s="11" t="s">
        <v>3201</v>
      </c>
      <c r="S1582" s="11" t="s">
        <v>106</v>
      </c>
      <c r="T1582" s="11">
        <v>0</v>
      </c>
      <c r="V1582" s="11" t="s">
        <v>241</v>
      </c>
    </row>
    <row r="1583" spans="1:22" x14ac:dyDescent="0.25">
      <c r="A1583" s="11">
        <v>101060402</v>
      </c>
      <c r="B1583" s="11" t="s">
        <v>44</v>
      </c>
      <c r="C1583" s="41">
        <v>44874</v>
      </c>
      <c r="D1583" s="41">
        <v>44874</v>
      </c>
      <c r="E1583" s="11" t="s">
        <v>42</v>
      </c>
      <c r="F1583" s="11" t="s">
        <v>3202</v>
      </c>
      <c r="G1583" s="11">
        <v>108241</v>
      </c>
      <c r="H1583" s="11" t="s">
        <v>141</v>
      </c>
      <c r="J1583" s="11" t="s">
        <v>240</v>
      </c>
      <c r="K1583" s="11">
        <v>51010102</v>
      </c>
      <c r="L1583" s="11" t="s">
        <v>194</v>
      </c>
      <c r="M1583" s="11"/>
      <c r="N1583" s="11">
        <v>4744.33</v>
      </c>
      <c r="O1583" s="42">
        <v>-4744.33</v>
      </c>
      <c r="P1583" s="43" t="s">
        <v>4489</v>
      </c>
      <c r="Q1583" s="11">
        <v>826660.46</v>
      </c>
      <c r="R1583" s="11" t="s">
        <v>1337</v>
      </c>
      <c r="S1583" s="11" t="s">
        <v>106</v>
      </c>
      <c r="T1583" s="11">
        <v>0</v>
      </c>
      <c r="V1583" s="11" t="s">
        <v>241</v>
      </c>
    </row>
    <row r="1584" spans="1:22" x14ac:dyDescent="0.25">
      <c r="A1584" s="11">
        <v>101060402</v>
      </c>
      <c r="B1584" s="11" t="s">
        <v>44</v>
      </c>
      <c r="C1584" s="41">
        <v>44874</v>
      </c>
      <c r="D1584" s="41">
        <v>44874</v>
      </c>
      <c r="E1584" s="11" t="s">
        <v>42</v>
      </c>
      <c r="F1584" s="11" t="s">
        <v>3203</v>
      </c>
      <c r="G1584" s="11">
        <v>108242</v>
      </c>
      <c r="H1584" s="11" t="s">
        <v>3204</v>
      </c>
      <c r="J1584" s="11" t="s">
        <v>240</v>
      </c>
      <c r="K1584" s="11">
        <v>51010102</v>
      </c>
      <c r="L1584" s="11" t="s">
        <v>194</v>
      </c>
      <c r="M1584" s="11"/>
      <c r="N1584" s="11">
        <v>14.15</v>
      </c>
      <c r="O1584" s="42">
        <v>-14.15</v>
      </c>
      <c r="P1584" s="43" t="s">
        <v>4489</v>
      </c>
      <c r="Q1584" s="11">
        <v>826646.31</v>
      </c>
      <c r="R1584" s="11" t="s">
        <v>1447</v>
      </c>
      <c r="S1584" s="11" t="s">
        <v>106</v>
      </c>
      <c r="T1584" s="11">
        <v>0</v>
      </c>
      <c r="V1584" s="11" t="s">
        <v>241</v>
      </c>
    </row>
    <row r="1585" spans="1:22" x14ac:dyDescent="0.25">
      <c r="A1585" s="11">
        <v>101060402</v>
      </c>
      <c r="B1585" s="11" t="s">
        <v>44</v>
      </c>
      <c r="C1585" s="41">
        <v>44874</v>
      </c>
      <c r="D1585" s="41">
        <v>44874</v>
      </c>
      <c r="E1585" s="11" t="s">
        <v>42</v>
      </c>
      <c r="F1585" s="11" t="s">
        <v>1376</v>
      </c>
      <c r="G1585" s="11">
        <v>108270</v>
      </c>
      <c r="H1585" s="11" t="s">
        <v>57</v>
      </c>
      <c r="K1585" s="11">
        <v>101060401</v>
      </c>
      <c r="L1585" s="11" t="s">
        <v>34</v>
      </c>
      <c r="M1585" s="11">
        <v>589.86</v>
      </c>
      <c r="N1585" s="11"/>
      <c r="O1585" s="42">
        <v>589.86</v>
      </c>
      <c r="P1585" s="43" t="s">
        <v>4481</v>
      </c>
      <c r="Q1585" s="11">
        <v>827236.17</v>
      </c>
      <c r="R1585" s="11" t="s">
        <v>1353</v>
      </c>
      <c r="S1585" s="11" t="s">
        <v>40</v>
      </c>
      <c r="T1585" s="11">
        <v>0</v>
      </c>
    </row>
    <row r="1586" spans="1:22" x14ac:dyDescent="0.25">
      <c r="A1586" s="11">
        <v>101060402</v>
      </c>
      <c r="B1586" s="11" t="s">
        <v>44</v>
      </c>
      <c r="C1586" s="41">
        <v>44875</v>
      </c>
      <c r="D1586" s="41">
        <v>44875</v>
      </c>
      <c r="E1586" s="11" t="s">
        <v>42</v>
      </c>
      <c r="F1586" s="11" t="s">
        <v>3205</v>
      </c>
      <c r="G1586" s="11">
        <v>108283</v>
      </c>
      <c r="H1586" s="11" t="s">
        <v>114</v>
      </c>
      <c r="J1586" s="11" t="s">
        <v>240</v>
      </c>
      <c r="K1586" s="11">
        <v>51010102</v>
      </c>
      <c r="L1586" s="11" t="s">
        <v>194</v>
      </c>
      <c r="M1586" s="11"/>
      <c r="N1586" s="11">
        <v>28.31</v>
      </c>
      <c r="O1586" s="42">
        <v>-28.31</v>
      </c>
      <c r="P1586" s="43" t="s">
        <v>4489</v>
      </c>
      <c r="Q1586" s="11">
        <v>827207.86</v>
      </c>
      <c r="R1586" s="11" t="s">
        <v>3206</v>
      </c>
      <c r="S1586" s="11" t="s">
        <v>106</v>
      </c>
      <c r="T1586" s="11">
        <v>0</v>
      </c>
      <c r="V1586" s="11" t="s">
        <v>241</v>
      </c>
    </row>
    <row r="1587" spans="1:22" x14ac:dyDescent="0.25">
      <c r="A1587" s="11">
        <v>101060402</v>
      </c>
      <c r="B1587" s="11" t="s">
        <v>44</v>
      </c>
      <c r="C1587" s="41">
        <v>44875</v>
      </c>
      <c r="D1587" s="41">
        <v>44875</v>
      </c>
      <c r="E1587" s="11" t="s">
        <v>42</v>
      </c>
      <c r="F1587" s="11" t="s">
        <v>3207</v>
      </c>
      <c r="G1587" s="11">
        <v>108284</v>
      </c>
      <c r="H1587" s="11" t="s">
        <v>47</v>
      </c>
      <c r="J1587" s="11" t="s">
        <v>240</v>
      </c>
      <c r="K1587" s="11">
        <v>51010102</v>
      </c>
      <c r="L1587" s="11" t="s">
        <v>194</v>
      </c>
      <c r="M1587" s="11"/>
      <c r="N1587" s="11">
        <v>8183.72</v>
      </c>
      <c r="O1587" s="42">
        <v>-8183.72</v>
      </c>
      <c r="P1587" s="43" t="s">
        <v>4489</v>
      </c>
      <c r="Q1587" s="11">
        <v>819024.14</v>
      </c>
      <c r="R1587" s="11" t="s">
        <v>3208</v>
      </c>
      <c r="S1587" s="11" t="s">
        <v>106</v>
      </c>
      <c r="T1587" s="11">
        <v>0</v>
      </c>
      <c r="V1587" s="11" t="s">
        <v>241</v>
      </c>
    </row>
    <row r="1588" spans="1:22" x14ac:dyDescent="0.25">
      <c r="A1588" s="11">
        <v>101060402</v>
      </c>
      <c r="B1588" s="11" t="s">
        <v>44</v>
      </c>
      <c r="C1588" s="41">
        <v>44875</v>
      </c>
      <c r="D1588" s="41">
        <v>44875</v>
      </c>
      <c r="E1588" s="11" t="s">
        <v>42</v>
      </c>
      <c r="F1588" s="11" t="s">
        <v>3209</v>
      </c>
      <c r="G1588" s="11">
        <v>108287</v>
      </c>
      <c r="H1588" s="11" t="s">
        <v>47</v>
      </c>
      <c r="J1588" s="11" t="s">
        <v>240</v>
      </c>
      <c r="K1588" s="11">
        <v>51010102</v>
      </c>
      <c r="L1588" s="11" t="s">
        <v>194</v>
      </c>
      <c r="M1588" s="11"/>
      <c r="N1588" s="11">
        <v>132.52000000000001</v>
      </c>
      <c r="O1588" s="42">
        <v>-132.52000000000001</v>
      </c>
      <c r="P1588" s="43" t="s">
        <v>4489</v>
      </c>
      <c r="Q1588" s="11">
        <v>818891.62</v>
      </c>
      <c r="R1588" s="11" t="s">
        <v>3210</v>
      </c>
      <c r="S1588" s="11" t="s">
        <v>106</v>
      </c>
      <c r="T1588" s="11">
        <v>0</v>
      </c>
      <c r="V1588" s="11" t="s">
        <v>241</v>
      </c>
    </row>
    <row r="1589" spans="1:22" x14ac:dyDescent="0.25">
      <c r="A1589" s="11">
        <v>101060402</v>
      </c>
      <c r="B1589" s="11" t="s">
        <v>44</v>
      </c>
      <c r="C1589" s="41">
        <v>44875</v>
      </c>
      <c r="D1589" s="41">
        <v>44875</v>
      </c>
      <c r="E1589" s="11" t="s">
        <v>42</v>
      </c>
      <c r="F1589" s="11" t="s">
        <v>3211</v>
      </c>
      <c r="G1589" s="11">
        <v>108290</v>
      </c>
      <c r="H1589" s="11" t="s">
        <v>47</v>
      </c>
      <c r="J1589" s="11" t="s">
        <v>240</v>
      </c>
      <c r="K1589" s="11">
        <v>51010102</v>
      </c>
      <c r="L1589" s="11" t="s">
        <v>194</v>
      </c>
      <c r="M1589" s="11"/>
      <c r="N1589" s="11">
        <v>2166.39</v>
      </c>
      <c r="O1589" s="42">
        <v>-2166.39</v>
      </c>
      <c r="P1589" s="43" t="s">
        <v>4489</v>
      </c>
      <c r="Q1589" s="11">
        <v>816725.23</v>
      </c>
      <c r="R1589" s="11" t="s">
        <v>3212</v>
      </c>
      <c r="S1589" s="11" t="s">
        <v>106</v>
      </c>
      <c r="T1589" s="11">
        <v>0</v>
      </c>
      <c r="V1589" s="11" t="s">
        <v>241</v>
      </c>
    </row>
    <row r="1590" spans="1:22" x14ac:dyDescent="0.25">
      <c r="A1590" s="11">
        <v>101060402</v>
      </c>
      <c r="B1590" s="11" t="s">
        <v>44</v>
      </c>
      <c r="C1590" s="41">
        <v>44875</v>
      </c>
      <c r="D1590" s="41">
        <v>44875</v>
      </c>
      <c r="E1590" s="11" t="s">
        <v>42</v>
      </c>
      <c r="F1590" s="11" t="s">
        <v>3213</v>
      </c>
      <c r="G1590" s="11">
        <v>108296</v>
      </c>
      <c r="H1590" s="11" t="s">
        <v>47</v>
      </c>
      <c r="J1590" s="11" t="s">
        <v>240</v>
      </c>
      <c r="K1590" s="11">
        <v>51010102</v>
      </c>
      <c r="L1590" s="11" t="s">
        <v>194</v>
      </c>
      <c r="M1590" s="11"/>
      <c r="N1590" s="11">
        <v>308.74</v>
      </c>
      <c r="O1590" s="42">
        <v>-308.74</v>
      </c>
      <c r="P1590" s="43" t="s">
        <v>4489</v>
      </c>
      <c r="Q1590" s="11">
        <v>816416.49</v>
      </c>
      <c r="R1590" s="11" t="s">
        <v>3214</v>
      </c>
      <c r="S1590" s="11" t="s">
        <v>106</v>
      </c>
      <c r="T1590" s="11">
        <v>0</v>
      </c>
      <c r="V1590" s="11" t="s">
        <v>241</v>
      </c>
    </row>
    <row r="1591" spans="1:22" x14ac:dyDescent="0.25">
      <c r="A1591" s="11">
        <v>101060402</v>
      </c>
      <c r="B1591" s="11" t="s">
        <v>44</v>
      </c>
      <c r="C1591" s="41">
        <v>44875</v>
      </c>
      <c r="D1591" s="41">
        <v>44875</v>
      </c>
      <c r="E1591" s="11" t="s">
        <v>42</v>
      </c>
      <c r="F1591" s="11" t="s">
        <v>1392</v>
      </c>
      <c r="G1591" s="11">
        <v>108304</v>
      </c>
      <c r="H1591" s="11" t="s">
        <v>57</v>
      </c>
      <c r="K1591" s="11">
        <v>101060401</v>
      </c>
      <c r="L1591" s="11" t="s">
        <v>34</v>
      </c>
      <c r="M1591" s="11">
        <v>1585.82</v>
      </c>
      <c r="N1591" s="11"/>
      <c r="O1591" s="42">
        <v>1585.82</v>
      </c>
      <c r="P1591" s="43" t="s">
        <v>4481</v>
      </c>
      <c r="Q1591" s="11">
        <v>818002.31</v>
      </c>
      <c r="R1591" s="11" t="s">
        <v>3215</v>
      </c>
      <c r="S1591" s="11" t="s">
        <v>40</v>
      </c>
      <c r="T1591" s="11">
        <v>0</v>
      </c>
    </row>
    <row r="1592" spans="1:22" x14ac:dyDescent="0.25">
      <c r="A1592" s="11">
        <v>101060402</v>
      </c>
      <c r="B1592" s="11" t="s">
        <v>44</v>
      </c>
      <c r="C1592" s="41">
        <v>44875</v>
      </c>
      <c r="D1592" s="41">
        <v>44875</v>
      </c>
      <c r="E1592" s="11" t="s">
        <v>42</v>
      </c>
      <c r="F1592" s="11" t="s">
        <v>1404</v>
      </c>
      <c r="G1592" s="11">
        <v>108320</v>
      </c>
      <c r="H1592" s="11" t="s">
        <v>57</v>
      </c>
      <c r="K1592" s="11">
        <v>101060401</v>
      </c>
      <c r="L1592" s="11" t="s">
        <v>34</v>
      </c>
      <c r="M1592" s="11">
        <v>27</v>
      </c>
      <c r="N1592" s="11"/>
      <c r="O1592" s="42">
        <v>27</v>
      </c>
      <c r="P1592" s="43" t="s">
        <v>4481</v>
      </c>
      <c r="Q1592" s="11">
        <v>818029.31</v>
      </c>
      <c r="R1592" s="11" t="s">
        <v>1403</v>
      </c>
      <c r="S1592" s="11" t="s">
        <v>40</v>
      </c>
      <c r="T1592" s="11">
        <v>0</v>
      </c>
    </row>
    <row r="1593" spans="1:22" x14ac:dyDescent="0.25">
      <c r="A1593" s="11">
        <v>101060402</v>
      </c>
      <c r="B1593" s="11" t="s">
        <v>44</v>
      </c>
      <c r="C1593" s="41">
        <v>44875</v>
      </c>
      <c r="D1593" s="41">
        <v>44875</v>
      </c>
      <c r="E1593" s="11" t="s">
        <v>42</v>
      </c>
      <c r="F1593" s="11" t="s">
        <v>3216</v>
      </c>
      <c r="G1593" s="11">
        <v>108324</v>
      </c>
      <c r="H1593" s="11" t="s">
        <v>3217</v>
      </c>
      <c r="J1593" s="11" t="s">
        <v>240</v>
      </c>
      <c r="K1593" s="11">
        <v>51010102</v>
      </c>
      <c r="L1593" s="11" t="s">
        <v>194</v>
      </c>
      <c r="M1593" s="11"/>
      <c r="N1593" s="11">
        <v>1248.6500000000001</v>
      </c>
      <c r="O1593" s="42">
        <v>-1248.6500000000001</v>
      </c>
      <c r="P1593" s="43" t="s">
        <v>4489</v>
      </c>
      <c r="Q1593" s="11">
        <v>816780.66</v>
      </c>
      <c r="R1593" s="11" t="s">
        <v>3218</v>
      </c>
      <c r="S1593" s="11" t="s">
        <v>106</v>
      </c>
      <c r="T1593" s="11">
        <v>0</v>
      </c>
      <c r="V1593" s="11" t="s">
        <v>241</v>
      </c>
    </row>
    <row r="1594" spans="1:22" x14ac:dyDescent="0.25">
      <c r="A1594" s="11">
        <v>101060402</v>
      </c>
      <c r="B1594" s="11" t="s">
        <v>44</v>
      </c>
      <c r="C1594" s="41">
        <v>44875</v>
      </c>
      <c r="D1594" s="41">
        <v>44875</v>
      </c>
      <c r="E1594" s="11" t="s">
        <v>42</v>
      </c>
      <c r="F1594" s="11" t="s">
        <v>3219</v>
      </c>
      <c r="G1594" s="11">
        <v>108327</v>
      </c>
      <c r="H1594" s="11" t="s">
        <v>57</v>
      </c>
      <c r="K1594" s="11">
        <v>101060409</v>
      </c>
      <c r="L1594" s="11" t="s">
        <v>128</v>
      </c>
      <c r="M1594" s="11"/>
      <c r="N1594" s="11">
        <v>2142.1799999999998</v>
      </c>
      <c r="O1594" s="42">
        <v>-2142.1799999999998</v>
      </c>
      <c r="P1594" s="43" t="s">
        <v>4481</v>
      </c>
      <c r="Q1594" s="11">
        <v>814638.48</v>
      </c>
      <c r="R1594" s="11" t="s">
        <v>3220</v>
      </c>
      <c r="S1594" s="11" t="s">
        <v>40</v>
      </c>
      <c r="T1594" s="11">
        <v>0</v>
      </c>
    </row>
    <row r="1595" spans="1:22" x14ac:dyDescent="0.25">
      <c r="A1595" s="11">
        <v>101060402</v>
      </c>
      <c r="B1595" s="11" t="s">
        <v>44</v>
      </c>
      <c r="C1595" s="41">
        <v>44875</v>
      </c>
      <c r="D1595" s="41">
        <v>44875</v>
      </c>
      <c r="E1595" s="11" t="s">
        <v>42</v>
      </c>
      <c r="F1595" s="11" t="s">
        <v>3221</v>
      </c>
      <c r="G1595" s="11">
        <v>108328</v>
      </c>
      <c r="H1595" s="11" t="s">
        <v>112</v>
      </c>
      <c r="J1595" s="11" t="s">
        <v>240</v>
      </c>
      <c r="K1595" s="11">
        <v>51010102</v>
      </c>
      <c r="L1595" s="11" t="s">
        <v>194</v>
      </c>
      <c r="M1595" s="11"/>
      <c r="N1595" s="11">
        <v>589.86</v>
      </c>
      <c r="O1595" s="42">
        <v>-589.86</v>
      </c>
      <c r="P1595" s="43" t="s">
        <v>4489</v>
      </c>
      <c r="Q1595" s="11">
        <v>814048.62</v>
      </c>
      <c r="R1595" s="11" t="s">
        <v>1377</v>
      </c>
      <c r="S1595" s="11" t="s">
        <v>106</v>
      </c>
      <c r="T1595" s="11">
        <v>0</v>
      </c>
      <c r="V1595" s="11" t="s">
        <v>241</v>
      </c>
    </row>
    <row r="1596" spans="1:22" x14ac:dyDescent="0.25">
      <c r="A1596" s="11">
        <v>101060402</v>
      </c>
      <c r="B1596" s="11" t="s">
        <v>44</v>
      </c>
      <c r="C1596" s="41">
        <v>44875</v>
      </c>
      <c r="D1596" s="41">
        <v>44875</v>
      </c>
      <c r="E1596" s="11" t="s">
        <v>42</v>
      </c>
      <c r="F1596" s="11" t="s">
        <v>3221</v>
      </c>
      <c r="G1596" s="11">
        <v>108328</v>
      </c>
      <c r="H1596" s="11" t="s">
        <v>112</v>
      </c>
      <c r="J1596" s="11" t="s">
        <v>240</v>
      </c>
      <c r="K1596" s="11">
        <v>51010102</v>
      </c>
      <c r="L1596" s="11" t="s">
        <v>194</v>
      </c>
      <c r="M1596" s="11"/>
      <c r="N1596" s="11">
        <v>1590.7</v>
      </c>
      <c r="O1596" s="42">
        <v>-1590.7</v>
      </c>
      <c r="P1596" s="43" t="s">
        <v>4489</v>
      </c>
      <c r="Q1596" s="11">
        <v>812457.92</v>
      </c>
      <c r="R1596" s="11" t="s">
        <v>3222</v>
      </c>
      <c r="S1596" s="11" t="s">
        <v>106</v>
      </c>
      <c r="T1596" s="11">
        <v>0</v>
      </c>
      <c r="V1596" s="11" t="s">
        <v>241</v>
      </c>
    </row>
    <row r="1597" spans="1:22" x14ac:dyDescent="0.25">
      <c r="A1597" s="11">
        <v>101060402</v>
      </c>
      <c r="B1597" s="11" t="s">
        <v>44</v>
      </c>
      <c r="C1597" s="41">
        <v>44876</v>
      </c>
      <c r="D1597" s="41">
        <v>44876</v>
      </c>
      <c r="E1597" s="11" t="s">
        <v>36</v>
      </c>
      <c r="F1597" s="11" t="s">
        <v>3223</v>
      </c>
      <c r="G1597" s="11">
        <v>108333</v>
      </c>
      <c r="H1597" s="11" t="s">
        <v>190</v>
      </c>
      <c r="J1597" s="11" t="s">
        <v>240</v>
      </c>
      <c r="K1597" s="11">
        <v>51010102</v>
      </c>
      <c r="L1597" s="11" t="s">
        <v>194</v>
      </c>
      <c r="M1597" s="11">
        <v>349.44</v>
      </c>
      <c r="N1597" s="11"/>
      <c r="O1597" s="42">
        <v>349.44</v>
      </c>
      <c r="P1597" s="43" t="s">
        <v>4489</v>
      </c>
      <c r="Q1597" s="11">
        <v>812807.36</v>
      </c>
      <c r="R1597" s="11" t="s">
        <v>2887</v>
      </c>
      <c r="S1597" s="11" t="s">
        <v>106</v>
      </c>
      <c r="T1597" s="11">
        <v>0</v>
      </c>
      <c r="V1597" s="11" t="s">
        <v>241</v>
      </c>
    </row>
    <row r="1598" spans="1:22" x14ac:dyDescent="0.25">
      <c r="A1598" s="11">
        <v>101060402</v>
      </c>
      <c r="B1598" s="11" t="s">
        <v>44</v>
      </c>
      <c r="C1598" s="41">
        <v>44876</v>
      </c>
      <c r="D1598" s="41">
        <v>44876</v>
      </c>
      <c r="E1598" s="11" t="s">
        <v>42</v>
      </c>
      <c r="F1598" s="11" t="s">
        <v>3224</v>
      </c>
      <c r="G1598" s="11">
        <v>108334</v>
      </c>
      <c r="H1598" s="11" t="s">
        <v>47</v>
      </c>
      <c r="J1598" s="11" t="s">
        <v>240</v>
      </c>
      <c r="K1598" s="11">
        <v>51010102</v>
      </c>
      <c r="L1598" s="11" t="s">
        <v>194</v>
      </c>
      <c r="M1598" s="11"/>
      <c r="N1598" s="11">
        <v>202.75</v>
      </c>
      <c r="O1598" s="42">
        <v>-202.75</v>
      </c>
      <c r="P1598" s="43" t="s">
        <v>4489</v>
      </c>
      <c r="Q1598" s="11">
        <v>812604.61</v>
      </c>
      <c r="R1598" s="11" t="s">
        <v>3225</v>
      </c>
      <c r="S1598" s="11" t="s">
        <v>106</v>
      </c>
      <c r="T1598" s="11">
        <v>0</v>
      </c>
      <c r="V1598" s="11" t="s">
        <v>241</v>
      </c>
    </row>
    <row r="1599" spans="1:22" x14ac:dyDescent="0.25">
      <c r="A1599" s="11">
        <v>101060402</v>
      </c>
      <c r="B1599" s="11" t="s">
        <v>44</v>
      </c>
      <c r="C1599" s="41">
        <v>44876</v>
      </c>
      <c r="D1599" s="41">
        <v>44876</v>
      </c>
      <c r="E1599" s="11" t="s">
        <v>42</v>
      </c>
      <c r="F1599" s="11" t="s">
        <v>3226</v>
      </c>
      <c r="G1599" s="11">
        <v>108341</v>
      </c>
      <c r="H1599" s="11" t="s">
        <v>141</v>
      </c>
      <c r="J1599" s="11" t="s">
        <v>240</v>
      </c>
      <c r="K1599" s="11">
        <v>51010102</v>
      </c>
      <c r="L1599" s="11" t="s">
        <v>194</v>
      </c>
      <c r="M1599" s="11"/>
      <c r="N1599" s="11">
        <v>204.36</v>
      </c>
      <c r="O1599" s="42">
        <v>-204.36</v>
      </c>
      <c r="P1599" s="43" t="s">
        <v>4489</v>
      </c>
      <c r="Q1599" s="11">
        <v>812400.25</v>
      </c>
      <c r="R1599" s="11" t="s">
        <v>3227</v>
      </c>
      <c r="S1599" s="11" t="s">
        <v>106</v>
      </c>
      <c r="T1599" s="11">
        <v>0</v>
      </c>
      <c r="V1599" s="11" t="s">
        <v>241</v>
      </c>
    </row>
    <row r="1600" spans="1:22" x14ac:dyDescent="0.25">
      <c r="A1600" s="11">
        <v>101060402</v>
      </c>
      <c r="B1600" s="11" t="s">
        <v>44</v>
      </c>
      <c r="C1600" s="41">
        <v>44876</v>
      </c>
      <c r="D1600" s="41">
        <v>44876</v>
      </c>
      <c r="E1600" s="11" t="s">
        <v>42</v>
      </c>
      <c r="F1600" s="11" t="s">
        <v>3228</v>
      </c>
      <c r="G1600" s="11">
        <v>108343</v>
      </c>
      <c r="H1600" s="11" t="s">
        <v>141</v>
      </c>
      <c r="J1600" s="11" t="s">
        <v>240</v>
      </c>
      <c r="K1600" s="11">
        <v>51010102</v>
      </c>
      <c r="L1600" s="11" t="s">
        <v>194</v>
      </c>
      <c r="M1600" s="11"/>
      <c r="N1600" s="11">
        <v>27</v>
      </c>
      <c r="O1600" s="42">
        <v>-27</v>
      </c>
      <c r="P1600" s="43" t="s">
        <v>4489</v>
      </c>
      <c r="Q1600" s="11">
        <v>812373.25</v>
      </c>
      <c r="R1600" s="11" t="s">
        <v>1405</v>
      </c>
      <c r="S1600" s="11" t="s">
        <v>106</v>
      </c>
      <c r="T1600" s="11">
        <v>0</v>
      </c>
      <c r="V1600" s="11" t="s">
        <v>241</v>
      </c>
    </row>
    <row r="1601" spans="1:22" x14ac:dyDescent="0.25">
      <c r="A1601" s="11">
        <v>101060402</v>
      </c>
      <c r="B1601" s="11" t="s">
        <v>44</v>
      </c>
      <c r="C1601" s="41">
        <v>44876</v>
      </c>
      <c r="D1601" s="41">
        <v>44876</v>
      </c>
      <c r="E1601" s="11" t="s">
        <v>42</v>
      </c>
      <c r="F1601" s="11" t="s">
        <v>3229</v>
      </c>
      <c r="G1601" s="11">
        <v>108344</v>
      </c>
      <c r="H1601" s="11" t="s">
        <v>226</v>
      </c>
      <c r="J1601" s="11" t="s">
        <v>240</v>
      </c>
      <c r="K1601" s="11">
        <v>51010102</v>
      </c>
      <c r="L1601" s="11" t="s">
        <v>194</v>
      </c>
      <c r="M1601" s="11">
        <v>27</v>
      </c>
      <c r="N1601" s="11"/>
      <c r="O1601" s="42">
        <v>27</v>
      </c>
      <c r="P1601" s="43" t="s">
        <v>4489</v>
      </c>
      <c r="Q1601" s="11">
        <v>812400.25</v>
      </c>
      <c r="R1601" s="11" t="s">
        <v>1403</v>
      </c>
      <c r="S1601" s="11" t="s">
        <v>106</v>
      </c>
      <c r="T1601" s="11">
        <v>0</v>
      </c>
      <c r="V1601" s="11" t="s">
        <v>241</v>
      </c>
    </row>
    <row r="1602" spans="1:22" x14ac:dyDescent="0.25">
      <c r="A1602" s="11">
        <v>101060402</v>
      </c>
      <c r="B1602" s="11" t="s">
        <v>44</v>
      </c>
      <c r="C1602" s="41">
        <v>44876</v>
      </c>
      <c r="D1602" s="41">
        <v>44876</v>
      </c>
      <c r="E1602" s="11" t="s">
        <v>36</v>
      </c>
      <c r="F1602" s="11" t="s">
        <v>3230</v>
      </c>
      <c r="G1602" s="11">
        <v>108346</v>
      </c>
      <c r="H1602" s="11" t="s">
        <v>37</v>
      </c>
      <c r="J1602" s="11" t="s">
        <v>38</v>
      </c>
      <c r="K1602" s="11">
        <v>401030105</v>
      </c>
      <c r="L1602" s="11" t="s">
        <v>54</v>
      </c>
      <c r="M1602" s="26">
        <v>7.08</v>
      </c>
      <c r="O1602" s="44">
        <v>7.08</v>
      </c>
      <c r="P1602" s="43" t="s">
        <v>4494</v>
      </c>
      <c r="Q1602" s="11">
        <v>812407.33</v>
      </c>
      <c r="R1602" s="11" t="s">
        <v>3231</v>
      </c>
      <c r="S1602" s="11" t="s">
        <v>40</v>
      </c>
      <c r="T1602" s="11">
        <v>0</v>
      </c>
      <c r="V1602" s="11" t="s">
        <v>41</v>
      </c>
    </row>
    <row r="1603" spans="1:22" x14ac:dyDescent="0.25">
      <c r="A1603" s="11">
        <v>101060402</v>
      </c>
      <c r="B1603" s="11" t="s">
        <v>44</v>
      </c>
      <c r="C1603" s="41">
        <v>44876</v>
      </c>
      <c r="D1603" s="41">
        <v>44876</v>
      </c>
      <c r="E1603" s="11" t="s">
        <v>42</v>
      </c>
      <c r="F1603" s="11" t="s">
        <v>3232</v>
      </c>
      <c r="G1603" s="11">
        <v>108347</v>
      </c>
      <c r="H1603" s="11" t="s">
        <v>141</v>
      </c>
      <c r="J1603" s="11" t="s">
        <v>240</v>
      </c>
      <c r="K1603" s="11">
        <v>51010102</v>
      </c>
      <c r="L1603" s="11" t="s">
        <v>194</v>
      </c>
      <c r="M1603" s="11"/>
      <c r="N1603" s="11">
        <v>34.08</v>
      </c>
      <c r="O1603" s="42">
        <v>-34.08</v>
      </c>
      <c r="P1603" s="43" t="s">
        <v>4489</v>
      </c>
      <c r="Q1603" s="11">
        <v>812373.25</v>
      </c>
      <c r="R1603" s="11" t="s">
        <v>3233</v>
      </c>
      <c r="S1603" s="11" t="s">
        <v>106</v>
      </c>
      <c r="T1603" s="11">
        <v>0</v>
      </c>
      <c r="V1603" s="11" t="s">
        <v>241</v>
      </c>
    </row>
    <row r="1604" spans="1:22" x14ac:dyDescent="0.25">
      <c r="A1604" s="11">
        <v>101060402</v>
      </c>
      <c r="B1604" s="11" t="s">
        <v>44</v>
      </c>
      <c r="C1604" s="41">
        <v>44876</v>
      </c>
      <c r="D1604" s="41">
        <v>44876</v>
      </c>
      <c r="E1604" s="11" t="s">
        <v>42</v>
      </c>
      <c r="F1604" s="11" t="s">
        <v>3234</v>
      </c>
      <c r="G1604" s="11">
        <v>108349</v>
      </c>
      <c r="H1604" s="11" t="s">
        <v>47</v>
      </c>
      <c r="J1604" s="11" t="s">
        <v>240</v>
      </c>
      <c r="K1604" s="11">
        <v>51010102</v>
      </c>
      <c r="L1604" s="11" t="s">
        <v>194</v>
      </c>
      <c r="M1604" s="11"/>
      <c r="N1604" s="11">
        <v>68.22</v>
      </c>
      <c r="O1604" s="42">
        <v>-68.22</v>
      </c>
      <c r="P1604" s="43" t="s">
        <v>4489</v>
      </c>
      <c r="Q1604" s="11">
        <v>812305.03</v>
      </c>
      <c r="R1604" s="11" t="s">
        <v>204</v>
      </c>
      <c r="S1604" s="11" t="s">
        <v>106</v>
      </c>
      <c r="T1604" s="11">
        <v>0</v>
      </c>
      <c r="V1604" s="11" t="s">
        <v>241</v>
      </c>
    </row>
    <row r="1605" spans="1:22" x14ac:dyDescent="0.25">
      <c r="A1605" s="11">
        <v>101060402</v>
      </c>
      <c r="B1605" s="11" t="s">
        <v>44</v>
      </c>
      <c r="C1605" s="41">
        <v>44876</v>
      </c>
      <c r="D1605" s="41">
        <v>44876</v>
      </c>
      <c r="E1605" s="11" t="s">
        <v>42</v>
      </c>
      <c r="F1605" s="11" t="s">
        <v>3235</v>
      </c>
      <c r="G1605" s="11">
        <v>108350</v>
      </c>
      <c r="H1605" s="11" t="s">
        <v>2875</v>
      </c>
      <c r="J1605" s="11" t="s">
        <v>240</v>
      </c>
      <c r="K1605" s="11">
        <v>51010102</v>
      </c>
      <c r="L1605" s="11" t="s">
        <v>194</v>
      </c>
      <c r="M1605" s="11"/>
      <c r="N1605" s="11">
        <v>4.88</v>
      </c>
      <c r="O1605" s="42">
        <v>-4.88</v>
      </c>
      <c r="P1605" s="43" t="s">
        <v>4489</v>
      </c>
      <c r="Q1605" s="11">
        <v>812300.15</v>
      </c>
      <c r="R1605" s="11" t="s">
        <v>3236</v>
      </c>
      <c r="S1605" s="11" t="s">
        <v>106</v>
      </c>
      <c r="T1605" s="11">
        <v>0</v>
      </c>
      <c r="V1605" s="11" t="s">
        <v>241</v>
      </c>
    </row>
    <row r="1606" spans="1:22" x14ac:dyDescent="0.25">
      <c r="A1606" s="11">
        <v>101060402</v>
      </c>
      <c r="B1606" s="11" t="s">
        <v>44</v>
      </c>
      <c r="C1606" s="41">
        <v>44876</v>
      </c>
      <c r="D1606" s="41">
        <v>44876</v>
      </c>
      <c r="E1606" s="11" t="s">
        <v>42</v>
      </c>
      <c r="F1606" s="11" t="s">
        <v>3237</v>
      </c>
      <c r="G1606" s="11">
        <v>108354</v>
      </c>
      <c r="H1606" s="11" t="s">
        <v>168</v>
      </c>
      <c r="J1606" s="11" t="s">
        <v>240</v>
      </c>
      <c r="K1606" s="11">
        <v>51010102</v>
      </c>
      <c r="L1606" s="11" t="s">
        <v>194</v>
      </c>
      <c r="M1606" s="11"/>
      <c r="N1606" s="11">
        <v>203.64</v>
      </c>
      <c r="O1606" s="42">
        <v>-203.64</v>
      </c>
      <c r="P1606" s="43" t="s">
        <v>4489</v>
      </c>
      <c r="Q1606" s="11">
        <v>812096.51</v>
      </c>
      <c r="R1606" s="11" t="s">
        <v>3238</v>
      </c>
      <c r="S1606" s="11" t="s">
        <v>106</v>
      </c>
      <c r="T1606" s="11">
        <v>0</v>
      </c>
      <c r="V1606" s="11" t="s">
        <v>241</v>
      </c>
    </row>
    <row r="1607" spans="1:22" x14ac:dyDescent="0.25">
      <c r="A1607" s="11">
        <v>101060402</v>
      </c>
      <c r="B1607" s="11" t="s">
        <v>44</v>
      </c>
      <c r="C1607" s="41">
        <v>44876</v>
      </c>
      <c r="D1607" s="41">
        <v>44876</v>
      </c>
      <c r="E1607" s="11" t="s">
        <v>42</v>
      </c>
      <c r="F1607" s="11" t="s">
        <v>3239</v>
      </c>
      <c r="G1607" s="11">
        <v>108359</v>
      </c>
      <c r="H1607" s="11" t="s">
        <v>47</v>
      </c>
      <c r="J1607" s="11" t="s">
        <v>240</v>
      </c>
      <c r="K1607" s="11">
        <v>51010102</v>
      </c>
      <c r="L1607" s="11" t="s">
        <v>194</v>
      </c>
      <c r="M1607" s="11"/>
      <c r="N1607" s="11">
        <v>1219.27</v>
      </c>
      <c r="O1607" s="42">
        <v>-1219.27</v>
      </c>
      <c r="P1607" s="43" t="s">
        <v>4489</v>
      </c>
      <c r="Q1607" s="11">
        <v>810877.24</v>
      </c>
      <c r="R1607" s="11" t="s">
        <v>3240</v>
      </c>
      <c r="S1607" s="11" t="s">
        <v>106</v>
      </c>
      <c r="T1607" s="11">
        <v>0</v>
      </c>
      <c r="V1607" s="11" t="s">
        <v>241</v>
      </c>
    </row>
    <row r="1608" spans="1:22" x14ac:dyDescent="0.25">
      <c r="A1608" s="11">
        <v>101060402</v>
      </c>
      <c r="B1608" s="11" t="s">
        <v>44</v>
      </c>
      <c r="C1608" s="41">
        <v>44876</v>
      </c>
      <c r="D1608" s="41">
        <v>44876</v>
      </c>
      <c r="E1608" s="11" t="s">
        <v>36</v>
      </c>
      <c r="F1608" s="11" t="s">
        <v>3241</v>
      </c>
      <c r="G1608" s="11">
        <v>108360</v>
      </c>
      <c r="H1608" s="11" t="s">
        <v>190</v>
      </c>
      <c r="J1608" s="11" t="s">
        <v>240</v>
      </c>
      <c r="K1608" s="11">
        <v>51010102</v>
      </c>
      <c r="L1608" s="11" t="s">
        <v>194</v>
      </c>
      <c r="M1608" s="11">
        <v>11</v>
      </c>
      <c r="N1608" s="11"/>
      <c r="O1608" s="42">
        <v>11</v>
      </c>
      <c r="P1608" s="43" t="s">
        <v>4489</v>
      </c>
      <c r="Q1608" s="11">
        <v>810888.24</v>
      </c>
      <c r="R1608" s="11" t="s">
        <v>250</v>
      </c>
      <c r="S1608" s="11" t="s">
        <v>106</v>
      </c>
      <c r="T1608" s="11">
        <v>0</v>
      </c>
      <c r="V1608" s="11" t="s">
        <v>241</v>
      </c>
    </row>
    <row r="1609" spans="1:22" x14ac:dyDescent="0.25">
      <c r="A1609" s="11">
        <v>101060402</v>
      </c>
      <c r="B1609" s="11" t="s">
        <v>44</v>
      </c>
      <c r="C1609" s="41">
        <v>44876</v>
      </c>
      <c r="D1609" s="41">
        <v>44876</v>
      </c>
      <c r="E1609" s="11" t="s">
        <v>42</v>
      </c>
      <c r="F1609" s="11" t="s">
        <v>3242</v>
      </c>
      <c r="G1609" s="11">
        <v>108362</v>
      </c>
      <c r="H1609" s="11" t="s">
        <v>162</v>
      </c>
      <c r="J1609" s="11" t="s">
        <v>240</v>
      </c>
      <c r="K1609" s="11">
        <v>51010102</v>
      </c>
      <c r="L1609" s="11" t="s">
        <v>194</v>
      </c>
      <c r="M1609" s="11"/>
      <c r="N1609" s="11">
        <v>3674.42</v>
      </c>
      <c r="O1609" s="42">
        <v>-3674.42</v>
      </c>
      <c r="P1609" s="43" t="s">
        <v>4489</v>
      </c>
      <c r="Q1609" s="11">
        <v>807213.82</v>
      </c>
      <c r="R1609" s="11" t="s">
        <v>3243</v>
      </c>
      <c r="S1609" s="11" t="s">
        <v>106</v>
      </c>
      <c r="T1609" s="11">
        <v>0</v>
      </c>
      <c r="V1609" s="11" t="s">
        <v>241</v>
      </c>
    </row>
    <row r="1610" spans="1:22" x14ac:dyDescent="0.25">
      <c r="A1610" s="11">
        <v>101060402</v>
      </c>
      <c r="B1610" s="11" t="s">
        <v>44</v>
      </c>
      <c r="C1610" s="41">
        <v>44876</v>
      </c>
      <c r="D1610" s="41">
        <v>44876</v>
      </c>
      <c r="E1610" s="11" t="s">
        <v>42</v>
      </c>
      <c r="F1610" s="11" t="s">
        <v>3244</v>
      </c>
      <c r="G1610" s="11">
        <v>108363</v>
      </c>
      <c r="H1610" s="11" t="s">
        <v>162</v>
      </c>
      <c r="J1610" s="11" t="s">
        <v>240</v>
      </c>
      <c r="K1610" s="11">
        <v>51010102</v>
      </c>
      <c r="L1610" s="11" t="s">
        <v>194</v>
      </c>
      <c r="M1610" s="11"/>
      <c r="N1610" s="11">
        <v>920.8</v>
      </c>
      <c r="O1610" s="42">
        <v>-920.8</v>
      </c>
      <c r="P1610" s="43" t="s">
        <v>4489</v>
      </c>
      <c r="Q1610" s="11">
        <v>806293.02</v>
      </c>
      <c r="R1610" s="11" t="s">
        <v>3245</v>
      </c>
      <c r="S1610" s="11" t="s">
        <v>106</v>
      </c>
      <c r="T1610" s="11">
        <v>0</v>
      </c>
      <c r="V1610" s="11" t="s">
        <v>241</v>
      </c>
    </row>
    <row r="1611" spans="1:22" x14ac:dyDescent="0.25">
      <c r="A1611" s="11">
        <v>101060402</v>
      </c>
      <c r="B1611" s="11" t="s">
        <v>44</v>
      </c>
      <c r="C1611" s="41">
        <v>44879</v>
      </c>
      <c r="D1611" s="41">
        <v>44879</v>
      </c>
      <c r="E1611" s="11" t="s">
        <v>42</v>
      </c>
      <c r="F1611" s="11" t="s">
        <v>1438</v>
      </c>
      <c r="G1611" s="11">
        <v>108417</v>
      </c>
      <c r="H1611" s="11" t="s">
        <v>57</v>
      </c>
      <c r="K1611" s="11">
        <v>101060401</v>
      </c>
      <c r="L1611" s="11" t="s">
        <v>34</v>
      </c>
      <c r="M1611" s="11">
        <v>381.36</v>
      </c>
      <c r="N1611" s="11"/>
      <c r="O1611" s="42">
        <v>381.36</v>
      </c>
      <c r="P1611" s="43" t="s">
        <v>4481</v>
      </c>
      <c r="Q1611" s="11">
        <v>806674.38</v>
      </c>
      <c r="R1611" s="11" t="s">
        <v>1437</v>
      </c>
      <c r="S1611" s="11" t="s">
        <v>40</v>
      </c>
      <c r="T1611" s="11">
        <v>0</v>
      </c>
    </row>
    <row r="1612" spans="1:22" x14ac:dyDescent="0.25">
      <c r="A1612" s="11">
        <v>101060402</v>
      </c>
      <c r="B1612" s="11" t="s">
        <v>44</v>
      </c>
      <c r="C1612" s="41">
        <v>44879</v>
      </c>
      <c r="D1612" s="41">
        <v>44879</v>
      </c>
      <c r="E1612" s="11" t="s">
        <v>42</v>
      </c>
      <c r="F1612" s="11" t="s">
        <v>3246</v>
      </c>
      <c r="G1612" s="11">
        <v>108425</v>
      </c>
      <c r="H1612" s="11" t="s">
        <v>47</v>
      </c>
      <c r="J1612" s="11" t="s">
        <v>240</v>
      </c>
      <c r="K1612" s="11">
        <v>51010102</v>
      </c>
      <c r="L1612" s="11" t="s">
        <v>194</v>
      </c>
      <c r="M1612" s="11"/>
      <c r="N1612" s="11">
        <v>7.29</v>
      </c>
      <c r="O1612" s="42">
        <v>-7.29</v>
      </c>
      <c r="P1612" s="43" t="s">
        <v>4489</v>
      </c>
      <c r="Q1612" s="11">
        <v>806667.09</v>
      </c>
      <c r="R1612" s="11" t="s">
        <v>3247</v>
      </c>
      <c r="S1612" s="11" t="s">
        <v>106</v>
      </c>
      <c r="T1612" s="11">
        <v>0</v>
      </c>
      <c r="V1612" s="11" t="s">
        <v>241</v>
      </c>
    </row>
    <row r="1613" spans="1:22" x14ac:dyDescent="0.25">
      <c r="A1613" s="11">
        <v>101060402</v>
      </c>
      <c r="B1613" s="11" t="s">
        <v>44</v>
      </c>
      <c r="C1613" s="41">
        <v>44879</v>
      </c>
      <c r="D1613" s="41">
        <v>44879</v>
      </c>
      <c r="E1613" s="11" t="s">
        <v>42</v>
      </c>
      <c r="F1613" s="11" t="s">
        <v>3248</v>
      </c>
      <c r="G1613" s="11">
        <v>108426</v>
      </c>
      <c r="H1613" s="11" t="s">
        <v>47</v>
      </c>
      <c r="J1613" s="11" t="s">
        <v>240</v>
      </c>
      <c r="K1613" s="11">
        <v>51010102</v>
      </c>
      <c r="L1613" s="11" t="s">
        <v>194</v>
      </c>
      <c r="M1613" s="11"/>
      <c r="N1613" s="11">
        <v>399.86</v>
      </c>
      <c r="O1613" s="42">
        <v>-399.86</v>
      </c>
      <c r="P1613" s="43" t="s">
        <v>4489</v>
      </c>
      <c r="Q1613" s="11">
        <v>806267.23</v>
      </c>
      <c r="R1613" s="11" t="s">
        <v>3249</v>
      </c>
      <c r="S1613" s="11" t="s">
        <v>106</v>
      </c>
      <c r="T1613" s="11">
        <v>0</v>
      </c>
      <c r="V1613" s="11" t="s">
        <v>241</v>
      </c>
    </row>
    <row r="1614" spans="1:22" x14ac:dyDescent="0.25">
      <c r="A1614" s="11">
        <v>101060402</v>
      </c>
      <c r="B1614" s="11" t="s">
        <v>44</v>
      </c>
      <c r="C1614" s="41">
        <v>44879</v>
      </c>
      <c r="D1614" s="41">
        <v>44879</v>
      </c>
      <c r="E1614" s="11" t="s">
        <v>42</v>
      </c>
      <c r="F1614" s="11" t="s">
        <v>3250</v>
      </c>
      <c r="G1614" s="11">
        <v>108432</v>
      </c>
      <c r="H1614" s="11" t="s">
        <v>76</v>
      </c>
      <c r="J1614" s="11" t="s">
        <v>240</v>
      </c>
      <c r="K1614" s="11">
        <v>51010102</v>
      </c>
      <c r="L1614" s="11" t="s">
        <v>194</v>
      </c>
      <c r="M1614" s="11"/>
      <c r="N1614" s="11">
        <v>180.32</v>
      </c>
      <c r="O1614" s="42">
        <v>-180.32</v>
      </c>
      <c r="P1614" s="43" t="s">
        <v>4489</v>
      </c>
      <c r="Q1614" s="11">
        <v>806086.91</v>
      </c>
      <c r="R1614" s="11" t="s">
        <v>3251</v>
      </c>
      <c r="S1614" s="11" t="s">
        <v>106</v>
      </c>
      <c r="T1614" s="11">
        <v>0</v>
      </c>
      <c r="V1614" s="11" t="s">
        <v>241</v>
      </c>
    </row>
    <row r="1615" spans="1:22" x14ac:dyDescent="0.25">
      <c r="A1615" s="11">
        <v>101060402</v>
      </c>
      <c r="B1615" s="11" t="s">
        <v>44</v>
      </c>
      <c r="C1615" s="41">
        <v>44879</v>
      </c>
      <c r="D1615" s="41">
        <v>44879</v>
      </c>
      <c r="E1615" s="11" t="s">
        <v>42</v>
      </c>
      <c r="F1615" s="11" t="s">
        <v>3252</v>
      </c>
      <c r="G1615" s="11">
        <v>108433</v>
      </c>
      <c r="H1615" s="11" t="s">
        <v>1810</v>
      </c>
      <c r="J1615" s="11" t="s">
        <v>240</v>
      </c>
      <c r="K1615" s="11">
        <v>51010102</v>
      </c>
      <c r="L1615" s="11" t="s">
        <v>194</v>
      </c>
      <c r="M1615" s="11"/>
      <c r="N1615" s="11">
        <v>381.36</v>
      </c>
      <c r="O1615" s="42">
        <v>-381.36</v>
      </c>
      <c r="P1615" s="43" t="s">
        <v>4489</v>
      </c>
      <c r="Q1615" s="11">
        <v>805705.55</v>
      </c>
      <c r="R1615" s="11" t="s">
        <v>1439</v>
      </c>
      <c r="S1615" s="11" t="s">
        <v>106</v>
      </c>
      <c r="T1615" s="11">
        <v>0</v>
      </c>
      <c r="V1615" s="11" t="s">
        <v>241</v>
      </c>
    </row>
    <row r="1616" spans="1:22" x14ac:dyDescent="0.25">
      <c r="A1616" s="11">
        <v>101060402</v>
      </c>
      <c r="B1616" s="11" t="s">
        <v>44</v>
      </c>
      <c r="C1616" s="41">
        <v>44879</v>
      </c>
      <c r="D1616" s="41">
        <v>44879</v>
      </c>
      <c r="E1616" s="11" t="s">
        <v>42</v>
      </c>
      <c r="F1616" s="11" t="s">
        <v>3253</v>
      </c>
      <c r="G1616" s="11">
        <v>108456</v>
      </c>
      <c r="H1616" s="11" t="s">
        <v>47</v>
      </c>
      <c r="J1616" s="11" t="s">
        <v>240</v>
      </c>
      <c r="K1616" s="11">
        <v>51010102</v>
      </c>
      <c r="L1616" s="11" t="s">
        <v>194</v>
      </c>
      <c r="M1616" s="11"/>
      <c r="N1616" s="11">
        <v>2.4300000000000002</v>
      </c>
      <c r="O1616" s="42">
        <v>-2.4300000000000002</v>
      </c>
      <c r="P1616" s="43" t="s">
        <v>4489</v>
      </c>
      <c r="Q1616" s="11">
        <v>805703.12</v>
      </c>
      <c r="R1616" s="11" t="s">
        <v>3254</v>
      </c>
      <c r="S1616" s="11" t="s">
        <v>106</v>
      </c>
      <c r="T1616" s="11">
        <v>0</v>
      </c>
      <c r="V1616" s="11" t="s">
        <v>241</v>
      </c>
    </row>
    <row r="1617" spans="1:22" x14ac:dyDescent="0.25">
      <c r="A1617" s="11">
        <v>101060402</v>
      </c>
      <c r="B1617" s="11" t="s">
        <v>44</v>
      </c>
      <c r="C1617" s="41">
        <v>44879</v>
      </c>
      <c r="D1617" s="41">
        <v>44879</v>
      </c>
      <c r="E1617" s="11" t="s">
        <v>42</v>
      </c>
      <c r="F1617" s="11" t="s">
        <v>3255</v>
      </c>
      <c r="G1617" s="11">
        <v>108469</v>
      </c>
      <c r="H1617" s="11" t="s">
        <v>47</v>
      </c>
      <c r="J1617" s="11" t="s">
        <v>240</v>
      </c>
      <c r="K1617" s="11">
        <v>51010102</v>
      </c>
      <c r="L1617" s="11" t="s">
        <v>194</v>
      </c>
      <c r="M1617" s="11"/>
      <c r="N1617" s="11">
        <v>275.94</v>
      </c>
      <c r="O1617" s="42">
        <v>-275.94</v>
      </c>
      <c r="P1617" s="43" t="s">
        <v>4489</v>
      </c>
      <c r="Q1617" s="11">
        <v>805427.18</v>
      </c>
      <c r="R1617" s="11" t="s">
        <v>3256</v>
      </c>
      <c r="S1617" s="11" t="s">
        <v>106</v>
      </c>
      <c r="T1617" s="11">
        <v>0</v>
      </c>
      <c r="V1617" s="11" t="s">
        <v>241</v>
      </c>
    </row>
    <row r="1618" spans="1:22" x14ac:dyDescent="0.25">
      <c r="A1618" s="11">
        <v>101060402</v>
      </c>
      <c r="B1618" s="11" t="s">
        <v>44</v>
      </c>
      <c r="C1618" s="41">
        <v>44879</v>
      </c>
      <c r="D1618" s="41">
        <v>44879</v>
      </c>
      <c r="E1618" s="11" t="s">
        <v>42</v>
      </c>
      <c r="F1618" s="11" t="s">
        <v>3257</v>
      </c>
      <c r="G1618" s="11">
        <v>108471</v>
      </c>
      <c r="H1618" s="11" t="s">
        <v>47</v>
      </c>
      <c r="J1618" s="11" t="s">
        <v>240</v>
      </c>
      <c r="K1618" s="11">
        <v>51010102</v>
      </c>
      <c r="L1618" s="11" t="s">
        <v>194</v>
      </c>
      <c r="M1618" s="11"/>
      <c r="N1618" s="11">
        <v>5.19</v>
      </c>
      <c r="O1618" s="42">
        <v>-5.19</v>
      </c>
      <c r="P1618" s="43" t="s">
        <v>4489</v>
      </c>
      <c r="Q1618" s="11">
        <v>805421.99</v>
      </c>
      <c r="R1618" s="11" t="s">
        <v>3258</v>
      </c>
      <c r="S1618" s="11" t="s">
        <v>106</v>
      </c>
      <c r="T1618" s="11">
        <v>0</v>
      </c>
      <c r="V1618" s="11" t="s">
        <v>241</v>
      </c>
    </row>
    <row r="1619" spans="1:22" x14ac:dyDescent="0.25">
      <c r="A1619" s="11">
        <v>101060402</v>
      </c>
      <c r="B1619" s="11" t="s">
        <v>44</v>
      </c>
      <c r="C1619" s="41">
        <v>44880</v>
      </c>
      <c r="D1619" s="41">
        <v>44880</v>
      </c>
      <c r="E1619" s="11" t="s">
        <v>42</v>
      </c>
      <c r="F1619" s="11" t="s">
        <v>3259</v>
      </c>
      <c r="G1619" s="11">
        <v>108509</v>
      </c>
      <c r="H1619" s="11" t="s">
        <v>47</v>
      </c>
      <c r="J1619" s="11" t="s">
        <v>240</v>
      </c>
      <c r="K1619" s="11">
        <v>51010102</v>
      </c>
      <c r="L1619" s="11" t="s">
        <v>194</v>
      </c>
      <c r="M1619" s="11"/>
      <c r="N1619" s="11">
        <v>741.95</v>
      </c>
      <c r="O1619" s="42">
        <v>-741.95</v>
      </c>
      <c r="P1619" s="43" t="s">
        <v>4489</v>
      </c>
      <c r="Q1619" s="11">
        <v>804680.04</v>
      </c>
      <c r="R1619" s="11" t="s">
        <v>3260</v>
      </c>
      <c r="S1619" s="11" t="s">
        <v>106</v>
      </c>
      <c r="T1619" s="11">
        <v>0</v>
      </c>
      <c r="V1619" s="11" t="s">
        <v>241</v>
      </c>
    </row>
    <row r="1620" spans="1:22" x14ac:dyDescent="0.25">
      <c r="A1620" s="11">
        <v>101060402</v>
      </c>
      <c r="B1620" s="11" t="s">
        <v>44</v>
      </c>
      <c r="C1620" s="41">
        <v>44880</v>
      </c>
      <c r="D1620" s="41">
        <v>44880</v>
      </c>
      <c r="E1620" s="11" t="s">
        <v>42</v>
      </c>
      <c r="F1620" s="11" t="s">
        <v>3261</v>
      </c>
      <c r="G1620" s="11">
        <v>108532</v>
      </c>
      <c r="H1620" s="11" t="s">
        <v>141</v>
      </c>
      <c r="J1620" s="11" t="s">
        <v>240</v>
      </c>
      <c r="K1620" s="11">
        <v>51010102</v>
      </c>
      <c r="L1620" s="11" t="s">
        <v>194</v>
      </c>
      <c r="M1620" s="11"/>
      <c r="N1620" s="11">
        <v>321.08999999999997</v>
      </c>
      <c r="O1620" s="42">
        <v>-321.08999999999997</v>
      </c>
      <c r="P1620" s="43" t="s">
        <v>4489</v>
      </c>
      <c r="Q1620" s="11">
        <v>804358.95</v>
      </c>
      <c r="R1620" s="11" t="s">
        <v>3262</v>
      </c>
      <c r="S1620" s="11" t="s">
        <v>106</v>
      </c>
      <c r="T1620" s="11">
        <v>0</v>
      </c>
      <c r="V1620" s="11" t="s">
        <v>241</v>
      </c>
    </row>
    <row r="1621" spans="1:22" x14ac:dyDescent="0.25">
      <c r="A1621" s="11">
        <v>101060402</v>
      </c>
      <c r="B1621" s="11" t="s">
        <v>44</v>
      </c>
      <c r="C1621" s="41">
        <v>44880</v>
      </c>
      <c r="D1621" s="41">
        <v>44880</v>
      </c>
      <c r="E1621" s="11" t="s">
        <v>42</v>
      </c>
      <c r="F1621" s="11" t="s">
        <v>3263</v>
      </c>
      <c r="G1621" s="11">
        <v>108539</v>
      </c>
      <c r="H1621" s="11" t="s">
        <v>141</v>
      </c>
      <c r="J1621" s="11" t="s">
        <v>240</v>
      </c>
      <c r="K1621" s="11">
        <v>51010102</v>
      </c>
      <c r="L1621" s="11" t="s">
        <v>194</v>
      </c>
      <c r="M1621" s="11"/>
      <c r="N1621" s="11">
        <v>414.4</v>
      </c>
      <c r="O1621" s="42">
        <v>-414.4</v>
      </c>
      <c r="P1621" s="43" t="s">
        <v>4489</v>
      </c>
      <c r="Q1621" s="11">
        <v>803944.55</v>
      </c>
      <c r="R1621" s="11" t="s">
        <v>3264</v>
      </c>
      <c r="S1621" s="11" t="s">
        <v>106</v>
      </c>
      <c r="T1621" s="11">
        <v>0</v>
      </c>
      <c r="V1621" s="11" t="s">
        <v>241</v>
      </c>
    </row>
    <row r="1622" spans="1:22" x14ac:dyDescent="0.25">
      <c r="A1622" s="11">
        <v>101060402</v>
      </c>
      <c r="B1622" s="11" t="s">
        <v>44</v>
      </c>
      <c r="C1622" s="41">
        <v>44880</v>
      </c>
      <c r="D1622" s="41">
        <v>44880</v>
      </c>
      <c r="E1622" s="11" t="s">
        <v>42</v>
      </c>
      <c r="F1622" s="11" t="s">
        <v>3265</v>
      </c>
      <c r="G1622" s="11">
        <v>108552</v>
      </c>
      <c r="H1622" s="11" t="s">
        <v>47</v>
      </c>
      <c r="J1622" s="11" t="s">
        <v>240</v>
      </c>
      <c r="K1622" s="11">
        <v>51010102</v>
      </c>
      <c r="L1622" s="11" t="s">
        <v>194</v>
      </c>
      <c r="M1622" s="11"/>
      <c r="N1622" s="11">
        <v>163.32</v>
      </c>
      <c r="O1622" s="42">
        <v>-163.32</v>
      </c>
      <c r="P1622" s="43" t="s">
        <v>4489</v>
      </c>
      <c r="Q1622" s="11">
        <v>803781.23</v>
      </c>
      <c r="R1622" s="11" t="s">
        <v>3266</v>
      </c>
      <c r="S1622" s="11" t="s">
        <v>106</v>
      </c>
      <c r="T1622" s="11">
        <v>0</v>
      </c>
      <c r="V1622" s="11" t="s">
        <v>241</v>
      </c>
    </row>
    <row r="1623" spans="1:22" x14ac:dyDescent="0.25">
      <c r="A1623" s="11">
        <v>101060402</v>
      </c>
      <c r="B1623" s="11" t="s">
        <v>44</v>
      </c>
      <c r="C1623" s="41">
        <v>44880</v>
      </c>
      <c r="D1623" s="41">
        <v>44880</v>
      </c>
      <c r="E1623" s="11" t="s">
        <v>42</v>
      </c>
      <c r="F1623" s="11" t="s">
        <v>1489</v>
      </c>
      <c r="G1623" s="11">
        <v>108558</v>
      </c>
      <c r="H1623" s="11" t="s">
        <v>57</v>
      </c>
      <c r="K1623" s="11">
        <v>101060401</v>
      </c>
      <c r="L1623" s="11" t="s">
        <v>34</v>
      </c>
      <c r="M1623" s="11">
        <v>18242.060000000001</v>
      </c>
      <c r="N1623" s="11"/>
      <c r="O1623" s="42">
        <v>18242.060000000001</v>
      </c>
      <c r="P1623" s="43" t="s">
        <v>4481</v>
      </c>
      <c r="Q1623" s="11">
        <v>822023.29</v>
      </c>
      <c r="R1623" s="11" t="s">
        <v>3267</v>
      </c>
      <c r="S1623" s="11" t="s">
        <v>40</v>
      </c>
      <c r="T1623" s="11">
        <v>0</v>
      </c>
    </row>
    <row r="1624" spans="1:22" x14ac:dyDescent="0.25">
      <c r="A1624" s="11">
        <v>101060402</v>
      </c>
      <c r="B1624" s="11" t="s">
        <v>44</v>
      </c>
      <c r="C1624" s="41">
        <v>44880</v>
      </c>
      <c r="D1624" s="41">
        <v>44880</v>
      </c>
      <c r="E1624" s="11" t="s">
        <v>42</v>
      </c>
      <c r="F1624" s="11" t="s">
        <v>3268</v>
      </c>
      <c r="G1624" s="11">
        <v>108563</v>
      </c>
      <c r="H1624" s="11" t="s">
        <v>91</v>
      </c>
      <c r="J1624" s="11" t="s">
        <v>240</v>
      </c>
      <c r="K1624" s="11">
        <v>51010102</v>
      </c>
      <c r="L1624" s="11" t="s">
        <v>194</v>
      </c>
      <c r="M1624" s="11"/>
      <c r="N1624" s="11">
        <v>157.44</v>
      </c>
      <c r="O1624" s="42">
        <v>-157.44</v>
      </c>
      <c r="P1624" s="43" t="s">
        <v>4489</v>
      </c>
      <c r="Q1624" s="11">
        <v>821865.85</v>
      </c>
      <c r="R1624" s="11" t="s">
        <v>560</v>
      </c>
      <c r="S1624" s="11" t="s">
        <v>40</v>
      </c>
      <c r="T1624" s="11">
        <v>0</v>
      </c>
      <c r="V1624" s="11" t="s">
        <v>241</v>
      </c>
    </row>
    <row r="1625" spans="1:22" x14ac:dyDescent="0.25">
      <c r="A1625" s="11">
        <v>101060402</v>
      </c>
      <c r="B1625" s="11" t="s">
        <v>44</v>
      </c>
      <c r="C1625" s="41">
        <v>44880</v>
      </c>
      <c r="D1625" s="41">
        <v>44880</v>
      </c>
      <c r="E1625" s="11" t="s">
        <v>42</v>
      </c>
      <c r="F1625" s="11" t="s">
        <v>3269</v>
      </c>
      <c r="G1625" s="11">
        <v>108578</v>
      </c>
      <c r="H1625" s="11" t="s">
        <v>176</v>
      </c>
      <c r="J1625" s="11" t="s">
        <v>240</v>
      </c>
      <c r="K1625" s="11">
        <v>51010102</v>
      </c>
      <c r="L1625" s="11" t="s">
        <v>194</v>
      </c>
      <c r="M1625" s="11"/>
      <c r="N1625" s="11">
        <v>514.57000000000005</v>
      </c>
      <c r="O1625" s="42">
        <v>-514.57000000000005</v>
      </c>
      <c r="P1625" s="43" t="s">
        <v>4489</v>
      </c>
      <c r="Q1625" s="11">
        <v>821351.28</v>
      </c>
      <c r="R1625" s="11" t="s">
        <v>3270</v>
      </c>
      <c r="S1625" s="11" t="s">
        <v>106</v>
      </c>
      <c r="T1625" s="11">
        <v>0</v>
      </c>
      <c r="V1625" s="11" t="s">
        <v>241</v>
      </c>
    </row>
    <row r="1626" spans="1:22" x14ac:dyDescent="0.25">
      <c r="A1626" s="11">
        <v>101060402</v>
      </c>
      <c r="B1626" s="11" t="s">
        <v>44</v>
      </c>
      <c r="C1626" s="41">
        <v>44880</v>
      </c>
      <c r="D1626" s="41">
        <v>44880</v>
      </c>
      <c r="E1626" s="11" t="s">
        <v>42</v>
      </c>
      <c r="F1626" s="11" t="s">
        <v>1508</v>
      </c>
      <c r="G1626" s="11">
        <v>108580</v>
      </c>
      <c r="H1626" s="11" t="s">
        <v>57</v>
      </c>
      <c r="K1626" s="11">
        <v>101060401</v>
      </c>
      <c r="L1626" s="11" t="s">
        <v>34</v>
      </c>
      <c r="M1626" s="11"/>
      <c r="N1626" s="11">
        <v>523.5</v>
      </c>
      <c r="O1626" s="42">
        <v>-523.5</v>
      </c>
      <c r="P1626" s="43" t="s">
        <v>4481</v>
      </c>
      <c r="Q1626" s="11">
        <v>820827.78</v>
      </c>
      <c r="R1626" s="11" t="s">
        <v>3271</v>
      </c>
      <c r="S1626" s="11" t="s">
        <v>106</v>
      </c>
      <c r="T1626" s="11">
        <v>0</v>
      </c>
    </row>
    <row r="1627" spans="1:22" x14ac:dyDescent="0.25">
      <c r="A1627" s="11">
        <v>101060402</v>
      </c>
      <c r="B1627" s="11" t="s">
        <v>44</v>
      </c>
      <c r="C1627" s="41">
        <v>44880</v>
      </c>
      <c r="D1627" s="41">
        <v>44880</v>
      </c>
      <c r="E1627" s="11" t="s">
        <v>42</v>
      </c>
      <c r="F1627" s="11" t="s">
        <v>3272</v>
      </c>
      <c r="G1627" s="11">
        <v>108601</v>
      </c>
      <c r="H1627" s="11" t="s">
        <v>76</v>
      </c>
      <c r="J1627" s="11" t="s">
        <v>240</v>
      </c>
      <c r="K1627" s="11">
        <v>51010102</v>
      </c>
      <c r="L1627" s="11" t="s">
        <v>194</v>
      </c>
      <c r="M1627" s="11"/>
      <c r="N1627" s="11">
        <v>97.34</v>
      </c>
      <c r="O1627" s="42">
        <v>-97.34</v>
      </c>
      <c r="P1627" s="43" t="s">
        <v>4489</v>
      </c>
      <c r="Q1627" s="11">
        <v>820730.44</v>
      </c>
      <c r="R1627" s="11" t="s">
        <v>3273</v>
      </c>
      <c r="S1627" s="11" t="s">
        <v>106</v>
      </c>
      <c r="T1627" s="11">
        <v>0</v>
      </c>
      <c r="V1627" s="11" t="s">
        <v>241</v>
      </c>
    </row>
    <row r="1628" spans="1:22" x14ac:dyDescent="0.25">
      <c r="A1628" s="11">
        <v>101060402</v>
      </c>
      <c r="B1628" s="11" t="s">
        <v>44</v>
      </c>
      <c r="C1628" s="41">
        <v>44881</v>
      </c>
      <c r="D1628" s="41">
        <v>44881</v>
      </c>
      <c r="E1628" s="11" t="s">
        <v>42</v>
      </c>
      <c r="F1628" s="11" t="s">
        <v>1558</v>
      </c>
      <c r="G1628" s="11">
        <v>108640</v>
      </c>
      <c r="H1628" s="11" t="s">
        <v>57</v>
      </c>
      <c r="K1628" s="11">
        <v>101060401</v>
      </c>
      <c r="L1628" s="11" t="s">
        <v>34</v>
      </c>
      <c r="M1628" s="11">
        <v>301.31</v>
      </c>
      <c r="N1628" s="11"/>
      <c r="O1628" s="42">
        <v>301.31</v>
      </c>
      <c r="P1628" s="43" t="s">
        <v>4481</v>
      </c>
      <c r="Q1628" s="11">
        <v>821031.75</v>
      </c>
      <c r="R1628" s="11" t="s">
        <v>3274</v>
      </c>
      <c r="S1628" s="11" t="s">
        <v>40</v>
      </c>
      <c r="T1628" s="11">
        <v>0</v>
      </c>
    </row>
    <row r="1629" spans="1:22" x14ac:dyDescent="0.25">
      <c r="A1629" s="11">
        <v>101060402</v>
      </c>
      <c r="B1629" s="11" t="s">
        <v>44</v>
      </c>
      <c r="C1629" s="41">
        <v>44881</v>
      </c>
      <c r="D1629" s="41">
        <v>44881</v>
      </c>
      <c r="E1629" s="11" t="s">
        <v>42</v>
      </c>
      <c r="F1629" s="11" t="s">
        <v>3275</v>
      </c>
      <c r="G1629" s="11">
        <v>108663</v>
      </c>
      <c r="H1629" s="11" t="s">
        <v>141</v>
      </c>
      <c r="J1629" s="11" t="s">
        <v>240</v>
      </c>
      <c r="K1629" s="11">
        <v>51010102</v>
      </c>
      <c r="L1629" s="11" t="s">
        <v>194</v>
      </c>
      <c r="M1629" s="11"/>
      <c r="N1629" s="11">
        <v>221.18</v>
      </c>
      <c r="O1629" s="42">
        <v>-221.18</v>
      </c>
      <c r="P1629" s="43" t="s">
        <v>4489</v>
      </c>
      <c r="Q1629" s="11">
        <v>820810.57</v>
      </c>
      <c r="R1629" s="11" t="s">
        <v>3276</v>
      </c>
      <c r="S1629" s="11" t="s">
        <v>106</v>
      </c>
      <c r="T1629" s="11">
        <v>0</v>
      </c>
      <c r="V1629" s="11" t="s">
        <v>241</v>
      </c>
    </row>
    <row r="1630" spans="1:22" x14ac:dyDescent="0.25">
      <c r="A1630" s="11">
        <v>101060402</v>
      </c>
      <c r="B1630" s="11" t="s">
        <v>44</v>
      </c>
      <c r="C1630" s="41">
        <v>44881</v>
      </c>
      <c r="D1630" s="41">
        <v>44881</v>
      </c>
      <c r="E1630" s="11" t="s">
        <v>42</v>
      </c>
      <c r="F1630" s="11" t="s">
        <v>3277</v>
      </c>
      <c r="G1630" s="11">
        <v>108664</v>
      </c>
      <c r="H1630" s="11" t="s">
        <v>165</v>
      </c>
      <c r="J1630" s="11" t="s">
        <v>240</v>
      </c>
      <c r="K1630" s="11">
        <v>51010102</v>
      </c>
      <c r="L1630" s="11" t="s">
        <v>194</v>
      </c>
      <c r="M1630" s="11"/>
      <c r="N1630" s="11">
        <v>1045.06</v>
      </c>
      <c r="O1630" s="42">
        <v>-1045.06</v>
      </c>
      <c r="P1630" s="43" t="s">
        <v>4489</v>
      </c>
      <c r="Q1630" s="11">
        <v>819765.51</v>
      </c>
      <c r="R1630" s="11" t="s">
        <v>3278</v>
      </c>
      <c r="S1630" s="11" t="s">
        <v>106</v>
      </c>
      <c r="T1630" s="11">
        <v>0</v>
      </c>
      <c r="V1630" s="11" t="s">
        <v>241</v>
      </c>
    </row>
    <row r="1631" spans="1:22" x14ac:dyDescent="0.25">
      <c r="A1631" s="11">
        <v>101060402</v>
      </c>
      <c r="B1631" s="11" t="s">
        <v>44</v>
      </c>
      <c r="C1631" s="41">
        <v>44881</v>
      </c>
      <c r="D1631" s="41">
        <v>44881</v>
      </c>
      <c r="E1631" s="11" t="s">
        <v>42</v>
      </c>
      <c r="F1631" s="11" t="s">
        <v>3279</v>
      </c>
      <c r="G1631" s="11">
        <v>108665</v>
      </c>
      <c r="H1631" s="11" t="s">
        <v>108</v>
      </c>
      <c r="J1631" s="11" t="s">
        <v>240</v>
      </c>
      <c r="K1631" s="11">
        <v>51010102</v>
      </c>
      <c r="L1631" s="11" t="s">
        <v>194</v>
      </c>
      <c r="M1631" s="11"/>
      <c r="N1631" s="11">
        <v>9110.01</v>
      </c>
      <c r="O1631" s="42">
        <v>-9110.01</v>
      </c>
      <c r="P1631" s="43" t="s">
        <v>4489</v>
      </c>
      <c r="Q1631" s="11">
        <v>810655.5</v>
      </c>
      <c r="R1631" s="11" t="s">
        <v>3280</v>
      </c>
      <c r="S1631" s="11" t="s">
        <v>106</v>
      </c>
      <c r="T1631" s="11">
        <v>0</v>
      </c>
      <c r="V1631" s="11" t="s">
        <v>241</v>
      </c>
    </row>
    <row r="1632" spans="1:22" x14ac:dyDescent="0.25">
      <c r="A1632" s="11">
        <v>101060402</v>
      </c>
      <c r="B1632" s="11" t="s">
        <v>44</v>
      </c>
      <c r="C1632" s="41">
        <v>44881</v>
      </c>
      <c r="D1632" s="41">
        <v>44881</v>
      </c>
      <c r="E1632" s="11" t="s">
        <v>42</v>
      </c>
      <c r="F1632" s="11" t="s">
        <v>1569</v>
      </c>
      <c r="G1632" s="11">
        <v>108666</v>
      </c>
      <c r="H1632" s="11" t="s">
        <v>57</v>
      </c>
      <c r="K1632" s="11">
        <v>101060401</v>
      </c>
      <c r="L1632" s="11" t="s">
        <v>34</v>
      </c>
      <c r="M1632" s="11"/>
      <c r="N1632" s="11">
        <v>3.64</v>
      </c>
      <c r="O1632" s="42">
        <v>-3.64</v>
      </c>
      <c r="P1632" s="43" t="s">
        <v>4481</v>
      </c>
      <c r="Q1632" s="11">
        <v>810651.86</v>
      </c>
      <c r="R1632" s="11" t="s">
        <v>1685</v>
      </c>
      <c r="S1632" s="11" t="s">
        <v>106</v>
      </c>
      <c r="T1632" s="11">
        <v>0</v>
      </c>
    </row>
    <row r="1633" spans="1:22" x14ac:dyDescent="0.25">
      <c r="A1633" s="11">
        <v>101060402</v>
      </c>
      <c r="B1633" s="11" t="s">
        <v>44</v>
      </c>
      <c r="C1633" s="41">
        <v>44882</v>
      </c>
      <c r="D1633" s="41">
        <v>44882</v>
      </c>
      <c r="E1633" s="11" t="s">
        <v>42</v>
      </c>
      <c r="F1633" s="11" t="s">
        <v>3281</v>
      </c>
      <c r="G1633" s="11">
        <v>108667</v>
      </c>
      <c r="H1633" s="11" t="s">
        <v>47</v>
      </c>
      <c r="J1633" s="11" t="s">
        <v>240</v>
      </c>
      <c r="K1633" s="11">
        <v>51010102</v>
      </c>
      <c r="L1633" s="11" t="s">
        <v>194</v>
      </c>
      <c r="M1633" s="11"/>
      <c r="N1633" s="11">
        <v>2406.73</v>
      </c>
      <c r="O1633" s="42">
        <v>-2406.73</v>
      </c>
      <c r="P1633" s="43" t="s">
        <v>4489</v>
      </c>
      <c r="Q1633" s="11">
        <v>808245.13</v>
      </c>
      <c r="R1633" s="11" t="s">
        <v>3282</v>
      </c>
      <c r="S1633" s="11" t="s">
        <v>106</v>
      </c>
      <c r="T1633" s="11">
        <v>0</v>
      </c>
      <c r="V1633" s="11" t="s">
        <v>241</v>
      </c>
    </row>
    <row r="1634" spans="1:22" x14ac:dyDescent="0.25">
      <c r="A1634" s="11">
        <v>101060402</v>
      </c>
      <c r="B1634" s="11" t="s">
        <v>44</v>
      </c>
      <c r="C1634" s="41">
        <v>44882</v>
      </c>
      <c r="D1634" s="41">
        <v>44882</v>
      </c>
      <c r="E1634" s="11" t="s">
        <v>42</v>
      </c>
      <c r="F1634" s="11" t="s">
        <v>3283</v>
      </c>
      <c r="G1634" s="11">
        <v>108669</v>
      </c>
      <c r="H1634" s="11" t="s">
        <v>88</v>
      </c>
      <c r="J1634" s="11" t="s">
        <v>240</v>
      </c>
      <c r="K1634" s="11">
        <v>51010102</v>
      </c>
      <c r="L1634" s="11" t="s">
        <v>194</v>
      </c>
      <c r="M1634" s="11">
        <v>2406.73</v>
      </c>
      <c r="N1634" s="11"/>
      <c r="O1634" s="42">
        <v>2406.73</v>
      </c>
      <c r="P1634" s="43" t="s">
        <v>4489</v>
      </c>
      <c r="Q1634" s="11">
        <v>810651.86</v>
      </c>
      <c r="R1634" s="11" t="s">
        <v>3284</v>
      </c>
      <c r="S1634" s="11" t="s">
        <v>106</v>
      </c>
      <c r="T1634" s="11">
        <v>0</v>
      </c>
      <c r="V1634" s="11" t="s">
        <v>241</v>
      </c>
    </row>
    <row r="1635" spans="1:22" x14ac:dyDescent="0.25">
      <c r="A1635" s="11">
        <v>101060402</v>
      </c>
      <c r="B1635" s="11" t="s">
        <v>44</v>
      </c>
      <c r="C1635" s="41">
        <v>44882</v>
      </c>
      <c r="D1635" s="41">
        <v>44882</v>
      </c>
      <c r="E1635" s="11" t="s">
        <v>42</v>
      </c>
      <c r="F1635" s="11" t="s">
        <v>3285</v>
      </c>
      <c r="G1635" s="11">
        <v>108671</v>
      </c>
      <c r="H1635" s="11" t="s">
        <v>47</v>
      </c>
      <c r="J1635" s="11" t="s">
        <v>240</v>
      </c>
      <c r="K1635" s="11">
        <v>51010102</v>
      </c>
      <c r="L1635" s="11" t="s">
        <v>194</v>
      </c>
      <c r="M1635" s="11"/>
      <c r="N1635" s="11">
        <v>2018.24</v>
      </c>
      <c r="O1635" s="42">
        <v>-2018.24</v>
      </c>
      <c r="P1635" s="43" t="s">
        <v>4489</v>
      </c>
      <c r="Q1635" s="11">
        <v>808633.62</v>
      </c>
      <c r="R1635" s="11" t="s">
        <v>3286</v>
      </c>
      <c r="S1635" s="11" t="s">
        <v>106</v>
      </c>
      <c r="T1635" s="11">
        <v>0</v>
      </c>
      <c r="V1635" s="11" t="s">
        <v>241</v>
      </c>
    </row>
    <row r="1636" spans="1:22" x14ac:dyDescent="0.25">
      <c r="A1636" s="11">
        <v>101060402</v>
      </c>
      <c r="B1636" s="11" t="s">
        <v>44</v>
      </c>
      <c r="C1636" s="41">
        <v>44882</v>
      </c>
      <c r="D1636" s="41">
        <v>44882</v>
      </c>
      <c r="E1636" s="11" t="s">
        <v>42</v>
      </c>
      <c r="F1636" s="11" t="s">
        <v>3287</v>
      </c>
      <c r="G1636" s="11">
        <v>108712</v>
      </c>
      <c r="H1636" s="11" t="s">
        <v>1912</v>
      </c>
      <c r="J1636" s="11" t="s">
        <v>240</v>
      </c>
      <c r="K1636" s="11">
        <v>51010102</v>
      </c>
      <c r="L1636" s="11" t="s">
        <v>194</v>
      </c>
      <c r="M1636" s="11"/>
      <c r="N1636" s="11">
        <v>183.69</v>
      </c>
      <c r="O1636" s="42">
        <v>-183.69</v>
      </c>
      <c r="P1636" s="43" t="s">
        <v>4489</v>
      </c>
      <c r="Q1636" s="11">
        <v>808449.93</v>
      </c>
      <c r="R1636" s="11" t="s">
        <v>3288</v>
      </c>
      <c r="S1636" s="11" t="s">
        <v>106</v>
      </c>
      <c r="T1636" s="11">
        <v>0</v>
      </c>
      <c r="V1636" s="11" t="s">
        <v>241</v>
      </c>
    </row>
    <row r="1637" spans="1:22" x14ac:dyDescent="0.25">
      <c r="A1637" s="11">
        <v>101060402</v>
      </c>
      <c r="B1637" s="11" t="s">
        <v>44</v>
      </c>
      <c r="C1637" s="41">
        <v>44882</v>
      </c>
      <c r="D1637" s="41">
        <v>44882</v>
      </c>
      <c r="E1637" s="11" t="s">
        <v>42</v>
      </c>
      <c r="F1637" s="11" t="s">
        <v>1605</v>
      </c>
      <c r="G1637" s="11">
        <v>108740</v>
      </c>
      <c r="H1637" s="11" t="s">
        <v>57</v>
      </c>
      <c r="K1637" s="11">
        <v>101060401</v>
      </c>
      <c r="L1637" s="11" t="s">
        <v>34</v>
      </c>
      <c r="M1637" s="11">
        <v>40.68</v>
      </c>
      <c r="N1637" s="11"/>
      <c r="O1637" s="42">
        <v>40.68</v>
      </c>
      <c r="P1637" s="43" t="s">
        <v>4481</v>
      </c>
      <c r="Q1637" s="11">
        <v>808490.61</v>
      </c>
      <c r="R1637" s="11" t="s">
        <v>3289</v>
      </c>
      <c r="S1637" s="11" t="s">
        <v>40</v>
      </c>
      <c r="T1637" s="11">
        <v>0</v>
      </c>
    </row>
    <row r="1638" spans="1:22" x14ac:dyDescent="0.25">
      <c r="A1638" s="11">
        <v>101060402</v>
      </c>
      <c r="B1638" s="11" t="s">
        <v>44</v>
      </c>
      <c r="C1638" s="41">
        <v>44882</v>
      </c>
      <c r="D1638" s="41">
        <v>44882</v>
      </c>
      <c r="E1638" s="11" t="s">
        <v>42</v>
      </c>
      <c r="F1638" s="11" t="s">
        <v>3290</v>
      </c>
      <c r="G1638" s="11">
        <v>108749</v>
      </c>
      <c r="H1638" s="11" t="s">
        <v>47</v>
      </c>
      <c r="J1638" s="11" t="s">
        <v>240</v>
      </c>
      <c r="K1638" s="11">
        <v>51010102</v>
      </c>
      <c r="L1638" s="11" t="s">
        <v>194</v>
      </c>
      <c r="M1638" s="11"/>
      <c r="N1638" s="11">
        <v>549.88</v>
      </c>
      <c r="O1638" s="42">
        <v>-549.88</v>
      </c>
      <c r="P1638" s="43" t="s">
        <v>4489</v>
      </c>
      <c r="Q1638" s="11">
        <v>807940.73</v>
      </c>
      <c r="R1638" s="11" t="s">
        <v>3291</v>
      </c>
      <c r="S1638" s="11" t="s">
        <v>106</v>
      </c>
      <c r="T1638" s="11">
        <v>0</v>
      </c>
      <c r="V1638" s="11" t="s">
        <v>241</v>
      </c>
    </row>
    <row r="1639" spans="1:22" x14ac:dyDescent="0.25">
      <c r="A1639" s="11">
        <v>101060402</v>
      </c>
      <c r="B1639" s="11" t="s">
        <v>44</v>
      </c>
      <c r="C1639" s="41">
        <v>44882</v>
      </c>
      <c r="D1639" s="41">
        <v>44882</v>
      </c>
      <c r="E1639" s="11" t="s">
        <v>42</v>
      </c>
      <c r="F1639" s="11" t="s">
        <v>1609</v>
      </c>
      <c r="G1639" s="11">
        <v>108755</v>
      </c>
      <c r="H1639" s="11" t="s">
        <v>57</v>
      </c>
      <c r="K1639" s="11">
        <v>101060401</v>
      </c>
      <c r="L1639" s="11" t="s">
        <v>34</v>
      </c>
      <c r="M1639" s="11">
        <v>157.44999999999999</v>
      </c>
      <c r="N1639" s="11"/>
      <c r="O1639" s="42">
        <v>157.44999999999999</v>
      </c>
      <c r="P1639" s="43" t="s">
        <v>4481</v>
      </c>
      <c r="Q1639" s="11">
        <v>808098.18</v>
      </c>
      <c r="R1639" s="11" t="s">
        <v>3292</v>
      </c>
      <c r="S1639" s="11" t="s">
        <v>40</v>
      </c>
      <c r="T1639" s="11">
        <v>0</v>
      </c>
    </row>
    <row r="1640" spans="1:22" x14ac:dyDescent="0.25">
      <c r="A1640" s="11">
        <v>101060402</v>
      </c>
      <c r="B1640" s="11" t="s">
        <v>44</v>
      </c>
      <c r="C1640" s="41">
        <v>44882</v>
      </c>
      <c r="D1640" s="41">
        <v>44882</v>
      </c>
      <c r="E1640" s="11" t="s">
        <v>42</v>
      </c>
      <c r="F1640" s="11" t="s">
        <v>3293</v>
      </c>
      <c r="G1640" s="11">
        <v>108776</v>
      </c>
      <c r="H1640" s="11" t="s">
        <v>108</v>
      </c>
      <c r="J1640" s="11" t="s">
        <v>240</v>
      </c>
      <c r="K1640" s="11">
        <v>51010102</v>
      </c>
      <c r="L1640" s="11" t="s">
        <v>194</v>
      </c>
      <c r="M1640" s="11"/>
      <c r="N1640" s="11">
        <v>9110.01</v>
      </c>
      <c r="O1640" s="42">
        <v>-9110.01</v>
      </c>
      <c r="P1640" s="43" t="s">
        <v>4489</v>
      </c>
      <c r="Q1640" s="11">
        <v>798988.17</v>
      </c>
      <c r="R1640" s="11" t="s">
        <v>3280</v>
      </c>
      <c r="S1640" s="11" t="s">
        <v>106</v>
      </c>
      <c r="T1640" s="11">
        <v>0</v>
      </c>
      <c r="V1640" s="11" t="s">
        <v>241</v>
      </c>
    </row>
    <row r="1641" spans="1:22" x14ac:dyDescent="0.25">
      <c r="A1641" s="11">
        <v>101060402</v>
      </c>
      <c r="B1641" s="11" t="s">
        <v>44</v>
      </c>
      <c r="C1641" s="41">
        <v>44883</v>
      </c>
      <c r="D1641" s="41">
        <v>44883</v>
      </c>
      <c r="E1641" s="11" t="s">
        <v>42</v>
      </c>
      <c r="F1641" s="11" t="s">
        <v>3294</v>
      </c>
      <c r="G1641" s="11">
        <v>108796</v>
      </c>
      <c r="H1641" s="11" t="s">
        <v>623</v>
      </c>
      <c r="J1641" s="11" t="s">
        <v>240</v>
      </c>
      <c r="K1641" s="11">
        <v>51010102</v>
      </c>
      <c r="L1641" s="11" t="s">
        <v>194</v>
      </c>
      <c r="M1641" s="11"/>
      <c r="N1641" s="11">
        <v>3.64</v>
      </c>
      <c r="O1641" s="42">
        <v>-3.64</v>
      </c>
      <c r="P1641" s="43" t="s">
        <v>4489</v>
      </c>
      <c r="Q1641" s="11">
        <v>798984.53</v>
      </c>
      <c r="R1641" s="11" t="s">
        <v>1685</v>
      </c>
      <c r="S1641" s="11" t="s">
        <v>40</v>
      </c>
      <c r="T1641" s="11">
        <v>0</v>
      </c>
      <c r="V1641" s="11" t="s">
        <v>241</v>
      </c>
    </row>
    <row r="1642" spans="1:22" x14ac:dyDescent="0.25">
      <c r="A1642" s="11">
        <v>101060402</v>
      </c>
      <c r="B1642" s="11" t="s">
        <v>44</v>
      </c>
      <c r="C1642" s="41">
        <v>44883</v>
      </c>
      <c r="D1642" s="41">
        <v>44883</v>
      </c>
      <c r="E1642" s="11" t="s">
        <v>42</v>
      </c>
      <c r="F1642" s="11" t="s">
        <v>1647</v>
      </c>
      <c r="G1642" s="11">
        <v>108800</v>
      </c>
      <c r="H1642" s="11" t="s">
        <v>57</v>
      </c>
      <c r="K1642" s="11">
        <v>101060401</v>
      </c>
      <c r="L1642" s="11" t="s">
        <v>34</v>
      </c>
      <c r="M1642" s="11"/>
      <c r="N1642" s="11">
        <v>17.239999999999998</v>
      </c>
      <c r="O1642" s="42">
        <v>-17.239999999999998</v>
      </c>
      <c r="P1642" s="43" t="s">
        <v>4481</v>
      </c>
      <c r="Q1642" s="11">
        <v>798967.29</v>
      </c>
      <c r="R1642" s="11" t="s">
        <v>901</v>
      </c>
      <c r="S1642" s="11" t="s">
        <v>40</v>
      </c>
      <c r="T1642" s="11">
        <v>0</v>
      </c>
    </row>
    <row r="1643" spans="1:22" x14ac:dyDescent="0.25">
      <c r="A1643" s="11">
        <v>101060402</v>
      </c>
      <c r="B1643" s="11" t="s">
        <v>44</v>
      </c>
      <c r="C1643" s="41">
        <v>44883</v>
      </c>
      <c r="D1643" s="41">
        <v>44883</v>
      </c>
      <c r="E1643" s="11" t="s">
        <v>42</v>
      </c>
      <c r="F1643" s="11" t="s">
        <v>3295</v>
      </c>
      <c r="G1643" s="11">
        <v>108817</v>
      </c>
      <c r="H1643" s="11" t="s">
        <v>212</v>
      </c>
      <c r="J1643" s="11" t="s">
        <v>240</v>
      </c>
      <c r="K1643" s="11">
        <v>51010102</v>
      </c>
      <c r="L1643" s="11" t="s">
        <v>194</v>
      </c>
      <c r="M1643" s="11"/>
      <c r="N1643" s="11">
        <v>208.72</v>
      </c>
      <c r="O1643" s="42">
        <v>-208.72</v>
      </c>
      <c r="P1643" s="43" t="s">
        <v>4489</v>
      </c>
      <c r="Q1643" s="11">
        <v>798758.57</v>
      </c>
      <c r="R1643" s="11" t="s">
        <v>3296</v>
      </c>
      <c r="S1643" s="11" t="s">
        <v>106</v>
      </c>
      <c r="T1643" s="11">
        <v>0</v>
      </c>
      <c r="V1643" s="11" t="s">
        <v>241</v>
      </c>
    </row>
    <row r="1644" spans="1:22" x14ac:dyDescent="0.25">
      <c r="A1644" s="11">
        <v>101060402</v>
      </c>
      <c r="B1644" s="11" t="s">
        <v>44</v>
      </c>
      <c r="C1644" s="41">
        <v>44883</v>
      </c>
      <c r="D1644" s="41">
        <v>44883</v>
      </c>
      <c r="E1644" s="11" t="s">
        <v>42</v>
      </c>
      <c r="F1644" s="11" t="s">
        <v>3297</v>
      </c>
      <c r="G1644" s="11">
        <v>108823</v>
      </c>
      <c r="H1644" s="11" t="s">
        <v>47</v>
      </c>
      <c r="J1644" s="11" t="s">
        <v>240</v>
      </c>
      <c r="K1644" s="11">
        <v>51010102</v>
      </c>
      <c r="L1644" s="11" t="s">
        <v>194</v>
      </c>
      <c r="M1644" s="11"/>
      <c r="N1644" s="11">
        <v>787.22</v>
      </c>
      <c r="O1644" s="42">
        <v>-787.22</v>
      </c>
      <c r="P1644" s="43" t="s">
        <v>4489</v>
      </c>
      <c r="Q1644" s="11">
        <v>797971.35</v>
      </c>
      <c r="R1644" s="11" t="s">
        <v>2883</v>
      </c>
      <c r="S1644" s="11" t="s">
        <v>106</v>
      </c>
      <c r="T1644" s="11">
        <v>0</v>
      </c>
      <c r="V1644" s="11" t="s">
        <v>241</v>
      </c>
    </row>
    <row r="1645" spans="1:22" x14ac:dyDescent="0.25">
      <c r="A1645" s="11">
        <v>101060402</v>
      </c>
      <c r="B1645" s="11" t="s">
        <v>44</v>
      </c>
      <c r="C1645" s="41">
        <v>44883</v>
      </c>
      <c r="D1645" s="41">
        <v>44883</v>
      </c>
      <c r="E1645" s="11" t="s">
        <v>42</v>
      </c>
      <c r="F1645" s="11" t="s">
        <v>3298</v>
      </c>
      <c r="G1645" s="11">
        <v>108824</v>
      </c>
      <c r="H1645" s="11" t="s">
        <v>47</v>
      </c>
      <c r="J1645" s="11" t="s">
        <v>240</v>
      </c>
      <c r="K1645" s="11">
        <v>51010102</v>
      </c>
      <c r="L1645" s="11" t="s">
        <v>194</v>
      </c>
      <c r="M1645" s="11"/>
      <c r="N1645" s="11">
        <v>388.49</v>
      </c>
      <c r="O1645" s="42">
        <v>-388.49</v>
      </c>
      <c r="P1645" s="43" t="s">
        <v>4489</v>
      </c>
      <c r="Q1645" s="11">
        <v>797582.86</v>
      </c>
      <c r="R1645" s="11" t="s">
        <v>3299</v>
      </c>
      <c r="S1645" s="11" t="s">
        <v>106</v>
      </c>
      <c r="T1645" s="11">
        <v>0</v>
      </c>
      <c r="V1645" s="11" t="s">
        <v>241</v>
      </c>
    </row>
    <row r="1646" spans="1:22" x14ac:dyDescent="0.25">
      <c r="A1646" s="11">
        <v>101060402</v>
      </c>
      <c r="B1646" s="11" t="s">
        <v>44</v>
      </c>
      <c r="C1646" s="41">
        <v>44883</v>
      </c>
      <c r="D1646" s="41">
        <v>44883</v>
      </c>
      <c r="E1646" s="11" t="s">
        <v>42</v>
      </c>
      <c r="F1646" s="11" t="s">
        <v>1672</v>
      </c>
      <c r="G1646" s="11">
        <v>108852</v>
      </c>
      <c r="H1646" s="11" t="s">
        <v>57</v>
      </c>
      <c r="K1646" s="11">
        <v>101060401</v>
      </c>
      <c r="L1646" s="11" t="s">
        <v>34</v>
      </c>
      <c r="M1646" s="11"/>
      <c r="N1646" s="11">
        <v>1444.52</v>
      </c>
      <c r="O1646" s="42">
        <v>-1444.52</v>
      </c>
      <c r="P1646" s="43" t="s">
        <v>4481</v>
      </c>
      <c r="Q1646" s="11">
        <v>796138.34</v>
      </c>
      <c r="R1646" s="11" t="s">
        <v>3300</v>
      </c>
      <c r="S1646" s="11" t="s">
        <v>106</v>
      </c>
      <c r="T1646" s="11">
        <v>0</v>
      </c>
    </row>
    <row r="1647" spans="1:22" x14ac:dyDescent="0.25">
      <c r="A1647" s="11">
        <v>101060402</v>
      </c>
      <c r="B1647" s="11" t="s">
        <v>44</v>
      </c>
      <c r="C1647" s="41">
        <v>44886</v>
      </c>
      <c r="D1647" s="41">
        <v>44886</v>
      </c>
      <c r="E1647" s="11" t="s">
        <v>36</v>
      </c>
      <c r="F1647" s="11" t="s">
        <v>3301</v>
      </c>
      <c r="G1647" s="11">
        <v>108856</v>
      </c>
      <c r="H1647" s="11" t="s">
        <v>75</v>
      </c>
      <c r="J1647" s="11" t="s">
        <v>240</v>
      </c>
      <c r="K1647" s="11">
        <v>51010102</v>
      </c>
      <c r="L1647" s="11" t="s">
        <v>194</v>
      </c>
      <c r="M1647" s="11"/>
      <c r="N1647" s="11">
        <v>815.4</v>
      </c>
      <c r="O1647" s="42">
        <v>-815.4</v>
      </c>
      <c r="P1647" s="43" t="s">
        <v>4489</v>
      </c>
      <c r="Q1647" s="11">
        <v>795322.94</v>
      </c>
      <c r="R1647" s="11" t="s">
        <v>441</v>
      </c>
      <c r="S1647" s="11" t="s">
        <v>40</v>
      </c>
      <c r="T1647" s="11">
        <v>0</v>
      </c>
      <c r="V1647" s="11" t="s">
        <v>241</v>
      </c>
    </row>
    <row r="1648" spans="1:22" x14ac:dyDescent="0.25">
      <c r="A1648" s="11">
        <v>101060402</v>
      </c>
      <c r="B1648" s="11" t="s">
        <v>44</v>
      </c>
      <c r="C1648" s="41">
        <v>44886</v>
      </c>
      <c r="D1648" s="41">
        <v>44886</v>
      </c>
      <c r="E1648" s="11" t="s">
        <v>36</v>
      </c>
      <c r="F1648" s="11" t="s">
        <v>3302</v>
      </c>
      <c r="G1648" s="11">
        <v>108858</v>
      </c>
      <c r="H1648" s="11" t="s">
        <v>75</v>
      </c>
      <c r="J1648" s="11" t="s">
        <v>240</v>
      </c>
      <c r="K1648" s="11">
        <v>51010102</v>
      </c>
      <c r="L1648" s="11" t="s">
        <v>194</v>
      </c>
      <c r="M1648" s="11"/>
      <c r="N1648" s="11">
        <v>42.04</v>
      </c>
      <c r="O1648" s="42">
        <v>-42.04</v>
      </c>
      <c r="P1648" s="43" t="s">
        <v>4489</v>
      </c>
      <c r="Q1648" s="11">
        <v>795280.9</v>
      </c>
      <c r="R1648" s="11" t="s">
        <v>197</v>
      </c>
      <c r="S1648" s="11" t="s">
        <v>40</v>
      </c>
      <c r="T1648" s="11">
        <v>0</v>
      </c>
      <c r="V1648" s="11" t="s">
        <v>241</v>
      </c>
    </row>
    <row r="1649" spans="1:22" x14ac:dyDescent="0.25">
      <c r="A1649" s="11">
        <v>101060402</v>
      </c>
      <c r="B1649" s="11" t="s">
        <v>44</v>
      </c>
      <c r="C1649" s="41">
        <v>44886</v>
      </c>
      <c r="D1649" s="41">
        <v>44886</v>
      </c>
      <c r="E1649" s="11" t="s">
        <v>42</v>
      </c>
      <c r="F1649" s="11" t="s">
        <v>1684</v>
      </c>
      <c r="G1649" s="11">
        <v>108859</v>
      </c>
      <c r="H1649" s="11" t="s">
        <v>57</v>
      </c>
      <c r="K1649" s="11">
        <v>101060401</v>
      </c>
      <c r="L1649" s="11" t="s">
        <v>34</v>
      </c>
      <c r="M1649" s="11">
        <v>3.64</v>
      </c>
      <c r="N1649" s="11"/>
      <c r="O1649" s="42">
        <v>3.64</v>
      </c>
      <c r="P1649" s="43" t="s">
        <v>4481</v>
      </c>
      <c r="Q1649" s="11">
        <v>795284.54</v>
      </c>
      <c r="R1649" s="11" t="s">
        <v>1570</v>
      </c>
      <c r="S1649" s="11" t="s">
        <v>40</v>
      </c>
      <c r="T1649" s="11">
        <v>0</v>
      </c>
    </row>
    <row r="1650" spans="1:22" x14ac:dyDescent="0.25">
      <c r="A1650" s="11">
        <v>101060402</v>
      </c>
      <c r="B1650" s="11" t="s">
        <v>44</v>
      </c>
      <c r="C1650" s="41">
        <v>44886</v>
      </c>
      <c r="D1650" s="41">
        <v>44886</v>
      </c>
      <c r="E1650" s="11" t="s">
        <v>42</v>
      </c>
      <c r="F1650" s="11" t="s">
        <v>1686</v>
      </c>
      <c r="G1650" s="11">
        <v>108860</v>
      </c>
      <c r="H1650" s="11" t="s">
        <v>57</v>
      </c>
      <c r="K1650" s="11">
        <v>101060401</v>
      </c>
      <c r="L1650" s="11" t="s">
        <v>34</v>
      </c>
      <c r="M1650" s="11"/>
      <c r="N1650" s="11">
        <v>31.18</v>
      </c>
      <c r="O1650" s="42">
        <v>-31.18</v>
      </c>
      <c r="P1650" s="43" t="s">
        <v>4481</v>
      </c>
      <c r="Q1650" s="11">
        <v>795253.36</v>
      </c>
      <c r="R1650" s="11" t="s">
        <v>3303</v>
      </c>
      <c r="S1650" s="11" t="s">
        <v>106</v>
      </c>
      <c r="T1650" s="11">
        <v>0</v>
      </c>
    </row>
    <row r="1651" spans="1:22" x14ac:dyDescent="0.25">
      <c r="A1651" s="11">
        <v>101060402</v>
      </c>
      <c r="B1651" s="11" t="s">
        <v>44</v>
      </c>
      <c r="C1651" s="41">
        <v>44886</v>
      </c>
      <c r="D1651" s="41">
        <v>44886</v>
      </c>
      <c r="E1651" s="11" t="s">
        <v>42</v>
      </c>
      <c r="F1651" s="11" t="s">
        <v>1705</v>
      </c>
      <c r="G1651" s="11">
        <v>108868</v>
      </c>
      <c r="H1651" s="11" t="s">
        <v>57</v>
      </c>
      <c r="K1651" s="11">
        <v>101060401</v>
      </c>
      <c r="L1651" s="11" t="s">
        <v>34</v>
      </c>
      <c r="M1651" s="11">
        <v>17486.71</v>
      </c>
      <c r="N1651" s="11"/>
      <c r="O1651" s="42">
        <v>17486.71</v>
      </c>
      <c r="P1651" s="43" t="s">
        <v>4481</v>
      </c>
      <c r="Q1651" s="11">
        <v>812740.07</v>
      </c>
      <c r="R1651" s="11" t="s">
        <v>3304</v>
      </c>
      <c r="S1651" s="11" t="s">
        <v>40</v>
      </c>
      <c r="T1651" s="11">
        <v>0</v>
      </c>
    </row>
    <row r="1652" spans="1:22" x14ac:dyDescent="0.25">
      <c r="A1652" s="11">
        <v>101060402</v>
      </c>
      <c r="B1652" s="11" t="s">
        <v>44</v>
      </c>
      <c r="C1652" s="41">
        <v>44886</v>
      </c>
      <c r="D1652" s="41">
        <v>44886</v>
      </c>
      <c r="E1652" s="11" t="s">
        <v>42</v>
      </c>
      <c r="F1652" s="11" t="s">
        <v>3305</v>
      </c>
      <c r="G1652" s="11">
        <v>108891</v>
      </c>
      <c r="H1652" s="11" t="s">
        <v>47</v>
      </c>
      <c r="J1652" s="11" t="s">
        <v>240</v>
      </c>
      <c r="K1652" s="11">
        <v>51010102</v>
      </c>
      <c r="L1652" s="11" t="s">
        <v>194</v>
      </c>
      <c r="M1652" s="11"/>
      <c r="N1652" s="11">
        <v>138.31</v>
      </c>
      <c r="O1652" s="42">
        <v>-138.31</v>
      </c>
      <c r="P1652" s="43" t="s">
        <v>4489</v>
      </c>
      <c r="Q1652" s="11">
        <v>812601.76</v>
      </c>
      <c r="R1652" s="11" t="s">
        <v>3306</v>
      </c>
      <c r="S1652" s="11" t="s">
        <v>106</v>
      </c>
      <c r="T1652" s="11">
        <v>0</v>
      </c>
      <c r="V1652" s="11" t="s">
        <v>241</v>
      </c>
    </row>
    <row r="1653" spans="1:22" x14ac:dyDescent="0.25">
      <c r="A1653" s="11">
        <v>101060402</v>
      </c>
      <c r="B1653" s="11" t="s">
        <v>44</v>
      </c>
      <c r="C1653" s="41">
        <v>44886</v>
      </c>
      <c r="D1653" s="41">
        <v>44886</v>
      </c>
      <c r="E1653" s="11" t="s">
        <v>42</v>
      </c>
      <c r="F1653" s="11" t="s">
        <v>3307</v>
      </c>
      <c r="G1653" s="11">
        <v>108895</v>
      </c>
      <c r="H1653" s="11" t="s">
        <v>47</v>
      </c>
      <c r="J1653" s="11" t="s">
        <v>240</v>
      </c>
      <c r="K1653" s="11">
        <v>51010102</v>
      </c>
      <c r="L1653" s="11" t="s">
        <v>194</v>
      </c>
      <c r="M1653" s="11"/>
      <c r="N1653" s="11">
        <v>24.95</v>
      </c>
      <c r="O1653" s="42">
        <v>-24.95</v>
      </c>
      <c r="P1653" s="43" t="s">
        <v>4489</v>
      </c>
      <c r="Q1653" s="11">
        <v>812576.81</v>
      </c>
      <c r="R1653" s="11" t="s">
        <v>3308</v>
      </c>
      <c r="S1653" s="11" t="s">
        <v>106</v>
      </c>
      <c r="T1653" s="11">
        <v>0</v>
      </c>
      <c r="V1653" s="11" t="s">
        <v>241</v>
      </c>
    </row>
    <row r="1654" spans="1:22" x14ac:dyDescent="0.25">
      <c r="A1654" s="11">
        <v>101060402</v>
      </c>
      <c r="B1654" s="11" t="s">
        <v>44</v>
      </c>
      <c r="C1654" s="41">
        <v>44886</v>
      </c>
      <c r="D1654" s="41">
        <v>44886</v>
      </c>
      <c r="E1654" s="11" t="s">
        <v>42</v>
      </c>
      <c r="F1654" s="11" t="s">
        <v>1735</v>
      </c>
      <c r="G1654" s="11">
        <v>108898</v>
      </c>
      <c r="H1654" s="11" t="s">
        <v>57</v>
      </c>
      <c r="K1654" s="11">
        <v>101060401</v>
      </c>
      <c r="L1654" s="11" t="s">
        <v>34</v>
      </c>
      <c r="M1654" s="11"/>
      <c r="N1654" s="11">
        <v>40.29</v>
      </c>
      <c r="O1654" s="42">
        <v>-40.29</v>
      </c>
      <c r="P1654" s="43" t="s">
        <v>4481</v>
      </c>
      <c r="Q1654" s="11">
        <v>812536.52</v>
      </c>
      <c r="R1654" s="11" t="s">
        <v>3309</v>
      </c>
      <c r="S1654" s="11" t="s">
        <v>106</v>
      </c>
      <c r="T1654" s="11">
        <v>0</v>
      </c>
    </row>
    <row r="1655" spans="1:22" x14ac:dyDescent="0.25">
      <c r="A1655" s="11">
        <v>101060402</v>
      </c>
      <c r="B1655" s="11" t="s">
        <v>44</v>
      </c>
      <c r="C1655" s="41">
        <v>44887</v>
      </c>
      <c r="D1655" s="41">
        <v>44887</v>
      </c>
      <c r="E1655" s="11" t="s">
        <v>42</v>
      </c>
      <c r="F1655" s="11" t="s">
        <v>3310</v>
      </c>
      <c r="G1655" s="11">
        <v>108905</v>
      </c>
      <c r="H1655" s="11" t="s">
        <v>162</v>
      </c>
      <c r="J1655" s="11" t="s">
        <v>240</v>
      </c>
      <c r="K1655" s="11">
        <v>51010102</v>
      </c>
      <c r="L1655" s="11" t="s">
        <v>194</v>
      </c>
      <c r="M1655" s="11"/>
      <c r="N1655" s="11">
        <v>23951.27</v>
      </c>
      <c r="O1655" s="42">
        <v>-23951.27</v>
      </c>
      <c r="P1655" s="43" t="s">
        <v>4489</v>
      </c>
      <c r="Q1655" s="11">
        <v>788585.25</v>
      </c>
      <c r="R1655" s="11" t="s">
        <v>3311</v>
      </c>
      <c r="S1655" s="11" t="s">
        <v>106</v>
      </c>
      <c r="T1655" s="11">
        <v>0</v>
      </c>
      <c r="V1655" s="11" t="s">
        <v>241</v>
      </c>
    </row>
    <row r="1656" spans="1:22" x14ac:dyDescent="0.25">
      <c r="A1656" s="11">
        <v>101060402</v>
      </c>
      <c r="B1656" s="11" t="s">
        <v>44</v>
      </c>
      <c r="C1656" s="41">
        <v>44887</v>
      </c>
      <c r="D1656" s="41">
        <v>44887</v>
      </c>
      <c r="E1656" s="11" t="s">
        <v>42</v>
      </c>
      <c r="F1656" s="11" t="s">
        <v>3310</v>
      </c>
      <c r="G1656" s="11">
        <v>108905</v>
      </c>
      <c r="H1656" s="11" t="s">
        <v>162</v>
      </c>
      <c r="J1656" s="11" t="s">
        <v>240</v>
      </c>
      <c r="K1656" s="11">
        <v>51010102</v>
      </c>
      <c r="L1656" s="11" t="s">
        <v>194</v>
      </c>
      <c r="M1656" s="11"/>
      <c r="N1656" s="11">
        <v>42.11</v>
      </c>
      <c r="O1656" s="42">
        <v>-42.11</v>
      </c>
      <c r="P1656" s="43" t="s">
        <v>4489</v>
      </c>
      <c r="Q1656" s="11">
        <v>788543.14</v>
      </c>
      <c r="R1656" s="11" t="s">
        <v>3312</v>
      </c>
      <c r="S1656" s="11" t="s">
        <v>106</v>
      </c>
      <c r="T1656" s="11">
        <v>0</v>
      </c>
      <c r="V1656" s="11" t="s">
        <v>241</v>
      </c>
    </row>
    <row r="1657" spans="1:22" x14ac:dyDescent="0.25">
      <c r="A1657" s="11">
        <v>101060402</v>
      </c>
      <c r="B1657" s="11" t="s">
        <v>44</v>
      </c>
      <c r="C1657" s="41">
        <v>44887</v>
      </c>
      <c r="D1657" s="41">
        <v>44887</v>
      </c>
      <c r="E1657" s="11" t="s">
        <v>42</v>
      </c>
      <c r="F1657" s="11" t="s">
        <v>1745</v>
      </c>
      <c r="G1657" s="11">
        <v>108925</v>
      </c>
      <c r="H1657" s="11" t="s">
        <v>57</v>
      </c>
      <c r="K1657" s="11">
        <v>101060401</v>
      </c>
      <c r="L1657" s="11" t="s">
        <v>34</v>
      </c>
      <c r="M1657" s="11">
        <v>12.27</v>
      </c>
      <c r="N1657" s="11"/>
      <c r="O1657" s="42">
        <v>12.27</v>
      </c>
      <c r="P1657" s="43" t="s">
        <v>4481</v>
      </c>
      <c r="Q1657" s="11">
        <v>788555.41</v>
      </c>
      <c r="R1657" s="11" t="s">
        <v>3313</v>
      </c>
      <c r="S1657" s="11" t="s">
        <v>40</v>
      </c>
      <c r="T1657" s="11">
        <v>0</v>
      </c>
    </row>
    <row r="1658" spans="1:22" x14ac:dyDescent="0.25">
      <c r="A1658" s="11">
        <v>101060402</v>
      </c>
      <c r="B1658" s="11" t="s">
        <v>44</v>
      </c>
      <c r="C1658" s="41">
        <v>44887</v>
      </c>
      <c r="D1658" s="41">
        <v>44887</v>
      </c>
      <c r="E1658" s="11" t="s">
        <v>42</v>
      </c>
      <c r="F1658" s="11" t="s">
        <v>3314</v>
      </c>
      <c r="G1658" s="11">
        <v>108938</v>
      </c>
      <c r="H1658" s="11" t="s">
        <v>3315</v>
      </c>
      <c r="J1658" s="11" t="s">
        <v>240</v>
      </c>
      <c r="K1658" s="11">
        <v>51010102</v>
      </c>
      <c r="L1658" s="11" t="s">
        <v>194</v>
      </c>
      <c r="M1658" s="11"/>
      <c r="N1658" s="11">
        <v>22.27</v>
      </c>
      <c r="O1658" s="42">
        <v>-22.27</v>
      </c>
      <c r="P1658" s="43" t="s">
        <v>4489</v>
      </c>
      <c r="Q1658" s="11">
        <v>788533.14</v>
      </c>
      <c r="R1658" s="11" t="s">
        <v>2806</v>
      </c>
      <c r="S1658" s="11" t="s">
        <v>106</v>
      </c>
      <c r="T1658" s="11">
        <v>0</v>
      </c>
      <c r="V1658" s="11" t="s">
        <v>241</v>
      </c>
    </row>
    <row r="1659" spans="1:22" x14ac:dyDescent="0.25">
      <c r="A1659" s="11">
        <v>101060402</v>
      </c>
      <c r="B1659" s="11" t="s">
        <v>44</v>
      </c>
      <c r="C1659" s="41">
        <v>44887</v>
      </c>
      <c r="D1659" s="41">
        <v>44887</v>
      </c>
      <c r="E1659" s="11" t="s">
        <v>42</v>
      </c>
      <c r="F1659" s="11" t="s">
        <v>1751</v>
      </c>
      <c r="G1659" s="11">
        <v>108941</v>
      </c>
      <c r="H1659" s="11" t="s">
        <v>57</v>
      </c>
      <c r="K1659" s="11">
        <v>101060401</v>
      </c>
      <c r="L1659" s="11" t="s">
        <v>34</v>
      </c>
      <c r="M1659" s="11">
        <v>2</v>
      </c>
      <c r="N1659" s="11"/>
      <c r="O1659" s="42">
        <v>2</v>
      </c>
      <c r="P1659" s="43" t="s">
        <v>4481</v>
      </c>
      <c r="Q1659" s="11">
        <v>788535.14</v>
      </c>
      <c r="R1659" s="11" t="s">
        <v>169</v>
      </c>
      <c r="S1659" s="11" t="s">
        <v>40</v>
      </c>
      <c r="T1659" s="11">
        <v>0</v>
      </c>
    </row>
    <row r="1660" spans="1:22" x14ac:dyDescent="0.25">
      <c r="A1660" s="11">
        <v>101060402</v>
      </c>
      <c r="B1660" s="11" t="s">
        <v>44</v>
      </c>
      <c r="C1660" s="41">
        <v>44887</v>
      </c>
      <c r="D1660" s="41">
        <v>44887</v>
      </c>
      <c r="E1660" s="11" t="s">
        <v>42</v>
      </c>
      <c r="F1660" s="11" t="s">
        <v>3316</v>
      </c>
      <c r="G1660" s="11">
        <v>108944</v>
      </c>
      <c r="H1660" s="11" t="s">
        <v>47</v>
      </c>
      <c r="J1660" s="11" t="s">
        <v>240</v>
      </c>
      <c r="K1660" s="11">
        <v>51010102</v>
      </c>
      <c r="L1660" s="11" t="s">
        <v>194</v>
      </c>
      <c r="M1660" s="11"/>
      <c r="N1660" s="11">
        <v>436.68</v>
      </c>
      <c r="O1660" s="42">
        <v>-436.68</v>
      </c>
      <c r="P1660" s="43" t="s">
        <v>4489</v>
      </c>
      <c r="Q1660" s="11">
        <v>788098.46</v>
      </c>
      <c r="R1660" s="11" t="s">
        <v>3317</v>
      </c>
      <c r="S1660" s="11" t="s">
        <v>106</v>
      </c>
      <c r="T1660" s="11">
        <v>0</v>
      </c>
      <c r="V1660" s="11" t="s">
        <v>241</v>
      </c>
    </row>
    <row r="1661" spans="1:22" x14ac:dyDescent="0.25">
      <c r="A1661" s="11">
        <v>101060402</v>
      </c>
      <c r="B1661" s="11" t="s">
        <v>44</v>
      </c>
      <c r="C1661" s="41">
        <v>44887</v>
      </c>
      <c r="D1661" s="41">
        <v>44887</v>
      </c>
      <c r="E1661" s="11" t="s">
        <v>42</v>
      </c>
      <c r="F1661" s="11" t="s">
        <v>1756</v>
      </c>
      <c r="G1661" s="11">
        <v>108956</v>
      </c>
      <c r="H1661" s="11" t="s">
        <v>57</v>
      </c>
      <c r="K1661" s="11">
        <v>101060401</v>
      </c>
      <c r="L1661" s="11" t="s">
        <v>34</v>
      </c>
      <c r="M1661" s="11">
        <v>100157.21</v>
      </c>
      <c r="N1661" s="11"/>
      <c r="O1661" s="42">
        <v>100157.21</v>
      </c>
      <c r="P1661" s="43" t="s">
        <v>4481</v>
      </c>
      <c r="Q1661" s="11">
        <v>888255.67</v>
      </c>
      <c r="R1661" s="11" t="s">
        <v>3318</v>
      </c>
      <c r="S1661" s="11" t="s">
        <v>40</v>
      </c>
      <c r="T1661" s="11">
        <v>0</v>
      </c>
    </row>
    <row r="1662" spans="1:22" x14ac:dyDescent="0.25">
      <c r="A1662" s="11">
        <v>101060402</v>
      </c>
      <c r="B1662" s="11" t="s">
        <v>44</v>
      </c>
      <c r="C1662" s="41">
        <v>44887</v>
      </c>
      <c r="D1662" s="41">
        <v>44887</v>
      </c>
      <c r="E1662" s="11" t="s">
        <v>42</v>
      </c>
      <c r="F1662" s="11" t="s">
        <v>1758</v>
      </c>
      <c r="G1662" s="11">
        <v>108958</v>
      </c>
      <c r="H1662" s="11" t="s">
        <v>43</v>
      </c>
      <c r="K1662" s="11">
        <v>101060401</v>
      </c>
      <c r="L1662" s="11" t="s">
        <v>34</v>
      </c>
      <c r="M1662" s="11"/>
      <c r="N1662" s="11">
        <v>100170.61</v>
      </c>
      <c r="O1662" s="42">
        <v>-100170.61</v>
      </c>
      <c r="P1662" s="43" t="s">
        <v>4481</v>
      </c>
      <c r="Q1662" s="11">
        <v>788085.06</v>
      </c>
      <c r="R1662" s="11" t="s">
        <v>3319</v>
      </c>
      <c r="S1662" s="11" t="s">
        <v>40</v>
      </c>
      <c r="T1662" s="11">
        <v>0</v>
      </c>
    </row>
    <row r="1663" spans="1:22" x14ac:dyDescent="0.25">
      <c r="A1663" s="11">
        <v>101060402</v>
      </c>
      <c r="B1663" s="11" t="s">
        <v>44</v>
      </c>
      <c r="C1663" s="41">
        <v>44887</v>
      </c>
      <c r="D1663" s="41">
        <v>44887</v>
      </c>
      <c r="E1663" s="11" t="s">
        <v>42</v>
      </c>
      <c r="F1663" s="11" t="s">
        <v>3320</v>
      </c>
      <c r="G1663" s="11">
        <v>108965</v>
      </c>
      <c r="H1663" s="11" t="s">
        <v>1810</v>
      </c>
      <c r="J1663" s="11" t="s">
        <v>240</v>
      </c>
      <c r="K1663" s="11">
        <v>51010102</v>
      </c>
      <c r="L1663" s="11" t="s">
        <v>194</v>
      </c>
      <c r="M1663" s="11"/>
      <c r="N1663" s="11">
        <v>2</v>
      </c>
      <c r="O1663" s="42">
        <v>-2</v>
      </c>
      <c r="P1663" s="43" t="s">
        <v>4489</v>
      </c>
      <c r="Q1663" s="11">
        <v>788083.06</v>
      </c>
      <c r="R1663" s="11" t="s">
        <v>170</v>
      </c>
      <c r="S1663" s="11" t="s">
        <v>106</v>
      </c>
      <c r="T1663" s="11">
        <v>0</v>
      </c>
      <c r="V1663" s="11" t="s">
        <v>241</v>
      </c>
    </row>
    <row r="1664" spans="1:22" x14ac:dyDescent="0.25">
      <c r="A1664" s="11">
        <v>101060402</v>
      </c>
      <c r="B1664" s="11" t="s">
        <v>44</v>
      </c>
      <c r="C1664" s="41">
        <v>44887</v>
      </c>
      <c r="D1664" s="41">
        <v>44887</v>
      </c>
      <c r="E1664" s="11" t="s">
        <v>42</v>
      </c>
      <c r="F1664" s="11" t="s">
        <v>3321</v>
      </c>
      <c r="G1664" s="11">
        <v>108990</v>
      </c>
      <c r="H1664" s="11" t="s">
        <v>47</v>
      </c>
      <c r="J1664" s="11" t="s">
        <v>240</v>
      </c>
      <c r="K1664" s="11">
        <v>51010102</v>
      </c>
      <c r="L1664" s="11" t="s">
        <v>194</v>
      </c>
      <c r="M1664" s="11"/>
      <c r="N1664" s="11">
        <v>232.17</v>
      </c>
      <c r="O1664" s="42">
        <v>-232.17</v>
      </c>
      <c r="P1664" s="43" t="s">
        <v>4489</v>
      </c>
      <c r="Q1664" s="11">
        <v>787850.89</v>
      </c>
      <c r="R1664" s="11" t="s">
        <v>3322</v>
      </c>
      <c r="S1664" s="11" t="s">
        <v>106</v>
      </c>
      <c r="T1664" s="11">
        <v>0</v>
      </c>
      <c r="V1664" s="11" t="s">
        <v>241</v>
      </c>
    </row>
    <row r="1665" spans="1:22" x14ac:dyDescent="0.25">
      <c r="A1665" s="11">
        <v>101060402</v>
      </c>
      <c r="B1665" s="11" t="s">
        <v>44</v>
      </c>
      <c r="C1665" s="41">
        <v>44887</v>
      </c>
      <c r="D1665" s="41">
        <v>44887</v>
      </c>
      <c r="E1665" s="11" t="s">
        <v>42</v>
      </c>
      <c r="F1665" s="11" t="s">
        <v>1794</v>
      </c>
      <c r="G1665" s="11">
        <v>108994</v>
      </c>
      <c r="H1665" s="11" t="s">
        <v>57</v>
      </c>
      <c r="K1665" s="11">
        <v>101060401</v>
      </c>
      <c r="L1665" s="11" t="s">
        <v>34</v>
      </c>
      <c r="M1665" s="11"/>
      <c r="N1665" s="11">
        <v>1072.95</v>
      </c>
      <c r="O1665" s="42">
        <v>-1072.95</v>
      </c>
      <c r="P1665" s="43" t="s">
        <v>4481</v>
      </c>
      <c r="Q1665" s="11">
        <v>786777.94</v>
      </c>
      <c r="R1665" s="11" t="s">
        <v>3323</v>
      </c>
      <c r="S1665" s="11" t="s">
        <v>106</v>
      </c>
      <c r="T1665" s="11">
        <v>0</v>
      </c>
    </row>
    <row r="1666" spans="1:22" x14ac:dyDescent="0.25">
      <c r="A1666" s="11">
        <v>101060402</v>
      </c>
      <c r="B1666" s="11" t="s">
        <v>44</v>
      </c>
      <c r="C1666" s="41">
        <v>44887</v>
      </c>
      <c r="D1666" s="41">
        <v>44887</v>
      </c>
      <c r="E1666" s="11" t="s">
        <v>42</v>
      </c>
      <c r="F1666" s="11" t="s">
        <v>1822</v>
      </c>
      <c r="G1666" s="11">
        <v>109029</v>
      </c>
      <c r="H1666" s="11" t="s">
        <v>57</v>
      </c>
      <c r="K1666" s="11">
        <v>101060401</v>
      </c>
      <c r="L1666" s="11" t="s">
        <v>34</v>
      </c>
      <c r="M1666" s="11">
        <v>10.54</v>
      </c>
      <c r="N1666" s="11"/>
      <c r="O1666" s="42">
        <v>10.54</v>
      </c>
      <c r="P1666" s="43" t="s">
        <v>4481</v>
      </c>
      <c r="Q1666" s="11">
        <v>786788.48</v>
      </c>
      <c r="R1666" s="11" t="s">
        <v>1821</v>
      </c>
      <c r="S1666" s="11" t="s">
        <v>40</v>
      </c>
      <c r="T1666" s="11">
        <v>0</v>
      </c>
    </row>
    <row r="1667" spans="1:22" x14ac:dyDescent="0.25">
      <c r="A1667" s="11">
        <v>101060402</v>
      </c>
      <c r="B1667" s="11" t="s">
        <v>44</v>
      </c>
      <c r="C1667" s="41">
        <v>44887</v>
      </c>
      <c r="D1667" s="41">
        <v>44887</v>
      </c>
      <c r="E1667" s="11" t="s">
        <v>42</v>
      </c>
      <c r="F1667" s="11" t="s">
        <v>1825</v>
      </c>
      <c r="G1667" s="11">
        <v>109031</v>
      </c>
      <c r="H1667" s="11" t="s">
        <v>43</v>
      </c>
      <c r="K1667" s="11">
        <v>101060401</v>
      </c>
      <c r="L1667" s="11" t="s">
        <v>34</v>
      </c>
      <c r="M1667" s="11">
        <v>32397.759999999998</v>
      </c>
      <c r="N1667" s="11"/>
      <c r="O1667" s="42">
        <v>32397.759999999998</v>
      </c>
      <c r="P1667" s="43" t="s">
        <v>4481</v>
      </c>
      <c r="Q1667" s="11">
        <v>819186.24</v>
      </c>
      <c r="R1667" s="11" t="s">
        <v>1824</v>
      </c>
      <c r="S1667" s="11" t="s">
        <v>40</v>
      </c>
      <c r="T1667" s="11">
        <v>0</v>
      </c>
    </row>
    <row r="1668" spans="1:22" x14ac:dyDescent="0.25">
      <c r="A1668" s="11">
        <v>101060402</v>
      </c>
      <c r="B1668" s="11" t="s">
        <v>44</v>
      </c>
      <c r="C1668" s="41">
        <v>44887</v>
      </c>
      <c r="D1668" s="41">
        <v>44887</v>
      </c>
      <c r="E1668" s="11" t="s">
        <v>42</v>
      </c>
      <c r="F1668" s="11" t="s">
        <v>1827</v>
      </c>
      <c r="G1668" s="11">
        <v>109035</v>
      </c>
      <c r="H1668" s="11" t="s">
        <v>179</v>
      </c>
      <c r="J1668" s="11" t="s">
        <v>240</v>
      </c>
      <c r="K1668" s="11" t="s">
        <v>180</v>
      </c>
      <c r="L1668" s="11" t="s">
        <v>181</v>
      </c>
      <c r="M1668" s="11">
        <v>202.75</v>
      </c>
      <c r="N1668" s="11"/>
      <c r="O1668" s="42">
        <v>202.75</v>
      </c>
      <c r="P1668" s="43" t="s">
        <v>4488</v>
      </c>
      <c r="Q1668" s="11">
        <v>819388.99</v>
      </c>
      <c r="R1668" s="11" t="s">
        <v>3324</v>
      </c>
      <c r="S1668" s="11" t="s">
        <v>69</v>
      </c>
      <c r="T1668" s="11">
        <v>0</v>
      </c>
      <c r="V1668" s="11" t="s">
        <v>241</v>
      </c>
    </row>
    <row r="1669" spans="1:22" x14ac:dyDescent="0.25">
      <c r="A1669" s="11">
        <v>101060402</v>
      </c>
      <c r="B1669" s="11" t="s">
        <v>44</v>
      </c>
      <c r="C1669" s="41">
        <v>44888</v>
      </c>
      <c r="D1669" s="41">
        <v>44888</v>
      </c>
      <c r="E1669" s="11" t="s">
        <v>42</v>
      </c>
      <c r="F1669" s="11" t="s">
        <v>3325</v>
      </c>
      <c r="G1669" s="11">
        <v>109040</v>
      </c>
      <c r="H1669" s="11" t="s">
        <v>3315</v>
      </c>
      <c r="J1669" s="11" t="s">
        <v>240</v>
      </c>
      <c r="K1669" s="11">
        <v>51010102</v>
      </c>
      <c r="L1669" s="11" t="s">
        <v>194</v>
      </c>
      <c r="M1669" s="11"/>
      <c r="N1669" s="11">
        <v>10.54</v>
      </c>
      <c r="O1669" s="42">
        <v>-10.54</v>
      </c>
      <c r="P1669" s="43" t="s">
        <v>4489</v>
      </c>
      <c r="Q1669" s="11">
        <v>819378.45</v>
      </c>
      <c r="R1669" s="11" t="s">
        <v>353</v>
      </c>
      <c r="S1669" s="11" t="s">
        <v>106</v>
      </c>
      <c r="T1669" s="11">
        <v>0</v>
      </c>
      <c r="V1669" s="11" t="s">
        <v>241</v>
      </c>
    </row>
    <row r="1670" spans="1:22" x14ac:dyDescent="0.25">
      <c r="A1670" s="11">
        <v>101060402</v>
      </c>
      <c r="B1670" s="11" t="s">
        <v>44</v>
      </c>
      <c r="C1670" s="41">
        <v>44888</v>
      </c>
      <c r="D1670" s="41">
        <v>44888</v>
      </c>
      <c r="E1670" s="11" t="s">
        <v>42</v>
      </c>
      <c r="F1670" s="11" t="s">
        <v>1834</v>
      </c>
      <c r="G1670" s="11">
        <v>109047</v>
      </c>
      <c r="H1670" s="11" t="s">
        <v>57</v>
      </c>
      <c r="K1670" s="11">
        <v>101060401</v>
      </c>
      <c r="L1670" s="11" t="s">
        <v>34</v>
      </c>
      <c r="M1670" s="11">
        <v>1144.55</v>
      </c>
      <c r="N1670" s="11"/>
      <c r="O1670" s="42">
        <v>1144.55</v>
      </c>
      <c r="P1670" s="43" t="s">
        <v>4481</v>
      </c>
      <c r="Q1670" s="11">
        <v>820523</v>
      </c>
      <c r="R1670" s="11" t="s">
        <v>3326</v>
      </c>
      <c r="S1670" s="11" t="s">
        <v>40</v>
      </c>
      <c r="T1670" s="11">
        <v>0</v>
      </c>
    </row>
    <row r="1671" spans="1:22" x14ac:dyDescent="0.25">
      <c r="A1671" s="11">
        <v>101060402</v>
      </c>
      <c r="B1671" s="11" t="s">
        <v>44</v>
      </c>
      <c r="C1671" s="41">
        <v>44888</v>
      </c>
      <c r="D1671" s="41">
        <v>44888</v>
      </c>
      <c r="E1671" s="11" t="s">
        <v>42</v>
      </c>
      <c r="F1671" s="11" t="s">
        <v>3327</v>
      </c>
      <c r="G1671" s="11">
        <v>109053</v>
      </c>
      <c r="H1671" s="11" t="s">
        <v>47</v>
      </c>
      <c r="J1671" s="11" t="s">
        <v>240</v>
      </c>
      <c r="K1671" s="11">
        <v>51010102</v>
      </c>
      <c r="L1671" s="11" t="s">
        <v>194</v>
      </c>
      <c r="M1671" s="11"/>
      <c r="N1671" s="11">
        <v>273.39</v>
      </c>
      <c r="O1671" s="42">
        <v>-273.39</v>
      </c>
      <c r="P1671" s="43" t="s">
        <v>4489</v>
      </c>
      <c r="Q1671" s="11">
        <v>820249.61</v>
      </c>
      <c r="R1671" s="11" t="s">
        <v>3328</v>
      </c>
      <c r="S1671" s="11" t="s">
        <v>106</v>
      </c>
      <c r="T1671" s="11">
        <v>0</v>
      </c>
      <c r="V1671" s="11" t="s">
        <v>241</v>
      </c>
    </row>
    <row r="1672" spans="1:22" x14ac:dyDescent="0.25">
      <c r="A1672" s="11">
        <v>101060402</v>
      </c>
      <c r="B1672" s="11" t="s">
        <v>44</v>
      </c>
      <c r="C1672" s="41">
        <v>44888</v>
      </c>
      <c r="D1672" s="41">
        <v>44888</v>
      </c>
      <c r="E1672" s="11" t="s">
        <v>42</v>
      </c>
      <c r="F1672" s="11" t="s">
        <v>1847</v>
      </c>
      <c r="G1672" s="11">
        <v>109059</v>
      </c>
      <c r="H1672" s="11" t="s">
        <v>57</v>
      </c>
      <c r="K1672" s="11">
        <v>101060401</v>
      </c>
      <c r="L1672" s="11" t="s">
        <v>34</v>
      </c>
      <c r="M1672" s="11">
        <v>2847.4</v>
      </c>
      <c r="N1672" s="11"/>
      <c r="O1672" s="42">
        <v>2847.4</v>
      </c>
      <c r="P1672" s="43" t="s">
        <v>4481</v>
      </c>
      <c r="Q1672" s="11">
        <v>823097.01</v>
      </c>
      <c r="R1672" s="11" t="s">
        <v>3329</v>
      </c>
      <c r="S1672" s="11" t="s">
        <v>40</v>
      </c>
      <c r="T1672" s="11">
        <v>0</v>
      </c>
    </row>
    <row r="1673" spans="1:22" x14ac:dyDescent="0.25">
      <c r="A1673" s="11">
        <v>101060402</v>
      </c>
      <c r="B1673" s="11" t="s">
        <v>44</v>
      </c>
      <c r="C1673" s="41">
        <v>44888</v>
      </c>
      <c r="D1673" s="41">
        <v>44888</v>
      </c>
      <c r="E1673" s="11" t="s">
        <v>42</v>
      </c>
      <c r="F1673" s="11" t="s">
        <v>1858</v>
      </c>
      <c r="G1673" s="11">
        <v>109070</v>
      </c>
      <c r="H1673" s="11" t="s">
        <v>47</v>
      </c>
      <c r="J1673" s="11" t="s">
        <v>240</v>
      </c>
      <c r="K1673" s="11">
        <v>51010102</v>
      </c>
      <c r="L1673" s="11" t="s">
        <v>194</v>
      </c>
      <c r="M1673" s="11"/>
      <c r="N1673" s="11">
        <v>60</v>
      </c>
      <c r="O1673" s="42">
        <v>-60</v>
      </c>
      <c r="P1673" s="43" t="s">
        <v>4489</v>
      </c>
      <c r="Q1673" s="11">
        <v>823037.01</v>
      </c>
      <c r="R1673" s="11" t="s">
        <v>3330</v>
      </c>
      <c r="S1673" s="11" t="s">
        <v>40</v>
      </c>
      <c r="T1673" s="11">
        <v>0</v>
      </c>
      <c r="V1673" s="11" t="s">
        <v>241</v>
      </c>
    </row>
    <row r="1674" spans="1:22" x14ac:dyDescent="0.25">
      <c r="A1674" s="11">
        <v>101060402</v>
      </c>
      <c r="B1674" s="11" t="s">
        <v>44</v>
      </c>
      <c r="C1674" s="41">
        <v>44888</v>
      </c>
      <c r="D1674" s="41">
        <v>44888</v>
      </c>
      <c r="E1674" s="11" t="s">
        <v>42</v>
      </c>
      <c r="F1674" s="11" t="s">
        <v>3331</v>
      </c>
      <c r="G1674" s="11">
        <v>109086</v>
      </c>
      <c r="H1674" s="11" t="s">
        <v>47</v>
      </c>
      <c r="J1674" s="11" t="s">
        <v>240</v>
      </c>
      <c r="K1674" s="11">
        <v>51010102</v>
      </c>
      <c r="L1674" s="11" t="s">
        <v>194</v>
      </c>
      <c r="M1674" s="11"/>
      <c r="N1674" s="11">
        <v>44.86</v>
      </c>
      <c r="O1674" s="42">
        <v>-44.86</v>
      </c>
      <c r="P1674" s="43" t="s">
        <v>4489</v>
      </c>
      <c r="Q1674" s="11">
        <v>822992.15</v>
      </c>
      <c r="R1674" s="11" t="s">
        <v>3332</v>
      </c>
      <c r="S1674" s="11" t="s">
        <v>106</v>
      </c>
      <c r="T1674" s="11">
        <v>0</v>
      </c>
      <c r="V1674" s="11" t="s">
        <v>241</v>
      </c>
    </row>
    <row r="1675" spans="1:22" x14ac:dyDescent="0.25">
      <c r="A1675" s="11">
        <v>101060402</v>
      </c>
      <c r="B1675" s="11" t="s">
        <v>44</v>
      </c>
      <c r="C1675" s="41">
        <v>44888</v>
      </c>
      <c r="D1675" s="41">
        <v>44888</v>
      </c>
      <c r="E1675" s="11" t="s">
        <v>42</v>
      </c>
      <c r="F1675" s="11" t="s">
        <v>3333</v>
      </c>
      <c r="G1675" s="11">
        <v>109087</v>
      </c>
      <c r="H1675" s="11" t="s">
        <v>47</v>
      </c>
      <c r="J1675" s="11" t="s">
        <v>240</v>
      </c>
      <c r="K1675" s="11">
        <v>51010102</v>
      </c>
      <c r="L1675" s="11" t="s">
        <v>194</v>
      </c>
      <c r="M1675" s="11"/>
      <c r="N1675" s="11">
        <v>44.86</v>
      </c>
      <c r="O1675" s="42">
        <v>-44.86</v>
      </c>
      <c r="P1675" s="43" t="s">
        <v>4489</v>
      </c>
      <c r="Q1675" s="11">
        <v>822947.29</v>
      </c>
      <c r="R1675" s="11" t="s">
        <v>3332</v>
      </c>
      <c r="S1675" s="11" t="s">
        <v>106</v>
      </c>
      <c r="T1675" s="11">
        <v>0</v>
      </c>
      <c r="V1675" s="11" t="s">
        <v>241</v>
      </c>
    </row>
    <row r="1676" spans="1:22" x14ac:dyDescent="0.25">
      <c r="A1676" s="11">
        <v>101060402</v>
      </c>
      <c r="B1676" s="11" t="s">
        <v>44</v>
      </c>
      <c r="C1676" s="41">
        <v>44888</v>
      </c>
      <c r="D1676" s="41">
        <v>44888</v>
      </c>
      <c r="E1676" s="11" t="s">
        <v>42</v>
      </c>
      <c r="F1676" s="11" t="s">
        <v>3334</v>
      </c>
      <c r="G1676" s="11">
        <v>109090</v>
      </c>
      <c r="H1676" s="11" t="s">
        <v>1912</v>
      </c>
      <c r="J1676" s="11" t="s">
        <v>240</v>
      </c>
      <c r="K1676" s="11">
        <v>51010102</v>
      </c>
      <c r="L1676" s="11" t="s">
        <v>194</v>
      </c>
      <c r="M1676" s="11"/>
      <c r="N1676" s="11">
        <v>1220.8599999999999</v>
      </c>
      <c r="O1676" s="42">
        <v>-1220.8599999999999</v>
      </c>
      <c r="P1676" s="43" t="s">
        <v>4489</v>
      </c>
      <c r="Q1676" s="11">
        <v>821726.43</v>
      </c>
      <c r="R1676" s="11" t="s">
        <v>3335</v>
      </c>
      <c r="S1676" s="11" t="s">
        <v>106</v>
      </c>
      <c r="T1676" s="11">
        <v>0</v>
      </c>
      <c r="V1676" s="11" t="s">
        <v>241</v>
      </c>
    </row>
    <row r="1677" spans="1:22" x14ac:dyDescent="0.25">
      <c r="A1677" s="11">
        <v>101060402</v>
      </c>
      <c r="B1677" s="11" t="s">
        <v>44</v>
      </c>
      <c r="C1677" s="41">
        <v>44888</v>
      </c>
      <c r="D1677" s="41">
        <v>44888</v>
      </c>
      <c r="E1677" s="11" t="s">
        <v>42</v>
      </c>
      <c r="F1677" s="11" t="s">
        <v>1868</v>
      </c>
      <c r="G1677" s="11">
        <v>109094</v>
      </c>
      <c r="H1677" s="11" t="s">
        <v>57</v>
      </c>
      <c r="K1677" s="11">
        <v>101060401</v>
      </c>
      <c r="L1677" s="11" t="s">
        <v>34</v>
      </c>
      <c r="M1677" s="11"/>
      <c r="N1677" s="11">
        <v>88.92</v>
      </c>
      <c r="O1677" s="42">
        <v>-88.92</v>
      </c>
      <c r="P1677" s="43" t="s">
        <v>4481</v>
      </c>
      <c r="Q1677" s="11">
        <v>821637.51</v>
      </c>
      <c r="R1677" s="11" t="s">
        <v>3336</v>
      </c>
      <c r="S1677" s="11" t="s">
        <v>106</v>
      </c>
      <c r="T1677" s="11">
        <v>0</v>
      </c>
    </row>
    <row r="1678" spans="1:22" x14ac:dyDescent="0.25">
      <c r="A1678" s="11">
        <v>101060402</v>
      </c>
      <c r="B1678" s="11" t="s">
        <v>44</v>
      </c>
      <c r="C1678" s="41">
        <v>44889</v>
      </c>
      <c r="D1678" s="41">
        <v>44889</v>
      </c>
      <c r="E1678" s="11" t="s">
        <v>42</v>
      </c>
      <c r="F1678" s="11" t="s">
        <v>3337</v>
      </c>
      <c r="G1678" s="11">
        <v>109113</v>
      </c>
      <c r="H1678" s="11" t="s">
        <v>76</v>
      </c>
      <c r="J1678" s="11" t="s">
        <v>240</v>
      </c>
      <c r="K1678" s="11">
        <v>51010102</v>
      </c>
      <c r="L1678" s="11" t="s">
        <v>194</v>
      </c>
      <c r="M1678" s="11"/>
      <c r="N1678" s="11">
        <v>283.85000000000002</v>
      </c>
      <c r="O1678" s="42">
        <v>-283.85000000000002</v>
      </c>
      <c r="P1678" s="43" t="s">
        <v>4489</v>
      </c>
      <c r="Q1678" s="11">
        <v>821353.66</v>
      </c>
      <c r="R1678" s="11" t="s">
        <v>3338</v>
      </c>
      <c r="S1678" s="11" t="s">
        <v>106</v>
      </c>
      <c r="T1678" s="11">
        <v>0</v>
      </c>
      <c r="V1678" s="11" t="s">
        <v>241</v>
      </c>
    </row>
    <row r="1679" spans="1:22" x14ac:dyDescent="0.25">
      <c r="A1679" s="11">
        <v>101060402</v>
      </c>
      <c r="B1679" s="11" t="s">
        <v>44</v>
      </c>
      <c r="C1679" s="41">
        <v>44889</v>
      </c>
      <c r="D1679" s="41">
        <v>44889</v>
      </c>
      <c r="E1679" s="11" t="s">
        <v>42</v>
      </c>
      <c r="F1679" s="11" t="s">
        <v>3339</v>
      </c>
      <c r="G1679" s="11">
        <v>109121</v>
      </c>
      <c r="H1679" s="11" t="s">
        <v>47</v>
      </c>
      <c r="J1679" s="11" t="s">
        <v>240</v>
      </c>
      <c r="K1679" s="11">
        <v>51010102</v>
      </c>
      <c r="L1679" s="11" t="s">
        <v>194</v>
      </c>
      <c r="M1679" s="11"/>
      <c r="N1679" s="11">
        <v>244.89</v>
      </c>
      <c r="O1679" s="42">
        <v>-244.89</v>
      </c>
      <c r="P1679" s="43" t="s">
        <v>4489</v>
      </c>
      <c r="Q1679" s="11">
        <v>821108.77</v>
      </c>
      <c r="R1679" s="11" t="s">
        <v>3340</v>
      </c>
      <c r="S1679" s="11" t="s">
        <v>106</v>
      </c>
      <c r="T1679" s="11">
        <v>0</v>
      </c>
      <c r="V1679" s="11" t="s">
        <v>241</v>
      </c>
    </row>
    <row r="1680" spans="1:22" x14ac:dyDescent="0.25">
      <c r="A1680" s="11">
        <v>101060402</v>
      </c>
      <c r="B1680" s="11" t="s">
        <v>44</v>
      </c>
      <c r="C1680" s="41">
        <v>44889</v>
      </c>
      <c r="D1680" s="41">
        <v>44889</v>
      </c>
      <c r="E1680" s="11" t="s">
        <v>42</v>
      </c>
      <c r="F1680" s="11" t="s">
        <v>3341</v>
      </c>
      <c r="G1680" s="11">
        <v>109137</v>
      </c>
      <c r="H1680" s="11" t="s">
        <v>3342</v>
      </c>
      <c r="J1680" s="11" t="s">
        <v>240</v>
      </c>
      <c r="K1680" s="11">
        <v>51010102</v>
      </c>
      <c r="L1680" s="11" t="s">
        <v>194</v>
      </c>
      <c r="M1680" s="11"/>
      <c r="N1680" s="11">
        <v>28.89</v>
      </c>
      <c r="O1680" s="42">
        <v>-28.89</v>
      </c>
      <c r="P1680" s="43" t="s">
        <v>4489</v>
      </c>
      <c r="Q1680" s="11">
        <v>821079.88</v>
      </c>
      <c r="R1680" s="11" t="s">
        <v>3343</v>
      </c>
      <c r="S1680" s="11" t="s">
        <v>106</v>
      </c>
      <c r="T1680" s="11">
        <v>0</v>
      </c>
      <c r="V1680" s="11" t="s">
        <v>241</v>
      </c>
    </row>
    <row r="1681" spans="1:22" x14ac:dyDescent="0.25">
      <c r="A1681" s="11">
        <v>101060402</v>
      </c>
      <c r="B1681" s="11" t="s">
        <v>44</v>
      </c>
      <c r="C1681" s="41">
        <v>44889</v>
      </c>
      <c r="D1681" s="41">
        <v>44889</v>
      </c>
      <c r="E1681" s="11" t="s">
        <v>42</v>
      </c>
      <c r="F1681" s="11" t="s">
        <v>1896</v>
      </c>
      <c r="G1681" s="11">
        <v>109176</v>
      </c>
      <c r="H1681" s="11" t="s">
        <v>57</v>
      </c>
      <c r="K1681" s="11">
        <v>101060401</v>
      </c>
      <c r="L1681" s="11" t="s">
        <v>34</v>
      </c>
      <c r="M1681" s="11">
        <v>122.81</v>
      </c>
      <c r="N1681" s="11"/>
      <c r="O1681" s="42">
        <v>122.81</v>
      </c>
      <c r="P1681" s="43" t="s">
        <v>4481</v>
      </c>
      <c r="Q1681" s="11">
        <v>821202.69</v>
      </c>
      <c r="R1681" s="11" t="s">
        <v>291</v>
      </c>
      <c r="S1681" s="11" t="s">
        <v>40</v>
      </c>
      <c r="T1681" s="11">
        <v>0</v>
      </c>
    </row>
    <row r="1682" spans="1:22" x14ac:dyDescent="0.25">
      <c r="A1682" s="11">
        <v>101060402</v>
      </c>
      <c r="B1682" s="11" t="s">
        <v>44</v>
      </c>
      <c r="C1682" s="41">
        <v>44889</v>
      </c>
      <c r="D1682" s="41">
        <v>44889</v>
      </c>
      <c r="E1682" s="11" t="s">
        <v>42</v>
      </c>
      <c r="F1682" s="11" t="s">
        <v>3344</v>
      </c>
      <c r="G1682" s="11">
        <v>109214</v>
      </c>
      <c r="H1682" s="11" t="s">
        <v>129</v>
      </c>
      <c r="J1682" s="11" t="s">
        <v>240</v>
      </c>
      <c r="K1682" s="11">
        <v>51010102</v>
      </c>
      <c r="L1682" s="11" t="s">
        <v>194</v>
      </c>
      <c r="M1682" s="11"/>
      <c r="N1682" s="11">
        <v>198.98</v>
      </c>
      <c r="O1682" s="42">
        <v>-198.98</v>
      </c>
      <c r="P1682" s="43" t="s">
        <v>4489</v>
      </c>
      <c r="Q1682" s="11">
        <v>821003.71</v>
      </c>
      <c r="R1682" s="11" t="s">
        <v>3345</v>
      </c>
      <c r="S1682" s="11" t="s">
        <v>106</v>
      </c>
      <c r="T1682" s="11">
        <v>0</v>
      </c>
      <c r="V1682" s="11" t="s">
        <v>241</v>
      </c>
    </row>
    <row r="1683" spans="1:22" x14ac:dyDescent="0.25">
      <c r="A1683" s="11">
        <v>101060402</v>
      </c>
      <c r="B1683" s="11" t="s">
        <v>44</v>
      </c>
      <c r="C1683" s="41">
        <v>44889</v>
      </c>
      <c r="D1683" s="41">
        <v>44889</v>
      </c>
      <c r="E1683" s="11" t="s">
        <v>42</v>
      </c>
      <c r="F1683" s="11" t="s">
        <v>3346</v>
      </c>
      <c r="G1683" s="11">
        <v>109216</v>
      </c>
      <c r="H1683" s="11" t="s">
        <v>1912</v>
      </c>
      <c r="J1683" s="11" t="s">
        <v>240</v>
      </c>
      <c r="K1683" s="11">
        <v>51010102</v>
      </c>
      <c r="L1683" s="11" t="s">
        <v>194</v>
      </c>
      <c r="M1683" s="11"/>
      <c r="N1683" s="11">
        <v>2847.03</v>
      </c>
      <c r="O1683" s="42">
        <v>-2847.03</v>
      </c>
      <c r="P1683" s="43" t="s">
        <v>4489</v>
      </c>
      <c r="Q1683" s="11">
        <v>818156.68</v>
      </c>
      <c r="R1683" s="11" t="s">
        <v>3347</v>
      </c>
      <c r="S1683" s="11" t="s">
        <v>106</v>
      </c>
      <c r="T1683" s="11">
        <v>0</v>
      </c>
      <c r="V1683" s="11" t="s">
        <v>241</v>
      </c>
    </row>
    <row r="1684" spans="1:22" x14ac:dyDescent="0.25">
      <c r="A1684" s="11">
        <v>101060402</v>
      </c>
      <c r="B1684" s="11" t="s">
        <v>44</v>
      </c>
      <c r="C1684" s="41">
        <v>44889</v>
      </c>
      <c r="D1684" s="41">
        <v>44889</v>
      </c>
      <c r="E1684" s="11" t="s">
        <v>42</v>
      </c>
      <c r="F1684" s="11" t="s">
        <v>1911</v>
      </c>
      <c r="G1684" s="11">
        <v>109246</v>
      </c>
      <c r="H1684" s="11" t="s">
        <v>1912</v>
      </c>
      <c r="J1684" s="11" t="s">
        <v>240</v>
      </c>
      <c r="K1684" s="11">
        <v>51010102</v>
      </c>
      <c r="L1684" s="11" t="s">
        <v>194</v>
      </c>
      <c r="M1684" s="11"/>
      <c r="N1684" s="11">
        <v>439.4</v>
      </c>
      <c r="O1684" s="42">
        <v>-439.4</v>
      </c>
      <c r="P1684" s="43" t="s">
        <v>4489</v>
      </c>
      <c r="Q1684" s="11">
        <v>817717.28</v>
      </c>
      <c r="R1684" s="11" t="s">
        <v>3348</v>
      </c>
      <c r="S1684" s="11" t="s">
        <v>106</v>
      </c>
      <c r="T1684" s="11">
        <v>0</v>
      </c>
      <c r="V1684" s="11" t="s">
        <v>241</v>
      </c>
    </row>
    <row r="1685" spans="1:22" x14ac:dyDescent="0.25">
      <c r="A1685" s="11">
        <v>101060402</v>
      </c>
      <c r="B1685" s="11" t="s">
        <v>44</v>
      </c>
      <c r="C1685" s="41">
        <v>44889</v>
      </c>
      <c r="D1685" s="41">
        <v>44889</v>
      </c>
      <c r="E1685" s="11" t="s">
        <v>42</v>
      </c>
      <c r="F1685" s="11" t="s">
        <v>1918</v>
      </c>
      <c r="G1685" s="11">
        <v>109249</v>
      </c>
      <c r="H1685" s="11" t="s">
        <v>57</v>
      </c>
      <c r="K1685" s="11">
        <v>101060401</v>
      </c>
      <c r="L1685" s="11" t="s">
        <v>34</v>
      </c>
      <c r="M1685" s="11">
        <v>293.99</v>
      </c>
      <c r="N1685" s="11"/>
      <c r="O1685" s="42">
        <v>293.99</v>
      </c>
      <c r="P1685" s="43" t="s">
        <v>4481</v>
      </c>
      <c r="Q1685" s="11">
        <v>818011.27</v>
      </c>
      <c r="R1685" s="11" t="s">
        <v>1917</v>
      </c>
      <c r="S1685" s="11" t="s">
        <v>40</v>
      </c>
      <c r="T1685" s="11">
        <v>0</v>
      </c>
    </row>
    <row r="1686" spans="1:22" x14ac:dyDescent="0.25">
      <c r="A1686" s="11">
        <v>101060402</v>
      </c>
      <c r="B1686" s="11" t="s">
        <v>44</v>
      </c>
      <c r="C1686" s="41">
        <v>44889</v>
      </c>
      <c r="D1686" s="41">
        <v>44889</v>
      </c>
      <c r="E1686" s="11" t="s">
        <v>42</v>
      </c>
      <c r="F1686" s="11" t="s">
        <v>1923</v>
      </c>
      <c r="G1686" s="11">
        <v>109267</v>
      </c>
      <c r="H1686" s="11" t="s">
        <v>57</v>
      </c>
      <c r="K1686" s="11">
        <v>101060401</v>
      </c>
      <c r="L1686" s="11" t="s">
        <v>34</v>
      </c>
      <c r="M1686" s="11">
        <v>1933.78</v>
      </c>
      <c r="N1686" s="11"/>
      <c r="O1686" s="42">
        <v>1933.78</v>
      </c>
      <c r="P1686" s="43" t="s">
        <v>4481</v>
      </c>
      <c r="Q1686" s="11">
        <v>819945.05</v>
      </c>
      <c r="R1686" s="11" t="s">
        <v>3349</v>
      </c>
      <c r="S1686" s="11" t="s">
        <v>40</v>
      </c>
      <c r="T1686" s="11">
        <v>0</v>
      </c>
    </row>
    <row r="1687" spans="1:22" x14ac:dyDescent="0.25">
      <c r="A1687" s="11">
        <v>101060402</v>
      </c>
      <c r="B1687" s="11" t="s">
        <v>44</v>
      </c>
      <c r="C1687" s="41">
        <v>44889</v>
      </c>
      <c r="D1687" s="41">
        <v>44889</v>
      </c>
      <c r="E1687" s="11" t="s">
        <v>42</v>
      </c>
      <c r="F1687" s="11" t="s">
        <v>1925</v>
      </c>
      <c r="G1687" s="11">
        <v>109268</v>
      </c>
      <c r="H1687" s="11" t="s">
        <v>57</v>
      </c>
      <c r="K1687" s="11">
        <v>101060401</v>
      </c>
      <c r="L1687" s="11" t="s">
        <v>34</v>
      </c>
      <c r="M1687" s="11">
        <v>1208.6199999999999</v>
      </c>
      <c r="N1687" s="11"/>
      <c r="O1687" s="42">
        <v>1208.6199999999999</v>
      </c>
      <c r="P1687" s="43" t="s">
        <v>4481</v>
      </c>
      <c r="Q1687" s="11">
        <v>821153.67</v>
      </c>
      <c r="R1687" s="11" t="s">
        <v>3350</v>
      </c>
      <c r="S1687" s="11" t="s">
        <v>40</v>
      </c>
      <c r="T1687" s="11">
        <v>0</v>
      </c>
    </row>
    <row r="1688" spans="1:22" x14ac:dyDescent="0.25">
      <c r="A1688" s="11">
        <v>101060402</v>
      </c>
      <c r="B1688" s="11" t="s">
        <v>44</v>
      </c>
      <c r="C1688" s="41">
        <v>44890</v>
      </c>
      <c r="D1688" s="41">
        <v>44890</v>
      </c>
      <c r="E1688" s="11" t="s">
        <v>42</v>
      </c>
      <c r="F1688" s="11" t="s">
        <v>3351</v>
      </c>
      <c r="G1688" s="11">
        <v>109272</v>
      </c>
      <c r="H1688" s="11" t="s">
        <v>47</v>
      </c>
      <c r="J1688" s="11" t="s">
        <v>240</v>
      </c>
      <c r="K1688" s="11">
        <v>51010102</v>
      </c>
      <c r="L1688" s="11" t="s">
        <v>194</v>
      </c>
      <c r="M1688" s="11"/>
      <c r="N1688" s="11">
        <v>7.61</v>
      </c>
      <c r="O1688" s="42">
        <v>-7.61</v>
      </c>
      <c r="P1688" s="43" t="s">
        <v>4489</v>
      </c>
      <c r="Q1688" s="11">
        <v>821146.06</v>
      </c>
      <c r="R1688" s="11" t="s">
        <v>3352</v>
      </c>
      <c r="S1688" s="11" t="s">
        <v>106</v>
      </c>
      <c r="T1688" s="11">
        <v>0</v>
      </c>
      <c r="V1688" s="11" t="s">
        <v>241</v>
      </c>
    </row>
    <row r="1689" spans="1:22" x14ac:dyDescent="0.25">
      <c r="A1689" s="11">
        <v>101060402</v>
      </c>
      <c r="B1689" s="11" t="s">
        <v>44</v>
      </c>
      <c r="C1689" s="41">
        <v>44890</v>
      </c>
      <c r="D1689" s="41">
        <v>44890</v>
      </c>
      <c r="E1689" s="11" t="s">
        <v>42</v>
      </c>
      <c r="F1689" s="11" t="s">
        <v>1932</v>
      </c>
      <c r="G1689" s="11">
        <v>109278</v>
      </c>
      <c r="H1689" s="11" t="s">
        <v>57</v>
      </c>
      <c r="K1689" s="11">
        <v>101060401</v>
      </c>
      <c r="L1689" s="11" t="s">
        <v>34</v>
      </c>
      <c r="M1689" s="11"/>
      <c r="N1689" s="11">
        <v>30.34</v>
      </c>
      <c r="O1689" s="42">
        <v>-30.34</v>
      </c>
      <c r="P1689" s="43" t="s">
        <v>4481</v>
      </c>
      <c r="Q1689" s="11">
        <v>821115.72</v>
      </c>
      <c r="R1689" s="11" t="s">
        <v>1935</v>
      </c>
      <c r="S1689" s="11" t="s">
        <v>40</v>
      </c>
      <c r="T1689" s="11">
        <v>0</v>
      </c>
    </row>
    <row r="1690" spans="1:22" x14ac:dyDescent="0.25">
      <c r="A1690" s="11">
        <v>101060402</v>
      </c>
      <c r="B1690" s="11" t="s">
        <v>44</v>
      </c>
      <c r="C1690" s="41">
        <v>44890</v>
      </c>
      <c r="D1690" s="41">
        <v>44890</v>
      </c>
      <c r="E1690" s="11" t="s">
        <v>42</v>
      </c>
      <c r="F1690" s="11" t="s">
        <v>1934</v>
      </c>
      <c r="G1690" s="11">
        <v>109279</v>
      </c>
      <c r="H1690" s="11" t="s">
        <v>57</v>
      </c>
      <c r="K1690" s="11">
        <v>101060401</v>
      </c>
      <c r="L1690" s="11" t="s">
        <v>34</v>
      </c>
      <c r="M1690" s="11">
        <v>30.34</v>
      </c>
      <c r="N1690" s="11"/>
      <c r="O1690" s="42">
        <v>30.34</v>
      </c>
      <c r="P1690" s="43" t="s">
        <v>4481</v>
      </c>
      <c r="Q1690" s="11">
        <v>821146.06</v>
      </c>
      <c r="R1690" s="11" t="s">
        <v>1933</v>
      </c>
      <c r="S1690" s="11" t="s">
        <v>40</v>
      </c>
      <c r="T1690" s="11">
        <v>0</v>
      </c>
    </row>
    <row r="1691" spans="1:22" x14ac:dyDescent="0.25">
      <c r="A1691" s="11">
        <v>101060402</v>
      </c>
      <c r="B1691" s="11" t="s">
        <v>44</v>
      </c>
      <c r="C1691" s="41">
        <v>44890</v>
      </c>
      <c r="D1691" s="41">
        <v>44890</v>
      </c>
      <c r="E1691" s="11" t="s">
        <v>42</v>
      </c>
      <c r="F1691" s="11" t="s">
        <v>1936</v>
      </c>
      <c r="G1691" s="11">
        <v>109280</v>
      </c>
      <c r="H1691" s="11" t="s">
        <v>57</v>
      </c>
      <c r="K1691" s="11">
        <v>101060401</v>
      </c>
      <c r="L1691" s="11" t="s">
        <v>34</v>
      </c>
      <c r="M1691" s="11"/>
      <c r="N1691" s="11">
        <v>3223.8</v>
      </c>
      <c r="O1691" s="42">
        <v>-3223.8</v>
      </c>
      <c r="P1691" s="43" t="s">
        <v>4481</v>
      </c>
      <c r="Q1691" s="11">
        <v>817922.26</v>
      </c>
      <c r="R1691" s="11" t="s">
        <v>3353</v>
      </c>
      <c r="S1691" s="11" t="s">
        <v>40</v>
      </c>
      <c r="T1691" s="11">
        <v>0</v>
      </c>
    </row>
    <row r="1692" spans="1:22" x14ac:dyDescent="0.25">
      <c r="A1692" s="11">
        <v>101060402</v>
      </c>
      <c r="B1692" s="11" t="s">
        <v>44</v>
      </c>
      <c r="C1692" s="41">
        <v>44890</v>
      </c>
      <c r="D1692" s="41">
        <v>44890</v>
      </c>
      <c r="E1692" s="11" t="s">
        <v>42</v>
      </c>
      <c r="F1692" s="11" t="s">
        <v>1938</v>
      </c>
      <c r="G1692" s="11">
        <v>109281</v>
      </c>
      <c r="H1692" s="11" t="s">
        <v>57</v>
      </c>
      <c r="K1692" s="11">
        <v>101060401</v>
      </c>
      <c r="L1692" s="11" t="s">
        <v>34</v>
      </c>
      <c r="M1692" s="11"/>
      <c r="N1692" s="11">
        <v>92</v>
      </c>
      <c r="O1692" s="42">
        <v>-92</v>
      </c>
      <c r="P1692" s="43" t="s">
        <v>4481</v>
      </c>
      <c r="Q1692" s="11">
        <v>817830.26</v>
      </c>
      <c r="R1692" s="11" t="s">
        <v>1947</v>
      </c>
      <c r="S1692" s="11" t="s">
        <v>40</v>
      </c>
      <c r="T1692" s="11">
        <v>0</v>
      </c>
    </row>
    <row r="1693" spans="1:22" x14ac:dyDescent="0.25">
      <c r="A1693" s="11">
        <v>101060402</v>
      </c>
      <c r="B1693" s="11" t="s">
        <v>44</v>
      </c>
      <c r="C1693" s="41">
        <v>44890</v>
      </c>
      <c r="D1693" s="41">
        <v>44890</v>
      </c>
      <c r="E1693" s="11" t="s">
        <v>42</v>
      </c>
      <c r="F1693" s="11" t="s">
        <v>3354</v>
      </c>
      <c r="G1693" s="11">
        <v>109284</v>
      </c>
      <c r="H1693" s="11" t="s">
        <v>47</v>
      </c>
      <c r="J1693" s="11" t="s">
        <v>240</v>
      </c>
      <c r="K1693" s="11">
        <v>51010102</v>
      </c>
      <c r="L1693" s="11" t="s">
        <v>194</v>
      </c>
      <c r="M1693" s="11"/>
      <c r="N1693" s="11">
        <v>1384.71</v>
      </c>
      <c r="O1693" s="42">
        <v>-1384.71</v>
      </c>
      <c r="P1693" s="43" t="s">
        <v>4489</v>
      </c>
      <c r="Q1693" s="11">
        <v>816445.55</v>
      </c>
      <c r="R1693" s="11" t="s">
        <v>3355</v>
      </c>
      <c r="S1693" s="11" t="s">
        <v>106</v>
      </c>
      <c r="T1693" s="11">
        <v>0</v>
      </c>
      <c r="V1693" s="11" t="s">
        <v>241</v>
      </c>
    </row>
    <row r="1694" spans="1:22" x14ac:dyDescent="0.25">
      <c r="A1694" s="11">
        <v>101060402</v>
      </c>
      <c r="B1694" s="11" t="s">
        <v>44</v>
      </c>
      <c r="C1694" s="41">
        <v>44890</v>
      </c>
      <c r="D1694" s="41">
        <v>44890</v>
      </c>
      <c r="E1694" s="11" t="s">
        <v>42</v>
      </c>
      <c r="F1694" s="11" t="s">
        <v>1942</v>
      </c>
      <c r="G1694" s="11">
        <v>109285</v>
      </c>
      <c r="H1694" s="11" t="s">
        <v>43</v>
      </c>
      <c r="K1694" s="11">
        <v>101060401</v>
      </c>
      <c r="L1694" s="11" t="s">
        <v>34</v>
      </c>
      <c r="M1694" s="11">
        <v>3312.37</v>
      </c>
      <c r="N1694" s="11"/>
      <c r="O1694" s="42">
        <v>3312.37</v>
      </c>
      <c r="P1694" s="43" t="s">
        <v>4481</v>
      </c>
      <c r="Q1694" s="11">
        <v>819757.92</v>
      </c>
      <c r="R1694" s="11" t="s">
        <v>3356</v>
      </c>
      <c r="S1694" s="11" t="s">
        <v>40</v>
      </c>
      <c r="T1694" s="11">
        <v>0</v>
      </c>
    </row>
    <row r="1695" spans="1:22" x14ac:dyDescent="0.25">
      <c r="A1695" s="11">
        <v>101060402</v>
      </c>
      <c r="B1695" s="11" t="s">
        <v>44</v>
      </c>
      <c r="C1695" s="41">
        <v>44890</v>
      </c>
      <c r="D1695" s="41">
        <v>44890</v>
      </c>
      <c r="E1695" s="11" t="s">
        <v>42</v>
      </c>
      <c r="F1695" s="11" t="s">
        <v>1944</v>
      </c>
      <c r="G1695" s="11">
        <v>109286</v>
      </c>
      <c r="H1695" s="11" t="s">
        <v>57</v>
      </c>
      <c r="K1695" s="11">
        <v>101060401</v>
      </c>
      <c r="L1695" s="11" t="s">
        <v>34</v>
      </c>
      <c r="M1695" s="11"/>
      <c r="N1695" s="11">
        <v>40.25</v>
      </c>
      <c r="O1695" s="42">
        <v>-40.25</v>
      </c>
      <c r="P1695" s="43" t="s">
        <v>4481</v>
      </c>
      <c r="Q1695" s="11">
        <v>819717.67</v>
      </c>
      <c r="R1695" s="11" t="s">
        <v>3357</v>
      </c>
      <c r="S1695" s="11" t="s">
        <v>40</v>
      </c>
      <c r="T1695" s="11">
        <v>0</v>
      </c>
    </row>
    <row r="1696" spans="1:22" x14ac:dyDescent="0.25">
      <c r="A1696" s="11">
        <v>101060402</v>
      </c>
      <c r="B1696" s="11" t="s">
        <v>44</v>
      </c>
      <c r="C1696" s="41">
        <v>44890</v>
      </c>
      <c r="D1696" s="41">
        <v>44890</v>
      </c>
      <c r="E1696" s="11" t="s">
        <v>42</v>
      </c>
      <c r="F1696" s="11" t="s">
        <v>3358</v>
      </c>
      <c r="G1696" s="11">
        <v>109288</v>
      </c>
      <c r="H1696" s="11" t="s">
        <v>47</v>
      </c>
      <c r="J1696" s="11" t="s">
        <v>240</v>
      </c>
      <c r="K1696" s="11">
        <v>51010102</v>
      </c>
      <c r="L1696" s="11" t="s">
        <v>194</v>
      </c>
      <c r="M1696" s="11"/>
      <c r="N1696" s="11">
        <v>27.23</v>
      </c>
      <c r="O1696" s="42">
        <v>-27.23</v>
      </c>
      <c r="P1696" s="43" t="s">
        <v>4489</v>
      </c>
      <c r="Q1696" s="11">
        <v>819690.44</v>
      </c>
      <c r="R1696" s="11" t="s">
        <v>3359</v>
      </c>
      <c r="S1696" s="11" t="s">
        <v>106</v>
      </c>
      <c r="T1696" s="11">
        <v>0</v>
      </c>
      <c r="V1696" s="11" t="s">
        <v>241</v>
      </c>
    </row>
    <row r="1697" spans="1:22" x14ac:dyDescent="0.25">
      <c r="A1697" s="11">
        <v>101060402</v>
      </c>
      <c r="B1697" s="11" t="s">
        <v>44</v>
      </c>
      <c r="C1697" s="41">
        <v>44890</v>
      </c>
      <c r="D1697" s="41">
        <v>44890</v>
      </c>
      <c r="E1697" s="11" t="s">
        <v>42</v>
      </c>
      <c r="F1697" s="11" t="s">
        <v>3360</v>
      </c>
      <c r="G1697" s="11">
        <v>109289</v>
      </c>
      <c r="H1697" s="11" t="s">
        <v>47</v>
      </c>
      <c r="J1697" s="11" t="s">
        <v>240</v>
      </c>
      <c r="K1697" s="11">
        <v>51010102</v>
      </c>
      <c r="L1697" s="11" t="s">
        <v>194</v>
      </c>
      <c r="M1697" s="11"/>
      <c r="N1697" s="11">
        <v>24.9</v>
      </c>
      <c r="O1697" s="42">
        <v>-24.9</v>
      </c>
      <c r="P1697" s="43" t="s">
        <v>4489</v>
      </c>
      <c r="Q1697" s="11">
        <v>819665.54</v>
      </c>
      <c r="R1697" s="11" t="s">
        <v>255</v>
      </c>
      <c r="S1697" s="11" t="s">
        <v>106</v>
      </c>
      <c r="T1697" s="11">
        <v>0</v>
      </c>
      <c r="V1697" s="11" t="s">
        <v>241</v>
      </c>
    </row>
    <row r="1698" spans="1:22" x14ac:dyDescent="0.25">
      <c r="A1698" s="11">
        <v>101060402</v>
      </c>
      <c r="B1698" s="11" t="s">
        <v>44</v>
      </c>
      <c r="C1698" s="41">
        <v>44890</v>
      </c>
      <c r="D1698" s="41">
        <v>44890</v>
      </c>
      <c r="E1698" s="11" t="s">
        <v>42</v>
      </c>
      <c r="F1698" s="11" t="s">
        <v>3361</v>
      </c>
      <c r="G1698" s="11">
        <v>109294</v>
      </c>
      <c r="H1698" s="11" t="s">
        <v>76</v>
      </c>
      <c r="J1698" s="11" t="s">
        <v>240</v>
      </c>
      <c r="K1698" s="11">
        <v>51010102</v>
      </c>
      <c r="L1698" s="11" t="s">
        <v>194</v>
      </c>
      <c r="M1698" s="11"/>
      <c r="N1698" s="11">
        <v>33.21</v>
      </c>
      <c r="O1698" s="42">
        <v>-33.21</v>
      </c>
      <c r="P1698" s="43" t="s">
        <v>4489</v>
      </c>
      <c r="Q1698" s="11">
        <v>819632.33</v>
      </c>
      <c r="R1698" s="11" t="s">
        <v>3362</v>
      </c>
      <c r="S1698" s="11" t="s">
        <v>106</v>
      </c>
      <c r="T1698" s="11">
        <v>0</v>
      </c>
      <c r="V1698" s="11" t="s">
        <v>241</v>
      </c>
    </row>
    <row r="1699" spans="1:22" x14ac:dyDescent="0.25">
      <c r="A1699" s="11">
        <v>101060402</v>
      </c>
      <c r="B1699" s="11" t="s">
        <v>44</v>
      </c>
      <c r="C1699" s="41">
        <v>44890</v>
      </c>
      <c r="D1699" s="41">
        <v>44890</v>
      </c>
      <c r="E1699" s="11" t="s">
        <v>42</v>
      </c>
      <c r="F1699" s="11" t="s">
        <v>3363</v>
      </c>
      <c r="G1699" s="11">
        <v>109298</v>
      </c>
      <c r="H1699" s="11" t="s">
        <v>47</v>
      </c>
      <c r="J1699" s="11" t="s">
        <v>240</v>
      </c>
      <c r="K1699" s="11">
        <v>51010102</v>
      </c>
      <c r="L1699" s="11" t="s">
        <v>194</v>
      </c>
      <c r="M1699" s="11"/>
      <c r="N1699" s="11">
        <v>30.61</v>
      </c>
      <c r="O1699" s="42">
        <v>-30.61</v>
      </c>
      <c r="P1699" s="43" t="s">
        <v>4489</v>
      </c>
      <c r="Q1699" s="11">
        <v>819601.72</v>
      </c>
      <c r="R1699" s="11" t="s">
        <v>2703</v>
      </c>
      <c r="S1699" s="11" t="s">
        <v>106</v>
      </c>
      <c r="T1699" s="11">
        <v>0</v>
      </c>
      <c r="V1699" s="11" t="s">
        <v>241</v>
      </c>
    </row>
    <row r="1700" spans="1:22" x14ac:dyDescent="0.25">
      <c r="A1700" s="11">
        <v>101060402</v>
      </c>
      <c r="B1700" s="11" t="s">
        <v>44</v>
      </c>
      <c r="C1700" s="41">
        <v>44890</v>
      </c>
      <c r="D1700" s="41">
        <v>44890</v>
      </c>
      <c r="E1700" s="11" t="s">
        <v>42</v>
      </c>
      <c r="F1700" s="11" t="s">
        <v>3364</v>
      </c>
      <c r="G1700" s="11">
        <v>109304</v>
      </c>
      <c r="H1700" s="11" t="s">
        <v>47</v>
      </c>
      <c r="J1700" s="11" t="s">
        <v>240</v>
      </c>
      <c r="K1700" s="11">
        <v>51010102</v>
      </c>
      <c r="L1700" s="11" t="s">
        <v>194</v>
      </c>
      <c r="M1700" s="11"/>
      <c r="N1700" s="11">
        <v>1473.31</v>
      </c>
      <c r="O1700" s="42">
        <v>-1473.31</v>
      </c>
      <c r="P1700" s="43" t="s">
        <v>4489</v>
      </c>
      <c r="Q1700" s="11">
        <v>818128.41</v>
      </c>
      <c r="R1700" s="11" t="s">
        <v>3365</v>
      </c>
      <c r="S1700" s="11" t="s">
        <v>106</v>
      </c>
      <c r="T1700" s="11">
        <v>0</v>
      </c>
      <c r="V1700" s="11" t="s">
        <v>241</v>
      </c>
    </row>
    <row r="1701" spans="1:22" x14ac:dyDescent="0.25">
      <c r="A1701" s="11">
        <v>101060402</v>
      </c>
      <c r="B1701" s="11" t="s">
        <v>44</v>
      </c>
      <c r="C1701" s="41">
        <v>44890</v>
      </c>
      <c r="D1701" s="41">
        <v>44890</v>
      </c>
      <c r="E1701" s="11" t="s">
        <v>42</v>
      </c>
      <c r="F1701" s="11" t="s">
        <v>3366</v>
      </c>
      <c r="G1701" s="11">
        <v>109305</v>
      </c>
      <c r="H1701" s="11" t="s">
        <v>297</v>
      </c>
      <c r="J1701" s="11" t="s">
        <v>240</v>
      </c>
      <c r="K1701" s="11">
        <v>51010102</v>
      </c>
      <c r="L1701" s="11" t="s">
        <v>194</v>
      </c>
      <c r="M1701" s="11"/>
      <c r="N1701" s="11">
        <v>1302.42</v>
      </c>
      <c r="O1701" s="42">
        <v>-1302.42</v>
      </c>
      <c r="P1701" s="43" t="s">
        <v>4489</v>
      </c>
      <c r="Q1701" s="11">
        <v>816825.99</v>
      </c>
      <c r="R1701" s="11" t="s">
        <v>3367</v>
      </c>
      <c r="S1701" s="11" t="s">
        <v>106</v>
      </c>
      <c r="T1701" s="11">
        <v>0</v>
      </c>
      <c r="V1701" s="11" t="s">
        <v>241</v>
      </c>
    </row>
    <row r="1702" spans="1:22" x14ac:dyDescent="0.25">
      <c r="A1702" s="11">
        <v>101060402</v>
      </c>
      <c r="B1702" s="11" t="s">
        <v>44</v>
      </c>
      <c r="C1702" s="41">
        <v>44890</v>
      </c>
      <c r="D1702" s="41">
        <v>44890</v>
      </c>
      <c r="E1702" s="11" t="s">
        <v>42</v>
      </c>
      <c r="F1702" s="11" t="s">
        <v>1962</v>
      </c>
      <c r="G1702" s="11">
        <v>109307</v>
      </c>
      <c r="H1702" s="11" t="s">
        <v>57</v>
      </c>
      <c r="K1702" s="11">
        <v>101060401</v>
      </c>
      <c r="L1702" s="11" t="s">
        <v>34</v>
      </c>
      <c r="M1702" s="11"/>
      <c r="N1702" s="11">
        <v>74.98</v>
      </c>
      <c r="O1702" s="42">
        <v>-74.98</v>
      </c>
      <c r="P1702" s="43" t="s">
        <v>4481</v>
      </c>
      <c r="Q1702" s="11">
        <v>816751.01</v>
      </c>
      <c r="R1702" s="11" t="s">
        <v>3368</v>
      </c>
      <c r="S1702" s="11" t="s">
        <v>106</v>
      </c>
      <c r="T1702" s="11">
        <v>0</v>
      </c>
    </row>
    <row r="1703" spans="1:22" x14ac:dyDescent="0.25">
      <c r="A1703" s="11">
        <v>101060402</v>
      </c>
      <c r="B1703" s="11" t="s">
        <v>44</v>
      </c>
      <c r="C1703" s="41">
        <v>44890</v>
      </c>
      <c r="D1703" s="41">
        <v>44890</v>
      </c>
      <c r="E1703" s="11" t="s">
        <v>42</v>
      </c>
      <c r="F1703" s="11" t="s">
        <v>3369</v>
      </c>
      <c r="G1703" s="11">
        <v>109322</v>
      </c>
      <c r="H1703" s="11" t="s">
        <v>1912</v>
      </c>
      <c r="J1703" s="11" t="s">
        <v>240</v>
      </c>
      <c r="K1703" s="11">
        <v>51010102</v>
      </c>
      <c r="L1703" s="11" t="s">
        <v>194</v>
      </c>
      <c r="M1703" s="11"/>
      <c r="N1703" s="11">
        <v>3117.71</v>
      </c>
      <c r="O1703" s="42">
        <v>-3117.71</v>
      </c>
      <c r="P1703" s="43" t="s">
        <v>4489</v>
      </c>
      <c r="Q1703" s="11">
        <v>813633.3</v>
      </c>
      <c r="R1703" s="11" t="s">
        <v>3370</v>
      </c>
      <c r="S1703" s="11" t="s">
        <v>106</v>
      </c>
      <c r="T1703" s="11">
        <v>0</v>
      </c>
      <c r="V1703" s="11" t="s">
        <v>241</v>
      </c>
    </row>
    <row r="1704" spans="1:22" x14ac:dyDescent="0.25">
      <c r="A1704" s="11">
        <v>101060402</v>
      </c>
      <c r="B1704" s="11" t="s">
        <v>44</v>
      </c>
      <c r="C1704" s="41">
        <v>44890</v>
      </c>
      <c r="D1704" s="41">
        <v>44890</v>
      </c>
      <c r="E1704" s="11" t="s">
        <v>42</v>
      </c>
      <c r="F1704" s="11" t="s">
        <v>1984</v>
      </c>
      <c r="G1704" s="11">
        <v>109323</v>
      </c>
      <c r="H1704" s="11" t="s">
        <v>57</v>
      </c>
      <c r="K1704" s="11">
        <v>101060401</v>
      </c>
      <c r="L1704" s="11" t="s">
        <v>34</v>
      </c>
      <c r="M1704" s="11">
        <v>2068.1799999999998</v>
      </c>
      <c r="N1704" s="11"/>
      <c r="O1704" s="42">
        <v>2068.1799999999998</v>
      </c>
      <c r="P1704" s="43" t="s">
        <v>4481</v>
      </c>
      <c r="Q1704" s="11">
        <v>815701.48</v>
      </c>
      <c r="R1704" s="11" t="s">
        <v>3371</v>
      </c>
      <c r="S1704" s="11" t="s">
        <v>40</v>
      </c>
      <c r="T1704" s="11">
        <v>0</v>
      </c>
    </row>
    <row r="1705" spans="1:22" x14ac:dyDescent="0.25">
      <c r="A1705" s="11">
        <v>101060402</v>
      </c>
      <c r="B1705" s="11" t="s">
        <v>44</v>
      </c>
      <c r="C1705" s="41">
        <v>44890</v>
      </c>
      <c r="D1705" s="41">
        <v>44890</v>
      </c>
      <c r="E1705" s="11" t="s">
        <v>42</v>
      </c>
      <c r="F1705" s="11" t="s">
        <v>1986</v>
      </c>
      <c r="G1705" s="11">
        <v>109324</v>
      </c>
      <c r="H1705" s="11" t="s">
        <v>57</v>
      </c>
      <c r="K1705" s="11">
        <v>101060401</v>
      </c>
      <c r="L1705" s="11" t="s">
        <v>34</v>
      </c>
      <c r="M1705" s="11">
        <v>1.38</v>
      </c>
      <c r="N1705" s="11"/>
      <c r="O1705" s="42">
        <v>1.38</v>
      </c>
      <c r="P1705" s="43" t="s">
        <v>4481</v>
      </c>
      <c r="Q1705" s="11">
        <v>815702.86</v>
      </c>
      <c r="R1705" s="11" t="s">
        <v>3372</v>
      </c>
      <c r="S1705" s="11" t="s">
        <v>40</v>
      </c>
      <c r="T1705" s="11">
        <v>0</v>
      </c>
    </row>
    <row r="1706" spans="1:22" x14ac:dyDescent="0.25">
      <c r="A1706" s="11">
        <v>101060402</v>
      </c>
      <c r="B1706" s="11" t="s">
        <v>44</v>
      </c>
      <c r="C1706" s="41">
        <v>44890</v>
      </c>
      <c r="D1706" s="41">
        <v>44890</v>
      </c>
      <c r="E1706" s="11" t="s">
        <v>42</v>
      </c>
      <c r="F1706" s="11" t="s">
        <v>1992</v>
      </c>
      <c r="G1706" s="11">
        <v>109327</v>
      </c>
      <c r="H1706" s="11" t="s">
        <v>57</v>
      </c>
      <c r="K1706" s="11">
        <v>101060401</v>
      </c>
      <c r="L1706" s="11" t="s">
        <v>34</v>
      </c>
      <c r="M1706" s="11">
        <v>25</v>
      </c>
      <c r="N1706" s="11"/>
      <c r="O1706" s="42">
        <v>25</v>
      </c>
      <c r="P1706" s="43" t="s">
        <v>4481</v>
      </c>
      <c r="Q1706" s="11">
        <v>815727.86</v>
      </c>
      <c r="R1706" s="11" t="s">
        <v>1991</v>
      </c>
      <c r="S1706" s="11" t="s">
        <v>40</v>
      </c>
      <c r="T1706" s="11">
        <v>0</v>
      </c>
    </row>
    <row r="1707" spans="1:22" x14ac:dyDescent="0.25">
      <c r="A1707" s="11">
        <v>101060402</v>
      </c>
      <c r="B1707" s="11" t="s">
        <v>44</v>
      </c>
      <c r="C1707" s="41">
        <v>44891</v>
      </c>
      <c r="D1707" s="41">
        <v>44891</v>
      </c>
      <c r="E1707" s="11" t="s">
        <v>42</v>
      </c>
      <c r="F1707" s="11" t="s">
        <v>3373</v>
      </c>
      <c r="G1707" s="11">
        <v>109328</v>
      </c>
      <c r="H1707" s="11" t="s">
        <v>76</v>
      </c>
      <c r="J1707" s="11" t="s">
        <v>240</v>
      </c>
      <c r="K1707" s="11">
        <v>51010102</v>
      </c>
      <c r="L1707" s="11" t="s">
        <v>194</v>
      </c>
      <c r="M1707" s="11"/>
      <c r="N1707" s="11">
        <v>18.489999999999998</v>
      </c>
      <c r="O1707" s="42">
        <v>-18.489999999999998</v>
      </c>
      <c r="P1707" s="43" t="s">
        <v>4489</v>
      </c>
      <c r="Q1707" s="11">
        <v>815709.37</v>
      </c>
      <c r="R1707" s="11" t="s">
        <v>3374</v>
      </c>
      <c r="S1707" s="11" t="s">
        <v>106</v>
      </c>
      <c r="T1707" s="11">
        <v>0</v>
      </c>
      <c r="V1707" s="11" t="s">
        <v>241</v>
      </c>
    </row>
    <row r="1708" spans="1:22" x14ac:dyDescent="0.25">
      <c r="A1708" s="11">
        <v>101060402</v>
      </c>
      <c r="B1708" s="11" t="s">
        <v>44</v>
      </c>
      <c r="C1708" s="41">
        <v>44891</v>
      </c>
      <c r="D1708" s="41">
        <v>44891</v>
      </c>
      <c r="E1708" s="11" t="s">
        <v>42</v>
      </c>
      <c r="F1708" s="11" t="s">
        <v>3375</v>
      </c>
      <c r="G1708" s="11">
        <v>109329</v>
      </c>
      <c r="H1708" s="11" t="s">
        <v>76</v>
      </c>
      <c r="J1708" s="11" t="s">
        <v>240</v>
      </c>
      <c r="K1708" s="11">
        <v>51010102</v>
      </c>
      <c r="L1708" s="11" t="s">
        <v>194</v>
      </c>
      <c r="M1708" s="11"/>
      <c r="N1708" s="11">
        <v>49.3</v>
      </c>
      <c r="O1708" s="42">
        <v>-49.3</v>
      </c>
      <c r="P1708" s="43" t="s">
        <v>4489</v>
      </c>
      <c r="Q1708" s="11">
        <v>815660.07</v>
      </c>
      <c r="R1708" s="11" t="s">
        <v>3376</v>
      </c>
      <c r="S1708" s="11" t="s">
        <v>106</v>
      </c>
      <c r="T1708" s="11">
        <v>0</v>
      </c>
      <c r="V1708" s="11" t="s">
        <v>241</v>
      </c>
    </row>
    <row r="1709" spans="1:22" x14ac:dyDescent="0.25">
      <c r="A1709" s="11">
        <v>101060402</v>
      </c>
      <c r="B1709" s="11" t="s">
        <v>44</v>
      </c>
      <c r="C1709" s="41">
        <v>44892</v>
      </c>
      <c r="D1709" s="41">
        <v>44892</v>
      </c>
      <c r="E1709" s="11" t="s">
        <v>42</v>
      </c>
      <c r="F1709" s="11" t="s">
        <v>3377</v>
      </c>
      <c r="G1709" s="11">
        <v>109330</v>
      </c>
      <c r="H1709" s="11" t="s">
        <v>1810</v>
      </c>
      <c r="J1709" s="11" t="s">
        <v>240</v>
      </c>
      <c r="K1709" s="11">
        <v>51010102</v>
      </c>
      <c r="L1709" s="11" t="s">
        <v>194</v>
      </c>
      <c r="M1709" s="11"/>
      <c r="N1709" s="11">
        <v>701.6</v>
      </c>
      <c r="O1709" s="42">
        <v>-701.6</v>
      </c>
      <c r="P1709" s="43" t="s">
        <v>4489</v>
      </c>
      <c r="Q1709" s="11">
        <v>814958.47</v>
      </c>
      <c r="R1709" s="11" t="s">
        <v>3378</v>
      </c>
      <c r="S1709" s="11" t="s">
        <v>106</v>
      </c>
      <c r="T1709" s="11">
        <v>0</v>
      </c>
      <c r="V1709" s="11" t="s">
        <v>241</v>
      </c>
    </row>
    <row r="1710" spans="1:22" x14ac:dyDescent="0.25">
      <c r="A1710" s="11">
        <v>101060402</v>
      </c>
      <c r="B1710" s="11" t="s">
        <v>44</v>
      </c>
      <c r="C1710" s="41">
        <v>44892</v>
      </c>
      <c r="D1710" s="41">
        <v>44892</v>
      </c>
      <c r="E1710" s="11" t="s">
        <v>42</v>
      </c>
      <c r="F1710" s="11" t="s">
        <v>3379</v>
      </c>
      <c r="G1710" s="11">
        <v>109331</v>
      </c>
      <c r="H1710" s="11" t="s">
        <v>1810</v>
      </c>
      <c r="J1710" s="11" t="s">
        <v>240</v>
      </c>
      <c r="K1710" s="11">
        <v>51010102</v>
      </c>
      <c r="L1710" s="11" t="s">
        <v>194</v>
      </c>
      <c r="M1710" s="11"/>
      <c r="N1710" s="11">
        <v>1091.74</v>
      </c>
      <c r="O1710" s="42">
        <v>-1091.74</v>
      </c>
      <c r="P1710" s="43" t="s">
        <v>4489</v>
      </c>
      <c r="Q1710" s="11">
        <v>813866.73</v>
      </c>
      <c r="R1710" s="11" t="s">
        <v>3380</v>
      </c>
      <c r="S1710" s="11" t="s">
        <v>106</v>
      </c>
      <c r="T1710" s="11">
        <v>0</v>
      </c>
      <c r="V1710" s="11" t="s">
        <v>241</v>
      </c>
    </row>
    <row r="1711" spans="1:22" x14ac:dyDescent="0.25">
      <c r="A1711" s="11">
        <v>101060402</v>
      </c>
      <c r="B1711" s="11" t="s">
        <v>44</v>
      </c>
      <c r="C1711" s="41">
        <v>44893</v>
      </c>
      <c r="D1711" s="41">
        <v>44893</v>
      </c>
      <c r="E1711" s="11" t="s">
        <v>42</v>
      </c>
      <c r="F1711" s="11" t="s">
        <v>3381</v>
      </c>
      <c r="G1711" s="11">
        <v>109343</v>
      </c>
      <c r="H1711" s="11" t="s">
        <v>2890</v>
      </c>
      <c r="J1711" s="11" t="s">
        <v>240</v>
      </c>
      <c r="K1711" s="11">
        <v>51010102</v>
      </c>
      <c r="L1711" s="11" t="s">
        <v>194</v>
      </c>
      <c r="M1711" s="11"/>
      <c r="N1711" s="11">
        <v>19.54</v>
      </c>
      <c r="O1711" s="42">
        <v>-19.54</v>
      </c>
      <c r="P1711" s="43" t="s">
        <v>4489</v>
      </c>
      <c r="Q1711" s="11">
        <v>813847.19</v>
      </c>
      <c r="R1711" s="11" t="s">
        <v>2891</v>
      </c>
      <c r="S1711" s="11" t="s">
        <v>106</v>
      </c>
      <c r="T1711" s="11">
        <v>0</v>
      </c>
      <c r="V1711" s="11" t="s">
        <v>241</v>
      </c>
    </row>
    <row r="1712" spans="1:22" x14ac:dyDescent="0.25">
      <c r="A1712" s="11">
        <v>101060402</v>
      </c>
      <c r="B1712" s="11" t="s">
        <v>44</v>
      </c>
      <c r="C1712" s="41">
        <v>44893</v>
      </c>
      <c r="D1712" s="41">
        <v>44893</v>
      </c>
      <c r="E1712" s="11" t="s">
        <v>42</v>
      </c>
      <c r="F1712" s="11" t="s">
        <v>2006</v>
      </c>
      <c r="G1712" s="11">
        <v>109372</v>
      </c>
      <c r="H1712" s="11" t="s">
        <v>2007</v>
      </c>
      <c r="J1712" s="11" t="s">
        <v>240</v>
      </c>
      <c r="K1712" s="11">
        <v>51010102</v>
      </c>
      <c r="L1712" s="11" t="s">
        <v>194</v>
      </c>
      <c r="M1712" s="11"/>
      <c r="N1712" s="11">
        <v>53.7</v>
      </c>
      <c r="O1712" s="42">
        <v>-53.7</v>
      </c>
      <c r="P1712" s="43" t="s">
        <v>4489</v>
      </c>
      <c r="Q1712" s="11">
        <v>813793.49</v>
      </c>
      <c r="R1712" s="11" t="s">
        <v>3382</v>
      </c>
      <c r="S1712" s="11" t="s">
        <v>106</v>
      </c>
      <c r="T1712" s="11">
        <v>0</v>
      </c>
      <c r="V1712" s="11" t="s">
        <v>241</v>
      </c>
    </row>
    <row r="1713" spans="1:22" x14ac:dyDescent="0.25">
      <c r="A1713" s="11">
        <v>101060402</v>
      </c>
      <c r="B1713" s="11" t="s">
        <v>44</v>
      </c>
      <c r="C1713" s="41">
        <v>44893</v>
      </c>
      <c r="D1713" s="41">
        <v>44893</v>
      </c>
      <c r="E1713" s="11" t="s">
        <v>42</v>
      </c>
      <c r="F1713" s="11" t="s">
        <v>2006</v>
      </c>
      <c r="G1713" s="11">
        <v>109372</v>
      </c>
      <c r="H1713" s="11" t="s">
        <v>2007</v>
      </c>
      <c r="J1713" s="11" t="s">
        <v>240</v>
      </c>
      <c r="K1713" s="11">
        <v>51010102</v>
      </c>
      <c r="L1713" s="11" t="s">
        <v>194</v>
      </c>
      <c r="M1713" s="11"/>
      <c r="N1713" s="11">
        <v>94.89</v>
      </c>
      <c r="O1713" s="42">
        <v>-94.89</v>
      </c>
      <c r="P1713" s="43" t="s">
        <v>4489</v>
      </c>
      <c r="Q1713" s="11">
        <v>813698.6</v>
      </c>
      <c r="R1713" s="11" t="s">
        <v>3383</v>
      </c>
      <c r="S1713" s="11" t="s">
        <v>106</v>
      </c>
      <c r="T1713" s="11">
        <v>0</v>
      </c>
      <c r="V1713" s="11" t="s">
        <v>241</v>
      </c>
    </row>
    <row r="1714" spans="1:22" x14ac:dyDescent="0.25">
      <c r="A1714" s="11">
        <v>101060402</v>
      </c>
      <c r="B1714" s="11" t="s">
        <v>44</v>
      </c>
      <c r="C1714" s="41">
        <v>44893</v>
      </c>
      <c r="D1714" s="41">
        <v>44893</v>
      </c>
      <c r="E1714" s="11" t="s">
        <v>42</v>
      </c>
      <c r="F1714" s="11" t="s">
        <v>2009</v>
      </c>
      <c r="G1714" s="11">
        <v>109373</v>
      </c>
      <c r="H1714" s="11" t="s">
        <v>2007</v>
      </c>
      <c r="J1714" s="11" t="s">
        <v>240</v>
      </c>
      <c r="K1714" s="11">
        <v>51010102</v>
      </c>
      <c r="L1714" s="11" t="s">
        <v>194</v>
      </c>
      <c r="M1714" s="11"/>
      <c r="N1714" s="11">
        <v>6.71</v>
      </c>
      <c r="O1714" s="42">
        <v>-6.71</v>
      </c>
      <c r="P1714" s="43" t="s">
        <v>4489</v>
      </c>
      <c r="Q1714" s="11">
        <v>813691.89</v>
      </c>
      <c r="R1714" s="11" t="s">
        <v>3384</v>
      </c>
      <c r="S1714" s="11" t="s">
        <v>106</v>
      </c>
      <c r="T1714" s="11">
        <v>0</v>
      </c>
      <c r="V1714" s="11" t="s">
        <v>241</v>
      </c>
    </row>
    <row r="1715" spans="1:22" x14ac:dyDescent="0.25">
      <c r="A1715" s="11">
        <v>101060402</v>
      </c>
      <c r="B1715" s="11" t="s">
        <v>44</v>
      </c>
      <c r="C1715" s="41">
        <v>44893</v>
      </c>
      <c r="D1715" s="41">
        <v>44893</v>
      </c>
      <c r="E1715" s="11" t="s">
        <v>42</v>
      </c>
      <c r="F1715" s="11" t="s">
        <v>2009</v>
      </c>
      <c r="G1715" s="11">
        <v>109373</v>
      </c>
      <c r="H1715" s="11" t="s">
        <v>2007</v>
      </c>
      <c r="J1715" s="11" t="s">
        <v>240</v>
      </c>
      <c r="K1715" s="11">
        <v>51010102</v>
      </c>
      <c r="L1715" s="11" t="s">
        <v>194</v>
      </c>
      <c r="M1715" s="11"/>
      <c r="N1715" s="11">
        <v>43.47</v>
      </c>
      <c r="O1715" s="42">
        <v>-43.47</v>
      </c>
      <c r="P1715" s="43" t="s">
        <v>4489</v>
      </c>
      <c r="Q1715" s="11">
        <v>813648.42</v>
      </c>
      <c r="R1715" s="11" t="s">
        <v>3385</v>
      </c>
      <c r="S1715" s="11" t="s">
        <v>106</v>
      </c>
      <c r="T1715" s="11">
        <v>0</v>
      </c>
      <c r="V1715" s="11" t="s">
        <v>241</v>
      </c>
    </row>
    <row r="1716" spans="1:22" x14ac:dyDescent="0.25">
      <c r="A1716" s="11">
        <v>101060402</v>
      </c>
      <c r="B1716" s="11" t="s">
        <v>44</v>
      </c>
      <c r="C1716" s="41">
        <v>44893</v>
      </c>
      <c r="D1716" s="41">
        <v>44893</v>
      </c>
      <c r="E1716" s="11" t="s">
        <v>42</v>
      </c>
      <c r="F1716" s="11" t="s">
        <v>2010</v>
      </c>
      <c r="G1716" s="11">
        <v>109376</v>
      </c>
      <c r="H1716" s="11" t="s">
        <v>57</v>
      </c>
      <c r="K1716" s="11">
        <v>101060401</v>
      </c>
      <c r="L1716" s="11" t="s">
        <v>34</v>
      </c>
      <c r="M1716" s="11">
        <v>7.68</v>
      </c>
      <c r="N1716" s="11"/>
      <c r="O1716" s="42">
        <v>7.68</v>
      </c>
      <c r="P1716" s="43" t="s">
        <v>4481</v>
      </c>
      <c r="Q1716" s="11">
        <v>813656.1</v>
      </c>
      <c r="R1716" s="11" t="s">
        <v>3386</v>
      </c>
      <c r="S1716" s="11" t="s">
        <v>40</v>
      </c>
      <c r="T1716" s="11">
        <v>0</v>
      </c>
    </row>
    <row r="1717" spans="1:22" x14ac:dyDescent="0.25">
      <c r="A1717" s="11">
        <v>101060402</v>
      </c>
      <c r="B1717" s="11" t="s">
        <v>44</v>
      </c>
      <c r="C1717" s="41">
        <v>44893</v>
      </c>
      <c r="D1717" s="41">
        <v>44893</v>
      </c>
      <c r="E1717" s="11" t="s">
        <v>42</v>
      </c>
      <c r="F1717" s="11" t="s">
        <v>2012</v>
      </c>
      <c r="G1717" s="11">
        <v>109378</v>
      </c>
      <c r="H1717" s="11" t="s">
        <v>66</v>
      </c>
      <c r="J1717" s="11" t="s">
        <v>240</v>
      </c>
      <c r="K1717" s="11">
        <v>51010102</v>
      </c>
      <c r="L1717" s="11" t="s">
        <v>194</v>
      </c>
      <c r="M1717" s="11"/>
      <c r="N1717" s="11">
        <v>74.98</v>
      </c>
      <c r="O1717" s="42">
        <v>-74.98</v>
      </c>
      <c r="P1717" s="43" t="s">
        <v>4489</v>
      </c>
      <c r="Q1717" s="11">
        <v>813581.12</v>
      </c>
      <c r="R1717" s="11" t="s">
        <v>3368</v>
      </c>
      <c r="S1717" s="11" t="s">
        <v>40</v>
      </c>
      <c r="T1717" s="11">
        <v>0</v>
      </c>
      <c r="V1717" s="11" t="s">
        <v>241</v>
      </c>
    </row>
    <row r="1718" spans="1:22" x14ac:dyDescent="0.25">
      <c r="A1718" s="11">
        <v>101060402</v>
      </c>
      <c r="B1718" s="11" t="s">
        <v>44</v>
      </c>
      <c r="C1718" s="41">
        <v>44893</v>
      </c>
      <c r="D1718" s="41">
        <v>44893</v>
      </c>
      <c r="E1718" s="11" t="s">
        <v>42</v>
      </c>
      <c r="F1718" s="11" t="s">
        <v>2014</v>
      </c>
      <c r="G1718" s="11">
        <v>109379</v>
      </c>
      <c r="H1718" s="11" t="s">
        <v>331</v>
      </c>
      <c r="J1718" s="11" t="s">
        <v>240</v>
      </c>
      <c r="K1718" s="11">
        <v>51010102</v>
      </c>
      <c r="L1718" s="11" t="s">
        <v>194</v>
      </c>
      <c r="M1718" s="11">
        <v>74.98</v>
      </c>
      <c r="N1718" s="11"/>
      <c r="O1718" s="42">
        <v>74.98</v>
      </c>
      <c r="P1718" s="43" t="s">
        <v>4489</v>
      </c>
      <c r="Q1718" s="11">
        <v>813656.1</v>
      </c>
      <c r="R1718" s="11" t="s">
        <v>1963</v>
      </c>
      <c r="S1718" s="11" t="s">
        <v>40</v>
      </c>
      <c r="T1718" s="11">
        <v>0</v>
      </c>
      <c r="V1718" s="11" t="s">
        <v>241</v>
      </c>
    </row>
    <row r="1719" spans="1:22" x14ac:dyDescent="0.25">
      <c r="A1719" s="11">
        <v>101060402</v>
      </c>
      <c r="B1719" s="11" t="s">
        <v>44</v>
      </c>
      <c r="C1719" s="41">
        <v>44893</v>
      </c>
      <c r="D1719" s="41">
        <v>44893</v>
      </c>
      <c r="E1719" s="11" t="s">
        <v>42</v>
      </c>
      <c r="F1719" s="11" t="s">
        <v>3387</v>
      </c>
      <c r="G1719" s="11">
        <v>109400</v>
      </c>
      <c r="H1719" s="11" t="s">
        <v>151</v>
      </c>
      <c r="J1719" s="11" t="s">
        <v>240</v>
      </c>
      <c r="K1719" s="11">
        <v>51010102</v>
      </c>
      <c r="L1719" s="11" t="s">
        <v>194</v>
      </c>
      <c r="M1719" s="11"/>
      <c r="N1719" s="11">
        <v>326.68</v>
      </c>
      <c r="O1719" s="42">
        <v>-326.68</v>
      </c>
      <c r="P1719" s="43" t="s">
        <v>4489</v>
      </c>
      <c r="Q1719" s="11">
        <v>813329.42</v>
      </c>
      <c r="R1719" s="11" t="s">
        <v>3388</v>
      </c>
      <c r="S1719" s="11" t="s">
        <v>106</v>
      </c>
      <c r="T1719" s="11">
        <v>0</v>
      </c>
      <c r="V1719" s="11" t="s">
        <v>241</v>
      </c>
    </row>
    <row r="1720" spans="1:22" x14ac:dyDescent="0.25">
      <c r="A1720" s="11">
        <v>101060402</v>
      </c>
      <c r="B1720" s="11" t="s">
        <v>44</v>
      </c>
      <c r="C1720" s="41">
        <v>44893</v>
      </c>
      <c r="D1720" s="41">
        <v>44893</v>
      </c>
      <c r="E1720" s="11" t="s">
        <v>42</v>
      </c>
      <c r="F1720" s="11" t="s">
        <v>2018</v>
      </c>
      <c r="G1720" s="11">
        <v>109408</v>
      </c>
      <c r="H1720" s="11" t="s">
        <v>57</v>
      </c>
      <c r="K1720" s="11">
        <v>101060401</v>
      </c>
      <c r="L1720" s="11" t="s">
        <v>34</v>
      </c>
      <c r="M1720" s="11">
        <v>13.8</v>
      </c>
      <c r="N1720" s="11"/>
      <c r="O1720" s="42">
        <v>13.8</v>
      </c>
      <c r="P1720" s="43" t="s">
        <v>4481</v>
      </c>
      <c r="Q1720" s="11">
        <v>813343.22</v>
      </c>
      <c r="R1720" s="11" t="s">
        <v>318</v>
      </c>
      <c r="S1720" s="11" t="s">
        <v>40</v>
      </c>
      <c r="T1720" s="11">
        <v>0</v>
      </c>
    </row>
    <row r="1721" spans="1:22" x14ac:dyDescent="0.25">
      <c r="A1721" s="11">
        <v>101060402</v>
      </c>
      <c r="B1721" s="11" t="s">
        <v>44</v>
      </c>
      <c r="C1721" s="41">
        <v>44893</v>
      </c>
      <c r="D1721" s="41">
        <v>44893</v>
      </c>
      <c r="E1721" s="11" t="s">
        <v>42</v>
      </c>
      <c r="F1721" s="11" t="s">
        <v>2025</v>
      </c>
      <c r="G1721" s="11">
        <v>109415</v>
      </c>
      <c r="H1721" s="11" t="s">
        <v>57</v>
      </c>
      <c r="K1721" s="11">
        <v>101060401</v>
      </c>
      <c r="L1721" s="11" t="s">
        <v>34</v>
      </c>
      <c r="M1721" s="11">
        <v>9.15</v>
      </c>
      <c r="N1721" s="11"/>
      <c r="O1721" s="42">
        <v>9.15</v>
      </c>
      <c r="P1721" s="43" t="s">
        <v>4481</v>
      </c>
      <c r="Q1721" s="11">
        <v>813352.37</v>
      </c>
      <c r="R1721" s="11" t="s">
        <v>2023</v>
      </c>
      <c r="S1721" s="11" t="s">
        <v>40</v>
      </c>
      <c r="T1721" s="11">
        <v>0</v>
      </c>
    </row>
    <row r="1722" spans="1:22" x14ac:dyDescent="0.25">
      <c r="A1722" s="11">
        <v>101060402</v>
      </c>
      <c r="B1722" s="11" t="s">
        <v>44</v>
      </c>
      <c r="C1722" s="41">
        <v>44893</v>
      </c>
      <c r="D1722" s="41">
        <v>44893</v>
      </c>
      <c r="E1722" s="11" t="s">
        <v>42</v>
      </c>
      <c r="F1722" s="11" t="s">
        <v>2031</v>
      </c>
      <c r="G1722" s="11">
        <v>109423</v>
      </c>
      <c r="H1722" s="11" t="s">
        <v>57</v>
      </c>
      <c r="K1722" s="11">
        <v>101060401</v>
      </c>
      <c r="L1722" s="11" t="s">
        <v>34</v>
      </c>
      <c r="M1722" s="11"/>
      <c r="N1722" s="11">
        <v>54.28</v>
      </c>
      <c r="O1722" s="42">
        <v>-54.28</v>
      </c>
      <c r="P1722" s="43" t="s">
        <v>4481</v>
      </c>
      <c r="Q1722" s="11">
        <v>813298.09</v>
      </c>
      <c r="R1722" s="11" t="s">
        <v>2320</v>
      </c>
      <c r="S1722" s="11" t="s">
        <v>106</v>
      </c>
      <c r="T1722" s="11">
        <v>0</v>
      </c>
    </row>
    <row r="1723" spans="1:22" x14ac:dyDescent="0.25">
      <c r="A1723" s="11">
        <v>101060402</v>
      </c>
      <c r="B1723" s="11" t="s">
        <v>44</v>
      </c>
      <c r="C1723" s="41">
        <v>44893</v>
      </c>
      <c r="D1723" s="41">
        <v>44893</v>
      </c>
      <c r="E1723" s="11" t="s">
        <v>42</v>
      </c>
      <c r="F1723" s="11" t="s">
        <v>3389</v>
      </c>
      <c r="G1723" s="11">
        <v>109426</v>
      </c>
      <c r="H1723" s="11" t="s">
        <v>623</v>
      </c>
      <c r="J1723" s="11" t="s">
        <v>240</v>
      </c>
      <c r="K1723" s="11">
        <v>51010102</v>
      </c>
      <c r="L1723" s="11" t="s">
        <v>194</v>
      </c>
      <c r="M1723" s="11"/>
      <c r="N1723" s="11">
        <v>28.38</v>
      </c>
      <c r="O1723" s="42">
        <v>-28.38</v>
      </c>
      <c r="P1723" s="43" t="s">
        <v>4489</v>
      </c>
      <c r="Q1723" s="11">
        <v>813269.71</v>
      </c>
      <c r="R1723" s="11" t="s">
        <v>292</v>
      </c>
      <c r="S1723" s="11" t="s">
        <v>106</v>
      </c>
      <c r="T1723" s="11">
        <v>0</v>
      </c>
      <c r="V1723" s="11" t="s">
        <v>241</v>
      </c>
    </row>
    <row r="1724" spans="1:22" x14ac:dyDescent="0.25">
      <c r="A1724" s="11">
        <v>101060402</v>
      </c>
      <c r="B1724" s="11" t="s">
        <v>44</v>
      </c>
      <c r="C1724" s="41">
        <v>44893</v>
      </c>
      <c r="D1724" s="41">
        <v>44893</v>
      </c>
      <c r="E1724" s="11" t="s">
        <v>42</v>
      </c>
      <c r="F1724" s="11" t="s">
        <v>2039</v>
      </c>
      <c r="G1724" s="11">
        <v>109439</v>
      </c>
      <c r="H1724" s="11" t="s">
        <v>57</v>
      </c>
      <c r="K1724" s="11">
        <v>101060401</v>
      </c>
      <c r="L1724" s="11" t="s">
        <v>34</v>
      </c>
      <c r="M1724" s="11">
        <v>2743.98</v>
      </c>
      <c r="N1724" s="11"/>
      <c r="O1724" s="42">
        <v>2743.98</v>
      </c>
      <c r="P1724" s="43" t="s">
        <v>4481</v>
      </c>
      <c r="Q1724" s="11">
        <v>816013.69</v>
      </c>
      <c r="R1724" s="11" t="s">
        <v>2001</v>
      </c>
      <c r="S1724" s="11" t="s">
        <v>40</v>
      </c>
      <c r="T1724" s="11">
        <v>0</v>
      </c>
    </row>
    <row r="1725" spans="1:22" x14ac:dyDescent="0.25">
      <c r="A1725" s="11">
        <v>101060402</v>
      </c>
      <c r="B1725" s="11" t="s">
        <v>44</v>
      </c>
      <c r="C1725" s="41">
        <v>44894</v>
      </c>
      <c r="D1725" s="41">
        <v>44894</v>
      </c>
      <c r="E1725" s="11" t="s">
        <v>42</v>
      </c>
      <c r="F1725" s="11" t="s">
        <v>3390</v>
      </c>
      <c r="G1725" s="11">
        <v>109451</v>
      </c>
      <c r="H1725" s="11" t="s">
        <v>1810</v>
      </c>
      <c r="J1725" s="11" t="s">
        <v>240</v>
      </c>
      <c r="K1725" s="11">
        <v>51010102</v>
      </c>
      <c r="L1725" s="11" t="s">
        <v>194</v>
      </c>
      <c r="M1725" s="11"/>
      <c r="N1725" s="11">
        <v>2743.98</v>
      </c>
      <c r="O1725" s="42">
        <v>-2743.98</v>
      </c>
      <c r="P1725" s="43" t="s">
        <v>4489</v>
      </c>
      <c r="Q1725" s="11">
        <v>813269.71</v>
      </c>
      <c r="R1725" s="11" t="s">
        <v>2040</v>
      </c>
      <c r="S1725" s="11" t="s">
        <v>106</v>
      </c>
      <c r="T1725" s="11">
        <v>0</v>
      </c>
      <c r="V1725" s="11" t="s">
        <v>241</v>
      </c>
    </row>
    <row r="1726" spans="1:22" x14ac:dyDescent="0.25">
      <c r="A1726" s="11">
        <v>101060402</v>
      </c>
      <c r="B1726" s="11" t="s">
        <v>44</v>
      </c>
      <c r="C1726" s="41">
        <v>44894</v>
      </c>
      <c r="D1726" s="41">
        <v>44894</v>
      </c>
      <c r="E1726" s="11" t="s">
        <v>42</v>
      </c>
      <c r="F1726" s="11" t="s">
        <v>3391</v>
      </c>
      <c r="G1726" s="11">
        <v>109455</v>
      </c>
      <c r="H1726" s="11" t="s">
        <v>76</v>
      </c>
      <c r="J1726" s="11" t="s">
        <v>240</v>
      </c>
      <c r="K1726" s="11">
        <v>51010102</v>
      </c>
      <c r="L1726" s="11" t="s">
        <v>194</v>
      </c>
      <c r="M1726" s="11"/>
      <c r="N1726" s="11">
        <v>9.15</v>
      </c>
      <c r="O1726" s="42">
        <v>-9.15</v>
      </c>
      <c r="P1726" s="43" t="s">
        <v>4489</v>
      </c>
      <c r="Q1726" s="11">
        <v>813260.56</v>
      </c>
      <c r="R1726" s="11" t="s">
        <v>2026</v>
      </c>
      <c r="S1726" s="11" t="s">
        <v>106</v>
      </c>
      <c r="T1726" s="11">
        <v>0</v>
      </c>
      <c r="V1726" s="11" t="s">
        <v>241</v>
      </c>
    </row>
    <row r="1727" spans="1:22" x14ac:dyDescent="0.25">
      <c r="A1727" s="11">
        <v>101060402</v>
      </c>
      <c r="B1727" s="11" t="s">
        <v>44</v>
      </c>
      <c r="C1727" s="41">
        <v>44894</v>
      </c>
      <c r="D1727" s="41">
        <v>44894</v>
      </c>
      <c r="E1727" s="11" t="s">
        <v>42</v>
      </c>
      <c r="F1727" s="11" t="s">
        <v>3392</v>
      </c>
      <c r="G1727" s="11">
        <v>109475</v>
      </c>
      <c r="H1727" s="11" t="s">
        <v>47</v>
      </c>
      <c r="J1727" s="11" t="s">
        <v>240</v>
      </c>
      <c r="K1727" s="11">
        <v>51010102</v>
      </c>
      <c r="L1727" s="11" t="s">
        <v>194</v>
      </c>
      <c r="M1727" s="11"/>
      <c r="N1727" s="11">
        <v>962.07</v>
      </c>
      <c r="O1727" s="42">
        <v>-962.07</v>
      </c>
      <c r="P1727" s="43" t="s">
        <v>4489</v>
      </c>
      <c r="Q1727" s="11">
        <v>812298.49</v>
      </c>
      <c r="R1727" s="11" t="s">
        <v>3393</v>
      </c>
      <c r="S1727" s="11" t="s">
        <v>106</v>
      </c>
      <c r="T1727" s="11">
        <v>0</v>
      </c>
      <c r="V1727" s="11" t="s">
        <v>241</v>
      </c>
    </row>
    <row r="1728" spans="1:22" x14ac:dyDescent="0.25">
      <c r="A1728" s="11">
        <v>101060402</v>
      </c>
      <c r="B1728" s="11" t="s">
        <v>44</v>
      </c>
      <c r="C1728" s="41">
        <v>44894</v>
      </c>
      <c r="D1728" s="41">
        <v>44894</v>
      </c>
      <c r="E1728" s="11" t="s">
        <v>42</v>
      </c>
      <c r="F1728" s="11" t="s">
        <v>3394</v>
      </c>
      <c r="G1728" s="11">
        <v>109477</v>
      </c>
      <c r="H1728" s="11" t="s">
        <v>88</v>
      </c>
      <c r="J1728" s="11" t="s">
        <v>240</v>
      </c>
      <c r="K1728" s="11">
        <v>51010102</v>
      </c>
      <c r="L1728" s="11" t="s">
        <v>194</v>
      </c>
      <c r="M1728" s="11">
        <v>962.07</v>
      </c>
      <c r="N1728" s="11"/>
      <c r="O1728" s="42">
        <v>962.07</v>
      </c>
      <c r="P1728" s="43" t="s">
        <v>4489</v>
      </c>
      <c r="Q1728" s="11">
        <v>813260.56</v>
      </c>
      <c r="R1728" s="11" t="s">
        <v>3395</v>
      </c>
      <c r="S1728" s="11" t="s">
        <v>106</v>
      </c>
      <c r="T1728" s="11">
        <v>0</v>
      </c>
      <c r="V1728" s="11" t="s">
        <v>241</v>
      </c>
    </row>
    <row r="1729" spans="1:22" x14ac:dyDescent="0.25">
      <c r="A1729" s="11">
        <v>101060402</v>
      </c>
      <c r="B1729" s="11" t="s">
        <v>44</v>
      </c>
      <c r="C1729" s="41">
        <v>44894</v>
      </c>
      <c r="D1729" s="41">
        <v>44894</v>
      </c>
      <c r="E1729" s="11" t="s">
        <v>42</v>
      </c>
      <c r="F1729" s="11" t="s">
        <v>3396</v>
      </c>
      <c r="G1729" s="11">
        <v>109480</v>
      </c>
      <c r="H1729" s="11" t="s">
        <v>47</v>
      </c>
      <c r="J1729" s="11" t="s">
        <v>240</v>
      </c>
      <c r="K1729" s="11">
        <v>51010102</v>
      </c>
      <c r="L1729" s="11" t="s">
        <v>194</v>
      </c>
      <c r="M1729" s="11"/>
      <c r="N1729" s="11">
        <v>428.25</v>
      </c>
      <c r="O1729" s="42">
        <v>-428.25</v>
      </c>
      <c r="P1729" s="43" t="s">
        <v>4489</v>
      </c>
      <c r="Q1729" s="11">
        <v>812832.31</v>
      </c>
      <c r="R1729" s="11" t="s">
        <v>3397</v>
      </c>
      <c r="S1729" s="11" t="s">
        <v>106</v>
      </c>
      <c r="T1729" s="11">
        <v>0</v>
      </c>
      <c r="V1729" s="11" t="s">
        <v>241</v>
      </c>
    </row>
    <row r="1730" spans="1:22" x14ac:dyDescent="0.25">
      <c r="A1730" s="11">
        <v>101060402</v>
      </c>
      <c r="B1730" s="11" t="s">
        <v>44</v>
      </c>
      <c r="C1730" s="41">
        <v>44894</v>
      </c>
      <c r="D1730" s="41">
        <v>44894</v>
      </c>
      <c r="E1730" s="11" t="s">
        <v>42</v>
      </c>
      <c r="F1730" s="11" t="s">
        <v>3398</v>
      </c>
      <c r="G1730" s="11">
        <v>109482</v>
      </c>
      <c r="H1730" s="11" t="s">
        <v>47</v>
      </c>
      <c r="J1730" s="11" t="s">
        <v>240</v>
      </c>
      <c r="K1730" s="11">
        <v>51010102</v>
      </c>
      <c r="L1730" s="11" t="s">
        <v>194</v>
      </c>
      <c r="M1730" s="11"/>
      <c r="N1730" s="11">
        <v>8473.67</v>
      </c>
      <c r="O1730" s="42">
        <v>-8473.67</v>
      </c>
      <c r="P1730" s="43" t="s">
        <v>4489</v>
      </c>
      <c r="Q1730" s="11">
        <v>804358.64</v>
      </c>
      <c r="R1730" s="11" t="s">
        <v>3399</v>
      </c>
      <c r="S1730" s="11" t="s">
        <v>106</v>
      </c>
      <c r="T1730" s="11">
        <v>0</v>
      </c>
      <c r="V1730" s="11" t="s">
        <v>241</v>
      </c>
    </row>
    <row r="1731" spans="1:22" x14ac:dyDescent="0.25">
      <c r="A1731" s="11">
        <v>101060402</v>
      </c>
      <c r="B1731" s="11" t="s">
        <v>44</v>
      </c>
      <c r="C1731" s="41">
        <v>44894</v>
      </c>
      <c r="D1731" s="41">
        <v>44894</v>
      </c>
      <c r="E1731" s="11" t="s">
        <v>42</v>
      </c>
      <c r="F1731" s="11" t="s">
        <v>2051</v>
      </c>
      <c r="G1731" s="11">
        <v>109496</v>
      </c>
      <c r="H1731" s="11" t="s">
        <v>57</v>
      </c>
      <c r="K1731" s="11">
        <v>101060401</v>
      </c>
      <c r="L1731" s="11" t="s">
        <v>34</v>
      </c>
      <c r="M1731" s="11">
        <v>3117.72</v>
      </c>
      <c r="N1731" s="11"/>
      <c r="O1731" s="42">
        <v>3117.72</v>
      </c>
      <c r="P1731" s="43" t="s">
        <v>4481</v>
      </c>
      <c r="Q1731" s="11">
        <v>807476.36</v>
      </c>
      <c r="R1731" s="11" t="s">
        <v>2050</v>
      </c>
      <c r="S1731" s="11" t="s">
        <v>40</v>
      </c>
      <c r="T1731" s="11">
        <v>0</v>
      </c>
    </row>
    <row r="1732" spans="1:22" x14ac:dyDescent="0.25">
      <c r="A1732" s="11">
        <v>101060402</v>
      </c>
      <c r="B1732" s="11" t="s">
        <v>44</v>
      </c>
      <c r="C1732" s="41">
        <v>44894</v>
      </c>
      <c r="D1732" s="41">
        <v>44894</v>
      </c>
      <c r="E1732" s="11" t="s">
        <v>42</v>
      </c>
      <c r="F1732" s="11" t="s">
        <v>3400</v>
      </c>
      <c r="G1732" s="11">
        <v>109504</v>
      </c>
      <c r="H1732" s="11" t="s">
        <v>47</v>
      </c>
      <c r="J1732" s="11" t="s">
        <v>240</v>
      </c>
      <c r="K1732" s="11">
        <v>51010102</v>
      </c>
      <c r="L1732" s="11" t="s">
        <v>194</v>
      </c>
      <c r="M1732" s="11"/>
      <c r="N1732" s="11">
        <v>246.93</v>
      </c>
      <c r="O1732" s="42">
        <v>-246.93</v>
      </c>
      <c r="P1732" s="43" t="s">
        <v>4489</v>
      </c>
      <c r="Q1732" s="11">
        <v>807229.43</v>
      </c>
      <c r="R1732" s="11" t="s">
        <v>3401</v>
      </c>
      <c r="S1732" s="11" t="s">
        <v>106</v>
      </c>
      <c r="T1732" s="11">
        <v>0</v>
      </c>
      <c r="V1732" s="11" t="s">
        <v>241</v>
      </c>
    </row>
    <row r="1733" spans="1:22" x14ac:dyDescent="0.25">
      <c r="A1733" s="11">
        <v>101060402</v>
      </c>
      <c r="B1733" s="11" t="s">
        <v>44</v>
      </c>
      <c r="C1733" s="41">
        <v>44894</v>
      </c>
      <c r="D1733" s="41">
        <v>44894</v>
      </c>
      <c r="E1733" s="11" t="s">
        <v>42</v>
      </c>
      <c r="F1733" s="11" t="s">
        <v>2065</v>
      </c>
      <c r="G1733" s="11">
        <v>109506</v>
      </c>
      <c r="H1733" s="11" t="s">
        <v>57</v>
      </c>
      <c r="K1733" s="11">
        <v>101060401</v>
      </c>
      <c r="L1733" s="11" t="s">
        <v>34</v>
      </c>
      <c r="M1733" s="11"/>
      <c r="N1733" s="11">
        <v>457.58</v>
      </c>
      <c r="O1733" s="42">
        <v>-457.58</v>
      </c>
      <c r="P1733" s="43" t="s">
        <v>4481</v>
      </c>
      <c r="Q1733" s="11">
        <v>806771.85</v>
      </c>
      <c r="R1733" s="11" t="s">
        <v>2074</v>
      </c>
      <c r="S1733" s="11" t="s">
        <v>106</v>
      </c>
      <c r="T1733" s="11">
        <v>0</v>
      </c>
    </row>
    <row r="1734" spans="1:22" x14ac:dyDescent="0.25">
      <c r="A1734" s="11">
        <v>101060402</v>
      </c>
      <c r="B1734" s="11" t="s">
        <v>44</v>
      </c>
      <c r="C1734" s="41">
        <v>44894</v>
      </c>
      <c r="D1734" s="41">
        <v>44894</v>
      </c>
      <c r="E1734" s="11" t="s">
        <v>42</v>
      </c>
      <c r="F1734" s="11" t="s">
        <v>3402</v>
      </c>
      <c r="G1734" s="11">
        <v>109519</v>
      </c>
      <c r="H1734" s="11" t="s">
        <v>151</v>
      </c>
      <c r="J1734" s="11" t="s">
        <v>240</v>
      </c>
      <c r="K1734" s="11">
        <v>51010102</v>
      </c>
      <c r="L1734" s="11" t="s">
        <v>194</v>
      </c>
      <c r="M1734" s="11"/>
      <c r="N1734" s="11">
        <v>200.87</v>
      </c>
      <c r="O1734" s="42">
        <v>-200.87</v>
      </c>
      <c r="P1734" s="43" t="s">
        <v>4489</v>
      </c>
      <c r="Q1734" s="11">
        <v>806570.98</v>
      </c>
      <c r="R1734" s="11" t="s">
        <v>3403</v>
      </c>
      <c r="S1734" s="11" t="s">
        <v>106</v>
      </c>
      <c r="T1734" s="11">
        <v>0</v>
      </c>
      <c r="V1734" s="11" t="s">
        <v>241</v>
      </c>
    </row>
    <row r="1735" spans="1:22" x14ac:dyDescent="0.25">
      <c r="A1735" s="11">
        <v>101060402</v>
      </c>
      <c r="B1735" s="11" t="s">
        <v>44</v>
      </c>
      <c r="C1735" s="41">
        <v>44894</v>
      </c>
      <c r="D1735" s="41">
        <v>44894</v>
      </c>
      <c r="E1735" s="11" t="s">
        <v>42</v>
      </c>
      <c r="F1735" s="11" t="s">
        <v>3404</v>
      </c>
      <c r="G1735" s="11">
        <v>109520</v>
      </c>
      <c r="H1735" s="11" t="s">
        <v>151</v>
      </c>
      <c r="J1735" s="11" t="s">
        <v>240</v>
      </c>
      <c r="K1735" s="11">
        <v>51010102</v>
      </c>
      <c r="L1735" s="11" t="s">
        <v>194</v>
      </c>
      <c r="M1735" s="11"/>
      <c r="N1735" s="11">
        <v>229.18</v>
      </c>
      <c r="O1735" s="42">
        <v>-229.18</v>
      </c>
      <c r="P1735" s="43" t="s">
        <v>4489</v>
      </c>
      <c r="Q1735" s="11">
        <v>806341.8</v>
      </c>
      <c r="R1735" s="11" t="s">
        <v>3405</v>
      </c>
      <c r="S1735" s="11" t="s">
        <v>106</v>
      </c>
      <c r="T1735" s="11">
        <v>0</v>
      </c>
      <c r="V1735" s="11" t="s">
        <v>241</v>
      </c>
    </row>
    <row r="1736" spans="1:22" x14ac:dyDescent="0.25">
      <c r="A1736" s="11">
        <v>101060402</v>
      </c>
      <c r="B1736" s="11" t="s">
        <v>44</v>
      </c>
      <c r="C1736" s="41">
        <v>44894</v>
      </c>
      <c r="D1736" s="41">
        <v>44894</v>
      </c>
      <c r="E1736" s="11" t="s">
        <v>42</v>
      </c>
      <c r="F1736" s="11" t="s">
        <v>3406</v>
      </c>
      <c r="G1736" s="11">
        <v>109526</v>
      </c>
      <c r="H1736" s="11" t="s">
        <v>47</v>
      </c>
      <c r="J1736" s="11" t="s">
        <v>240</v>
      </c>
      <c r="K1736" s="11">
        <v>51010102</v>
      </c>
      <c r="L1736" s="11" t="s">
        <v>194</v>
      </c>
      <c r="M1736" s="11"/>
      <c r="N1736" s="11">
        <v>2466.54</v>
      </c>
      <c r="O1736" s="42">
        <v>-2466.54</v>
      </c>
      <c r="P1736" s="43" t="s">
        <v>4489</v>
      </c>
      <c r="Q1736" s="11">
        <v>803875.26</v>
      </c>
      <c r="R1736" s="11" t="s">
        <v>3407</v>
      </c>
      <c r="S1736" s="11" t="s">
        <v>106</v>
      </c>
      <c r="T1736" s="11">
        <v>0</v>
      </c>
      <c r="V1736" s="11" t="s">
        <v>241</v>
      </c>
    </row>
    <row r="1737" spans="1:22" x14ac:dyDescent="0.25">
      <c r="A1737" s="11">
        <v>101060402</v>
      </c>
      <c r="B1737" s="11" t="s">
        <v>44</v>
      </c>
      <c r="C1737" s="41">
        <v>44895</v>
      </c>
      <c r="D1737" s="41">
        <v>44895</v>
      </c>
      <c r="E1737" s="11" t="s">
        <v>42</v>
      </c>
      <c r="F1737" s="11" t="s">
        <v>3408</v>
      </c>
      <c r="G1737" s="11">
        <v>109528</v>
      </c>
      <c r="H1737" s="11" t="s">
        <v>162</v>
      </c>
      <c r="J1737" s="11" t="s">
        <v>240</v>
      </c>
      <c r="K1737" s="11">
        <v>51010102</v>
      </c>
      <c r="L1737" s="11" t="s">
        <v>194</v>
      </c>
      <c r="M1737" s="11"/>
      <c r="N1737" s="11">
        <v>32397.759999999998</v>
      </c>
      <c r="O1737" s="42">
        <v>-32397.759999999998</v>
      </c>
      <c r="P1737" s="43" t="s">
        <v>4489</v>
      </c>
      <c r="Q1737" s="11">
        <v>771477.5</v>
      </c>
      <c r="R1737" s="11" t="s">
        <v>1826</v>
      </c>
      <c r="S1737" s="11" t="s">
        <v>106</v>
      </c>
      <c r="T1737" s="11">
        <v>0</v>
      </c>
      <c r="V1737" s="11" t="s">
        <v>241</v>
      </c>
    </row>
    <row r="1738" spans="1:22" x14ac:dyDescent="0.25">
      <c r="A1738" s="11">
        <v>101060402</v>
      </c>
      <c r="B1738" s="11" t="s">
        <v>44</v>
      </c>
      <c r="C1738" s="41">
        <v>44895</v>
      </c>
      <c r="D1738" s="41">
        <v>44895</v>
      </c>
      <c r="E1738" s="11" t="s">
        <v>42</v>
      </c>
      <c r="F1738" s="11" t="s">
        <v>3409</v>
      </c>
      <c r="G1738" s="11">
        <v>109529</v>
      </c>
      <c r="H1738" s="11" t="s">
        <v>1810</v>
      </c>
      <c r="J1738" s="11" t="s">
        <v>240</v>
      </c>
      <c r="K1738" s="11">
        <v>51010102</v>
      </c>
      <c r="L1738" s="11" t="s">
        <v>194</v>
      </c>
      <c r="M1738" s="11"/>
      <c r="N1738" s="11">
        <v>3117.72</v>
      </c>
      <c r="O1738" s="42">
        <v>-3117.72</v>
      </c>
      <c r="P1738" s="43" t="s">
        <v>4489</v>
      </c>
      <c r="Q1738" s="11">
        <v>768359.78</v>
      </c>
      <c r="R1738" s="11" t="s">
        <v>2052</v>
      </c>
      <c r="S1738" s="11" t="s">
        <v>106</v>
      </c>
      <c r="T1738" s="11">
        <v>0</v>
      </c>
      <c r="V1738" s="11" t="s">
        <v>241</v>
      </c>
    </row>
    <row r="1739" spans="1:22" x14ac:dyDescent="0.25">
      <c r="A1739" s="11">
        <v>101060402</v>
      </c>
      <c r="B1739" s="11" t="s">
        <v>44</v>
      </c>
      <c r="C1739" s="41">
        <v>44895</v>
      </c>
      <c r="D1739" s="41">
        <v>44895</v>
      </c>
      <c r="E1739" s="11" t="s">
        <v>42</v>
      </c>
      <c r="F1739" s="11" t="s">
        <v>3410</v>
      </c>
      <c r="G1739" s="11">
        <v>109530</v>
      </c>
      <c r="H1739" s="11" t="s">
        <v>47</v>
      </c>
      <c r="J1739" s="11" t="s">
        <v>240</v>
      </c>
      <c r="K1739" s="11">
        <v>51010102</v>
      </c>
      <c r="L1739" s="11" t="s">
        <v>194</v>
      </c>
      <c r="M1739" s="11"/>
      <c r="N1739" s="11">
        <v>90.3</v>
      </c>
      <c r="O1739" s="42">
        <v>-90.3</v>
      </c>
      <c r="P1739" s="43" t="s">
        <v>4489</v>
      </c>
      <c r="Q1739" s="11">
        <v>768269.48</v>
      </c>
      <c r="R1739" s="11" t="s">
        <v>3411</v>
      </c>
      <c r="S1739" s="11" t="s">
        <v>106</v>
      </c>
      <c r="T1739" s="11">
        <v>0</v>
      </c>
      <c r="V1739" s="11" t="s">
        <v>241</v>
      </c>
    </row>
    <row r="1740" spans="1:22" x14ac:dyDescent="0.25">
      <c r="A1740" s="11">
        <v>101060402</v>
      </c>
      <c r="B1740" s="11" t="s">
        <v>44</v>
      </c>
      <c r="C1740" s="41">
        <v>44895</v>
      </c>
      <c r="D1740" s="41">
        <v>44895</v>
      </c>
      <c r="E1740" s="11" t="s">
        <v>42</v>
      </c>
      <c r="F1740" s="11" t="s">
        <v>3412</v>
      </c>
      <c r="G1740" s="11">
        <v>109531</v>
      </c>
      <c r="H1740" s="11" t="s">
        <v>47</v>
      </c>
      <c r="J1740" s="11" t="s">
        <v>240</v>
      </c>
      <c r="K1740" s="11">
        <v>51010102</v>
      </c>
      <c r="L1740" s="11" t="s">
        <v>194</v>
      </c>
      <c r="M1740" s="11"/>
      <c r="N1740" s="11">
        <v>1.3</v>
      </c>
      <c r="O1740" s="42">
        <v>-1.3</v>
      </c>
      <c r="P1740" s="43" t="s">
        <v>4489</v>
      </c>
      <c r="Q1740" s="11">
        <v>768268.18</v>
      </c>
      <c r="R1740" s="11" t="s">
        <v>3413</v>
      </c>
      <c r="S1740" s="11" t="s">
        <v>106</v>
      </c>
      <c r="T1740" s="11">
        <v>0</v>
      </c>
      <c r="V1740" s="11" t="s">
        <v>241</v>
      </c>
    </row>
    <row r="1741" spans="1:22" x14ac:dyDescent="0.25">
      <c r="A1741" s="11">
        <v>101060402</v>
      </c>
      <c r="B1741" s="11" t="s">
        <v>44</v>
      </c>
      <c r="C1741" s="41">
        <v>44895</v>
      </c>
      <c r="D1741" s="41">
        <v>44895</v>
      </c>
      <c r="E1741" s="11" t="s">
        <v>42</v>
      </c>
      <c r="F1741" s="11" t="s">
        <v>3414</v>
      </c>
      <c r="G1741" s="11">
        <v>109544</v>
      </c>
      <c r="H1741" s="11" t="s">
        <v>53</v>
      </c>
      <c r="J1741" s="11" t="s">
        <v>240</v>
      </c>
      <c r="K1741" s="11">
        <v>51010102</v>
      </c>
      <c r="L1741" s="11" t="s">
        <v>194</v>
      </c>
      <c r="M1741" s="11"/>
      <c r="N1741" s="11">
        <v>224.62</v>
      </c>
      <c r="O1741" s="42">
        <v>-224.62</v>
      </c>
      <c r="P1741" s="43" t="s">
        <v>4489</v>
      </c>
      <c r="Q1741" s="11">
        <v>768043.56</v>
      </c>
      <c r="R1741" s="11" t="s">
        <v>3415</v>
      </c>
      <c r="S1741" s="11" t="s">
        <v>106</v>
      </c>
      <c r="T1741" s="11">
        <v>0</v>
      </c>
      <c r="V1741" s="11" t="s">
        <v>241</v>
      </c>
    </row>
    <row r="1742" spans="1:22" x14ac:dyDescent="0.25">
      <c r="A1742" s="11">
        <v>101060402</v>
      </c>
      <c r="B1742" s="11" t="s">
        <v>44</v>
      </c>
      <c r="C1742" s="41">
        <v>44895</v>
      </c>
      <c r="D1742" s="41">
        <v>44895</v>
      </c>
      <c r="E1742" s="11" t="s">
        <v>42</v>
      </c>
      <c r="F1742" s="11" t="s">
        <v>3416</v>
      </c>
      <c r="G1742" s="11">
        <v>109545</v>
      </c>
      <c r="H1742" s="11" t="s">
        <v>247</v>
      </c>
      <c r="J1742" s="11" t="s">
        <v>240</v>
      </c>
      <c r="K1742" s="11">
        <v>51010102</v>
      </c>
      <c r="L1742" s="11" t="s">
        <v>194</v>
      </c>
      <c r="M1742" s="11"/>
      <c r="N1742" s="11">
        <v>4.91</v>
      </c>
      <c r="O1742" s="42">
        <v>-4.91</v>
      </c>
      <c r="P1742" s="43" t="s">
        <v>4489</v>
      </c>
      <c r="Q1742" s="11">
        <v>768038.65</v>
      </c>
      <c r="R1742" s="11" t="s">
        <v>3417</v>
      </c>
      <c r="S1742" s="11" t="s">
        <v>106</v>
      </c>
      <c r="T1742" s="11">
        <v>0</v>
      </c>
      <c r="V1742" s="11" t="s">
        <v>241</v>
      </c>
    </row>
    <row r="1743" spans="1:22" x14ac:dyDescent="0.25">
      <c r="A1743" s="11">
        <v>101060402</v>
      </c>
      <c r="B1743" s="11" t="s">
        <v>44</v>
      </c>
      <c r="C1743" s="41">
        <v>44895</v>
      </c>
      <c r="D1743" s="41">
        <v>44895</v>
      </c>
      <c r="E1743" s="11" t="s">
        <v>42</v>
      </c>
      <c r="F1743" s="11" t="s">
        <v>3418</v>
      </c>
      <c r="G1743" s="11">
        <v>110428</v>
      </c>
      <c r="H1743" s="11" t="s">
        <v>2116</v>
      </c>
      <c r="J1743" s="11" t="s">
        <v>240</v>
      </c>
      <c r="K1743" s="11">
        <v>51010102</v>
      </c>
      <c r="L1743" s="11" t="s">
        <v>194</v>
      </c>
      <c r="M1743" s="11">
        <v>224.62</v>
      </c>
      <c r="N1743" s="11"/>
      <c r="O1743" s="42">
        <v>224.62</v>
      </c>
      <c r="P1743" s="43" t="s">
        <v>4489</v>
      </c>
      <c r="Q1743" s="11">
        <v>768263.27</v>
      </c>
      <c r="R1743" s="11" t="s">
        <v>3419</v>
      </c>
      <c r="S1743" s="11" t="s">
        <v>40</v>
      </c>
      <c r="T1743" s="11">
        <v>0</v>
      </c>
      <c r="V1743" s="11" t="s">
        <v>241</v>
      </c>
    </row>
    <row r="1744" spans="1:22" x14ac:dyDescent="0.25">
      <c r="A1744" s="11">
        <v>101060402</v>
      </c>
      <c r="B1744" s="11" t="s">
        <v>44</v>
      </c>
      <c r="C1744" s="41">
        <v>44896</v>
      </c>
      <c r="D1744" s="41">
        <v>44896</v>
      </c>
      <c r="E1744" s="11" t="s">
        <v>42</v>
      </c>
      <c r="F1744" s="11" t="s">
        <v>3420</v>
      </c>
      <c r="G1744" s="11">
        <v>109573</v>
      </c>
      <c r="H1744" s="11" t="s">
        <v>162</v>
      </c>
      <c r="J1744" s="11" t="s">
        <v>240</v>
      </c>
      <c r="K1744" s="11">
        <v>51010102</v>
      </c>
      <c r="L1744" s="11" t="s">
        <v>194</v>
      </c>
      <c r="M1744" s="11"/>
      <c r="N1744" s="11">
        <v>1356.81</v>
      </c>
      <c r="O1744" s="42">
        <v>-1356.81</v>
      </c>
      <c r="P1744" s="43" t="s">
        <v>4489</v>
      </c>
      <c r="Q1744" s="11">
        <v>766906.46</v>
      </c>
      <c r="R1744" s="11" t="s">
        <v>3421</v>
      </c>
      <c r="S1744" s="11" t="s">
        <v>106</v>
      </c>
      <c r="T1744" s="11">
        <v>0</v>
      </c>
      <c r="V1744" s="11" t="s">
        <v>241</v>
      </c>
    </row>
    <row r="1745" spans="1:22" x14ac:dyDescent="0.25">
      <c r="A1745" s="11">
        <v>101060402</v>
      </c>
      <c r="B1745" s="11" t="s">
        <v>44</v>
      </c>
      <c r="C1745" s="41">
        <v>44896</v>
      </c>
      <c r="D1745" s="41">
        <v>44896</v>
      </c>
      <c r="E1745" s="11" t="s">
        <v>42</v>
      </c>
      <c r="F1745" s="11" t="s">
        <v>3420</v>
      </c>
      <c r="G1745" s="11">
        <v>109573</v>
      </c>
      <c r="H1745" s="11" t="s">
        <v>162</v>
      </c>
      <c r="J1745" s="11" t="s">
        <v>240</v>
      </c>
      <c r="K1745" s="11">
        <v>51010102</v>
      </c>
      <c r="L1745" s="11" t="s">
        <v>194</v>
      </c>
      <c r="M1745" s="11"/>
      <c r="N1745" s="11">
        <v>30.23</v>
      </c>
      <c r="O1745" s="42">
        <v>-30.23</v>
      </c>
      <c r="P1745" s="43" t="s">
        <v>4489</v>
      </c>
      <c r="Q1745" s="11">
        <v>766876.23</v>
      </c>
      <c r="R1745" s="11" t="s">
        <v>3422</v>
      </c>
      <c r="S1745" s="11" t="s">
        <v>106</v>
      </c>
      <c r="T1745" s="11">
        <v>0</v>
      </c>
      <c r="V1745" s="11" t="s">
        <v>241</v>
      </c>
    </row>
    <row r="1746" spans="1:22" x14ac:dyDescent="0.25">
      <c r="A1746" s="11">
        <v>101060402</v>
      </c>
      <c r="B1746" s="11" t="s">
        <v>44</v>
      </c>
      <c r="C1746" s="41">
        <v>44896</v>
      </c>
      <c r="D1746" s="41">
        <v>44896</v>
      </c>
      <c r="E1746" s="11" t="s">
        <v>42</v>
      </c>
      <c r="F1746" s="11" t="s">
        <v>2126</v>
      </c>
      <c r="G1746" s="11">
        <v>109575</v>
      </c>
      <c r="H1746" s="11" t="s">
        <v>2127</v>
      </c>
      <c r="J1746" s="11" t="s">
        <v>240</v>
      </c>
      <c r="K1746" s="11" t="s">
        <v>2128</v>
      </c>
      <c r="L1746" s="11" t="s">
        <v>2129</v>
      </c>
      <c r="M1746" s="11">
        <v>503.83</v>
      </c>
      <c r="N1746" s="11"/>
      <c r="O1746" s="42">
        <v>503.83</v>
      </c>
      <c r="P1746" s="43" t="s">
        <v>4488</v>
      </c>
      <c r="Q1746" s="11">
        <v>767380.06</v>
      </c>
      <c r="R1746" s="11" t="s">
        <v>3423</v>
      </c>
      <c r="S1746" s="11" t="s">
        <v>69</v>
      </c>
      <c r="T1746" s="11">
        <v>0</v>
      </c>
      <c r="V1746" s="11" t="s">
        <v>241</v>
      </c>
    </row>
    <row r="1747" spans="1:22" x14ac:dyDescent="0.25">
      <c r="A1747" s="11">
        <v>101060402</v>
      </c>
      <c r="B1747" s="11" t="s">
        <v>44</v>
      </c>
      <c r="C1747" s="41">
        <v>44896</v>
      </c>
      <c r="D1747" s="41">
        <v>44896</v>
      </c>
      <c r="E1747" s="11" t="s">
        <v>42</v>
      </c>
      <c r="F1747" s="11" t="s">
        <v>3424</v>
      </c>
      <c r="G1747" s="11">
        <v>109578</v>
      </c>
      <c r="H1747" s="11" t="s">
        <v>2872</v>
      </c>
      <c r="J1747" s="11" t="s">
        <v>240</v>
      </c>
      <c r="K1747" s="11">
        <v>51010102</v>
      </c>
      <c r="L1747" s="11" t="s">
        <v>194</v>
      </c>
      <c r="M1747" s="11"/>
      <c r="N1747" s="11">
        <v>421.06</v>
      </c>
      <c r="O1747" s="42">
        <v>-421.06</v>
      </c>
      <c r="P1747" s="43" t="s">
        <v>4489</v>
      </c>
      <c r="Q1747" s="11">
        <v>766959</v>
      </c>
      <c r="R1747" s="11" t="s">
        <v>3038</v>
      </c>
      <c r="S1747" s="11" t="s">
        <v>40</v>
      </c>
      <c r="T1747" s="11">
        <v>0</v>
      </c>
      <c r="V1747" s="11" t="s">
        <v>241</v>
      </c>
    </row>
    <row r="1748" spans="1:22" x14ac:dyDescent="0.25">
      <c r="A1748" s="11">
        <v>101060402</v>
      </c>
      <c r="B1748" s="11" t="s">
        <v>44</v>
      </c>
      <c r="C1748" s="41">
        <v>44896</v>
      </c>
      <c r="D1748" s="41">
        <v>44896</v>
      </c>
      <c r="E1748" s="11" t="s">
        <v>42</v>
      </c>
      <c r="F1748" s="11" t="s">
        <v>3425</v>
      </c>
      <c r="G1748" s="11">
        <v>109579</v>
      </c>
      <c r="H1748" s="11" t="s">
        <v>2872</v>
      </c>
      <c r="J1748" s="11" t="s">
        <v>240</v>
      </c>
      <c r="K1748" s="11">
        <v>51010102</v>
      </c>
      <c r="L1748" s="11" t="s">
        <v>194</v>
      </c>
      <c r="M1748" s="11"/>
      <c r="N1748" s="11">
        <v>42.4</v>
      </c>
      <c r="O1748" s="42">
        <v>-42.4</v>
      </c>
      <c r="P1748" s="43" t="s">
        <v>4489</v>
      </c>
      <c r="Q1748" s="11">
        <v>766916.6</v>
      </c>
      <c r="R1748" s="11" t="s">
        <v>3168</v>
      </c>
      <c r="S1748" s="11" t="s">
        <v>40</v>
      </c>
      <c r="T1748" s="11">
        <v>0</v>
      </c>
      <c r="V1748" s="11" t="s">
        <v>241</v>
      </c>
    </row>
    <row r="1749" spans="1:22" x14ac:dyDescent="0.25">
      <c r="A1749" s="11">
        <v>101060402</v>
      </c>
      <c r="B1749" s="11" t="s">
        <v>44</v>
      </c>
      <c r="C1749" s="41">
        <v>44896</v>
      </c>
      <c r="D1749" s="41">
        <v>44896</v>
      </c>
      <c r="E1749" s="11" t="s">
        <v>42</v>
      </c>
      <c r="F1749" s="11" t="s">
        <v>3425</v>
      </c>
      <c r="G1749" s="11">
        <v>109579</v>
      </c>
      <c r="H1749" s="11" t="s">
        <v>2872</v>
      </c>
      <c r="J1749" s="11" t="s">
        <v>240</v>
      </c>
      <c r="K1749" s="11">
        <v>51010102</v>
      </c>
      <c r="L1749" s="11" t="s">
        <v>194</v>
      </c>
      <c r="M1749" s="11"/>
      <c r="N1749" s="11">
        <v>82.77</v>
      </c>
      <c r="O1749" s="42">
        <v>-82.77</v>
      </c>
      <c r="P1749" s="43" t="s">
        <v>4489</v>
      </c>
      <c r="Q1749" s="11">
        <v>766833.83</v>
      </c>
      <c r="R1749" s="11" t="s">
        <v>3169</v>
      </c>
      <c r="S1749" s="11" t="s">
        <v>40</v>
      </c>
      <c r="T1749" s="11">
        <v>0</v>
      </c>
      <c r="V1749" s="11" t="s">
        <v>241</v>
      </c>
    </row>
    <row r="1750" spans="1:22" x14ac:dyDescent="0.25">
      <c r="A1750" s="11">
        <v>101060402</v>
      </c>
      <c r="B1750" s="11" t="s">
        <v>44</v>
      </c>
      <c r="C1750" s="41">
        <v>44896</v>
      </c>
      <c r="D1750" s="41">
        <v>44896</v>
      </c>
      <c r="E1750" s="11" t="s">
        <v>42</v>
      </c>
      <c r="F1750" s="11" t="s">
        <v>3426</v>
      </c>
      <c r="G1750" s="11">
        <v>109590</v>
      </c>
      <c r="H1750" s="11" t="s">
        <v>47</v>
      </c>
      <c r="J1750" s="11" t="s">
        <v>240</v>
      </c>
      <c r="K1750" s="11">
        <v>51010102</v>
      </c>
      <c r="L1750" s="11" t="s">
        <v>194</v>
      </c>
      <c r="M1750" s="11"/>
      <c r="N1750" s="11">
        <v>38.36</v>
      </c>
      <c r="O1750" s="42">
        <v>-38.36</v>
      </c>
      <c r="P1750" s="43" t="s">
        <v>4489</v>
      </c>
      <c r="Q1750" s="11">
        <v>766795.47</v>
      </c>
      <c r="R1750" s="11" t="s">
        <v>3427</v>
      </c>
      <c r="S1750" s="11" t="s">
        <v>106</v>
      </c>
      <c r="T1750" s="11">
        <v>0</v>
      </c>
      <c r="V1750" s="11" t="s">
        <v>241</v>
      </c>
    </row>
    <row r="1751" spans="1:22" x14ac:dyDescent="0.25">
      <c r="A1751" s="11">
        <v>101060402</v>
      </c>
      <c r="B1751" s="11" t="s">
        <v>44</v>
      </c>
      <c r="C1751" s="41">
        <v>44896</v>
      </c>
      <c r="D1751" s="41">
        <v>44896</v>
      </c>
      <c r="E1751" s="11" t="s">
        <v>42</v>
      </c>
      <c r="F1751" s="11" t="s">
        <v>3428</v>
      </c>
      <c r="G1751" s="11">
        <v>109592</v>
      </c>
      <c r="H1751" s="11" t="s">
        <v>47</v>
      </c>
      <c r="J1751" s="11" t="s">
        <v>240</v>
      </c>
      <c r="K1751" s="11">
        <v>51010102</v>
      </c>
      <c r="L1751" s="11" t="s">
        <v>194</v>
      </c>
      <c r="M1751" s="11"/>
      <c r="N1751" s="11">
        <v>761.89</v>
      </c>
      <c r="O1751" s="42">
        <v>-761.89</v>
      </c>
      <c r="P1751" s="43" t="s">
        <v>4489</v>
      </c>
      <c r="Q1751" s="11">
        <v>766033.58</v>
      </c>
      <c r="R1751" s="11" t="s">
        <v>3429</v>
      </c>
      <c r="S1751" s="11" t="s">
        <v>106</v>
      </c>
      <c r="T1751" s="11">
        <v>0</v>
      </c>
      <c r="V1751" s="11" t="s">
        <v>241</v>
      </c>
    </row>
    <row r="1752" spans="1:22" x14ac:dyDescent="0.25">
      <c r="A1752" s="11">
        <v>101060402</v>
      </c>
      <c r="B1752" s="11" t="s">
        <v>44</v>
      </c>
      <c r="C1752" s="41">
        <v>44896</v>
      </c>
      <c r="D1752" s="41">
        <v>44896</v>
      </c>
      <c r="E1752" s="11" t="s">
        <v>42</v>
      </c>
      <c r="F1752" s="11" t="s">
        <v>2136</v>
      </c>
      <c r="G1752" s="11">
        <v>109607</v>
      </c>
      <c r="H1752" s="11" t="s">
        <v>57</v>
      </c>
      <c r="K1752" s="11">
        <v>101060401</v>
      </c>
      <c r="L1752" s="11" t="s">
        <v>34</v>
      </c>
      <c r="M1752" s="11">
        <v>330.92</v>
      </c>
      <c r="N1752" s="11"/>
      <c r="O1752" s="42">
        <v>330.92</v>
      </c>
      <c r="P1752" s="43" t="s">
        <v>4481</v>
      </c>
      <c r="Q1752" s="11">
        <v>766364.5</v>
      </c>
      <c r="R1752" s="11" t="s">
        <v>3430</v>
      </c>
      <c r="S1752" s="11" t="s">
        <v>40</v>
      </c>
      <c r="T1752" s="11">
        <v>0</v>
      </c>
    </row>
    <row r="1753" spans="1:22" x14ac:dyDescent="0.25">
      <c r="A1753" s="11">
        <v>101060402</v>
      </c>
      <c r="B1753" s="11" t="s">
        <v>44</v>
      </c>
      <c r="C1753" s="41">
        <v>44896</v>
      </c>
      <c r="D1753" s="41">
        <v>44896</v>
      </c>
      <c r="E1753" s="11" t="s">
        <v>42</v>
      </c>
      <c r="F1753" s="11" t="s">
        <v>3431</v>
      </c>
      <c r="G1753" s="11">
        <v>109608</v>
      </c>
      <c r="H1753" s="11" t="s">
        <v>3432</v>
      </c>
      <c r="J1753" s="11" t="s">
        <v>240</v>
      </c>
      <c r="K1753" s="11">
        <v>51010102</v>
      </c>
      <c r="L1753" s="11" t="s">
        <v>194</v>
      </c>
      <c r="M1753" s="11"/>
      <c r="N1753" s="11">
        <v>330.92</v>
      </c>
      <c r="O1753" s="42">
        <v>-330.92</v>
      </c>
      <c r="P1753" s="43" t="s">
        <v>4489</v>
      </c>
      <c r="Q1753" s="11">
        <v>766033.58</v>
      </c>
      <c r="R1753" s="11" t="s">
        <v>2137</v>
      </c>
      <c r="S1753" s="11" t="s">
        <v>106</v>
      </c>
      <c r="T1753" s="11">
        <v>0</v>
      </c>
      <c r="V1753" s="11" t="s">
        <v>241</v>
      </c>
    </row>
    <row r="1754" spans="1:22" x14ac:dyDescent="0.25">
      <c r="A1754" s="11">
        <v>101060402</v>
      </c>
      <c r="B1754" s="11" t="s">
        <v>44</v>
      </c>
      <c r="C1754" s="41">
        <v>44896</v>
      </c>
      <c r="D1754" s="41">
        <v>44896</v>
      </c>
      <c r="E1754" s="11" t="s">
        <v>42</v>
      </c>
      <c r="F1754" s="11" t="s">
        <v>2142</v>
      </c>
      <c r="G1754" s="11">
        <v>109619</v>
      </c>
      <c r="H1754" s="11" t="s">
        <v>57</v>
      </c>
      <c r="K1754" s="11">
        <v>101060401</v>
      </c>
      <c r="L1754" s="11" t="s">
        <v>34</v>
      </c>
      <c r="M1754" s="11">
        <v>284196.21000000002</v>
      </c>
      <c r="N1754" s="11"/>
      <c r="O1754" s="42">
        <v>284196.21000000002</v>
      </c>
      <c r="P1754" s="43" t="s">
        <v>4481</v>
      </c>
      <c r="Q1754" s="11">
        <v>1050229.79</v>
      </c>
      <c r="R1754" s="11" t="s">
        <v>3433</v>
      </c>
      <c r="S1754" s="11" t="s">
        <v>40</v>
      </c>
      <c r="T1754" s="11">
        <v>0</v>
      </c>
    </row>
    <row r="1755" spans="1:22" x14ac:dyDescent="0.25">
      <c r="A1755" s="11">
        <v>101060402</v>
      </c>
      <c r="B1755" s="11" t="s">
        <v>44</v>
      </c>
      <c r="C1755" s="41">
        <v>44896</v>
      </c>
      <c r="D1755" s="41">
        <v>44896</v>
      </c>
      <c r="E1755" s="11" t="s">
        <v>42</v>
      </c>
      <c r="F1755" s="11" t="s">
        <v>2144</v>
      </c>
      <c r="G1755" s="11">
        <v>109620</v>
      </c>
      <c r="H1755" s="11" t="s">
        <v>43</v>
      </c>
      <c r="K1755" s="11">
        <v>101060401</v>
      </c>
      <c r="L1755" s="11" t="s">
        <v>34</v>
      </c>
      <c r="M1755" s="11"/>
      <c r="N1755" s="11">
        <v>283426.08</v>
      </c>
      <c r="O1755" s="42">
        <v>-283426.08</v>
      </c>
      <c r="P1755" s="43" t="s">
        <v>4481</v>
      </c>
      <c r="Q1755" s="11">
        <v>766803.71</v>
      </c>
      <c r="R1755" s="11" t="s">
        <v>3434</v>
      </c>
      <c r="S1755" s="11" t="s">
        <v>40</v>
      </c>
      <c r="T1755" s="11">
        <v>0</v>
      </c>
    </row>
    <row r="1756" spans="1:22" x14ac:dyDescent="0.25">
      <c r="A1756" s="11">
        <v>101060402</v>
      </c>
      <c r="B1756" s="11" t="s">
        <v>44</v>
      </c>
      <c r="C1756" s="41">
        <v>44896</v>
      </c>
      <c r="D1756" s="41">
        <v>44896</v>
      </c>
      <c r="E1756" s="11" t="s">
        <v>42</v>
      </c>
      <c r="F1756" s="11" t="s">
        <v>2151</v>
      </c>
      <c r="G1756" s="11">
        <v>109625</v>
      </c>
      <c r="H1756" s="11" t="s">
        <v>57</v>
      </c>
      <c r="K1756" s="11">
        <v>101060401</v>
      </c>
      <c r="L1756" s="11" t="s">
        <v>34</v>
      </c>
      <c r="M1756" s="11">
        <v>218.35</v>
      </c>
      <c r="N1756" s="11"/>
      <c r="O1756" s="42">
        <v>218.35</v>
      </c>
      <c r="P1756" s="43" t="s">
        <v>4481</v>
      </c>
      <c r="Q1756" s="11">
        <v>767022.06</v>
      </c>
      <c r="R1756" s="11" t="s">
        <v>3435</v>
      </c>
      <c r="S1756" s="11" t="s">
        <v>40</v>
      </c>
      <c r="T1756" s="11">
        <v>0</v>
      </c>
    </row>
    <row r="1757" spans="1:22" x14ac:dyDescent="0.25">
      <c r="A1757" s="11">
        <v>101060402</v>
      </c>
      <c r="B1757" s="11" t="s">
        <v>44</v>
      </c>
      <c r="C1757" s="41">
        <v>44897</v>
      </c>
      <c r="D1757" s="41">
        <v>44897</v>
      </c>
      <c r="E1757" s="11" t="s">
        <v>42</v>
      </c>
      <c r="F1757" s="11" t="s">
        <v>3436</v>
      </c>
      <c r="G1757" s="11">
        <v>109657</v>
      </c>
      <c r="H1757" s="11" t="s">
        <v>141</v>
      </c>
      <c r="J1757" s="11" t="s">
        <v>240</v>
      </c>
      <c r="K1757" s="11">
        <v>51010102</v>
      </c>
      <c r="L1757" s="11" t="s">
        <v>194</v>
      </c>
      <c r="M1757" s="11"/>
      <c r="N1757" s="11">
        <v>107.84</v>
      </c>
      <c r="O1757" s="42">
        <v>-107.84</v>
      </c>
      <c r="P1757" s="43" t="s">
        <v>4489</v>
      </c>
      <c r="Q1757" s="11">
        <v>766914.22</v>
      </c>
      <c r="R1757" s="11" t="s">
        <v>3437</v>
      </c>
      <c r="S1757" s="11" t="s">
        <v>106</v>
      </c>
      <c r="T1757" s="11">
        <v>0</v>
      </c>
      <c r="V1757" s="11" t="s">
        <v>241</v>
      </c>
    </row>
    <row r="1758" spans="1:22" x14ac:dyDescent="0.25">
      <c r="A1758" s="11">
        <v>101060402</v>
      </c>
      <c r="B1758" s="11" t="s">
        <v>44</v>
      </c>
      <c r="C1758" s="41">
        <v>44897</v>
      </c>
      <c r="D1758" s="41">
        <v>44897</v>
      </c>
      <c r="E1758" s="11" t="s">
        <v>42</v>
      </c>
      <c r="F1758" s="11" t="s">
        <v>3438</v>
      </c>
      <c r="G1758" s="11">
        <v>109659</v>
      </c>
      <c r="H1758" s="11" t="s">
        <v>141</v>
      </c>
      <c r="J1758" s="11" t="s">
        <v>240</v>
      </c>
      <c r="K1758" s="11">
        <v>51010102</v>
      </c>
      <c r="L1758" s="11" t="s">
        <v>194</v>
      </c>
      <c r="M1758" s="11"/>
      <c r="N1758" s="11">
        <v>29.96</v>
      </c>
      <c r="O1758" s="42">
        <v>-29.96</v>
      </c>
      <c r="P1758" s="43" t="s">
        <v>4489</v>
      </c>
      <c r="Q1758" s="11">
        <v>766884.26</v>
      </c>
      <c r="R1758" s="11" t="s">
        <v>3439</v>
      </c>
      <c r="S1758" s="11" t="s">
        <v>106</v>
      </c>
      <c r="T1758" s="11">
        <v>0</v>
      </c>
      <c r="V1758" s="11" t="s">
        <v>241</v>
      </c>
    </row>
    <row r="1759" spans="1:22" x14ac:dyDescent="0.25">
      <c r="A1759" s="11">
        <v>101060402</v>
      </c>
      <c r="B1759" s="11" t="s">
        <v>44</v>
      </c>
      <c r="C1759" s="41">
        <v>44897</v>
      </c>
      <c r="D1759" s="41">
        <v>44897</v>
      </c>
      <c r="E1759" s="11" t="s">
        <v>42</v>
      </c>
      <c r="F1759" s="11" t="s">
        <v>3440</v>
      </c>
      <c r="G1759" s="11">
        <v>109662</v>
      </c>
      <c r="H1759" s="11" t="s">
        <v>176</v>
      </c>
      <c r="J1759" s="11" t="s">
        <v>240</v>
      </c>
      <c r="K1759" s="11">
        <v>51010102</v>
      </c>
      <c r="L1759" s="11" t="s">
        <v>194</v>
      </c>
      <c r="M1759" s="11"/>
      <c r="N1759" s="11">
        <v>302.33999999999997</v>
      </c>
      <c r="O1759" s="42">
        <v>-302.33999999999997</v>
      </c>
      <c r="P1759" s="43" t="s">
        <v>4489</v>
      </c>
      <c r="Q1759" s="11">
        <v>766581.92</v>
      </c>
      <c r="R1759" s="11" t="s">
        <v>3441</v>
      </c>
      <c r="S1759" s="11" t="s">
        <v>106</v>
      </c>
      <c r="T1759" s="11">
        <v>0</v>
      </c>
      <c r="V1759" s="11" t="s">
        <v>241</v>
      </c>
    </row>
    <row r="1760" spans="1:22" x14ac:dyDescent="0.25">
      <c r="A1760" s="11">
        <v>101060402</v>
      </c>
      <c r="B1760" s="11" t="s">
        <v>44</v>
      </c>
      <c r="C1760" s="41">
        <v>44897</v>
      </c>
      <c r="D1760" s="41">
        <v>44897</v>
      </c>
      <c r="E1760" s="11" t="s">
        <v>42</v>
      </c>
      <c r="F1760" s="11" t="s">
        <v>3442</v>
      </c>
      <c r="G1760" s="11">
        <v>109671</v>
      </c>
      <c r="H1760" s="11" t="s">
        <v>47</v>
      </c>
      <c r="J1760" s="11" t="s">
        <v>240</v>
      </c>
      <c r="K1760" s="11">
        <v>51010102</v>
      </c>
      <c r="L1760" s="11" t="s">
        <v>194</v>
      </c>
      <c r="M1760" s="11"/>
      <c r="N1760" s="11">
        <v>177.06</v>
      </c>
      <c r="O1760" s="42">
        <v>-177.06</v>
      </c>
      <c r="P1760" s="43" t="s">
        <v>4489</v>
      </c>
      <c r="Q1760" s="11">
        <v>766404.86</v>
      </c>
      <c r="R1760" s="11" t="s">
        <v>2878</v>
      </c>
      <c r="S1760" s="11" t="s">
        <v>106</v>
      </c>
      <c r="T1760" s="11">
        <v>0</v>
      </c>
      <c r="V1760" s="11" t="s">
        <v>241</v>
      </c>
    </row>
    <row r="1761" spans="1:22" x14ac:dyDescent="0.25">
      <c r="A1761" s="11">
        <v>101060402</v>
      </c>
      <c r="B1761" s="11" t="s">
        <v>44</v>
      </c>
      <c r="C1761" s="41">
        <v>44897</v>
      </c>
      <c r="D1761" s="41">
        <v>44897</v>
      </c>
      <c r="E1761" s="11" t="s">
        <v>42</v>
      </c>
      <c r="F1761" s="11" t="s">
        <v>3443</v>
      </c>
      <c r="G1761" s="11">
        <v>109673</v>
      </c>
      <c r="H1761" s="11" t="s">
        <v>47</v>
      </c>
      <c r="J1761" s="11" t="s">
        <v>240</v>
      </c>
      <c r="K1761" s="11">
        <v>51010102</v>
      </c>
      <c r="L1761" s="11" t="s">
        <v>194</v>
      </c>
      <c r="M1761" s="11"/>
      <c r="N1761" s="11">
        <v>683.25</v>
      </c>
      <c r="O1761" s="42">
        <v>-683.25</v>
      </c>
      <c r="P1761" s="43" t="s">
        <v>4489</v>
      </c>
      <c r="Q1761" s="11">
        <v>765721.61</v>
      </c>
      <c r="R1761" s="11" t="s">
        <v>3444</v>
      </c>
      <c r="S1761" s="11" t="s">
        <v>106</v>
      </c>
      <c r="T1761" s="11">
        <v>0</v>
      </c>
      <c r="V1761" s="11" t="s">
        <v>241</v>
      </c>
    </row>
    <row r="1762" spans="1:22" x14ac:dyDescent="0.25">
      <c r="A1762" s="11">
        <v>101060402</v>
      </c>
      <c r="B1762" s="11" t="s">
        <v>44</v>
      </c>
      <c r="C1762" s="41">
        <v>44897</v>
      </c>
      <c r="D1762" s="41">
        <v>44897</v>
      </c>
      <c r="E1762" s="11" t="s">
        <v>42</v>
      </c>
      <c r="F1762" s="11" t="s">
        <v>3445</v>
      </c>
      <c r="G1762" s="11">
        <v>109675</v>
      </c>
      <c r="H1762" s="11" t="s">
        <v>162</v>
      </c>
      <c r="J1762" s="11" t="s">
        <v>240</v>
      </c>
      <c r="K1762" s="11">
        <v>51010102</v>
      </c>
      <c r="L1762" s="11" t="s">
        <v>194</v>
      </c>
      <c r="M1762" s="11"/>
      <c r="N1762" s="11">
        <v>24.83</v>
      </c>
      <c r="O1762" s="42">
        <v>-24.83</v>
      </c>
      <c r="P1762" s="43" t="s">
        <v>4489</v>
      </c>
      <c r="Q1762" s="11">
        <v>765696.78</v>
      </c>
      <c r="R1762" s="11" t="s">
        <v>962</v>
      </c>
      <c r="S1762" s="11" t="s">
        <v>106</v>
      </c>
      <c r="T1762" s="11">
        <v>0</v>
      </c>
      <c r="V1762" s="11" t="s">
        <v>241</v>
      </c>
    </row>
    <row r="1763" spans="1:22" x14ac:dyDescent="0.25">
      <c r="A1763" s="11">
        <v>101060402</v>
      </c>
      <c r="B1763" s="11" t="s">
        <v>44</v>
      </c>
      <c r="C1763" s="41">
        <v>44897</v>
      </c>
      <c r="D1763" s="41">
        <v>44897</v>
      </c>
      <c r="E1763" s="11" t="s">
        <v>42</v>
      </c>
      <c r="F1763" s="11" t="s">
        <v>3445</v>
      </c>
      <c r="G1763" s="11">
        <v>109675</v>
      </c>
      <c r="H1763" s="11" t="s">
        <v>162</v>
      </c>
      <c r="J1763" s="11" t="s">
        <v>240</v>
      </c>
      <c r="K1763" s="11">
        <v>51010102</v>
      </c>
      <c r="L1763" s="11" t="s">
        <v>194</v>
      </c>
      <c r="M1763" s="11"/>
      <c r="N1763" s="11">
        <v>21024.639999999999</v>
      </c>
      <c r="O1763" s="42">
        <v>-21024.639999999999</v>
      </c>
      <c r="P1763" s="43" t="s">
        <v>4489</v>
      </c>
      <c r="Q1763" s="11">
        <v>744672.14</v>
      </c>
      <c r="R1763" s="11" t="s">
        <v>3446</v>
      </c>
      <c r="S1763" s="11" t="s">
        <v>106</v>
      </c>
      <c r="T1763" s="11">
        <v>0</v>
      </c>
      <c r="V1763" s="11" t="s">
        <v>241</v>
      </c>
    </row>
    <row r="1764" spans="1:22" x14ac:dyDescent="0.25">
      <c r="A1764" s="11">
        <v>101060402</v>
      </c>
      <c r="B1764" s="11" t="s">
        <v>44</v>
      </c>
      <c r="C1764" s="41">
        <v>44897</v>
      </c>
      <c r="D1764" s="41">
        <v>44897</v>
      </c>
      <c r="E1764" s="11" t="s">
        <v>42</v>
      </c>
      <c r="F1764" s="11" t="s">
        <v>2199</v>
      </c>
      <c r="G1764" s="11">
        <v>109676</v>
      </c>
      <c r="H1764" s="11" t="s">
        <v>57</v>
      </c>
      <c r="K1764" s="11">
        <v>101060401</v>
      </c>
      <c r="L1764" s="11" t="s">
        <v>34</v>
      </c>
      <c r="M1764" s="11"/>
      <c r="N1764" s="11">
        <v>297.83999999999997</v>
      </c>
      <c r="O1764" s="42">
        <v>-297.83999999999997</v>
      </c>
      <c r="P1764" s="43" t="s">
        <v>4481</v>
      </c>
      <c r="Q1764" s="11">
        <v>744374.3</v>
      </c>
      <c r="R1764" s="11" t="s">
        <v>3447</v>
      </c>
      <c r="S1764" s="11" t="s">
        <v>106</v>
      </c>
      <c r="T1764" s="11">
        <v>0</v>
      </c>
    </row>
    <row r="1765" spans="1:22" x14ac:dyDescent="0.25">
      <c r="A1765" s="11">
        <v>101060402</v>
      </c>
      <c r="B1765" s="11" t="s">
        <v>44</v>
      </c>
      <c r="C1765" s="41">
        <v>44901</v>
      </c>
      <c r="D1765" s="41">
        <v>44901</v>
      </c>
      <c r="E1765" s="11" t="s">
        <v>42</v>
      </c>
      <c r="F1765" s="11" t="s">
        <v>3448</v>
      </c>
      <c r="G1765" s="11">
        <v>109682</v>
      </c>
      <c r="H1765" s="11" t="s">
        <v>176</v>
      </c>
      <c r="J1765" s="11" t="s">
        <v>240</v>
      </c>
      <c r="K1765" s="11">
        <v>51010102</v>
      </c>
      <c r="L1765" s="11" t="s">
        <v>194</v>
      </c>
      <c r="M1765" s="11"/>
      <c r="N1765" s="11">
        <v>145.1</v>
      </c>
      <c r="O1765" s="42">
        <v>-145.1</v>
      </c>
      <c r="P1765" s="43" t="s">
        <v>4489</v>
      </c>
      <c r="Q1765" s="11">
        <v>744229.2</v>
      </c>
      <c r="R1765" s="11" t="s">
        <v>3449</v>
      </c>
      <c r="S1765" s="11" t="s">
        <v>106</v>
      </c>
      <c r="T1765" s="11">
        <v>0</v>
      </c>
      <c r="V1765" s="11" t="s">
        <v>241</v>
      </c>
    </row>
    <row r="1766" spans="1:22" x14ac:dyDescent="0.25">
      <c r="A1766" s="11">
        <v>101060402</v>
      </c>
      <c r="B1766" s="11" t="s">
        <v>44</v>
      </c>
      <c r="C1766" s="41">
        <v>44901</v>
      </c>
      <c r="D1766" s="41">
        <v>44901</v>
      </c>
      <c r="E1766" s="11" t="s">
        <v>42</v>
      </c>
      <c r="F1766" s="11" t="s">
        <v>3450</v>
      </c>
      <c r="G1766" s="11">
        <v>109686</v>
      </c>
      <c r="H1766" s="11" t="s">
        <v>47</v>
      </c>
      <c r="J1766" s="11" t="s">
        <v>240</v>
      </c>
      <c r="K1766" s="11">
        <v>51010102</v>
      </c>
      <c r="L1766" s="11" t="s">
        <v>194</v>
      </c>
      <c r="M1766" s="11"/>
      <c r="N1766" s="11">
        <v>265.72000000000003</v>
      </c>
      <c r="O1766" s="42">
        <v>-265.72000000000003</v>
      </c>
      <c r="P1766" s="43" t="s">
        <v>4489</v>
      </c>
      <c r="Q1766" s="11">
        <v>743963.48</v>
      </c>
      <c r="R1766" s="11" t="s">
        <v>3451</v>
      </c>
      <c r="S1766" s="11" t="s">
        <v>106</v>
      </c>
      <c r="T1766" s="11">
        <v>0</v>
      </c>
      <c r="V1766" s="11" t="s">
        <v>241</v>
      </c>
    </row>
    <row r="1767" spans="1:22" x14ac:dyDescent="0.25">
      <c r="A1767" s="11">
        <v>101060402</v>
      </c>
      <c r="B1767" s="11" t="s">
        <v>44</v>
      </c>
      <c r="C1767" s="41">
        <v>44901</v>
      </c>
      <c r="D1767" s="41">
        <v>44901</v>
      </c>
      <c r="E1767" s="11" t="s">
        <v>42</v>
      </c>
      <c r="F1767" s="11" t="s">
        <v>3452</v>
      </c>
      <c r="G1767" s="11">
        <v>109688</v>
      </c>
      <c r="H1767" s="11" t="s">
        <v>2875</v>
      </c>
      <c r="J1767" s="11" t="s">
        <v>240</v>
      </c>
      <c r="K1767" s="11">
        <v>51010102</v>
      </c>
      <c r="L1767" s="11" t="s">
        <v>194</v>
      </c>
      <c r="M1767" s="11"/>
      <c r="N1767" s="11">
        <v>10.59</v>
      </c>
      <c r="O1767" s="42">
        <v>-10.59</v>
      </c>
      <c r="P1767" s="43" t="s">
        <v>4489</v>
      </c>
      <c r="Q1767" s="11">
        <v>743952.89</v>
      </c>
      <c r="R1767" s="11" t="s">
        <v>3453</v>
      </c>
      <c r="S1767" s="11" t="s">
        <v>106</v>
      </c>
      <c r="T1767" s="11">
        <v>0</v>
      </c>
      <c r="V1767" s="11" t="s">
        <v>241</v>
      </c>
    </row>
    <row r="1768" spans="1:22" x14ac:dyDescent="0.25">
      <c r="A1768" s="11">
        <v>101060402</v>
      </c>
      <c r="B1768" s="11" t="s">
        <v>44</v>
      </c>
      <c r="C1768" s="41">
        <v>44901</v>
      </c>
      <c r="D1768" s="41">
        <v>44901</v>
      </c>
      <c r="E1768" s="11" t="s">
        <v>42</v>
      </c>
      <c r="F1768" s="11" t="s">
        <v>2206</v>
      </c>
      <c r="G1768" s="11">
        <v>109703</v>
      </c>
      <c r="H1768" s="11" t="s">
        <v>57</v>
      </c>
      <c r="K1768" s="11">
        <v>101060401</v>
      </c>
      <c r="L1768" s="11" t="s">
        <v>34</v>
      </c>
      <c r="M1768" s="11">
        <v>4121.6000000000004</v>
      </c>
      <c r="N1768" s="11"/>
      <c r="O1768" s="42">
        <v>4121.6000000000004</v>
      </c>
      <c r="P1768" s="43" t="s">
        <v>4481</v>
      </c>
      <c r="Q1768" s="11">
        <v>748074.49</v>
      </c>
      <c r="R1768" s="11" t="s">
        <v>3454</v>
      </c>
      <c r="S1768" s="11" t="s">
        <v>40</v>
      </c>
      <c r="T1768" s="11">
        <v>0</v>
      </c>
    </row>
    <row r="1769" spans="1:22" x14ac:dyDescent="0.25">
      <c r="A1769" s="11">
        <v>101060402</v>
      </c>
      <c r="B1769" s="11" t="s">
        <v>44</v>
      </c>
      <c r="C1769" s="41">
        <v>44901</v>
      </c>
      <c r="D1769" s="41">
        <v>44901</v>
      </c>
      <c r="E1769" s="11" t="s">
        <v>42</v>
      </c>
      <c r="F1769" s="11" t="s">
        <v>2208</v>
      </c>
      <c r="G1769" s="11">
        <v>109708</v>
      </c>
      <c r="H1769" s="11" t="s">
        <v>57</v>
      </c>
      <c r="K1769" s="11">
        <v>101060401</v>
      </c>
      <c r="L1769" s="11" t="s">
        <v>34</v>
      </c>
      <c r="M1769" s="11">
        <v>107010.95</v>
      </c>
      <c r="N1769" s="11"/>
      <c r="O1769" s="42">
        <v>107010.95</v>
      </c>
      <c r="P1769" s="43" t="s">
        <v>4481</v>
      </c>
      <c r="Q1769" s="11">
        <v>855085.44</v>
      </c>
      <c r="R1769" s="11" t="s">
        <v>3455</v>
      </c>
      <c r="S1769" s="11" t="s">
        <v>40</v>
      </c>
      <c r="T1769" s="11">
        <v>0</v>
      </c>
    </row>
    <row r="1770" spans="1:22" x14ac:dyDescent="0.25">
      <c r="A1770" s="11">
        <v>101060402</v>
      </c>
      <c r="B1770" s="11" t="s">
        <v>44</v>
      </c>
      <c r="C1770" s="41">
        <v>44901</v>
      </c>
      <c r="D1770" s="41">
        <v>44901</v>
      </c>
      <c r="E1770" s="11" t="s">
        <v>42</v>
      </c>
      <c r="F1770" s="11" t="s">
        <v>2218</v>
      </c>
      <c r="G1770" s="11">
        <v>109735</v>
      </c>
      <c r="H1770" s="11" t="s">
        <v>57</v>
      </c>
      <c r="K1770" s="11">
        <v>101060401</v>
      </c>
      <c r="L1770" s="11" t="s">
        <v>34</v>
      </c>
      <c r="M1770" s="11">
        <v>1923.8</v>
      </c>
      <c r="N1770" s="11"/>
      <c r="O1770" s="42">
        <v>1923.8</v>
      </c>
      <c r="P1770" s="43" t="s">
        <v>4481</v>
      </c>
      <c r="Q1770" s="11">
        <v>857009.24</v>
      </c>
      <c r="R1770" s="11" t="s">
        <v>2203</v>
      </c>
      <c r="S1770" s="11" t="s">
        <v>40</v>
      </c>
      <c r="T1770" s="11">
        <v>0</v>
      </c>
    </row>
    <row r="1771" spans="1:22" x14ac:dyDescent="0.25">
      <c r="A1771" s="11">
        <v>101060402</v>
      </c>
      <c r="B1771" s="11" t="s">
        <v>44</v>
      </c>
      <c r="C1771" s="41">
        <v>44901</v>
      </c>
      <c r="D1771" s="41">
        <v>44901</v>
      </c>
      <c r="E1771" s="11" t="s">
        <v>42</v>
      </c>
      <c r="F1771" s="11" t="s">
        <v>3456</v>
      </c>
      <c r="G1771" s="11">
        <v>109736</v>
      </c>
      <c r="H1771" s="11" t="s">
        <v>1810</v>
      </c>
      <c r="J1771" s="11" t="s">
        <v>240</v>
      </c>
      <c r="K1771" s="11">
        <v>51010102</v>
      </c>
      <c r="L1771" s="11" t="s">
        <v>194</v>
      </c>
      <c r="M1771" s="11"/>
      <c r="N1771" s="11">
        <v>1923.8</v>
      </c>
      <c r="O1771" s="42">
        <v>-1923.8</v>
      </c>
      <c r="P1771" s="43" t="s">
        <v>4489</v>
      </c>
      <c r="Q1771" s="11">
        <v>855085.44</v>
      </c>
      <c r="R1771" s="11" t="s">
        <v>2219</v>
      </c>
      <c r="S1771" s="11" t="s">
        <v>106</v>
      </c>
      <c r="T1771" s="11">
        <v>0</v>
      </c>
      <c r="V1771" s="11" t="s">
        <v>241</v>
      </c>
    </row>
    <row r="1772" spans="1:22" x14ac:dyDescent="0.25">
      <c r="A1772" s="11">
        <v>101060402</v>
      </c>
      <c r="B1772" s="11" t="s">
        <v>44</v>
      </c>
      <c r="C1772" s="41">
        <v>44901</v>
      </c>
      <c r="D1772" s="41">
        <v>44901</v>
      </c>
      <c r="E1772" s="11" t="s">
        <v>42</v>
      </c>
      <c r="F1772" s="11" t="s">
        <v>3457</v>
      </c>
      <c r="G1772" s="11">
        <v>109744</v>
      </c>
      <c r="H1772" s="11" t="s">
        <v>57</v>
      </c>
      <c r="K1772" s="11">
        <v>101060409</v>
      </c>
      <c r="L1772" s="11" t="s">
        <v>128</v>
      </c>
      <c r="M1772" s="11"/>
      <c r="N1772" s="11">
        <v>21.49</v>
      </c>
      <c r="O1772" s="42">
        <v>-21.49</v>
      </c>
      <c r="P1772" s="43" t="s">
        <v>4481</v>
      </c>
      <c r="Q1772" s="11">
        <v>855063.95</v>
      </c>
      <c r="R1772" s="11" t="s">
        <v>3458</v>
      </c>
      <c r="S1772" s="11" t="s">
        <v>106</v>
      </c>
      <c r="T1772" s="11">
        <v>0</v>
      </c>
    </row>
    <row r="1773" spans="1:22" x14ac:dyDescent="0.25">
      <c r="A1773" s="11">
        <v>101060402</v>
      </c>
      <c r="B1773" s="11" t="s">
        <v>44</v>
      </c>
      <c r="C1773" s="41">
        <v>44901</v>
      </c>
      <c r="D1773" s="41">
        <v>44901</v>
      </c>
      <c r="E1773" s="11" t="s">
        <v>42</v>
      </c>
      <c r="F1773" s="11" t="s">
        <v>2237</v>
      </c>
      <c r="G1773" s="11">
        <v>109760</v>
      </c>
      <c r="H1773" s="11" t="s">
        <v>57</v>
      </c>
      <c r="K1773" s="11">
        <v>101060401</v>
      </c>
      <c r="L1773" s="11" t="s">
        <v>34</v>
      </c>
      <c r="M1773" s="11">
        <v>20.23</v>
      </c>
      <c r="N1773" s="11"/>
      <c r="O1773" s="42">
        <v>20.23</v>
      </c>
      <c r="P1773" s="43" t="s">
        <v>4481</v>
      </c>
      <c r="Q1773" s="11">
        <v>855084.18</v>
      </c>
      <c r="R1773" s="11" t="s">
        <v>3459</v>
      </c>
      <c r="S1773" s="11" t="s">
        <v>40</v>
      </c>
      <c r="T1773" s="11">
        <v>0</v>
      </c>
    </row>
    <row r="1774" spans="1:22" x14ac:dyDescent="0.25">
      <c r="A1774" s="11">
        <v>101060402</v>
      </c>
      <c r="B1774" s="11" t="s">
        <v>44</v>
      </c>
      <c r="C1774" s="41">
        <v>44901</v>
      </c>
      <c r="D1774" s="41">
        <v>44901</v>
      </c>
      <c r="E1774" s="11" t="s">
        <v>42</v>
      </c>
      <c r="F1774" s="11" t="s">
        <v>3460</v>
      </c>
      <c r="G1774" s="11">
        <v>109764</v>
      </c>
      <c r="H1774" s="11" t="s">
        <v>47</v>
      </c>
      <c r="J1774" s="11" t="s">
        <v>240</v>
      </c>
      <c r="K1774" s="11">
        <v>51010102</v>
      </c>
      <c r="L1774" s="11" t="s">
        <v>194</v>
      </c>
      <c r="M1774" s="11"/>
      <c r="N1774" s="11">
        <v>74.03</v>
      </c>
      <c r="O1774" s="42">
        <v>-74.03</v>
      </c>
      <c r="P1774" s="43" t="s">
        <v>4489</v>
      </c>
      <c r="Q1774" s="11">
        <v>855010.15</v>
      </c>
      <c r="R1774" s="11" t="s">
        <v>3461</v>
      </c>
      <c r="S1774" s="11" t="s">
        <v>106</v>
      </c>
      <c r="T1774" s="11">
        <v>0</v>
      </c>
      <c r="V1774" s="11" t="s">
        <v>241</v>
      </c>
    </row>
    <row r="1775" spans="1:22" x14ac:dyDescent="0.25">
      <c r="A1775" s="11">
        <v>101060402</v>
      </c>
      <c r="B1775" s="11" t="s">
        <v>44</v>
      </c>
      <c r="C1775" s="41">
        <v>44901</v>
      </c>
      <c r="D1775" s="41">
        <v>44901</v>
      </c>
      <c r="E1775" s="11" t="s">
        <v>42</v>
      </c>
      <c r="F1775" s="11" t="s">
        <v>3462</v>
      </c>
      <c r="G1775" s="11">
        <v>109773</v>
      </c>
      <c r="H1775" s="11" t="s">
        <v>53</v>
      </c>
      <c r="J1775" s="11" t="s">
        <v>240</v>
      </c>
      <c r="K1775" s="11">
        <v>51010102</v>
      </c>
      <c r="L1775" s="11" t="s">
        <v>194</v>
      </c>
      <c r="M1775" s="11"/>
      <c r="N1775" s="11">
        <v>549.71</v>
      </c>
      <c r="O1775" s="42">
        <v>-549.71</v>
      </c>
      <c r="P1775" s="43" t="s">
        <v>4489</v>
      </c>
      <c r="Q1775" s="11">
        <v>854460.44</v>
      </c>
      <c r="R1775" s="11" t="s">
        <v>2476</v>
      </c>
      <c r="S1775" s="11" t="s">
        <v>106</v>
      </c>
      <c r="T1775" s="11">
        <v>0</v>
      </c>
      <c r="V1775" s="11" t="s">
        <v>241</v>
      </c>
    </row>
    <row r="1776" spans="1:22" x14ac:dyDescent="0.25">
      <c r="A1776" s="11">
        <v>101060402</v>
      </c>
      <c r="B1776" s="11" t="s">
        <v>44</v>
      </c>
      <c r="C1776" s="41">
        <v>44901</v>
      </c>
      <c r="D1776" s="41">
        <v>44901</v>
      </c>
      <c r="E1776" s="11" t="s">
        <v>42</v>
      </c>
      <c r="F1776" s="11" t="s">
        <v>3463</v>
      </c>
      <c r="G1776" s="11">
        <v>110351</v>
      </c>
      <c r="H1776" s="11" t="s">
        <v>2116</v>
      </c>
      <c r="J1776" s="11" t="s">
        <v>240</v>
      </c>
      <c r="K1776" s="11">
        <v>51010102</v>
      </c>
      <c r="L1776" s="11" t="s">
        <v>194</v>
      </c>
      <c r="M1776" s="11">
        <v>549.71</v>
      </c>
      <c r="N1776" s="11"/>
      <c r="O1776" s="42">
        <v>549.71</v>
      </c>
      <c r="P1776" s="43" t="s">
        <v>4489</v>
      </c>
      <c r="Q1776" s="11">
        <v>855010.15</v>
      </c>
      <c r="R1776" s="11" t="s">
        <v>3464</v>
      </c>
      <c r="S1776" s="11" t="s">
        <v>40</v>
      </c>
      <c r="T1776" s="11">
        <v>0</v>
      </c>
      <c r="V1776" s="11" t="s">
        <v>241</v>
      </c>
    </row>
    <row r="1777" spans="1:22" x14ac:dyDescent="0.25">
      <c r="A1777" s="11">
        <v>101060402</v>
      </c>
      <c r="B1777" s="11" t="s">
        <v>44</v>
      </c>
      <c r="C1777" s="41">
        <v>44902</v>
      </c>
      <c r="D1777" s="41">
        <v>44902</v>
      </c>
      <c r="E1777" s="11" t="s">
        <v>42</v>
      </c>
      <c r="F1777" s="11" t="s">
        <v>3465</v>
      </c>
      <c r="G1777" s="11">
        <v>109815</v>
      </c>
      <c r="H1777" s="11" t="s">
        <v>2007</v>
      </c>
      <c r="J1777" s="11" t="s">
        <v>240</v>
      </c>
      <c r="K1777" s="11">
        <v>51010102</v>
      </c>
      <c r="L1777" s="11" t="s">
        <v>194</v>
      </c>
      <c r="M1777" s="11"/>
      <c r="N1777" s="11">
        <v>5.44</v>
      </c>
      <c r="O1777" s="42">
        <v>-5.44</v>
      </c>
      <c r="P1777" s="43" t="s">
        <v>4489</v>
      </c>
      <c r="Q1777" s="11">
        <v>855004.71</v>
      </c>
      <c r="R1777" s="11" t="s">
        <v>3466</v>
      </c>
      <c r="S1777" s="11" t="s">
        <v>106</v>
      </c>
      <c r="T1777" s="11">
        <v>0</v>
      </c>
      <c r="V1777" s="11" t="s">
        <v>241</v>
      </c>
    </row>
    <row r="1778" spans="1:22" x14ac:dyDescent="0.25">
      <c r="A1778" s="11">
        <v>101060402</v>
      </c>
      <c r="B1778" s="11" t="s">
        <v>44</v>
      </c>
      <c r="C1778" s="41">
        <v>44902</v>
      </c>
      <c r="D1778" s="41">
        <v>44902</v>
      </c>
      <c r="E1778" s="11" t="s">
        <v>42</v>
      </c>
      <c r="F1778" s="11" t="s">
        <v>3465</v>
      </c>
      <c r="G1778" s="11">
        <v>109815</v>
      </c>
      <c r="H1778" s="11" t="s">
        <v>2007</v>
      </c>
      <c r="J1778" s="11" t="s">
        <v>240</v>
      </c>
      <c r="K1778" s="11">
        <v>51010102</v>
      </c>
      <c r="L1778" s="11" t="s">
        <v>194</v>
      </c>
      <c r="M1778" s="11"/>
      <c r="N1778" s="11">
        <v>19.11</v>
      </c>
      <c r="O1778" s="42">
        <v>-19.11</v>
      </c>
      <c r="P1778" s="43" t="s">
        <v>4489</v>
      </c>
      <c r="Q1778" s="11">
        <v>854985.6</v>
      </c>
      <c r="R1778" s="11" t="s">
        <v>3467</v>
      </c>
      <c r="S1778" s="11" t="s">
        <v>106</v>
      </c>
      <c r="T1778" s="11">
        <v>0</v>
      </c>
      <c r="V1778" s="11" t="s">
        <v>241</v>
      </c>
    </row>
    <row r="1779" spans="1:22" x14ac:dyDescent="0.25">
      <c r="A1779" s="11">
        <v>101060402</v>
      </c>
      <c r="B1779" s="11" t="s">
        <v>44</v>
      </c>
      <c r="C1779" s="41">
        <v>44907</v>
      </c>
      <c r="D1779" s="41">
        <v>44907</v>
      </c>
      <c r="E1779" s="11" t="s">
        <v>42</v>
      </c>
      <c r="F1779" s="11" t="s">
        <v>2276</v>
      </c>
      <c r="G1779" s="11">
        <v>109979</v>
      </c>
      <c r="H1779" s="11" t="s">
        <v>66</v>
      </c>
      <c r="J1779" s="11" t="s">
        <v>240</v>
      </c>
      <c r="K1779" s="11">
        <v>51010102</v>
      </c>
      <c r="L1779" s="11" t="s">
        <v>194</v>
      </c>
      <c r="M1779" s="11"/>
      <c r="N1779" s="11">
        <v>436.11</v>
      </c>
      <c r="O1779" s="42">
        <v>-436.11</v>
      </c>
      <c r="P1779" s="43" t="s">
        <v>4489</v>
      </c>
      <c r="Q1779" s="11">
        <v>854549.49</v>
      </c>
      <c r="R1779" s="11" t="s">
        <v>3468</v>
      </c>
      <c r="S1779" s="11" t="s">
        <v>40</v>
      </c>
      <c r="T1779" s="11">
        <v>0</v>
      </c>
      <c r="V1779" s="11" t="s">
        <v>241</v>
      </c>
    </row>
    <row r="1780" spans="1:22" x14ac:dyDescent="0.25">
      <c r="A1780" s="11">
        <v>101060402</v>
      </c>
      <c r="B1780" s="11" t="s">
        <v>44</v>
      </c>
      <c r="C1780" s="41">
        <v>44907</v>
      </c>
      <c r="D1780" s="41">
        <v>44907</v>
      </c>
      <c r="E1780" s="11" t="s">
        <v>42</v>
      </c>
      <c r="F1780" s="11" t="s">
        <v>3469</v>
      </c>
      <c r="G1780" s="11">
        <v>110004</v>
      </c>
      <c r="H1780" s="11" t="s">
        <v>76</v>
      </c>
      <c r="J1780" s="11" t="s">
        <v>240</v>
      </c>
      <c r="K1780" s="11">
        <v>51010102</v>
      </c>
      <c r="L1780" s="11" t="s">
        <v>194</v>
      </c>
      <c r="M1780" s="11"/>
      <c r="N1780" s="11">
        <v>37.090000000000003</v>
      </c>
      <c r="O1780" s="42">
        <v>-37.090000000000003</v>
      </c>
      <c r="P1780" s="43" t="s">
        <v>4489</v>
      </c>
      <c r="Q1780" s="11">
        <v>854512.4</v>
      </c>
      <c r="R1780" s="11" t="s">
        <v>3470</v>
      </c>
      <c r="S1780" s="11" t="s">
        <v>106</v>
      </c>
      <c r="T1780" s="11">
        <v>0</v>
      </c>
      <c r="V1780" s="11" t="s">
        <v>241</v>
      </c>
    </row>
    <row r="1781" spans="1:22" x14ac:dyDescent="0.25">
      <c r="A1781" s="11">
        <v>101060402</v>
      </c>
      <c r="B1781" s="11" t="s">
        <v>44</v>
      </c>
      <c r="C1781" s="41">
        <v>44907</v>
      </c>
      <c r="D1781" s="41">
        <v>44907</v>
      </c>
      <c r="E1781" s="11" t="s">
        <v>42</v>
      </c>
      <c r="F1781" s="11" t="s">
        <v>3471</v>
      </c>
      <c r="G1781" s="11">
        <v>110010</v>
      </c>
      <c r="H1781" s="11" t="s">
        <v>47</v>
      </c>
      <c r="J1781" s="11" t="s">
        <v>240</v>
      </c>
      <c r="K1781" s="11">
        <v>51010102</v>
      </c>
      <c r="L1781" s="11" t="s">
        <v>194</v>
      </c>
      <c r="M1781" s="11"/>
      <c r="N1781" s="11">
        <v>4.88</v>
      </c>
      <c r="O1781" s="42">
        <v>-4.88</v>
      </c>
      <c r="P1781" s="43" t="s">
        <v>4489</v>
      </c>
      <c r="Q1781" s="11">
        <v>854507.52000000002</v>
      </c>
      <c r="R1781" s="11" t="s">
        <v>3236</v>
      </c>
      <c r="S1781" s="11" t="s">
        <v>106</v>
      </c>
      <c r="T1781" s="11">
        <v>0</v>
      </c>
      <c r="V1781" s="11" t="s">
        <v>241</v>
      </c>
    </row>
    <row r="1782" spans="1:22" x14ac:dyDescent="0.25">
      <c r="A1782" s="11">
        <v>101060402</v>
      </c>
      <c r="B1782" s="11" t="s">
        <v>44</v>
      </c>
      <c r="C1782" s="41">
        <v>44907</v>
      </c>
      <c r="D1782" s="41">
        <v>44907</v>
      </c>
      <c r="E1782" s="11" t="s">
        <v>42</v>
      </c>
      <c r="F1782" s="11" t="s">
        <v>2323</v>
      </c>
      <c r="G1782" s="11">
        <v>110011</v>
      </c>
      <c r="H1782" s="11" t="s">
        <v>57</v>
      </c>
      <c r="K1782" s="11">
        <v>101060401</v>
      </c>
      <c r="L1782" s="11" t="s">
        <v>34</v>
      </c>
      <c r="M1782" s="11">
        <v>4658.7</v>
      </c>
      <c r="N1782" s="11"/>
      <c r="O1782" s="42">
        <v>4658.7</v>
      </c>
      <c r="P1782" s="43" t="s">
        <v>4481</v>
      </c>
      <c r="Q1782" s="11">
        <v>859166.22</v>
      </c>
      <c r="R1782" s="11" t="s">
        <v>3472</v>
      </c>
      <c r="S1782" s="11" t="s">
        <v>40</v>
      </c>
      <c r="T1782" s="11">
        <v>0</v>
      </c>
    </row>
    <row r="1783" spans="1:22" x14ac:dyDescent="0.25">
      <c r="A1783" s="11">
        <v>101060402</v>
      </c>
      <c r="B1783" s="11" t="s">
        <v>44</v>
      </c>
      <c r="C1783" s="41">
        <v>44907</v>
      </c>
      <c r="D1783" s="41">
        <v>44907</v>
      </c>
      <c r="E1783" s="11" t="s">
        <v>42</v>
      </c>
      <c r="F1783" s="11" t="s">
        <v>2325</v>
      </c>
      <c r="G1783" s="11">
        <v>110013</v>
      </c>
      <c r="H1783" s="11" t="s">
        <v>43</v>
      </c>
      <c r="K1783" s="11">
        <v>101060401</v>
      </c>
      <c r="L1783" s="11" t="s">
        <v>34</v>
      </c>
      <c r="M1783" s="11">
        <v>650.39</v>
      </c>
      <c r="N1783" s="11"/>
      <c r="O1783" s="42">
        <v>650.39</v>
      </c>
      <c r="P1783" s="43" t="s">
        <v>4481</v>
      </c>
      <c r="Q1783" s="11">
        <v>859816.61</v>
      </c>
      <c r="R1783" s="11" t="s">
        <v>3473</v>
      </c>
      <c r="S1783" s="11" t="s">
        <v>40</v>
      </c>
      <c r="T1783" s="11">
        <v>0</v>
      </c>
    </row>
    <row r="1784" spans="1:22" x14ac:dyDescent="0.25">
      <c r="A1784" s="11">
        <v>101060402</v>
      </c>
      <c r="B1784" s="11" t="s">
        <v>44</v>
      </c>
      <c r="C1784" s="41">
        <v>44907</v>
      </c>
      <c r="D1784" s="41">
        <v>44907</v>
      </c>
      <c r="E1784" s="11" t="s">
        <v>42</v>
      </c>
      <c r="F1784" s="11" t="s">
        <v>3474</v>
      </c>
      <c r="G1784" s="11">
        <v>110017</v>
      </c>
      <c r="H1784" s="11" t="s">
        <v>47</v>
      </c>
      <c r="J1784" s="11" t="s">
        <v>240</v>
      </c>
      <c r="K1784" s="11">
        <v>51010102</v>
      </c>
      <c r="L1784" s="11" t="s">
        <v>194</v>
      </c>
      <c r="M1784" s="11"/>
      <c r="N1784" s="11">
        <v>40</v>
      </c>
      <c r="O1784" s="42">
        <v>-40</v>
      </c>
      <c r="P1784" s="43" t="s">
        <v>4489</v>
      </c>
      <c r="Q1784" s="11">
        <v>859776.61</v>
      </c>
      <c r="R1784" s="11" t="s">
        <v>235</v>
      </c>
      <c r="S1784" s="11" t="s">
        <v>106</v>
      </c>
      <c r="T1784" s="11">
        <v>0</v>
      </c>
      <c r="V1784" s="11" t="s">
        <v>241</v>
      </c>
    </row>
    <row r="1785" spans="1:22" x14ac:dyDescent="0.25">
      <c r="A1785" s="11">
        <v>101060402</v>
      </c>
      <c r="B1785" s="11" t="s">
        <v>44</v>
      </c>
      <c r="C1785" s="41">
        <v>44907</v>
      </c>
      <c r="D1785" s="41">
        <v>44907</v>
      </c>
      <c r="E1785" s="11" t="s">
        <v>42</v>
      </c>
      <c r="F1785" s="11" t="s">
        <v>3475</v>
      </c>
      <c r="G1785" s="11">
        <v>110018</v>
      </c>
      <c r="H1785" s="11" t="s">
        <v>47</v>
      </c>
      <c r="J1785" s="11" t="s">
        <v>240</v>
      </c>
      <c r="K1785" s="11">
        <v>51010102</v>
      </c>
      <c r="L1785" s="11" t="s">
        <v>194</v>
      </c>
      <c r="M1785" s="11"/>
      <c r="N1785" s="11">
        <v>506.7</v>
      </c>
      <c r="O1785" s="42">
        <v>-506.7</v>
      </c>
      <c r="P1785" s="43" t="s">
        <v>4489</v>
      </c>
      <c r="Q1785" s="11">
        <v>859269.91</v>
      </c>
      <c r="R1785" s="11" t="s">
        <v>3476</v>
      </c>
      <c r="S1785" s="11" t="s">
        <v>106</v>
      </c>
      <c r="T1785" s="11">
        <v>0</v>
      </c>
      <c r="V1785" s="11" t="s">
        <v>241</v>
      </c>
    </row>
    <row r="1786" spans="1:22" x14ac:dyDescent="0.25">
      <c r="A1786" s="11">
        <v>101060402</v>
      </c>
      <c r="B1786" s="11" t="s">
        <v>44</v>
      </c>
      <c r="C1786" s="41">
        <v>44907</v>
      </c>
      <c r="D1786" s="41">
        <v>44907</v>
      </c>
      <c r="E1786" s="11" t="s">
        <v>42</v>
      </c>
      <c r="F1786" s="11" t="s">
        <v>3477</v>
      </c>
      <c r="G1786" s="11">
        <v>110019</v>
      </c>
      <c r="H1786" s="11" t="s">
        <v>47</v>
      </c>
      <c r="J1786" s="11" t="s">
        <v>240</v>
      </c>
      <c r="K1786" s="11">
        <v>51010102</v>
      </c>
      <c r="L1786" s="11" t="s">
        <v>194</v>
      </c>
      <c r="M1786" s="11"/>
      <c r="N1786" s="11">
        <v>227.1</v>
      </c>
      <c r="O1786" s="42">
        <v>-227.1</v>
      </c>
      <c r="P1786" s="43" t="s">
        <v>4489</v>
      </c>
      <c r="Q1786" s="11">
        <v>859042.81</v>
      </c>
      <c r="R1786" s="11" t="s">
        <v>3478</v>
      </c>
      <c r="S1786" s="11" t="s">
        <v>106</v>
      </c>
      <c r="T1786" s="11">
        <v>0</v>
      </c>
      <c r="V1786" s="11" t="s">
        <v>241</v>
      </c>
    </row>
    <row r="1787" spans="1:22" x14ac:dyDescent="0.25">
      <c r="A1787" s="11">
        <v>101060402</v>
      </c>
      <c r="B1787" s="11" t="s">
        <v>44</v>
      </c>
      <c r="C1787" s="41">
        <v>44907</v>
      </c>
      <c r="D1787" s="41">
        <v>44907</v>
      </c>
      <c r="E1787" s="11" t="s">
        <v>42</v>
      </c>
      <c r="F1787" s="11" t="s">
        <v>3479</v>
      </c>
      <c r="G1787" s="11">
        <v>110023</v>
      </c>
      <c r="H1787" s="11" t="s">
        <v>88</v>
      </c>
      <c r="J1787" s="11" t="s">
        <v>240</v>
      </c>
      <c r="K1787" s="11">
        <v>51010102</v>
      </c>
      <c r="L1787" s="11" t="s">
        <v>194</v>
      </c>
      <c r="M1787" s="11">
        <v>40</v>
      </c>
      <c r="N1787" s="11"/>
      <c r="O1787" s="42">
        <v>40</v>
      </c>
      <c r="P1787" s="43" t="s">
        <v>4489</v>
      </c>
      <c r="Q1787" s="11">
        <v>859082.81</v>
      </c>
      <c r="R1787" s="11" t="s">
        <v>2163</v>
      </c>
      <c r="S1787" s="11" t="s">
        <v>106</v>
      </c>
      <c r="T1787" s="11">
        <v>0</v>
      </c>
      <c r="V1787" s="11" t="s">
        <v>241</v>
      </c>
    </row>
    <row r="1788" spans="1:22" x14ac:dyDescent="0.25">
      <c r="A1788" s="11">
        <v>101060402</v>
      </c>
      <c r="B1788" s="11" t="s">
        <v>44</v>
      </c>
      <c r="C1788" s="41">
        <v>44907</v>
      </c>
      <c r="D1788" s="41">
        <v>44907</v>
      </c>
      <c r="E1788" s="11" t="s">
        <v>42</v>
      </c>
      <c r="F1788" s="11" t="s">
        <v>2335</v>
      </c>
      <c r="G1788" s="11">
        <v>110028</v>
      </c>
      <c r="H1788" s="11" t="s">
        <v>57</v>
      </c>
      <c r="K1788" s="11">
        <v>101060401</v>
      </c>
      <c r="L1788" s="11" t="s">
        <v>34</v>
      </c>
      <c r="M1788" s="11">
        <v>211.77</v>
      </c>
      <c r="N1788" s="11"/>
      <c r="O1788" s="42">
        <v>211.77</v>
      </c>
      <c r="P1788" s="43" t="s">
        <v>4481</v>
      </c>
      <c r="Q1788" s="11">
        <v>859294.58</v>
      </c>
      <c r="R1788" s="11" t="s">
        <v>3480</v>
      </c>
      <c r="S1788" s="11" t="s">
        <v>40</v>
      </c>
      <c r="T1788" s="11">
        <v>0</v>
      </c>
    </row>
    <row r="1789" spans="1:22" x14ac:dyDescent="0.25">
      <c r="A1789" s="11">
        <v>101060402</v>
      </c>
      <c r="B1789" s="11" t="s">
        <v>44</v>
      </c>
      <c r="C1789" s="41">
        <v>44907</v>
      </c>
      <c r="D1789" s="41">
        <v>44907</v>
      </c>
      <c r="E1789" s="11" t="s">
        <v>42</v>
      </c>
      <c r="F1789" s="11" t="s">
        <v>3481</v>
      </c>
      <c r="G1789" s="11">
        <v>110032</v>
      </c>
      <c r="H1789" s="11" t="s">
        <v>3482</v>
      </c>
      <c r="J1789" s="11" t="s">
        <v>240</v>
      </c>
      <c r="K1789" s="11">
        <v>51010102</v>
      </c>
      <c r="L1789" s="11" t="s">
        <v>194</v>
      </c>
      <c r="M1789" s="11"/>
      <c r="N1789" s="11">
        <v>40</v>
      </c>
      <c r="O1789" s="42">
        <v>-40</v>
      </c>
      <c r="P1789" s="43" t="s">
        <v>4489</v>
      </c>
      <c r="Q1789" s="11">
        <v>859254.58</v>
      </c>
      <c r="R1789" s="11" t="s">
        <v>235</v>
      </c>
      <c r="S1789" s="11" t="s">
        <v>40</v>
      </c>
      <c r="T1789" s="11">
        <v>0</v>
      </c>
      <c r="V1789" s="11" t="s">
        <v>241</v>
      </c>
    </row>
    <row r="1790" spans="1:22" x14ac:dyDescent="0.25">
      <c r="A1790" s="11">
        <v>101060402</v>
      </c>
      <c r="B1790" s="11" t="s">
        <v>44</v>
      </c>
      <c r="C1790" s="41">
        <v>44907</v>
      </c>
      <c r="D1790" s="41">
        <v>44907</v>
      </c>
      <c r="E1790" s="11" t="s">
        <v>42</v>
      </c>
      <c r="F1790" s="11" t="s">
        <v>2341</v>
      </c>
      <c r="G1790" s="11">
        <v>110043</v>
      </c>
      <c r="H1790" s="11" t="s">
        <v>57</v>
      </c>
      <c r="K1790" s="11">
        <v>101060401</v>
      </c>
      <c r="L1790" s="11" t="s">
        <v>34</v>
      </c>
      <c r="M1790" s="11">
        <v>102.41</v>
      </c>
      <c r="N1790" s="11"/>
      <c r="O1790" s="42">
        <v>102.41</v>
      </c>
      <c r="P1790" s="43" t="s">
        <v>4481</v>
      </c>
      <c r="Q1790" s="11">
        <v>859356.99</v>
      </c>
      <c r="R1790" s="11" t="s">
        <v>3483</v>
      </c>
      <c r="S1790" s="11" t="s">
        <v>40</v>
      </c>
      <c r="T1790" s="11">
        <v>0</v>
      </c>
    </row>
    <row r="1791" spans="1:22" x14ac:dyDescent="0.25">
      <c r="A1791" s="11">
        <v>101060402</v>
      </c>
      <c r="B1791" s="11" t="s">
        <v>44</v>
      </c>
      <c r="C1791" s="41">
        <v>44908</v>
      </c>
      <c r="D1791" s="41">
        <v>44908</v>
      </c>
      <c r="E1791" s="11" t="s">
        <v>42</v>
      </c>
      <c r="F1791" s="11" t="s">
        <v>3484</v>
      </c>
      <c r="G1791" s="11">
        <v>110067</v>
      </c>
      <c r="H1791" s="11" t="s">
        <v>165</v>
      </c>
      <c r="J1791" s="11" t="s">
        <v>240</v>
      </c>
      <c r="K1791" s="11">
        <v>51010102</v>
      </c>
      <c r="L1791" s="11" t="s">
        <v>194</v>
      </c>
      <c r="M1791" s="11"/>
      <c r="N1791" s="11">
        <v>297.08</v>
      </c>
      <c r="O1791" s="42">
        <v>-297.08</v>
      </c>
      <c r="P1791" s="43" t="s">
        <v>4489</v>
      </c>
      <c r="Q1791" s="11">
        <v>859059.91</v>
      </c>
      <c r="R1791" s="11" t="s">
        <v>3485</v>
      </c>
      <c r="S1791" s="11" t="s">
        <v>106</v>
      </c>
      <c r="T1791" s="11">
        <v>0</v>
      </c>
      <c r="V1791" s="11" t="s">
        <v>241</v>
      </c>
    </row>
    <row r="1792" spans="1:22" x14ac:dyDescent="0.25">
      <c r="A1792" s="11">
        <v>101060402</v>
      </c>
      <c r="B1792" s="11" t="s">
        <v>44</v>
      </c>
      <c r="C1792" s="41">
        <v>44908</v>
      </c>
      <c r="D1792" s="41">
        <v>44908</v>
      </c>
      <c r="E1792" s="11" t="s">
        <v>42</v>
      </c>
      <c r="F1792" s="11" t="s">
        <v>2359</v>
      </c>
      <c r="G1792" s="11">
        <v>110071</v>
      </c>
      <c r="H1792" s="11" t="s">
        <v>1810</v>
      </c>
      <c r="J1792" s="11" t="s">
        <v>240</v>
      </c>
      <c r="K1792" s="11">
        <v>51010102</v>
      </c>
      <c r="L1792" s="11" t="s">
        <v>194</v>
      </c>
      <c r="M1792" s="11"/>
      <c r="N1792" s="11">
        <v>428.91</v>
      </c>
      <c r="O1792" s="42">
        <v>-428.91</v>
      </c>
      <c r="P1792" s="43" t="s">
        <v>4489</v>
      </c>
      <c r="Q1792" s="11">
        <v>858631</v>
      </c>
      <c r="R1792" s="11" t="s">
        <v>3486</v>
      </c>
      <c r="S1792" s="11" t="s">
        <v>106</v>
      </c>
      <c r="T1792" s="11">
        <v>0</v>
      </c>
      <c r="V1792" s="11" t="s">
        <v>241</v>
      </c>
    </row>
    <row r="1793" spans="1:22" x14ac:dyDescent="0.25">
      <c r="A1793" s="11">
        <v>101060402</v>
      </c>
      <c r="B1793" s="11" t="s">
        <v>44</v>
      </c>
      <c r="C1793" s="41">
        <v>44908</v>
      </c>
      <c r="D1793" s="41">
        <v>44908</v>
      </c>
      <c r="E1793" s="11" t="s">
        <v>42</v>
      </c>
      <c r="F1793" s="11" t="s">
        <v>2361</v>
      </c>
      <c r="G1793" s="11">
        <v>110072</v>
      </c>
      <c r="H1793" s="11" t="s">
        <v>57</v>
      </c>
      <c r="K1793" s="11">
        <v>101060401</v>
      </c>
      <c r="L1793" s="11" t="s">
        <v>34</v>
      </c>
      <c r="M1793" s="11">
        <v>642.55999999999995</v>
      </c>
      <c r="N1793" s="11"/>
      <c r="O1793" s="42">
        <v>642.55999999999995</v>
      </c>
      <c r="P1793" s="43" t="s">
        <v>4481</v>
      </c>
      <c r="Q1793" s="11">
        <v>859273.56</v>
      </c>
      <c r="R1793" s="11" t="s">
        <v>2358</v>
      </c>
      <c r="S1793" s="11" t="s">
        <v>40</v>
      </c>
      <c r="T1793" s="11">
        <v>0</v>
      </c>
    </row>
    <row r="1794" spans="1:22" x14ac:dyDescent="0.25">
      <c r="A1794" s="11">
        <v>101060402</v>
      </c>
      <c r="B1794" s="11" t="s">
        <v>44</v>
      </c>
      <c r="C1794" s="41">
        <v>44908</v>
      </c>
      <c r="D1794" s="41">
        <v>44908</v>
      </c>
      <c r="E1794" s="11" t="s">
        <v>42</v>
      </c>
      <c r="F1794" s="11" t="s">
        <v>3487</v>
      </c>
      <c r="G1794" s="11">
        <v>110073</v>
      </c>
      <c r="H1794" s="11" t="s">
        <v>76</v>
      </c>
      <c r="J1794" s="11" t="s">
        <v>240</v>
      </c>
      <c r="K1794" s="11">
        <v>51010102</v>
      </c>
      <c r="L1794" s="11" t="s">
        <v>194</v>
      </c>
      <c r="M1794" s="11"/>
      <c r="N1794" s="11">
        <v>642.55999999999995</v>
      </c>
      <c r="O1794" s="42">
        <v>-642.55999999999995</v>
      </c>
      <c r="P1794" s="43" t="s">
        <v>4489</v>
      </c>
      <c r="Q1794" s="11">
        <v>858631</v>
      </c>
      <c r="R1794" s="11" t="s">
        <v>2362</v>
      </c>
      <c r="S1794" s="11" t="s">
        <v>106</v>
      </c>
      <c r="T1794" s="11">
        <v>0</v>
      </c>
      <c r="V1794" s="11" t="s">
        <v>241</v>
      </c>
    </row>
    <row r="1795" spans="1:22" x14ac:dyDescent="0.25">
      <c r="A1795" s="11">
        <v>101060402</v>
      </c>
      <c r="B1795" s="11" t="s">
        <v>44</v>
      </c>
      <c r="C1795" s="41">
        <v>44908</v>
      </c>
      <c r="D1795" s="41">
        <v>44908</v>
      </c>
      <c r="E1795" s="11" t="s">
        <v>42</v>
      </c>
      <c r="F1795" s="11" t="s">
        <v>3488</v>
      </c>
      <c r="G1795" s="11">
        <v>110080</v>
      </c>
      <c r="H1795" s="11" t="s">
        <v>162</v>
      </c>
      <c r="J1795" s="11" t="s">
        <v>240</v>
      </c>
      <c r="K1795" s="11">
        <v>51010102</v>
      </c>
      <c r="L1795" s="11" t="s">
        <v>194</v>
      </c>
      <c r="M1795" s="11"/>
      <c r="N1795" s="11">
        <v>690.06</v>
      </c>
      <c r="O1795" s="42">
        <v>-690.06</v>
      </c>
      <c r="P1795" s="43" t="s">
        <v>4489</v>
      </c>
      <c r="Q1795" s="11">
        <v>857940.94</v>
      </c>
      <c r="R1795" s="11" t="s">
        <v>3489</v>
      </c>
      <c r="S1795" s="11" t="s">
        <v>106</v>
      </c>
      <c r="T1795" s="11">
        <v>0</v>
      </c>
      <c r="V1795" s="11" t="s">
        <v>241</v>
      </c>
    </row>
    <row r="1796" spans="1:22" x14ac:dyDescent="0.25">
      <c r="A1796" s="11">
        <v>101060402</v>
      </c>
      <c r="B1796" s="11" t="s">
        <v>44</v>
      </c>
      <c r="C1796" s="41">
        <v>44908</v>
      </c>
      <c r="D1796" s="41">
        <v>44908</v>
      </c>
      <c r="E1796" s="11" t="s">
        <v>42</v>
      </c>
      <c r="F1796" s="11" t="s">
        <v>3490</v>
      </c>
      <c r="G1796" s="11">
        <v>110114</v>
      </c>
      <c r="H1796" s="11" t="s">
        <v>3482</v>
      </c>
      <c r="J1796" s="11" t="s">
        <v>240</v>
      </c>
      <c r="K1796" s="11">
        <v>51010102</v>
      </c>
      <c r="L1796" s="11" t="s">
        <v>194</v>
      </c>
      <c r="M1796" s="11"/>
      <c r="N1796" s="11">
        <v>13.33</v>
      </c>
      <c r="O1796" s="42">
        <v>-13.33</v>
      </c>
      <c r="P1796" s="43" t="s">
        <v>4489</v>
      </c>
      <c r="Q1796" s="11">
        <v>857927.61</v>
      </c>
      <c r="R1796" s="11" t="s">
        <v>3491</v>
      </c>
      <c r="S1796" s="11" t="s">
        <v>106</v>
      </c>
      <c r="T1796" s="11">
        <v>0</v>
      </c>
      <c r="V1796" s="11" t="s">
        <v>241</v>
      </c>
    </row>
    <row r="1797" spans="1:22" x14ac:dyDescent="0.25">
      <c r="A1797" s="11">
        <v>101060402</v>
      </c>
      <c r="B1797" s="11" t="s">
        <v>44</v>
      </c>
      <c r="C1797" s="41">
        <v>44908</v>
      </c>
      <c r="D1797" s="41">
        <v>44908</v>
      </c>
      <c r="E1797" s="11" t="s">
        <v>42</v>
      </c>
      <c r="F1797" s="11" t="s">
        <v>3492</v>
      </c>
      <c r="G1797" s="11">
        <v>110124</v>
      </c>
      <c r="H1797" s="11" t="s">
        <v>47</v>
      </c>
      <c r="J1797" s="11" t="s">
        <v>240</v>
      </c>
      <c r="K1797" s="11">
        <v>51010102</v>
      </c>
      <c r="L1797" s="11" t="s">
        <v>194</v>
      </c>
      <c r="M1797" s="11"/>
      <c r="N1797" s="11">
        <v>187.97</v>
      </c>
      <c r="O1797" s="42">
        <v>-187.97</v>
      </c>
      <c r="P1797" s="43" t="s">
        <v>4489</v>
      </c>
      <c r="Q1797" s="11">
        <v>857739.64</v>
      </c>
      <c r="R1797" s="11" t="s">
        <v>3493</v>
      </c>
      <c r="S1797" s="11" t="s">
        <v>106</v>
      </c>
      <c r="T1797" s="11">
        <v>0</v>
      </c>
      <c r="V1797" s="11" t="s">
        <v>241</v>
      </c>
    </row>
    <row r="1798" spans="1:22" x14ac:dyDescent="0.25">
      <c r="A1798" s="11">
        <v>101060402</v>
      </c>
      <c r="B1798" s="11" t="s">
        <v>44</v>
      </c>
      <c r="C1798" s="41">
        <v>44908</v>
      </c>
      <c r="D1798" s="41">
        <v>44908</v>
      </c>
      <c r="E1798" s="11" t="s">
        <v>42</v>
      </c>
      <c r="F1798" s="11" t="s">
        <v>3494</v>
      </c>
      <c r="G1798" s="11">
        <v>110125</v>
      </c>
      <c r="H1798" s="11" t="s">
        <v>47</v>
      </c>
      <c r="J1798" s="11" t="s">
        <v>240</v>
      </c>
      <c r="K1798" s="11">
        <v>51010102</v>
      </c>
      <c r="L1798" s="11" t="s">
        <v>194</v>
      </c>
      <c r="M1798" s="11"/>
      <c r="N1798" s="11">
        <v>142.75</v>
      </c>
      <c r="O1798" s="42">
        <v>-142.75</v>
      </c>
      <c r="P1798" s="43" t="s">
        <v>4489</v>
      </c>
      <c r="Q1798" s="11">
        <v>857596.89</v>
      </c>
      <c r="R1798" s="11" t="s">
        <v>2439</v>
      </c>
      <c r="S1798" s="11" t="s">
        <v>106</v>
      </c>
      <c r="T1798" s="11">
        <v>0</v>
      </c>
      <c r="V1798" s="11" t="s">
        <v>241</v>
      </c>
    </row>
    <row r="1799" spans="1:22" x14ac:dyDescent="0.25">
      <c r="A1799" s="11">
        <v>101060402</v>
      </c>
      <c r="B1799" s="11" t="s">
        <v>44</v>
      </c>
      <c r="C1799" s="41">
        <v>44908</v>
      </c>
      <c r="D1799" s="41">
        <v>44908</v>
      </c>
      <c r="E1799" s="11" t="s">
        <v>42</v>
      </c>
      <c r="F1799" s="11" t="s">
        <v>3495</v>
      </c>
      <c r="G1799" s="11">
        <v>110127</v>
      </c>
      <c r="H1799" s="11" t="s">
        <v>47</v>
      </c>
      <c r="J1799" s="11" t="s">
        <v>240</v>
      </c>
      <c r="K1799" s="11">
        <v>51010102</v>
      </c>
      <c r="L1799" s="11" t="s">
        <v>194</v>
      </c>
      <c r="M1799" s="11"/>
      <c r="N1799" s="11">
        <v>142.75</v>
      </c>
      <c r="O1799" s="42">
        <v>-142.75</v>
      </c>
      <c r="P1799" s="43" t="s">
        <v>4489</v>
      </c>
      <c r="Q1799" s="11">
        <v>857454.14</v>
      </c>
      <c r="R1799" s="11" t="s">
        <v>2439</v>
      </c>
      <c r="S1799" s="11" t="s">
        <v>106</v>
      </c>
      <c r="T1799" s="11">
        <v>0</v>
      </c>
      <c r="V1799" s="11" t="s">
        <v>241</v>
      </c>
    </row>
    <row r="1800" spans="1:22" x14ac:dyDescent="0.25">
      <c r="A1800" s="11">
        <v>101060402</v>
      </c>
      <c r="B1800" s="11" t="s">
        <v>44</v>
      </c>
      <c r="C1800" s="41">
        <v>44908</v>
      </c>
      <c r="D1800" s="41">
        <v>44908</v>
      </c>
      <c r="E1800" s="11" t="s">
        <v>42</v>
      </c>
      <c r="F1800" s="11" t="s">
        <v>2388</v>
      </c>
      <c r="G1800" s="11">
        <v>110150</v>
      </c>
      <c r="H1800" s="11" t="s">
        <v>57</v>
      </c>
      <c r="K1800" s="11">
        <v>101060401</v>
      </c>
      <c r="L1800" s="11" t="s">
        <v>34</v>
      </c>
      <c r="M1800" s="11">
        <v>487.05</v>
      </c>
      <c r="N1800" s="11"/>
      <c r="O1800" s="42">
        <v>487.05</v>
      </c>
      <c r="P1800" s="43" t="s">
        <v>4481</v>
      </c>
      <c r="Q1800" s="11">
        <v>857941.19</v>
      </c>
      <c r="R1800" s="11" t="s">
        <v>2378</v>
      </c>
      <c r="S1800" s="11" t="s">
        <v>40</v>
      </c>
      <c r="T1800" s="11">
        <v>0</v>
      </c>
    </row>
    <row r="1801" spans="1:22" x14ac:dyDescent="0.25">
      <c r="A1801" s="11">
        <v>101060402</v>
      </c>
      <c r="B1801" s="11" t="s">
        <v>44</v>
      </c>
      <c r="C1801" s="41">
        <v>44908</v>
      </c>
      <c r="D1801" s="41">
        <v>44908</v>
      </c>
      <c r="E1801" s="11" t="s">
        <v>42</v>
      </c>
      <c r="F1801" s="11" t="s">
        <v>2390</v>
      </c>
      <c r="G1801" s="11">
        <v>110154</v>
      </c>
      <c r="H1801" s="11" t="s">
        <v>57</v>
      </c>
      <c r="K1801" s="11">
        <v>101060401</v>
      </c>
      <c r="L1801" s="11" t="s">
        <v>34</v>
      </c>
      <c r="M1801" s="11"/>
      <c r="N1801" s="11">
        <v>99.7</v>
      </c>
      <c r="O1801" s="42">
        <v>-99.7</v>
      </c>
      <c r="P1801" s="43" t="s">
        <v>4481</v>
      </c>
      <c r="Q1801" s="11">
        <v>857841.49</v>
      </c>
      <c r="R1801" s="11" t="s">
        <v>2403</v>
      </c>
      <c r="S1801" s="11" t="s">
        <v>106</v>
      </c>
      <c r="T1801" s="11">
        <v>0</v>
      </c>
    </row>
    <row r="1802" spans="1:22" x14ac:dyDescent="0.25">
      <c r="A1802" s="11">
        <v>101060402</v>
      </c>
      <c r="B1802" s="11" t="s">
        <v>44</v>
      </c>
      <c r="C1802" s="41">
        <v>44908</v>
      </c>
      <c r="D1802" s="41">
        <v>44908</v>
      </c>
      <c r="E1802" s="11" t="s">
        <v>42</v>
      </c>
      <c r="F1802" s="11" t="s">
        <v>2396</v>
      </c>
      <c r="G1802" s="11">
        <v>110162</v>
      </c>
      <c r="H1802" s="11" t="s">
        <v>57</v>
      </c>
      <c r="K1802" s="11">
        <v>101060401</v>
      </c>
      <c r="L1802" s="11" t="s">
        <v>34</v>
      </c>
      <c r="M1802" s="11">
        <v>7.33</v>
      </c>
      <c r="N1802" s="11"/>
      <c r="O1802" s="42">
        <v>7.33</v>
      </c>
      <c r="P1802" s="43" t="s">
        <v>4481</v>
      </c>
      <c r="Q1802" s="11">
        <v>857848.82</v>
      </c>
      <c r="R1802" s="11" t="s">
        <v>2395</v>
      </c>
      <c r="S1802" s="11" t="s">
        <v>40</v>
      </c>
      <c r="T1802" s="11">
        <v>0</v>
      </c>
    </row>
    <row r="1803" spans="1:22" x14ac:dyDescent="0.25">
      <c r="A1803" s="11">
        <v>101060402</v>
      </c>
      <c r="B1803" s="11" t="s">
        <v>44</v>
      </c>
      <c r="C1803" s="41">
        <v>44908</v>
      </c>
      <c r="D1803" s="41">
        <v>44908</v>
      </c>
      <c r="E1803" s="11" t="s">
        <v>42</v>
      </c>
      <c r="F1803" s="11" t="s">
        <v>3496</v>
      </c>
      <c r="G1803" s="11">
        <v>110181</v>
      </c>
      <c r="H1803" s="11" t="s">
        <v>1912</v>
      </c>
      <c r="J1803" s="11" t="s">
        <v>240</v>
      </c>
      <c r="K1803" s="11">
        <v>51010102</v>
      </c>
      <c r="L1803" s="11" t="s">
        <v>194</v>
      </c>
      <c r="M1803" s="11"/>
      <c r="N1803" s="11">
        <v>585.48</v>
      </c>
      <c r="O1803" s="42">
        <v>-585.48</v>
      </c>
      <c r="P1803" s="43" t="s">
        <v>4489</v>
      </c>
      <c r="Q1803" s="11">
        <v>857263.34</v>
      </c>
      <c r="R1803" s="11" t="s">
        <v>3497</v>
      </c>
      <c r="S1803" s="11" t="s">
        <v>106</v>
      </c>
      <c r="T1803" s="11">
        <v>0</v>
      </c>
      <c r="V1803" s="11" t="s">
        <v>241</v>
      </c>
    </row>
    <row r="1804" spans="1:22" x14ac:dyDescent="0.25">
      <c r="A1804" s="11">
        <v>101060402</v>
      </c>
      <c r="B1804" s="11" t="s">
        <v>44</v>
      </c>
      <c r="C1804" s="41">
        <v>44908</v>
      </c>
      <c r="D1804" s="41">
        <v>44908</v>
      </c>
      <c r="E1804" s="11" t="s">
        <v>42</v>
      </c>
      <c r="F1804" s="11" t="s">
        <v>3496</v>
      </c>
      <c r="G1804" s="11">
        <v>110181</v>
      </c>
      <c r="H1804" s="11" t="s">
        <v>1912</v>
      </c>
      <c r="J1804" s="11" t="s">
        <v>240</v>
      </c>
      <c r="K1804" s="11">
        <v>51010102</v>
      </c>
      <c r="L1804" s="11" t="s">
        <v>194</v>
      </c>
      <c r="M1804" s="11"/>
      <c r="N1804" s="11">
        <v>650.39</v>
      </c>
      <c r="O1804" s="42">
        <v>-650.39</v>
      </c>
      <c r="P1804" s="43" t="s">
        <v>4489</v>
      </c>
      <c r="Q1804" s="11">
        <v>856612.95</v>
      </c>
      <c r="R1804" s="11" t="s">
        <v>2326</v>
      </c>
      <c r="S1804" s="11" t="s">
        <v>106</v>
      </c>
      <c r="T1804" s="11">
        <v>0</v>
      </c>
      <c r="V1804" s="11" t="s">
        <v>241</v>
      </c>
    </row>
    <row r="1805" spans="1:22" x14ac:dyDescent="0.25">
      <c r="A1805" s="11">
        <v>101060402</v>
      </c>
      <c r="B1805" s="11" t="s">
        <v>44</v>
      </c>
      <c r="C1805" s="41">
        <v>44909</v>
      </c>
      <c r="D1805" s="41">
        <v>44909</v>
      </c>
      <c r="E1805" s="11" t="s">
        <v>42</v>
      </c>
      <c r="F1805" s="11" t="s">
        <v>3498</v>
      </c>
      <c r="G1805" s="11">
        <v>110182</v>
      </c>
      <c r="H1805" s="11" t="s">
        <v>162</v>
      </c>
      <c r="J1805" s="11" t="s">
        <v>240</v>
      </c>
      <c r="K1805" s="11">
        <v>51010102</v>
      </c>
      <c r="L1805" s="11" t="s">
        <v>194</v>
      </c>
      <c r="M1805" s="11"/>
      <c r="N1805" s="11">
        <v>4701.6499999999996</v>
      </c>
      <c r="O1805" s="42">
        <v>-4701.6499999999996</v>
      </c>
      <c r="P1805" s="43" t="s">
        <v>4489</v>
      </c>
      <c r="Q1805" s="11">
        <v>851911.3</v>
      </c>
      <c r="R1805" s="11" t="s">
        <v>3499</v>
      </c>
      <c r="S1805" s="11" t="s">
        <v>106</v>
      </c>
      <c r="T1805" s="11">
        <v>0</v>
      </c>
      <c r="V1805" s="11" t="s">
        <v>241</v>
      </c>
    </row>
    <row r="1806" spans="1:22" x14ac:dyDescent="0.25">
      <c r="A1806" s="11">
        <v>101060402</v>
      </c>
      <c r="B1806" s="11" t="s">
        <v>44</v>
      </c>
      <c r="C1806" s="41">
        <v>44909</v>
      </c>
      <c r="D1806" s="41">
        <v>44909</v>
      </c>
      <c r="E1806" s="11" t="s">
        <v>42</v>
      </c>
      <c r="F1806" s="11" t="s">
        <v>3500</v>
      </c>
      <c r="G1806" s="11">
        <v>110183</v>
      </c>
      <c r="H1806" s="11" t="s">
        <v>162</v>
      </c>
      <c r="J1806" s="11" t="s">
        <v>240</v>
      </c>
      <c r="K1806" s="11">
        <v>51010102</v>
      </c>
      <c r="L1806" s="11" t="s">
        <v>194</v>
      </c>
      <c r="M1806" s="11"/>
      <c r="N1806" s="11">
        <v>4304.6899999999996</v>
      </c>
      <c r="O1806" s="42">
        <v>-4304.6899999999996</v>
      </c>
      <c r="P1806" s="43" t="s">
        <v>4489</v>
      </c>
      <c r="Q1806" s="11">
        <v>847606.61</v>
      </c>
      <c r="R1806" s="11" t="s">
        <v>3501</v>
      </c>
      <c r="S1806" s="11" t="s">
        <v>106</v>
      </c>
      <c r="T1806" s="11">
        <v>0</v>
      </c>
      <c r="V1806" s="11" t="s">
        <v>241</v>
      </c>
    </row>
    <row r="1807" spans="1:22" x14ac:dyDescent="0.25">
      <c r="A1807" s="11">
        <v>101060402</v>
      </c>
      <c r="B1807" s="11" t="s">
        <v>44</v>
      </c>
      <c r="C1807" s="41">
        <v>44909</v>
      </c>
      <c r="D1807" s="41">
        <v>44909</v>
      </c>
      <c r="E1807" s="11" t="s">
        <v>42</v>
      </c>
      <c r="F1807" s="11" t="s">
        <v>3500</v>
      </c>
      <c r="G1807" s="11">
        <v>110183</v>
      </c>
      <c r="H1807" s="11" t="s">
        <v>162</v>
      </c>
      <c r="J1807" s="11" t="s">
        <v>240</v>
      </c>
      <c r="K1807" s="11">
        <v>51010102</v>
      </c>
      <c r="L1807" s="11" t="s">
        <v>194</v>
      </c>
      <c r="M1807" s="11"/>
      <c r="N1807" s="11">
        <v>3317.75</v>
      </c>
      <c r="O1807" s="42">
        <v>-3317.75</v>
      </c>
      <c r="P1807" s="43" t="s">
        <v>4489</v>
      </c>
      <c r="Q1807" s="11">
        <v>844288.86</v>
      </c>
      <c r="R1807" s="11" t="s">
        <v>3502</v>
      </c>
      <c r="S1807" s="11" t="s">
        <v>106</v>
      </c>
      <c r="T1807" s="11">
        <v>0</v>
      </c>
      <c r="V1807" s="11" t="s">
        <v>241</v>
      </c>
    </row>
    <row r="1808" spans="1:22" x14ac:dyDescent="0.25">
      <c r="A1808" s="11">
        <v>101060402</v>
      </c>
      <c r="B1808" s="11" t="s">
        <v>44</v>
      </c>
      <c r="C1808" s="41">
        <v>44909</v>
      </c>
      <c r="D1808" s="41">
        <v>44909</v>
      </c>
      <c r="E1808" s="11" t="s">
        <v>42</v>
      </c>
      <c r="F1808" s="11" t="s">
        <v>3503</v>
      </c>
      <c r="G1808" s="11">
        <v>110186</v>
      </c>
      <c r="H1808" s="11" t="s">
        <v>1810</v>
      </c>
      <c r="J1808" s="11" t="s">
        <v>240</v>
      </c>
      <c r="K1808" s="11">
        <v>51010102</v>
      </c>
      <c r="L1808" s="11" t="s">
        <v>194</v>
      </c>
      <c r="M1808" s="11"/>
      <c r="N1808" s="11">
        <v>487.05</v>
      </c>
      <c r="O1808" s="42">
        <v>-487.05</v>
      </c>
      <c r="P1808" s="43" t="s">
        <v>4489</v>
      </c>
      <c r="Q1808" s="11">
        <v>843801.81</v>
      </c>
      <c r="R1808" s="11" t="s">
        <v>2389</v>
      </c>
      <c r="S1808" s="11" t="s">
        <v>106</v>
      </c>
      <c r="T1808" s="11">
        <v>0</v>
      </c>
      <c r="V1808" s="11" t="s">
        <v>241</v>
      </c>
    </row>
    <row r="1809" spans="1:22" x14ac:dyDescent="0.25">
      <c r="A1809" s="11">
        <v>101060402</v>
      </c>
      <c r="B1809" s="11" t="s">
        <v>44</v>
      </c>
      <c r="C1809" s="41">
        <v>44909</v>
      </c>
      <c r="D1809" s="41">
        <v>44909</v>
      </c>
      <c r="E1809" s="11" t="s">
        <v>42</v>
      </c>
      <c r="F1809" s="11" t="s">
        <v>3504</v>
      </c>
      <c r="G1809" s="11">
        <v>110211</v>
      </c>
      <c r="H1809" s="11" t="s">
        <v>47</v>
      </c>
      <c r="J1809" s="11" t="s">
        <v>240</v>
      </c>
      <c r="K1809" s="11">
        <v>51010102</v>
      </c>
      <c r="L1809" s="11" t="s">
        <v>194</v>
      </c>
      <c r="M1809" s="11"/>
      <c r="N1809" s="11">
        <v>19.18</v>
      </c>
      <c r="O1809" s="42">
        <v>-19.18</v>
      </c>
      <c r="P1809" s="43" t="s">
        <v>4489</v>
      </c>
      <c r="Q1809" s="11">
        <v>843782.63</v>
      </c>
      <c r="R1809" s="11" t="s">
        <v>3505</v>
      </c>
      <c r="S1809" s="11" t="s">
        <v>106</v>
      </c>
      <c r="T1809" s="11">
        <v>0</v>
      </c>
      <c r="V1809" s="11" t="s">
        <v>241</v>
      </c>
    </row>
    <row r="1810" spans="1:22" x14ac:dyDescent="0.25">
      <c r="A1810" s="11">
        <v>101060402</v>
      </c>
      <c r="B1810" s="11" t="s">
        <v>44</v>
      </c>
      <c r="C1810" s="41">
        <v>44909</v>
      </c>
      <c r="D1810" s="41">
        <v>44909</v>
      </c>
      <c r="E1810" s="11" t="s">
        <v>42</v>
      </c>
      <c r="F1810" s="11" t="s">
        <v>3506</v>
      </c>
      <c r="G1810" s="11">
        <v>110212</v>
      </c>
      <c r="H1810" s="11" t="s">
        <v>47</v>
      </c>
      <c r="J1810" s="11" t="s">
        <v>240</v>
      </c>
      <c r="K1810" s="11">
        <v>51010102</v>
      </c>
      <c r="L1810" s="11" t="s">
        <v>194</v>
      </c>
      <c r="M1810" s="11"/>
      <c r="N1810" s="11">
        <v>27.5</v>
      </c>
      <c r="O1810" s="42">
        <v>-27.5</v>
      </c>
      <c r="P1810" s="43" t="s">
        <v>4489</v>
      </c>
      <c r="Q1810" s="11">
        <v>843755.13</v>
      </c>
      <c r="R1810" s="11" t="s">
        <v>152</v>
      </c>
      <c r="S1810" s="11" t="s">
        <v>106</v>
      </c>
      <c r="T1810" s="11">
        <v>0</v>
      </c>
      <c r="V1810" s="11" t="s">
        <v>241</v>
      </c>
    </row>
    <row r="1811" spans="1:22" x14ac:dyDescent="0.25">
      <c r="A1811" s="11">
        <v>101060402</v>
      </c>
      <c r="B1811" s="11" t="s">
        <v>44</v>
      </c>
      <c r="C1811" s="41">
        <v>44909</v>
      </c>
      <c r="D1811" s="41">
        <v>44909</v>
      </c>
      <c r="E1811" s="11" t="s">
        <v>42</v>
      </c>
      <c r="F1811" s="11" t="s">
        <v>2416</v>
      </c>
      <c r="G1811" s="11">
        <v>110214</v>
      </c>
      <c r="H1811" s="11" t="s">
        <v>57</v>
      </c>
      <c r="K1811" s="11">
        <v>101060401</v>
      </c>
      <c r="L1811" s="11" t="s">
        <v>34</v>
      </c>
      <c r="M1811" s="11"/>
      <c r="N1811" s="11">
        <v>189.82</v>
      </c>
      <c r="O1811" s="42">
        <v>-189.82</v>
      </c>
      <c r="P1811" s="43" t="s">
        <v>4481</v>
      </c>
      <c r="Q1811" s="11">
        <v>843565.31</v>
      </c>
      <c r="R1811" s="11" t="s">
        <v>3507</v>
      </c>
      <c r="S1811" s="11" t="s">
        <v>106</v>
      </c>
      <c r="T1811" s="11">
        <v>0</v>
      </c>
    </row>
    <row r="1812" spans="1:22" x14ac:dyDescent="0.25">
      <c r="A1812" s="11">
        <v>101060402</v>
      </c>
      <c r="B1812" s="11" t="s">
        <v>44</v>
      </c>
      <c r="C1812" s="41">
        <v>44909</v>
      </c>
      <c r="D1812" s="41">
        <v>44909</v>
      </c>
      <c r="E1812" s="11" t="s">
        <v>42</v>
      </c>
      <c r="F1812" s="11" t="s">
        <v>3508</v>
      </c>
      <c r="G1812" s="11">
        <v>110222</v>
      </c>
      <c r="H1812" s="11" t="s">
        <v>162</v>
      </c>
      <c r="J1812" s="11" t="s">
        <v>240</v>
      </c>
      <c r="K1812" s="11">
        <v>51010102</v>
      </c>
      <c r="L1812" s="11" t="s">
        <v>194</v>
      </c>
      <c r="M1812" s="11"/>
      <c r="N1812" s="11">
        <v>2410.15</v>
      </c>
      <c r="O1812" s="42">
        <v>-2410.15</v>
      </c>
      <c r="P1812" s="43" t="s">
        <v>4489</v>
      </c>
      <c r="Q1812" s="11">
        <v>841155.16</v>
      </c>
      <c r="R1812" s="11" t="s">
        <v>3509</v>
      </c>
      <c r="S1812" s="11" t="s">
        <v>106</v>
      </c>
      <c r="T1812" s="11">
        <v>0</v>
      </c>
      <c r="V1812" s="11" t="s">
        <v>241</v>
      </c>
    </row>
    <row r="1813" spans="1:22" x14ac:dyDescent="0.25">
      <c r="A1813" s="11">
        <v>101060402</v>
      </c>
      <c r="B1813" s="11" t="s">
        <v>44</v>
      </c>
      <c r="C1813" s="41">
        <v>44909</v>
      </c>
      <c r="D1813" s="41">
        <v>44909</v>
      </c>
      <c r="E1813" s="11" t="s">
        <v>42</v>
      </c>
      <c r="F1813" s="11" t="s">
        <v>3510</v>
      </c>
      <c r="G1813" s="11">
        <v>110224</v>
      </c>
      <c r="H1813" s="11" t="s">
        <v>162</v>
      </c>
      <c r="J1813" s="11" t="s">
        <v>240</v>
      </c>
      <c r="K1813" s="11">
        <v>51010102</v>
      </c>
      <c r="L1813" s="11" t="s">
        <v>194</v>
      </c>
      <c r="M1813" s="11"/>
      <c r="N1813" s="11">
        <v>1528.92</v>
      </c>
      <c r="O1813" s="42">
        <v>-1528.92</v>
      </c>
      <c r="P1813" s="43" t="s">
        <v>4489</v>
      </c>
      <c r="Q1813" s="11">
        <v>839626.23999999999</v>
      </c>
      <c r="R1813" s="11" t="s">
        <v>3511</v>
      </c>
      <c r="S1813" s="11" t="s">
        <v>106</v>
      </c>
      <c r="T1813" s="11">
        <v>0</v>
      </c>
      <c r="V1813" s="11" t="s">
        <v>241</v>
      </c>
    </row>
    <row r="1814" spans="1:22" x14ac:dyDescent="0.25">
      <c r="A1814" s="11">
        <v>101060402</v>
      </c>
      <c r="B1814" s="11" t="s">
        <v>44</v>
      </c>
      <c r="C1814" s="41">
        <v>44910</v>
      </c>
      <c r="D1814" s="41">
        <v>44910</v>
      </c>
      <c r="E1814" s="11" t="s">
        <v>42</v>
      </c>
      <c r="F1814" s="11" t="s">
        <v>3512</v>
      </c>
      <c r="G1814" s="11">
        <v>110252</v>
      </c>
      <c r="H1814" s="11" t="s">
        <v>141</v>
      </c>
      <c r="J1814" s="11" t="s">
        <v>240</v>
      </c>
      <c r="K1814" s="11">
        <v>51010102</v>
      </c>
      <c r="L1814" s="11" t="s">
        <v>194</v>
      </c>
      <c r="M1814" s="11"/>
      <c r="N1814" s="11">
        <v>43.11</v>
      </c>
      <c r="O1814" s="42">
        <v>-43.11</v>
      </c>
      <c r="P1814" s="43" t="s">
        <v>4489</v>
      </c>
      <c r="Q1814" s="11">
        <v>839583.13</v>
      </c>
      <c r="R1814" s="11" t="s">
        <v>3513</v>
      </c>
      <c r="S1814" s="11" t="s">
        <v>106</v>
      </c>
      <c r="T1814" s="11">
        <v>0</v>
      </c>
      <c r="V1814" s="11" t="s">
        <v>241</v>
      </c>
    </row>
    <row r="1815" spans="1:22" x14ac:dyDescent="0.25">
      <c r="A1815" s="11">
        <v>101060402</v>
      </c>
      <c r="B1815" s="11" t="s">
        <v>44</v>
      </c>
      <c r="C1815" s="41">
        <v>44910</v>
      </c>
      <c r="D1815" s="41">
        <v>44910</v>
      </c>
      <c r="E1815" s="11" t="s">
        <v>42</v>
      </c>
      <c r="F1815" s="11" t="s">
        <v>2441</v>
      </c>
      <c r="G1815" s="11">
        <v>110276</v>
      </c>
      <c r="H1815" s="11" t="s">
        <v>57</v>
      </c>
      <c r="K1815" s="11">
        <v>101060401</v>
      </c>
      <c r="L1815" s="11" t="s">
        <v>34</v>
      </c>
      <c r="M1815" s="11"/>
      <c r="N1815" s="11">
        <v>1520.22</v>
      </c>
      <c r="O1815" s="42">
        <v>-1520.22</v>
      </c>
      <c r="P1815" s="43" t="s">
        <v>4481</v>
      </c>
      <c r="Q1815" s="11">
        <v>838062.91</v>
      </c>
      <c r="R1815" s="11" t="s">
        <v>3514</v>
      </c>
      <c r="S1815" s="11" t="s">
        <v>106</v>
      </c>
      <c r="T1815" s="11">
        <v>0</v>
      </c>
    </row>
    <row r="1816" spans="1:22" x14ac:dyDescent="0.25">
      <c r="A1816" s="11">
        <v>101060402</v>
      </c>
      <c r="B1816" s="11" t="s">
        <v>44</v>
      </c>
      <c r="C1816" s="41">
        <v>44910</v>
      </c>
      <c r="D1816" s="41">
        <v>44910</v>
      </c>
      <c r="E1816" s="11" t="s">
        <v>42</v>
      </c>
      <c r="F1816" s="11" t="s">
        <v>2443</v>
      </c>
      <c r="G1816" s="11">
        <v>110283</v>
      </c>
      <c r="H1816" s="11" t="s">
        <v>57</v>
      </c>
      <c r="K1816" s="11">
        <v>101060401</v>
      </c>
      <c r="L1816" s="11" t="s">
        <v>34</v>
      </c>
      <c r="M1816" s="11"/>
      <c r="N1816" s="11">
        <v>29.38</v>
      </c>
      <c r="O1816" s="42">
        <v>-29.38</v>
      </c>
      <c r="P1816" s="43" t="s">
        <v>4481</v>
      </c>
      <c r="Q1816" s="11">
        <v>838033.53</v>
      </c>
      <c r="R1816" s="11" t="s">
        <v>3515</v>
      </c>
      <c r="S1816" s="11" t="s">
        <v>106</v>
      </c>
      <c r="T1816" s="11">
        <v>0</v>
      </c>
    </row>
    <row r="1817" spans="1:22" x14ac:dyDescent="0.25">
      <c r="A1817" s="11">
        <v>101060402</v>
      </c>
      <c r="B1817" s="11" t="s">
        <v>44</v>
      </c>
      <c r="C1817" s="41">
        <v>44910</v>
      </c>
      <c r="D1817" s="41">
        <v>44910</v>
      </c>
      <c r="E1817" s="11" t="s">
        <v>42</v>
      </c>
      <c r="F1817" s="11" t="s">
        <v>2446</v>
      </c>
      <c r="G1817" s="11">
        <v>110285</v>
      </c>
      <c r="H1817" s="11" t="s">
        <v>57</v>
      </c>
      <c r="K1817" s="11">
        <v>101060401</v>
      </c>
      <c r="L1817" s="11" t="s">
        <v>34</v>
      </c>
      <c r="M1817" s="11">
        <v>733.64</v>
      </c>
      <c r="N1817" s="11"/>
      <c r="O1817" s="42">
        <v>733.64</v>
      </c>
      <c r="P1817" s="43" t="s">
        <v>4481</v>
      </c>
      <c r="Q1817" s="11">
        <v>838767.17</v>
      </c>
      <c r="R1817" s="11" t="s">
        <v>3516</v>
      </c>
      <c r="S1817" s="11" t="s">
        <v>40</v>
      </c>
      <c r="T1817" s="11">
        <v>0</v>
      </c>
    </row>
    <row r="1818" spans="1:22" x14ac:dyDescent="0.25">
      <c r="A1818" s="11">
        <v>101060402</v>
      </c>
      <c r="B1818" s="11" t="s">
        <v>44</v>
      </c>
      <c r="C1818" s="41">
        <v>44910</v>
      </c>
      <c r="D1818" s="41">
        <v>44910</v>
      </c>
      <c r="E1818" s="11" t="s">
        <v>36</v>
      </c>
      <c r="F1818" s="11" t="s">
        <v>3517</v>
      </c>
      <c r="G1818" s="11">
        <v>110310</v>
      </c>
      <c r="H1818" s="11" t="s">
        <v>190</v>
      </c>
      <c r="J1818" s="11" t="s">
        <v>240</v>
      </c>
      <c r="K1818" s="11">
        <v>51010102</v>
      </c>
      <c r="L1818" s="11" t="s">
        <v>194</v>
      </c>
      <c r="M1818" s="11">
        <v>52.09</v>
      </c>
      <c r="N1818" s="11"/>
      <c r="O1818" s="42">
        <v>52.09</v>
      </c>
      <c r="P1818" s="43" t="s">
        <v>4489</v>
      </c>
      <c r="Q1818" s="11">
        <v>838819.26</v>
      </c>
      <c r="R1818" s="11" t="s">
        <v>3518</v>
      </c>
      <c r="S1818" s="11" t="s">
        <v>106</v>
      </c>
      <c r="T1818" s="11">
        <v>0</v>
      </c>
      <c r="V1818" s="11" t="s">
        <v>241</v>
      </c>
    </row>
    <row r="1819" spans="1:22" x14ac:dyDescent="0.25">
      <c r="A1819" s="11">
        <v>101060402</v>
      </c>
      <c r="B1819" s="11" t="s">
        <v>44</v>
      </c>
      <c r="C1819" s="41">
        <v>44910</v>
      </c>
      <c r="D1819" s="41">
        <v>44910</v>
      </c>
      <c r="E1819" s="11" t="s">
        <v>42</v>
      </c>
      <c r="F1819" s="11" t="s">
        <v>3519</v>
      </c>
      <c r="G1819" s="11">
        <v>110311</v>
      </c>
      <c r="H1819" s="11" t="s">
        <v>47</v>
      </c>
      <c r="J1819" s="11" t="s">
        <v>240</v>
      </c>
      <c r="K1819" s="11">
        <v>51010102</v>
      </c>
      <c r="L1819" s="11" t="s">
        <v>194</v>
      </c>
      <c r="M1819" s="11"/>
      <c r="N1819" s="11">
        <v>18.600000000000001</v>
      </c>
      <c r="O1819" s="42">
        <v>-18.600000000000001</v>
      </c>
      <c r="P1819" s="43" t="s">
        <v>4489</v>
      </c>
      <c r="Q1819" s="11">
        <v>838800.66</v>
      </c>
      <c r="R1819" s="11" t="s">
        <v>3520</v>
      </c>
      <c r="S1819" s="11" t="s">
        <v>106</v>
      </c>
      <c r="T1819" s="11">
        <v>0</v>
      </c>
      <c r="V1819" s="11" t="s">
        <v>241</v>
      </c>
    </row>
    <row r="1820" spans="1:22" x14ac:dyDescent="0.25">
      <c r="A1820" s="11">
        <v>101060402</v>
      </c>
      <c r="B1820" s="11" t="s">
        <v>44</v>
      </c>
      <c r="C1820" s="41">
        <v>44911</v>
      </c>
      <c r="D1820" s="41">
        <v>44911</v>
      </c>
      <c r="E1820" s="11" t="s">
        <v>42</v>
      </c>
      <c r="F1820" s="11" t="s">
        <v>2472</v>
      </c>
      <c r="G1820" s="11">
        <v>110342</v>
      </c>
      <c r="H1820" s="11" t="s">
        <v>215</v>
      </c>
      <c r="J1820" s="11" t="s">
        <v>240</v>
      </c>
      <c r="K1820" s="11" t="s">
        <v>216</v>
      </c>
      <c r="L1820" s="11" t="s">
        <v>217</v>
      </c>
      <c r="M1820" s="11">
        <v>436.11</v>
      </c>
      <c r="N1820" s="11"/>
      <c r="O1820" s="42">
        <v>436.11</v>
      </c>
      <c r="P1820" s="43" t="s">
        <v>4488</v>
      </c>
      <c r="Q1820" s="11">
        <v>839236.77</v>
      </c>
      <c r="R1820" s="11" t="s">
        <v>3521</v>
      </c>
      <c r="S1820" s="11" t="s">
        <v>69</v>
      </c>
      <c r="T1820" s="11">
        <v>0</v>
      </c>
      <c r="V1820" s="11" t="s">
        <v>241</v>
      </c>
    </row>
    <row r="1821" spans="1:22" x14ac:dyDescent="0.25">
      <c r="A1821" s="11">
        <v>101060402</v>
      </c>
      <c r="B1821" s="11" t="s">
        <v>44</v>
      </c>
      <c r="C1821" s="41">
        <v>44911</v>
      </c>
      <c r="D1821" s="41">
        <v>44911</v>
      </c>
      <c r="E1821" s="11" t="s">
        <v>42</v>
      </c>
      <c r="F1821" s="11" t="s">
        <v>3522</v>
      </c>
      <c r="G1821" s="11">
        <v>110348</v>
      </c>
      <c r="H1821" s="11" t="s">
        <v>162</v>
      </c>
      <c r="J1821" s="11" t="s">
        <v>240</v>
      </c>
      <c r="K1821" s="11">
        <v>51010102</v>
      </c>
      <c r="L1821" s="11" t="s">
        <v>194</v>
      </c>
      <c r="M1821" s="11"/>
      <c r="N1821" s="11">
        <v>142.25</v>
      </c>
      <c r="O1821" s="42">
        <v>-142.25</v>
      </c>
      <c r="P1821" s="43" t="s">
        <v>4489</v>
      </c>
      <c r="Q1821" s="11">
        <v>839094.52</v>
      </c>
      <c r="R1821" s="11" t="s">
        <v>3523</v>
      </c>
      <c r="S1821" s="11" t="s">
        <v>106</v>
      </c>
      <c r="T1821" s="11">
        <v>0</v>
      </c>
      <c r="V1821" s="11" t="s">
        <v>241</v>
      </c>
    </row>
    <row r="1822" spans="1:22" x14ac:dyDescent="0.25">
      <c r="A1822" s="11">
        <v>101060402</v>
      </c>
      <c r="B1822" s="11" t="s">
        <v>44</v>
      </c>
      <c r="C1822" s="41">
        <v>44911</v>
      </c>
      <c r="D1822" s="41">
        <v>44911</v>
      </c>
      <c r="E1822" s="11" t="s">
        <v>42</v>
      </c>
      <c r="F1822" s="11" t="s">
        <v>3522</v>
      </c>
      <c r="G1822" s="11">
        <v>110348</v>
      </c>
      <c r="H1822" s="11" t="s">
        <v>162</v>
      </c>
      <c r="J1822" s="11" t="s">
        <v>240</v>
      </c>
      <c r="K1822" s="11">
        <v>51010102</v>
      </c>
      <c r="L1822" s="11" t="s">
        <v>194</v>
      </c>
      <c r="M1822" s="11"/>
      <c r="N1822" s="11">
        <v>109.56</v>
      </c>
      <c r="O1822" s="42">
        <v>-109.56</v>
      </c>
      <c r="P1822" s="43" t="s">
        <v>4489</v>
      </c>
      <c r="Q1822" s="11">
        <v>838984.96</v>
      </c>
      <c r="R1822" s="11" t="s">
        <v>3524</v>
      </c>
      <c r="S1822" s="11" t="s">
        <v>106</v>
      </c>
      <c r="T1822" s="11">
        <v>0</v>
      </c>
      <c r="V1822" s="11" t="s">
        <v>241</v>
      </c>
    </row>
    <row r="1823" spans="1:22" x14ac:dyDescent="0.25">
      <c r="A1823" s="11">
        <v>101060402</v>
      </c>
      <c r="B1823" s="11" t="s">
        <v>44</v>
      </c>
      <c r="C1823" s="41">
        <v>44911</v>
      </c>
      <c r="D1823" s="41">
        <v>44911</v>
      </c>
      <c r="E1823" s="11" t="s">
        <v>42</v>
      </c>
      <c r="F1823" s="11" t="s">
        <v>3525</v>
      </c>
      <c r="G1823" s="11">
        <v>110349</v>
      </c>
      <c r="H1823" s="11" t="s">
        <v>162</v>
      </c>
      <c r="J1823" s="11" t="s">
        <v>240</v>
      </c>
      <c r="K1823" s="11">
        <v>51010102</v>
      </c>
      <c r="L1823" s="11" t="s">
        <v>194</v>
      </c>
      <c r="M1823" s="11"/>
      <c r="N1823" s="11">
        <v>51.26</v>
      </c>
      <c r="O1823" s="42">
        <v>-51.26</v>
      </c>
      <c r="P1823" s="43" t="s">
        <v>4489</v>
      </c>
      <c r="Q1823" s="11">
        <v>838933.7</v>
      </c>
      <c r="R1823" s="11" t="s">
        <v>3526</v>
      </c>
      <c r="S1823" s="11" t="s">
        <v>106</v>
      </c>
      <c r="T1823" s="11">
        <v>0</v>
      </c>
      <c r="V1823" s="11" t="s">
        <v>241</v>
      </c>
    </row>
    <row r="1824" spans="1:22" x14ac:dyDescent="0.25">
      <c r="A1824" s="11">
        <v>101060402</v>
      </c>
      <c r="B1824" s="11" t="s">
        <v>44</v>
      </c>
      <c r="C1824" s="41">
        <v>44911</v>
      </c>
      <c r="D1824" s="41">
        <v>44911</v>
      </c>
      <c r="E1824" s="11" t="s">
        <v>42</v>
      </c>
      <c r="F1824" s="11" t="s">
        <v>3525</v>
      </c>
      <c r="G1824" s="11">
        <v>110349</v>
      </c>
      <c r="H1824" s="11" t="s">
        <v>162</v>
      </c>
      <c r="J1824" s="11" t="s">
        <v>240</v>
      </c>
      <c r="K1824" s="11">
        <v>51010102</v>
      </c>
      <c r="L1824" s="11" t="s">
        <v>194</v>
      </c>
      <c r="M1824" s="11"/>
      <c r="N1824" s="11">
        <v>71.52</v>
      </c>
      <c r="O1824" s="42">
        <v>-71.52</v>
      </c>
      <c r="P1824" s="43" t="s">
        <v>4489</v>
      </c>
      <c r="Q1824" s="11">
        <v>838862.18</v>
      </c>
      <c r="R1824" s="11" t="s">
        <v>343</v>
      </c>
      <c r="S1824" s="11" t="s">
        <v>106</v>
      </c>
      <c r="T1824" s="11">
        <v>0</v>
      </c>
      <c r="V1824" s="11" t="s">
        <v>241</v>
      </c>
    </row>
    <row r="1825" spans="1:22" x14ac:dyDescent="0.25">
      <c r="A1825" s="11">
        <v>101060402</v>
      </c>
      <c r="B1825" s="11" t="s">
        <v>44</v>
      </c>
      <c r="C1825" s="41">
        <v>44911</v>
      </c>
      <c r="D1825" s="41">
        <v>44911</v>
      </c>
      <c r="E1825" s="11" t="s">
        <v>42</v>
      </c>
      <c r="F1825" s="11" t="s">
        <v>2481</v>
      </c>
      <c r="G1825" s="11">
        <v>110356</v>
      </c>
      <c r="H1825" s="11" t="s">
        <v>66</v>
      </c>
      <c r="J1825" s="11" t="s">
        <v>240</v>
      </c>
      <c r="K1825" s="11">
        <v>51010102</v>
      </c>
      <c r="L1825" s="11" t="s">
        <v>194</v>
      </c>
      <c r="M1825" s="11"/>
      <c r="N1825" s="11">
        <v>436.11</v>
      </c>
      <c r="O1825" s="42">
        <v>-436.11</v>
      </c>
      <c r="P1825" s="43" t="s">
        <v>4489</v>
      </c>
      <c r="Q1825" s="11">
        <v>838426.07</v>
      </c>
      <c r="R1825" s="11" t="s">
        <v>3468</v>
      </c>
      <c r="S1825" s="11" t="s">
        <v>40</v>
      </c>
      <c r="T1825" s="11">
        <v>0</v>
      </c>
      <c r="V1825" s="11" t="s">
        <v>241</v>
      </c>
    </row>
    <row r="1826" spans="1:22" x14ac:dyDescent="0.25">
      <c r="A1826" s="11">
        <v>101060402</v>
      </c>
      <c r="B1826" s="11" t="s">
        <v>44</v>
      </c>
      <c r="C1826" s="41">
        <v>44911</v>
      </c>
      <c r="D1826" s="41">
        <v>44911</v>
      </c>
      <c r="E1826" s="11" t="s">
        <v>42</v>
      </c>
      <c r="F1826" s="11" t="s">
        <v>3527</v>
      </c>
      <c r="G1826" s="11">
        <v>110358</v>
      </c>
      <c r="H1826" s="11" t="s">
        <v>76</v>
      </c>
      <c r="J1826" s="11" t="s">
        <v>240</v>
      </c>
      <c r="K1826" s="11">
        <v>51010102</v>
      </c>
      <c r="L1826" s="11" t="s">
        <v>194</v>
      </c>
      <c r="M1826" s="11"/>
      <c r="N1826" s="11">
        <v>915.46</v>
      </c>
      <c r="O1826" s="42">
        <v>-915.46</v>
      </c>
      <c r="P1826" s="43" t="s">
        <v>4489</v>
      </c>
      <c r="Q1826" s="11">
        <v>837510.61</v>
      </c>
      <c r="R1826" s="11" t="s">
        <v>3528</v>
      </c>
      <c r="S1826" s="11" t="s">
        <v>106</v>
      </c>
      <c r="T1826" s="11">
        <v>0</v>
      </c>
      <c r="V1826" s="11" t="s">
        <v>241</v>
      </c>
    </row>
    <row r="1827" spans="1:22" x14ac:dyDescent="0.25">
      <c r="A1827" s="11">
        <v>101060402</v>
      </c>
      <c r="B1827" s="11" t="s">
        <v>44</v>
      </c>
      <c r="C1827" s="41">
        <v>44911</v>
      </c>
      <c r="D1827" s="41">
        <v>44911</v>
      </c>
      <c r="E1827" s="11" t="s">
        <v>42</v>
      </c>
      <c r="F1827" s="11" t="s">
        <v>2484</v>
      </c>
      <c r="G1827" s="11">
        <v>110360</v>
      </c>
      <c r="H1827" s="11" t="s">
        <v>215</v>
      </c>
      <c r="J1827" s="11" t="s">
        <v>240</v>
      </c>
      <c r="K1827" s="11" t="s">
        <v>216</v>
      </c>
      <c r="L1827" s="11" t="s">
        <v>217</v>
      </c>
      <c r="M1827" s="11">
        <v>436.11</v>
      </c>
      <c r="N1827" s="11"/>
      <c r="O1827" s="42">
        <v>436.11</v>
      </c>
      <c r="P1827" s="43" t="s">
        <v>4488</v>
      </c>
      <c r="Q1827" s="11">
        <v>837946.72</v>
      </c>
      <c r="R1827" s="11" t="s">
        <v>3521</v>
      </c>
      <c r="S1827" s="11" t="s">
        <v>69</v>
      </c>
      <c r="T1827" s="11">
        <v>0</v>
      </c>
      <c r="V1827" s="11" t="s">
        <v>241</v>
      </c>
    </row>
    <row r="1828" spans="1:22" x14ac:dyDescent="0.25">
      <c r="A1828" s="11">
        <v>101060402</v>
      </c>
      <c r="B1828" s="11" t="s">
        <v>44</v>
      </c>
      <c r="C1828" s="41">
        <v>44911</v>
      </c>
      <c r="D1828" s="41">
        <v>44911</v>
      </c>
      <c r="E1828" s="11" t="s">
        <v>42</v>
      </c>
      <c r="F1828" s="11" t="s">
        <v>2500</v>
      </c>
      <c r="G1828" s="11">
        <v>110367</v>
      </c>
      <c r="H1828" s="11" t="s">
        <v>57</v>
      </c>
      <c r="K1828" s="11">
        <v>101060401</v>
      </c>
      <c r="L1828" s="11" t="s">
        <v>34</v>
      </c>
      <c r="M1828" s="11">
        <v>544.51</v>
      </c>
      <c r="N1828" s="11"/>
      <c r="O1828" s="42">
        <v>544.51</v>
      </c>
      <c r="P1828" s="43" t="s">
        <v>4481</v>
      </c>
      <c r="Q1828" s="11">
        <v>838491.23</v>
      </c>
      <c r="R1828" s="11" t="s">
        <v>2499</v>
      </c>
      <c r="S1828" s="11" t="s">
        <v>40</v>
      </c>
      <c r="T1828" s="11">
        <v>0</v>
      </c>
    </row>
    <row r="1829" spans="1:22" x14ac:dyDescent="0.25">
      <c r="A1829" s="11">
        <v>101060402</v>
      </c>
      <c r="B1829" s="11" t="s">
        <v>44</v>
      </c>
      <c r="C1829" s="41">
        <v>44911</v>
      </c>
      <c r="D1829" s="41">
        <v>44911</v>
      </c>
      <c r="E1829" s="11" t="s">
        <v>42</v>
      </c>
      <c r="F1829" s="11" t="s">
        <v>3529</v>
      </c>
      <c r="G1829" s="11">
        <v>110368</v>
      </c>
      <c r="H1829" s="11" t="s">
        <v>1912</v>
      </c>
      <c r="J1829" s="11" t="s">
        <v>240</v>
      </c>
      <c r="K1829" s="11">
        <v>51010102</v>
      </c>
      <c r="L1829" s="11" t="s">
        <v>194</v>
      </c>
      <c r="M1829" s="11"/>
      <c r="N1829" s="11">
        <v>405.66</v>
      </c>
      <c r="O1829" s="42">
        <v>-405.66</v>
      </c>
      <c r="P1829" s="43" t="s">
        <v>4489</v>
      </c>
      <c r="Q1829" s="11">
        <v>838085.57</v>
      </c>
      <c r="R1829" s="11" t="s">
        <v>3530</v>
      </c>
      <c r="S1829" s="11" t="s">
        <v>106</v>
      </c>
      <c r="T1829" s="11">
        <v>0</v>
      </c>
      <c r="V1829" s="11" t="s">
        <v>241</v>
      </c>
    </row>
    <row r="1830" spans="1:22" x14ac:dyDescent="0.25">
      <c r="A1830" s="11">
        <v>101060402</v>
      </c>
      <c r="B1830" s="11" t="s">
        <v>44</v>
      </c>
      <c r="C1830" s="41">
        <v>44911</v>
      </c>
      <c r="D1830" s="41">
        <v>44911</v>
      </c>
      <c r="E1830" s="11" t="s">
        <v>42</v>
      </c>
      <c r="F1830" s="11" t="s">
        <v>2502</v>
      </c>
      <c r="G1830" s="11">
        <v>110369</v>
      </c>
      <c r="H1830" s="11" t="s">
        <v>66</v>
      </c>
      <c r="J1830" s="11" t="s">
        <v>240</v>
      </c>
      <c r="K1830" s="11">
        <v>51010102</v>
      </c>
      <c r="L1830" s="11" t="s">
        <v>194</v>
      </c>
      <c r="M1830" s="11"/>
      <c r="N1830" s="11">
        <v>436.11</v>
      </c>
      <c r="O1830" s="42">
        <v>-436.11</v>
      </c>
      <c r="P1830" s="43" t="s">
        <v>4489</v>
      </c>
      <c r="Q1830" s="11">
        <v>837649.46</v>
      </c>
      <c r="R1830" s="11" t="s">
        <v>3468</v>
      </c>
      <c r="S1830" s="11" t="s">
        <v>40</v>
      </c>
      <c r="T1830" s="11">
        <v>0</v>
      </c>
      <c r="V1830" s="11" t="s">
        <v>241</v>
      </c>
    </row>
    <row r="1831" spans="1:22" x14ac:dyDescent="0.25">
      <c r="A1831" s="11">
        <v>101060402</v>
      </c>
      <c r="B1831" s="11" t="s">
        <v>44</v>
      </c>
      <c r="C1831" s="41">
        <v>44911</v>
      </c>
      <c r="D1831" s="41">
        <v>44911</v>
      </c>
      <c r="E1831" s="11" t="s">
        <v>42</v>
      </c>
      <c r="F1831" s="11" t="s">
        <v>3531</v>
      </c>
      <c r="G1831" s="11">
        <v>110371</v>
      </c>
      <c r="H1831" s="11" t="s">
        <v>1912</v>
      </c>
      <c r="J1831" s="11" t="s">
        <v>240</v>
      </c>
      <c r="K1831" s="11">
        <v>51010102</v>
      </c>
      <c r="L1831" s="11" t="s">
        <v>194</v>
      </c>
      <c r="M1831" s="11"/>
      <c r="N1831" s="11">
        <v>544.51</v>
      </c>
      <c r="O1831" s="42">
        <v>-544.51</v>
      </c>
      <c r="P1831" s="43" t="s">
        <v>4489</v>
      </c>
      <c r="Q1831" s="11">
        <v>837104.95</v>
      </c>
      <c r="R1831" s="11" t="s">
        <v>2501</v>
      </c>
      <c r="S1831" s="11" t="s">
        <v>40</v>
      </c>
      <c r="T1831" s="11">
        <v>0</v>
      </c>
      <c r="V1831" s="11" t="s">
        <v>241</v>
      </c>
    </row>
    <row r="1832" spans="1:22" x14ac:dyDescent="0.25">
      <c r="A1832" s="11">
        <v>101060402</v>
      </c>
      <c r="B1832" s="11" t="s">
        <v>44</v>
      </c>
      <c r="C1832" s="41">
        <v>44914</v>
      </c>
      <c r="D1832" s="41">
        <v>44914</v>
      </c>
      <c r="E1832" s="11" t="s">
        <v>42</v>
      </c>
      <c r="F1832" s="11" t="s">
        <v>2515</v>
      </c>
      <c r="G1832" s="11">
        <v>110394</v>
      </c>
      <c r="H1832" s="11" t="s">
        <v>57</v>
      </c>
      <c r="K1832" s="11">
        <v>101060401</v>
      </c>
      <c r="L1832" s="11" t="s">
        <v>34</v>
      </c>
      <c r="M1832" s="11">
        <v>1349.19</v>
      </c>
      <c r="N1832" s="11"/>
      <c r="O1832" s="42">
        <v>1349.19</v>
      </c>
      <c r="P1832" s="43" t="s">
        <v>4481</v>
      </c>
      <c r="Q1832" s="11">
        <v>838454.14</v>
      </c>
      <c r="R1832" s="11" t="s">
        <v>2514</v>
      </c>
      <c r="S1832" s="11" t="s">
        <v>40</v>
      </c>
      <c r="T1832" s="11">
        <v>0</v>
      </c>
    </row>
    <row r="1833" spans="1:22" x14ac:dyDescent="0.25">
      <c r="A1833" s="11">
        <v>101060402</v>
      </c>
      <c r="B1833" s="11" t="s">
        <v>44</v>
      </c>
      <c r="C1833" s="41">
        <v>44914</v>
      </c>
      <c r="D1833" s="41">
        <v>44914</v>
      </c>
      <c r="E1833" s="11" t="s">
        <v>42</v>
      </c>
      <c r="F1833" s="11" t="s">
        <v>3532</v>
      </c>
      <c r="G1833" s="11">
        <v>110395</v>
      </c>
      <c r="H1833" s="11" t="s">
        <v>1810</v>
      </c>
      <c r="J1833" s="11" t="s">
        <v>240</v>
      </c>
      <c r="K1833" s="11">
        <v>51010102</v>
      </c>
      <c r="L1833" s="11" t="s">
        <v>194</v>
      </c>
      <c r="M1833" s="11"/>
      <c r="N1833" s="11">
        <v>1349.19</v>
      </c>
      <c r="O1833" s="42">
        <v>-1349.19</v>
      </c>
      <c r="P1833" s="43" t="s">
        <v>4489</v>
      </c>
      <c r="Q1833" s="11">
        <v>837104.95</v>
      </c>
      <c r="R1833" s="11" t="s">
        <v>2516</v>
      </c>
      <c r="S1833" s="11" t="s">
        <v>106</v>
      </c>
      <c r="T1833" s="11">
        <v>0</v>
      </c>
      <c r="V1833" s="11" t="s">
        <v>241</v>
      </c>
    </row>
    <row r="1834" spans="1:22" x14ac:dyDescent="0.25">
      <c r="A1834" s="11">
        <v>101060402</v>
      </c>
      <c r="B1834" s="11" t="s">
        <v>44</v>
      </c>
      <c r="C1834" s="41">
        <v>44914</v>
      </c>
      <c r="D1834" s="41">
        <v>44914</v>
      </c>
      <c r="E1834" s="11" t="s">
        <v>42</v>
      </c>
      <c r="F1834" s="11" t="s">
        <v>3533</v>
      </c>
      <c r="G1834" s="11">
        <v>110404</v>
      </c>
      <c r="H1834" s="11" t="s">
        <v>2881</v>
      </c>
      <c r="J1834" s="11" t="s">
        <v>240</v>
      </c>
      <c r="K1834" s="11">
        <v>51010102</v>
      </c>
      <c r="L1834" s="11" t="s">
        <v>194</v>
      </c>
      <c r="M1834" s="11"/>
      <c r="N1834" s="11">
        <v>17334.810000000001</v>
      </c>
      <c r="O1834" s="42">
        <v>-17334.810000000001</v>
      </c>
      <c r="P1834" s="43" t="s">
        <v>4489</v>
      </c>
      <c r="Q1834" s="11">
        <v>819770.14</v>
      </c>
      <c r="R1834" s="11" t="s">
        <v>3534</v>
      </c>
      <c r="S1834" s="11" t="s">
        <v>106</v>
      </c>
      <c r="T1834" s="11">
        <v>0</v>
      </c>
      <c r="V1834" s="11" t="s">
        <v>241</v>
      </c>
    </row>
    <row r="1835" spans="1:22" x14ac:dyDescent="0.25">
      <c r="A1835" s="11">
        <v>101060402</v>
      </c>
      <c r="B1835" s="11" t="s">
        <v>44</v>
      </c>
      <c r="C1835" s="41">
        <v>44914</v>
      </c>
      <c r="D1835" s="41">
        <v>44914</v>
      </c>
      <c r="E1835" s="11" t="s">
        <v>42</v>
      </c>
      <c r="F1835" s="11" t="s">
        <v>2532</v>
      </c>
      <c r="G1835" s="11">
        <v>110406</v>
      </c>
      <c r="H1835" s="11" t="s">
        <v>57</v>
      </c>
      <c r="K1835" s="11">
        <v>101060401</v>
      </c>
      <c r="L1835" s="11" t="s">
        <v>34</v>
      </c>
      <c r="M1835" s="11">
        <v>534.59</v>
      </c>
      <c r="N1835" s="11"/>
      <c r="O1835" s="42">
        <v>534.59</v>
      </c>
      <c r="P1835" s="43" t="s">
        <v>4481</v>
      </c>
      <c r="Q1835" s="11">
        <v>820304.73</v>
      </c>
      <c r="R1835" s="11" t="s">
        <v>3535</v>
      </c>
      <c r="S1835" s="11" t="s">
        <v>40</v>
      </c>
      <c r="T1835" s="11">
        <v>0</v>
      </c>
    </row>
    <row r="1836" spans="1:22" x14ac:dyDescent="0.25">
      <c r="A1836" s="11">
        <v>101060402</v>
      </c>
      <c r="B1836" s="11" t="s">
        <v>44</v>
      </c>
      <c r="C1836" s="41">
        <v>44914</v>
      </c>
      <c r="D1836" s="41">
        <v>44914</v>
      </c>
      <c r="E1836" s="11" t="s">
        <v>42</v>
      </c>
      <c r="F1836" s="11" t="s">
        <v>3536</v>
      </c>
      <c r="G1836" s="11">
        <v>110414</v>
      </c>
      <c r="H1836" s="11" t="s">
        <v>165</v>
      </c>
      <c r="J1836" s="11" t="s">
        <v>240</v>
      </c>
      <c r="K1836" s="11">
        <v>51010102</v>
      </c>
      <c r="L1836" s="11" t="s">
        <v>194</v>
      </c>
      <c r="M1836" s="11"/>
      <c r="N1836" s="11">
        <v>3190.34</v>
      </c>
      <c r="O1836" s="42">
        <v>-3190.34</v>
      </c>
      <c r="P1836" s="43" t="s">
        <v>4489</v>
      </c>
      <c r="Q1836" s="11">
        <v>817114.39</v>
      </c>
      <c r="R1836" s="11" t="s">
        <v>3537</v>
      </c>
      <c r="S1836" s="11" t="s">
        <v>106</v>
      </c>
      <c r="T1836" s="11">
        <v>0</v>
      </c>
      <c r="V1836" s="11" t="s">
        <v>241</v>
      </c>
    </row>
    <row r="1837" spans="1:22" x14ac:dyDescent="0.25">
      <c r="A1837" s="11">
        <v>101060402</v>
      </c>
      <c r="B1837" s="11" t="s">
        <v>44</v>
      </c>
      <c r="C1837" s="41">
        <v>44915</v>
      </c>
      <c r="D1837" s="41">
        <v>44915</v>
      </c>
      <c r="E1837" s="11" t="s">
        <v>42</v>
      </c>
      <c r="F1837" s="11" t="s">
        <v>2556</v>
      </c>
      <c r="G1837" s="11">
        <v>110434</v>
      </c>
      <c r="H1837" s="11" t="s">
        <v>141</v>
      </c>
      <c r="J1837" s="11" t="s">
        <v>240</v>
      </c>
      <c r="K1837" s="11">
        <v>51010102</v>
      </c>
      <c r="L1837" s="11" t="s">
        <v>194</v>
      </c>
      <c r="M1837" s="11"/>
      <c r="N1837" s="11">
        <v>124</v>
      </c>
      <c r="O1837" s="42">
        <v>-124</v>
      </c>
      <c r="P1837" s="43" t="s">
        <v>4489</v>
      </c>
      <c r="Q1837" s="11">
        <v>816990.39</v>
      </c>
      <c r="R1837" s="11" t="s">
        <v>3538</v>
      </c>
      <c r="S1837" s="11" t="s">
        <v>40</v>
      </c>
      <c r="T1837" s="11">
        <v>0</v>
      </c>
      <c r="V1837" s="11" t="s">
        <v>241</v>
      </c>
    </row>
    <row r="1838" spans="1:22" x14ac:dyDescent="0.25">
      <c r="A1838" s="11">
        <v>101060402</v>
      </c>
      <c r="B1838" s="11" t="s">
        <v>44</v>
      </c>
      <c r="C1838" s="41">
        <v>44915</v>
      </c>
      <c r="D1838" s="41">
        <v>44915</v>
      </c>
      <c r="E1838" s="11" t="s">
        <v>42</v>
      </c>
      <c r="F1838" s="11" t="s">
        <v>3539</v>
      </c>
      <c r="G1838" s="11">
        <v>110436</v>
      </c>
      <c r="H1838" s="11" t="s">
        <v>141</v>
      </c>
      <c r="J1838" s="11" t="s">
        <v>240</v>
      </c>
      <c r="K1838" s="11">
        <v>51010102</v>
      </c>
      <c r="L1838" s="11" t="s">
        <v>194</v>
      </c>
      <c r="M1838" s="11"/>
      <c r="N1838" s="11">
        <v>100.62</v>
      </c>
      <c r="O1838" s="42">
        <v>-100.62</v>
      </c>
      <c r="P1838" s="43" t="s">
        <v>4489</v>
      </c>
      <c r="Q1838" s="11">
        <v>816889.77</v>
      </c>
      <c r="R1838" s="11" t="s">
        <v>3540</v>
      </c>
      <c r="S1838" s="11" t="s">
        <v>40</v>
      </c>
      <c r="T1838" s="11">
        <v>0</v>
      </c>
      <c r="V1838" s="11" t="s">
        <v>241</v>
      </c>
    </row>
    <row r="1839" spans="1:22" x14ac:dyDescent="0.25">
      <c r="A1839" s="11">
        <v>101060402</v>
      </c>
      <c r="B1839" s="11" t="s">
        <v>44</v>
      </c>
      <c r="C1839" s="41">
        <v>44915</v>
      </c>
      <c r="D1839" s="41">
        <v>44915</v>
      </c>
      <c r="E1839" s="11" t="s">
        <v>42</v>
      </c>
      <c r="F1839" s="11" t="s">
        <v>2567</v>
      </c>
      <c r="G1839" s="11">
        <v>110444</v>
      </c>
      <c r="H1839" s="11" t="s">
        <v>57</v>
      </c>
      <c r="K1839" s="11">
        <v>101060401</v>
      </c>
      <c r="L1839" s="11" t="s">
        <v>34</v>
      </c>
      <c r="M1839" s="11">
        <v>89047.07</v>
      </c>
      <c r="N1839" s="11"/>
      <c r="O1839" s="42">
        <v>89047.07</v>
      </c>
      <c r="P1839" s="43" t="s">
        <v>4481</v>
      </c>
      <c r="Q1839" s="11">
        <v>905936.84</v>
      </c>
      <c r="R1839" s="11" t="s">
        <v>3541</v>
      </c>
      <c r="S1839" s="11" t="s">
        <v>40</v>
      </c>
      <c r="T1839" s="11">
        <v>0</v>
      </c>
    </row>
    <row r="1840" spans="1:22" x14ac:dyDescent="0.25">
      <c r="A1840" s="11">
        <v>101060402</v>
      </c>
      <c r="B1840" s="11" t="s">
        <v>44</v>
      </c>
      <c r="C1840" s="41">
        <v>44915</v>
      </c>
      <c r="D1840" s="41">
        <v>44915</v>
      </c>
      <c r="E1840" s="11" t="s">
        <v>42</v>
      </c>
      <c r="F1840" s="11" t="s">
        <v>2569</v>
      </c>
      <c r="G1840" s="11">
        <v>110446</v>
      </c>
      <c r="H1840" s="11" t="s">
        <v>43</v>
      </c>
      <c r="K1840" s="11">
        <v>101060401</v>
      </c>
      <c r="L1840" s="11" t="s">
        <v>34</v>
      </c>
      <c r="M1840" s="11"/>
      <c r="N1840" s="11">
        <v>88299.23</v>
      </c>
      <c r="O1840" s="42">
        <v>-88299.23</v>
      </c>
      <c r="P1840" s="43" t="s">
        <v>4481</v>
      </c>
      <c r="Q1840" s="11">
        <v>817637.61</v>
      </c>
      <c r="R1840" s="11" t="s">
        <v>3542</v>
      </c>
      <c r="S1840" s="11" t="s">
        <v>40</v>
      </c>
      <c r="T1840" s="11">
        <v>0</v>
      </c>
    </row>
    <row r="1841" spans="1:22" x14ac:dyDescent="0.25">
      <c r="A1841" s="11">
        <v>101060402</v>
      </c>
      <c r="B1841" s="11" t="s">
        <v>44</v>
      </c>
      <c r="C1841" s="41">
        <v>44915</v>
      </c>
      <c r="D1841" s="41">
        <v>44915</v>
      </c>
      <c r="E1841" s="11" t="s">
        <v>42</v>
      </c>
      <c r="F1841" s="11" t="s">
        <v>2579</v>
      </c>
      <c r="G1841" s="11">
        <v>110455</v>
      </c>
      <c r="H1841" s="11" t="s">
        <v>57</v>
      </c>
      <c r="K1841" s="11">
        <v>101060401</v>
      </c>
      <c r="L1841" s="11" t="s">
        <v>34</v>
      </c>
      <c r="M1841" s="11">
        <v>42044.34</v>
      </c>
      <c r="N1841" s="11"/>
      <c r="O1841" s="42">
        <v>42044.34</v>
      </c>
      <c r="P1841" s="43" t="s">
        <v>4481</v>
      </c>
      <c r="Q1841" s="11">
        <v>859681.95</v>
      </c>
      <c r="R1841" s="11" t="s">
        <v>3543</v>
      </c>
      <c r="S1841" s="11" t="s">
        <v>40</v>
      </c>
      <c r="T1841" s="11">
        <v>0</v>
      </c>
    </row>
    <row r="1842" spans="1:22" x14ac:dyDescent="0.25">
      <c r="A1842" s="11">
        <v>101060402</v>
      </c>
      <c r="B1842" s="11" t="s">
        <v>44</v>
      </c>
      <c r="C1842" s="41">
        <v>44915</v>
      </c>
      <c r="D1842" s="41">
        <v>44915</v>
      </c>
      <c r="E1842" s="11" t="s">
        <v>42</v>
      </c>
      <c r="F1842" s="11" t="s">
        <v>2581</v>
      </c>
      <c r="G1842" s="11">
        <v>110471</v>
      </c>
      <c r="H1842" s="11" t="s">
        <v>57</v>
      </c>
      <c r="K1842" s="11">
        <v>101060401</v>
      </c>
      <c r="L1842" s="11" t="s">
        <v>34</v>
      </c>
      <c r="M1842" s="11"/>
      <c r="N1842" s="11">
        <v>99.6</v>
      </c>
      <c r="O1842" s="42">
        <v>-99.6</v>
      </c>
      <c r="P1842" s="43" t="s">
        <v>4481</v>
      </c>
      <c r="Q1842" s="11">
        <v>859582.35</v>
      </c>
      <c r="R1842" s="11" t="s">
        <v>951</v>
      </c>
      <c r="S1842" s="11" t="s">
        <v>106</v>
      </c>
      <c r="T1842" s="11">
        <v>0</v>
      </c>
    </row>
    <row r="1843" spans="1:22" x14ac:dyDescent="0.25">
      <c r="A1843" s="11">
        <v>101060402</v>
      </c>
      <c r="B1843" s="11" t="s">
        <v>44</v>
      </c>
      <c r="C1843" s="41">
        <v>44915</v>
      </c>
      <c r="D1843" s="41">
        <v>44915</v>
      </c>
      <c r="E1843" s="11" t="s">
        <v>42</v>
      </c>
      <c r="F1843" s="11" t="s">
        <v>3544</v>
      </c>
      <c r="G1843" s="11">
        <v>110482</v>
      </c>
      <c r="H1843" s="11" t="s">
        <v>47</v>
      </c>
      <c r="J1843" s="11" t="s">
        <v>240</v>
      </c>
      <c r="K1843" s="11">
        <v>51010102</v>
      </c>
      <c r="L1843" s="11" t="s">
        <v>194</v>
      </c>
      <c r="M1843" s="11"/>
      <c r="N1843" s="11">
        <v>4616.22</v>
      </c>
      <c r="O1843" s="42">
        <v>-4616.22</v>
      </c>
      <c r="P1843" s="43" t="s">
        <v>4489</v>
      </c>
      <c r="Q1843" s="11">
        <v>854966.13</v>
      </c>
      <c r="R1843" s="11" t="s">
        <v>3545</v>
      </c>
      <c r="S1843" s="11" t="s">
        <v>106</v>
      </c>
      <c r="T1843" s="11">
        <v>0</v>
      </c>
      <c r="V1843" s="11" t="s">
        <v>241</v>
      </c>
    </row>
    <row r="1844" spans="1:22" x14ac:dyDescent="0.25">
      <c r="A1844" s="11">
        <v>101060402</v>
      </c>
      <c r="B1844" s="11" t="s">
        <v>44</v>
      </c>
      <c r="C1844" s="41">
        <v>44915</v>
      </c>
      <c r="D1844" s="41">
        <v>44915</v>
      </c>
      <c r="E1844" s="11" t="s">
        <v>42</v>
      </c>
      <c r="F1844" s="11" t="s">
        <v>2605</v>
      </c>
      <c r="G1844" s="11">
        <v>110500</v>
      </c>
      <c r="H1844" s="11" t="s">
        <v>57</v>
      </c>
      <c r="K1844" s="11">
        <v>101060401</v>
      </c>
      <c r="L1844" s="11" t="s">
        <v>34</v>
      </c>
      <c r="M1844" s="11"/>
      <c r="N1844" s="11">
        <v>35.18</v>
      </c>
      <c r="O1844" s="42">
        <v>-35.18</v>
      </c>
      <c r="P1844" s="43" t="s">
        <v>4481</v>
      </c>
      <c r="Q1844" s="11">
        <v>854930.95</v>
      </c>
      <c r="R1844" s="11" t="s">
        <v>3546</v>
      </c>
      <c r="S1844" s="11" t="s">
        <v>106</v>
      </c>
      <c r="T1844" s="11">
        <v>0</v>
      </c>
    </row>
    <row r="1845" spans="1:22" x14ac:dyDescent="0.25">
      <c r="A1845" s="11">
        <v>101060402</v>
      </c>
      <c r="B1845" s="11" t="s">
        <v>44</v>
      </c>
      <c r="C1845" s="41">
        <v>44915</v>
      </c>
      <c r="D1845" s="41">
        <v>44915</v>
      </c>
      <c r="E1845" s="11" t="s">
        <v>42</v>
      </c>
      <c r="F1845" s="11" t="s">
        <v>3547</v>
      </c>
      <c r="G1845" s="11">
        <v>110513</v>
      </c>
      <c r="H1845" s="11" t="s">
        <v>162</v>
      </c>
      <c r="J1845" s="11" t="s">
        <v>240</v>
      </c>
      <c r="K1845" s="11">
        <v>51010102</v>
      </c>
      <c r="L1845" s="11" t="s">
        <v>194</v>
      </c>
      <c r="M1845" s="11"/>
      <c r="N1845" s="11">
        <v>1249.1500000000001</v>
      </c>
      <c r="O1845" s="42">
        <v>-1249.1500000000001</v>
      </c>
      <c r="P1845" s="43" t="s">
        <v>4489</v>
      </c>
      <c r="Q1845" s="11">
        <v>853681.8</v>
      </c>
      <c r="R1845" s="11" t="s">
        <v>3548</v>
      </c>
      <c r="S1845" s="11" t="s">
        <v>106</v>
      </c>
      <c r="T1845" s="11">
        <v>0</v>
      </c>
      <c r="V1845" s="11" t="s">
        <v>241</v>
      </c>
    </row>
    <row r="1846" spans="1:22" x14ac:dyDescent="0.25">
      <c r="A1846" s="11">
        <v>101060402</v>
      </c>
      <c r="B1846" s="11" t="s">
        <v>44</v>
      </c>
      <c r="C1846" s="41">
        <v>44915</v>
      </c>
      <c r="D1846" s="41">
        <v>44915</v>
      </c>
      <c r="E1846" s="11" t="s">
        <v>42</v>
      </c>
      <c r="F1846" s="11" t="s">
        <v>3547</v>
      </c>
      <c r="G1846" s="11">
        <v>110513</v>
      </c>
      <c r="H1846" s="11" t="s">
        <v>162</v>
      </c>
      <c r="J1846" s="11" t="s">
        <v>240</v>
      </c>
      <c r="K1846" s="11">
        <v>51010102</v>
      </c>
      <c r="L1846" s="11" t="s">
        <v>194</v>
      </c>
      <c r="M1846" s="11"/>
      <c r="N1846" s="11">
        <v>67.8</v>
      </c>
      <c r="O1846" s="42">
        <v>-67.8</v>
      </c>
      <c r="P1846" s="43" t="s">
        <v>4489</v>
      </c>
      <c r="Q1846" s="11">
        <v>853614</v>
      </c>
      <c r="R1846" s="11" t="s">
        <v>3549</v>
      </c>
      <c r="S1846" s="11" t="s">
        <v>106</v>
      </c>
      <c r="T1846" s="11">
        <v>0</v>
      </c>
      <c r="V1846" s="11" t="s">
        <v>241</v>
      </c>
    </row>
    <row r="1847" spans="1:22" x14ac:dyDescent="0.25">
      <c r="A1847" s="11">
        <v>101060402</v>
      </c>
      <c r="B1847" s="11" t="s">
        <v>44</v>
      </c>
      <c r="C1847" s="41">
        <v>44915</v>
      </c>
      <c r="D1847" s="41">
        <v>44915</v>
      </c>
      <c r="E1847" s="11" t="s">
        <v>42</v>
      </c>
      <c r="F1847" s="11" t="s">
        <v>3550</v>
      </c>
      <c r="G1847" s="11">
        <v>110515</v>
      </c>
      <c r="H1847" s="11" t="s">
        <v>47</v>
      </c>
      <c r="J1847" s="11" t="s">
        <v>240</v>
      </c>
      <c r="K1847" s="11">
        <v>51010102</v>
      </c>
      <c r="L1847" s="11" t="s">
        <v>194</v>
      </c>
      <c r="M1847" s="11"/>
      <c r="N1847" s="11">
        <v>5327.33</v>
      </c>
      <c r="O1847" s="42">
        <v>-5327.33</v>
      </c>
      <c r="P1847" s="43" t="s">
        <v>4489</v>
      </c>
      <c r="Q1847" s="11">
        <v>848286.67</v>
      </c>
      <c r="R1847" s="11" t="s">
        <v>3551</v>
      </c>
      <c r="S1847" s="11" t="s">
        <v>106</v>
      </c>
      <c r="T1847" s="11">
        <v>0</v>
      </c>
      <c r="V1847" s="11" t="s">
        <v>241</v>
      </c>
    </row>
    <row r="1848" spans="1:22" x14ac:dyDescent="0.25">
      <c r="A1848" s="11">
        <v>101060402</v>
      </c>
      <c r="B1848" s="11" t="s">
        <v>44</v>
      </c>
      <c r="C1848" s="41">
        <v>44916</v>
      </c>
      <c r="D1848" s="41">
        <v>44916</v>
      </c>
      <c r="E1848" s="11" t="s">
        <v>42</v>
      </c>
      <c r="F1848" s="11" t="s">
        <v>2620</v>
      </c>
      <c r="G1848" s="11">
        <v>110520</v>
      </c>
      <c r="H1848" s="11" t="s">
        <v>57</v>
      </c>
      <c r="K1848" s="11">
        <v>101060401</v>
      </c>
      <c r="L1848" s="11" t="s">
        <v>34</v>
      </c>
      <c r="M1848" s="11"/>
      <c r="N1848" s="11">
        <v>75.680000000000007</v>
      </c>
      <c r="O1848" s="42">
        <v>-75.680000000000007</v>
      </c>
      <c r="P1848" s="43" t="s">
        <v>4481</v>
      </c>
      <c r="Q1848" s="11">
        <v>848210.99</v>
      </c>
      <c r="R1848" s="11" t="s">
        <v>2551</v>
      </c>
      <c r="S1848" s="11" t="s">
        <v>40</v>
      </c>
      <c r="T1848" s="11">
        <v>0</v>
      </c>
    </row>
    <row r="1849" spans="1:22" x14ac:dyDescent="0.25">
      <c r="A1849" s="11">
        <v>101060402</v>
      </c>
      <c r="B1849" s="11" t="s">
        <v>44</v>
      </c>
      <c r="C1849" s="41">
        <v>44916</v>
      </c>
      <c r="D1849" s="41">
        <v>44916</v>
      </c>
      <c r="E1849" s="11" t="s">
        <v>42</v>
      </c>
      <c r="F1849" s="11" t="s">
        <v>3552</v>
      </c>
      <c r="G1849" s="11">
        <v>110530</v>
      </c>
      <c r="H1849" s="11" t="s">
        <v>1912</v>
      </c>
      <c r="J1849" s="11" t="s">
        <v>240</v>
      </c>
      <c r="K1849" s="11">
        <v>51010102</v>
      </c>
      <c r="L1849" s="11" t="s">
        <v>194</v>
      </c>
      <c r="M1849" s="11"/>
      <c r="N1849" s="11">
        <v>386.71</v>
      </c>
      <c r="O1849" s="42">
        <v>-386.71</v>
      </c>
      <c r="P1849" s="43" t="s">
        <v>4489</v>
      </c>
      <c r="Q1849" s="11">
        <v>847824.28</v>
      </c>
      <c r="R1849" s="11" t="s">
        <v>3553</v>
      </c>
      <c r="S1849" s="11" t="s">
        <v>106</v>
      </c>
      <c r="T1849" s="11">
        <v>0</v>
      </c>
      <c r="V1849" s="11" t="s">
        <v>241</v>
      </c>
    </row>
    <row r="1850" spans="1:22" x14ac:dyDescent="0.25">
      <c r="A1850" s="11">
        <v>101060402</v>
      </c>
      <c r="B1850" s="11" t="s">
        <v>44</v>
      </c>
      <c r="C1850" s="41">
        <v>44916</v>
      </c>
      <c r="D1850" s="41">
        <v>44916</v>
      </c>
      <c r="E1850" s="11" t="s">
        <v>42</v>
      </c>
      <c r="F1850" s="11" t="s">
        <v>3554</v>
      </c>
      <c r="G1850" s="11">
        <v>110538</v>
      </c>
      <c r="H1850" s="11" t="s">
        <v>2876</v>
      </c>
      <c r="J1850" s="11" t="s">
        <v>240</v>
      </c>
      <c r="K1850" s="11">
        <v>51010102</v>
      </c>
      <c r="L1850" s="11" t="s">
        <v>194</v>
      </c>
      <c r="M1850" s="11"/>
      <c r="N1850" s="11">
        <v>1324.01</v>
      </c>
      <c r="O1850" s="42">
        <v>-1324.01</v>
      </c>
      <c r="P1850" s="43" t="s">
        <v>4489</v>
      </c>
      <c r="Q1850" s="11">
        <v>846500.27</v>
      </c>
      <c r="R1850" s="11" t="s">
        <v>3555</v>
      </c>
      <c r="S1850" s="11" t="s">
        <v>106</v>
      </c>
      <c r="T1850" s="11">
        <v>0</v>
      </c>
      <c r="V1850" s="11" t="s">
        <v>241</v>
      </c>
    </row>
    <row r="1851" spans="1:22" x14ac:dyDescent="0.25">
      <c r="A1851" s="11">
        <v>101060402</v>
      </c>
      <c r="B1851" s="11" t="s">
        <v>44</v>
      </c>
      <c r="C1851" s="41">
        <v>44916</v>
      </c>
      <c r="D1851" s="41">
        <v>44916</v>
      </c>
      <c r="E1851" s="11" t="s">
        <v>42</v>
      </c>
      <c r="F1851" s="11" t="s">
        <v>3556</v>
      </c>
      <c r="G1851" s="11">
        <v>110552</v>
      </c>
      <c r="H1851" s="11" t="s">
        <v>47</v>
      </c>
      <c r="J1851" s="11" t="s">
        <v>240</v>
      </c>
      <c r="K1851" s="11">
        <v>51010102</v>
      </c>
      <c r="L1851" s="11" t="s">
        <v>194</v>
      </c>
      <c r="M1851" s="11"/>
      <c r="N1851" s="11">
        <v>233.6</v>
      </c>
      <c r="O1851" s="42">
        <v>-233.6</v>
      </c>
      <c r="P1851" s="43" t="s">
        <v>4489</v>
      </c>
      <c r="Q1851" s="11">
        <v>846266.67</v>
      </c>
      <c r="R1851" s="11" t="s">
        <v>3557</v>
      </c>
      <c r="S1851" s="11" t="s">
        <v>106</v>
      </c>
      <c r="T1851" s="11">
        <v>0</v>
      </c>
      <c r="V1851" s="11" t="s">
        <v>241</v>
      </c>
    </row>
    <row r="1852" spans="1:22" x14ac:dyDescent="0.25">
      <c r="A1852" s="11">
        <v>101060402</v>
      </c>
      <c r="B1852" s="11" t="s">
        <v>44</v>
      </c>
      <c r="C1852" s="41">
        <v>44916</v>
      </c>
      <c r="D1852" s="41">
        <v>44916</v>
      </c>
      <c r="E1852" s="11" t="s">
        <v>42</v>
      </c>
      <c r="F1852" s="11" t="s">
        <v>3558</v>
      </c>
      <c r="G1852" s="11">
        <v>110576</v>
      </c>
      <c r="H1852" s="11" t="s">
        <v>47</v>
      </c>
      <c r="J1852" s="11" t="s">
        <v>240</v>
      </c>
      <c r="K1852" s="11">
        <v>51010102</v>
      </c>
      <c r="L1852" s="11" t="s">
        <v>194</v>
      </c>
      <c r="M1852" s="11"/>
      <c r="N1852" s="11">
        <v>1317.37</v>
      </c>
      <c r="O1852" s="42">
        <v>-1317.37</v>
      </c>
      <c r="P1852" s="43" t="s">
        <v>4489</v>
      </c>
      <c r="Q1852" s="11">
        <v>844949.3</v>
      </c>
      <c r="R1852" s="11" t="s">
        <v>3559</v>
      </c>
      <c r="S1852" s="11" t="s">
        <v>106</v>
      </c>
      <c r="T1852" s="11">
        <v>0</v>
      </c>
      <c r="V1852" s="11" t="s">
        <v>241</v>
      </c>
    </row>
    <row r="1853" spans="1:22" x14ac:dyDescent="0.25">
      <c r="A1853" s="11">
        <v>101060402</v>
      </c>
      <c r="B1853" s="11" t="s">
        <v>44</v>
      </c>
      <c r="C1853" s="41">
        <v>44916</v>
      </c>
      <c r="D1853" s="41">
        <v>44916</v>
      </c>
      <c r="E1853" s="11" t="s">
        <v>42</v>
      </c>
      <c r="F1853" s="11" t="s">
        <v>2663</v>
      </c>
      <c r="G1853" s="11">
        <v>110580</v>
      </c>
      <c r="H1853" s="11" t="s">
        <v>57</v>
      </c>
      <c r="K1853" s="11">
        <v>101060401</v>
      </c>
      <c r="L1853" s="11" t="s">
        <v>34</v>
      </c>
      <c r="M1853" s="11"/>
      <c r="N1853" s="11">
        <v>63.83</v>
      </c>
      <c r="O1853" s="42">
        <v>-63.83</v>
      </c>
      <c r="P1853" s="43" t="s">
        <v>4481</v>
      </c>
      <c r="Q1853" s="11">
        <v>844885.47</v>
      </c>
      <c r="R1853" s="11" t="s">
        <v>3560</v>
      </c>
      <c r="S1853" s="11" t="s">
        <v>106</v>
      </c>
      <c r="T1853" s="11">
        <v>0</v>
      </c>
    </row>
    <row r="1854" spans="1:22" x14ac:dyDescent="0.25">
      <c r="A1854" s="11">
        <v>101060402</v>
      </c>
      <c r="B1854" s="11" t="s">
        <v>44</v>
      </c>
      <c r="C1854" s="41">
        <v>44916</v>
      </c>
      <c r="D1854" s="41">
        <v>44916</v>
      </c>
      <c r="E1854" s="11" t="s">
        <v>42</v>
      </c>
      <c r="F1854" s="11" t="s">
        <v>2680</v>
      </c>
      <c r="G1854" s="11">
        <v>110591</v>
      </c>
      <c r="H1854" s="11" t="s">
        <v>57</v>
      </c>
      <c r="K1854" s="11">
        <v>101060401</v>
      </c>
      <c r="L1854" s="11" t="s">
        <v>34</v>
      </c>
      <c r="M1854" s="11">
        <v>20266.14</v>
      </c>
      <c r="N1854" s="11"/>
      <c r="O1854" s="42">
        <v>20266.14</v>
      </c>
      <c r="P1854" s="43" t="s">
        <v>4481</v>
      </c>
      <c r="Q1854" s="11">
        <v>865151.61</v>
      </c>
      <c r="R1854" s="11" t="s">
        <v>3561</v>
      </c>
      <c r="S1854" s="11" t="s">
        <v>40</v>
      </c>
      <c r="T1854" s="11">
        <v>0</v>
      </c>
    </row>
    <row r="1855" spans="1:22" x14ac:dyDescent="0.25">
      <c r="A1855" s="11">
        <v>101060402</v>
      </c>
      <c r="B1855" s="11" t="s">
        <v>44</v>
      </c>
      <c r="C1855" s="41">
        <v>44916</v>
      </c>
      <c r="D1855" s="41">
        <v>44916</v>
      </c>
      <c r="E1855" s="11" t="s">
        <v>42</v>
      </c>
      <c r="F1855" s="11" t="s">
        <v>2682</v>
      </c>
      <c r="G1855" s="11">
        <v>110592</v>
      </c>
      <c r="H1855" s="11" t="s">
        <v>43</v>
      </c>
      <c r="K1855" s="11">
        <v>101060401</v>
      </c>
      <c r="L1855" s="11" t="s">
        <v>34</v>
      </c>
      <c r="M1855" s="11"/>
      <c r="N1855" s="11">
        <v>20249.89</v>
      </c>
      <c r="O1855" s="42">
        <v>-20249.89</v>
      </c>
      <c r="P1855" s="43" t="s">
        <v>4481</v>
      </c>
      <c r="Q1855" s="11">
        <v>844901.72</v>
      </c>
      <c r="R1855" s="11" t="s">
        <v>3562</v>
      </c>
      <c r="S1855" s="11" t="s">
        <v>40</v>
      </c>
      <c r="T1855" s="11">
        <v>0</v>
      </c>
    </row>
    <row r="1856" spans="1:22" x14ac:dyDescent="0.25">
      <c r="A1856" s="11">
        <v>101060402</v>
      </c>
      <c r="B1856" s="11" t="s">
        <v>44</v>
      </c>
      <c r="C1856" s="41">
        <v>44917</v>
      </c>
      <c r="D1856" s="41">
        <v>44917</v>
      </c>
      <c r="E1856" s="11" t="s">
        <v>42</v>
      </c>
      <c r="F1856" s="11" t="s">
        <v>3563</v>
      </c>
      <c r="G1856" s="11">
        <v>110601</v>
      </c>
      <c r="H1856" s="11" t="s">
        <v>47</v>
      </c>
      <c r="J1856" s="11" t="s">
        <v>240</v>
      </c>
      <c r="K1856" s="11">
        <v>51010102</v>
      </c>
      <c r="L1856" s="11" t="s">
        <v>194</v>
      </c>
      <c r="M1856" s="11"/>
      <c r="N1856" s="11">
        <v>33.020000000000003</v>
      </c>
      <c r="O1856" s="42">
        <v>-33.020000000000003</v>
      </c>
      <c r="P1856" s="43" t="s">
        <v>4489</v>
      </c>
      <c r="Q1856" s="11">
        <v>844868.7</v>
      </c>
      <c r="R1856" s="11" t="s">
        <v>126</v>
      </c>
      <c r="S1856" s="11" t="s">
        <v>106</v>
      </c>
      <c r="T1856" s="11">
        <v>0</v>
      </c>
      <c r="V1856" s="11" t="s">
        <v>241</v>
      </c>
    </row>
    <row r="1857" spans="1:22" x14ac:dyDescent="0.25">
      <c r="A1857" s="11">
        <v>101060402</v>
      </c>
      <c r="B1857" s="11" t="s">
        <v>44</v>
      </c>
      <c r="C1857" s="41">
        <v>44917</v>
      </c>
      <c r="D1857" s="41">
        <v>44917</v>
      </c>
      <c r="E1857" s="11" t="s">
        <v>42</v>
      </c>
      <c r="F1857" s="11" t="s">
        <v>3564</v>
      </c>
      <c r="G1857" s="11">
        <v>110602</v>
      </c>
      <c r="H1857" s="11" t="s">
        <v>47</v>
      </c>
      <c r="J1857" s="11" t="s">
        <v>240</v>
      </c>
      <c r="K1857" s="11">
        <v>51010102</v>
      </c>
      <c r="L1857" s="11" t="s">
        <v>194</v>
      </c>
      <c r="M1857" s="11"/>
      <c r="N1857" s="11">
        <v>9.77</v>
      </c>
      <c r="O1857" s="42">
        <v>-9.77</v>
      </c>
      <c r="P1857" s="43" t="s">
        <v>4489</v>
      </c>
      <c r="Q1857" s="11">
        <v>844858.93</v>
      </c>
      <c r="R1857" s="11" t="s">
        <v>110</v>
      </c>
      <c r="S1857" s="11" t="s">
        <v>106</v>
      </c>
      <c r="T1857" s="11">
        <v>0</v>
      </c>
      <c r="V1857" s="11" t="s">
        <v>241</v>
      </c>
    </row>
    <row r="1858" spans="1:22" x14ac:dyDescent="0.25">
      <c r="A1858" s="11">
        <v>101060402</v>
      </c>
      <c r="B1858" s="11" t="s">
        <v>44</v>
      </c>
      <c r="C1858" s="41">
        <v>44917</v>
      </c>
      <c r="D1858" s="41">
        <v>44917</v>
      </c>
      <c r="E1858" s="11" t="s">
        <v>42</v>
      </c>
      <c r="F1858" s="11" t="s">
        <v>3565</v>
      </c>
      <c r="G1858" s="11">
        <v>110604</v>
      </c>
      <c r="H1858" s="11" t="s">
        <v>47</v>
      </c>
      <c r="J1858" s="11" t="s">
        <v>240</v>
      </c>
      <c r="K1858" s="11">
        <v>51010102</v>
      </c>
      <c r="L1858" s="11" t="s">
        <v>194</v>
      </c>
      <c r="M1858" s="11"/>
      <c r="N1858" s="11">
        <v>301.13</v>
      </c>
      <c r="O1858" s="42">
        <v>-301.13</v>
      </c>
      <c r="P1858" s="43" t="s">
        <v>4489</v>
      </c>
      <c r="Q1858" s="11">
        <v>844557.8</v>
      </c>
      <c r="R1858" s="11" t="s">
        <v>3566</v>
      </c>
      <c r="S1858" s="11" t="s">
        <v>106</v>
      </c>
      <c r="T1858" s="11">
        <v>0</v>
      </c>
      <c r="V1858" s="11" t="s">
        <v>241</v>
      </c>
    </row>
    <row r="1859" spans="1:22" x14ac:dyDescent="0.25">
      <c r="A1859" s="11">
        <v>101060402</v>
      </c>
      <c r="B1859" s="11" t="s">
        <v>44</v>
      </c>
      <c r="C1859" s="41">
        <v>44917</v>
      </c>
      <c r="D1859" s="41">
        <v>44917</v>
      </c>
      <c r="E1859" s="11" t="s">
        <v>42</v>
      </c>
      <c r="F1859" s="11" t="s">
        <v>2690</v>
      </c>
      <c r="G1859" s="11">
        <v>110607</v>
      </c>
      <c r="H1859" s="11" t="s">
        <v>57</v>
      </c>
      <c r="K1859" s="11">
        <v>101060401</v>
      </c>
      <c r="L1859" s="11" t="s">
        <v>34</v>
      </c>
      <c r="M1859" s="11">
        <v>34550.120000000003</v>
      </c>
      <c r="N1859" s="11"/>
      <c r="O1859" s="42">
        <v>34550.120000000003</v>
      </c>
      <c r="P1859" s="43" t="s">
        <v>4481</v>
      </c>
      <c r="Q1859" s="11">
        <v>879107.92</v>
      </c>
      <c r="R1859" s="11" t="s">
        <v>2693</v>
      </c>
      <c r="S1859" s="11" t="s">
        <v>40</v>
      </c>
      <c r="T1859" s="11">
        <v>0</v>
      </c>
    </row>
    <row r="1860" spans="1:22" x14ac:dyDescent="0.25">
      <c r="A1860" s="11">
        <v>101060402</v>
      </c>
      <c r="B1860" s="11" t="s">
        <v>44</v>
      </c>
      <c r="C1860" s="41">
        <v>44917</v>
      </c>
      <c r="D1860" s="41">
        <v>44917</v>
      </c>
      <c r="E1860" s="11" t="s">
        <v>42</v>
      </c>
      <c r="F1860" s="11" t="s">
        <v>2692</v>
      </c>
      <c r="G1860" s="11">
        <v>110608</v>
      </c>
      <c r="H1860" s="11" t="s">
        <v>43</v>
      </c>
      <c r="K1860" s="11">
        <v>101060401</v>
      </c>
      <c r="L1860" s="11" t="s">
        <v>34</v>
      </c>
      <c r="M1860" s="11"/>
      <c r="N1860" s="11">
        <v>34550.120000000003</v>
      </c>
      <c r="O1860" s="42">
        <v>-34550.120000000003</v>
      </c>
      <c r="P1860" s="43" t="s">
        <v>4481</v>
      </c>
      <c r="Q1860" s="11">
        <v>844557.8</v>
      </c>
      <c r="R1860" s="11" t="s">
        <v>2691</v>
      </c>
      <c r="S1860" s="11" t="s">
        <v>40</v>
      </c>
      <c r="T1860" s="11">
        <v>0</v>
      </c>
    </row>
    <row r="1861" spans="1:22" x14ac:dyDescent="0.25">
      <c r="A1861" s="11">
        <v>101060402</v>
      </c>
      <c r="B1861" s="11" t="s">
        <v>44</v>
      </c>
      <c r="C1861" s="41">
        <v>44917</v>
      </c>
      <c r="D1861" s="41">
        <v>44917</v>
      </c>
      <c r="E1861" s="11" t="s">
        <v>42</v>
      </c>
      <c r="F1861" s="11" t="s">
        <v>2698</v>
      </c>
      <c r="G1861" s="11">
        <v>110618</v>
      </c>
      <c r="H1861" s="11" t="s">
        <v>57</v>
      </c>
      <c r="K1861" s="11">
        <v>101060401</v>
      </c>
      <c r="L1861" s="11" t="s">
        <v>34</v>
      </c>
      <c r="M1861" s="11">
        <v>9608.99</v>
      </c>
      <c r="N1861" s="11"/>
      <c r="O1861" s="42">
        <v>9608.99</v>
      </c>
      <c r="P1861" s="43" t="s">
        <v>4481</v>
      </c>
      <c r="Q1861" s="11">
        <v>854166.79</v>
      </c>
      <c r="R1861" s="11" t="s">
        <v>3567</v>
      </c>
      <c r="S1861" s="11" t="s">
        <v>40</v>
      </c>
      <c r="T1861" s="11">
        <v>0</v>
      </c>
    </row>
    <row r="1862" spans="1:22" x14ac:dyDescent="0.25">
      <c r="A1862" s="11">
        <v>101060402</v>
      </c>
      <c r="B1862" s="11" t="s">
        <v>44</v>
      </c>
      <c r="C1862" s="41">
        <v>44917</v>
      </c>
      <c r="D1862" s="41">
        <v>44917</v>
      </c>
      <c r="E1862" s="11" t="s">
        <v>42</v>
      </c>
      <c r="F1862" s="11" t="s">
        <v>3568</v>
      </c>
      <c r="G1862" s="11">
        <v>110654</v>
      </c>
      <c r="H1862" s="11" t="s">
        <v>76</v>
      </c>
      <c r="J1862" s="11" t="s">
        <v>240</v>
      </c>
      <c r="K1862" s="11">
        <v>51010102</v>
      </c>
      <c r="L1862" s="11" t="s">
        <v>194</v>
      </c>
      <c r="M1862" s="11"/>
      <c r="N1862" s="11">
        <v>936.09</v>
      </c>
      <c r="O1862" s="42">
        <v>-936.09</v>
      </c>
      <c r="P1862" s="43" t="s">
        <v>4489</v>
      </c>
      <c r="Q1862" s="11">
        <v>853230.7</v>
      </c>
      <c r="R1862" s="11" t="s">
        <v>3569</v>
      </c>
      <c r="S1862" s="11" t="s">
        <v>106</v>
      </c>
      <c r="T1862" s="11">
        <v>0</v>
      </c>
      <c r="V1862" s="11" t="s">
        <v>241</v>
      </c>
    </row>
    <row r="1863" spans="1:22" x14ac:dyDescent="0.25">
      <c r="A1863" s="11">
        <v>101060402</v>
      </c>
      <c r="B1863" s="11" t="s">
        <v>44</v>
      </c>
      <c r="C1863" s="41">
        <v>44922</v>
      </c>
      <c r="D1863" s="41">
        <v>44922</v>
      </c>
      <c r="E1863" s="11" t="s">
        <v>42</v>
      </c>
      <c r="F1863" s="11" t="s">
        <v>3570</v>
      </c>
      <c r="G1863" s="11">
        <v>110686</v>
      </c>
      <c r="H1863" s="11" t="s">
        <v>47</v>
      </c>
      <c r="J1863" s="11" t="s">
        <v>240</v>
      </c>
      <c r="K1863" s="11">
        <v>51010102</v>
      </c>
      <c r="L1863" s="11" t="s">
        <v>194</v>
      </c>
      <c r="M1863" s="11"/>
      <c r="N1863" s="11">
        <v>1271.92</v>
      </c>
      <c r="O1863" s="42">
        <v>-1271.92</v>
      </c>
      <c r="P1863" s="43" t="s">
        <v>4489</v>
      </c>
      <c r="Q1863" s="11">
        <v>851958.78</v>
      </c>
      <c r="R1863" s="11" t="s">
        <v>3571</v>
      </c>
      <c r="S1863" s="11" t="s">
        <v>106</v>
      </c>
      <c r="T1863" s="11">
        <v>0</v>
      </c>
      <c r="V1863" s="11" t="s">
        <v>241</v>
      </c>
    </row>
    <row r="1864" spans="1:22" x14ac:dyDescent="0.25">
      <c r="A1864" s="11">
        <v>101060402</v>
      </c>
      <c r="B1864" s="11" t="s">
        <v>44</v>
      </c>
      <c r="C1864" s="41">
        <v>44922</v>
      </c>
      <c r="D1864" s="41">
        <v>44922</v>
      </c>
      <c r="E1864" s="11" t="s">
        <v>42</v>
      </c>
      <c r="F1864" s="11" t="s">
        <v>3572</v>
      </c>
      <c r="G1864" s="11">
        <v>110689</v>
      </c>
      <c r="H1864" s="11" t="s">
        <v>47</v>
      </c>
      <c r="J1864" s="11" t="s">
        <v>240</v>
      </c>
      <c r="K1864" s="11">
        <v>51010102</v>
      </c>
      <c r="L1864" s="11" t="s">
        <v>194</v>
      </c>
      <c r="M1864" s="11"/>
      <c r="N1864" s="11">
        <v>158.84</v>
      </c>
      <c r="O1864" s="42">
        <v>-158.84</v>
      </c>
      <c r="P1864" s="43" t="s">
        <v>4489</v>
      </c>
      <c r="Q1864" s="11">
        <v>851799.94</v>
      </c>
      <c r="R1864" s="11" t="s">
        <v>3573</v>
      </c>
      <c r="S1864" s="11" t="s">
        <v>106</v>
      </c>
      <c r="T1864" s="11">
        <v>0</v>
      </c>
      <c r="V1864" s="11" t="s">
        <v>241</v>
      </c>
    </row>
    <row r="1865" spans="1:22" x14ac:dyDescent="0.25">
      <c r="A1865" s="11">
        <v>101060402</v>
      </c>
      <c r="B1865" s="11" t="s">
        <v>44</v>
      </c>
      <c r="C1865" s="41">
        <v>44922</v>
      </c>
      <c r="D1865" s="41">
        <v>44922</v>
      </c>
      <c r="E1865" s="11" t="s">
        <v>42</v>
      </c>
      <c r="F1865" s="11" t="s">
        <v>3574</v>
      </c>
      <c r="G1865" s="11">
        <v>110703</v>
      </c>
      <c r="H1865" s="11" t="s">
        <v>176</v>
      </c>
      <c r="J1865" s="11" t="s">
        <v>240</v>
      </c>
      <c r="K1865" s="11">
        <v>51010102</v>
      </c>
      <c r="L1865" s="11" t="s">
        <v>194</v>
      </c>
      <c r="M1865" s="11"/>
      <c r="N1865" s="11">
        <v>50.28</v>
      </c>
      <c r="O1865" s="42">
        <v>-50.28</v>
      </c>
      <c r="P1865" s="43" t="s">
        <v>4489</v>
      </c>
      <c r="Q1865" s="11">
        <v>851749.66</v>
      </c>
      <c r="R1865" s="11" t="s">
        <v>2886</v>
      </c>
      <c r="S1865" s="11" t="s">
        <v>106</v>
      </c>
      <c r="T1865" s="11">
        <v>0</v>
      </c>
      <c r="V1865" s="11" t="s">
        <v>241</v>
      </c>
    </row>
    <row r="1866" spans="1:22" x14ac:dyDescent="0.25">
      <c r="A1866" s="11">
        <v>101060402</v>
      </c>
      <c r="B1866" s="11" t="s">
        <v>44</v>
      </c>
      <c r="C1866" s="41">
        <v>44922</v>
      </c>
      <c r="D1866" s="41">
        <v>44922</v>
      </c>
      <c r="E1866" s="11" t="s">
        <v>42</v>
      </c>
      <c r="F1866" s="11" t="s">
        <v>3575</v>
      </c>
      <c r="G1866" s="11">
        <v>110729</v>
      </c>
      <c r="H1866" s="11" t="s">
        <v>2881</v>
      </c>
      <c r="J1866" s="11" t="s">
        <v>240</v>
      </c>
      <c r="K1866" s="11">
        <v>51010102</v>
      </c>
      <c r="L1866" s="11" t="s">
        <v>194</v>
      </c>
      <c r="M1866" s="11"/>
      <c r="N1866" s="11">
        <v>1682.66</v>
      </c>
      <c r="O1866" s="42">
        <v>-1682.66</v>
      </c>
      <c r="P1866" s="43" t="s">
        <v>4489</v>
      </c>
      <c r="Q1866" s="11">
        <v>850067</v>
      </c>
      <c r="R1866" s="11" t="s">
        <v>3576</v>
      </c>
      <c r="S1866" s="11" t="s">
        <v>106</v>
      </c>
      <c r="T1866" s="11">
        <v>0</v>
      </c>
      <c r="V1866" s="11" t="s">
        <v>241</v>
      </c>
    </row>
    <row r="1867" spans="1:22" x14ac:dyDescent="0.25">
      <c r="A1867" s="11">
        <v>101060402</v>
      </c>
      <c r="B1867" s="11" t="s">
        <v>44</v>
      </c>
      <c r="C1867" s="41">
        <v>44922</v>
      </c>
      <c r="D1867" s="41">
        <v>44922</v>
      </c>
      <c r="E1867" s="11" t="s">
        <v>42</v>
      </c>
      <c r="F1867" s="11" t="s">
        <v>2745</v>
      </c>
      <c r="G1867" s="11">
        <v>110736</v>
      </c>
      <c r="H1867" s="11" t="s">
        <v>57</v>
      </c>
      <c r="K1867" s="11">
        <v>101060401</v>
      </c>
      <c r="L1867" s="11" t="s">
        <v>34</v>
      </c>
      <c r="M1867" s="11">
        <v>31344.080000000002</v>
      </c>
      <c r="N1867" s="11"/>
      <c r="O1867" s="42">
        <v>31344.080000000002</v>
      </c>
      <c r="P1867" s="43" t="s">
        <v>4481</v>
      </c>
      <c r="Q1867" s="11">
        <v>881411.08</v>
      </c>
      <c r="R1867" s="11" t="s">
        <v>2748</v>
      </c>
      <c r="S1867" s="11" t="s">
        <v>40</v>
      </c>
      <c r="T1867" s="11">
        <v>0</v>
      </c>
    </row>
    <row r="1868" spans="1:22" x14ac:dyDescent="0.25">
      <c r="A1868" s="11">
        <v>101060402</v>
      </c>
      <c r="B1868" s="11" t="s">
        <v>44</v>
      </c>
      <c r="C1868" s="41">
        <v>44922</v>
      </c>
      <c r="D1868" s="41">
        <v>44922</v>
      </c>
      <c r="E1868" s="11" t="s">
        <v>42</v>
      </c>
      <c r="F1868" s="11" t="s">
        <v>2747</v>
      </c>
      <c r="G1868" s="11">
        <v>110737</v>
      </c>
      <c r="H1868" s="11" t="s">
        <v>43</v>
      </c>
      <c r="K1868" s="11">
        <v>101060401</v>
      </c>
      <c r="L1868" s="11" t="s">
        <v>34</v>
      </c>
      <c r="M1868" s="11"/>
      <c r="N1868" s="11">
        <v>31344.080000000002</v>
      </c>
      <c r="O1868" s="42">
        <v>-31344.080000000002</v>
      </c>
      <c r="P1868" s="43" t="s">
        <v>4481</v>
      </c>
      <c r="Q1868" s="11">
        <v>850067</v>
      </c>
      <c r="R1868" s="11" t="s">
        <v>2746</v>
      </c>
      <c r="S1868" s="11" t="s">
        <v>40</v>
      </c>
      <c r="T1868" s="11">
        <v>0</v>
      </c>
    </row>
    <row r="1869" spans="1:22" x14ac:dyDescent="0.25">
      <c r="A1869" s="11">
        <v>101060402</v>
      </c>
      <c r="B1869" s="11" t="s">
        <v>44</v>
      </c>
      <c r="C1869" s="41">
        <v>44922</v>
      </c>
      <c r="D1869" s="41">
        <v>44922</v>
      </c>
      <c r="E1869" s="11" t="s">
        <v>42</v>
      </c>
      <c r="F1869" s="11" t="s">
        <v>3577</v>
      </c>
      <c r="G1869" s="11">
        <v>110765</v>
      </c>
      <c r="H1869" s="11" t="s">
        <v>47</v>
      </c>
      <c r="J1869" s="11" t="s">
        <v>240</v>
      </c>
      <c r="K1869" s="11">
        <v>51010102</v>
      </c>
      <c r="L1869" s="11" t="s">
        <v>194</v>
      </c>
      <c r="M1869" s="11"/>
      <c r="N1869" s="11">
        <v>1068.02</v>
      </c>
      <c r="O1869" s="42">
        <v>-1068.02</v>
      </c>
      <c r="P1869" s="43" t="s">
        <v>4489</v>
      </c>
      <c r="Q1869" s="11">
        <v>848998.98</v>
      </c>
      <c r="R1869" s="11" t="s">
        <v>3578</v>
      </c>
      <c r="S1869" s="11" t="s">
        <v>106</v>
      </c>
      <c r="T1869" s="11">
        <v>0</v>
      </c>
      <c r="V1869" s="11" t="s">
        <v>241</v>
      </c>
    </row>
    <row r="1870" spans="1:22" x14ac:dyDescent="0.25">
      <c r="A1870" s="11">
        <v>101060402</v>
      </c>
      <c r="B1870" s="11" t="s">
        <v>44</v>
      </c>
      <c r="C1870" s="41">
        <v>44922</v>
      </c>
      <c r="D1870" s="41">
        <v>44922</v>
      </c>
      <c r="E1870" s="11" t="s">
        <v>42</v>
      </c>
      <c r="F1870" s="11" t="s">
        <v>2765</v>
      </c>
      <c r="G1870" s="11">
        <v>110784</v>
      </c>
      <c r="H1870" s="11" t="s">
        <v>57</v>
      </c>
      <c r="K1870" s="11">
        <v>101060401</v>
      </c>
      <c r="L1870" s="11" t="s">
        <v>34</v>
      </c>
      <c r="M1870" s="11">
        <v>87431.93</v>
      </c>
      <c r="N1870" s="11"/>
      <c r="O1870" s="42">
        <v>87431.93</v>
      </c>
      <c r="P1870" s="43" t="s">
        <v>4481</v>
      </c>
      <c r="Q1870" s="11">
        <v>936430.91</v>
      </c>
      <c r="R1870" s="11" t="s">
        <v>2764</v>
      </c>
      <c r="S1870" s="11" t="s">
        <v>40</v>
      </c>
      <c r="T1870" s="11">
        <v>0</v>
      </c>
    </row>
    <row r="1871" spans="1:22" x14ac:dyDescent="0.25">
      <c r="A1871" s="11">
        <v>101060402</v>
      </c>
      <c r="B1871" s="11" t="s">
        <v>44</v>
      </c>
      <c r="C1871" s="41">
        <v>44923</v>
      </c>
      <c r="D1871" s="41">
        <v>44923</v>
      </c>
      <c r="E1871" s="11" t="s">
        <v>42</v>
      </c>
      <c r="F1871" s="11" t="s">
        <v>3579</v>
      </c>
      <c r="G1871" s="11">
        <v>110793</v>
      </c>
      <c r="H1871" s="11" t="s">
        <v>47</v>
      </c>
      <c r="J1871" s="11" t="s">
        <v>240</v>
      </c>
      <c r="K1871" s="11">
        <v>51010102</v>
      </c>
      <c r="L1871" s="11" t="s">
        <v>194</v>
      </c>
      <c r="M1871" s="11"/>
      <c r="N1871" s="11">
        <v>56.15</v>
      </c>
      <c r="O1871" s="42">
        <v>-56.15</v>
      </c>
      <c r="P1871" s="43" t="s">
        <v>4489</v>
      </c>
      <c r="Q1871" s="11">
        <v>936374.76</v>
      </c>
      <c r="R1871" s="11" t="s">
        <v>3580</v>
      </c>
      <c r="S1871" s="11" t="s">
        <v>106</v>
      </c>
      <c r="T1871" s="11">
        <v>0</v>
      </c>
      <c r="V1871" s="11" t="s">
        <v>241</v>
      </c>
    </row>
    <row r="1872" spans="1:22" x14ac:dyDescent="0.25">
      <c r="A1872" s="11">
        <v>101060402</v>
      </c>
      <c r="B1872" s="11" t="s">
        <v>44</v>
      </c>
      <c r="C1872" s="41">
        <v>44923</v>
      </c>
      <c r="D1872" s="41">
        <v>44923</v>
      </c>
      <c r="E1872" s="11" t="s">
        <v>42</v>
      </c>
      <c r="F1872" s="11" t="s">
        <v>3581</v>
      </c>
      <c r="G1872" s="11">
        <v>110803</v>
      </c>
      <c r="H1872" s="11" t="s">
        <v>47</v>
      </c>
      <c r="J1872" s="11" t="s">
        <v>240</v>
      </c>
      <c r="K1872" s="11">
        <v>51010102</v>
      </c>
      <c r="L1872" s="11" t="s">
        <v>194</v>
      </c>
      <c r="M1872" s="11"/>
      <c r="N1872" s="11">
        <v>38.700000000000003</v>
      </c>
      <c r="O1872" s="42">
        <v>-38.700000000000003</v>
      </c>
      <c r="P1872" s="43" t="s">
        <v>4489</v>
      </c>
      <c r="Q1872" s="11">
        <v>936336.06</v>
      </c>
      <c r="R1872" s="11" t="s">
        <v>3582</v>
      </c>
      <c r="S1872" s="11" t="s">
        <v>106</v>
      </c>
      <c r="T1872" s="11">
        <v>0</v>
      </c>
      <c r="V1872" s="11" t="s">
        <v>241</v>
      </c>
    </row>
    <row r="1873" spans="1:22" x14ac:dyDescent="0.25">
      <c r="A1873" s="11">
        <v>101060402</v>
      </c>
      <c r="B1873" s="11" t="s">
        <v>44</v>
      </c>
      <c r="C1873" s="41">
        <v>44923</v>
      </c>
      <c r="D1873" s="41">
        <v>44923</v>
      </c>
      <c r="E1873" s="11" t="s">
        <v>42</v>
      </c>
      <c r="F1873" s="11" t="s">
        <v>2787</v>
      </c>
      <c r="G1873" s="11">
        <v>110805</v>
      </c>
      <c r="H1873" s="11" t="s">
        <v>57</v>
      </c>
      <c r="K1873" s="11">
        <v>101060401</v>
      </c>
      <c r="L1873" s="11" t="s">
        <v>34</v>
      </c>
      <c r="M1873" s="11">
        <v>6216.7</v>
      </c>
      <c r="N1873" s="11"/>
      <c r="O1873" s="42">
        <v>6216.7</v>
      </c>
      <c r="P1873" s="43" t="s">
        <v>4481</v>
      </c>
      <c r="Q1873" s="11">
        <v>942552.76</v>
      </c>
      <c r="R1873" s="11" t="s">
        <v>3583</v>
      </c>
      <c r="S1873" s="11" t="s">
        <v>40</v>
      </c>
      <c r="T1873" s="11">
        <v>0</v>
      </c>
    </row>
    <row r="1874" spans="1:22" x14ac:dyDescent="0.25">
      <c r="A1874" s="11">
        <v>101060402</v>
      </c>
      <c r="B1874" s="11" t="s">
        <v>44</v>
      </c>
      <c r="C1874" s="41">
        <v>44923</v>
      </c>
      <c r="D1874" s="41">
        <v>44923</v>
      </c>
      <c r="E1874" s="11" t="s">
        <v>42</v>
      </c>
      <c r="F1874" s="11" t="s">
        <v>3584</v>
      </c>
      <c r="G1874" s="11">
        <v>110807</v>
      </c>
      <c r="H1874" s="11" t="s">
        <v>158</v>
      </c>
      <c r="J1874" s="11" t="s">
        <v>240</v>
      </c>
      <c r="K1874" s="11">
        <v>51010102</v>
      </c>
      <c r="L1874" s="11" t="s">
        <v>194</v>
      </c>
      <c r="M1874" s="11"/>
      <c r="N1874" s="11">
        <v>2826.2</v>
      </c>
      <c r="O1874" s="42">
        <v>-2826.2</v>
      </c>
      <c r="P1874" s="43" t="s">
        <v>4489</v>
      </c>
      <c r="Q1874" s="11">
        <v>939726.56</v>
      </c>
      <c r="R1874" s="11" t="s">
        <v>3585</v>
      </c>
      <c r="S1874" s="11" t="s">
        <v>40</v>
      </c>
      <c r="T1874" s="11">
        <v>0</v>
      </c>
      <c r="V1874" s="11" t="s">
        <v>241</v>
      </c>
    </row>
    <row r="1875" spans="1:22" x14ac:dyDescent="0.25">
      <c r="A1875" s="11">
        <v>101060402</v>
      </c>
      <c r="B1875" s="11" t="s">
        <v>44</v>
      </c>
      <c r="C1875" s="41">
        <v>44923</v>
      </c>
      <c r="D1875" s="41">
        <v>44923</v>
      </c>
      <c r="E1875" s="11" t="s">
        <v>42</v>
      </c>
      <c r="F1875" s="11" t="s">
        <v>3586</v>
      </c>
      <c r="G1875" s="11">
        <v>110810</v>
      </c>
      <c r="H1875" s="11" t="s">
        <v>162</v>
      </c>
      <c r="J1875" s="11" t="s">
        <v>240</v>
      </c>
      <c r="K1875" s="11">
        <v>51010102</v>
      </c>
      <c r="L1875" s="11" t="s">
        <v>194</v>
      </c>
      <c r="M1875" s="11"/>
      <c r="N1875" s="11">
        <v>5702.51</v>
      </c>
      <c r="O1875" s="42">
        <v>-5702.51</v>
      </c>
      <c r="P1875" s="43" t="s">
        <v>4489</v>
      </c>
      <c r="Q1875" s="11">
        <v>934024.05</v>
      </c>
      <c r="R1875" s="11" t="s">
        <v>3587</v>
      </c>
      <c r="S1875" s="11" t="s">
        <v>106</v>
      </c>
      <c r="T1875" s="11">
        <v>0</v>
      </c>
      <c r="V1875" s="11" t="s">
        <v>241</v>
      </c>
    </row>
    <row r="1876" spans="1:22" x14ac:dyDescent="0.25">
      <c r="A1876" s="11">
        <v>101060402</v>
      </c>
      <c r="B1876" s="11" t="s">
        <v>44</v>
      </c>
      <c r="C1876" s="41">
        <v>44923</v>
      </c>
      <c r="D1876" s="41">
        <v>44923</v>
      </c>
      <c r="E1876" s="11" t="s">
        <v>42</v>
      </c>
      <c r="F1876" s="11" t="s">
        <v>3586</v>
      </c>
      <c r="G1876" s="11">
        <v>110810</v>
      </c>
      <c r="H1876" s="11" t="s">
        <v>162</v>
      </c>
      <c r="J1876" s="11" t="s">
        <v>240</v>
      </c>
      <c r="K1876" s="11">
        <v>51010102</v>
      </c>
      <c r="L1876" s="11" t="s">
        <v>194</v>
      </c>
      <c r="M1876" s="11"/>
      <c r="N1876" s="11">
        <v>3353.28</v>
      </c>
      <c r="O1876" s="42">
        <v>-3353.28</v>
      </c>
      <c r="P1876" s="43" t="s">
        <v>4489</v>
      </c>
      <c r="Q1876" s="11">
        <v>930670.77</v>
      </c>
      <c r="R1876" s="11" t="s">
        <v>3588</v>
      </c>
      <c r="S1876" s="11" t="s">
        <v>106</v>
      </c>
      <c r="T1876" s="11">
        <v>0</v>
      </c>
      <c r="V1876" s="11" t="s">
        <v>241</v>
      </c>
    </row>
    <row r="1877" spans="1:22" x14ac:dyDescent="0.25">
      <c r="A1877" s="11">
        <v>101060402</v>
      </c>
      <c r="B1877" s="11" t="s">
        <v>44</v>
      </c>
      <c r="C1877" s="41">
        <v>44923</v>
      </c>
      <c r="D1877" s="41">
        <v>44923</v>
      </c>
      <c r="E1877" s="11" t="s">
        <v>42</v>
      </c>
      <c r="F1877" s="11" t="s">
        <v>2793</v>
      </c>
      <c r="G1877" s="11">
        <v>110838</v>
      </c>
      <c r="H1877" s="11" t="s">
        <v>57</v>
      </c>
      <c r="K1877" s="11">
        <v>101060401</v>
      </c>
      <c r="L1877" s="11" t="s">
        <v>34</v>
      </c>
      <c r="M1877" s="11"/>
      <c r="N1877" s="11">
        <v>223.47</v>
      </c>
      <c r="O1877" s="42">
        <v>-223.47</v>
      </c>
      <c r="P1877" s="43" t="s">
        <v>4481</v>
      </c>
      <c r="Q1877" s="11">
        <v>930447.3</v>
      </c>
      <c r="R1877" s="11" t="s">
        <v>2834</v>
      </c>
      <c r="S1877" s="11" t="s">
        <v>106</v>
      </c>
      <c r="T1877" s="11">
        <v>0</v>
      </c>
    </row>
    <row r="1878" spans="1:22" x14ac:dyDescent="0.25">
      <c r="A1878" s="11">
        <v>101060402</v>
      </c>
      <c r="B1878" s="11" t="s">
        <v>44</v>
      </c>
      <c r="C1878" s="41">
        <v>44923</v>
      </c>
      <c r="D1878" s="41">
        <v>44923</v>
      </c>
      <c r="E1878" s="11" t="s">
        <v>42</v>
      </c>
      <c r="F1878" s="11" t="s">
        <v>3589</v>
      </c>
      <c r="G1878" s="11">
        <v>110852</v>
      </c>
      <c r="H1878" s="11" t="s">
        <v>163</v>
      </c>
      <c r="J1878" s="11" t="s">
        <v>240</v>
      </c>
      <c r="K1878" s="11">
        <v>51010102</v>
      </c>
      <c r="L1878" s="11" t="s">
        <v>194</v>
      </c>
      <c r="M1878" s="11">
        <v>5702.51</v>
      </c>
      <c r="N1878" s="11"/>
      <c r="O1878" s="42">
        <v>5702.51</v>
      </c>
      <c r="P1878" s="43" t="s">
        <v>4489</v>
      </c>
      <c r="Q1878" s="11">
        <v>936149.81</v>
      </c>
      <c r="R1878" s="11" t="s">
        <v>3590</v>
      </c>
      <c r="S1878" s="11" t="s">
        <v>106</v>
      </c>
      <c r="T1878" s="11">
        <v>0</v>
      </c>
      <c r="V1878" s="11" t="s">
        <v>241</v>
      </c>
    </row>
    <row r="1879" spans="1:22" x14ac:dyDescent="0.25">
      <c r="A1879" s="11">
        <v>101060402</v>
      </c>
      <c r="B1879" s="11" t="s">
        <v>44</v>
      </c>
      <c r="C1879" s="41">
        <v>44923</v>
      </c>
      <c r="D1879" s="41">
        <v>44923</v>
      </c>
      <c r="E1879" s="11" t="s">
        <v>42</v>
      </c>
      <c r="F1879" s="11" t="s">
        <v>3589</v>
      </c>
      <c r="G1879" s="11">
        <v>110852</v>
      </c>
      <c r="H1879" s="11" t="s">
        <v>163</v>
      </c>
      <c r="J1879" s="11" t="s">
        <v>240</v>
      </c>
      <c r="K1879" s="11">
        <v>51010102</v>
      </c>
      <c r="L1879" s="11" t="s">
        <v>194</v>
      </c>
      <c r="M1879" s="11">
        <v>3353.28</v>
      </c>
      <c r="N1879" s="11"/>
      <c r="O1879" s="42">
        <v>3353.28</v>
      </c>
      <c r="P1879" s="43" t="s">
        <v>4489</v>
      </c>
      <c r="Q1879" s="11">
        <v>939503.09</v>
      </c>
      <c r="R1879" s="11" t="s">
        <v>3591</v>
      </c>
      <c r="S1879" s="11" t="s">
        <v>106</v>
      </c>
      <c r="T1879" s="11">
        <v>0</v>
      </c>
      <c r="V1879" s="11" t="s">
        <v>241</v>
      </c>
    </row>
    <row r="1880" spans="1:22" x14ac:dyDescent="0.25">
      <c r="A1880" s="11">
        <v>101060402</v>
      </c>
      <c r="B1880" s="11" t="s">
        <v>44</v>
      </c>
      <c r="C1880" s="41">
        <v>44923</v>
      </c>
      <c r="D1880" s="41">
        <v>44923</v>
      </c>
      <c r="E1880" s="11" t="s">
        <v>42</v>
      </c>
      <c r="F1880" s="11" t="s">
        <v>3592</v>
      </c>
      <c r="G1880" s="11">
        <v>110854</v>
      </c>
      <c r="H1880" s="11" t="s">
        <v>162</v>
      </c>
      <c r="J1880" s="11" t="s">
        <v>240</v>
      </c>
      <c r="K1880" s="11">
        <v>51010102</v>
      </c>
      <c r="L1880" s="11" t="s">
        <v>194</v>
      </c>
      <c r="M1880" s="11"/>
      <c r="N1880" s="11">
        <v>5655.31</v>
      </c>
      <c r="O1880" s="42">
        <v>-5655.31</v>
      </c>
      <c r="P1880" s="43" t="s">
        <v>4489</v>
      </c>
      <c r="Q1880" s="11">
        <v>933847.78</v>
      </c>
      <c r="R1880" s="11" t="s">
        <v>3593</v>
      </c>
      <c r="S1880" s="11" t="s">
        <v>106</v>
      </c>
      <c r="T1880" s="11">
        <v>0</v>
      </c>
      <c r="V1880" s="11" t="s">
        <v>241</v>
      </c>
    </row>
    <row r="1881" spans="1:22" x14ac:dyDescent="0.25">
      <c r="A1881" s="11">
        <v>101060402</v>
      </c>
      <c r="B1881" s="11" t="s">
        <v>44</v>
      </c>
      <c r="C1881" s="41">
        <v>44923</v>
      </c>
      <c r="D1881" s="41">
        <v>44923</v>
      </c>
      <c r="E1881" s="11" t="s">
        <v>42</v>
      </c>
      <c r="F1881" s="11" t="s">
        <v>3592</v>
      </c>
      <c r="G1881" s="11">
        <v>110854</v>
      </c>
      <c r="H1881" s="11" t="s">
        <v>162</v>
      </c>
      <c r="J1881" s="11" t="s">
        <v>240</v>
      </c>
      <c r="K1881" s="11">
        <v>51010102</v>
      </c>
      <c r="L1881" s="11" t="s">
        <v>194</v>
      </c>
      <c r="M1881" s="11"/>
      <c r="N1881" s="11">
        <v>3353.28</v>
      </c>
      <c r="O1881" s="42">
        <v>-3353.28</v>
      </c>
      <c r="P1881" s="43" t="s">
        <v>4489</v>
      </c>
      <c r="Q1881" s="11">
        <v>930494.5</v>
      </c>
      <c r="R1881" s="11" t="s">
        <v>3588</v>
      </c>
      <c r="S1881" s="11" t="s">
        <v>106</v>
      </c>
      <c r="T1881" s="11">
        <v>0</v>
      </c>
      <c r="V1881" s="11" t="s">
        <v>241</v>
      </c>
    </row>
    <row r="1882" spans="1:22" x14ac:dyDescent="0.25">
      <c r="A1882" s="11">
        <v>101060402</v>
      </c>
      <c r="B1882" s="11" t="s">
        <v>44</v>
      </c>
      <c r="C1882" s="41">
        <v>44923</v>
      </c>
      <c r="D1882" s="41">
        <v>44923</v>
      </c>
      <c r="E1882" s="11" t="s">
        <v>42</v>
      </c>
      <c r="F1882" s="11" t="s">
        <v>2814</v>
      </c>
      <c r="G1882" s="11">
        <v>110880</v>
      </c>
      <c r="H1882" s="11" t="s">
        <v>57</v>
      </c>
      <c r="K1882" s="11">
        <v>101060401</v>
      </c>
      <c r="L1882" s="11" t="s">
        <v>34</v>
      </c>
      <c r="M1882" s="11">
        <v>3591.22</v>
      </c>
      <c r="N1882" s="11"/>
      <c r="O1882" s="42">
        <v>3591.22</v>
      </c>
      <c r="P1882" s="43" t="s">
        <v>4481</v>
      </c>
      <c r="Q1882" s="11">
        <v>934085.72</v>
      </c>
      <c r="R1882" s="11" t="s">
        <v>2817</v>
      </c>
      <c r="S1882" s="11" t="s">
        <v>40</v>
      </c>
      <c r="T1882" s="11">
        <v>0</v>
      </c>
    </row>
    <row r="1883" spans="1:22" x14ac:dyDescent="0.25">
      <c r="A1883" s="11">
        <v>101060402</v>
      </c>
      <c r="B1883" s="11" t="s">
        <v>44</v>
      </c>
      <c r="C1883" s="41">
        <v>44923</v>
      </c>
      <c r="D1883" s="41">
        <v>44923</v>
      </c>
      <c r="E1883" s="11" t="s">
        <v>42</v>
      </c>
      <c r="F1883" s="11" t="s">
        <v>2816</v>
      </c>
      <c r="G1883" s="11">
        <v>110881</v>
      </c>
      <c r="H1883" s="11" t="s">
        <v>43</v>
      </c>
      <c r="K1883" s="11">
        <v>101060401</v>
      </c>
      <c r="L1883" s="11" t="s">
        <v>34</v>
      </c>
      <c r="M1883" s="11"/>
      <c r="N1883" s="11">
        <v>3591.22</v>
      </c>
      <c r="O1883" s="42">
        <v>-3591.22</v>
      </c>
      <c r="P1883" s="43" t="s">
        <v>4481</v>
      </c>
      <c r="Q1883" s="11">
        <v>930494.5</v>
      </c>
      <c r="R1883" s="11" t="s">
        <v>2815</v>
      </c>
      <c r="S1883" s="11" t="s">
        <v>40</v>
      </c>
      <c r="T1883" s="11">
        <v>0</v>
      </c>
    </row>
    <row r="1884" spans="1:22" x14ac:dyDescent="0.25">
      <c r="A1884" s="11">
        <v>101060402</v>
      </c>
      <c r="B1884" s="11" t="s">
        <v>44</v>
      </c>
      <c r="C1884" s="41">
        <v>44924</v>
      </c>
      <c r="D1884" s="41">
        <v>44924</v>
      </c>
      <c r="E1884" s="11" t="s">
        <v>42</v>
      </c>
      <c r="F1884" s="11" t="s">
        <v>3594</v>
      </c>
      <c r="G1884" s="11">
        <v>110896</v>
      </c>
      <c r="H1884" s="11" t="s">
        <v>47</v>
      </c>
      <c r="J1884" s="11" t="s">
        <v>240</v>
      </c>
      <c r="K1884" s="11">
        <v>51010102</v>
      </c>
      <c r="L1884" s="11" t="s">
        <v>194</v>
      </c>
      <c r="M1884" s="11"/>
      <c r="N1884" s="11">
        <v>1602.39</v>
      </c>
      <c r="O1884" s="42">
        <v>-1602.39</v>
      </c>
      <c r="P1884" s="43" t="s">
        <v>4489</v>
      </c>
      <c r="Q1884" s="11">
        <v>928892.11</v>
      </c>
      <c r="R1884" s="11" t="s">
        <v>3595</v>
      </c>
      <c r="S1884" s="11" t="s">
        <v>106</v>
      </c>
      <c r="T1884" s="11">
        <v>0</v>
      </c>
      <c r="V1884" s="11" t="s">
        <v>241</v>
      </c>
    </row>
    <row r="1885" spans="1:22" x14ac:dyDescent="0.25">
      <c r="A1885" s="11">
        <v>101060402</v>
      </c>
      <c r="B1885" s="11" t="s">
        <v>44</v>
      </c>
      <c r="C1885" s="41">
        <v>44924</v>
      </c>
      <c r="D1885" s="41">
        <v>44924</v>
      </c>
      <c r="E1885" s="11" t="s">
        <v>42</v>
      </c>
      <c r="F1885" s="11" t="s">
        <v>2827</v>
      </c>
      <c r="G1885" s="11">
        <v>110909</v>
      </c>
      <c r="H1885" s="11" t="s">
        <v>135</v>
      </c>
      <c r="J1885" s="11" t="s">
        <v>240</v>
      </c>
      <c r="K1885" s="11">
        <v>51010102</v>
      </c>
      <c r="L1885" s="11" t="s">
        <v>194</v>
      </c>
      <c r="M1885" s="11"/>
      <c r="N1885" s="11">
        <v>1621.92</v>
      </c>
      <c r="O1885" s="42">
        <v>-1621.92</v>
      </c>
      <c r="P1885" s="43" t="s">
        <v>4489</v>
      </c>
      <c r="Q1885" s="11">
        <v>927270.19</v>
      </c>
      <c r="R1885" s="11" t="s">
        <v>3596</v>
      </c>
      <c r="S1885" s="11" t="s">
        <v>40</v>
      </c>
      <c r="T1885" s="11">
        <v>0</v>
      </c>
      <c r="V1885" s="11" t="s">
        <v>241</v>
      </c>
    </row>
    <row r="1886" spans="1:22" x14ac:dyDescent="0.25">
      <c r="A1886" s="11">
        <v>101060402</v>
      </c>
      <c r="B1886" s="11" t="s">
        <v>44</v>
      </c>
      <c r="C1886" s="41">
        <v>44924</v>
      </c>
      <c r="D1886" s="41">
        <v>44924</v>
      </c>
      <c r="E1886" s="11" t="s">
        <v>42</v>
      </c>
      <c r="F1886" s="11" t="s">
        <v>3597</v>
      </c>
      <c r="G1886" s="11">
        <v>110933</v>
      </c>
      <c r="H1886" s="11" t="s">
        <v>162</v>
      </c>
      <c r="J1886" s="11" t="s">
        <v>240</v>
      </c>
      <c r="K1886" s="11">
        <v>51010102</v>
      </c>
      <c r="L1886" s="11" t="s">
        <v>194</v>
      </c>
      <c r="M1886" s="11"/>
      <c r="N1886" s="11">
        <v>10059.85</v>
      </c>
      <c r="O1886" s="42">
        <v>-10059.85</v>
      </c>
      <c r="P1886" s="43" t="s">
        <v>4489</v>
      </c>
      <c r="Q1886" s="11">
        <v>917210.34</v>
      </c>
      <c r="R1886" s="11" t="s">
        <v>3598</v>
      </c>
      <c r="S1886" s="11" t="s">
        <v>106</v>
      </c>
      <c r="T1886" s="11">
        <v>0</v>
      </c>
      <c r="V1886" s="11" t="s">
        <v>241</v>
      </c>
    </row>
    <row r="1887" spans="1:22" x14ac:dyDescent="0.25">
      <c r="A1887" s="11">
        <v>101060402</v>
      </c>
      <c r="B1887" s="11" t="s">
        <v>44</v>
      </c>
      <c r="C1887" s="41">
        <v>44924</v>
      </c>
      <c r="D1887" s="41">
        <v>44924</v>
      </c>
      <c r="E1887" s="11" t="s">
        <v>42</v>
      </c>
      <c r="F1887" s="11" t="s">
        <v>2831</v>
      </c>
      <c r="G1887" s="11">
        <v>110947</v>
      </c>
      <c r="H1887" s="11" t="s">
        <v>57</v>
      </c>
      <c r="K1887" s="11">
        <v>101060401</v>
      </c>
      <c r="L1887" s="11" t="s">
        <v>34</v>
      </c>
      <c r="M1887" s="11">
        <v>1621.94</v>
      </c>
      <c r="N1887" s="11"/>
      <c r="O1887" s="42">
        <v>1621.94</v>
      </c>
      <c r="P1887" s="43" t="s">
        <v>4481</v>
      </c>
      <c r="Q1887" s="11">
        <v>918832.28</v>
      </c>
      <c r="R1887" s="11" t="s">
        <v>3599</v>
      </c>
      <c r="S1887" s="11" t="s">
        <v>40</v>
      </c>
      <c r="T1887" s="11">
        <v>0</v>
      </c>
    </row>
    <row r="1888" spans="1:22" x14ac:dyDescent="0.25">
      <c r="A1888" s="11">
        <v>101060402</v>
      </c>
      <c r="B1888" s="11" t="s">
        <v>44</v>
      </c>
      <c r="C1888" s="41">
        <v>44924</v>
      </c>
      <c r="D1888" s="41">
        <v>44924</v>
      </c>
      <c r="E1888" s="11" t="s">
        <v>42</v>
      </c>
      <c r="F1888" s="11" t="s">
        <v>3600</v>
      </c>
      <c r="G1888" s="11">
        <v>110949</v>
      </c>
      <c r="H1888" s="11" t="s">
        <v>176</v>
      </c>
      <c r="J1888" s="11" t="s">
        <v>240</v>
      </c>
      <c r="K1888" s="11">
        <v>51010102</v>
      </c>
      <c r="L1888" s="11" t="s">
        <v>194</v>
      </c>
      <c r="M1888" s="11"/>
      <c r="N1888" s="11">
        <v>164.04</v>
      </c>
      <c r="O1888" s="42">
        <v>-164.04</v>
      </c>
      <c r="P1888" s="43" t="s">
        <v>4489</v>
      </c>
      <c r="Q1888" s="11">
        <v>918668.24</v>
      </c>
      <c r="R1888" s="11" t="s">
        <v>1141</v>
      </c>
      <c r="S1888" s="11" t="s">
        <v>106</v>
      </c>
      <c r="T1888" s="11">
        <v>0</v>
      </c>
      <c r="V1888" s="11" t="s">
        <v>241</v>
      </c>
    </row>
    <row r="1889" spans="1:22" x14ac:dyDescent="0.25">
      <c r="A1889" s="11">
        <v>101060402</v>
      </c>
      <c r="B1889" s="11" t="s">
        <v>44</v>
      </c>
      <c r="C1889" s="41">
        <v>44924</v>
      </c>
      <c r="D1889" s="41">
        <v>44924</v>
      </c>
      <c r="E1889" s="11" t="s">
        <v>42</v>
      </c>
      <c r="F1889" s="11" t="s">
        <v>2839</v>
      </c>
      <c r="G1889" s="11">
        <v>110967</v>
      </c>
      <c r="H1889" s="11" t="s">
        <v>57</v>
      </c>
      <c r="K1889" s="11">
        <v>101060401</v>
      </c>
      <c r="L1889" s="11" t="s">
        <v>34</v>
      </c>
      <c r="M1889" s="11"/>
      <c r="N1889" s="11">
        <v>1908.28</v>
      </c>
      <c r="O1889" s="42">
        <v>-1908.28</v>
      </c>
      <c r="P1889" s="43" t="s">
        <v>4481</v>
      </c>
      <c r="Q1889" s="11">
        <v>916759.96</v>
      </c>
      <c r="R1889" s="11" t="s">
        <v>3601</v>
      </c>
      <c r="S1889" s="11" t="s">
        <v>106</v>
      </c>
      <c r="T1889" s="11">
        <v>0</v>
      </c>
    </row>
    <row r="1890" spans="1:22" x14ac:dyDescent="0.25">
      <c r="A1890" s="11">
        <v>101060402</v>
      </c>
      <c r="B1890" s="11" t="s">
        <v>44</v>
      </c>
      <c r="C1890" s="41">
        <v>44924</v>
      </c>
      <c r="D1890" s="41">
        <v>44924</v>
      </c>
      <c r="E1890" s="11" t="s">
        <v>42</v>
      </c>
      <c r="F1890" s="11" t="s">
        <v>3602</v>
      </c>
      <c r="G1890" s="11">
        <v>110986</v>
      </c>
      <c r="H1890" s="11" t="s">
        <v>55</v>
      </c>
      <c r="J1890" s="11" t="s">
        <v>240</v>
      </c>
      <c r="K1890" s="11">
        <v>51010102</v>
      </c>
      <c r="L1890" s="11" t="s">
        <v>194</v>
      </c>
      <c r="M1890" s="11"/>
      <c r="N1890" s="11">
        <v>66.59</v>
      </c>
      <c r="O1890" s="42">
        <v>-66.59</v>
      </c>
      <c r="P1890" s="43" t="s">
        <v>4489</v>
      </c>
      <c r="Q1890" s="11">
        <v>916693.37</v>
      </c>
      <c r="R1890" s="11" t="s">
        <v>2888</v>
      </c>
      <c r="S1890" s="11" t="s">
        <v>40</v>
      </c>
      <c r="T1890" s="11">
        <v>0</v>
      </c>
      <c r="V1890" s="11" t="s">
        <v>241</v>
      </c>
    </row>
    <row r="1891" spans="1:22" x14ac:dyDescent="0.25">
      <c r="A1891" s="11">
        <v>101060402</v>
      </c>
      <c r="B1891" s="11" t="s">
        <v>44</v>
      </c>
      <c r="C1891" s="41">
        <v>44924</v>
      </c>
      <c r="D1891" s="41">
        <v>44924</v>
      </c>
      <c r="E1891" s="11" t="s">
        <v>42</v>
      </c>
      <c r="F1891" s="11" t="s">
        <v>3603</v>
      </c>
      <c r="G1891" s="11">
        <v>111007</v>
      </c>
      <c r="H1891" s="11" t="s">
        <v>163</v>
      </c>
      <c r="J1891" s="11" t="s">
        <v>240</v>
      </c>
      <c r="K1891" s="11">
        <v>51010102</v>
      </c>
      <c r="L1891" s="11" t="s">
        <v>194</v>
      </c>
      <c r="M1891" s="11">
        <v>10059.85</v>
      </c>
      <c r="N1891" s="11"/>
      <c r="O1891" s="42">
        <v>10059.85</v>
      </c>
      <c r="P1891" s="43" t="s">
        <v>4489</v>
      </c>
      <c r="Q1891" s="11">
        <v>926753.22</v>
      </c>
      <c r="R1891" s="11" t="s">
        <v>3604</v>
      </c>
      <c r="S1891" s="11" t="s">
        <v>106</v>
      </c>
      <c r="T1891" s="11">
        <v>0</v>
      </c>
      <c r="V1891" s="11" t="s">
        <v>241</v>
      </c>
    </row>
    <row r="1892" spans="1:22" x14ac:dyDescent="0.25">
      <c r="A1892" s="11">
        <v>101060402</v>
      </c>
      <c r="B1892" s="11" t="s">
        <v>44</v>
      </c>
      <c r="C1892" s="41">
        <v>44925</v>
      </c>
      <c r="D1892" s="41">
        <v>44925</v>
      </c>
      <c r="E1892" s="11" t="s">
        <v>42</v>
      </c>
      <c r="F1892" s="11" t="s">
        <v>3605</v>
      </c>
      <c r="G1892" s="11">
        <v>110999</v>
      </c>
      <c r="H1892" s="11" t="s">
        <v>47</v>
      </c>
      <c r="J1892" s="11" t="s">
        <v>240</v>
      </c>
      <c r="K1892" s="11">
        <v>51010102</v>
      </c>
      <c r="L1892" s="11" t="s">
        <v>194</v>
      </c>
      <c r="M1892" s="11"/>
      <c r="N1892" s="11">
        <v>486.8</v>
      </c>
      <c r="O1892" s="42">
        <v>-486.8</v>
      </c>
      <c r="P1892" s="43" t="s">
        <v>4489</v>
      </c>
      <c r="Q1892" s="11">
        <v>926266.42</v>
      </c>
      <c r="R1892" s="11" t="s">
        <v>3606</v>
      </c>
      <c r="S1892" s="11" t="s">
        <v>106</v>
      </c>
      <c r="T1892" s="11">
        <v>0</v>
      </c>
      <c r="V1892" s="11" t="s">
        <v>241</v>
      </c>
    </row>
    <row r="1893" spans="1:22" x14ac:dyDescent="0.25">
      <c r="A1893" s="11">
        <v>101060402</v>
      </c>
      <c r="B1893" s="11" t="s">
        <v>44</v>
      </c>
      <c r="C1893" s="41">
        <v>44925</v>
      </c>
      <c r="D1893" s="41">
        <v>44925</v>
      </c>
      <c r="E1893" s="11" t="s">
        <v>42</v>
      </c>
      <c r="F1893" s="11" t="s">
        <v>2850</v>
      </c>
      <c r="G1893" s="11">
        <v>111001</v>
      </c>
      <c r="H1893" s="11" t="s">
        <v>57</v>
      </c>
      <c r="K1893" s="11">
        <v>101060401</v>
      </c>
      <c r="L1893" s="11" t="s">
        <v>34</v>
      </c>
      <c r="M1893" s="11">
        <v>430</v>
      </c>
      <c r="N1893" s="11"/>
      <c r="O1893" s="42">
        <v>430</v>
      </c>
      <c r="P1893" s="43" t="s">
        <v>4481</v>
      </c>
      <c r="Q1893" s="11">
        <v>926696.42</v>
      </c>
      <c r="R1893" s="11" t="s">
        <v>2849</v>
      </c>
      <c r="S1893" s="11" t="s">
        <v>40</v>
      </c>
      <c r="T1893" s="11">
        <v>0</v>
      </c>
    </row>
    <row r="1894" spans="1:22" x14ac:dyDescent="0.25">
      <c r="A1894" s="11">
        <v>101060402</v>
      </c>
      <c r="B1894" s="11" t="s">
        <v>44</v>
      </c>
      <c r="C1894" s="41">
        <v>44925</v>
      </c>
      <c r="D1894" s="41">
        <v>44925</v>
      </c>
      <c r="E1894" s="11" t="s">
        <v>42</v>
      </c>
      <c r="F1894" s="11" t="s">
        <v>3607</v>
      </c>
      <c r="G1894" s="11">
        <v>111002</v>
      </c>
      <c r="H1894" s="11" t="s">
        <v>162</v>
      </c>
      <c r="J1894" s="11" t="s">
        <v>240</v>
      </c>
      <c r="K1894" s="11">
        <v>51010102</v>
      </c>
      <c r="L1894" s="11" t="s">
        <v>194</v>
      </c>
      <c r="M1894" s="11"/>
      <c r="N1894" s="11">
        <v>3703.55</v>
      </c>
      <c r="O1894" s="42">
        <v>-3703.55</v>
      </c>
      <c r="P1894" s="43" t="s">
        <v>4489</v>
      </c>
      <c r="Q1894" s="11">
        <v>922992.87</v>
      </c>
      <c r="R1894" s="11" t="s">
        <v>3608</v>
      </c>
      <c r="S1894" s="11" t="s">
        <v>106</v>
      </c>
      <c r="T1894" s="11">
        <v>0</v>
      </c>
      <c r="V1894" s="11" t="s">
        <v>241</v>
      </c>
    </row>
    <row r="1895" spans="1:22" x14ac:dyDescent="0.25">
      <c r="A1895" s="11">
        <v>101060402</v>
      </c>
      <c r="B1895" s="11" t="s">
        <v>44</v>
      </c>
      <c r="C1895" s="41">
        <v>44925</v>
      </c>
      <c r="D1895" s="41">
        <v>44925</v>
      </c>
      <c r="E1895" s="11" t="s">
        <v>42</v>
      </c>
      <c r="F1895" s="11" t="s">
        <v>3609</v>
      </c>
      <c r="G1895" s="11">
        <v>111003</v>
      </c>
      <c r="H1895" s="11" t="s">
        <v>47</v>
      </c>
      <c r="J1895" s="11" t="s">
        <v>240</v>
      </c>
      <c r="K1895" s="11">
        <v>51010102</v>
      </c>
      <c r="L1895" s="11" t="s">
        <v>194</v>
      </c>
      <c r="M1895" s="11"/>
      <c r="N1895" s="11">
        <v>430</v>
      </c>
      <c r="O1895" s="42">
        <v>-430</v>
      </c>
      <c r="P1895" s="43" t="s">
        <v>4489</v>
      </c>
      <c r="Q1895" s="11">
        <v>922562.87</v>
      </c>
      <c r="R1895" s="11" t="s">
        <v>2851</v>
      </c>
      <c r="S1895" s="11" t="s">
        <v>106</v>
      </c>
      <c r="T1895" s="11">
        <v>0</v>
      </c>
      <c r="V1895" s="11" t="s">
        <v>241</v>
      </c>
    </row>
    <row r="1896" spans="1:22" x14ac:dyDescent="0.25">
      <c r="A1896" s="11">
        <v>101060402</v>
      </c>
      <c r="B1896" s="11" t="s">
        <v>44</v>
      </c>
      <c r="C1896" s="41">
        <v>44925</v>
      </c>
      <c r="D1896" s="41">
        <v>44925</v>
      </c>
      <c r="E1896" s="11" t="s">
        <v>42</v>
      </c>
      <c r="F1896" s="11" t="s">
        <v>3610</v>
      </c>
      <c r="G1896" s="11">
        <v>111008</v>
      </c>
      <c r="H1896" s="11" t="s">
        <v>162</v>
      </c>
      <c r="J1896" s="11" t="s">
        <v>240</v>
      </c>
      <c r="K1896" s="11">
        <v>51010102</v>
      </c>
      <c r="L1896" s="11" t="s">
        <v>194</v>
      </c>
      <c r="M1896" s="11"/>
      <c r="N1896" s="11">
        <v>8596.23</v>
      </c>
      <c r="O1896" s="42">
        <v>-8596.23</v>
      </c>
      <c r="P1896" s="43" t="s">
        <v>4489</v>
      </c>
      <c r="Q1896" s="11">
        <v>913966.64</v>
      </c>
      <c r="R1896" s="11" t="s">
        <v>3611</v>
      </c>
      <c r="S1896" s="11" t="s">
        <v>106</v>
      </c>
      <c r="T1896" s="11">
        <v>0</v>
      </c>
      <c r="V1896" s="11" t="s">
        <v>241</v>
      </c>
    </row>
    <row r="1897" spans="1:22" x14ac:dyDescent="0.25">
      <c r="A1897" s="11">
        <v>101060402</v>
      </c>
      <c r="B1897" s="11" t="s">
        <v>44</v>
      </c>
      <c r="C1897" s="41">
        <v>44925</v>
      </c>
      <c r="D1897" s="41">
        <v>44925</v>
      </c>
      <c r="E1897" s="11" t="s">
        <v>42</v>
      </c>
      <c r="F1897" s="11" t="s">
        <v>3612</v>
      </c>
      <c r="G1897" s="11">
        <v>111009</v>
      </c>
      <c r="H1897" s="11" t="s">
        <v>47</v>
      </c>
      <c r="J1897" s="11" t="s">
        <v>240</v>
      </c>
      <c r="K1897" s="11">
        <v>51010102</v>
      </c>
      <c r="L1897" s="11" t="s">
        <v>194</v>
      </c>
      <c r="M1897" s="11"/>
      <c r="N1897" s="11">
        <v>585.03</v>
      </c>
      <c r="O1897" s="42">
        <v>-585.03</v>
      </c>
      <c r="P1897" s="43" t="s">
        <v>4489</v>
      </c>
      <c r="Q1897" s="11">
        <v>913381.61</v>
      </c>
      <c r="R1897" s="11" t="s">
        <v>3613</v>
      </c>
      <c r="S1897" s="11" t="s">
        <v>106</v>
      </c>
      <c r="T1897" s="11">
        <v>0</v>
      </c>
      <c r="V1897" s="11" t="s">
        <v>241</v>
      </c>
    </row>
    <row r="1898" spans="1:22" x14ac:dyDescent="0.25">
      <c r="A1898" s="11">
        <v>101060402</v>
      </c>
      <c r="B1898" s="11" t="s">
        <v>44</v>
      </c>
      <c r="C1898" s="41">
        <v>44925</v>
      </c>
      <c r="D1898" s="41">
        <v>44925</v>
      </c>
      <c r="E1898" s="11" t="s">
        <v>36</v>
      </c>
      <c r="F1898" s="11" t="s">
        <v>2854</v>
      </c>
      <c r="G1898" s="11">
        <v>111205</v>
      </c>
      <c r="H1898" s="11" t="s">
        <v>2855</v>
      </c>
      <c r="J1898" s="11" t="s">
        <v>240</v>
      </c>
      <c r="K1898" s="11">
        <v>51010104</v>
      </c>
      <c r="L1898" s="11" t="s">
        <v>2856</v>
      </c>
      <c r="N1898" s="26">
        <v>43109.68</v>
      </c>
      <c r="O1898" s="44">
        <v>-43109.68</v>
      </c>
      <c r="P1898" s="43" t="s">
        <v>4490</v>
      </c>
      <c r="Q1898" s="11">
        <v>870271.93</v>
      </c>
      <c r="R1898" s="11" t="s">
        <v>3614</v>
      </c>
      <c r="S1898" s="11" t="s">
        <v>202</v>
      </c>
      <c r="T1898" s="11">
        <v>0</v>
      </c>
      <c r="V1898" s="11" t="s">
        <v>241</v>
      </c>
    </row>
    <row r="1899" spans="1:22" x14ac:dyDescent="0.25">
      <c r="A1899" s="11">
        <v>101060402</v>
      </c>
      <c r="B1899" s="11" t="s">
        <v>44</v>
      </c>
      <c r="C1899" s="41">
        <v>44925</v>
      </c>
      <c r="D1899" s="41">
        <v>44925</v>
      </c>
      <c r="E1899" s="11" t="s">
        <v>36</v>
      </c>
      <c r="F1899" s="11" t="s">
        <v>3615</v>
      </c>
      <c r="G1899" s="11">
        <v>111996</v>
      </c>
      <c r="H1899" s="11" t="s">
        <v>3616</v>
      </c>
      <c r="J1899" s="11" t="s">
        <v>240</v>
      </c>
      <c r="K1899" s="11">
        <v>401030105</v>
      </c>
      <c r="L1899" s="11" t="s">
        <v>54</v>
      </c>
      <c r="M1899" s="26">
        <v>2660.65</v>
      </c>
      <c r="O1899" s="44">
        <v>2660.65</v>
      </c>
      <c r="P1899" s="43" t="s">
        <v>4494</v>
      </c>
      <c r="Q1899" s="11">
        <v>872932.58</v>
      </c>
      <c r="R1899" s="11" t="s">
        <v>3617</v>
      </c>
      <c r="S1899" s="11" t="s">
        <v>202</v>
      </c>
      <c r="T1899" s="11">
        <v>0</v>
      </c>
      <c r="V1899" s="11" t="s">
        <v>241</v>
      </c>
    </row>
    <row r="1900" spans="1:22" x14ac:dyDescent="0.25">
      <c r="A1900" s="11">
        <v>101060402</v>
      </c>
      <c r="B1900" s="11" t="s">
        <v>44</v>
      </c>
      <c r="C1900" s="41">
        <v>44925</v>
      </c>
      <c r="D1900" s="41">
        <v>44925</v>
      </c>
      <c r="E1900" s="11" t="s">
        <v>36</v>
      </c>
      <c r="F1900" s="11" t="s">
        <v>3618</v>
      </c>
      <c r="G1900" s="11">
        <v>112006</v>
      </c>
      <c r="H1900" s="11" t="s">
        <v>3619</v>
      </c>
      <c r="J1900" s="11" t="s">
        <v>240</v>
      </c>
      <c r="K1900" s="11">
        <v>51010103</v>
      </c>
      <c r="L1900" s="11" t="s">
        <v>39</v>
      </c>
      <c r="N1900" s="26">
        <v>1346.05</v>
      </c>
      <c r="O1900" s="44">
        <v>-1346.05</v>
      </c>
      <c r="P1900" s="43" t="s">
        <v>4493</v>
      </c>
      <c r="Q1900" s="11">
        <v>871586.53</v>
      </c>
      <c r="R1900" s="11" t="s">
        <v>3620</v>
      </c>
      <c r="S1900" s="11" t="s">
        <v>202</v>
      </c>
      <c r="T1900" s="11">
        <v>0</v>
      </c>
      <c r="V1900" s="11" t="s">
        <v>241</v>
      </c>
    </row>
    <row r="1901" spans="1:22" x14ac:dyDescent="0.25">
      <c r="A1901" s="11">
        <v>101060402</v>
      </c>
      <c r="B1901" s="11" t="s">
        <v>44</v>
      </c>
      <c r="C1901" s="41">
        <v>44926</v>
      </c>
      <c r="D1901" s="41">
        <v>44926</v>
      </c>
      <c r="E1901" s="11" t="s">
        <v>42</v>
      </c>
      <c r="F1901" s="11" t="s">
        <v>2869</v>
      </c>
      <c r="G1901" s="11">
        <v>111520</v>
      </c>
      <c r="H1901" s="11" t="s">
        <v>57</v>
      </c>
      <c r="K1901" s="11">
        <v>101060401</v>
      </c>
      <c r="L1901" s="11" t="s">
        <v>34</v>
      </c>
      <c r="M1901" s="11">
        <v>28233.8</v>
      </c>
      <c r="N1901" s="11"/>
      <c r="O1901" s="42">
        <v>28233.8</v>
      </c>
      <c r="P1901" s="43" t="s">
        <v>4481</v>
      </c>
      <c r="Q1901" s="11">
        <v>899820.33</v>
      </c>
      <c r="R1901" s="11" t="s">
        <v>3621</v>
      </c>
      <c r="S1901" s="11" t="s">
        <v>40</v>
      </c>
      <c r="T1901" s="11">
        <v>0</v>
      </c>
    </row>
    <row r="1902" spans="1:22" x14ac:dyDescent="0.25">
      <c r="A1902" s="11">
        <v>101060402</v>
      </c>
      <c r="B1902" s="11" t="s">
        <v>44</v>
      </c>
      <c r="C1902" s="41">
        <v>44926</v>
      </c>
      <c r="D1902" s="41">
        <v>44926</v>
      </c>
      <c r="E1902" s="11" t="s">
        <v>42</v>
      </c>
      <c r="F1902" s="11" t="s">
        <v>2869</v>
      </c>
      <c r="G1902" s="11">
        <v>111520</v>
      </c>
      <c r="H1902" s="11" t="s">
        <v>57</v>
      </c>
      <c r="K1902" s="11">
        <v>101060401</v>
      </c>
      <c r="L1902" s="11" t="s">
        <v>34</v>
      </c>
      <c r="M1902" s="11"/>
      <c r="N1902" s="11">
        <v>6586.37</v>
      </c>
      <c r="O1902" s="42">
        <v>-6586.37</v>
      </c>
      <c r="P1902" s="43" t="s">
        <v>4481</v>
      </c>
      <c r="Q1902" s="11">
        <v>893233.96</v>
      </c>
      <c r="R1902" s="11" t="s">
        <v>3622</v>
      </c>
      <c r="S1902" s="11" t="s">
        <v>40</v>
      </c>
      <c r="T1902" s="11">
        <v>0</v>
      </c>
    </row>
    <row r="1903" spans="1:22" x14ac:dyDescent="0.25">
      <c r="A1903" s="11">
        <v>101060405</v>
      </c>
      <c r="B1903" s="11" t="s">
        <v>3623</v>
      </c>
      <c r="C1903" s="11" t="s">
        <v>35</v>
      </c>
      <c r="D1903" s="11">
        <v>101060405</v>
      </c>
      <c r="H1903" s="11" t="s">
        <v>9</v>
      </c>
      <c r="M1903" s="11">
        <v>3.98</v>
      </c>
      <c r="N1903" s="11"/>
      <c r="O1903" s="40">
        <v>3.98</v>
      </c>
      <c r="P1903" s="11" t="s">
        <v>9</v>
      </c>
      <c r="Q1903" s="11">
        <v>3.98</v>
      </c>
    </row>
    <row r="1904" spans="1:22" x14ac:dyDescent="0.25">
      <c r="A1904" s="11">
        <v>101060406</v>
      </c>
      <c r="B1904" s="11" t="s">
        <v>289</v>
      </c>
      <c r="C1904" s="11" t="s">
        <v>35</v>
      </c>
      <c r="D1904" s="11">
        <v>101060406</v>
      </c>
      <c r="H1904" s="11" t="s">
        <v>9</v>
      </c>
      <c r="M1904" s="11">
        <v>2874.98</v>
      </c>
      <c r="N1904" s="11"/>
      <c r="O1904" s="40">
        <v>2874.98</v>
      </c>
      <c r="P1904" s="11" t="s">
        <v>9</v>
      </c>
      <c r="Q1904" s="11">
        <v>2874.98</v>
      </c>
    </row>
    <row r="1905" spans="1:22" x14ac:dyDescent="0.25">
      <c r="A1905" s="11">
        <v>101060406</v>
      </c>
      <c r="B1905" s="11" t="s">
        <v>289</v>
      </c>
      <c r="C1905" s="41">
        <v>44908</v>
      </c>
      <c r="D1905" s="41">
        <v>44908</v>
      </c>
      <c r="E1905" s="11" t="s">
        <v>42</v>
      </c>
      <c r="F1905" s="11" t="s">
        <v>2385</v>
      </c>
      <c r="G1905" s="11">
        <v>110112</v>
      </c>
      <c r="H1905" s="11" t="s">
        <v>57</v>
      </c>
      <c r="K1905" s="11">
        <v>101060401</v>
      </c>
      <c r="L1905" s="11" t="s">
        <v>34</v>
      </c>
      <c r="M1905" s="11">
        <v>222.71</v>
      </c>
      <c r="N1905" s="11"/>
      <c r="O1905" s="42">
        <v>222.71</v>
      </c>
      <c r="P1905" s="43" t="s">
        <v>4481</v>
      </c>
      <c r="Q1905" s="11">
        <v>5011.3100000000004</v>
      </c>
      <c r="R1905" s="11" t="s">
        <v>3624</v>
      </c>
      <c r="S1905" s="11" t="s">
        <v>40</v>
      </c>
      <c r="T1905" s="11">
        <v>0</v>
      </c>
    </row>
    <row r="1906" spans="1:22" x14ac:dyDescent="0.25">
      <c r="A1906" s="11">
        <v>101060406</v>
      </c>
      <c r="B1906" s="11" t="s">
        <v>289</v>
      </c>
      <c r="C1906" s="41">
        <v>44910</v>
      </c>
      <c r="D1906" s="41">
        <v>44910</v>
      </c>
      <c r="E1906" s="11" t="s">
        <v>42</v>
      </c>
      <c r="F1906" s="11" t="s">
        <v>2440</v>
      </c>
      <c r="G1906" s="11">
        <v>110257</v>
      </c>
      <c r="H1906" s="11" t="s">
        <v>57</v>
      </c>
      <c r="K1906" s="11">
        <v>101060401</v>
      </c>
      <c r="L1906" s="11" t="s">
        <v>34</v>
      </c>
      <c r="M1906" s="11">
        <v>148.47</v>
      </c>
      <c r="N1906" s="11"/>
      <c r="O1906" s="42">
        <v>148.47</v>
      </c>
      <c r="P1906" s="43" t="s">
        <v>4481</v>
      </c>
      <c r="Q1906" s="11">
        <v>5159.78</v>
      </c>
      <c r="R1906" s="11" t="s">
        <v>3626</v>
      </c>
      <c r="S1906" s="11" t="s">
        <v>40</v>
      </c>
      <c r="T1906" s="11">
        <v>0</v>
      </c>
    </row>
    <row r="1907" spans="1:22" x14ac:dyDescent="0.25">
      <c r="A1907" s="11">
        <v>101060406</v>
      </c>
      <c r="B1907" s="11" t="s">
        <v>289</v>
      </c>
      <c r="C1907" s="41">
        <v>44914</v>
      </c>
      <c r="D1907" s="41">
        <v>44914</v>
      </c>
      <c r="E1907" s="11" t="s">
        <v>42</v>
      </c>
      <c r="F1907" s="11" t="s">
        <v>2509</v>
      </c>
      <c r="G1907" s="11">
        <v>110387</v>
      </c>
      <c r="H1907" s="11" t="s">
        <v>57</v>
      </c>
      <c r="K1907" s="11">
        <v>101060401</v>
      </c>
      <c r="L1907" s="11" t="s">
        <v>34</v>
      </c>
      <c r="M1907" s="11">
        <v>148.47</v>
      </c>
      <c r="N1907" s="11"/>
      <c r="O1907" s="42">
        <v>148.47</v>
      </c>
      <c r="P1907" s="43" t="s">
        <v>4481</v>
      </c>
      <c r="Q1907" s="11">
        <v>5308.25</v>
      </c>
      <c r="R1907" s="11" t="s">
        <v>3626</v>
      </c>
      <c r="S1907" s="11" t="s">
        <v>40</v>
      </c>
      <c r="T1907" s="11">
        <v>0</v>
      </c>
    </row>
    <row r="1908" spans="1:22" x14ac:dyDescent="0.25">
      <c r="A1908" s="11">
        <v>101060407</v>
      </c>
      <c r="B1908" s="11" t="s">
        <v>78</v>
      </c>
      <c r="C1908" s="11" t="s">
        <v>35</v>
      </c>
      <c r="D1908" s="11">
        <v>101060407</v>
      </c>
      <c r="H1908" s="11" t="s">
        <v>9</v>
      </c>
      <c r="M1908" s="11">
        <v>29035.47</v>
      </c>
      <c r="N1908" s="11"/>
      <c r="O1908" s="40">
        <v>29035.47</v>
      </c>
      <c r="P1908" s="11" t="s">
        <v>9</v>
      </c>
      <c r="Q1908" s="11">
        <v>29035.47</v>
      </c>
    </row>
    <row r="1909" spans="1:22" x14ac:dyDescent="0.25">
      <c r="A1909" s="11">
        <v>101060407</v>
      </c>
      <c r="B1909" s="11" t="s">
        <v>78</v>
      </c>
      <c r="C1909" s="41">
        <v>44860</v>
      </c>
      <c r="D1909" s="41">
        <v>44860</v>
      </c>
      <c r="E1909" s="11" t="s">
        <v>42</v>
      </c>
      <c r="F1909" s="11" t="s">
        <v>984</v>
      </c>
      <c r="G1909" s="11">
        <v>107634</v>
      </c>
      <c r="H1909" s="11" t="s">
        <v>57</v>
      </c>
      <c r="K1909" s="11">
        <v>101060401</v>
      </c>
      <c r="L1909" s="11" t="s">
        <v>34</v>
      </c>
      <c r="M1909" s="11">
        <v>99.39</v>
      </c>
      <c r="N1909" s="11"/>
      <c r="O1909" s="42">
        <v>99.39</v>
      </c>
      <c r="P1909" s="43" t="s">
        <v>4481</v>
      </c>
      <c r="Q1909" s="11">
        <v>31678.29</v>
      </c>
      <c r="R1909" s="11" t="s">
        <v>3627</v>
      </c>
      <c r="S1909" s="11" t="s">
        <v>40</v>
      </c>
      <c r="T1909" s="11">
        <v>0</v>
      </c>
    </row>
    <row r="1910" spans="1:22" x14ac:dyDescent="0.25">
      <c r="A1910" s="11">
        <v>101060407</v>
      </c>
      <c r="B1910" s="11" t="s">
        <v>78</v>
      </c>
      <c r="C1910" s="41">
        <v>44887</v>
      </c>
      <c r="D1910" s="41">
        <v>44887</v>
      </c>
      <c r="E1910" s="11" t="s">
        <v>42</v>
      </c>
      <c r="F1910" s="11" t="s">
        <v>1741</v>
      </c>
      <c r="G1910" s="11">
        <v>108914</v>
      </c>
      <c r="H1910" s="11" t="s">
        <v>57</v>
      </c>
      <c r="K1910" s="11">
        <v>101060401</v>
      </c>
      <c r="L1910" s="11" t="s">
        <v>34</v>
      </c>
      <c r="M1910" s="11">
        <v>116.79</v>
      </c>
      <c r="N1910" s="11"/>
      <c r="O1910" s="42">
        <v>116.79</v>
      </c>
      <c r="P1910" s="43" t="s">
        <v>4481</v>
      </c>
      <c r="Q1910" s="11">
        <v>31795.08</v>
      </c>
      <c r="R1910" s="11" t="s">
        <v>3628</v>
      </c>
      <c r="S1910" s="11" t="s">
        <v>40</v>
      </c>
      <c r="T1910" s="11">
        <v>0</v>
      </c>
    </row>
    <row r="1911" spans="1:22" x14ac:dyDescent="0.25">
      <c r="A1911" s="11">
        <v>101060407</v>
      </c>
      <c r="B1911" s="11" t="s">
        <v>78</v>
      </c>
      <c r="C1911" s="41">
        <v>44911</v>
      </c>
      <c r="D1911" s="41">
        <v>44911</v>
      </c>
      <c r="E1911" s="11" t="s">
        <v>42</v>
      </c>
      <c r="F1911" s="11" t="s">
        <v>2463</v>
      </c>
      <c r="G1911" s="11">
        <v>110330</v>
      </c>
      <c r="H1911" s="11" t="s">
        <v>57</v>
      </c>
      <c r="K1911" s="11">
        <v>101060401</v>
      </c>
      <c r="L1911" s="11" t="s">
        <v>34</v>
      </c>
      <c r="M1911" s="11">
        <v>1.26</v>
      </c>
      <c r="N1911" s="11"/>
      <c r="O1911" s="42">
        <v>1.26</v>
      </c>
      <c r="P1911" s="43" t="s">
        <v>4481</v>
      </c>
      <c r="Q1911" s="11">
        <v>31796.34</v>
      </c>
      <c r="R1911" s="11" t="s">
        <v>2865</v>
      </c>
      <c r="S1911" s="11" t="s">
        <v>40</v>
      </c>
      <c r="T1911" s="11">
        <v>0</v>
      </c>
    </row>
    <row r="1912" spans="1:22" x14ac:dyDescent="0.25">
      <c r="A1912" s="11">
        <v>101060407</v>
      </c>
      <c r="B1912" s="11" t="s">
        <v>78</v>
      </c>
      <c r="C1912" s="41">
        <v>44914</v>
      </c>
      <c r="D1912" s="41">
        <v>44914</v>
      </c>
      <c r="E1912" s="11" t="s">
        <v>42</v>
      </c>
      <c r="F1912" s="11" t="s">
        <v>2510</v>
      </c>
      <c r="G1912" s="11">
        <v>110388</v>
      </c>
      <c r="H1912" s="11" t="s">
        <v>57</v>
      </c>
      <c r="K1912" s="11">
        <v>101060401</v>
      </c>
      <c r="L1912" s="11" t="s">
        <v>34</v>
      </c>
      <c r="M1912" s="11">
        <v>74.239999999999995</v>
      </c>
      <c r="N1912" s="11"/>
      <c r="O1912" s="42">
        <v>74.239999999999995</v>
      </c>
      <c r="P1912" s="43" t="s">
        <v>4481</v>
      </c>
      <c r="Q1912" s="11">
        <v>31870.58</v>
      </c>
      <c r="R1912" s="11" t="s">
        <v>3625</v>
      </c>
      <c r="S1912" s="11" t="s">
        <v>40</v>
      </c>
      <c r="T1912" s="11">
        <v>0</v>
      </c>
    </row>
    <row r="1913" spans="1:22" x14ac:dyDescent="0.25">
      <c r="A1913" s="11">
        <v>101060407</v>
      </c>
      <c r="B1913" s="11" t="s">
        <v>78</v>
      </c>
      <c r="C1913" s="41">
        <v>44925</v>
      </c>
      <c r="D1913" s="41">
        <v>44925</v>
      </c>
      <c r="E1913" s="11" t="s">
        <v>36</v>
      </c>
      <c r="F1913" s="11" t="s">
        <v>3629</v>
      </c>
      <c r="G1913" s="11">
        <v>111232</v>
      </c>
      <c r="H1913" s="11" t="s">
        <v>2855</v>
      </c>
      <c r="J1913" s="11" t="s">
        <v>38</v>
      </c>
      <c r="K1913" s="11">
        <v>51010104</v>
      </c>
      <c r="L1913" s="11" t="s">
        <v>2856</v>
      </c>
      <c r="N1913" s="26">
        <v>31720.68</v>
      </c>
      <c r="O1913" s="44">
        <v>-31720.68</v>
      </c>
      <c r="P1913" s="43" t="s">
        <v>4490</v>
      </c>
      <c r="Q1913" s="11">
        <v>149.9</v>
      </c>
      <c r="R1913" s="11" t="s">
        <v>3630</v>
      </c>
      <c r="S1913" s="11" t="s">
        <v>202</v>
      </c>
      <c r="T1913" s="11">
        <v>0</v>
      </c>
      <c r="V1913" s="11" t="s">
        <v>41</v>
      </c>
    </row>
    <row r="1914" spans="1:22" x14ac:dyDescent="0.25">
      <c r="A1914" s="11">
        <v>101060408</v>
      </c>
      <c r="B1914" s="11" t="s">
        <v>82</v>
      </c>
      <c r="C1914" s="11" t="s">
        <v>35</v>
      </c>
      <c r="D1914" s="11">
        <v>101060408</v>
      </c>
      <c r="H1914" s="11" t="s">
        <v>9</v>
      </c>
      <c r="M1914" s="11">
        <v>75615.77</v>
      </c>
      <c r="N1914" s="11"/>
      <c r="O1914" s="40">
        <v>75615.77</v>
      </c>
      <c r="P1914" s="11" t="s">
        <v>9</v>
      </c>
      <c r="Q1914" s="11">
        <v>75615.77</v>
      </c>
    </row>
    <row r="1915" spans="1:22" x14ac:dyDescent="0.25">
      <c r="A1915" s="11">
        <v>101060408</v>
      </c>
      <c r="B1915" s="11" t="s">
        <v>82</v>
      </c>
      <c r="C1915" s="41">
        <v>44846</v>
      </c>
      <c r="D1915" s="41">
        <v>44846</v>
      </c>
      <c r="E1915" s="11" t="s">
        <v>36</v>
      </c>
      <c r="F1915" s="11" t="s">
        <v>3646</v>
      </c>
      <c r="G1915" s="11">
        <v>106842</v>
      </c>
      <c r="H1915" s="11" t="s">
        <v>3647</v>
      </c>
      <c r="K1915" s="11">
        <v>101060501</v>
      </c>
      <c r="L1915" s="11" t="s">
        <v>3632</v>
      </c>
      <c r="M1915" s="11">
        <v>9036</v>
      </c>
      <c r="N1915" s="11"/>
      <c r="O1915" s="44">
        <v>9036</v>
      </c>
      <c r="P1915" s="43" t="s">
        <v>4492</v>
      </c>
      <c r="Q1915" s="11">
        <v>88785.78</v>
      </c>
      <c r="R1915" s="11" t="s">
        <v>3648</v>
      </c>
      <c r="S1915" s="11" t="s">
        <v>137</v>
      </c>
      <c r="T1915" s="11">
        <v>0</v>
      </c>
    </row>
    <row r="1916" spans="1:22" x14ac:dyDescent="0.25">
      <c r="A1916" s="11">
        <v>101060408</v>
      </c>
      <c r="B1916" s="11" t="s">
        <v>82</v>
      </c>
      <c r="C1916" s="41">
        <v>44846</v>
      </c>
      <c r="D1916" s="41">
        <v>44846</v>
      </c>
      <c r="E1916" s="11" t="s">
        <v>36</v>
      </c>
      <c r="F1916" s="11" t="s">
        <v>3649</v>
      </c>
      <c r="G1916" s="11">
        <v>106845</v>
      </c>
      <c r="H1916" s="11" t="s">
        <v>3650</v>
      </c>
      <c r="K1916" s="11">
        <v>101060501</v>
      </c>
      <c r="L1916" s="11" t="s">
        <v>3632</v>
      </c>
      <c r="M1916" s="11">
        <v>3285.52</v>
      </c>
      <c r="N1916" s="11"/>
      <c r="O1916" s="44">
        <v>3285.52</v>
      </c>
      <c r="P1916" s="43" t="s">
        <v>4492</v>
      </c>
      <c r="Q1916" s="11">
        <v>92071.3</v>
      </c>
      <c r="R1916" s="11" t="s">
        <v>3651</v>
      </c>
      <c r="S1916" s="11" t="s">
        <v>137</v>
      </c>
      <c r="T1916" s="11">
        <v>0</v>
      </c>
    </row>
    <row r="1917" spans="1:22" x14ac:dyDescent="0.25">
      <c r="A1917" s="11">
        <v>101060408</v>
      </c>
      <c r="B1917" s="11" t="s">
        <v>82</v>
      </c>
      <c r="C1917" s="41">
        <v>44846</v>
      </c>
      <c r="D1917" s="41">
        <v>44846</v>
      </c>
      <c r="E1917" s="11" t="s">
        <v>36</v>
      </c>
      <c r="F1917" s="11" t="s">
        <v>3652</v>
      </c>
      <c r="G1917" s="11">
        <v>106849</v>
      </c>
      <c r="H1917" s="11" t="s">
        <v>3639</v>
      </c>
      <c r="K1917" s="11">
        <v>101060501</v>
      </c>
      <c r="L1917" s="11" t="s">
        <v>3632</v>
      </c>
      <c r="M1917" s="11">
        <v>2783.8</v>
      </c>
      <c r="N1917" s="11"/>
      <c r="O1917" s="44">
        <v>2783.8</v>
      </c>
      <c r="P1917" s="43" t="s">
        <v>4492</v>
      </c>
      <c r="Q1917" s="11">
        <v>94855.1</v>
      </c>
      <c r="R1917" s="11" t="s">
        <v>3653</v>
      </c>
      <c r="S1917" s="11" t="s">
        <v>137</v>
      </c>
      <c r="T1917" s="11">
        <v>0</v>
      </c>
    </row>
    <row r="1918" spans="1:22" x14ac:dyDescent="0.25">
      <c r="A1918" s="11">
        <v>101060408</v>
      </c>
      <c r="B1918" s="11" t="s">
        <v>82</v>
      </c>
      <c r="C1918" s="41">
        <v>44846</v>
      </c>
      <c r="D1918" s="41">
        <v>44846</v>
      </c>
      <c r="E1918" s="11" t="s">
        <v>36</v>
      </c>
      <c r="F1918" s="11" t="s">
        <v>3654</v>
      </c>
      <c r="G1918" s="11">
        <v>106850</v>
      </c>
      <c r="H1918" s="11" t="s">
        <v>3655</v>
      </c>
      <c r="K1918" s="11">
        <v>101060501</v>
      </c>
      <c r="L1918" s="11" t="s">
        <v>3632</v>
      </c>
      <c r="M1918" s="11">
        <v>353.14</v>
      </c>
      <c r="N1918" s="11"/>
      <c r="O1918" s="44">
        <v>353.14</v>
      </c>
      <c r="P1918" s="43" t="s">
        <v>4492</v>
      </c>
      <c r="Q1918" s="11">
        <v>95208.24</v>
      </c>
      <c r="R1918" s="11" t="s">
        <v>3656</v>
      </c>
      <c r="S1918" s="11" t="s">
        <v>137</v>
      </c>
      <c r="T1918" s="11">
        <v>0</v>
      </c>
    </row>
    <row r="1919" spans="1:22" x14ac:dyDescent="0.25">
      <c r="A1919" s="11">
        <v>101060408</v>
      </c>
      <c r="B1919" s="11" t="s">
        <v>82</v>
      </c>
      <c r="C1919" s="41">
        <v>44846</v>
      </c>
      <c r="D1919" s="41">
        <v>44846</v>
      </c>
      <c r="E1919" s="11" t="s">
        <v>42</v>
      </c>
      <c r="F1919" s="11" t="s">
        <v>598</v>
      </c>
      <c r="G1919" s="11">
        <v>106855</v>
      </c>
      <c r="H1919" s="11" t="s">
        <v>57</v>
      </c>
      <c r="K1919" s="11">
        <v>101060401</v>
      </c>
      <c r="L1919" s="11" t="s">
        <v>34</v>
      </c>
      <c r="M1919" s="11"/>
      <c r="N1919" s="11">
        <v>3136.94</v>
      </c>
      <c r="O1919" s="42">
        <v>-3136.94</v>
      </c>
      <c r="P1919" s="43" t="s">
        <v>4481</v>
      </c>
      <c r="Q1919" s="11">
        <v>92071.3</v>
      </c>
      <c r="R1919" s="11" t="s">
        <v>3657</v>
      </c>
      <c r="S1919" s="11" t="s">
        <v>40</v>
      </c>
      <c r="T1919" s="11">
        <v>0</v>
      </c>
    </row>
    <row r="1920" spans="1:22" x14ac:dyDescent="0.25">
      <c r="A1920" s="11">
        <v>101060408</v>
      </c>
      <c r="B1920" s="11" t="s">
        <v>82</v>
      </c>
      <c r="C1920" s="41">
        <v>44846</v>
      </c>
      <c r="D1920" s="41">
        <v>44846</v>
      </c>
      <c r="E1920" s="11" t="s">
        <v>42</v>
      </c>
      <c r="F1920" s="11" t="s">
        <v>600</v>
      </c>
      <c r="G1920" s="11">
        <v>106856</v>
      </c>
      <c r="H1920" s="11" t="s">
        <v>57</v>
      </c>
      <c r="K1920" s="11">
        <v>101060401</v>
      </c>
      <c r="L1920" s="11" t="s">
        <v>34</v>
      </c>
      <c r="M1920" s="11"/>
      <c r="N1920" s="11">
        <v>12321.52</v>
      </c>
      <c r="O1920" s="42">
        <v>-12321.52</v>
      </c>
      <c r="P1920" s="43" t="s">
        <v>4481</v>
      </c>
      <c r="Q1920" s="11">
        <v>79749.78</v>
      </c>
      <c r="R1920" s="11" t="s">
        <v>603</v>
      </c>
      <c r="S1920" s="11" t="s">
        <v>40</v>
      </c>
      <c r="T1920" s="11">
        <v>0</v>
      </c>
    </row>
    <row r="1921" spans="1:22" x14ac:dyDescent="0.25">
      <c r="A1921" s="11">
        <v>101060408</v>
      </c>
      <c r="B1921" s="11" t="s">
        <v>82</v>
      </c>
      <c r="C1921" s="41">
        <v>44846</v>
      </c>
      <c r="D1921" s="41">
        <v>44846</v>
      </c>
      <c r="E1921" s="11" t="s">
        <v>36</v>
      </c>
      <c r="F1921" s="11" t="s">
        <v>3658</v>
      </c>
      <c r="G1921" s="11">
        <v>106862</v>
      </c>
      <c r="H1921" s="11" t="s">
        <v>3633</v>
      </c>
      <c r="K1921" s="11">
        <v>101060501</v>
      </c>
      <c r="L1921" s="11" t="s">
        <v>3632</v>
      </c>
      <c r="M1921" s="11">
        <v>89198.99</v>
      </c>
      <c r="N1921" s="11"/>
      <c r="O1921" s="44">
        <v>89198.99</v>
      </c>
      <c r="P1921" s="43" t="s">
        <v>4492</v>
      </c>
      <c r="Q1921" s="11">
        <v>168948.77</v>
      </c>
      <c r="R1921" s="11" t="s">
        <v>3659</v>
      </c>
      <c r="S1921" s="11" t="s">
        <v>137</v>
      </c>
      <c r="T1921" s="11">
        <v>0</v>
      </c>
    </row>
    <row r="1922" spans="1:22" x14ac:dyDescent="0.25">
      <c r="A1922" s="11">
        <v>101060408</v>
      </c>
      <c r="B1922" s="11" t="s">
        <v>82</v>
      </c>
      <c r="C1922" s="41">
        <v>44846</v>
      </c>
      <c r="D1922" s="41">
        <v>44846</v>
      </c>
      <c r="E1922" s="11" t="s">
        <v>36</v>
      </c>
      <c r="F1922" s="11" t="s">
        <v>3660</v>
      </c>
      <c r="G1922" s="11">
        <v>106863</v>
      </c>
      <c r="H1922" s="11" t="s">
        <v>3661</v>
      </c>
      <c r="K1922" s="11">
        <v>101060501</v>
      </c>
      <c r="L1922" s="11" t="s">
        <v>3632</v>
      </c>
      <c r="M1922" s="11">
        <v>13307.02</v>
      </c>
      <c r="N1922" s="11"/>
      <c r="O1922" s="44">
        <v>13307.02</v>
      </c>
      <c r="P1922" s="43" t="s">
        <v>4492</v>
      </c>
      <c r="Q1922" s="11">
        <v>182255.79</v>
      </c>
      <c r="R1922" s="11" t="s">
        <v>3662</v>
      </c>
      <c r="S1922" s="11" t="s">
        <v>137</v>
      </c>
      <c r="T1922" s="11">
        <v>0</v>
      </c>
    </row>
    <row r="1923" spans="1:22" x14ac:dyDescent="0.25">
      <c r="A1923" s="11">
        <v>101060408</v>
      </c>
      <c r="B1923" s="11" t="s">
        <v>82</v>
      </c>
      <c r="C1923" s="41">
        <v>44847</v>
      </c>
      <c r="D1923" s="41">
        <v>44847</v>
      </c>
      <c r="E1923" s="11" t="s">
        <v>42</v>
      </c>
      <c r="F1923" s="11" t="s">
        <v>3663</v>
      </c>
      <c r="G1923" s="11">
        <v>106926</v>
      </c>
      <c r="H1923" s="11" t="s">
        <v>222</v>
      </c>
      <c r="J1923" s="11" t="s">
        <v>38</v>
      </c>
      <c r="K1923" s="11">
        <v>51010101</v>
      </c>
      <c r="L1923" s="11" t="s">
        <v>48</v>
      </c>
      <c r="M1923" s="11"/>
      <c r="N1923" s="11">
        <v>371.16</v>
      </c>
      <c r="O1923" s="42">
        <v>-371.16</v>
      </c>
      <c r="P1923" s="43" t="s">
        <v>4489</v>
      </c>
      <c r="Q1923" s="11">
        <v>181884.63</v>
      </c>
      <c r="R1923" s="11" t="s">
        <v>3664</v>
      </c>
      <c r="S1923" s="11" t="s">
        <v>106</v>
      </c>
      <c r="T1923" s="11">
        <v>0</v>
      </c>
      <c r="V1923" s="11" t="s">
        <v>41</v>
      </c>
    </row>
    <row r="1924" spans="1:22" x14ac:dyDescent="0.25">
      <c r="A1924" s="11">
        <v>101060408</v>
      </c>
      <c r="B1924" s="11" t="s">
        <v>82</v>
      </c>
      <c r="C1924" s="41">
        <v>44847</v>
      </c>
      <c r="D1924" s="41">
        <v>44847</v>
      </c>
      <c r="E1924" s="11" t="s">
        <v>42</v>
      </c>
      <c r="F1924" s="11" t="s">
        <v>2977</v>
      </c>
      <c r="G1924" s="11">
        <v>106935</v>
      </c>
      <c r="H1924" s="11" t="s">
        <v>98</v>
      </c>
      <c r="J1924" s="11" t="s">
        <v>38</v>
      </c>
      <c r="K1924" s="11">
        <v>51010101</v>
      </c>
      <c r="L1924" s="11" t="s">
        <v>48</v>
      </c>
      <c r="M1924" s="11"/>
      <c r="N1924" s="11">
        <v>1325.58</v>
      </c>
      <c r="O1924" s="42">
        <v>-1325.58</v>
      </c>
      <c r="P1924" s="43" t="s">
        <v>4489</v>
      </c>
      <c r="Q1924" s="11">
        <v>180559.05</v>
      </c>
      <c r="R1924" s="11" t="s">
        <v>3665</v>
      </c>
      <c r="S1924" s="11" t="s">
        <v>106</v>
      </c>
      <c r="T1924" s="11">
        <v>0</v>
      </c>
      <c r="V1924" s="11" t="s">
        <v>41</v>
      </c>
    </row>
    <row r="1925" spans="1:22" x14ac:dyDescent="0.25">
      <c r="A1925" s="11">
        <v>101060408</v>
      </c>
      <c r="B1925" s="11" t="s">
        <v>82</v>
      </c>
      <c r="C1925" s="41">
        <v>44847</v>
      </c>
      <c r="D1925" s="41">
        <v>44847</v>
      </c>
      <c r="E1925" s="11" t="s">
        <v>42</v>
      </c>
      <c r="F1925" s="11" t="s">
        <v>2979</v>
      </c>
      <c r="G1925" s="11">
        <v>106937</v>
      </c>
      <c r="H1925" s="11" t="s">
        <v>2980</v>
      </c>
      <c r="J1925" s="11" t="s">
        <v>38</v>
      </c>
      <c r="K1925" s="11">
        <v>51010101</v>
      </c>
      <c r="L1925" s="11" t="s">
        <v>48</v>
      </c>
      <c r="M1925" s="11">
        <v>1325.58</v>
      </c>
      <c r="N1925" s="11"/>
      <c r="O1925" s="42">
        <v>1325.58</v>
      </c>
      <c r="P1925" s="43" t="s">
        <v>4489</v>
      </c>
      <c r="Q1925" s="11">
        <v>181884.63</v>
      </c>
      <c r="R1925" s="11" t="s">
        <v>3666</v>
      </c>
      <c r="S1925" s="11" t="s">
        <v>106</v>
      </c>
      <c r="T1925" s="11">
        <v>0</v>
      </c>
      <c r="V1925" s="11" t="s">
        <v>41</v>
      </c>
    </row>
    <row r="1926" spans="1:22" x14ac:dyDescent="0.25">
      <c r="A1926" s="11">
        <v>101060408</v>
      </c>
      <c r="B1926" s="11" t="s">
        <v>82</v>
      </c>
      <c r="C1926" s="41">
        <v>44847</v>
      </c>
      <c r="D1926" s="41">
        <v>44847</v>
      </c>
      <c r="E1926" s="11" t="s">
        <v>42</v>
      </c>
      <c r="F1926" s="11" t="s">
        <v>2982</v>
      </c>
      <c r="G1926" s="11">
        <v>106941</v>
      </c>
      <c r="H1926" s="11" t="s">
        <v>98</v>
      </c>
      <c r="J1926" s="11" t="s">
        <v>38</v>
      </c>
      <c r="K1926" s="11">
        <v>51010101</v>
      </c>
      <c r="L1926" s="11" t="s">
        <v>48</v>
      </c>
      <c r="M1926" s="11"/>
      <c r="N1926" s="11">
        <v>1325.58</v>
      </c>
      <c r="O1926" s="42">
        <v>-1325.58</v>
      </c>
      <c r="P1926" s="43" t="s">
        <v>4489</v>
      </c>
      <c r="Q1926" s="11">
        <v>180559.05</v>
      </c>
      <c r="R1926" s="11" t="s">
        <v>3665</v>
      </c>
      <c r="S1926" s="11" t="s">
        <v>106</v>
      </c>
      <c r="T1926" s="11">
        <v>0</v>
      </c>
      <c r="V1926" s="11" t="s">
        <v>41</v>
      </c>
    </row>
    <row r="1927" spans="1:22" x14ac:dyDescent="0.25">
      <c r="A1927" s="11">
        <v>101060408</v>
      </c>
      <c r="B1927" s="11" t="s">
        <v>82</v>
      </c>
      <c r="C1927" s="41">
        <v>44847</v>
      </c>
      <c r="D1927" s="41">
        <v>44847</v>
      </c>
      <c r="E1927" s="11" t="s">
        <v>42</v>
      </c>
      <c r="F1927" s="11" t="s">
        <v>637</v>
      </c>
      <c r="G1927" s="11">
        <v>106951</v>
      </c>
      <c r="H1927" s="11" t="s">
        <v>57</v>
      </c>
      <c r="K1927" s="11">
        <v>101060401</v>
      </c>
      <c r="L1927" s="11" t="s">
        <v>34</v>
      </c>
      <c r="M1927" s="11"/>
      <c r="N1927" s="11">
        <v>100809.27</v>
      </c>
      <c r="O1927" s="42">
        <v>-100809.27</v>
      </c>
      <c r="P1927" s="43" t="s">
        <v>4481</v>
      </c>
      <c r="Q1927" s="11">
        <v>79749.78</v>
      </c>
      <c r="R1927" s="11" t="s">
        <v>3667</v>
      </c>
      <c r="S1927" s="11" t="s">
        <v>40</v>
      </c>
      <c r="T1927" s="11">
        <v>0</v>
      </c>
    </row>
    <row r="1928" spans="1:22" x14ac:dyDescent="0.25">
      <c r="A1928" s="11">
        <v>101060408</v>
      </c>
      <c r="B1928" s="11" t="s">
        <v>82</v>
      </c>
      <c r="C1928" s="41">
        <v>44847</v>
      </c>
      <c r="D1928" s="41">
        <v>44847</v>
      </c>
      <c r="E1928" s="11" t="s">
        <v>36</v>
      </c>
      <c r="F1928" s="11" t="s">
        <v>3668</v>
      </c>
      <c r="G1928" s="11">
        <v>106982</v>
      </c>
      <c r="H1928" s="11" t="s">
        <v>3641</v>
      </c>
      <c r="K1928" s="11">
        <v>101060501</v>
      </c>
      <c r="L1928" s="11" t="s">
        <v>3632</v>
      </c>
      <c r="M1928" s="11">
        <v>133480.07</v>
      </c>
      <c r="N1928" s="11"/>
      <c r="O1928" s="44">
        <v>133480.07</v>
      </c>
      <c r="P1928" s="43" t="s">
        <v>4492</v>
      </c>
      <c r="Q1928" s="11">
        <v>213229.85</v>
      </c>
      <c r="R1928" s="11" t="s">
        <v>3669</v>
      </c>
      <c r="S1928" s="11" t="s">
        <v>137</v>
      </c>
      <c r="T1928" s="11">
        <v>0</v>
      </c>
    </row>
    <row r="1929" spans="1:22" x14ac:dyDescent="0.25">
      <c r="A1929" s="11">
        <v>101060408</v>
      </c>
      <c r="B1929" s="11" t="s">
        <v>82</v>
      </c>
      <c r="C1929" s="41">
        <v>44847</v>
      </c>
      <c r="D1929" s="41">
        <v>44847</v>
      </c>
      <c r="E1929" s="11" t="s">
        <v>36</v>
      </c>
      <c r="F1929" s="11" t="s">
        <v>3670</v>
      </c>
      <c r="G1929" s="11">
        <v>106983</v>
      </c>
      <c r="H1929" s="11" t="s">
        <v>3671</v>
      </c>
      <c r="K1929" s="11">
        <v>101060501</v>
      </c>
      <c r="L1929" s="11" t="s">
        <v>3632</v>
      </c>
      <c r="M1929" s="11">
        <v>13415.96</v>
      </c>
      <c r="N1929" s="11"/>
      <c r="O1929" s="44">
        <v>13415.96</v>
      </c>
      <c r="P1929" s="43" t="s">
        <v>4492</v>
      </c>
      <c r="Q1929" s="11">
        <v>226645.81</v>
      </c>
      <c r="R1929" s="11" t="s">
        <v>3672</v>
      </c>
      <c r="S1929" s="11" t="s">
        <v>137</v>
      </c>
      <c r="T1929" s="11">
        <v>0</v>
      </c>
    </row>
    <row r="1930" spans="1:22" x14ac:dyDescent="0.25">
      <c r="A1930" s="11">
        <v>101060408</v>
      </c>
      <c r="B1930" s="11" t="s">
        <v>82</v>
      </c>
      <c r="C1930" s="41">
        <v>44847</v>
      </c>
      <c r="D1930" s="41">
        <v>44847</v>
      </c>
      <c r="E1930" s="11" t="s">
        <v>42</v>
      </c>
      <c r="F1930" s="11" t="s">
        <v>655</v>
      </c>
      <c r="G1930" s="11">
        <v>106985</v>
      </c>
      <c r="H1930" s="11" t="s">
        <v>57</v>
      </c>
      <c r="K1930" s="11">
        <v>101060401</v>
      </c>
      <c r="L1930" s="11" t="s">
        <v>34</v>
      </c>
      <c r="M1930" s="11">
        <v>1452.63</v>
      </c>
      <c r="N1930" s="11"/>
      <c r="O1930" s="42">
        <v>1452.63</v>
      </c>
      <c r="P1930" s="43" t="s">
        <v>4481</v>
      </c>
      <c r="Q1930" s="11">
        <v>228098.44</v>
      </c>
      <c r="R1930" s="11" t="s">
        <v>3673</v>
      </c>
      <c r="S1930" s="11" t="s">
        <v>40</v>
      </c>
      <c r="T1930" s="11">
        <v>0</v>
      </c>
    </row>
    <row r="1931" spans="1:22" x14ac:dyDescent="0.25">
      <c r="A1931" s="11">
        <v>101060408</v>
      </c>
      <c r="B1931" s="11" t="s">
        <v>82</v>
      </c>
      <c r="C1931" s="41">
        <v>44847</v>
      </c>
      <c r="D1931" s="41">
        <v>44847</v>
      </c>
      <c r="E1931" s="11" t="s">
        <v>42</v>
      </c>
      <c r="F1931" s="11" t="s">
        <v>657</v>
      </c>
      <c r="G1931" s="11">
        <v>106986</v>
      </c>
      <c r="H1931" s="11" t="s">
        <v>74</v>
      </c>
      <c r="J1931" s="11" t="s">
        <v>38</v>
      </c>
      <c r="K1931" s="11">
        <v>51010101</v>
      </c>
      <c r="L1931" s="11" t="s">
        <v>48</v>
      </c>
      <c r="M1931" s="11"/>
      <c r="N1931" s="11">
        <v>1452.63</v>
      </c>
      <c r="O1931" s="42">
        <v>-1452.63</v>
      </c>
      <c r="P1931" s="43" t="s">
        <v>4489</v>
      </c>
      <c r="Q1931" s="11">
        <v>226645.81</v>
      </c>
      <c r="R1931" s="11" t="s">
        <v>656</v>
      </c>
      <c r="S1931" s="11" t="s">
        <v>40</v>
      </c>
      <c r="T1931" s="11">
        <v>0</v>
      </c>
      <c r="V1931" s="11" t="s">
        <v>41</v>
      </c>
    </row>
    <row r="1932" spans="1:22" x14ac:dyDescent="0.25">
      <c r="A1932" s="11">
        <v>101060408</v>
      </c>
      <c r="B1932" s="11" t="s">
        <v>82</v>
      </c>
      <c r="C1932" s="41">
        <v>44848</v>
      </c>
      <c r="D1932" s="41">
        <v>44848</v>
      </c>
      <c r="E1932" s="11" t="s">
        <v>42</v>
      </c>
      <c r="F1932" s="11" t="s">
        <v>681</v>
      </c>
      <c r="G1932" s="11">
        <v>107017</v>
      </c>
      <c r="H1932" s="11" t="s">
        <v>57</v>
      </c>
      <c r="K1932" s="11">
        <v>101060401</v>
      </c>
      <c r="L1932" s="11" t="s">
        <v>34</v>
      </c>
      <c r="M1932" s="11"/>
      <c r="N1932" s="11">
        <v>146896.03</v>
      </c>
      <c r="O1932" s="42">
        <v>-146896.03</v>
      </c>
      <c r="P1932" s="43" t="s">
        <v>4481</v>
      </c>
      <c r="Q1932" s="11">
        <v>79749.78</v>
      </c>
      <c r="R1932" s="11" t="s">
        <v>684</v>
      </c>
      <c r="S1932" s="11" t="s">
        <v>40</v>
      </c>
      <c r="T1932" s="11">
        <v>0</v>
      </c>
    </row>
    <row r="1933" spans="1:22" x14ac:dyDescent="0.25">
      <c r="A1933" s="11">
        <v>101060408</v>
      </c>
      <c r="B1933" s="11" t="s">
        <v>82</v>
      </c>
      <c r="C1933" s="41">
        <v>44853</v>
      </c>
      <c r="D1933" s="41">
        <v>44853</v>
      </c>
      <c r="E1933" s="11" t="s">
        <v>36</v>
      </c>
      <c r="F1933" s="11" t="s">
        <v>3674</v>
      </c>
      <c r="G1933" s="11">
        <v>107213</v>
      </c>
      <c r="H1933" s="11" t="s">
        <v>3644</v>
      </c>
      <c r="K1933" s="11">
        <v>101060501</v>
      </c>
      <c r="L1933" s="11" t="s">
        <v>3632</v>
      </c>
      <c r="M1933" s="11">
        <v>56980.5</v>
      </c>
      <c r="N1933" s="11"/>
      <c r="O1933" s="44">
        <v>56980.5</v>
      </c>
      <c r="P1933" s="43" t="s">
        <v>4492</v>
      </c>
      <c r="Q1933" s="11">
        <v>136730.28</v>
      </c>
      <c r="R1933" s="11" t="s">
        <v>3675</v>
      </c>
      <c r="S1933" s="11" t="s">
        <v>137</v>
      </c>
      <c r="T1933" s="11">
        <v>0</v>
      </c>
    </row>
    <row r="1934" spans="1:22" x14ac:dyDescent="0.25">
      <c r="A1934" s="11">
        <v>101060408</v>
      </c>
      <c r="B1934" s="11" t="s">
        <v>82</v>
      </c>
      <c r="C1934" s="41">
        <v>44853</v>
      </c>
      <c r="D1934" s="41">
        <v>44853</v>
      </c>
      <c r="E1934" s="11" t="s">
        <v>36</v>
      </c>
      <c r="F1934" s="11" t="s">
        <v>3676</v>
      </c>
      <c r="G1934" s="11">
        <v>107214</v>
      </c>
      <c r="H1934" s="11" t="s">
        <v>3677</v>
      </c>
      <c r="K1934" s="11">
        <v>101060501</v>
      </c>
      <c r="L1934" s="11" t="s">
        <v>3632</v>
      </c>
      <c r="M1934" s="11">
        <v>1745.47</v>
      </c>
      <c r="N1934" s="11"/>
      <c r="O1934" s="44">
        <v>1745.47</v>
      </c>
      <c r="P1934" s="43" t="s">
        <v>4492</v>
      </c>
      <c r="Q1934" s="11">
        <v>138475.75</v>
      </c>
      <c r="R1934" s="11" t="s">
        <v>3678</v>
      </c>
      <c r="S1934" s="11" t="s">
        <v>137</v>
      </c>
      <c r="T1934" s="11">
        <v>0</v>
      </c>
    </row>
    <row r="1935" spans="1:22" x14ac:dyDescent="0.25">
      <c r="A1935" s="11">
        <v>101060408</v>
      </c>
      <c r="B1935" s="11" t="s">
        <v>82</v>
      </c>
      <c r="C1935" s="41">
        <v>44853</v>
      </c>
      <c r="D1935" s="41">
        <v>44853</v>
      </c>
      <c r="E1935" s="11" t="s">
        <v>36</v>
      </c>
      <c r="F1935" s="11" t="s">
        <v>3679</v>
      </c>
      <c r="G1935" s="11">
        <v>107232</v>
      </c>
      <c r="H1935" s="11" t="s">
        <v>3639</v>
      </c>
      <c r="K1935" s="11">
        <v>101060501</v>
      </c>
      <c r="L1935" s="11" t="s">
        <v>3632</v>
      </c>
      <c r="M1935" s="11">
        <v>243.15</v>
      </c>
      <c r="N1935" s="11"/>
      <c r="O1935" s="44">
        <v>243.15</v>
      </c>
      <c r="P1935" s="43" t="s">
        <v>4492</v>
      </c>
      <c r="Q1935" s="11">
        <v>138718.9</v>
      </c>
      <c r="R1935" s="11" t="s">
        <v>3680</v>
      </c>
      <c r="S1935" s="11" t="s">
        <v>137</v>
      </c>
      <c r="T1935" s="11">
        <v>0</v>
      </c>
    </row>
    <row r="1936" spans="1:22" x14ac:dyDescent="0.25">
      <c r="A1936" s="11">
        <v>101060408</v>
      </c>
      <c r="B1936" s="11" t="s">
        <v>82</v>
      </c>
      <c r="C1936" s="41">
        <v>44853</v>
      </c>
      <c r="D1936" s="41">
        <v>44853</v>
      </c>
      <c r="E1936" s="11" t="s">
        <v>36</v>
      </c>
      <c r="F1936" s="11" t="s">
        <v>3681</v>
      </c>
      <c r="G1936" s="11">
        <v>107233</v>
      </c>
      <c r="H1936" s="11" t="s">
        <v>3640</v>
      </c>
      <c r="K1936" s="11">
        <v>101060501</v>
      </c>
      <c r="L1936" s="11" t="s">
        <v>3632</v>
      </c>
      <c r="M1936" s="11">
        <v>22096.6</v>
      </c>
      <c r="N1936" s="11"/>
      <c r="O1936" s="44">
        <v>22096.6</v>
      </c>
      <c r="P1936" s="43" t="s">
        <v>4492</v>
      </c>
      <c r="Q1936" s="11">
        <v>160815.5</v>
      </c>
      <c r="R1936" s="11" t="s">
        <v>3682</v>
      </c>
      <c r="S1936" s="11" t="s">
        <v>137</v>
      </c>
      <c r="T1936" s="11">
        <v>0</v>
      </c>
    </row>
    <row r="1937" spans="1:22" x14ac:dyDescent="0.25">
      <c r="A1937" s="11">
        <v>101060408</v>
      </c>
      <c r="B1937" s="11" t="s">
        <v>82</v>
      </c>
      <c r="C1937" s="41">
        <v>44853</v>
      </c>
      <c r="D1937" s="41">
        <v>44853</v>
      </c>
      <c r="E1937" s="11" t="s">
        <v>36</v>
      </c>
      <c r="F1937" s="11" t="s">
        <v>3683</v>
      </c>
      <c r="G1937" s="11">
        <v>107237</v>
      </c>
      <c r="H1937" s="11" t="s">
        <v>3636</v>
      </c>
      <c r="K1937" s="11">
        <v>101060501</v>
      </c>
      <c r="L1937" s="11" t="s">
        <v>3632</v>
      </c>
      <c r="M1937" s="11">
        <v>25329.759999999998</v>
      </c>
      <c r="N1937" s="11"/>
      <c r="O1937" s="44">
        <v>25329.759999999998</v>
      </c>
      <c r="P1937" s="43" t="s">
        <v>4492</v>
      </c>
      <c r="Q1937" s="11">
        <v>186145.26</v>
      </c>
      <c r="R1937" s="11" t="s">
        <v>3684</v>
      </c>
      <c r="S1937" s="11" t="s">
        <v>137</v>
      </c>
      <c r="T1937" s="11">
        <v>0</v>
      </c>
    </row>
    <row r="1938" spans="1:22" x14ac:dyDescent="0.25">
      <c r="A1938" s="11">
        <v>101060408</v>
      </c>
      <c r="B1938" s="11" t="s">
        <v>82</v>
      </c>
      <c r="C1938" s="41">
        <v>44853</v>
      </c>
      <c r="D1938" s="41">
        <v>44853</v>
      </c>
      <c r="E1938" s="11" t="s">
        <v>36</v>
      </c>
      <c r="F1938" s="11" t="s">
        <v>3685</v>
      </c>
      <c r="G1938" s="11">
        <v>107238</v>
      </c>
      <c r="H1938" s="11" t="s">
        <v>3686</v>
      </c>
      <c r="K1938" s="11">
        <v>101060501</v>
      </c>
      <c r="L1938" s="11" t="s">
        <v>3632</v>
      </c>
      <c r="M1938" s="11">
        <v>3902.79</v>
      </c>
      <c r="N1938" s="11"/>
      <c r="O1938" s="44">
        <v>3902.79</v>
      </c>
      <c r="P1938" s="43" t="s">
        <v>4492</v>
      </c>
      <c r="Q1938" s="11">
        <v>190048.05</v>
      </c>
      <c r="R1938" s="11" t="s">
        <v>3687</v>
      </c>
      <c r="S1938" s="11" t="s">
        <v>137</v>
      </c>
      <c r="T1938" s="11">
        <v>0</v>
      </c>
    </row>
    <row r="1939" spans="1:22" x14ac:dyDescent="0.25">
      <c r="A1939" s="11">
        <v>101060408</v>
      </c>
      <c r="B1939" s="11" t="s">
        <v>82</v>
      </c>
      <c r="C1939" s="41">
        <v>44853</v>
      </c>
      <c r="D1939" s="41">
        <v>44853</v>
      </c>
      <c r="E1939" s="11" t="s">
        <v>42</v>
      </c>
      <c r="F1939" s="11" t="s">
        <v>792</v>
      </c>
      <c r="G1939" s="11">
        <v>107243</v>
      </c>
      <c r="H1939" s="11" t="s">
        <v>57</v>
      </c>
      <c r="K1939" s="11">
        <v>101060401</v>
      </c>
      <c r="L1939" s="11" t="s">
        <v>34</v>
      </c>
      <c r="M1939" s="11"/>
      <c r="N1939" s="11">
        <v>27403.56</v>
      </c>
      <c r="O1939" s="42">
        <v>-27403.56</v>
      </c>
      <c r="P1939" s="43" t="s">
        <v>4481</v>
      </c>
      <c r="Q1939" s="11">
        <v>162644.49</v>
      </c>
      <c r="R1939" s="11" t="s">
        <v>3688</v>
      </c>
      <c r="S1939" s="11" t="s">
        <v>40</v>
      </c>
      <c r="T1939" s="11">
        <v>0</v>
      </c>
    </row>
    <row r="1940" spans="1:22" x14ac:dyDescent="0.25">
      <c r="A1940" s="11">
        <v>101060408</v>
      </c>
      <c r="B1940" s="11" t="s">
        <v>82</v>
      </c>
      <c r="C1940" s="41">
        <v>44853</v>
      </c>
      <c r="D1940" s="41">
        <v>44853</v>
      </c>
      <c r="E1940" s="11" t="s">
        <v>42</v>
      </c>
      <c r="F1940" s="11" t="s">
        <v>794</v>
      </c>
      <c r="G1940" s="11">
        <v>107244</v>
      </c>
      <c r="H1940" s="11" t="s">
        <v>57</v>
      </c>
      <c r="K1940" s="11">
        <v>101060401</v>
      </c>
      <c r="L1940" s="11" t="s">
        <v>34</v>
      </c>
      <c r="M1940" s="11"/>
      <c r="N1940" s="11">
        <v>23905.69</v>
      </c>
      <c r="O1940" s="42">
        <v>-23905.69</v>
      </c>
      <c r="P1940" s="43" t="s">
        <v>4481</v>
      </c>
      <c r="Q1940" s="11">
        <v>138738.79999999999</v>
      </c>
      <c r="R1940" s="11" t="s">
        <v>3689</v>
      </c>
      <c r="S1940" s="11" t="s">
        <v>40</v>
      </c>
      <c r="T1940" s="11">
        <v>0</v>
      </c>
    </row>
    <row r="1941" spans="1:22" x14ac:dyDescent="0.25">
      <c r="A1941" s="11">
        <v>101060408</v>
      </c>
      <c r="B1941" s="11" t="s">
        <v>82</v>
      </c>
      <c r="C1941" s="41">
        <v>44853</v>
      </c>
      <c r="D1941" s="41">
        <v>44853</v>
      </c>
      <c r="E1941" s="11" t="s">
        <v>42</v>
      </c>
      <c r="F1941" s="11" t="s">
        <v>796</v>
      </c>
      <c r="G1941" s="11">
        <v>107245</v>
      </c>
      <c r="H1941" s="11" t="s">
        <v>57</v>
      </c>
      <c r="K1941" s="11">
        <v>101060401</v>
      </c>
      <c r="L1941" s="11" t="s">
        <v>34</v>
      </c>
      <c r="M1941" s="11"/>
      <c r="N1941" s="11">
        <v>263.05</v>
      </c>
      <c r="O1941" s="42">
        <v>-263.05</v>
      </c>
      <c r="P1941" s="43" t="s">
        <v>4481</v>
      </c>
      <c r="Q1941" s="11">
        <v>138475.75</v>
      </c>
      <c r="R1941" s="11" t="s">
        <v>3690</v>
      </c>
      <c r="S1941" s="11" t="s">
        <v>40</v>
      </c>
      <c r="T1941" s="11">
        <v>0</v>
      </c>
    </row>
    <row r="1942" spans="1:22" x14ac:dyDescent="0.25">
      <c r="A1942" s="11">
        <v>101060408</v>
      </c>
      <c r="B1942" s="11" t="s">
        <v>82</v>
      </c>
      <c r="C1942" s="41">
        <v>44853</v>
      </c>
      <c r="D1942" s="41">
        <v>44853</v>
      </c>
      <c r="E1942" s="11" t="s">
        <v>42</v>
      </c>
      <c r="F1942" s="11" t="s">
        <v>808</v>
      </c>
      <c r="G1942" s="11">
        <v>107251</v>
      </c>
      <c r="H1942" s="11" t="s">
        <v>57</v>
      </c>
      <c r="K1942" s="11">
        <v>101060401</v>
      </c>
      <c r="L1942" s="11" t="s">
        <v>34</v>
      </c>
      <c r="M1942" s="11"/>
      <c r="N1942" s="11">
        <v>58725.97</v>
      </c>
      <c r="O1942" s="42">
        <v>-58725.97</v>
      </c>
      <c r="P1942" s="43" t="s">
        <v>4481</v>
      </c>
      <c r="Q1942" s="11">
        <v>79749.78</v>
      </c>
      <c r="R1942" s="11" t="s">
        <v>811</v>
      </c>
      <c r="S1942" s="11" t="s">
        <v>40</v>
      </c>
      <c r="T1942" s="11">
        <v>0</v>
      </c>
    </row>
    <row r="1943" spans="1:22" x14ac:dyDescent="0.25">
      <c r="A1943" s="11">
        <v>101060408</v>
      </c>
      <c r="B1943" s="11" t="s">
        <v>82</v>
      </c>
      <c r="C1943" s="41">
        <v>44860</v>
      </c>
      <c r="D1943" s="41">
        <v>44860</v>
      </c>
      <c r="E1943" s="11" t="s">
        <v>42</v>
      </c>
      <c r="F1943" s="11" t="s">
        <v>1010</v>
      </c>
      <c r="G1943" s="11">
        <v>107658</v>
      </c>
      <c r="H1943" s="11" t="s">
        <v>57</v>
      </c>
      <c r="K1943" s="11">
        <v>101060401</v>
      </c>
      <c r="L1943" s="11" t="s">
        <v>34</v>
      </c>
      <c r="M1943" s="11">
        <v>141.84</v>
      </c>
      <c r="N1943" s="11"/>
      <c r="O1943" s="42">
        <v>141.84</v>
      </c>
      <c r="P1943" s="43" t="s">
        <v>4481</v>
      </c>
      <c r="Q1943" s="11">
        <v>79891.62</v>
      </c>
      <c r="R1943" s="11" t="s">
        <v>3691</v>
      </c>
      <c r="S1943" s="11" t="s">
        <v>40</v>
      </c>
      <c r="T1943" s="11">
        <v>0</v>
      </c>
    </row>
    <row r="1944" spans="1:22" x14ac:dyDescent="0.25">
      <c r="A1944" s="11">
        <v>101060408</v>
      </c>
      <c r="B1944" s="11" t="s">
        <v>82</v>
      </c>
      <c r="C1944" s="41">
        <v>44860</v>
      </c>
      <c r="D1944" s="41">
        <v>44860</v>
      </c>
      <c r="E1944" s="11" t="s">
        <v>42</v>
      </c>
      <c r="F1944" s="11" t="s">
        <v>3692</v>
      </c>
      <c r="G1944" s="11">
        <v>107659</v>
      </c>
      <c r="H1944" s="11" t="s">
        <v>112</v>
      </c>
      <c r="J1944" s="11" t="s">
        <v>38</v>
      </c>
      <c r="K1944" s="11">
        <v>51010101</v>
      </c>
      <c r="L1944" s="11" t="s">
        <v>48</v>
      </c>
      <c r="M1944" s="11"/>
      <c r="N1944" s="11">
        <v>141.84</v>
      </c>
      <c r="O1944" s="42">
        <v>-141.84</v>
      </c>
      <c r="P1944" s="43" t="s">
        <v>4489</v>
      </c>
      <c r="Q1944" s="11">
        <v>79749.78</v>
      </c>
      <c r="R1944" s="11" t="s">
        <v>1011</v>
      </c>
      <c r="S1944" s="11" t="s">
        <v>40</v>
      </c>
      <c r="T1944" s="11">
        <v>0</v>
      </c>
      <c r="V1944" s="11" t="s">
        <v>41</v>
      </c>
    </row>
    <row r="1945" spans="1:22" x14ac:dyDescent="0.25">
      <c r="A1945" s="11">
        <v>101060408</v>
      </c>
      <c r="B1945" s="11" t="s">
        <v>82</v>
      </c>
      <c r="C1945" s="41">
        <v>44865</v>
      </c>
      <c r="D1945" s="41">
        <v>44865</v>
      </c>
      <c r="E1945" s="11" t="s">
        <v>42</v>
      </c>
      <c r="F1945" s="11" t="s">
        <v>3693</v>
      </c>
      <c r="G1945" s="11">
        <v>107815</v>
      </c>
      <c r="H1945" s="11" t="s">
        <v>3694</v>
      </c>
      <c r="J1945" s="11" t="s">
        <v>38</v>
      </c>
      <c r="K1945" s="11">
        <v>51010101</v>
      </c>
      <c r="L1945" s="11" t="s">
        <v>48</v>
      </c>
      <c r="M1945" s="11">
        <v>141.84</v>
      </c>
      <c r="N1945" s="11"/>
      <c r="O1945" s="42">
        <v>141.84</v>
      </c>
      <c r="P1945" s="43" t="s">
        <v>4489</v>
      </c>
      <c r="Q1945" s="11">
        <v>79891.62</v>
      </c>
      <c r="R1945" s="11" t="s">
        <v>3691</v>
      </c>
      <c r="S1945" s="11" t="s">
        <v>40</v>
      </c>
      <c r="T1945" s="11">
        <v>0</v>
      </c>
      <c r="V1945" s="11" t="s">
        <v>41</v>
      </c>
    </row>
    <row r="1946" spans="1:22" x14ac:dyDescent="0.25">
      <c r="A1946" s="11">
        <v>101060408</v>
      </c>
      <c r="B1946" s="11" t="s">
        <v>82</v>
      </c>
      <c r="C1946" s="41">
        <v>44865</v>
      </c>
      <c r="D1946" s="41">
        <v>44865</v>
      </c>
      <c r="E1946" s="11" t="s">
        <v>42</v>
      </c>
      <c r="F1946" s="11" t="s">
        <v>3695</v>
      </c>
      <c r="G1946" s="11">
        <v>107816</v>
      </c>
      <c r="H1946" s="11" t="s">
        <v>3696</v>
      </c>
      <c r="K1946" s="11">
        <v>51010101</v>
      </c>
      <c r="L1946" s="11" t="s">
        <v>48</v>
      </c>
      <c r="M1946" s="11"/>
      <c r="N1946" s="11">
        <v>141.84</v>
      </c>
      <c r="O1946" s="42">
        <v>-141.84</v>
      </c>
      <c r="P1946" s="43" t="s">
        <v>4489</v>
      </c>
      <c r="Q1946" s="11">
        <v>79749.78</v>
      </c>
      <c r="R1946" s="11" t="s">
        <v>1011</v>
      </c>
      <c r="S1946" s="11" t="s">
        <v>40</v>
      </c>
      <c r="T1946" s="11">
        <v>0</v>
      </c>
    </row>
    <row r="1947" spans="1:22" x14ac:dyDescent="0.25">
      <c r="A1947" s="11">
        <v>101060408</v>
      </c>
      <c r="B1947" s="11" t="s">
        <v>82</v>
      </c>
      <c r="C1947" s="41">
        <v>44865</v>
      </c>
      <c r="D1947" s="41">
        <v>44865</v>
      </c>
      <c r="E1947" s="11" t="s">
        <v>42</v>
      </c>
      <c r="F1947" s="11" t="s">
        <v>3697</v>
      </c>
      <c r="G1947" s="11">
        <v>108872</v>
      </c>
      <c r="H1947" s="11" t="s">
        <v>3698</v>
      </c>
      <c r="K1947" s="11">
        <v>51010101</v>
      </c>
      <c r="L1947" s="11" t="s">
        <v>48</v>
      </c>
      <c r="M1947" s="11">
        <v>141.84</v>
      </c>
      <c r="N1947" s="11"/>
      <c r="O1947" s="42">
        <v>141.84</v>
      </c>
      <c r="P1947" s="43" t="s">
        <v>4489</v>
      </c>
      <c r="Q1947" s="11">
        <v>79891.62</v>
      </c>
      <c r="R1947" s="11" t="s">
        <v>3691</v>
      </c>
      <c r="S1947" s="11" t="s">
        <v>40</v>
      </c>
      <c r="T1947" s="11">
        <v>0</v>
      </c>
    </row>
    <row r="1948" spans="1:22" x14ac:dyDescent="0.25">
      <c r="A1948" s="11">
        <v>101060408</v>
      </c>
      <c r="B1948" s="11" t="s">
        <v>82</v>
      </c>
      <c r="C1948" s="41">
        <v>44883</v>
      </c>
      <c r="D1948" s="41">
        <v>44883</v>
      </c>
      <c r="E1948" s="11" t="s">
        <v>36</v>
      </c>
      <c r="F1948" s="11" t="s">
        <v>3699</v>
      </c>
      <c r="G1948" s="11">
        <v>108788</v>
      </c>
      <c r="H1948" s="11" t="s">
        <v>3634</v>
      </c>
      <c r="K1948" s="11">
        <v>101060501</v>
      </c>
      <c r="L1948" s="11" t="s">
        <v>3632</v>
      </c>
      <c r="M1948" s="11">
        <v>74305.37</v>
      </c>
      <c r="N1948" s="11"/>
      <c r="O1948" s="44">
        <v>74305.37</v>
      </c>
      <c r="P1948" s="43" t="s">
        <v>4492</v>
      </c>
      <c r="Q1948" s="11">
        <v>154196.99</v>
      </c>
      <c r="R1948" s="11" t="s">
        <v>3700</v>
      </c>
      <c r="S1948" s="11" t="s">
        <v>137</v>
      </c>
      <c r="T1948" s="11">
        <v>0</v>
      </c>
    </row>
    <row r="1949" spans="1:22" x14ac:dyDescent="0.25">
      <c r="A1949" s="11">
        <v>101060408</v>
      </c>
      <c r="B1949" s="11" t="s">
        <v>82</v>
      </c>
      <c r="C1949" s="41">
        <v>44883</v>
      </c>
      <c r="D1949" s="41">
        <v>44883</v>
      </c>
      <c r="E1949" s="11" t="s">
        <v>42</v>
      </c>
      <c r="F1949" s="11" t="s">
        <v>1640</v>
      </c>
      <c r="G1949" s="11">
        <v>108795</v>
      </c>
      <c r="H1949" s="11" t="s">
        <v>139</v>
      </c>
      <c r="J1949" s="11" t="s">
        <v>38</v>
      </c>
      <c r="K1949" s="11">
        <v>51010101</v>
      </c>
      <c r="L1949" s="11" t="s">
        <v>48</v>
      </c>
      <c r="M1949" s="11"/>
      <c r="N1949" s="11">
        <v>34.78</v>
      </c>
      <c r="O1949" s="42">
        <v>-34.78</v>
      </c>
      <c r="P1949" s="43" t="s">
        <v>4489</v>
      </c>
      <c r="Q1949" s="11">
        <v>154162.21</v>
      </c>
      <c r="R1949" s="11" t="s">
        <v>3701</v>
      </c>
      <c r="S1949" s="11" t="s">
        <v>40</v>
      </c>
      <c r="T1949" s="11">
        <v>0</v>
      </c>
      <c r="V1949" s="11" t="s">
        <v>41</v>
      </c>
    </row>
    <row r="1950" spans="1:22" x14ac:dyDescent="0.25">
      <c r="A1950" s="11">
        <v>101060408</v>
      </c>
      <c r="B1950" s="11" t="s">
        <v>82</v>
      </c>
      <c r="C1950" s="41">
        <v>44883</v>
      </c>
      <c r="D1950" s="41">
        <v>44883</v>
      </c>
      <c r="E1950" s="11" t="s">
        <v>42</v>
      </c>
      <c r="F1950" s="11" t="s">
        <v>3702</v>
      </c>
      <c r="G1950" s="11">
        <v>108814</v>
      </c>
      <c r="H1950" s="11" t="s">
        <v>93</v>
      </c>
      <c r="J1950" s="11" t="s">
        <v>38</v>
      </c>
      <c r="K1950" s="11">
        <v>51010101</v>
      </c>
      <c r="L1950" s="11" t="s">
        <v>48</v>
      </c>
      <c r="M1950" s="11"/>
      <c r="N1950" s="11">
        <v>204.74</v>
      </c>
      <c r="O1950" s="42">
        <v>-204.74</v>
      </c>
      <c r="P1950" s="43" t="s">
        <v>4489</v>
      </c>
      <c r="Q1950" s="11">
        <v>153957.47</v>
      </c>
      <c r="R1950" s="11" t="s">
        <v>3703</v>
      </c>
      <c r="S1950" s="11" t="s">
        <v>40</v>
      </c>
      <c r="T1950" s="11">
        <v>0</v>
      </c>
      <c r="V1950" s="11" t="s">
        <v>41</v>
      </c>
    </row>
    <row r="1951" spans="1:22" x14ac:dyDescent="0.25">
      <c r="A1951" s="11">
        <v>101060408</v>
      </c>
      <c r="B1951" s="11" t="s">
        <v>82</v>
      </c>
      <c r="C1951" s="41">
        <v>44883</v>
      </c>
      <c r="D1951" s="41">
        <v>44883</v>
      </c>
      <c r="E1951" s="11" t="s">
        <v>36</v>
      </c>
      <c r="F1951" s="11" t="s">
        <v>3704</v>
      </c>
      <c r="G1951" s="11">
        <v>108818</v>
      </c>
      <c r="H1951" s="11" t="s">
        <v>3705</v>
      </c>
      <c r="K1951" s="11">
        <v>101060501</v>
      </c>
      <c r="L1951" s="11" t="s">
        <v>3632</v>
      </c>
      <c r="M1951" s="11">
        <v>14327.38</v>
      </c>
      <c r="N1951" s="11"/>
      <c r="O1951" s="44">
        <v>14327.38</v>
      </c>
      <c r="P1951" s="43" t="s">
        <v>4492</v>
      </c>
      <c r="Q1951" s="11">
        <v>168284.85</v>
      </c>
      <c r="R1951" s="11" t="s">
        <v>3706</v>
      </c>
      <c r="S1951" s="11" t="s">
        <v>137</v>
      </c>
      <c r="T1951" s="11">
        <v>0</v>
      </c>
    </row>
    <row r="1952" spans="1:22" x14ac:dyDescent="0.25">
      <c r="A1952" s="11">
        <v>101060408</v>
      </c>
      <c r="B1952" s="11" t="s">
        <v>82</v>
      </c>
      <c r="C1952" s="41">
        <v>44883</v>
      </c>
      <c r="D1952" s="41">
        <v>44883</v>
      </c>
      <c r="E1952" s="11" t="s">
        <v>36</v>
      </c>
      <c r="F1952" s="11" t="s">
        <v>3707</v>
      </c>
      <c r="G1952" s="11">
        <v>108827</v>
      </c>
      <c r="H1952" s="11" t="s">
        <v>3708</v>
      </c>
      <c r="J1952" s="11" t="s">
        <v>38</v>
      </c>
      <c r="K1952" s="11">
        <v>51010101</v>
      </c>
      <c r="L1952" s="11" t="s">
        <v>48</v>
      </c>
      <c r="M1952" s="11"/>
      <c r="N1952" s="11">
        <v>897.46</v>
      </c>
      <c r="O1952" s="42">
        <v>-897.46</v>
      </c>
      <c r="P1952" s="43" t="s">
        <v>4489</v>
      </c>
      <c r="Q1952" s="11">
        <v>167387.39000000001</v>
      </c>
      <c r="R1952" s="11" t="s">
        <v>3709</v>
      </c>
      <c r="S1952" s="11" t="s">
        <v>137</v>
      </c>
      <c r="T1952" s="11">
        <v>0</v>
      </c>
      <c r="V1952" s="11" t="s">
        <v>41</v>
      </c>
    </row>
    <row r="1953" spans="1:22" x14ac:dyDescent="0.25">
      <c r="A1953" s="11">
        <v>101060408</v>
      </c>
      <c r="B1953" s="11" t="s">
        <v>82</v>
      </c>
      <c r="C1953" s="41">
        <v>44883</v>
      </c>
      <c r="D1953" s="41">
        <v>44883</v>
      </c>
      <c r="E1953" s="11" t="s">
        <v>42</v>
      </c>
      <c r="F1953" s="11" t="s">
        <v>3710</v>
      </c>
      <c r="G1953" s="11">
        <v>108828</v>
      </c>
      <c r="H1953" s="11" t="s">
        <v>50</v>
      </c>
      <c r="J1953" s="11" t="s">
        <v>38</v>
      </c>
      <c r="K1953" s="11">
        <v>51010101</v>
      </c>
      <c r="L1953" s="11" t="s">
        <v>48</v>
      </c>
      <c r="M1953" s="11"/>
      <c r="N1953" s="11">
        <v>82.45</v>
      </c>
      <c r="O1953" s="42">
        <v>-82.45</v>
      </c>
      <c r="P1953" s="43" t="s">
        <v>4489</v>
      </c>
      <c r="Q1953" s="11">
        <v>167304.94</v>
      </c>
      <c r="R1953" s="11" t="s">
        <v>3711</v>
      </c>
      <c r="S1953" s="11" t="s">
        <v>40</v>
      </c>
      <c r="T1953" s="11">
        <v>0</v>
      </c>
      <c r="V1953" s="11" t="s">
        <v>41</v>
      </c>
    </row>
    <row r="1954" spans="1:22" x14ac:dyDescent="0.25">
      <c r="A1954" s="11">
        <v>101060408</v>
      </c>
      <c r="B1954" s="11" t="s">
        <v>82</v>
      </c>
      <c r="C1954" s="41">
        <v>44883</v>
      </c>
      <c r="D1954" s="41">
        <v>44883</v>
      </c>
      <c r="E1954" s="11" t="s">
        <v>36</v>
      </c>
      <c r="F1954" s="11" t="s">
        <v>3712</v>
      </c>
      <c r="G1954" s="11">
        <v>108829</v>
      </c>
      <c r="H1954" s="11" t="s">
        <v>3713</v>
      </c>
      <c r="J1954" s="11" t="s">
        <v>38</v>
      </c>
      <c r="K1954" s="11">
        <v>401030105</v>
      </c>
      <c r="L1954" s="11" t="s">
        <v>54</v>
      </c>
      <c r="M1954" s="26">
        <v>425.86</v>
      </c>
      <c r="O1954" s="44">
        <v>425.86</v>
      </c>
      <c r="P1954" s="43" t="s">
        <v>4494</v>
      </c>
      <c r="Q1954" s="11">
        <v>167730.79999999999</v>
      </c>
      <c r="R1954" s="11" t="s">
        <v>3714</v>
      </c>
      <c r="S1954" s="11" t="s">
        <v>137</v>
      </c>
      <c r="T1954" s="11">
        <v>0</v>
      </c>
      <c r="V1954" s="11" t="s">
        <v>41</v>
      </c>
    </row>
    <row r="1955" spans="1:22" x14ac:dyDescent="0.25">
      <c r="A1955" s="11">
        <v>101060408</v>
      </c>
      <c r="B1955" s="11" t="s">
        <v>82</v>
      </c>
      <c r="C1955" s="41">
        <v>44887</v>
      </c>
      <c r="D1955" s="41">
        <v>44887</v>
      </c>
      <c r="E1955" s="11" t="s">
        <v>36</v>
      </c>
      <c r="F1955" s="11" t="s">
        <v>3715</v>
      </c>
      <c r="G1955" s="11">
        <v>108908</v>
      </c>
      <c r="H1955" s="11" t="s">
        <v>3716</v>
      </c>
      <c r="K1955" s="11">
        <v>101060501</v>
      </c>
      <c r="L1955" s="11" t="s">
        <v>3632</v>
      </c>
      <c r="M1955" s="11">
        <v>8172</v>
      </c>
      <c r="N1955" s="11"/>
      <c r="O1955" s="44">
        <v>8172</v>
      </c>
      <c r="P1955" s="43" t="s">
        <v>4492</v>
      </c>
      <c r="Q1955" s="11">
        <v>175902.8</v>
      </c>
      <c r="R1955" s="11" t="s">
        <v>3717</v>
      </c>
      <c r="S1955" s="11" t="s">
        <v>137</v>
      </c>
      <c r="T1955" s="11">
        <v>0</v>
      </c>
    </row>
    <row r="1956" spans="1:22" x14ac:dyDescent="0.25">
      <c r="A1956" s="11">
        <v>101060408</v>
      </c>
      <c r="B1956" s="11" t="s">
        <v>82</v>
      </c>
      <c r="C1956" s="41">
        <v>44887</v>
      </c>
      <c r="D1956" s="41">
        <v>44887</v>
      </c>
      <c r="E1956" s="11" t="s">
        <v>36</v>
      </c>
      <c r="F1956" s="11" t="s">
        <v>3718</v>
      </c>
      <c r="G1956" s="11">
        <v>108910</v>
      </c>
      <c r="H1956" s="11" t="s">
        <v>3719</v>
      </c>
      <c r="K1956" s="11">
        <v>101060501</v>
      </c>
      <c r="L1956" s="11" t="s">
        <v>3632</v>
      </c>
      <c r="M1956" s="11">
        <v>1630.48</v>
      </c>
      <c r="N1956" s="11"/>
      <c r="O1956" s="44">
        <v>1630.48</v>
      </c>
      <c r="P1956" s="43" t="s">
        <v>4492</v>
      </c>
      <c r="Q1956" s="11">
        <v>177533.28</v>
      </c>
      <c r="R1956" s="11" t="s">
        <v>3720</v>
      </c>
      <c r="S1956" s="11" t="s">
        <v>137</v>
      </c>
      <c r="T1956" s="11">
        <v>0</v>
      </c>
    </row>
    <row r="1957" spans="1:22" x14ac:dyDescent="0.25">
      <c r="A1957" s="11">
        <v>101060408</v>
      </c>
      <c r="B1957" s="11" t="s">
        <v>82</v>
      </c>
      <c r="C1957" s="41">
        <v>44887</v>
      </c>
      <c r="D1957" s="41">
        <v>44887</v>
      </c>
      <c r="E1957" s="11" t="s">
        <v>42</v>
      </c>
      <c r="F1957" s="11" t="s">
        <v>1752</v>
      </c>
      <c r="G1957" s="11">
        <v>108946</v>
      </c>
      <c r="H1957" s="11" t="s">
        <v>57</v>
      </c>
      <c r="K1957" s="11">
        <v>101060401</v>
      </c>
      <c r="L1957" s="11" t="s">
        <v>34</v>
      </c>
      <c r="M1957" s="11"/>
      <c r="N1957" s="11">
        <v>87438.09</v>
      </c>
      <c r="O1957" s="42">
        <v>-87438.09</v>
      </c>
      <c r="P1957" s="43" t="s">
        <v>4481</v>
      </c>
      <c r="Q1957" s="11">
        <v>90095.19</v>
      </c>
      <c r="R1957" s="11" t="s">
        <v>3721</v>
      </c>
      <c r="S1957" s="11" t="s">
        <v>40</v>
      </c>
      <c r="T1957" s="11">
        <v>0</v>
      </c>
    </row>
    <row r="1958" spans="1:22" x14ac:dyDescent="0.25">
      <c r="A1958" s="11">
        <v>101060408</v>
      </c>
      <c r="B1958" s="11" t="s">
        <v>82</v>
      </c>
      <c r="C1958" s="41">
        <v>44887</v>
      </c>
      <c r="D1958" s="41">
        <v>44887</v>
      </c>
      <c r="E1958" s="11" t="s">
        <v>42</v>
      </c>
      <c r="F1958" s="11" t="s">
        <v>1754</v>
      </c>
      <c r="G1958" s="11">
        <v>108948</v>
      </c>
      <c r="H1958" s="11" t="s">
        <v>57</v>
      </c>
      <c r="K1958" s="11">
        <v>101060401</v>
      </c>
      <c r="L1958" s="11" t="s">
        <v>34</v>
      </c>
      <c r="M1958" s="11"/>
      <c r="N1958" s="11">
        <v>9802.48</v>
      </c>
      <c r="O1958" s="42">
        <v>-9802.48</v>
      </c>
      <c r="P1958" s="43" t="s">
        <v>4481</v>
      </c>
      <c r="Q1958" s="11">
        <v>80292.710000000006</v>
      </c>
      <c r="R1958" s="11" t="s">
        <v>3722</v>
      </c>
      <c r="S1958" s="11" t="s">
        <v>40</v>
      </c>
      <c r="T1958" s="11">
        <v>0</v>
      </c>
    </row>
    <row r="1959" spans="1:22" x14ac:dyDescent="0.25">
      <c r="A1959" s="11">
        <v>101060408</v>
      </c>
      <c r="B1959" s="11" t="s">
        <v>82</v>
      </c>
      <c r="C1959" s="41">
        <v>44887</v>
      </c>
      <c r="D1959" s="41">
        <v>44887</v>
      </c>
      <c r="E1959" s="11" t="s">
        <v>42</v>
      </c>
      <c r="F1959" s="11" t="s">
        <v>1764</v>
      </c>
      <c r="G1959" s="11">
        <v>108966</v>
      </c>
      <c r="H1959" s="11" t="s">
        <v>57</v>
      </c>
      <c r="K1959" s="11">
        <v>101060401</v>
      </c>
      <c r="L1959" s="11" t="s">
        <v>34</v>
      </c>
      <c r="M1959" s="11">
        <v>278.79000000000002</v>
      </c>
      <c r="N1959" s="11"/>
      <c r="O1959" s="42">
        <v>278.79000000000002</v>
      </c>
      <c r="P1959" s="43" t="s">
        <v>4481</v>
      </c>
      <c r="Q1959" s="11">
        <v>80571.5</v>
      </c>
      <c r="R1959" s="11" t="s">
        <v>3723</v>
      </c>
      <c r="S1959" s="11" t="s">
        <v>40</v>
      </c>
      <c r="T1959" s="11">
        <v>0</v>
      </c>
    </row>
    <row r="1960" spans="1:22" x14ac:dyDescent="0.25">
      <c r="A1960" s="11">
        <v>101060408</v>
      </c>
      <c r="B1960" s="11" t="s">
        <v>82</v>
      </c>
      <c r="C1960" s="41">
        <v>44887</v>
      </c>
      <c r="D1960" s="41">
        <v>44887</v>
      </c>
      <c r="E1960" s="11" t="s">
        <v>42</v>
      </c>
      <c r="F1960" s="11" t="s">
        <v>3724</v>
      </c>
      <c r="G1960" s="11">
        <v>108967</v>
      </c>
      <c r="H1960" s="11" t="s">
        <v>50</v>
      </c>
      <c r="J1960" s="11" t="s">
        <v>38</v>
      </c>
      <c r="K1960" s="11">
        <v>51010101</v>
      </c>
      <c r="L1960" s="11" t="s">
        <v>48</v>
      </c>
      <c r="M1960" s="11"/>
      <c r="N1960" s="11">
        <v>278.79000000000002</v>
      </c>
      <c r="O1960" s="42">
        <v>-278.79000000000002</v>
      </c>
      <c r="P1960" s="43" t="s">
        <v>4489</v>
      </c>
      <c r="Q1960" s="11">
        <v>80292.710000000006</v>
      </c>
      <c r="R1960" s="11" t="s">
        <v>1765</v>
      </c>
      <c r="S1960" s="11" t="s">
        <v>40</v>
      </c>
      <c r="T1960" s="11">
        <v>0</v>
      </c>
      <c r="V1960" s="11" t="s">
        <v>41</v>
      </c>
    </row>
    <row r="1961" spans="1:22" x14ac:dyDescent="0.25">
      <c r="A1961" s="11">
        <v>101060408</v>
      </c>
      <c r="B1961" s="11" t="s">
        <v>82</v>
      </c>
      <c r="C1961" s="41">
        <v>44887</v>
      </c>
      <c r="D1961" s="41">
        <v>44887</v>
      </c>
      <c r="E1961" s="11" t="s">
        <v>42</v>
      </c>
      <c r="F1961" s="11" t="s">
        <v>1766</v>
      </c>
      <c r="G1961" s="11">
        <v>108969</v>
      </c>
      <c r="H1961" s="11" t="s">
        <v>57</v>
      </c>
      <c r="K1961" s="11">
        <v>101060401</v>
      </c>
      <c r="L1961" s="11" t="s">
        <v>34</v>
      </c>
      <c r="M1961" s="11">
        <v>106.67</v>
      </c>
      <c r="N1961" s="11"/>
      <c r="O1961" s="42">
        <v>106.67</v>
      </c>
      <c r="P1961" s="43" t="s">
        <v>4481</v>
      </c>
      <c r="Q1961" s="11">
        <v>80399.38</v>
      </c>
      <c r="R1961" s="11" t="s">
        <v>3725</v>
      </c>
      <c r="S1961" s="11" t="s">
        <v>40</v>
      </c>
      <c r="T1961" s="11">
        <v>0</v>
      </c>
    </row>
    <row r="1962" spans="1:22" x14ac:dyDescent="0.25">
      <c r="A1962" s="11">
        <v>101060408</v>
      </c>
      <c r="B1962" s="11" t="s">
        <v>82</v>
      </c>
      <c r="C1962" s="41">
        <v>44887</v>
      </c>
      <c r="D1962" s="41">
        <v>44887</v>
      </c>
      <c r="E1962" s="11" t="s">
        <v>42</v>
      </c>
      <c r="F1962" s="11" t="s">
        <v>3726</v>
      </c>
      <c r="G1962" s="11">
        <v>108970</v>
      </c>
      <c r="H1962" s="11" t="s">
        <v>50</v>
      </c>
      <c r="J1962" s="11" t="s">
        <v>38</v>
      </c>
      <c r="K1962" s="11">
        <v>51010101</v>
      </c>
      <c r="L1962" s="11" t="s">
        <v>48</v>
      </c>
      <c r="M1962" s="11"/>
      <c r="N1962" s="11">
        <v>106.67</v>
      </c>
      <c r="O1962" s="42">
        <v>-106.67</v>
      </c>
      <c r="P1962" s="43" t="s">
        <v>4489</v>
      </c>
      <c r="Q1962" s="11">
        <v>80292.710000000006</v>
      </c>
      <c r="R1962" s="11" t="s">
        <v>1767</v>
      </c>
      <c r="S1962" s="11" t="s">
        <v>40</v>
      </c>
      <c r="T1962" s="11">
        <v>0</v>
      </c>
      <c r="V1962" s="11" t="s">
        <v>41</v>
      </c>
    </row>
    <row r="1963" spans="1:22" x14ac:dyDescent="0.25">
      <c r="A1963" s="11">
        <v>101060408</v>
      </c>
      <c r="B1963" s="11" t="s">
        <v>82</v>
      </c>
      <c r="C1963" s="41">
        <v>44887</v>
      </c>
      <c r="D1963" s="41">
        <v>44887</v>
      </c>
      <c r="E1963" s="11" t="s">
        <v>42</v>
      </c>
      <c r="F1963" s="11" t="s">
        <v>1768</v>
      </c>
      <c r="G1963" s="11">
        <v>108972</v>
      </c>
      <c r="H1963" s="11" t="s">
        <v>57</v>
      </c>
      <c r="K1963" s="11">
        <v>101060401</v>
      </c>
      <c r="L1963" s="11" t="s">
        <v>34</v>
      </c>
      <c r="M1963" s="11">
        <v>796.12</v>
      </c>
      <c r="N1963" s="11"/>
      <c r="O1963" s="42">
        <v>796.12</v>
      </c>
      <c r="P1963" s="43" t="s">
        <v>4481</v>
      </c>
      <c r="Q1963" s="11">
        <v>81088.83</v>
      </c>
      <c r="R1963" s="11" t="s">
        <v>3727</v>
      </c>
      <c r="S1963" s="11" t="s">
        <v>40</v>
      </c>
      <c r="T1963" s="11">
        <v>0</v>
      </c>
    </row>
    <row r="1964" spans="1:22" x14ac:dyDescent="0.25">
      <c r="A1964" s="11">
        <v>101060408</v>
      </c>
      <c r="B1964" s="11" t="s">
        <v>82</v>
      </c>
      <c r="C1964" s="41">
        <v>44887</v>
      </c>
      <c r="D1964" s="41">
        <v>44887</v>
      </c>
      <c r="E1964" s="11" t="s">
        <v>42</v>
      </c>
      <c r="F1964" s="11" t="s">
        <v>3728</v>
      </c>
      <c r="G1964" s="11">
        <v>108973</v>
      </c>
      <c r="H1964" s="11" t="s">
        <v>50</v>
      </c>
      <c r="J1964" s="11" t="s">
        <v>38</v>
      </c>
      <c r="K1964" s="11">
        <v>51010101</v>
      </c>
      <c r="L1964" s="11" t="s">
        <v>48</v>
      </c>
      <c r="M1964" s="11"/>
      <c r="N1964" s="11">
        <v>796.12</v>
      </c>
      <c r="O1964" s="42">
        <v>-796.12</v>
      </c>
      <c r="P1964" s="43" t="s">
        <v>4489</v>
      </c>
      <c r="Q1964" s="11">
        <v>80292.710000000006</v>
      </c>
      <c r="R1964" s="11" t="s">
        <v>1769</v>
      </c>
      <c r="S1964" s="11" t="s">
        <v>40</v>
      </c>
      <c r="T1964" s="11">
        <v>0</v>
      </c>
      <c r="V1964" s="11" t="s">
        <v>41</v>
      </c>
    </row>
    <row r="1965" spans="1:22" x14ac:dyDescent="0.25">
      <c r="A1965" s="11">
        <v>101060408</v>
      </c>
      <c r="B1965" s="11" t="s">
        <v>82</v>
      </c>
      <c r="C1965" s="41">
        <v>44887</v>
      </c>
      <c r="D1965" s="41">
        <v>44887</v>
      </c>
      <c r="E1965" s="11" t="s">
        <v>42</v>
      </c>
      <c r="F1965" s="11" t="s">
        <v>1770</v>
      </c>
      <c r="G1965" s="11">
        <v>108974</v>
      </c>
      <c r="H1965" s="11" t="s">
        <v>57</v>
      </c>
      <c r="K1965" s="11">
        <v>101060401</v>
      </c>
      <c r="L1965" s="11" t="s">
        <v>34</v>
      </c>
      <c r="M1965" s="11">
        <v>240.32</v>
      </c>
      <c r="N1965" s="11"/>
      <c r="O1965" s="42">
        <v>240.32</v>
      </c>
      <c r="P1965" s="43" t="s">
        <v>4481</v>
      </c>
      <c r="Q1965" s="11">
        <v>80533.03</v>
      </c>
      <c r="R1965" s="11" t="s">
        <v>3729</v>
      </c>
      <c r="S1965" s="11" t="s">
        <v>40</v>
      </c>
      <c r="T1965" s="11">
        <v>0</v>
      </c>
    </row>
    <row r="1966" spans="1:22" x14ac:dyDescent="0.25">
      <c r="A1966" s="11">
        <v>101060408</v>
      </c>
      <c r="B1966" s="11" t="s">
        <v>82</v>
      </c>
      <c r="C1966" s="41">
        <v>44887</v>
      </c>
      <c r="D1966" s="41">
        <v>44887</v>
      </c>
      <c r="E1966" s="11" t="s">
        <v>42</v>
      </c>
      <c r="F1966" s="11" t="s">
        <v>3730</v>
      </c>
      <c r="G1966" s="11">
        <v>108975</v>
      </c>
      <c r="H1966" s="11" t="s">
        <v>50</v>
      </c>
      <c r="J1966" s="11" t="s">
        <v>38</v>
      </c>
      <c r="K1966" s="11">
        <v>51010101</v>
      </c>
      <c r="L1966" s="11" t="s">
        <v>48</v>
      </c>
      <c r="M1966" s="11"/>
      <c r="N1966" s="11">
        <v>240.32</v>
      </c>
      <c r="O1966" s="42">
        <v>-240.32</v>
      </c>
      <c r="P1966" s="43" t="s">
        <v>4489</v>
      </c>
      <c r="Q1966" s="11">
        <v>80292.710000000006</v>
      </c>
      <c r="R1966" s="11" t="s">
        <v>1771</v>
      </c>
      <c r="S1966" s="11" t="s">
        <v>40</v>
      </c>
      <c r="T1966" s="11">
        <v>0</v>
      </c>
      <c r="V1966" s="11" t="s">
        <v>41</v>
      </c>
    </row>
    <row r="1967" spans="1:22" x14ac:dyDescent="0.25">
      <c r="A1967" s="11">
        <v>101060408</v>
      </c>
      <c r="B1967" s="11" t="s">
        <v>82</v>
      </c>
      <c r="C1967" s="41">
        <v>44887</v>
      </c>
      <c r="D1967" s="41">
        <v>44887</v>
      </c>
      <c r="E1967" s="11" t="s">
        <v>42</v>
      </c>
      <c r="F1967" s="11" t="s">
        <v>1772</v>
      </c>
      <c r="G1967" s="11">
        <v>108976</v>
      </c>
      <c r="H1967" s="11" t="s">
        <v>57</v>
      </c>
      <c r="K1967" s="11">
        <v>101060401</v>
      </c>
      <c r="L1967" s="11" t="s">
        <v>34</v>
      </c>
      <c r="M1967" s="11">
        <v>40.78</v>
      </c>
      <c r="N1967" s="11"/>
      <c r="O1967" s="42">
        <v>40.78</v>
      </c>
      <c r="P1967" s="43" t="s">
        <v>4481</v>
      </c>
      <c r="Q1967" s="11">
        <v>80333.490000000005</v>
      </c>
      <c r="R1967" s="11" t="s">
        <v>3731</v>
      </c>
      <c r="S1967" s="11" t="s">
        <v>40</v>
      </c>
      <c r="T1967" s="11">
        <v>0</v>
      </c>
    </row>
    <row r="1968" spans="1:22" x14ac:dyDescent="0.25">
      <c r="A1968" s="11">
        <v>101060408</v>
      </c>
      <c r="B1968" s="11" t="s">
        <v>82</v>
      </c>
      <c r="C1968" s="41">
        <v>44887</v>
      </c>
      <c r="D1968" s="41">
        <v>44887</v>
      </c>
      <c r="E1968" s="11" t="s">
        <v>42</v>
      </c>
      <c r="F1968" s="11" t="s">
        <v>3732</v>
      </c>
      <c r="G1968" s="11">
        <v>108977</v>
      </c>
      <c r="H1968" s="11" t="s">
        <v>50</v>
      </c>
      <c r="J1968" s="11" t="s">
        <v>38</v>
      </c>
      <c r="K1968" s="11">
        <v>51010101</v>
      </c>
      <c r="L1968" s="11" t="s">
        <v>48</v>
      </c>
      <c r="M1968" s="11"/>
      <c r="N1968" s="11">
        <v>40.78</v>
      </c>
      <c r="O1968" s="42">
        <v>-40.78</v>
      </c>
      <c r="P1968" s="43" t="s">
        <v>4489</v>
      </c>
      <c r="Q1968" s="11">
        <v>80292.710000000006</v>
      </c>
      <c r="R1968" s="11" t="s">
        <v>1773</v>
      </c>
      <c r="S1968" s="11" t="s">
        <v>40</v>
      </c>
      <c r="T1968" s="11">
        <v>0</v>
      </c>
      <c r="V1968" s="11" t="s">
        <v>41</v>
      </c>
    </row>
    <row r="1969" spans="1:22" x14ac:dyDescent="0.25">
      <c r="A1969" s="11">
        <v>101060408</v>
      </c>
      <c r="B1969" s="11" t="s">
        <v>82</v>
      </c>
      <c r="C1969" s="41">
        <v>44887</v>
      </c>
      <c r="D1969" s="41">
        <v>44887</v>
      </c>
      <c r="E1969" s="11" t="s">
        <v>42</v>
      </c>
      <c r="F1969" s="11" t="s">
        <v>1780</v>
      </c>
      <c r="G1969" s="11">
        <v>108985</v>
      </c>
      <c r="H1969" s="11" t="s">
        <v>57</v>
      </c>
      <c r="K1969" s="11">
        <v>101060401</v>
      </c>
      <c r="L1969" s="11" t="s">
        <v>34</v>
      </c>
      <c r="M1969" s="11">
        <v>706.12</v>
      </c>
      <c r="N1969" s="11"/>
      <c r="O1969" s="42">
        <v>706.12</v>
      </c>
      <c r="P1969" s="43" t="s">
        <v>4481</v>
      </c>
      <c r="Q1969" s="11">
        <v>80998.83</v>
      </c>
      <c r="R1969" s="11" t="s">
        <v>3733</v>
      </c>
      <c r="S1969" s="11" t="s">
        <v>40</v>
      </c>
      <c r="T1969" s="11">
        <v>0</v>
      </c>
    </row>
    <row r="1970" spans="1:22" x14ac:dyDescent="0.25">
      <c r="A1970" s="11">
        <v>101060408</v>
      </c>
      <c r="B1970" s="11" t="s">
        <v>82</v>
      </c>
      <c r="C1970" s="41">
        <v>44887</v>
      </c>
      <c r="D1970" s="41">
        <v>44887</v>
      </c>
      <c r="E1970" s="11" t="s">
        <v>42</v>
      </c>
      <c r="F1970" s="11" t="s">
        <v>3734</v>
      </c>
      <c r="G1970" s="11">
        <v>108986</v>
      </c>
      <c r="H1970" s="11" t="s">
        <v>56</v>
      </c>
      <c r="J1970" s="11" t="s">
        <v>38</v>
      </c>
      <c r="K1970" s="11">
        <v>51010101</v>
      </c>
      <c r="L1970" s="11" t="s">
        <v>48</v>
      </c>
      <c r="M1970" s="11"/>
      <c r="N1970" s="11">
        <v>706.11</v>
      </c>
      <c r="O1970" s="42">
        <v>-706.11</v>
      </c>
      <c r="P1970" s="43" t="s">
        <v>4489</v>
      </c>
      <c r="Q1970" s="11">
        <v>80292.72</v>
      </c>
      <c r="R1970" s="11" t="s">
        <v>3735</v>
      </c>
      <c r="S1970" s="11" t="s">
        <v>40</v>
      </c>
      <c r="T1970" s="11">
        <v>0</v>
      </c>
      <c r="V1970" s="11" t="s">
        <v>41</v>
      </c>
    </row>
    <row r="1971" spans="1:22" x14ac:dyDescent="0.25">
      <c r="A1971" s="11">
        <v>101060408</v>
      </c>
      <c r="B1971" s="11" t="s">
        <v>82</v>
      </c>
      <c r="C1971" s="41">
        <v>44887</v>
      </c>
      <c r="D1971" s="41">
        <v>44887</v>
      </c>
      <c r="E1971" s="11" t="s">
        <v>36</v>
      </c>
      <c r="F1971" s="11" t="s">
        <v>3736</v>
      </c>
      <c r="G1971" s="11">
        <v>109008</v>
      </c>
      <c r="H1971" s="11" t="s">
        <v>3737</v>
      </c>
      <c r="K1971" s="11">
        <v>101060501</v>
      </c>
      <c r="L1971" s="11" t="s">
        <v>3632</v>
      </c>
      <c r="M1971" s="11">
        <v>26936.1</v>
      </c>
      <c r="N1971" s="11"/>
      <c r="O1971" s="44">
        <v>26936.1</v>
      </c>
      <c r="P1971" s="43" t="s">
        <v>4492</v>
      </c>
      <c r="Q1971" s="11">
        <v>107228.82</v>
      </c>
      <c r="R1971" s="11" t="s">
        <v>3738</v>
      </c>
      <c r="S1971" s="11" t="s">
        <v>137</v>
      </c>
      <c r="T1971" s="11">
        <v>0</v>
      </c>
    </row>
    <row r="1972" spans="1:22" x14ac:dyDescent="0.25">
      <c r="A1972" s="11">
        <v>101060408</v>
      </c>
      <c r="B1972" s="11" t="s">
        <v>82</v>
      </c>
      <c r="C1972" s="41">
        <v>44887</v>
      </c>
      <c r="D1972" s="41">
        <v>44887</v>
      </c>
      <c r="E1972" s="11" t="s">
        <v>36</v>
      </c>
      <c r="F1972" s="11" t="s">
        <v>3739</v>
      </c>
      <c r="G1972" s="11">
        <v>109011</v>
      </c>
      <c r="H1972" s="11" t="s">
        <v>3740</v>
      </c>
      <c r="K1972" s="11">
        <v>101060501</v>
      </c>
      <c r="L1972" s="11" t="s">
        <v>3632</v>
      </c>
      <c r="M1972" s="11">
        <v>5461.66</v>
      </c>
      <c r="N1972" s="11"/>
      <c r="O1972" s="44">
        <v>5461.66</v>
      </c>
      <c r="P1972" s="43" t="s">
        <v>4492</v>
      </c>
      <c r="Q1972" s="11">
        <v>112690.48</v>
      </c>
      <c r="R1972" s="11" t="s">
        <v>3741</v>
      </c>
      <c r="S1972" s="11" t="s">
        <v>137</v>
      </c>
      <c r="T1972" s="11">
        <v>0</v>
      </c>
    </row>
    <row r="1973" spans="1:22" x14ac:dyDescent="0.25">
      <c r="A1973" s="11">
        <v>101060408</v>
      </c>
      <c r="B1973" s="11" t="s">
        <v>82</v>
      </c>
      <c r="C1973" s="41">
        <v>44887</v>
      </c>
      <c r="D1973" s="41">
        <v>44887</v>
      </c>
      <c r="E1973" s="11" t="s">
        <v>42</v>
      </c>
      <c r="F1973" s="11" t="s">
        <v>1823</v>
      </c>
      <c r="G1973" s="11">
        <v>109030</v>
      </c>
      <c r="H1973" s="11" t="s">
        <v>57</v>
      </c>
      <c r="K1973" s="11">
        <v>101060401</v>
      </c>
      <c r="L1973" s="11" t="s">
        <v>34</v>
      </c>
      <c r="M1973" s="11"/>
      <c r="N1973" s="11">
        <v>32397.759999999998</v>
      </c>
      <c r="O1973" s="42">
        <v>-32397.759999999998</v>
      </c>
      <c r="P1973" s="43" t="s">
        <v>4481</v>
      </c>
      <c r="Q1973" s="11">
        <v>80292.72</v>
      </c>
      <c r="R1973" s="11" t="s">
        <v>1826</v>
      </c>
      <c r="S1973" s="11" t="s">
        <v>40</v>
      </c>
      <c r="T1973" s="11">
        <v>0</v>
      </c>
    </row>
    <row r="1974" spans="1:22" x14ac:dyDescent="0.25">
      <c r="A1974" s="11">
        <v>101060408</v>
      </c>
      <c r="B1974" s="11" t="s">
        <v>82</v>
      </c>
      <c r="C1974" s="41">
        <v>44889</v>
      </c>
      <c r="D1974" s="41">
        <v>44889</v>
      </c>
      <c r="E1974" s="11" t="s">
        <v>36</v>
      </c>
      <c r="F1974" s="11" t="s">
        <v>3742</v>
      </c>
      <c r="G1974" s="11">
        <v>109170</v>
      </c>
      <c r="H1974" s="11" t="s">
        <v>3631</v>
      </c>
      <c r="K1974" s="11">
        <v>101060501</v>
      </c>
      <c r="L1974" s="11" t="s">
        <v>3632</v>
      </c>
      <c r="M1974" s="11">
        <v>363</v>
      </c>
      <c r="N1974" s="11"/>
      <c r="O1974" s="44">
        <v>363</v>
      </c>
      <c r="P1974" s="43" t="s">
        <v>4492</v>
      </c>
      <c r="Q1974" s="11">
        <v>80655.72</v>
      </c>
      <c r="R1974" s="11" t="s">
        <v>3743</v>
      </c>
      <c r="S1974" s="11" t="s">
        <v>137</v>
      </c>
      <c r="T1974" s="11">
        <v>0</v>
      </c>
    </row>
    <row r="1975" spans="1:22" x14ac:dyDescent="0.25">
      <c r="A1975" s="11">
        <v>101060408</v>
      </c>
      <c r="B1975" s="11" t="s">
        <v>82</v>
      </c>
      <c r="C1975" s="41">
        <v>44889</v>
      </c>
      <c r="D1975" s="41">
        <v>44889</v>
      </c>
      <c r="E1975" s="11" t="s">
        <v>36</v>
      </c>
      <c r="F1975" s="11" t="s">
        <v>3744</v>
      </c>
      <c r="G1975" s="11">
        <v>109173</v>
      </c>
      <c r="H1975" s="11" t="s">
        <v>3745</v>
      </c>
      <c r="K1975" s="11">
        <v>101060501</v>
      </c>
      <c r="L1975" s="11" t="s">
        <v>3632</v>
      </c>
      <c r="M1975" s="11">
        <v>207.82</v>
      </c>
      <c r="N1975" s="11"/>
      <c r="O1975" s="44">
        <v>207.82</v>
      </c>
      <c r="P1975" s="43" t="s">
        <v>4492</v>
      </c>
      <c r="Q1975" s="11">
        <v>80863.539999999994</v>
      </c>
      <c r="R1975" s="11" t="s">
        <v>3746</v>
      </c>
      <c r="S1975" s="11" t="s">
        <v>137</v>
      </c>
      <c r="T1975" s="11">
        <v>0</v>
      </c>
    </row>
    <row r="1976" spans="1:22" x14ac:dyDescent="0.25">
      <c r="A1976" s="11">
        <v>101060408</v>
      </c>
      <c r="B1976" s="11" t="s">
        <v>82</v>
      </c>
      <c r="C1976" s="41">
        <v>44889</v>
      </c>
      <c r="D1976" s="41">
        <v>44889</v>
      </c>
      <c r="E1976" s="11" t="s">
        <v>36</v>
      </c>
      <c r="F1976" s="11" t="s">
        <v>3747</v>
      </c>
      <c r="G1976" s="11">
        <v>109178</v>
      </c>
      <c r="H1976" s="11" t="s">
        <v>3644</v>
      </c>
      <c r="K1976" s="11">
        <v>101060501</v>
      </c>
      <c r="L1976" s="11" t="s">
        <v>3632</v>
      </c>
      <c r="M1976" s="11">
        <v>44083.5</v>
      </c>
      <c r="N1976" s="11"/>
      <c r="O1976" s="44">
        <v>44083.5</v>
      </c>
      <c r="P1976" s="43" t="s">
        <v>4492</v>
      </c>
      <c r="Q1976" s="11">
        <v>124947.04</v>
      </c>
      <c r="R1976" s="11" t="s">
        <v>3748</v>
      </c>
      <c r="S1976" s="11" t="s">
        <v>137</v>
      </c>
      <c r="T1976" s="11">
        <v>0</v>
      </c>
    </row>
    <row r="1977" spans="1:22" x14ac:dyDescent="0.25">
      <c r="A1977" s="11">
        <v>101060408</v>
      </c>
      <c r="B1977" s="11" t="s">
        <v>82</v>
      </c>
      <c r="C1977" s="41">
        <v>44889</v>
      </c>
      <c r="D1977" s="41">
        <v>44889</v>
      </c>
      <c r="E1977" s="11" t="s">
        <v>36</v>
      </c>
      <c r="F1977" s="11" t="s">
        <v>3749</v>
      </c>
      <c r="G1977" s="11">
        <v>109180</v>
      </c>
      <c r="H1977" s="11" t="s">
        <v>3750</v>
      </c>
      <c r="K1977" s="11">
        <v>101060501</v>
      </c>
      <c r="L1977" s="11" t="s">
        <v>3632</v>
      </c>
      <c r="M1977" s="11">
        <v>4020</v>
      </c>
      <c r="N1977" s="11"/>
      <c r="O1977" s="44">
        <v>4020</v>
      </c>
      <c r="P1977" s="43" t="s">
        <v>4492</v>
      </c>
      <c r="Q1977" s="11">
        <v>128967.03999999999</v>
      </c>
      <c r="R1977" s="11" t="s">
        <v>3751</v>
      </c>
      <c r="S1977" s="11" t="s">
        <v>137</v>
      </c>
      <c r="T1977" s="11">
        <v>0</v>
      </c>
    </row>
    <row r="1978" spans="1:22" x14ac:dyDescent="0.25">
      <c r="A1978" s="11">
        <v>101060408</v>
      </c>
      <c r="B1978" s="11" t="s">
        <v>82</v>
      </c>
      <c r="C1978" s="41">
        <v>44889</v>
      </c>
      <c r="D1978" s="41">
        <v>44889</v>
      </c>
      <c r="E1978" s="11" t="s">
        <v>36</v>
      </c>
      <c r="F1978" s="11" t="s">
        <v>3752</v>
      </c>
      <c r="G1978" s="11">
        <v>109203</v>
      </c>
      <c r="H1978" s="11" t="s">
        <v>3639</v>
      </c>
      <c r="K1978" s="11">
        <v>101060501</v>
      </c>
      <c r="L1978" s="11" t="s">
        <v>3632</v>
      </c>
      <c r="M1978" s="11">
        <v>191.6</v>
      </c>
      <c r="N1978" s="11"/>
      <c r="O1978" s="44">
        <v>191.6</v>
      </c>
      <c r="P1978" s="43" t="s">
        <v>4492</v>
      </c>
      <c r="Q1978" s="11">
        <v>129158.64</v>
      </c>
      <c r="R1978" s="11" t="s">
        <v>3753</v>
      </c>
      <c r="S1978" s="11" t="s">
        <v>137</v>
      </c>
      <c r="T1978" s="11">
        <v>0</v>
      </c>
    </row>
    <row r="1979" spans="1:22" x14ac:dyDescent="0.25">
      <c r="A1979" s="11">
        <v>101060408</v>
      </c>
      <c r="B1979" s="11" t="s">
        <v>82</v>
      </c>
      <c r="C1979" s="41">
        <v>44889</v>
      </c>
      <c r="D1979" s="41">
        <v>44889</v>
      </c>
      <c r="E1979" s="11" t="s">
        <v>36</v>
      </c>
      <c r="F1979" s="11" t="s">
        <v>3754</v>
      </c>
      <c r="G1979" s="11">
        <v>109204</v>
      </c>
      <c r="H1979" s="11" t="s">
        <v>3645</v>
      </c>
      <c r="K1979" s="11">
        <v>101060501</v>
      </c>
      <c r="L1979" s="11" t="s">
        <v>3632</v>
      </c>
      <c r="M1979" s="11">
        <v>922.14</v>
      </c>
      <c r="N1979" s="11"/>
      <c r="O1979" s="44">
        <v>922.14</v>
      </c>
      <c r="P1979" s="43" t="s">
        <v>4492</v>
      </c>
      <c r="Q1979" s="11">
        <v>130080.78</v>
      </c>
      <c r="R1979" s="11" t="s">
        <v>3755</v>
      </c>
      <c r="S1979" s="11" t="s">
        <v>137</v>
      </c>
      <c r="T1979" s="11">
        <v>0</v>
      </c>
    </row>
    <row r="1980" spans="1:22" x14ac:dyDescent="0.25">
      <c r="A1980" s="11">
        <v>101060408</v>
      </c>
      <c r="B1980" s="11" t="s">
        <v>82</v>
      </c>
      <c r="C1980" s="41">
        <v>44889</v>
      </c>
      <c r="D1980" s="41">
        <v>44889</v>
      </c>
      <c r="E1980" s="11" t="s">
        <v>36</v>
      </c>
      <c r="F1980" s="11" t="s">
        <v>3756</v>
      </c>
      <c r="G1980" s="11">
        <v>109205</v>
      </c>
      <c r="H1980" s="11" t="s">
        <v>3757</v>
      </c>
      <c r="K1980" s="11">
        <v>101060501</v>
      </c>
      <c r="L1980" s="11" t="s">
        <v>3632</v>
      </c>
      <c r="M1980" s="11">
        <v>622.73</v>
      </c>
      <c r="N1980" s="11"/>
      <c r="O1980" s="44">
        <v>622.73</v>
      </c>
      <c r="P1980" s="43" t="s">
        <v>4492</v>
      </c>
      <c r="Q1980" s="11">
        <v>130703.51</v>
      </c>
      <c r="R1980" s="11" t="s">
        <v>3758</v>
      </c>
      <c r="S1980" s="11" t="s">
        <v>137</v>
      </c>
      <c r="T1980" s="11">
        <v>0</v>
      </c>
    </row>
    <row r="1981" spans="1:22" x14ac:dyDescent="0.25">
      <c r="A1981" s="11">
        <v>101060408</v>
      </c>
      <c r="B1981" s="11" t="s">
        <v>82</v>
      </c>
      <c r="C1981" s="41">
        <v>44889</v>
      </c>
      <c r="D1981" s="41">
        <v>44889</v>
      </c>
      <c r="E1981" s="11" t="s">
        <v>42</v>
      </c>
      <c r="F1981" s="11" t="s">
        <v>1907</v>
      </c>
      <c r="G1981" s="11">
        <v>109242</v>
      </c>
      <c r="H1981" s="11" t="s">
        <v>57</v>
      </c>
      <c r="K1981" s="11">
        <v>101060401</v>
      </c>
      <c r="L1981" s="11" t="s">
        <v>34</v>
      </c>
      <c r="M1981" s="11"/>
      <c r="N1981" s="11">
        <v>50410.79</v>
      </c>
      <c r="O1981" s="42">
        <v>-50410.79</v>
      </c>
      <c r="P1981" s="43" t="s">
        <v>4481</v>
      </c>
      <c r="Q1981" s="11">
        <v>80292.72</v>
      </c>
      <c r="R1981" s="11" t="s">
        <v>3759</v>
      </c>
      <c r="S1981" s="11" t="s">
        <v>40</v>
      </c>
      <c r="T1981" s="11">
        <v>0</v>
      </c>
    </row>
    <row r="1982" spans="1:22" x14ac:dyDescent="0.25">
      <c r="A1982" s="11">
        <v>101060408</v>
      </c>
      <c r="B1982" s="11" t="s">
        <v>82</v>
      </c>
      <c r="C1982" s="41">
        <v>44894</v>
      </c>
      <c r="D1982" s="41">
        <v>44894</v>
      </c>
      <c r="E1982" s="11" t="s">
        <v>42</v>
      </c>
      <c r="F1982" s="11" t="s">
        <v>3760</v>
      </c>
      <c r="G1982" s="11">
        <v>109507</v>
      </c>
      <c r="H1982" s="11" t="s">
        <v>3761</v>
      </c>
      <c r="J1982" s="11" t="s">
        <v>38</v>
      </c>
      <c r="K1982" s="11">
        <v>51010101</v>
      </c>
      <c r="L1982" s="11" t="s">
        <v>48</v>
      </c>
      <c r="M1982" s="11"/>
      <c r="N1982" s="11">
        <v>570.82000000000005</v>
      </c>
      <c r="O1982" s="42">
        <v>-570.82000000000005</v>
      </c>
      <c r="P1982" s="43" t="s">
        <v>4489</v>
      </c>
      <c r="Q1982" s="11">
        <v>79721.899999999994</v>
      </c>
      <c r="R1982" s="11" t="s">
        <v>3762</v>
      </c>
      <c r="S1982" s="11" t="s">
        <v>40</v>
      </c>
      <c r="T1982" s="11">
        <v>0</v>
      </c>
      <c r="V1982" s="11" t="s">
        <v>41</v>
      </c>
    </row>
    <row r="1983" spans="1:22" x14ac:dyDescent="0.25">
      <c r="A1983" s="11">
        <v>101060408</v>
      </c>
      <c r="B1983" s="11" t="s">
        <v>82</v>
      </c>
      <c r="C1983" s="41">
        <v>44896</v>
      </c>
      <c r="D1983" s="41">
        <v>44896</v>
      </c>
      <c r="E1983" s="11" t="s">
        <v>36</v>
      </c>
      <c r="F1983" s="11" t="s">
        <v>3763</v>
      </c>
      <c r="G1983" s="11">
        <v>109604</v>
      </c>
      <c r="H1983" s="11" t="s">
        <v>3635</v>
      </c>
      <c r="K1983" s="11">
        <v>101060501</v>
      </c>
      <c r="L1983" s="11" t="s">
        <v>3632</v>
      </c>
      <c r="M1983" s="11">
        <v>161451</v>
      </c>
      <c r="N1983" s="11"/>
      <c r="O1983" s="44">
        <v>161451</v>
      </c>
      <c r="P1983" s="43" t="s">
        <v>4492</v>
      </c>
      <c r="Q1983" s="11">
        <v>241172.9</v>
      </c>
      <c r="R1983" s="11" t="s">
        <v>3764</v>
      </c>
      <c r="S1983" s="11" t="s">
        <v>137</v>
      </c>
      <c r="T1983" s="11">
        <v>0</v>
      </c>
    </row>
    <row r="1984" spans="1:22" x14ac:dyDescent="0.25">
      <c r="A1984" s="11">
        <v>101060408</v>
      </c>
      <c r="B1984" s="11" t="s">
        <v>82</v>
      </c>
      <c r="C1984" s="41">
        <v>44896</v>
      </c>
      <c r="D1984" s="41">
        <v>44896</v>
      </c>
      <c r="E1984" s="11" t="s">
        <v>36</v>
      </c>
      <c r="F1984" s="11" t="s">
        <v>3765</v>
      </c>
      <c r="G1984" s="11">
        <v>109613</v>
      </c>
      <c r="H1984" s="11" t="s">
        <v>3766</v>
      </c>
      <c r="K1984" s="11">
        <v>101060501</v>
      </c>
      <c r="L1984" s="11" t="s">
        <v>3632</v>
      </c>
      <c r="M1984" s="11">
        <v>9822.89</v>
      </c>
      <c r="N1984" s="11"/>
      <c r="O1984" s="44">
        <v>9822.89</v>
      </c>
      <c r="P1984" s="43" t="s">
        <v>4492</v>
      </c>
      <c r="Q1984" s="11">
        <v>250995.79</v>
      </c>
      <c r="R1984" s="11" t="s">
        <v>3767</v>
      </c>
      <c r="S1984" s="11" t="s">
        <v>137</v>
      </c>
      <c r="T1984" s="11">
        <v>0</v>
      </c>
    </row>
    <row r="1985" spans="1:22" x14ac:dyDescent="0.25">
      <c r="A1985" s="11">
        <v>101060408</v>
      </c>
      <c r="B1985" s="11" t="s">
        <v>82</v>
      </c>
      <c r="C1985" s="41">
        <v>44896</v>
      </c>
      <c r="D1985" s="41">
        <v>44896</v>
      </c>
      <c r="E1985" s="11" t="s">
        <v>42</v>
      </c>
      <c r="F1985" s="11" t="s">
        <v>2140</v>
      </c>
      <c r="G1985" s="11">
        <v>109616</v>
      </c>
      <c r="H1985" s="11" t="s">
        <v>57</v>
      </c>
      <c r="K1985" s="11">
        <v>101060401</v>
      </c>
      <c r="L1985" s="11" t="s">
        <v>34</v>
      </c>
      <c r="M1985" s="11"/>
      <c r="N1985" s="11">
        <v>171273.89</v>
      </c>
      <c r="O1985" s="42">
        <v>-171273.89</v>
      </c>
      <c r="P1985" s="43" t="s">
        <v>4481</v>
      </c>
      <c r="Q1985" s="11">
        <v>79721.899999999994</v>
      </c>
      <c r="R1985" s="11" t="s">
        <v>3768</v>
      </c>
      <c r="S1985" s="11" t="s">
        <v>40</v>
      </c>
      <c r="T1985" s="11">
        <v>0</v>
      </c>
    </row>
    <row r="1986" spans="1:22" x14ac:dyDescent="0.25">
      <c r="A1986" s="11">
        <v>101060408</v>
      </c>
      <c r="B1986" s="11" t="s">
        <v>82</v>
      </c>
      <c r="C1986" s="41">
        <v>44914</v>
      </c>
      <c r="D1986" s="41">
        <v>44914</v>
      </c>
      <c r="E1986" s="11" t="s">
        <v>36</v>
      </c>
      <c r="F1986" s="11" t="s">
        <v>3769</v>
      </c>
      <c r="G1986" s="11">
        <v>110378</v>
      </c>
      <c r="H1986" s="11" t="s">
        <v>3638</v>
      </c>
      <c r="K1986" s="11">
        <v>101060501</v>
      </c>
      <c r="L1986" s="11" t="s">
        <v>3632</v>
      </c>
      <c r="M1986" s="11">
        <v>16739</v>
      </c>
      <c r="N1986" s="11"/>
      <c r="O1986" s="44">
        <v>16739</v>
      </c>
      <c r="P1986" s="43" t="s">
        <v>4492</v>
      </c>
      <c r="Q1986" s="11">
        <v>96460.9</v>
      </c>
      <c r="R1986" s="11" t="s">
        <v>3770</v>
      </c>
      <c r="S1986" s="11" t="s">
        <v>137</v>
      </c>
      <c r="T1986" s="11">
        <v>0</v>
      </c>
    </row>
    <row r="1987" spans="1:22" x14ac:dyDescent="0.25">
      <c r="A1987" s="11">
        <v>101060408</v>
      </c>
      <c r="B1987" s="11" t="s">
        <v>82</v>
      </c>
      <c r="C1987" s="41">
        <v>44914</v>
      </c>
      <c r="D1987" s="41">
        <v>44914</v>
      </c>
      <c r="E1987" s="11" t="s">
        <v>36</v>
      </c>
      <c r="F1987" s="11" t="s">
        <v>3771</v>
      </c>
      <c r="G1987" s="11">
        <v>110383</v>
      </c>
      <c r="H1987" s="11" t="s">
        <v>3643</v>
      </c>
      <c r="K1987" s="11">
        <v>101060501</v>
      </c>
      <c r="L1987" s="11" t="s">
        <v>3632</v>
      </c>
      <c r="M1987" s="11">
        <v>12195</v>
      </c>
      <c r="N1987" s="11"/>
      <c r="O1987" s="44">
        <v>12195</v>
      </c>
      <c r="P1987" s="43" t="s">
        <v>4492</v>
      </c>
      <c r="Q1987" s="11">
        <v>108655.9</v>
      </c>
      <c r="R1987" s="11" t="s">
        <v>3772</v>
      </c>
      <c r="S1987" s="11" t="s">
        <v>137</v>
      </c>
      <c r="T1987" s="11">
        <v>0</v>
      </c>
    </row>
    <row r="1988" spans="1:22" x14ac:dyDescent="0.25">
      <c r="A1988" s="11">
        <v>101060408</v>
      </c>
      <c r="B1988" s="11" t="s">
        <v>82</v>
      </c>
      <c r="C1988" s="41">
        <v>44914</v>
      </c>
      <c r="D1988" s="41">
        <v>44914</v>
      </c>
      <c r="E1988" s="11" t="s">
        <v>36</v>
      </c>
      <c r="F1988" s="11" t="s">
        <v>3773</v>
      </c>
      <c r="G1988" s="11">
        <v>110385</v>
      </c>
      <c r="H1988" s="11" t="s">
        <v>3774</v>
      </c>
      <c r="K1988" s="11">
        <v>101060501</v>
      </c>
      <c r="L1988" s="11" t="s">
        <v>3632</v>
      </c>
      <c r="M1988" s="11">
        <v>6298.81</v>
      </c>
      <c r="N1988" s="11"/>
      <c r="O1988" s="44">
        <v>6298.81</v>
      </c>
      <c r="P1988" s="43" t="s">
        <v>4492</v>
      </c>
      <c r="Q1988" s="11">
        <v>114954.71</v>
      </c>
      <c r="R1988" s="11" t="s">
        <v>3775</v>
      </c>
      <c r="S1988" s="11" t="s">
        <v>137</v>
      </c>
      <c r="T1988" s="11">
        <v>0</v>
      </c>
    </row>
    <row r="1989" spans="1:22" x14ac:dyDescent="0.25">
      <c r="A1989" s="11">
        <v>101060408</v>
      </c>
      <c r="B1989" s="11" t="s">
        <v>82</v>
      </c>
      <c r="C1989" s="41">
        <v>44915</v>
      </c>
      <c r="D1989" s="41">
        <v>44915</v>
      </c>
      <c r="E1989" s="11" t="s">
        <v>36</v>
      </c>
      <c r="F1989" s="11" t="s">
        <v>3776</v>
      </c>
      <c r="G1989" s="11">
        <v>110429</v>
      </c>
      <c r="H1989" s="11" t="s">
        <v>3633</v>
      </c>
      <c r="K1989" s="11">
        <v>101060501</v>
      </c>
      <c r="L1989" s="11" t="s">
        <v>3632</v>
      </c>
      <c r="M1989" s="11">
        <v>72667.62</v>
      </c>
      <c r="N1989" s="11"/>
      <c r="O1989" s="44">
        <v>72667.62</v>
      </c>
      <c r="P1989" s="43" t="s">
        <v>4492</v>
      </c>
      <c r="Q1989" s="11">
        <v>187622.33</v>
      </c>
      <c r="R1989" s="11" t="s">
        <v>3777</v>
      </c>
      <c r="S1989" s="11" t="s">
        <v>137</v>
      </c>
      <c r="T1989" s="11">
        <v>0</v>
      </c>
    </row>
    <row r="1990" spans="1:22" x14ac:dyDescent="0.25">
      <c r="A1990" s="11">
        <v>101060408</v>
      </c>
      <c r="B1990" s="11" t="s">
        <v>82</v>
      </c>
      <c r="C1990" s="41">
        <v>44915</v>
      </c>
      <c r="D1990" s="41">
        <v>44915</v>
      </c>
      <c r="E1990" s="11" t="s">
        <v>36</v>
      </c>
      <c r="F1990" s="11" t="s">
        <v>3778</v>
      </c>
      <c r="G1990" s="11">
        <v>110433</v>
      </c>
      <c r="H1990" s="11" t="s">
        <v>3779</v>
      </c>
      <c r="K1990" s="11">
        <v>101060501</v>
      </c>
      <c r="L1990" s="11" t="s">
        <v>3632</v>
      </c>
      <c r="M1990" s="11">
        <v>12733.46</v>
      </c>
      <c r="N1990" s="11"/>
      <c r="O1990" s="44">
        <v>12733.46</v>
      </c>
      <c r="P1990" s="43" t="s">
        <v>4492</v>
      </c>
      <c r="Q1990" s="11">
        <v>200355.79</v>
      </c>
      <c r="R1990" s="11" t="s">
        <v>3780</v>
      </c>
      <c r="S1990" s="11" t="s">
        <v>137</v>
      </c>
      <c r="T1990" s="11">
        <v>0</v>
      </c>
    </row>
    <row r="1991" spans="1:22" x14ac:dyDescent="0.25">
      <c r="A1991" s="11">
        <v>101060408</v>
      </c>
      <c r="B1991" s="11" t="s">
        <v>82</v>
      </c>
      <c r="C1991" s="41">
        <v>44915</v>
      </c>
      <c r="D1991" s="41">
        <v>44915</v>
      </c>
      <c r="E1991" s="11" t="s">
        <v>36</v>
      </c>
      <c r="F1991" s="11" t="s">
        <v>3781</v>
      </c>
      <c r="G1991" s="11">
        <v>110437</v>
      </c>
      <c r="H1991" s="11" t="s">
        <v>3782</v>
      </c>
      <c r="J1991" s="11" t="s">
        <v>38</v>
      </c>
      <c r="K1991" s="11">
        <v>51010101</v>
      </c>
      <c r="L1991" s="11" t="s">
        <v>48</v>
      </c>
      <c r="M1991" s="11"/>
      <c r="N1991" s="11">
        <v>874.38</v>
      </c>
      <c r="O1991" s="42">
        <v>-874.38</v>
      </c>
      <c r="P1991" s="43" t="s">
        <v>4489</v>
      </c>
      <c r="Q1991" s="11">
        <v>199481.41</v>
      </c>
      <c r="R1991" s="11" t="s">
        <v>3783</v>
      </c>
      <c r="S1991" s="11" t="s">
        <v>137</v>
      </c>
      <c r="T1991" s="11">
        <v>0</v>
      </c>
      <c r="V1991" s="11" t="s">
        <v>41</v>
      </c>
    </row>
    <row r="1992" spans="1:22" x14ac:dyDescent="0.25">
      <c r="A1992" s="11">
        <v>101060408</v>
      </c>
      <c r="B1992" s="11" t="s">
        <v>82</v>
      </c>
      <c r="C1992" s="41">
        <v>44915</v>
      </c>
      <c r="D1992" s="41">
        <v>44915</v>
      </c>
      <c r="E1992" s="11" t="s">
        <v>42</v>
      </c>
      <c r="F1992" s="11" t="s">
        <v>2565</v>
      </c>
      <c r="G1992" s="11">
        <v>110441</v>
      </c>
      <c r="H1992" s="11" t="s">
        <v>57</v>
      </c>
      <c r="K1992" s="11">
        <v>101060401</v>
      </c>
      <c r="L1992" s="11" t="s">
        <v>34</v>
      </c>
      <c r="M1992" s="11"/>
      <c r="N1992" s="11">
        <v>84526.7</v>
      </c>
      <c r="O1992" s="42">
        <v>-84526.7</v>
      </c>
      <c r="P1992" s="43" t="s">
        <v>4481</v>
      </c>
      <c r="Q1992" s="11">
        <v>114954.71</v>
      </c>
      <c r="R1992" s="11" t="s">
        <v>3784</v>
      </c>
      <c r="S1992" s="11" t="s">
        <v>40</v>
      </c>
      <c r="T1992" s="11">
        <v>0</v>
      </c>
    </row>
    <row r="1993" spans="1:22" x14ac:dyDescent="0.25">
      <c r="A1993" s="11">
        <v>101060408</v>
      </c>
      <c r="B1993" s="11" t="s">
        <v>82</v>
      </c>
      <c r="C1993" s="41">
        <v>44916</v>
      </c>
      <c r="D1993" s="41">
        <v>44916</v>
      </c>
      <c r="E1993" s="11" t="s">
        <v>36</v>
      </c>
      <c r="F1993" s="11" t="s">
        <v>3785</v>
      </c>
      <c r="G1993" s="11">
        <v>110540</v>
      </c>
      <c r="H1993" s="11" t="s">
        <v>3637</v>
      </c>
      <c r="K1993" s="11">
        <v>101060501</v>
      </c>
      <c r="L1993" s="11" t="s">
        <v>3632</v>
      </c>
      <c r="M1993" s="11">
        <v>13894.04</v>
      </c>
      <c r="N1993" s="11"/>
      <c r="O1993" s="44">
        <v>13894.04</v>
      </c>
      <c r="P1993" s="43" t="s">
        <v>4492</v>
      </c>
      <c r="Q1993" s="11">
        <v>128848.75</v>
      </c>
      <c r="R1993" s="11" t="s">
        <v>3786</v>
      </c>
      <c r="S1993" s="11" t="s">
        <v>137</v>
      </c>
      <c r="T1993" s="11">
        <v>0</v>
      </c>
    </row>
    <row r="1994" spans="1:22" x14ac:dyDescent="0.25">
      <c r="A1994" s="11">
        <v>101060408</v>
      </c>
      <c r="B1994" s="11" t="s">
        <v>82</v>
      </c>
      <c r="C1994" s="41">
        <v>44916</v>
      </c>
      <c r="D1994" s="41">
        <v>44916</v>
      </c>
      <c r="E1994" s="11" t="s">
        <v>36</v>
      </c>
      <c r="F1994" s="11" t="s">
        <v>3787</v>
      </c>
      <c r="G1994" s="11">
        <v>110542</v>
      </c>
      <c r="H1994" s="11" t="s">
        <v>3644</v>
      </c>
      <c r="K1994" s="11">
        <v>101060501</v>
      </c>
      <c r="L1994" s="11" t="s">
        <v>3632</v>
      </c>
      <c r="M1994" s="11">
        <v>1431.31</v>
      </c>
      <c r="N1994" s="11"/>
      <c r="O1994" s="44">
        <v>1431.31</v>
      </c>
      <c r="P1994" s="43" t="s">
        <v>4492</v>
      </c>
      <c r="Q1994" s="11">
        <v>130280.06</v>
      </c>
      <c r="R1994" s="11" t="s">
        <v>3788</v>
      </c>
      <c r="S1994" s="11" t="s">
        <v>137</v>
      </c>
      <c r="T1994" s="11">
        <v>0</v>
      </c>
    </row>
    <row r="1995" spans="1:22" x14ac:dyDescent="0.25">
      <c r="A1995" s="11">
        <v>101060408</v>
      </c>
      <c r="B1995" s="11" t="s">
        <v>82</v>
      </c>
      <c r="C1995" s="41">
        <v>44916</v>
      </c>
      <c r="D1995" s="41">
        <v>44916</v>
      </c>
      <c r="E1995" s="11" t="s">
        <v>36</v>
      </c>
      <c r="F1995" s="11" t="s">
        <v>3789</v>
      </c>
      <c r="G1995" s="11">
        <v>110548</v>
      </c>
      <c r="H1995" s="11" t="s">
        <v>3790</v>
      </c>
      <c r="K1995" s="11">
        <v>101060501</v>
      </c>
      <c r="L1995" s="11" t="s">
        <v>3632</v>
      </c>
      <c r="M1995" s="11">
        <v>4753.21</v>
      </c>
      <c r="N1995" s="11"/>
      <c r="O1995" s="44">
        <v>4753.21</v>
      </c>
      <c r="P1995" s="43" t="s">
        <v>4492</v>
      </c>
      <c r="Q1995" s="11">
        <v>135033.26999999999</v>
      </c>
      <c r="R1995" s="11" t="s">
        <v>3791</v>
      </c>
      <c r="S1995" s="11" t="s">
        <v>137</v>
      </c>
      <c r="T1995" s="11">
        <v>0</v>
      </c>
    </row>
    <row r="1996" spans="1:22" x14ac:dyDescent="0.25">
      <c r="A1996" s="11">
        <v>101060408</v>
      </c>
      <c r="B1996" s="11" t="s">
        <v>82</v>
      </c>
      <c r="C1996" s="41">
        <v>44916</v>
      </c>
      <c r="D1996" s="41">
        <v>44916</v>
      </c>
      <c r="E1996" s="11" t="s">
        <v>42</v>
      </c>
      <c r="F1996" s="11" t="s">
        <v>2676</v>
      </c>
      <c r="G1996" s="11">
        <v>110589</v>
      </c>
      <c r="H1996" s="11" t="s">
        <v>1912</v>
      </c>
      <c r="J1996" s="11" t="s">
        <v>38</v>
      </c>
      <c r="K1996" s="11">
        <v>51010101</v>
      </c>
      <c r="L1996" s="11" t="s">
        <v>48</v>
      </c>
      <c r="M1996" s="11"/>
      <c r="N1996" s="11">
        <v>682.69</v>
      </c>
      <c r="O1996" s="42">
        <v>-682.69</v>
      </c>
      <c r="P1996" s="43" t="s">
        <v>4489</v>
      </c>
      <c r="Q1996" s="11">
        <v>134350.57999999999</v>
      </c>
      <c r="R1996" s="11" t="s">
        <v>3792</v>
      </c>
      <c r="S1996" s="11" t="s">
        <v>40</v>
      </c>
      <c r="T1996" s="11">
        <v>0</v>
      </c>
      <c r="V1996" s="11" t="s">
        <v>41</v>
      </c>
    </row>
    <row r="1997" spans="1:22" x14ac:dyDescent="0.25">
      <c r="A1997" s="11">
        <v>101060408</v>
      </c>
      <c r="B1997" s="11" t="s">
        <v>82</v>
      </c>
      <c r="C1997" s="41">
        <v>44916</v>
      </c>
      <c r="D1997" s="41">
        <v>44916</v>
      </c>
      <c r="E1997" s="11" t="s">
        <v>42</v>
      </c>
      <c r="F1997" s="11" t="s">
        <v>2678</v>
      </c>
      <c r="G1997" s="11">
        <v>110590</v>
      </c>
      <c r="H1997" s="11" t="s">
        <v>57</v>
      </c>
      <c r="K1997" s="11">
        <v>101060401</v>
      </c>
      <c r="L1997" s="11" t="s">
        <v>34</v>
      </c>
      <c r="M1997" s="11"/>
      <c r="N1997" s="11">
        <v>20078.560000000001</v>
      </c>
      <c r="O1997" s="42">
        <v>-20078.560000000001</v>
      </c>
      <c r="P1997" s="43" t="s">
        <v>4481</v>
      </c>
      <c r="Q1997" s="11">
        <v>114272.02</v>
      </c>
      <c r="R1997" s="11" t="s">
        <v>3793</v>
      </c>
      <c r="S1997" s="11" t="s">
        <v>40</v>
      </c>
      <c r="T1997" s="11">
        <v>0</v>
      </c>
    </row>
    <row r="1998" spans="1:22" x14ac:dyDescent="0.25">
      <c r="A1998" s="11">
        <v>101060408</v>
      </c>
      <c r="B1998" s="11" t="s">
        <v>82</v>
      </c>
      <c r="C1998" s="41">
        <v>44917</v>
      </c>
      <c r="D1998" s="41">
        <v>44917</v>
      </c>
      <c r="E1998" s="11" t="s">
        <v>42</v>
      </c>
      <c r="F1998" s="11" t="s">
        <v>2686</v>
      </c>
      <c r="G1998" s="11">
        <v>110605</v>
      </c>
      <c r="H1998" s="11" t="s">
        <v>57</v>
      </c>
      <c r="K1998" s="11">
        <v>101060401</v>
      </c>
      <c r="L1998" s="11" t="s">
        <v>34</v>
      </c>
      <c r="M1998" s="11"/>
      <c r="N1998" s="11">
        <v>14849.79</v>
      </c>
      <c r="O1998" s="42">
        <v>-14849.79</v>
      </c>
      <c r="P1998" s="43" t="s">
        <v>4481</v>
      </c>
      <c r="Q1998" s="11">
        <v>99422.23</v>
      </c>
      <c r="R1998" s="11" t="s">
        <v>3794</v>
      </c>
      <c r="S1998" s="11" t="s">
        <v>40</v>
      </c>
      <c r="T1998" s="11">
        <v>0</v>
      </c>
    </row>
    <row r="1999" spans="1:22" x14ac:dyDescent="0.25">
      <c r="A1999" s="11">
        <v>101060408</v>
      </c>
      <c r="B1999" s="11" t="s">
        <v>82</v>
      </c>
      <c r="C1999" s="41">
        <v>44917</v>
      </c>
      <c r="D1999" s="41">
        <v>44917</v>
      </c>
      <c r="E1999" s="11" t="s">
        <v>42</v>
      </c>
      <c r="F1999" s="11" t="s">
        <v>2688</v>
      </c>
      <c r="G1999" s="11">
        <v>110606</v>
      </c>
      <c r="H1999" s="11" t="s">
        <v>57</v>
      </c>
      <c r="K1999" s="11">
        <v>101060401</v>
      </c>
      <c r="L1999" s="11" t="s">
        <v>34</v>
      </c>
      <c r="M1999" s="11"/>
      <c r="N1999" s="11">
        <v>19700.330000000002</v>
      </c>
      <c r="O1999" s="42">
        <v>-19700.330000000002</v>
      </c>
      <c r="P1999" s="43" t="s">
        <v>4481</v>
      </c>
      <c r="Q1999" s="11">
        <v>79721.899999999994</v>
      </c>
      <c r="R1999" s="11" t="s">
        <v>3795</v>
      </c>
      <c r="S1999" s="11" t="s">
        <v>40</v>
      </c>
      <c r="T1999" s="11">
        <v>0</v>
      </c>
    </row>
    <row r="2000" spans="1:22" x14ac:dyDescent="0.25">
      <c r="A2000" s="11">
        <v>101060408</v>
      </c>
      <c r="B2000" s="11" t="s">
        <v>82</v>
      </c>
      <c r="C2000" s="41">
        <v>44917</v>
      </c>
      <c r="D2000" s="41">
        <v>44917</v>
      </c>
      <c r="E2000" s="11" t="s">
        <v>36</v>
      </c>
      <c r="F2000" s="11" t="s">
        <v>3796</v>
      </c>
      <c r="G2000" s="11">
        <v>110656</v>
      </c>
      <c r="H2000" s="11" t="s">
        <v>3642</v>
      </c>
      <c r="K2000" s="11">
        <v>101060501</v>
      </c>
      <c r="L2000" s="11" t="s">
        <v>3632</v>
      </c>
      <c r="M2000" s="11">
        <v>2340</v>
      </c>
      <c r="N2000" s="11"/>
      <c r="O2000" s="44">
        <v>2340</v>
      </c>
      <c r="P2000" s="43" t="s">
        <v>4492</v>
      </c>
      <c r="Q2000" s="11">
        <v>82061.899999999994</v>
      </c>
      <c r="R2000" s="11" t="s">
        <v>3797</v>
      </c>
      <c r="S2000" s="11" t="s">
        <v>137</v>
      </c>
      <c r="T2000" s="11">
        <v>0</v>
      </c>
    </row>
    <row r="2001" spans="1:22" x14ac:dyDescent="0.25">
      <c r="A2001" s="11">
        <v>101060408</v>
      </c>
      <c r="B2001" s="11" t="s">
        <v>82</v>
      </c>
      <c r="C2001" s="41">
        <v>44917</v>
      </c>
      <c r="D2001" s="41">
        <v>44917</v>
      </c>
      <c r="E2001" s="11" t="s">
        <v>36</v>
      </c>
      <c r="F2001" s="11" t="s">
        <v>3798</v>
      </c>
      <c r="G2001" s="11">
        <v>110657</v>
      </c>
      <c r="H2001" s="11" t="s">
        <v>3799</v>
      </c>
      <c r="K2001" s="11">
        <v>101060501</v>
      </c>
      <c r="L2001" s="11" t="s">
        <v>3632</v>
      </c>
      <c r="M2001" s="11">
        <v>1883.53</v>
      </c>
      <c r="N2001" s="11"/>
      <c r="O2001" s="44">
        <v>1883.53</v>
      </c>
      <c r="P2001" s="43" t="s">
        <v>4492</v>
      </c>
      <c r="Q2001" s="11">
        <v>83945.43</v>
      </c>
      <c r="R2001" s="11" t="s">
        <v>3800</v>
      </c>
      <c r="S2001" s="11" t="s">
        <v>137</v>
      </c>
      <c r="T2001" s="11">
        <v>0</v>
      </c>
    </row>
    <row r="2002" spans="1:22" x14ac:dyDescent="0.25">
      <c r="A2002" s="11">
        <v>101060408</v>
      </c>
      <c r="B2002" s="11" t="s">
        <v>82</v>
      </c>
      <c r="C2002" s="41">
        <v>44922</v>
      </c>
      <c r="D2002" s="41">
        <v>44922</v>
      </c>
      <c r="E2002" s="11" t="s">
        <v>36</v>
      </c>
      <c r="F2002" s="11" t="s">
        <v>3801</v>
      </c>
      <c r="G2002" s="11">
        <v>110721</v>
      </c>
      <c r="H2002" s="11" t="s">
        <v>3636</v>
      </c>
      <c r="K2002" s="11">
        <v>101060501</v>
      </c>
      <c r="L2002" s="11" t="s">
        <v>3632</v>
      </c>
      <c r="M2002" s="11">
        <v>17510.04</v>
      </c>
      <c r="N2002" s="11"/>
      <c r="O2002" s="44">
        <v>17510.04</v>
      </c>
      <c r="P2002" s="43" t="s">
        <v>4492</v>
      </c>
      <c r="Q2002" s="11">
        <v>101455.47</v>
      </c>
      <c r="R2002" s="11" t="s">
        <v>3802</v>
      </c>
      <c r="S2002" s="11" t="s">
        <v>137</v>
      </c>
      <c r="T2002" s="11">
        <v>0</v>
      </c>
    </row>
    <row r="2003" spans="1:22" x14ac:dyDescent="0.25">
      <c r="A2003" s="11">
        <v>101060408</v>
      </c>
      <c r="B2003" s="11" t="s">
        <v>82</v>
      </c>
      <c r="C2003" s="41">
        <v>44922</v>
      </c>
      <c r="D2003" s="41">
        <v>44922</v>
      </c>
      <c r="E2003" s="11" t="s">
        <v>36</v>
      </c>
      <c r="F2003" s="11" t="s">
        <v>3803</v>
      </c>
      <c r="G2003" s="11">
        <v>110723</v>
      </c>
      <c r="H2003" s="11" t="s">
        <v>3645</v>
      </c>
      <c r="K2003" s="11">
        <v>101060501</v>
      </c>
      <c r="L2003" s="11" t="s">
        <v>3632</v>
      </c>
      <c r="M2003" s="11">
        <v>154.63999999999999</v>
      </c>
      <c r="N2003" s="11"/>
      <c r="O2003" s="44">
        <v>154.63999999999999</v>
      </c>
      <c r="P2003" s="43" t="s">
        <v>4492</v>
      </c>
      <c r="Q2003" s="11">
        <v>101610.11</v>
      </c>
      <c r="R2003" s="11" t="s">
        <v>3804</v>
      </c>
      <c r="S2003" s="11" t="s">
        <v>137</v>
      </c>
      <c r="T2003" s="11">
        <v>0</v>
      </c>
    </row>
    <row r="2004" spans="1:22" x14ac:dyDescent="0.25">
      <c r="A2004" s="11">
        <v>101060408</v>
      </c>
      <c r="B2004" s="11" t="s">
        <v>82</v>
      </c>
      <c r="C2004" s="41">
        <v>44922</v>
      </c>
      <c r="D2004" s="41">
        <v>44922</v>
      </c>
      <c r="E2004" s="11" t="s">
        <v>36</v>
      </c>
      <c r="F2004" s="11" t="s">
        <v>3805</v>
      </c>
      <c r="G2004" s="11">
        <v>110725</v>
      </c>
      <c r="H2004" s="11" t="s">
        <v>3806</v>
      </c>
      <c r="K2004" s="11">
        <v>101060501</v>
      </c>
      <c r="L2004" s="11" t="s">
        <v>3632</v>
      </c>
      <c r="M2004" s="11">
        <v>2244.9499999999998</v>
      </c>
      <c r="N2004" s="11"/>
      <c r="O2004" s="44">
        <v>2244.9499999999998</v>
      </c>
      <c r="P2004" s="43" t="s">
        <v>4492</v>
      </c>
      <c r="Q2004" s="11">
        <v>103855.06</v>
      </c>
      <c r="R2004" s="11" t="s">
        <v>3807</v>
      </c>
      <c r="S2004" s="11" t="s">
        <v>137</v>
      </c>
      <c r="T2004" s="11">
        <v>0</v>
      </c>
    </row>
    <row r="2005" spans="1:22" x14ac:dyDescent="0.25">
      <c r="A2005" s="11">
        <v>101060408</v>
      </c>
      <c r="B2005" s="11" t="s">
        <v>82</v>
      </c>
      <c r="C2005" s="41">
        <v>44922</v>
      </c>
      <c r="D2005" s="41">
        <v>44922</v>
      </c>
      <c r="E2005" s="11" t="s">
        <v>42</v>
      </c>
      <c r="F2005" s="11" t="s">
        <v>2743</v>
      </c>
      <c r="G2005" s="11">
        <v>110734</v>
      </c>
      <c r="H2005" s="11" t="s">
        <v>57</v>
      </c>
      <c r="K2005" s="11">
        <v>101060401</v>
      </c>
      <c r="L2005" s="11" t="s">
        <v>34</v>
      </c>
      <c r="M2005" s="11"/>
      <c r="N2005" s="11">
        <v>19901.849999999999</v>
      </c>
      <c r="O2005" s="42">
        <v>-19901.849999999999</v>
      </c>
      <c r="P2005" s="43" t="s">
        <v>4481</v>
      </c>
      <c r="Q2005" s="11">
        <v>83953.21</v>
      </c>
      <c r="R2005" s="11" t="s">
        <v>3808</v>
      </c>
      <c r="S2005" s="11" t="s">
        <v>40</v>
      </c>
      <c r="T2005" s="11">
        <v>0</v>
      </c>
    </row>
    <row r="2006" spans="1:22" x14ac:dyDescent="0.25">
      <c r="A2006" s="11">
        <v>101060408</v>
      </c>
      <c r="B2006" s="11" t="s">
        <v>82</v>
      </c>
      <c r="C2006" s="41">
        <v>44922</v>
      </c>
      <c r="D2006" s="41">
        <v>44922</v>
      </c>
      <c r="E2006" s="11" t="s">
        <v>36</v>
      </c>
      <c r="F2006" s="11" t="s">
        <v>3809</v>
      </c>
      <c r="G2006" s="11">
        <v>110742</v>
      </c>
      <c r="H2006" s="11" t="s">
        <v>3641</v>
      </c>
      <c r="K2006" s="11">
        <v>101060501</v>
      </c>
      <c r="L2006" s="11" t="s">
        <v>3632</v>
      </c>
      <c r="M2006" s="11">
        <v>78548.58</v>
      </c>
      <c r="N2006" s="11"/>
      <c r="O2006" s="44">
        <v>78548.58</v>
      </c>
      <c r="P2006" s="43" t="s">
        <v>4492</v>
      </c>
      <c r="Q2006" s="11">
        <v>162501.79</v>
      </c>
      <c r="R2006" s="11" t="s">
        <v>3810</v>
      </c>
      <c r="S2006" s="11" t="s">
        <v>137</v>
      </c>
      <c r="T2006" s="11">
        <v>0</v>
      </c>
    </row>
    <row r="2007" spans="1:22" x14ac:dyDescent="0.25">
      <c r="A2007" s="11">
        <v>101060408</v>
      </c>
      <c r="B2007" s="11" t="s">
        <v>82</v>
      </c>
      <c r="C2007" s="41">
        <v>44922</v>
      </c>
      <c r="D2007" s="41">
        <v>44922</v>
      </c>
      <c r="E2007" s="11" t="s">
        <v>36</v>
      </c>
      <c r="F2007" s="11" t="s">
        <v>3811</v>
      </c>
      <c r="G2007" s="11">
        <v>110744</v>
      </c>
      <c r="H2007" s="11" t="s">
        <v>3812</v>
      </c>
      <c r="K2007" s="11">
        <v>101060501</v>
      </c>
      <c r="L2007" s="11" t="s">
        <v>3632</v>
      </c>
      <c r="M2007" s="11">
        <v>8883.35</v>
      </c>
      <c r="N2007" s="11"/>
      <c r="O2007" s="44">
        <v>8883.35</v>
      </c>
      <c r="P2007" s="43" t="s">
        <v>4492</v>
      </c>
      <c r="Q2007" s="11">
        <v>171385.14</v>
      </c>
      <c r="R2007" s="11" t="s">
        <v>3813</v>
      </c>
      <c r="S2007" s="11" t="s">
        <v>137</v>
      </c>
      <c r="T2007" s="11">
        <v>0</v>
      </c>
    </row>
    <row r="2008" spans="1:22" x14ac:dyDescent="0.25">
      <c r="A2008" s="11">
        <v>101060408</v>
      </c>
      <c r="B2008" s="11" t="s">
        <v>82</v>
      </c>
      <c r="C2008" s="41">
        <v>44922</v>
      </c>
      <c r="D2008" s="41">
        <v>44922</v>
      </c>
      <c r="E2008" s="11" t="s">
        <v>42</v>
      </c>
      <c r="F2008" s="11" t="s">
        <v>2763</v>
      </c>
      <c r="G2008" s="11">
        <v>110782</v>
      </c>
      <c r="H2008" s="11" t="s">
        <v>57</v>
      </c>
      <c r="K2008" s="11">
        <v>101060401</v>
      </c>
      <c r="L2008" s="11" t="s">
        <v>34</v>
      </c>
      <c r="M2008" s="11"/>
      <c r="N2008" s="11">
        <v>87431.93</v>
      </c>
      <c r="O2008" s="42">
        <v>-87431.93</v>
      </c>
      <c r="P2008" s="43" t="s">
        <v>4481</v>
      </c>
      <c r="Q2008" s="11">
        <v>83953.21</v>
      </c>
      <c r="R2008" s="11" t="s">
        <v>2766</v>
      </c>
      <c r="S2008" s="11" t="s">
        <v>40</v>
      </c>
      <c r="T2008" s="11">
        <v>0</v>
      </c>
    </row>
    <row r="2009" spans="1:22" x14ac:dyDescent="0.25">
      <c r="A2009" s="11">
        <v>101060408</v>
      </c>
      <c r="B2009" s="11" t="s">
        <v>82</v>
      </c>
      <c r="C2009" s="41">
        <v>44923</v>
      </c>
      <c r="D2009" s="41">
        <v>44923</v>
      </c>
      <c r="E2009" s="11" t="s">
        <v>36</v>
      </c>
      <c r="F2009" s="11" t="s">
        <v>3814</v>
      </c>
      <c r="G2009" s="11">
        <v>110863</v>
      </c>
      <c r="H2009" s="11" t="s">
        <v>3645</v>
      </c>
      <c r="K2009" s="11">
        <v>101060501</v>
      </c>
      <c r="L2009" s="11" t="s">
        <v>3632</v>
      </c>
      <c r="M2009" s="11">
        <v>3065.95</v>
      </c>
      <c r="N2009" s="11"/>
      <c r="O2009" s="44">
        <v>3065.95</v>
      </c>
      <c r="P2009" s="43" t="s">
        <v>4492</v>
      </c>
      <c r="Q2009" s="11">
        <v>87019.16</v>
      </c>
      <c r="R2009" s="11" t="s">
        <v>3815</v>
      </c>
      <c r="S2009" s="11" t="s">
        <v>137</v>
      </c>
      <c r="T2009" s="11">
        <v>0</v>
      </c>
    </row>
    <row r="2010" spans="1:22" x14ac:dyDescent="0.25">
      <c r="A2010" s="11">
        <v>101060408</v>
      </c>
      <c r="B2010" s="11" t="s">
        <v>82</v>
      </c>
      <c r="C2010" s="41">
        <v>44923</v>
      </c>
      <c r="D2010" s="41">
        <v>44923</v>
      </c>
      <c r="E2010" s="11" t="s">
        <v>36</v>
      </c>
      <c r="F2010" s="11" t="s">
        <v>3816</v>
      </c>
      <c r="G2010" s="11">
        <v>110866</v>
      </c>
      <c r="H2010" s="11" t="s">
        <v>3817</v>
      </c>
      <c r="K2010" s="11">
        <v>101060501</v>
      </c>
      <c r="L2010" s="11" t="s">
        <v>3632</v>
      </c>
      <c r="M2010" s="11">
        <v>361.13</v>
      </c>
      <c r="N2010" s="11"/>
      <c r="O2010" s="44">
        <v>361.13</v>
      </c>
      <c r="P2010" s="43" t="s">
        <v>4492</v>
      </c>
      <c r="Q2010" s="11">
        <v>87380.29</v>
      </c>
      <c r="R2010" s="11" t="s">
        <v>3818</v>
      </c>
      <c r="S2010" s="11" t="s">
        <v>137</v>
      </c>
      <c r="T2010" s="11">
        <v>0</v>
      </c>
    </row>
    <row r="2011" spans="1:22" x14ac:dyDescent="0.25">
      <c r="A2011" s="11">
        <v>101060408</v>
      </c>
      <c r="B2011" s="11" t="s">
        <v>82</v>
      </c>
      <c r="C2011" s="41">
        <v>44923</v>
      </c>
      <c r="D2011" s="41">
        <v>44923</v>
      </c>
      <c r="E2011" s="11" t="s">
        <v>42</v>
      </c>
      <c r="F2011" s="11" t="s">
        <v>2807</v>
      </c>
      <c r="G2011" s="11">
        <v>110878</v>
      </c>
      <c r="H2011" s="11" t="s">
        <v>57</v>
      </c>
      <c r="K2011" s="11">
        <v>101060401</v>
      </c>
      <c r="L2011" s="11" t="s">
        <v>34</v>
      </c>
      <c r="M2011" s="11"/>
      <c r="N2011" s="11">
        <v>3424.71</v>
      </c>
      <c r="O2011" s="42">
        <v>-3424.71</v>
      </c>
      <c r="P2011" s="43" t="s">
        <v>4481</v>
      </c>
      <c r="Q2011" s="11">
        <v>83955.58</v>
      </c>
      <c r="R2011" s="11" t="s">
        <v>3819</v>
      </c>
      <c r="S2011" s="11" t="s">
        <v>40</v>
      </c>
      <c r="T2011" s="11">
        <v>0</v>
      </c>
    </row>
    <row r="2012" spans="1:22" x14ac:dyDescent="0.25">
      <c r="A2012" s="11">
        <v>101060409</v>
      </c>
      <c r="B2012" s="11" t="s">
        <v>128</v>
      </c>
      <c r="C2012" s="11" t="s">
        <v>35</v>
      </c>
      <c r="D2012" s="11">
        <v>101060409</v>
      </c>
      <c r="H2012" s="11" t="s">
        <v>9</v>
      </c>
      <c r="M2012" s="11">
        <v>38334.239999999998</v>
      </c>
      <c r="N2012" s="11"/>
      <c r="O2012" s="40">
        <v>38334.239999999998</v>
      </c>
      <c r="P2012" s="11" t="s">
        <v>9</v>
      </c>
      <c r="Q2012" s="11">
        <v>38334.239999999998</v>
      </c>
    </row>
    <row r="2013" spans="1:22" x14ac:dyDescent="0.25">
      <c r="A2013" s="11">
        <v>101060409</v>
      </c>
      <c r="B2013" s="11" t="s">
        <v>128</v>
      </c>
      <c r="C2013" s="41">
        <v>44837</v>
      </c>
      <c r="D2013" s="41">
        <v>44837</v>
      </c>
      <c r="E2013" s="11" t="s">
        <v>42</v>
      </c>
      <c r="F2013" s="11" t="s">
        <v>359</v>
      </c>
      <c r="G2013" s="11">
        <v>106375</v>
      </c>
      <c r="H2013" s="11" t="s">
        <v>57</v>
      </c>
      <c r="K2013" s="11">
        <v>101060402</v>
      </c>
      <c r="L2013" s="11" t="s">
        <v>44</v>
      </c>
      <c r="M2013" s="11"/>
      <c r="N2013" s="11">
        <v>27.46</v>
      </c>
      <c r="O2013" s="42">
        <v>-27.46</v>
      </c>
      <c r="P2013" s="43" t="s">
        <v>4481</v>
      </c>
      <c r="Q2013" s="11">
        <v>31071.51</v>
      </c>
      <c r="R2013" s="11" t="s">
        <v>3821</v>
      </c>
      <c r="S2013" s="11" t="s">
        <v>40</v>
      </c>
      <c r="T2013" s="11">
        <v>0</v>
      </c>
    </row>
    <row r="2014" spans="1:22" x14ac:dyDescent="0.25">
      <c r="A2014" s="11">
        <v>101060409</v>
      </c>
      <c r="B2014" s="11" t="s">
        <v>128</v>
      </c>
      <c r="C2014" s="41">
        <v>44837</v>
      </c>
      <c r="D2014" s="41">
        <v>44837</v>
      </c>
      <c r="E2014" s="11" t="s">
        <v>42</v>
      </c>
      <c r="F2014" s="11" t="s">
        <v>3822</v>
      </c>
      <c r="G2014" s="11">
        <v>106379</v>
      </c>
      <c r="H2014" s="11" t="s">
        <v>76</v>
      </c>
      <c r="J2014" s="11" t="s">
        <v>38</v>
      </c>
      <c r="K2014" s="11">
        <v>51010101</v>
      </c>
      <c r="L2014" s="11" t="s">
        <v>48</v>
      </c>
      <c r="M2014" s="11"/>
      <c r="N2014" s="11">
        <v>1178.52</v>
      </c>
      <c r="O2014" s="42">
        <v>-1178.52</v>
      </c>
      <c r="P2014" s="43" t="s">
        <v>4489</v>
      </c>
      <c r="Q2014" s="11">
        <v>29892.99</v>
      </c>
      <c r="R2014" s="11" t="s">
        <v>3823</v>
      </c>
      <c r="S2014" s="11" t="s">
        <v>106</v>
      </c>
      <c r="T2014" s="11">
        <v>0</v>
      </c>
      <c r="V2014" s="11" t="s">
        <v>41</v>
      </c>
    </row>
    <row r="2015" spans="1:22" x14ac:dyDescent="0.25">
      <c r="A2015" s="11">
        <v>101060409</v>
      </c>
      <c r="B2015" s="11" t="s">
        <v>128</v>
      </c>
      <c r="C2015" s="41">
        <v>44841</v>
      </c>
      <c r="D2015" s="41">
        <v>44841</v>
      </c>
      <c r="E2015" s="11" t="s">
        <v>42</v>
      </c>
      <c r="F2015" s="11" t="s">
        <v>2936</v>
      </c>
      <c r="G2015" s="11">
        <v>106694</v>
      </c>
      <c r="H2015" s="11" t="s">
        <v>57</v>
      </c>
      <c r="K2015" s="11">
        <v>101060402</v>
      </c>
      <c r="L2015" s="11" t="s">
        <v>44</v>
      </c>
      <c r="M2015" s="11">
        <v>34.97</v>
      </c>
      <c r="N2015" s="11"/>
      <c r="O2015" s="42">
        <v>34.97</v>
      </c>
      <c r="P2015" s="43" t="s">
        <v>4481</v>
      </c>
      <c r="Q2015" s="11">
        <v>29927.96</v>
      </c>
      <c r="R2015" s="11" t="s">
        <v>3824</v>
      </c>
      <c r="S2015" s="11" t="s">
        <v>106</v>
      </c>
      <c r="T2015" s="11">
        <v>0</v>
      </c>
    </row>
    <row r="2016" spans="1:22" x14ac:dyDescent="0.25">
      <c r="A2016" s="11">
        <v>101060409</v>
      </c>
      <c r="B2016" s="11" t="s">
        <v>128</v>
      </c>
      <c r="C2016" s="41">
        <v>44841</v>
      </c>
      <c r="D2016" s="41">
        <v>44841</v>
      </c>
      <c r="E2016" s="11" t="s">
        <v>42</v>
      </c>
      <c r="F2016" s="11" t="s">
        <v>542</v>
      </c>
      <c r="G2016" s="11">
        <v>106712</v>
      </c>
      <c r="H2016" s="11" t="s">
        <v>57</v>
      </c>
      <c r="K2016" s="11">
        <v>101060401</v>
      </c>
      <c r="L2016" s="11" t="s">
        <v>34</v>
      </c>
      <c r="M2016" s="11">
        <v>31.71</v>
      </c>
      <c r="N2016" s="11"/>
      <c r="O2016" s="42">
        <v>31.71</v>
      </c>
      <c r="P2016" s="43" t="s">
        <v>4481</v>
      </c>
      <c r="Q2016" s="11">
        <v>29959.67</v>
      </c>
      <c r="R2016" s="11" t="s">
        <v>288</v>
      </c>
      <c r="S2016" s="11" t="s">
        <v>40</v>
      </c>
      <c r="T2016" s="11">
        <v>0</v>
      </c>
    </row>
    <row r="2017" spans="1:22" x14ac:dyDescent="0.25">
      <c r="A2017" s="11">
        <v>101060409</v>
      </c>
      <c r="B2017" s="11" t="s">
        <v>128</v>
      </c>
      <c r="C2017" s="41">
        <v>44845</v>
      </c>
      <c r="D2017" s="41">
        <v>44845</v>
      </c>
      <c r="E2017" s="11" t="s">
        <v>42</v>
      </c>
      <c r="F2017" s="11" t="s">
        <v>2955</v>
      </c>
      <c r="G2017" s="11">
        <v>106794</v>
      </c>
      <c r="H2017" s="11" t="s">
        <v>57</v>
      </c>
      <c r="K2017" s="11">
        <v>101060402</v>
      </c>
      <c r="L2017" s="11" t="s">
        <v>44</v>
      </c>
      <c r="M2017" s="11">
        <v>3835.71</v>
      </c>
      <c r="N2017" s="11"/>
      <c r="O2017" s="42">
        <v>3835.71</v>
      </c>
      <c r="P2017" s="43" t="s">
        <v>4481</v>
      </c>
      <c r="Q2017" s="11">
        <v>33795.379999999997</v>
      </c>
      <c r="R2017" s="11" t="s">
        <v>3825</v>
      </c>
      <c r="S2017" s="11" t="s">
        <v>40</v>
      </c>
      <c r="T2017" s="11">
        <v>0</v>
      </c>
    </row>
    <row r="2018" spans="1:22" x14ac:dyDescent="0.25">
      <c r="A2018" s="11">
        <v>101060409</v>
      </c>
      <c r="B2018" s="11" t="s">
        <v>128</v>
      </c>
      <c r="C2018" s="41">
        <v>44852</v>
      </c>
      <c r="D2018" s="41">
        <v>44852</v>
      </c>
      <c r="E2018" s="11" t="s">
        <v>42</v>
      </c>
      <c r="F2018" s="11" t="s">
        <v>3006</v>
      </c>
      <c r="G2018" s="11">
        <v>107107</v>
      </c>
      <c r="H2018" s="11" t="s">
        <v>57</v>
      </c>
      <c r="K2018" s="11">
        <v>101060402</v>
      </c>
      <c r="L2018" s="11" t="s">
        <v>44</v>
      </c>
      <c r="M2018" s="11">
        <v>196.54</v>
      </c>
      <c r="N2018" s="11"/>
      <c r="O2018" s="42">
        <v>196.54</v>
      </c>
      <c r="P2018" s="43" t="s">
        <v>4481</v>
      </c>
      <c r="Q2018" s="11">
        <v>33991.919999999998</v>
      </c>
      <c r="R2018" s="11" t="s">
        <v>3826</v>
      </c>
      <c r="S2018" s="11" t="s">
        <v>106</v>
      </c>
      <c r="T2018" s="11">
        <v>0</v>
      </c>
    </row>
    <row r="2019" spans="1:22" x14ac:dyDescent="0.25">
      <c r="A2019" s="11">
        <v>101060409</v>
      </c>
      <c r="B2019" s="11" t="s">
        <v>128</v>
      </c>
      <c r="C2019" s="41">
        <v>44852</v>
      </c>
      <c r="D2019" s="41">
        <v>44852</v>
      </c>
      <c r="E2019" s="11" t="s">
        <v>42</v>
      </c>
      <c r="F2019" s="11" t="s">
        <v>3010</v>
      </c>
      <c r="G2019" s="11">
        <v>107130</v>
      </c>
      <c r="H2019" s="11" t="s">
        <v>57</v>
      </c>
      <c r="K2019" s="11">
        <v>101060402</v>
      </c>
      <c r="L2019" s="11" t="s">
        <v>44</v>
      </c>
      <c r="M2019" s="11"/>
      <c r="N2019" s="11">
        <v>2651.4</v>
      </c>
      <c r="O2019" s="42">
        <v>-2651.4</v>
      </c>
      <c r="P2019" s="43" t="s">
        <v>4481</v>
      </c>
      <c r="Q2019" s="11">
        <v>31340.52</v>
      </c>
      <c r="R2019" s="11" t="s">
        <v>3827</v>
      </c>
      <c r="S2019" s="11" t="s">
        <v>40</v>
      </c>
      <c r="T2019" s="11">
        <v>0</v>
      </c>
    </row>
    <row r="2020" spans="1:22" x14ac:dyDescent="0.25">
      <c r="A2020" s="11">
        <v>101060409</v>
      </c>
      <c r="B2020" s="11" t="s">
        <v>128</v>
      </c>
      <c r="C2020" s="41">
        <v>44852</v>
      </c>
      <c r="D2020" s="41">
        <v>44852</v>
      </c>
      <c r="E2020" s="11" t="s">
        <v>42</v>
      </c>
      <c r="F2020" s="11" t="s">
        <v>3010</v>
      </c>
      <c r="G2020" s="11">
        <v>107130</v>
      </c>
      <c r="H2020" s="11" t="s">
        <v>57</v>
      </c>
      <c r="K2020" s="11">
        <v>101060402</v>
      </c>
      <c r="L2020" s="11" t="s">
        <v>44</v>
      </c>
      <c r="M2020" s="11">
        <v>390.83</v>
      </c>
      <c r="N2020" s="11"/>
      <c r="O2020" s="42">
        <v>390.83</v>
      </c>
      <c r="P2020" s="43" t="s">
        <v>4481</v>
      </c>
      <c r="Q2020" s="11">
        <v>31731.35</v>
      </c>
      <c r="R2020" s="11" t="s">
        <v>3828</v>
      </c>
      <c r="S2020" s="11" t="s">
        <v>40</v>
      </c>
      <c r="T2020" s="11">
        <v>0</v>
      </c>
    </row>
    <row r="2021" spans="1:22" x14ac:dyDescent="0.25">
      <c r="A2021" s="11">
        <v>101060409</v>
      </c>
      <c r="B2021" s="11" t="s">
        <v>128</v>
      </c>
      <c r="C2021" s="41">
        <v>44852</v>
      </c>
      <c r="D2021" s="41">
        <v>44852</v>
      </c>
      <c r="E2021" s="11" t="s">
        <v>42</v>
      </c>
      <c r="F2021" s="11" t="s">
        <v>764</v>
      </c>
      <c r="G2021" s="11">
        <v>107160</v>
      </c>
      <c r="H2021" s="11" t="s">
        <v>57</v>
      </c>
      <c r="K2021" s="11">
        <v>101060401</v>
      </c>
      <c r="L2021" s="11" t="s">
        <v>34</v>
      </c>
      <c r="M2021" s="11">
        <v>45.77</v>
      </c>
      <c r="N2021" s="11"/>
      <c r="O2021" s="42">
        <v>45.77</v>
      </c>
      <c r="P2021" s="43" t="s">
        <v>4481</v>
      </c>
      <c r="Q2021" s="11">
        <v>31777.119999999999</v>
      </c>
      <c r="R2021" s="11" t="s">
        <v>763</v>
      </c>
      <c r="S2021" s="11" t="s">
        <v>40</v>
      </c>
      <c r="T2021" s="11">
        <v>0</v>
      </c>
    </row>
    <row r="2022" spans="1:22" x14ac:dyDescent="0.25">
      <c r="A2022" s="11">
        <v>101060409</v>
      </c>
      <c r="B2022" s="11" t="s">
        <v>128</v>
      </c>
      <c r="C2022" s="41">
        <v>44858</v>
      </c>
      <c r="D2022" s="41">
        <v>44858</v>
      </c>
      <c r="E2022" s="11" t="s">
        <v>42</v>
      </c>
      <c r="F2022" s="11" t="s">
        <v>3079</v>
      </c>
      <c r="G2022" s="11">
        <v>107425</v>
      </c>
      <c r="H2022" s="11" t="s">
        <v>3080</v>
      </c>
      <c r="J2022" s="11" t="s">
        <v>38</v>
      </c>
      <c r="K2022" s="11">
        <v>51010101</v>
      </c>
      <c r="L2022" s="11" t="s">
        <v>48</v>
      </c>
      <c r="M2022" s="11"/>
      <c r="N2022" s="11">
        <v>26.35</v>
      </c>
      <c r="O2022" s="42">
        <v>-26.35</v>
      </c>
      <c r="P2022" s="43" t="s">
        <v>4489</v>
      </c>
      <c r="Q2022" s="11">
        <v>31750.77</v>
      </c>
      <c r="R2022" s="11" t="s">
        <v>3829</v>
      </c>
      <c r="S2022" s="11" t="s">
        <v>106</v>
      </c>
      <c r="T2022" s="11">
        <v>0</v>
      </c>
      <c r="V2022" s="11" t="s">
        <v>41</v>
      </c>
    </row>
    <row r="2023" spans="1:22" x14ac:dyDescent="0.25">
      <c r="A2023" s="11">
        <v>101060409</v>
      </c>
      <c r="B2023" s="11" t="s">
        <v>128</v>
      </c>
      <c r="C2023" s="41">
        <v>44861</v>
      </c>
      <c r="D2023" s="41">
        <v>44861</v>
      </c>
      <c r="E2023" s="11" t="s">
        <v>42</v>
      </c>
      <c r="F2023" s="11" t="s">
        <v>3101</v>
      </c>
      <c r="G2023" s="11">
        <v>107745</v>
      </c>
      <c r="H2023" s="11" t="s">
        <v>57</v>
      </c>
      <c r="K2023" s="11">
        <v>101060402</v>
      </c>
      <c r="L2023" s="11" t="s">
        <v>44</v>
      </c>
      <c r="M2023" s="11">
        <v>299.02</v>
      </c>
      <c r="N2023" s="11"/>
      <c r="O2023" s="42">
        <v>299.02</v>
      </c>
      <c r="P2023" s="43" t="s">
        <v>4481</v>
      </c>
      <c r="Q2023" s="11">
        <v>32049.79</v>
      </c>
      <c r="R2023" s="11" t="s">
        <v>3830</v>
      </c>
      <c r="S2023" s="11" t="s">
        <v>106</v>
      </c>
      <c r="T2023" s="11">
        <v>0</v>
      </c>
    </row>
    <row r="2024" spans="1:22" x14ac:dyDescent="0.25">
      <c r="A2024" s="11">
        <v>101060409</v>
      </c>
      <c r="B2024" s="11" t="s">
        <v>128</v>
      </c>
      <c r="C2024" s="41">
        <v>44865</v>
      </c>
      <c r="D2024" s="41">
        <v>44865</v>
      </c>
      <c r="E2024" s="11" t="s">
        <v>42</v>
      </c>
      <c r="F2024" s="11" t="s">
        <v>1099</v>
      </c>
      <c r="G2024" s="11">
        <v>107817</v>
      </c>
      <c r="H2024" s="11" t="s">
        <v>47</v>
      </c>
      <c r="J2024" s="11" t="s">
        <v>38</v>
      </c>
      <c r="K2024" s="11">
        <v>51010101</v>
      </c>
      <c r="L2024" s="11" t="s">
        <v>48</v>
      </c>
      <c r="M2024" s="11"/>
      <c r="N2024" s="11">
        <v>265.49</v>
      </c>
      <c r="O2024" s="42">
        <v>-265.49</v>
      </c>
      <c r="P2024" s="43" t="s">
        <v>4489</v>
      </c>
      <c r="Q2024" s="11">
        <v>31784.3</v>
      </c>
      <c r="R2024" s="11" t="s">
        <v>3831</v>
      </c>
      <c r="S2024" s="11" t="s">
        <v>40</v>
      </c>
      <c r="T2024" s="11">
        <v>0</v>
      </c>
      <c r="V2024" s="11" t="s">
        <v>41</v>
      </c>
    </row>
    <row r="2025" spans="1:22" x14ac:dyDescent="0.25">
      <c r="A2025" s="11">
        <v>101060409</v>
      </c>
      <c r="B2025" s="11" t="s">
        <v>128</v>
      </c>
      <c r="C2025" s="41">
        <v>44872</v>
      </c>
      <c r="D2025" s="41">
        <v>44872</v>
      </c>
      <c r="E2025" s="11" t="s">
        <v>42</v>
      </c>
      <c r="F2025" s="11" t="s">
        <v>3185</v>
      </c>
      <c r="G2025" s="11">
        <v>108155</v>
      </c>
      <c r="H2025" s="11" t="s">
        <v>57</v>
      </c>
      <c r="K2025" s="11">
        <v>101060402</v>
      </c>
      <c r="L2025" s="11" t="s">
        <v>44</v>
      </c>
      <c r="M2025" s="11">
        <v>227.75</v>
      </c>
      <c r="N2025" s="11"/>
      <c r="O2025" s="42">
        <v>227.75</v>
      </c>
      <c r="P2025" s="43" t="s">
        <v>4481</v>
      </c>
      <c r="Q2025" s="11">
        <v>32012.05</v>
      </c>
      <c r="R2025" s="11" t="s">
        <v>3832</v>
      </c>
      <c r="S2025" s="11" t="s">
        <v>106</v>
      </c>
      <c r="T2025" s="11">
        <v>0</v>
      </c>
    </row>
    <row r="2026" spans="1:22" x14ac:dyDescent="0.25">
      <c r="A2026" s="11">
        <v>101060409</v>
      </c>
      <c r="B2026" s="11" t="s">
        <v>128</v>
      </c>
      <c r="C2026" s="41">
        <v>44875</v>
      </c>
      <c r="D2026" s="41">
        <v>44875</v>
      </c>
      <c r="E2026" s="11" t="s">
        <v>42</v>
      </c>
      <c r="F2026" s="11" t="s">
        <v>3219</v>
      </c>
      <c r="G2026" s="11">
        <v>108327</v>
      </c>
      <c r="H2026" s="11" t="s">
        <v>57</v>
      </c>
      <c r="K2026" s="11">
        <v>101060402</v>
      </c>
      <c r="L2026" s="11" t="s">
        <v>44</v>
      </c>
      <c r="M2026" s="11">
        <v>2142.1799999999998</v>
      </c>
      <c r="N2026" s="11"/>
      <c r="O2026" s="42">
        <v>2142.1799999999998</v>
      </c>
      <c r="P2026" s="43" t="s">
        <v>4481</v>
      </c>
      <c r="Q2026" s="11">
        <v>34154.230000000003</v>
      </c>
      <c r="R2026" s="11" t="s">
        <v>3833</v>
      </c>
      <c r="S2026" s="11" t="s">
        <v>40</v>
      </c>
      <c r="T2026" s="11">
        <v>0</v>
      </c>
    </row>
    <row r="2027" spans="1:22" x14ac:dyDescent="0.25">
      <c r="A2027" s="11">
        <v>101060409</v>
      </c>
      <c r="B2027" s="11" t="s">
        <v>128</v>
      </c>
      <c r="C2027" s="41">
        <v>44895</v>
      </c>
      <c r="D2027" s="41">
        <v>44895</v>
      </c>
      <c r="E2027" s="11" t="s">
        <v>36</v>
      </c>
      <c r="F2027" s="11" t="s">
        <v>3834</v>
      </c>
      <c r="G2027" s="11">
        <v>109553</v>
      </c>
      <c r="H2027" s="11" t="s">
        <v>75</v>
      </c>
      <c r="J2027" s="11" t="s">
        <v>240</v>
      </c>
      <c r="K2027" s="11">
        <v>51010102</v>
      </c>
      <c r="L2027" s="11" t="s">
        <v>194</v>
      </c>
      <c r="M2027" s="11"/>
      <c r="N2027" s="11">
        <v>227.75</v>
      </c>
      <c r="O2027" s="42">
        <v>-227.75</v>
      </c>
      <c r="P2027" s="43" t="s">
        <v>4489</v>
      </c>
      <c r="Q2027" s="11">
        <v>33926.480000000003</v>
      </c>
      <c r="R2027" s="11" t="s">
        <v>3186</v>
      </c>
      <c r="S2027" s="11" t="s">
        <v>40</v>
      </c>
      <c r="T2027" s="11">
        <v>0</v>
      </c>
      <c r="V2027" s="11" t="s">
        <v>241</v>
      </c>
    </row>
    <row r="2028" spans="1:22" x14ac:dyDescent="0.25">
      <c r="A2028" s="11">
        <v>101060409</v>
      </c>
      <c r="B2028" s="11" t="s">
        <v>128</v>
      </c>
      <c r="C2028" s="41">
        <v>44895</v>
      </c>
      <c r="D2028" s="41">
        <v>44895</v>
      </c>
      <c r="E2028" s="11" t="s">
        <v>36</v>
      </c>
      <c r="F2028" s="11" t="s">
        <v>3835</v>
      </c>
      <c r="G2028" s="11">
        <v>109554</v>
      </c>
      <c r="H2028" s="11" t="s">
        <v>37</v>
      </c>
      <c r="J2028" s="11" t="s">
        <v>38</v>
      </c>
      <c r="K2028" s="11">
        <v>401030105</v>
      </c>
      <c r="L2028" s="11" t="s">
        <v>54</v>
      </c>
      <c r="M2028" s="26">
        <v>227.76</v>
      </c>
      <c r="O2028" s="44">
        <v>227.76</v>
      </c>
      <c r="P2028" s="43" t="s">
        <v>4494</v>
      </c>
      <c r="Q2028" s="11">
        <v>34154.239999999998</v>
      </c>
      <c r="R2028" s="11" t="s">
        <v>3836</v>
      </c>
      <c r="S2028" s="11" t="s">
        <v>40</v>
      </c>
      <c r="T2028" s="11">
        <v>0</v>
      </c>
      <c r="V2028" s="11" t="s">
        <v>41</v>
      </c>
    </row>
    <row r="2029" spans="1:22" x14ac:dyDescent="0.25">
      <c r="A2029" s="11">
        <v>101060409</v>
      </c>
      <c r="B2029" s="11" t="s">
        <v>128</v>
      </c>
      <c r="C2029" s="41">
        <v>44895</v>
      </c>
      <c r="D2029" s="41">
        <v>44895</v>
      </c>
      <c r="E2029" s="11" t="s">
        <v>42</v>
      </c>
      <c r="F2029" s="11" t="s">
        <v>2108</v>
      </c>
      <c r="G2029" s="11">
        <v>109555</v>
      </c>
      <c r="H2029" s="11" t="s">
        <v>57</v>
      </c>
      <c r="K2029" s="11">
        <v>101060401</v>
      </c>
      <c r="L2029" s="11" t="s">
        <v>34</v>
      </c>
      <c r="M2029" s="11"/>
      <c r="N2029" s="11">
        <v>41.76</v>
      </c>
      <c r="O2029" s="42">
        <v>-41.76</v>
      </c>
      <c r="P2029" s="43" t="s">
        <v>4481</v>
      </c>
      <c r="Q2029" s="11">
        <v>34112.480000000003</v>
      </c>
      <c r="R2029" s="11" t="s">
        <v>2133</v>
      </c>
      <c r="S2029" s="11" t="s">
        <v>106</v>
      </c>
      <c r="T2029" s="11">
        <v>0</v>
      </c>
    </row>
    <row r="2030" spans="1:22" x14ac:dyDescent="0.25">
      <c r="A2030" s="11">
        <v>101060409</v>
      </c>
      <c r="B2030" s="11" t="s">
        <v>128</v>
      </c>
      <c r="C2030" s="41">
        <v>44901</v>
      </c>
      <c r="D2030" s="41">
        <v>44901</v>
      </c>
      <c r="E2030" s="11" t="s">
        <v>42</v>
      </c>
      <c r="F2030" s="11" t="s">
        <v>3457</v>
      </c>
      <c r="G2030" s="11">
        <v>109744</v>
      </c>
      <c r="H2030" s="11" t="s">
        <v>57</v>
      </c>
      <c r="K2030" s="11">
        <v>101060402</v>
      </c>
      <c r="L2030" s="11" t="s">
        <v>44</v>
      </c>
      <c r="M2030" s="11">
        <v>21.49</v>
      </c>
      <c r="N2030" s="11"/>
      <c r="O2030" s="42">
        <v>21.49</v>
      </c>
      <c r="P2030" s="43" t="s">
        <v>4481</v>
      </c>
      <c r="Q2030" s="11">
        <v>34133.97</v>
      </c>
      <c r="R2030" s="11" t="s">
        <v>3837</v>
      </c>
      <c r="S2030" s="11" t="s">
        <v>106</v>
      </c>
      <c r="T2030" s="11">
        <v>0</v>
      </c>
    </row>
    <row r="2031" spans="1:22" x14ac:dyDescent="0.25">
      <c r="A2031" s="11">
        <v>101060409</v>
      </c>
      <c r="B2031" s="11" t="s">
        <v>128</v>
      </c>
      <c r="C2031" s="41">
        <v>44911</v>
      </c>
      <c r="D2031" s="41">
        <v>44911</v>
      </c>
      <c r="E2031" s="11" t="s">
        <v>42</v>
      </c>
      <c r="F2031" s="11" t="s">
        <v>3838</v>
      </c>
      <c r="G2031" s="11">
        <v>110352</v>
      </c>
      <c r="H2031" s="11" t="s">
        <v>141</v>
      </c>
      <c r="J2031" s="11" t="s">
        <v>38</v>
      </c>
      <c r="K2031" s="11">
        <v>51010101</v>
      </c>
      <c r="L2031" s="11" t="s">
        <v>48</v>
      </c>
      <c r="M2031" s="11"/>
      <c r="N2031" s="11">
        <v>41.76</v>
      </c>
      <c r="O2031" s="42">
        <v>-41.76</v>
      </c>
      <c r="P2031" s="43" t="s">
        <v>4489</v>
      </c>
      <c r="Q2031" s="11">
        <v>34092.21</v>
      </c>
      <c r="R2031" s="11" t="s">
        <v>2133</v>
      </c>
      <c r="S2031" s="11" t="s">
        <v>40</v>
      </c>
      <c r="T2031" s="11">
        <v>0</v>
      </c>
      <c r="V2031" s="11" t="s">
        <v>41</v>
      </c>
    </row>
    <row r="2032" spans="1:22" x14ac:dyDescent="0.25">
      <c r="A2032" s="11">
        <v>101060409</v>
      </c>
      <c r="B2032" s="11" t="s">
        <v>128</v>
      </c>
      <c r="C2032" s="41">
        <v>44925</v>
      </c>
      <c r="D2032" s="41">
        <v>44925</v>
      </c>
      <c r="E2032" s="11" t="s">
        <v>36</v>
      </c>
      <c r="F2032" s="11" t="s">
        <v>3839</v>
      </c>
      <c r="G2032" s="11">
        <v>111217</v>
      </c>
      <c r="H2032" s="11" t="s">
        <v>2855</v>
      </c>
      <c r="J2032" s="11" t="s">
        <v>38</v>
      </c>
      <c r="K2032" s="11">
        <v>51010104</v>
      </c>
      <c r="L2032" s="11" t="s">
        <v>2856</v>
      </c>
      <c r="M2032" s="11"/>
      <c r="N2032" s="11">
        <v>34092.21</v>
      </c>
      <c r="O2032" s="42">
        <v>-34092.21</v>
      </c>
      <c r="P2032" s="43" t="s">
        <v>4490</v>
      </c>
      <c r="Q2032" s="11">
        <v>0</v>
      </c>
      <c r="R2032" s="11" t="s">
        <v>3840</v>
      </c>
      <c r="S2032" s="11" t="s">
        <v>202</v>
      </c>
      <c r="T2032" s="11">
        <v>0</v>
      </c>
      <c r="V2032" s="11" t="s">
        <v>41</v>
      </c>
    </row>
    <row r="2033" spans="1:22" x14ac:dyDescent="0.25">
      <c r="A2033" s="11">
        <v>101060415</v>
      </c>
      <c r="B2033" s="11" t="s">
        <v>3841</v>
      </c>
      <c r="C2033" s="11" t="s">
        <v>35</v>
      </c>
      <c r="D2033" s="11">
        <v>101060415</v>
      </c>
      <c r="H2033" s="11" t="s">
        <v>9</v>
      </c>
      <c r="M2033" s="11">
        <v>1.81</v>
      </c>
      <c r="N2033" s="11"/>
      <c r="O2033" s="40">
        <v>1.81</v>
      </c>
      <c r="P2033" s="11" t="s">
        <v>9</v>
      </c>
      <c r="Q2033" s="11">
        <v>1.81</v>
      </c>
    </row>
    <row r="2034" spans="1:22" x14ac:dyDescent="0.25">
      <c r="A2034" s="11">
        <v>101060501</v>
      </c>
      <c r="B2034" s="11" t="s">
        <v>3632</v>
      </c>
      <c r="C2034" s="11" t="s">
        <v>35</v>
      </c>
      <c r="D2034" s="11">
        <v>101060501</v>
      </c>
      <c r="H2034" s="11" t="s">
        <v>9</v>
      </c>
      <c r="M2034" s="11">
        <v>10641.33</v>
      </c>
      <c r="N2034" s="11"/>
      <c r="O2034" s="40">
        <v>10641.33</v>
      </c>
      <c r="P2034" s="11" t="s">
        <v>9</v>
      </c>
      <c r="Q2034" s="11">
        <v>10641.33</v>
      </c>
    </row>
    <row r="2035" spans="1:22" x14ac:dyDescent="0.25">
      <c r="A2035" s="11">
        <v>101060501</v>
      </c>
      <c r="B2035" s="11" t="s">
        <v>3632</v>
      </c>
      <c r="C2035" s="41">
        <v>44835</v>
      </c>
      <c r="D2035" s="41">
        <v>44837</v>
      </c>
      <c r="E2035" s="11" t="s">
        <v>42</v>
      </c>
      <c r="F2035" s="11" t="s">
        <v>3922</v>
      </c>
      <c r="G2035" s="11">
        <v>106389</v>
      </c>
      <c r="H2035" s="11" t="s">
        <v>3923</v>
      </c>
      <c r="J2035" s="11" t="s">
        <v>38</v>
      </c>
      <c r="K2035" s="11" t="s">
        <v>3924</v>
      </c>
      <c r="L2035" s="11" t="s">
        <v>3925</v>
      </c>
      <c r="M2035" s="11">
        <v>327.60000000000002</v>
      </c>
      <c r="N2035" s="11"/>
      <c r="O2035" s="42">
        <v>327.60000000000002</v>
      </c>
      <c r="P2035" s="43" t="s">
        <v>4495</v>
      </c>
      <c r="Q2035" s="11">
        <v>25905.16</v>
      </c>
      <c r="R2035" s="11" t="s">
        <v>3844</v>
      </c>
      <c r="S2035" s="11" t="s">
        <v>273</v>
      </c>
      <c r="T2035" s="11">
        <v>0</v>
      </c>
      <c r="V2035" s="11" t="s">
        <v>41</v>
      </c>
    </row>
    <row r="2036" spans="1:22" x14ac:dyDescent="0.25">
      <c r="A2036" s="11">
        <v>101060501</v>
      </c>
      <c r="B2036" s="11" t="s">
        <v>3632</v>
      </c>
      <c r="C2036" s="41">
        <v>44837</v>
      </c>
      <c r="D2036" s="41">
        <v>44837</v>
      </c>
      <c r="E2036" s="11" t="s">
        <v>42</v>
      </c>
      <c r="F2036" s="11" t="s">
        <v>3926</v>
      </c>
      <c r="G2036" s="11">
        <v>106453</v>
      </c>
      <c r="H2036" s="11" t="s">
        <v>3927</v>
      </c>
      <c r="J2036" s="11" t="s">
        <v>38</v>
      </c>
      <c r="K2036" s="11" t="s">
        <v>3892</v>
      </c>
      <c r="L2036" s="11" t="s">
        <v>3893</v>
      </c>
      <c r="M2036" s="11">
        <v>255</v>
      </c>
      <c r="N2036" s="11"/>
      <c r="O2036" s="42">
        <v>255</v>
      </c>
      <c r="P2036" s="43" t="s">
        <v>4495</v>
      </c>
      <c r="Q2036" s="11">
        <v>26160.16</v>
      </c>
      <c r="R2036" s="11" t="s">
        <v>3844</v>
      </c>
      <c r="S2036" s="11" t="s">
        <v>273</v>
      </c>
      <c r="T2036" s="11">
        <v>0</v>
      </c>
      <c r="V2036" s="11" t="s">
        <v>41</v>
      </c>
    </row>
    <row r="2037" spans="1:22" x14ac:dyDescent="0.25">
      <c r="A2037" s="11">
        <v>101060501</v>
      </c>
      <c r="B2037" s="11" t="s">
        <v>3632</v>
      </c>
      <c r="C2037" s="41">
        <v>44837</v>
      </c>
      <c r="D2037" s="41">
        <v>44837</v>
      </c>
      <c r="E2037" s="11" t="s">
        <v>42</v>
      </c>
      <c r="F2037" s="11" t="s">
        <v>3928</v>
      </c>
      <c r="G2037" s="11">
        <v>107155</v>
      </c>
      <c r="H2037" s="11" t="s">
        <v>3929</v>
      </c>
      <c r="K2037" s="11" t="s">
        <v>3908</v>
      </c>
      <c r="L2037" s="11" t="s">
        <v>3909</v>
      </c>
      <c r="M2037" s="11">
        <v>247</v>
      </c>
      <c r="N2037" s="11"/>
      <c r="O2037" s="42">
        <v>247</v>
      </c>
      <c r="P2037" s="43" t="s">
        <v>4495</v>
      </c>
      <c r="Q2037" s="11">
        <v>26407.16</v>
      </c>
      <c r="R2037" s="11" t="s">
        <v>3844</v>
      </c>
      <c r="S2037" s="11" t="s">
        <v>273</v>
      </c>
      <c r="T2037" s="11">
        <v>0</v>
      </c>
    </row>
    <row r="2038" spans="1:22" x14ac:dyDescent="0.25">
      <c r="A2038" s="11">
        <v>101060501</v>
      </c>
      <c r="B2038" s="11" t="s">
        <v>3632</v>
      </c>
      <c r="C2038" s="41">
        <v>44837</v>
      </c>
      <c r="D2038" s="41">
        <v>44897</v>
      </c>
      <c r="E2038" s="11" t="s">
        <v>42</v>
      </c>
      <c r="F2038" s="11" t="s">
        <v>3930</v>
      </c>
      <c r="G2038" s="11">
        <v>107474</v>
      </c>
      <c r="H2038" s="11" t="s">
        <v>3931</v>
      </c>
      <c r="J2038" s="11" t="s">
        <v>38</v>
      </c>
      <c r="K2038" s="11" t="s">
        <v>3852</v>
      </c>
      <c r="L2038" s="11" t="s">
        <v>3853</v>
      </c>
      <c r="M2038" s="11">
        <v>159.36000000000001</v>
      </c>
      <c r="N2038" s="11"/>
      <c r="O2038" s="42">
        <v>159.36000000000001</v>
      </c>
      <c r="P2038" s="43" t="s">
        <v>4495</v>
      </c>
      <c r="Q2038" s="11">
        <v>26566.52</v>
      </c>
      <c r="R2038" s="11" t="s">
        <v>3844</v>
      </c>
      <c r="S2038" s="11" t="s">
        <v>273</v>
      </c>
      <c r="T2038" s="11">
        <v>0</v>
      </c>
      <c r="V2038" s="11" t="s">
        <v>41</v>
      </c>
    </row>
    <row r="2039" spans="1:22" x14ac:dyDescent="0.25">
      <c r="A2039" s="11">
        <v>101060501</v>
      </c>
      <c r="B2039" s="11" t="s">
        <v>3632</v>
      </c>
      <c r="C2039" s="41">
        <v>44837</v>
      </c>
      <c r="D2039" s="41">
        <v>44897</v>
      </c>
      <c r="E2039" s="11" t="s">
        <v>42</v>
      </c>
      <c r="F2039" s="11" t="s">
        <v>3932</v>
      </c>
      <c r="G2039" s="11">
        <v>107475</v>
      </c>
      <c r="H2039" s="11" t="s">
        <v>3933</v>
      </c>
      <c r="J2039" s="11" t="s">
        <v>38</v>
      </c>
      <c r="K2039" s="11" t="s">
        <v>3852</v>
      </c>
      <c r="L2039" s="11" t="s">
        <v>3853</v>
      </c>
      <c r="M2039" s="11">
        <v>21.25</v>
      </c>
      <c r="N2039" s="11"/>
      <c r="O2039" s="42">
        <v>21.25</v>
      </c>
      <c r="P2039" s="43" t="s">
        <v>4495</v>
      </c>
      <c r="Q2039" s="11">
        <v>26587.77</v>
      </c>
      <c r="R2039" s="11" t="s">
        <v>3844</v>
      </c>
      <c r="S2039" s="11" t="s">
        <v>273</v>
      </c>
      <c r="T2039" s="11">
        <v>0</v>
      </c>
      <c r="V2039" s="11" t="s">
        <v>41</v>
      </c>
    </row>
    <row r="2040" spans="1:22" x14ac:dyDescent="0.25">
      <c r="A2040" s="11">
        <v>101060501</v>
      </c>
      <c r="B2040" s="11" t="s">
        <v>3632</v>
      </c>
      <c r="C2040" s="41">
        <v>44837</v>
      </c>
      <c r="D2040" s="41">
        <v>44897</v>
      </c>
      <c r="E2040" s="11" t="s">
        <v>42</v>
      </c>
      <c r="F2040" s="11" t="s">
        <v>3934</v>
      </c>
      <c r="G2040" s="11">
        <v>107476</v>
      </c>
      <c r="H2040" s="11" t="s">
        <v>3935</v>
      </c>
      <c r="J2040" s="11" t="s">
        <v>38</v>
      </c>
      <c r="K2040" s="11" t="s">
        <v>3852</v>
      </c>
      <c r="L2040" s="11" t="s">
        <v>3853</v>
      </c>
      <c r="M2040" s="11">
        <v>80.11</v>
      </c>
      <c r="N2040" s="11"/>
      <c r="O2040" s="42">
        <v>80.11</v>
      </c>
      <c r="P2040" s="43" t="s">
        <v>4495</v>
      </c>
      <c r="Q2040" s="11">
        <v>26667.88</v>
      </c>
      <c r="R2040" s="11" t="s">
        <v>3844</v>
      </c>
      <c r="S2040" s="11" t="s">
        <v>273</v>
      </c>
      <c r="T2040" s="11">
        <v>0</v>
      </c>
      <c r="V2040" s="11" t="s">
        <v>41</v>
      </c>
    </row>
    <row r="2041" spans="1:22" x14ac:dyDescent="0.25">
      <c r="A2041" s="11">
        <v>101060501</v>
      </c>
      <c r="B2041" s="11" t="s">
        <v>3632</v>
      </c>
      <c r="C2041" s="41">
        <v>44837</v>
      </c>
      <c r="D2041" s="41">
        <v>44837</v>
      </c>
      <c r="E2041" s="11" t="s">
        <v>3842</v>
      </c>
      <c r="F2041" s="11" t="s">
        <v>3936</v>
      </c>
      <c r="G2041" s="11">
        <v>107671</v>
      </c>
      <c r="H2041" s="11" t="s">
        <v>3937</v>
      </c>
      <c r="K2041" s="11">
        <v>101010301</v>
      </c>
      <c r="L2041" s="11" t="s">
        <v>3843</v>
      </c>
      <c r="M2041" s="11">
        <v>65</v>
      </c>
      <c r="N2041" s="11"/>
      <c r="O2041" s="42">
        <v>65</v>
      </c>
      <c r="P2041" s="43" t="s">
        <v>4495</v>
      </c>
      <c r="Q2041" s="11">
        <v>26732.880000000001</v>
      </c>
      <c r="R2041" s="11" t="s">
        <v>3844</v>
      </c>
      <c r="S2041" s="11" t="s">
        <v>273</v>
      </c>
      <c r="T2041" s="11">
        <v>0</v>
      </c>
    </row>
    <row r="2042" spans="1:22" x14ac:dyDescent="0.25">
      <c r="A2042" s="11">
        <v>101060501</v>
      </c>
      <c r="B2042" s="11" t="s">
        <v>3632</v>
      </c>
      <c r="C2042" s="41">
        <v>44837</v>
      </c>
      <c r="D2042" s="41">
        <v>44837</v>
      </c>
      <c r="E2042" s="11" t="s">
        <v>3842</v>
      </c>
      <c r="F2042" s="11" t="s">
        <v>3938</v>
      </c>
      <c r="G2042" s="11">
        <v>107673</v>
      </c>
      <c r="H2042" s="11" t="s">
        <v>3939</v>
      </c>
      <c r="K2042" s="11">
        <v>101010301</v>
      </c>
      <c r="L2042" s="11" t="s">
        <v>3843</v>
      </c>
      <c r="M2042" s="11">
        <v>158.69999999999999</v>
      </c>
      <c r="N2042" s="11"/>
      <c r="O2042" s="42">
        <v>158.69999999999999</v>
      </c>
      <c r="P2042" s="43" t="s">
        <v>4495</v>
      </c>
      <c r="Q2042" s="11">
        <v>26891.58</v>
      </c>
      <c r="R2042" s="11" t="s">
        <v>3844</v>
      </c>
      <c r="S2042" s="11" t="s">
        <v>273</v>
      </c>
      <c r="T2042" s="11">
        <v>0</v>
      </c>
    </row>
    <row r="2043" spans="1:22" x14ac:dyDescent="0.25">
      <c r="A2043" s="11">
        <v>101060501</v>
      </c>
      <c r="B2043" s="11" t="s">
        <v>3632</v>
      </c>
      <c r="C2043" s="41">
        <v>44837</v>
      </c>
      <c r="D2043" s="41">
        <v>44837</v>
      </c>
      <c r="E2043" s="11" t="s">
        <v>122</v>
      </c>
      <c r="F2043" s="11" t="s">
        <v>3940</v>
      </c>
      <c r="G2043" s="11">
        <v>107694</v>
      </c>
      <c r="H2043" s="11" t="s">
        <v>3941</v>
      </c>
      <c r="K2043" s="11" t="s">
        <v>3871</v>
      </c>
      <c r="L2043" s="11" t="s">
        <v>3872</v>
      </c>
      <c r="M2043" s="11"/>
      <c r="N2043" s="11">
        <v>13.12</v>
      </c>
      <c r="O2043" s="42">
        <v>-13.12</v>
      </c>
      <c r="P2043" s="43" t="s">
        <v>4495</v>
      </c>
      <c r="Q2043" s="11">
        <v>26878.46</v>
      </c>
      <c r="R2043" s="11" t="s">
        <v>3844</v>
      </c>
      <c r="S2043" s="11" t="s">
        <v>273</v>
      </c>
      <c r="T2043" s="11">
        <v>0</v>
      </c>
    </row>
    <row r="2044" spans="1:22" x14ac:dyDescent="0.25">
      <c r="A2044" s="11">
        <v>101060501</v>
      </c>
      <c r="B2044" s="11" t="s">
        <v>3632</v>
      </c>
      <c r="C2044" s="41">
        <v>44837</v>
      </c>
      <c r="D2044" s="41">
        <v>44837</v>
      </c>
      <c r="E2044" s="11" t="s">
        <v>122</v>
      </c>
      <c r="F2044" s="11" t="s">
        <v>3942</v>
      </c>
      <c r="G2044" s="11">
        <v>107697</v>
      </c>
      <c r="H2044" s="11" t="s">
        <v>3941</v>
      </c>
      <c r="K2044" s="11" t="s">
        <v>3871</v>
      </c>
      <c r="L2044" s="11" t="s">
        <v>3872</v>
      </c>
      <c r="M2044" s="11"/>
      <c r="N2044" s="11">
        <v>344.03</v>
      </c>
      <c r="O2044" s="42">
        <v>-344.03</v>
      </c>
      <c r="P2044" s="43" t="s">
        <v>4495</v>
      </c>
      <c r="Q2044" s="11">
        <v>26534.43</v>
      </c>
      <c r="R2044" s="11" t="s">
        <v>3844</v>
      </c>
      <c r="S2044" s="11" t="s">
        <v>273</v>
      </c>
      <c r="T2044" s="11">
        <v>0</v>
      </c>
    </row>
    <row r="2045" spans="1:22" x14ac:dyDescent="0.25">
      <c r="A2045" s="11">
        <v>101060501</v>
      </c>
      <c r="B2045" s="11" t="s">
        <v>3632</v>
      </c>
      <c r="C2045" s="41">
        <v>44837</v>
      </c>
      <c r="D2045" s="41">
        <v>44837</v>
      </c>
      <c r="E2045" s="11" t="s">
        <v>122</v>
      </c>
      <c r="F2045" s="11" t="s">
        <v>3943</v>
      </c>
      <c r="G2045" s="11">
        <v>107701</v>
      </c>
      <c r="H2045" s="11" t="s">
        <v>3941</v>
      </c>
      <c r="K2045" s="11" t="s">
        <v>3871</v>
      </c>
      <c r="L2045" s="11" t="s">
        <v>3872</v>
      </c>
      <c r="M2045" s="11"/>
      <c r="N2045" s="11">
        <v>535.71</v>
      </c>
      <c r="O2045" s="42">
        <v>-535.71</v>
      </c>
      <c r="P2045" s="43" t="s">
        <v>4495</v>
      </c>
      <c r="Q2045" s="11">
        <v>25998.720000000001</v>
      </c>
      <c r="R2045" s="11" t="s">
        <v>3844</v>
      </c>
      <c r="S2045" s="11" t="s">
        <v>273</v>
      </c>
      <c r="T2045" s="11">
        <v>0</v>
      </c>
    </row>
    <row r="2046" spans="1:22" x14ac:dyDescent="0.25">
      <c r="A2046" s="11">
        <v>101060501</v>
      </c>
      <c r="B2046" s="11" t="s">
        <v>3632</v>
      </c>
      <c r="C2046" s="41">
        <v>44839</v>
      </c>
      <c r="D2046" s="41">
        <v>44839</v>
      </c>
      <c r="E2046" s="11" t="s">
        <v>3847</v>
      </c>
      <c r="F2046" s="11" t="s">
        <v>3944</v>
      </c>
      <c r="G2046" s="11">
        <v>107675</v>
      </c>
      <c r="H2046" s="11" t="s">
        <v>3945</v>
      </c>
      <c r="K2046" s="11" t="s">
        <v>3848</v>
      </c>
      <c r="L2046" s="11" t="s">
        <v>3849</v>
      </c>
      <c r="M2046" s="11">
        <v>668.01</v>
      </c>
      <c r="N2046" s="11"/>
      <c r="O2046" s="42">
        <v>668.01</v>
      </c>
      <c r="P2046" s="43" t="s">
        <v>4495</v>
      </c>
      <c r="Q2046" s="11">
        <v>26666.73</v>
      </c>
      <c r="R2046" s="11" t="s">
        <v>3844</v>
      </c>
      <c r="S2046" s="11" t="s">
        <v>273</v>
      </c>
      <c r="T2046" s="11">
        <v>0</v>
      </c>
    </row>
    <row r="2047" spans="1:22" x14ac:dyDescent="0.25">
      <c r="A2047" s="11">
        <v>101060501</v>
      </c>
      <c r="B2047" s="11" t="s">
        <v>3632</v>
      </c>
      <c r="C2047" s="41">
        <v>44840</v>
      </c>
      <c r="D2047" s="41">
        <v>44840</v>
      </c>
      <c r="E2047" s="11" t="s">
        <v>122</v>
      </c>
      <c r="F2047" s="11" t="s">
        <v>3946</v>
      </c>
      <c r="G2047" s="11">
        <v>107702</v>
      </c>
      <c r="H2047" s="11" t="s">
        <v>3941</v>
      </c>
      <c r="K2047" s="11" t="s">
        <v>3871</v>
      </c>
      <c r="L2047" s="11" t="s">
        <v>3872</v>
      </c>
      <c r="M2047" s="11"/>
      <c r="N2047" s="11">
        <v>178.57</v>
      </c>
      <c r="O2047" s="42">
        <v>-178.57</v>
      </c>
      <c r="P2047" s="43" t="s">
        <v>4495</v>
      </c>
      <c r="Q2047" s="11">
        <v>26488.16</v>
      </c>
      <c r="R2047" s="11" t="s">
        <v>3844</v>
      </c>
      <c r="S2047" s="11" t="s">
        <v>273</v>
      </c>
      <c r="T2047" s="11">
        <v>0</v>
      </c>
    </row>
    <row r="2048" spans="1:22" x14ac:dyDescent="0.25">
      <c r="A2048" s="11">
        <v>101060501</v>
      </c>
      <c r="B2048" s="11" t="s">
        <v>3632</v>
      </c>
      <c r="C2048" s="41">
        <v>44840</v>
      </c>
      <c r="D2048" s="41">
        <v>44840</v>
      </c>
      <c r="E2048" s="11" t="s">
        <v>122</v>
      </c>
      <c r="F2048" s="11" t="s">
        <v>3947</v>
      </c>
      <c r="G2048" s="11">
        <v>107703</v>
      </c>
      <c r="H2048" s="11" t="s">
        <v>3941</v>
      </c>
      <c r="K2048" s="11" t="s">
        <v>3871</v>
      </c>
      <c r="L2048" s="11" t="s">
        <v>3872</v>
      </c>
      <c r="M2048" s="11"/>
      <c r="N2048" s="11">
        <v>178.57</v>
      </c>
      <c r="O2048" s="42">
        <v>-178.57</v>
      </c>
      <c r="P2048" s="43" t="s">
        <v>4495</v>
      </c>
      <c r="Q2048" s="11">
        <v>26309.59</v>
      </c>
      <c r="R2048" s="11" t="s">
        <v>3844</v>
      </c>
      <c r="S2048" s="11" t="s">
        <v>273</v>
      </c>
      <c r="T2048" s="11">
        <v>0</v>
      </c>
    </row>
    <row r="2049" spans="1:22" x14ac:dyDescent="0.25">
      <c r="A2049" s="11">
        <v>101060501</v>
      </c>
      <c r="B2049" s="11" t="s">
        <v>3632</v>
      </c>
      <c r="C2049" s="41">
        <v>44841</v>
      </c>
      <c r="D2049" s="41">
        <v>44841</v>
      </c>
      <c r="E2049" s="11" t="s">
        <v>3847</v>
      </c>
      <c r="F2049" s="11" t="s">
        <v>3948</v>
      </c>
      <c r="G2049" s="11">
        <v>107680</v>
      </c>
      <c r="H2049" s="11" t="s">
        <v>3949</v>
      </c>
      <c r="K2049" s="11" t="s">
        <v>3848</v>
      </c>
      <c r="L2049" s="11" t="s">
        <v>3849</v>
      </c>
      <c r="M2049" s="11">
        <v>285.17</v>
      </c>
      <c r="N2049" s="11"/>
      <c r="O2049" s="42">
        <v>285.17</v>
      </c>
      <c r="P2049" s="43" t="s">
        <v>4495</v>
      </c>
      <c r="Q2049" s="11">
        <v>26594.76</v>
      </c>
      <c r="R2049" s="11" t="s">
        <v>3844</v>
      </c>
      <c r="S2049" s="11" t="s">
        <v>273</v>
      </c>
      <c r="T2049" s="11">
        <v>0</v>
      </c>
    </row>
    <row r="2050" spans="1:22" x14ac:dyDescent="0.25">
      <c r="A2050" s="11">
        <v>101060501</v>
      </c>
      <c r="B2050" s="11" t="s">
        <v>3632</v>
      </c>
      <c r="C2050" s="41">
        <v>44845</v>
      </c>
      <c r="D2050" s="41">
        <v>44907</v>
      </c>
      <c r="E2050" s="11" t="s">
        <v>42</v>
      </c>
      <c r="F2050" s="11" t="s">
        <v>3950</v>
      </c>
      <c r="G2050" s="11">
        <v>107001</v>
      </c>
      <c r="H2050" s="11" t="s">
        <v>3951</v>
      </c>
      <c r="J2050" s="11" t="s">
        <v>38</v>
      </c>
      <c r="K2050" s="11" t="s">
        <v>3871</v>
      </c>
      <c r="L2050" s="11" t="s">
        <v>3872</v>
      </c>
      <c r="M2050" s="11">
        <v>373.7</v>
      </c>
      <c r="N2050" s="11"/>
      <c r="O2050" s="42">
        <v>373.7</v>
      </c>
      <c r="P2050" s="43" t="s">
        <v>4495</v>
      </c>
      <c r="Q2050" s="11">
        <v>26968.46</v>
      </c>
      <c r="R2050" s="11" t="s">
        <v>3844</v>
      </c>
      <c r="S2050" s="11" t="s">
        <v>273</v>
      </c>
      <c r="T2050" s="11">
        <v>0</v>
      </c>
      <c r="V2050" s="11" t="s">
        <v>41</v>
      </c>
    </row>
    <row r="2051" spans="1:22" x14ac:dyDescent="0.25">
      <c r="A2051" s="11">
        <v>101060501</v>
      </c>
      <c r="B2051" s="11" t="s">
        <v>3632</v>
      </c>
      <c r="C2051" s="41">
        <v>44845</v>
      </c>
      <c r="D2051" s="41">
        <v>44935</v>
      </c>
      <c r="E2051" s="11" t="s">
        <v>42</v>
      </c>
      <c r="F2051" s="11" t="s">
        <v>3952</v>
      </c>
      <c r="G2051" s="11">
        <v>107004</v>
      </c>
      <c r="H2051" s="11" t="s">
        <v>3953</v>
      </c>
      <c r="J2051" s="11" t="s">
        <v>38</v>
      </c>
      <c r="K2051" s="11" t="s">
        <v>3856</v>
      </c>
      <c r="L2051" s="11" t="s">
        <v>3857</v>
      </c>
      <c r="M2051" s="11">
        <v>851.52</v>
      </c>
      <c r="N2051" s="11"/>
      <c r="O2051" s="42">
        <v>851.52</v>
      </c>
      <c r="P2051" s="43" t="s">
        <v>4495</v>
      </c>
      <c r="Q2051" s="11">
        <v>27819.98</v>
      </c>
      <c r="R2051" s="11" t="s">
        <v>3844</v>
      </c>
      <c r="S2051" s="11" t="s">
        <v>273</v>
      </c>
      <c r="T2051" s="11">
        <v>0</v>
      </c>
      <c r="V2051" s="11" t="s">
        <v>41</v>
      </c>
    </row>
    <row r="2052" spans="1:22" x14ac:dyDescent="0.25">
      <c r="A2052" s="11">
        <v>101060501</v>
      </c>
      <c r="B2052" s="11" t="s">
        <v>3632</v>
      </c>
      <c r="C2052" s="41">
        <v>44845</v>
      </c>
      <c r="D2052" s="41">
        <v>44935</v>
      </c>
      <c r="E2052" s="11" t="s">
        <v>42</v>
      </c>
      <c r="F2052" s="11" t="s">
        <v>3954</v>
      </c>
      <c r="G2052" s="11">
        <v>107005</v>
      </c>
      <c r="H2052" s="11" t="s">
        <v>3955</v>
      </c>
      <c r="J2052" s="11" t="s">
        <v>38</v>
      </c>
      <c r="K2052" s="11" t="s">
        <v>3856</v>
      </c>
      <c r="L2052" s="11" t="s">
        <v>3857</v>
      </c>
      <c r="M2052" s="11">
        <v>6820</v>
      </c>
      <c r="N2052" s="11"/>
      <c r="O2052" s="42">
        <v>6820</v>
      </c>
      <c r="P2052" s="43" t="s">
        <v>4495</v>
      </c>
      <c r="Q2052" s="11">
        <v>34639.980000000003</v>
      </c>
      <c r="R2052" s="11" t="s">
        <v>3844</v>
      </c>
      <c r="S2052" s="11" t="s">
        <v>273</v>
      </c>
      <c r="T2052" s="11">
        <v>0</v>
      </c>
      <c r="V2052" s="11" t="s">
        <v>41</v>
      </c>
    </row>
    <row r="2053" spans="1:22" x14ac:dyDescent="0.25">
      <c r="A2053" s="11">
        <v>101060501</v>
      </c>
      <c r="B2053" s="11" t="s">
        <v>3632</v>
      </c>
      <c r="C2053" s="41">
        <v>44845</v>
      </c>
      <c r="D2053" s="41">
        <v>44935</v>
      </c>
      <c r="E2053" s="11" t="s">
        <v>42</v>
      </c>
      <c r="F2053" s="11" t="s">
        <v>3956</v>
      </c>
      <c r="G2053" s="11">
        <v>107007</v>
      </c>
      <c r="H2053" s="11" t="s">
        <v>3957</v>
      </c>
      <c r="J2053" s="11" t="s">
        <v>38</v>
      </c>
      <c r="K2053" s="11" t="s">
        <v>3856</v>
      </c>
      <c r="L2053" s="11" t="s">
        <v>3857</v>
      </c>
      <c r="M2053" s="11">
        <v>1238.8499999999999</v>
      </c>
      <c r="N2053" s="11"/>
      <c r="O2053" s="42">
        <v>1238.8499999999999</v>
      </c>
      <c r="P2053" s="43" t="s">
        <v>4495</v>
      </c>
      <c r="Q2053" s="11">
        <v>35878.83</v>
      </c>
      <c r="R2053" s="11" t="s">
        <v>3844</v>
      </c>
      <c r="S2053" s="11" t="s">
        <v>273</v>
      </c>
      <c r="T2053" s="11">
        <v>0</v>
      </c>
      <c r="V2053" s="11" t="s">
        <v>41</v>
      </c>
    </row>
    <row r="2054" spans="1:22" x14ac:dyDescent="0.25">
      <c r="A2054" s="11">
        <v>101060501</v>
      </c>
      <c r="B2054" s="11" t="s">
        <v>3632</v>
      </c>
      <c r="C2054" s="41">
        <v>44845</v>
      </c>
      <c r="D2054" s="41">
        <v>44907</v>
      </c>
      <c r="E2054" s="11" t="s">
        <v>3847</v>
      </c>
      <c r="F2054" s="11" t="s">
        <v>3958</v>
      </c>
      <c r="G2054" s="11">
        <v>107120</v>
      </c>
      <c r="H2054" s="11" t="s">
        <v>3959</v>
      </c>
      <c r="J2054" s="11" t="s">
        <v>38</v>
      </c>
      <c r="K2054" s="11" t="s">
        <v>3871</v>
      </c>
      <c r="L2054" s="11" t="s">
        <v>3872</v>
      </c>
      <c r="M2054" s="11">
        <v>1224</v>
      </c>
      <c r="N2054" s="11"/>
      <c r="O2054" s="42">
        <v>1224</v>
      </c>
      <c r="P2054" s="43" t="s">
        <v>4495</v>
      </c>
      <c r="Q2054" s="11">
        <v>37102.83</v>
      </c>
      <c r="R2054" s="11" t="s">
        <v>3844</v>
      </c>
      <c r="S2054" s="11" t="s">
        <v>273</v>
      </c>
      <c r="T2054" s="11">
        <v>0</v>
      </c>
      <c r="V2054" s="11" t="s">
        <v>41</v>
      </c>
    </row>
    <row r="2055" spans="1:22" x14ac:dyDescent="0.25">
      <c r="A2055" s="11">
        <v>101060501</v>
      </c>
      <c r="B2055" s="11" t="s">
        <v>3632</v>
      </c>
      <c r="C2055" s="41">
        <v>44845</v>
      </c>
      <c r="D2055" s="41">
        <v>44935</v>
      </c>
      <c r="E2055" s="11" t="s">
        <v>42</v>
      </c>
      <c r="F2055" s="11" t="s">
        <v>3960</v>
      </c>
      <c r="G2055" s="11">
        <v>107143</v>
      </c>
      <c r="H2055" s="11" t="s">
        <v>3961</v>
      </c>
      <c r="K2055" s="11" t="s">
        <v>3854</v>
      </c>
      <c r="L2055" s="11" t="s">
        <v>3855</v>
      </c>
      <c r="M2055" s="11">
        <v>750</v>
      </c>
      <c r="N2055" s="11"/>
      <c r="O2055" s="42">
        <v>750</v>
      </c>
      <c r="P2055" s="43" t="s">
        <v>4495</v>
      </c>
      <c r="Q2055" s="11">
        <v>37852.83</v>
      </c>
      <c r="R2055" s="11" t="s">
        <v>3844</v>
      </c>
      <c r="S2055" s="11" t="s">
        <v>273</v>
      </c>
      <c r="T2055" s="11">
        <v>0</v>
      </c>
    </row>
    <row r="2056" spans="1:22" x14ac:dyDescent="0.25">
      <c r="A2056" s="11">
        <v>101060501</v>
      </c>
      <c r="B2056" s="11" t="s">
        <v>3632</v>
      </c>
      <c r="C2056" s="41">
        <v>44845</v>
      </c>
      <c r="D2056" s="41">
        <v>44935</v>
      </c>
      <c r="E2056" s="11" t="s">
        <v>42</v>
      </c>
      <c r="F2056" s="11" t="s">
        <v>3962</v>
      </c>
      <c r="G2056" s="11">
        <v>107147</v>
      </c>
      <c r="H2056" s="11" t="s">
        <v>3963</v>
      </c>
      <c r="K2056" s="11" t="s">
        <v>3854</v>
      </c>
      <c r="L2056" s="11" t="s">
        <v>3855</v>
      </c>
      <c r="M2056" s="11">
        <v>5640</v>
      </c>
      <c r="N2056" s="11"/>
      <c r="O2056" s="42">
        <v>5640</v>
      </c>
      <c r="P2056" s="43" t="s">
        <v>4495</v>
      </c>
      <c r="Q2056" s="11">
        <v>43492.83</v>
      </c>
      <c r="R2056" s="11" t="s">
        <v>3844</v>
      </c>
      <c r="S2056" s="11" t="s">
        <v>273</v>
      </c>
      <c r="T2056" s="11">
        <v>0</v>
      </c>
    </row>
    <row r="2057" spans="1:22" x14ac:dyDescent="0.25">
      <c r="A2057" s="11">
        <v>101060501</v>
      </c>
      <c r="B2057" s="11" t="s">
        <v>3632</v>
      </c>
      <c r="C2057" s="41">
        <v>44845</v>
      </c>
      <c r="D2057" s="41">
        <v>44935</v>
      </c>
      <c r="E2057" s="11" t="s">
        <v>42</v>
      </c>
      <c r="F2057" s="11" t="s">
        <v>3964</v>
      </c>
      <c r="G2057" s="11">
        <v>107154</v>
      </c>
      <c r="H2057" s="11" t="s">
        <v>3965</v>
      </c>
      <c r="K2057" s="11" t="s">
        <v>3856</v>
      </c>
      <c r="L2057" s="11" t="s">
        <v>3857</v>
      </c>
      <c r="M2057" s="11">
        <v>157.97999999999999</v>
      </c>
      <c r="N2057" s="11"/>
      <c r="O2057" s="42">
        <v>157.97999999999999</v>
      </c>
      <c r="P2057" s="43" t="s">
        <v>4495</v>
      </c>
      <c r="Q2057" s="11">
        <v>43650.81</v>
      </c>
      <c r="R2057" s="11" t="s">
        <v>3844</v>
      </c>
      <c r="S2057" s="11" t="s">
        <v>273</v>
      </c>
      <c r="T2057" s="11">
        <v>0</v>
      </c>
    </row>
    <row r="2058" spans="1:22" x14ac:dyDescent="0.25">
      <c r="A2058" s="11">
        <v>101060501</v>
      </c>
      <c r="B2058" s="11" t="s">
        <v>3632</v>
      </c>
      <c r="C2058" s="41">
        <v>44845</v>
      </c>
      <c r="D2058" s="41">
        <v>44845</v>
      </c>
      <c r="E2058" s="11" t="s">
        <v>203</v>
      </c>
      <c r="F2058" s="11" t="s">
        <v>3966</v>
      </c>
      <c r="G2058" s="11">
        <v>107678</v>
      </c>
      <c r="H2058" s="11" t="s">
        <v>3967</v>
      </c>
      <c r="J2058" s="11" t="s">
        <v>38</v>
      </c>
      <c r="K2058" s="11">
        <v>61050304</v>
      </c>
      <c r="L2058" s="11" t="s">
        <v>3863</v>
      </c>
      <c r="M2058" s="11">
        <v>20</v>
      </c>
      <c r="N2058" s="11"/>
      <c r="O2058" s="42">
        <v>20</v>
      </c>
      <c r="P2058" s="43" t="s">
        <v>4495</v>
      </c>
      <c r="Q2058" s="11">
        <v>43670.81</v>
      </c>
      <c r="R2058" s="11" t="s">
        <v>3844</v>
      </c>
      <c r="S2058" s="11" t="s">
        <v>273</v>
      </c>
      <c r="T2058" s="11">
        <v>0</v>
      </c>
      <c r="V2058" s="11" t="s">
        <v>41</v>
      </c>
    </row>
    <row r="2059" spans="1:22" x14ac:dyDescent="0.25">
      <c r="A2059" s="11">
        <v>101060501</v>
      </c>
      <c r="B2059" s="11" t="s">
        <v>3632</v>
      </c>
      <c r="C2059" s="41">
        <v>44845</v>
      </c>
      <c r="D2059" s="41">
        <v>44845</v>
      </c>
      <c r="E2059" s="11" t="s">
        <v>203</v>
      </c>
      <c r="F2059" s="11" t="s">
        <v>3968</v>
      </c>
      <c r="G2059" s="11">
        <v>107679</v>
      </c>
      <c r="H2059" s="11" t="s">
        <v>3969</v>
      </c>
      <c r="J2059" s="11" t="s">
        <v>38</v>
      </c>
      <c r="K2059" s="11">
        <v>61050304</v>
      </c>
      <c r="L2059" s="11" t="s">
        <v>3863</v>
      </c>
      <c r="M2059" s="11">
        <v>6.5</v>
      </c>
      <c r="N2059" s="11"/>
      <c r="O2059" s="42">
        <v>6.5</v>
      </c>
      <c r="P2059" s="43" t="s">
        <v>4495</v>
      </c>
      <c r="Q2059" s="11">
        <v>43677.31</v>
      </c>
      <c r="R2059" s="11" t="s">
        <v>3844</v>
      </c>
      <c r="S2059" s="11" t="s">
        <v>273</v>
      </c>
      <c r="T2059" s="11">
        <v>0</v>
      </c>
      <c r="V2059" s="11" t="s">
        <v>41</v>
      </c>
    </row>
    <row r="2060" spans="1:22" x14ac:dyDescent="0.25">
      <c r="A2060" s="11">
        <v>101060501</v>
      </c>
      <c r="B2060" s="11" t="s">
        <v>3632</v>
      </c>
      <c r="C2060" s="41">
        <v>44846</v>
      </c>
      <c r="D2060" s="41">
        <v>44846</v>
      </c>
      <c r="E2060" s="11" t="s">
        <v>3847</v>
      </c>
      <c r="F2060" s="11" t="s">
        <v>3970</v>
      </c>
      <c r="G2060" s="11">
        <v>106840</v>
      </c>
      <c r="H2060" s="11" t="s">
        <v>3971</v>
      </c>
      <c r="K2060" s="11" t="s">
        <v>3972</v>
      </c>
      <c r="L2060" s="11" t="s">
        <v>3973</v>
      </c>
      <c r="M2060" s="11">
        <v>9036</v>
      </c>
      <c r="N2060" s="11"/>
      <c r="O2060" s="42">
        <v>9036</v>
      </c>
      <c r="P2060" s="43" t="s">
        <v>4495</v>
      </c>
      <c r="Q2060" s="11">
        <v>52713.31</v>
      </c>
      <c r="R2060" s="11" t="s">
        <v>3844</v>
      </c>
      <c r="S2060" s="11" t="s">
        <v>137</v>
      </c>
      <c r="T2060" s="11">
        <v>0</v>
      </c>
    </row>
    <row r="2061" spans="1:22" x14ac:dyDescent="0.25">
      <c r="A2061" s="11">
        <v>101060501</v>
      </c>
      <c r="B2061" s="11" t="s">
        <v>3632</v>
      </c>
      <c r="C2061" s="41">
        <v>44846</v>
      </c>
      <c r="D2061" s="41">
        <v>44846</v>
      </c>
      <c r="E2061" s="11" t="s">
        <v>3847</v>
      </c>
      <c r="F2061" s="11" t="s">
        <v>3970</v>
      </c>
      <c r="G2061" s="11">
        <v>106840</v>
      </c>
      <c r="H2061" s="11" t="s">
        <v>3971</v>
      </c>
      <c r="K2061" s="11" t="s">
        <v>3972</v>
      </c>
      <c r="L2061" s="11" t="s">
        <v>3973</v>
      </c>
      <c r="M2061" s="11">
        <v>70</v>
      </c>
      <c r="N2061" s="11"/>
      <c r="O2061" s="42">
        <v>70</v>
      </c>
      <c r="P2061" s="43" t="s">
        <v>4495</v>
      </c>
      <c r="Q2061" s="11">
        <v>52783.31</v>
      </c>
      <c r="R2061" s="11" t="s">
        <v>3844</v>
      </c>
      <c r="S2061" s="11" t="s">
        <v>137</v>
      </c>
      <c r="T2061" s="11">
        <v>0</v>
      </c>
    </row>
    <row r="2062" spans="1:22" x14ac:dyDescent="0.25">
      <c r="A2062" s="11">
        <v>101060501</v>
      </c>
      <c r="B2062" s="11" t="s">
        <v>3632</v>
      </c>
      <c r="C2062" s="41">
        <v>44846</v>
      </c>
      <c r="D2062" s="41">
        <v>44846</v>
      </c>
      <c r="E2062" s="11" t="s">
        <v>36</v>
      </c>
      <c r="F2062" s="11" t="s">
        <v>3646</v>
      </c>
      <c r="G2062" s="11">
        <v>106842</v>
      </c>
      <c r="H2062" s="11" t="s">
        <v>3647</v>
      </c>
      <c r="K2062" s="11">
        <v>101060408</v>
      </c>
      <c r="L2062" s="11" t="s">
        <v>82</v>
      </c>
      <c r="M2062" s="11"/>
      <c r="N2062" s="11">
        <v>9036</v>
      </c>
      <c r="O2062" s="42">
        <v>-9036</v>
      </c>
      <c r="P2062" s="43" t="s">
        <v>4492</v>
      </c>
      <c r="Q2062" s="11">
        <v>43747.31</v>
      </c>
      <c r="R2062" s="11" t="s">
        <v>3844</v>
      </c>
      <c r="S2062" s="11" t="s">
        <v>137</v>
      </c>
      <c r="T2062" s="11">
        <v>0</v>
      </c>
    </row>
    <row r="2063" spans="1:22" x14ac:dyDescent="0.25">
      <c r="A2063" s="11">
        <v>101060501</v>
      </c>
      <c r="B2063" s="11" t="s">
        <v>3632</v>
      </c>
      <c r="C2063" s="41">
        <v>44846</v>
      </c>
      <c r="D2063" s="41">
        <v>44846</v>
      </c>
      <c r="E2063" s="11" t="s">
        <v>36</v>
      </c>
      <c r="F2063" s="11" t="s">
        <v>3649</v>
      </c>
      <c r="G2063" s="11">
        <v>106845</v>
      </c>
      <c r="H2063" s="11" t="s">
        <v>3650</v>
      </c>
      <c r="K2063" s="11">
        <v>101060408</v>
      </c>
      <c r="L2063" s="11" t="s">
        <v>82</v>
      </c>
      <c r="M2063" s="11"/>
      <c r="N2063" s="11">
        <v>3285.52</v>
      </c>
      <c r="O2063" s="42">
        <v>-3285.52</v>
      </c>
      <c r="P2063" s="43" t="s">
        <v>4492</v>
      </c>
      <c r="Q2063" s="11">
        <v>40461.79</v>
      </c>
      <c r="R2063" s="11" t="s">
        <v>3844</v>
      </c>
      <c r="S2063" s="11" t="s">
        <v>137</v>
      </c>
      <c r="T2063" s="11">
        <v>0</v>
      </c>
    </row>
    <row r="2064" spans="1:22" x14ac:dyDescent="0.25">
      <c r="A2064" s="11">
        <v>101060501</v>
      </c>
      <c r="B2064" s="11" t="s">
        <v>3632</v>
      </c>
      <c r="C2064" s="41">
        <v>44846</v>
      </c>
      <c r="D2064" s="41">
        <v>44893</v>
      </c>
      <c r="E2064" s="11" t="s">
        <v>3847</v>
      </c>
      <c r="F2064" s="11" t="s">
        <v>3974</v>
      </c>
      <c r="G2064" s="11">
        <v>106847</v>
      </c>
      <c r="H2064" s="11" t="s">
        <v>3975</v>
      </c>
      <c r="K2064" s="11" t="s">
        <v>3886</v>
      </c>
      <c r="L2064" s="11" t="s">
        <v>3887</v>
      </c>
      <c r="M2064" s="11">
        <v>2783.8</v>
      </c>
      <c r="N2064" s="11"/>
      <c r="O2064" s="42">
        <v>2783.8</v>
      </c>
      <c r="P2064" s="43" t="s">
        <v>4495</v>
      </c>
      <c r="Q2064" s="11">
        <v>43245.59</v>
      </c>
      <c r="R2064" s="11" t="s">
        <v>3844</v>
      </c>
      <c r="S2064" s="11" t="s">
        <v>137</v>
      </c>
      <c r="T2064" s="11">
        <v>0</v>
      </c>
    </row>
    <row r="2065" spans="1:20" x14ac:dyDescent="0.25">
      <c r="A2065" s="11">
        <v>101060501</v>
      </c>
      <c r="B2065" s="11" t="s">
        <v>3632</v>
      </c>
      <c r="C2065" s="41">
        <v>44846</v>
      </c>
      <c r="D2065" s="41">
        <v>44893</v>
      </c>
      <c r="E2065" s="11" t="s">
        <v>3847</v>
      </c>
      <c r="F2065" s="11" t="s">
        <v>3974</v>
      </c>
      <c r="G2065" s="11">
        <v>106847</v>
      </c>
      <c r="H2065" s="11" t="s">
        <v>3975</v>
      </c>
      <c r="K2065" s="11" t="s">
        <v>3886</v>
      </c>
      <c r="L2065" s="11" t="s">
        <v>3887</v>
      </c>
      <c r="M2065" s="11">
        <v>27.48</v>
      </c>
      <c r="N2065" s="11"/>
      <c r="O2065" s="42">
        <v>27.48</v>
      </c>
      <c r="P2065" s="43" t="s">
        <v>4495</v>
      </c>
      <c r="Q2065" s="11">
        <v>43273.07</v>
      </c>
      <c r="R2065" s="11" t="s">
        <v>3844</v>
      </c>
      <c r="S2065" s="11" t="s">
        <v>137</v>
      </c>
      <c r="T2065" s="11">
        <v>0</v>
      </c>
    </row>
    <row r="2066" spans="1:20" x14ac:dyDescent="0.25">
      <c r="A2066" s="11">
        <v>101060501</v>
      </c>
      <c r="B2066" s="11" t="s">
        <v>3632</v>
      </c>
      <c r="C2066" s="41">
        <v>44846</v>
      </c>
      <c r="D2066" s="41">
        <v>44846</v>
      </c>
      <c r="E2066" s="11" t="s">
        <v>36</v>
      </c>
      <c r="F2066" s="11" t="s">
        <v>3652</v>
      </c>
      <c r="G2066" s="11">
        <v>106849</v>
      </c>
      <c r="H2066" s="11" t="s">
        <v>3639</v>
      </c>
      <c r="K2066" s="11">
        <v>101060408</v>
      </c>
      <c r="L2066" s="11" t="s">
        <v>82</v>
      </c>
      <c r="M2066" s="11"/>
      <c r="N2066" s="11">
        <v>2783.8</v>
      </c>
      <c r="O2066" s="42">
        <v>-2783.8</v>
      </c>
      <c r="P2066" s="43" t="s">
        <v>4492</v>
      </c>
      <c r="Q2066" s="11">
        <v>40489.269999999997</v>
      </c>
      <c r="R2066" s="11" t="s">
        <v>3844</v>
      </c>
      <c r="S2066" s="11" t="s">
        <v>137</v>
      </c>
      <c r="T2066" s="11">
        <v>0</v>
      </c>
    </row>
    <row r="2067" spans="1:20" x14ac:dyDescent="0.25">
      <c r="A2067" s="11">
        <v>101060501</v>
      </c>
      <c r="B2067" s="11" t="s">
        <v>3632</v>
      </c>
      <c r="C2067" s="41">
        <v>44846</v>
      </c>
      <c r="D2067" s="41">
        <v>44846</v>
      </c>
      <c r="E2067" s="11" t="s">
        <v>36</v>
      </c>
      <c r="F2067" s="11" t="s">
        <v>3654</v>
      </c>
      <c r="G2067" s="11">
        <v>106850</v>
      </c>
      <c r="H2067" s="11" t="s">
        <v>3655</v>
      </c>
      <c r="K2067" s="11">
        <v>101060408</v>
      </c>
      <c r="L2067" s="11" t="s">
        <v>82</v>
      </c>
      <c r="M2067" s="11"/>
      <c r="N2067" s="11">
        <v>353.14</v>
      </c>
      <c r="O2067" s="42">
        <v>-353.14</v>
      </c>
      <c r="P2067" s="43" t="s">
        <v>4492</v>
      </c>
      <c r="Q2067" s="11">
        <v>40136.129999999997</v>
      </c>
      <c r="R2067" s="11" t="s">
        <v>3844</v>
      </c>
      <c r="S2067" s="11" t="s">
        <v>137</v>
      </c>
      <c r="T2067" s="11">
        <v>0</v>
      </c>
    </row>
    <row r="2068" spans="1:20" x14ac:dyDescent="0.25">
      <c r="A2068" s="11">
        <v>101060501</v>
      </c>
      <c r="B2068" s="11" t="s">
        <v>3632</v>
      </c>
      <c r="C2068" s="41">
        <v>44846</v>
      </c>
      <c r="D2068" s="41">
        <v>44865</v>
      </c>
      <c r="E2068" s="11" t="s">
        <v>3847</v>
      </c>
      <c r="F2068" s="11" t="s">
        <v>3976</v>
      </c>
      <c r="G2068" s="11">
        <v>106858</v>
      </c>
      <c r="H2068" s="11" t="s">
        <v>3977</v>
      </c>
      <c r="K2068" s="11" t="s">
        <v>257</v>
      </c>
      <c r="L2068" s="11" t="s">
        <v>258</v>
      </c>
      <c r="M2068" s="11">
        <v>89198.99</v>
      </c>
      <c r="N2068" s="11"/>
      <c r="O2068" s="42">
        <v>89198.99</v>
      </c>
      <c r="P2068" s="43" t="s">
        <v>4495</v>
      </c>
      <c r="Q2068" s="11">
        <v>129335.12</v>
      </c>
      <c r="R2068" s="11" t="s">
        <v>3844</v>
      </c>
      <c r="S2068" s="11" t="s">
        <v>137</v>
      </c>
      <c r="T2068" s="11">
        <v>0</v>
      </c>
    </row>
    <row r="2069" spans="1:20" x14ac:dyDescent="0.25">
      <c r="A2069" s="11">
        <v>101060501</v>
      </c>
      <c r="B2069" s="11" t="s">
        <v>3632</v>
      </c>
      <c r="C2069" s="41">
        <v>44846</v>
      </c>
      <c r="D2069" s="41">
        <v>44846</v>
      </c>
      <c r="E2069" s="11" t="s">
        <v>36</v>
      </c>
      <c r="F2069" s="11" t="s">
        <v>3658</v>
      </c>
      <c r="G2069" s="11">
        <v>106862</v>
      </c>
      <c r="H2069" s="11" t="s">
        <v>3633</v>
      </c>
      <c r="K2069" s="11">
        <v>101060408</v>
      </c>
      <c r="L2069" s="11" t="s">
        <v>82</v>
      </c>
      <c r="M2069" s="11"/>
      <c r="N2069" s="11">
        <v>89198.99</v>
      </c>
      <c r="O2069" s="42">
        <v>-89198.99</v>
      </c>
      <c r="P2069" s="43" t="s">
        <v>4492</v>
      </c>
      <c r="Q2069" s="11">
        <v>40136.129999999997</v>
      </c>
      <c r="R2069" s="11" t="s">
        <v>3844</v>
      </c>
      <c r="S2069" s="11" t="s">
        <v>137</v>
      </c>
      <c r="T2069" s="11">
        <v>0</v>
      </c>
    </row>
    <row r="2070" spans="1:20" x14ac:dyDescent="0.25">
      <c r="A2070" s="11">
        <v>101060501</v>
      </c>
      <c r="B2070" s="11" t="s">
        <v>3632</v>
      </c>
      <c r="C2070" s="41">
        <v>44846</v>
      </c>
      <c r="D2070" s="41">
        <v>44846</v>
      </c>
      <c r="E2070" s="11" t="s">
        <v>36</v>
      </c>
      <c r="F2070" s="11" t="s">
        <v>3660</v>
      </c>
      <c r="G2070" s="11">
        <v>106863</v>
      </c>
      <c r="H2070" s="11" t="s">
        <v>3661</v>
      </c>
      <c r="K2070" s="11">
        <v>101060408</v>
      </c>
      <c r="L2070" s="11" t="s">
        <v>82</v>
      </c>
      <c r="M2070" s="11"/>
      <c r="N2070" s="11">
        <v>13307.02</v>
      </c>
      <c r="O2070" s="42">
        <v>-13307.02</v>
      </c>
      <c r="P2070" s="43" t="s">
        <v>4492</v>
      </c>
      <c r="Q2070" s="11">
        <v>26829.11</v>
      </c>
      <c r="R2070" s="11" t="s">
        <v>3844</v>
      </c>
      <c r="S2070" s="11" t="s">
        <v>137</v>
      </c>
      <c r="T2070" s="11">
        <v>0</v>
      </c>
    </row>
    <row r="2071" spans="1:20" x14ac:dyDescent="0.25">
      <c r="A2071" s="11">
        <v>101060501</v>
      </c>
      <c r="B2071" s="11" t="s">
        <v>3632</v>
      </c>
      <c r="C2071" s="41">
        <v>44846</v>
      </c>
      <c r="D2071" s="41">
        <v>44846</v>
      </c>
      <c r="E2071" s="11" t="s">
        <v>3847</v>
      </c>
      <c r="F2071" s="11" t="s">
        <v>3978</v>
      </c>
      <c r="G2071" s="11">
        <v>107677</v>
      </c>
      <c r="H2071" s="11" t="s">
        <v>3979</v>
      </c>
      <c r="K2071" s="11" t="s">
        <v>3848</v>
      </c>
      <c r="L2071" s="11" t="s">
        <v>3849</v>
      </c>
      <c r="M2071" s="11">
        <v>333.02</v>
      </c>
      <c r="N2071" s="11"/>
      <c r="O2071" s="42">
        <v>333.02</v>
      </c>
      <c r="P2071" s="43" t="s">
        <v>4495</v>
      </c>
      <c r="Q2071" s="11">
        <v>27162.13</v>
      </c>
      <c r="R2071" s="11" t="s">
        <v>3844</v>
      </c>
      <c r="S2071" s="11" t="s">
        <v>273</v>
      </c>
      <c r="T2071" s="11">
        <v>0</v>
      </c>
    </row>
    <row r="2072" spans="1:20" x14ac:dyDescent="0.25">
      <c r="A2072" s="11">
        <v>101060501</v>
      </c>
      <c r="B2072" s="11" t="s">
        <v>3632</v>
      </c>
      <c r="C2072" s="41">
        <v>44846</v>
      </c>
      <c r="D2072" s="41">
        <v>44846</v>
      </c>
      <c r="E2072" s="11" t="s">
        <v>3842</v>
      </c>
      <c r="F2072" s="11" t="s">
        <v>3980</v>
      </c>
      <c r="G2072" s="11">
        <v>107687</v>
      </c>
      <c r="H2072" s="11" t="s">
        <v>3981</v>
      </c>
      <c r="K2072" s="11">
        <v>101010301</v>
      </c>
      <c r="L2072" s="11" t="s">
        <v>3843</v>
      </c>
      <c r="M2072" s="11">
        <v>65</v>
      </c>
      <c r="N2072" s="11"/>
      <c r="O2072" s="42">
        <v>65</v>
      </c>
      <c r="P2072" s="43" t="s">
        <v>4495</v>
      </c>
      <c r="Q2072" s="11">
        <v>27227.13</v>
      </c>
      <c r="R2072" s="11" t="s">
        <v>3844</v>
      </c>
      <c r="S2072" s="11" t="s">
        <v>273</v>
      </c>
      <c r="T2072" s="11">
        <v>0</v>
      </c>
    </row>
    <row r="2073" spans="1:20" x14ac:dyDescent="0.25">
      <c r="A2073" s="11">
        <v>101060501</v>
      </c>
      <c r="B2073" s="11" t="s">
        <v>3632</v>
      </c>
      <c r="C2073" s="41">
        <v>44846</v>
      </c>
      <c r="D2073" s="41">
        <v>44846</v>
      </c>
      <c r="E2073" s="11" t="s">
        <v>3842</v>
      </c>
      <c r="F2073" s="11" t="s">
        <v>3982</v>
      </c>
      <c r="G2073" s="11">
        <v>107688</v>
      </c>
      <c r="H2073" s="11" t="s">
        <v>3939</v>
      </c>
      <c r="K2073" s="11">
        <v>101010301</v>
      </c>
      <c r="L2073" s="11" t="s">
        <v>3843</v>
      </c>
      <c r="M2073" s="11">
        <v>886.95</v>
      </c>
      <c r="N2073" s="11"/>
      <c r="O2073" s="42">
        <v>886.95</v>
      </c>
      <c r="P2073" s="43" t="s">
        <v>4495</v>
      </c>
      <c r="Q2073" s="11">
        <v>28114.080000000002</v>
      </c>
      <c r="R2073" s="11" t="s">
        <v>3844</v>
      </c>
      <c r="S2073" s="11" t="s">
        <v>273</v>
      </c>
      <c r="T2073" s="11">
        <v>0</v>
      </c>
    </row>
    <row r="2074" spans="1:20" x14ac:dyDescent="0.25">
      <c r="A2074" s="11">
        <v>101060501</v>
      </c>
      <c r="B2074" s="11" t="s">
        <v>3632</v>
      </c>
      <c r="C2074" s="41">
        <v>44847</v>
      </c>
      <c r="D2074" s="41">
        <v>44847</v>
      </c>
      <c r="E2074" s="11" t="s">
        <v>3847</v>
      </c>
      <c r="F2074" s="11" t="s">
        <v>3983</v>
      </c>
      <c r="G2074" s="11">
        <v>106981</v>
      </c>
      <c r="H2074" s="11" t="s">
        <v>3984</v>
      </c>
      <c r="K2074" s="11" t="s">
        <v>3896</v>
      </c>
      <c r="L2074" s="11" t="s">
        <v>3897</v>
      </c>
      <c r="M2074" s="11">
        <v>133480.07</v>
      </c>
      <c r="N2074" s="11"/>
      <c r="O2074" s="42">
        <v>133480.07</v>
      </c>
      <c r="P2074" s="43" t="s">
        <v>4495</v>
      </c>
      <c r="Q2074" s="11">
        <v>161594.15</v>
      </c>
      <c r="R2074" s="11" t="s">
        <v>3844</v>
      </c>
      <c r="S2074" s="11" t="s">
        <v>137</v>
      </c>
      <c r="T2074" s="11">
        <v>0</v>
      </c>
    </row>
    <row r="2075" spans="1:20" x14ac:dyDescent="0.25">
      <c r="A2075" s="11">
        <v>101060501</v>
      </c>
      <c r="B2075" s="11" t="s">
        <v>3632</v>
      </c>
      <c r="C2075" s="41">
        <v>44847</v>
      </c>
      <c r="D2075" s="41">
        <v>44847</v>
      </c>
      <c r="E2075" s="11" t="s">
        <v>36</v>
      </c>
      <c r="F2075" s="11" t="s">
        <v>3668</v>
      </c>
      <c r="G2075" s="11">
        <v>106982</v>
      </c>
      <c r="H2075" s="11" t="s">
        <v>3641</v>
      </c>
      <c r="K2075" s="11">
        <v>101060408</v>
      </c>
      <c r="L2075" s="11" t="s">
        <v>82</v>
      </c>
      <c r="M2075" s="11"/>
      <c r="N2075" s="11">
        <v>133480.07</v>
      </c>
      <c r="O2075" s="42">
        <v>-133480.07</v>
      </c>
      <c r="P2075" s="43" t="s">
        <v>4492</v>
      </c>
      <c r="Q2075" s="11">
        <v>28114.080000000002</v>
      </c>
      <c r="R2075" s="11" t="s">
        <v>3844</v>
      </c>
      <c r="S2075" s="11" t="s">
        <v>137</v>
      </c>
      <c r="T2075" s="11">
        <v>0</v>
      </c>
    </row>
    <row r="2076" spans="1:20" x14ac:dyDescent="0.25">
      <c r="A2076" s="11">
        <v>101060501</v>
      </c>
      <c r="B2076" s="11" t="s">
        <v>3632</v>
      </c>
      <c r="C2076" s="41">
        <v>44847</v>
      </c>
      <c r="D2076" s="41">
        <v>44847</v>
      </c>
      <c r="E2076" s="11" t="s">
        <v>36</v>
      </c>
      <c r="F2076" s="11" t="s">
        <v>3670</v>
      </c>
      <c r="G2076" s="11">
        <v>106983</v>
      </c>
      <c r="H2076" s="11" t="s">
        <v>3671</v>
      </c>
      <c r="K2076" s="11">
        <v>101060408</v>
      </c>
      <c r="L2076" s="11" t="s">
        <v>82</v>
      </c>
      <c r="M2076" s="11"/>
      <c r="N2076" s="11">
        <v>13415.96</v>
      </c>
      <c r="O2076" s="42">
        <v>-13415.96</v>
      </c>
      <c r="P2076" s="43" t="s">
        <v>4492</v>
      </c>
      <c r="Q2076" s="11">
        <v>14698.12</v>
      </c>
      <c r="R2076" s="11" t="s">
        <v>3844</v>
      </c>
      <c r="S2076" s="11" t="s">
        <v>137</v>
      </c>
      <c r="T2076" s="11">
        <v>0</v>
      </c>
    </row>
    <row r="2077" spans="1:20" x14ac:dyDescent="0.25">
      <c r="A2077" s="11">
        <v>101060501</v>
      </c>
      <c r="B2077" s="11" t="s">
        <v>3632</v>
      </c>
      <c r="C2077" s="41">
        <v>44851</v>
      </c>
      <c r="D2077" s="41">
        <v>44851</v>
      </c>
      <c r="E2077" s="11" t="s">
        <v>3842</v>
      </c>
      <c r="F2077" s="11" t="s">
        <v>3985</v>
      </c>
      <c r="G2077" s="11">
        <v>107691</v>
      </c>
      <c r="H2077" s="11" t="s">
        <v>3916</v>
      </c>
      <c r="K2077" s="11">
        <v>101010301</v>
      </c>
      <c r="L2077" s="11" t="s">
        <v>3843</v>
      </c>
      <c r="M2077" s="11">
        <v>65</v>
      </c>
      <c r="N2077" s="11"/>
      <c r="O2077" s="42">
        <v>65</v>
      </c>
      <c r="P2077" s="43" t="s">
        <v>4495</v>
      </c>
      <c r="Q2077" s="11">
        <v>14763.12</v>
      </c>
      <c r="R2077" s="11" t="s">
        <v>3844</v>
      </c>
      <c r="S2077" s="11" t="s">
        <v>273</v>
      </c>
      <c r="T2077" s="11">
        <v>0</v>
      </c>
    </row>
    <row r="2078" spans="1:20" x14ac:dyDescent="0.25">
      <c r="A2078" s="11">
        <v>101060501</v>
      </c>
      <c r="B2078" s="11" t="s">
        <v>3632</v>
      </c>
      <c r="C2078" s="41">
        <v>44851</v>
      </c>
      <c r="D2078" s="41">
        <v>44851</v>
      </c>
      <c r="E2078" s="11" t="s">
        <v>3842</v>
      </c>
      <c r="F2078" s="11" t="s">
        <v>3986</v>
      </c>
      <c r="G2078" s="11">
        <v>107692</v>
      </c>
      <c r="H2078" s="11" t="s">
        <v>3917</v>
      </c>
      <c r="K2078" s="11">
        <v>101010301</v>
      </c>
      <c r="L2078" s="11" t="s">
        <v>3843</v>
      </c>
      <c r="M2078" s="11">
        <v>417.69</v>
      </c>
      <c r="N2078" s="11"/>
      <c r="O2078" s="42">
        <v>417.69</v>
      </c>
      <c r="P2078" s="43" t="s">
        <v>4495</v>
      </c>
      <c r="Q2078" s="11">
        <v>15180.81</v>
      </c>
      <c r="R2078" s="11" t="s">
        <v>3844</v>
      </c>
      <c r="S2078" s="11" t="s">
        <v>273</v>
      </c>
      <c r="T2078" s="11">
        <v>0</v>
      </c>
    </row>
    <row r="2079" spans="1:20" x14ac:dyDescent="0.25">
      <c r="A2079" s="11">
        <v>101060501</v>
      </c>
      <c r="B2079" s="11" t="s">
        <v>3632</v>
      </c>
      <c r="C2079" s="41">
        <v>44851</v>
      </c>
      <c r="D2079" s="41">
        <v>44851</v>
      </c>
      <c r="E2079" s="11" t="s">
        <v>3842</v>
      </c>
      <c r="F2079" s="11" t="s">
        <v>3987</v>
      </c>
      <c r="G2079" s="11">
        <v>107718</v>
      </c>
      <c r="H2079" s="11" t="s">
        <v>3988</v>
      </c>
      <c r="K2079" s="11">
        <v>101010301</v>
      </c>
      <c r="L2079" s="11" t="s">
        <v>3843</v>
      </c>
      <c r="M2079" s="11">
        <v>65</v>
      </c>
      <c r="N2079" s="11"/>
      <c r="O2079" s="42">
        <v>65</v>
      </c>
      <c r="P2079" s="43" t="s">
        <v>4495</v>
      </c>
      <c r="Q2079" s="11">
        <v>15245.81</v>
      </c>
      <c r="R2079" s="11" t="s">
        <v>3844</v>
      </c>
      <c r="S2079" s="11" t="s">
        <v>273</v>
      </c>
      <c r="T2079" s="11">
        <v>0</v>
      </c>
    </row>
    <row r="2080" spans="1:20" x14ac:dyDescent="0.25">
      <c r="A2080" s="11">
        <v>101060501</v>
      </c>
      <c r="B2080" s="11" t="s">
        <v>3632</v>
      </c>
      <c r="C2080" s="41">
        <v>44851</v>
      </c>
      <c r="D2080" s="41">
        <v>44851</v>
      </c>
      <c r="E2080" s="11" t="s">
        <v>3842</v>
      </c>
      <c r="F2080" s="11" t="s">
        <v>3989</v>
      </c>
      <c r="G2080" s="11">
        <v>107721</v>
      </c>
      <c r="H2080" s="11" t="s">
        <v>3990</v>
      </c>
      <c r="K2080" s="11">
        <v>101010301</v>
      </c>
      <c r="L2080" s="11" t="s">
        <v>3843</v>
      </c>
      <c r="M2080" s="11">
        <v>293.27</v>
      </c>
      <c r="N2080" s="11"/>
      <c r="O2080" s="42">
        <v>293.27</v>
      </c>
      <c r="P2080" s="43" t="s">
        <v>4495</v>
      </c>
      <c r="Q2080" s="11">
        <v>15539.08</v>
      </c>
      <c r="R2080" s="11" t="s">
        <v>3844</v>
      </c>
      <c r="S2080" s="11" t="s">
        <v>273</v>
      </c>
      <c r="T2080" s="11">
        <v>0</v>
      </c>
    </row>
    <row r="2081" spans="1:22" x14ac:dyDescent="0.25">
      <c r="A2081" s="11">
        <v>101060501</v>
      </c>
      <c r="B2081" s="11" t="s">
        <v>3632</v>
      </c>
      <c r="C2081" s="41">
        <v>44851</v>
      </c>
      <c r="D2081" s="41">
        <v>44851</v>
      </c>
      <c r="E2081" s="11" t="s">
        <v>3842</v>
      </c>
      <c r="F2081" s="11" t="s">
        <v>3991</v>
      </c>
      <c r="G2081" s="11">
        <v>107734</v>
      </c>
      <c r="H2081" s="11" t="s">
        <v>3992</v>
      </c>
      <c r="K2081" s="11">
        <v>101010306</v>
      </c>
      <c r="L2081" s="11" t="s">
        <v>3869</v>
      </c>
      <c r="M2081" s="11">
        <v>132</v>
      </c>
      <c r="N2081" s="11"/>
      <c r="O2081" s="42">
        <v>132</v>
      </c>
      <c r="P2081" s="43" t="s">
        <v>4495</v>
      </c>
      <c r="Q2081" s="11">
        <v>15671.08</v>
      </c>
      <c r="R2081" s="11" t="s">
        <v>3858</v>
      </c>
      <c r="S2081" s="11" t="s">
        <v>273</v>
      </c>
      <c r="T2081" s="11">
        <v>0</v>
      </c>
    </row>
    <row r="2082" spans="1:22" x14ac:dyDescent="0.25">
      <c r="A2082" s="11">
        <v>101060501</v>
      </c>
      <c r="B2082" s="11" t="s">
        <v>3632</v>
      </c>
      <c r="C2082" s="41">
        <v>44851</v>
      </c>
      <c r="D2082" s="41">
        <v>44851</v>
      </c>
      <c r="E2082" s="11" t="s">
        <v>3842</v>
      </c>
      <c r="F2082" s="11" t="s">
        <v>3994</v>
      </c>
      <c r="G2082" s="11">
        <v>107735</v>
      </c>
      <c r="H2082" s="11" t="s">
        <v>3995</v>
      </c>
      <c r="K2082" s="11">
        <v>101010306</v>
      </c>
      <c r="L2082" s="11" t="s">
        <v>3869</v>
      </c>
      <c r="M2082" s="11">
        <v>2090.94</v>
      </c>
      <c r="N2082" s="11"/>
      <c r="O2082" s="42">
        <v>2090.94</v>
      </c>
      <c r="P2082" s="43" t="s">
        <v>4495</v>
      </c>
      <c r="Q2082" s="11">
        <v>17762.02</v>
      </c>
      <c r="R2082" s="11" t="s">
        <v>3996</v>
      </c>
      <c r="S2082" s="11" t="s">
        <v>273</v>
      </c>
      <c r="T2082" s="11">
        <v>0</v>
      </c>
    </row>
    <row r="2083" spans="1:22" x14ac:dyDescent="0.25">
      <c r="A2083" s="11">
        <v>101060501</v>
      </c>
      <c r="B2083" s="11" t="s">
        <v>3632</v>
      </c>
      <c r="C2083" s="41">
        <v>44851</v>
      </c>
      <c r="D2083" s="41">
        <v>44851</v>
      </c>
      <c r="E2083" s="11" t="s">
        <v>3842</v>
      </c>
      <c r="F2083" s="11" t="s">
        <v>3997</v>
      </c>
      <c r="G2083" s="11">
        <v>107738</v>
      </c>
      <c r="H2083" s="11" t="s">
        <v>3998</v>
      </c>
      <c r="K2083" s="11">
        <v>101010306</v>
      </c>
      <c r="L2083" s="11" t="s">
        <v>3869</v>
      </c>
      <c r="M2083" s="11">
        <v>132</v>
      </c>
      <c r="N2083" s="11"/>
      <c r="O2083" s="42">
        <v>132</v>
      </c>
      <c r="P2083" s="43" t="s">
        <v>4495</v>
      </c>
      <c r="Q2083" s="11">
        <v>17894.02</v>
      </c>
      <c r="R2083" s="11" t="s">
        <v>3844</v>
      </c>
      <c r="S2083" s="11" t="s">
        <v>273</v>
      </c>
      <c r="T2083" s="11">
        <v>0</v>
      </c>
    </row>
    <row r="2084" spans="1:22" x14ac:dyDescent="0.25">
      <c r="A2084" s="11">
        <v>101060501</v>
      </c>
      <c r="B2084" s="11" t="s">
        <v>3632</v>
      </c>
      <c r="C2084" s="41">
        <v>44851</v>
      </c>
      <c r="D2084" s="41">
        <v>44851</v>
      </c>
      <c r="E2084" s="11" t="s">
        <v>3842</v>
      </c>
      <c r="F2084" s="11" t="s">
        <v>3999</v>
      </c>
      <c r="G2084" s="11">
        <v>107740</v>
      </c>
      <c r="H2084" s="11" t="s">
        <v>4000</v>
      </c>
      <c r="K2084" s="11">
        <v>101010306</v>
      </c>
      <c r="L2084" s="11" t="s">
        <v>3869</v>
      </c>
      <c r="M2084" s="11">
        <v>2424.4899999999998</v>
      </c>
      <c r="N2084" s="11"/>
      <c r="O2084" s="42">
        <v>2424.4899999999998</v>
      </c>
      <c r="P2084" s="43" t="s">
        <v>4495</v>
      </c>
      <c r="Q2084" s="11">
        <v>20318.509999999998</v>
      </c>
      <c r="R2084" s="11" t="s">
        <v>3844</v>
      </c>
      <c r="S2084" s="11" t="s">
        <v>273</v>
      </c>
      <c r="T2084" s="11">
        <v>0</v>
      </c>
    </row>
    <row r="2085" spans="1:22" x14ac:dyDescent="0.25">
      <c r="A2085" s="11">
        <v>101060501</v>
      </c>
      <c r="B2085" s="11" t="s">
        <v>3632</v>
      </c>
      <c r="C2085" s="41">
        <v>44851</v>
      </c>
      <c r="D2085" s="41">
        <v>44851</v>
      </c>
      <c r="E2085" s="11" t="s">
        <v>3842</v>
      </c>
      <c r="F2085" s="11" t="s">
        <v>4001</v>
      </c>
      <c r="G2085" s="11">
        <v>107743</v>
      </c>
      <c r="H2085" s="11" t="s">
        <v>4002</v>
      </c>
      <c r="K2085" s="11">
        <v>101010306</v>
      </c>
      <c r="L2085" s="11" t="s">
        <v>3869</v>
      </c>
      <c r="M2085" s="11">
        <v>132</v>
      </c>
      <c r="N2085" s="11"/>
      <c r="O2085" s="42">
        <v>132</v>
      </c>
      <c r="P2085" s="43" t="s">
        <v>4495</v>
      </c>
      <c r="Q2085" s="11">
        <v>20450.509999999998</v>
      </c>
      <c r="R2085" s="11" t="s">
        <v>3844</v>
      </c>
      <c r="S2085" s="11" t="s">
        <v>273</v>
      </c>
      <c r="T2085" s="11">
        <v>0</v>
      </c>
    </row>
    <row r="2086" spans="1:22" x14ac:dyDescent="0.25">
      <c r="A2086" s="11">
        <v>101060501</v>
      </c>
      <c r="B2086" s="11" t="s">
        <v>3632</v>
      </c>
      <c r="C2086" s="41">
        <v>44851</v>
      </c>
      <c r="D2086" s="41">
        <v>44851</v>
      </c>
      <c r="E2086" s="11" t="s">
        <v>3842</v>
      </c>
      <c r="F2086" s="11" t="s">
        <v>4003</v>
      </c>
      <c r="G2086" s="11">
        <v>107744</v>
      </c>
      <c r="H2086" s="11" t="s">
        <v>4004</v>
      </c>
      <c r="K2086" s="11">
        <v>101010306</v>
      </c>
      <c r="L2086" s="11" t="s">
        <v>3869</v>
      </c>
      <c r="M2086" s="11">
        <v>2196.75</v>
      </c>
      <c r="N2086" s="11"/>
      <c r="O2086" s="42">
        <v>2196.75</v>
      </c>
      <c r="P2086" s="43" t="s">
        <v>4495</v>
      </c>
      <c r="Q2086" s="11">
        <v>22647.26</v>
      </c>
      <c r="R2086" s="11" t="s">
        <v>3844</v>
      </c>
      <c r="S2086" s="11" t="s">
        <v>273</v>
      </c>
      <c r="T2086" s="11">
        <v>0</v>
      </c>
    </row>
    <row r="2087" spans="1:22" x14ac:dyDescent="0.25">
      <c r="A2087" s="11">
        <v>101060501</v>
      </c>
      <c r="B2087" s="11" t="s">
        <v>3632</v>
      </c>
      <c r="C2087" s="41">
        <v>44851</v>
      </c>
      <c r="D2087" s="41">
        <v>44851</v>
      </c>
      <c r="E2087" s="11" t="s">
        <v>3842</v>
      </c>
      <c r="F2087" s="11" t="s">
        <v>4005</v>
      </c>
      <c r="G2087" s="11">
        <v>107748</v>
      </c>
      <c r="H2087" s="11" t="s">
        <v>4006</v>
      </c>
      <c r="K2087" s="11">
        <v>101010306</v>
      </c>
      <c r="L2087" s="11" t="s">
        <v>3869</v>
      </c>
      <c r="M2087" s="11">
        <v>132</v>
      </c>
      <c r="N2087" s="11"/>
      <c r="O2087" s="42">
        <v>132</v>
      </c>
      <c r="P2087" s="43" t="s">
        <v>4495</v>
      </c>
      <c r="Q2087" s="11">
        <v>22779.26</v>
      </c>
      <c r="R2087" s="11" t="s">
        <v>3844</v>
      </c>
      <c r="S2087" s="11" t="s">
        <v>273</v>
      </c>
      <c r="T2087" s="11">
        <v>0</v>
      </c>
    </row>
    <row r="2088" spans="1:22" x14ac:dyDescent="0.25">
      <c r="A2088" s="11">
        <v>101060501</v>
      </c>
      <c r="B2088" s="11" t="s">
        <v>3632</v>
      </c>
      <c r="C2088" s="41">
        <v>44851</v>
      </c>
      <c r="D2088" s="41">
        <v>44851</v>
      </c>
      <c r="E2088" s="11" t="s">
        <v>3842</v>
      </c>
      <c r="F2088" s="11" t="s">
        <v>4007</v>
      </c>
      <c r="G2088" s="11">
        <v>107749</v>
      </c>
      <c r="H2088" s="11" t="s">
        <v>4008</v>
      </c>
      <c r="K2088" s="11">
        <v>101010306</v>
      </c>
      <c r="L2088" s="11" t="s">
        <v>3869</v>
      </c>
      <c r="M2088" s="11">
        <v>1418.12</v>
      </c>
      <c r="N2088" s="11"/>
      <c r="O2088" s="42">
        <v>1418.12</v>
      </c>
      <c r="P2088" s="43" t="s">
        <v>4495</v>
      </c>
      <c r="Q2088" s="11">
        <v>24197.38</v>
      </c>
      <c r="R2088" s="11" t="s">
        <v>3844</v>
      </c>
      <c r="S2088" s="11" t="s">
        <v>273</v>
      </c>
      <c r="T2088" s="11">
        <v>0</v>
      </c>
    </row>
    <row r="2089" spans="1:22" x14ac:dyDescent="0.25">
      <c r="A2089" s="11">
        <v>101060501</v>
      </c>
      <c r="B2089" s="11" t="s">
        <v>3632</v>
      </c>
      <c r="C2089" s="41">
        <v>44852</v>
      </c>
      <c r="D2089" s="41">
        <v>44914</v>
      </c>
      <c r="E2089" s="11" t="s">
        <v>42</v>
      </c>
      <c r="F2089" s="11" t="s">
        <v>4009</v>
      </c>
      <c r="G2089" s="11">
        <v>107297</v>
      </c>
      <c r="H2089" s="11" t="s">
        <v>4010</v>
      </c>
      <c r="J2089" s="11" t="s">
        <v>38</v>
      </c>
      <c r="K2089" s="11" t="s">
        <v>3871</v>
      </c>
      <c r="L2089" s="11" t="s">
        <v>3872</v>
      </c>
      <c r="M2089" s="11">
        <v>109.64</v>
      </c>
      <c r="N2089" s="11"/>
      <c r="O2089" s="42">
        <v>109.64</v>
      </c>
      <c r="P2089" s="43" t="s">
        <v>4495</v>
      </c>
      <c r="Q2089" s="11">
        <v>24307.02</v>
      </c>
      <c r="R2089" s="11" t="s">
        <v>3844</v>
      </c>
      <c r="S2089" s="11" t="s">
        <v>273</v>
      </c>
      <c r="T2089" s="11">
        <v>0</v>
      </c>
      <c r="V2089" s="11" t="s">
        <v>41</v>
      </c>
    </row>
    <row r="2090" spans="1:22" x14ac:dyDescent="0.25">
      <c r="A2090" s="11">
        <v>101060501</v>
      </c>
      <c r="B2090" s="11" t="s">
        <v>3632</v>
      </c>
      <c r="C2090" s="41">
        <v>44852</v>
      </c>
      <c r="D2090" s="41">
        <v>44942</v>
      </c>
      <c r="E2090" s="11" t="s">
        <v>42</v>
      </c>
      <c r="F2090" s="11" t="s">
        <v>4011</v>
      </c>
      <c r="G2090" s="11">
        <v>107298</v>
      </c>
      <c r="H2090" s="11" t="s">
        <v>4012</v>
      </c>
      <c r="J2090" s="11" t="s">
        <v>38</v>
      </c>
      <c r="K2090" s="11" t="s">
        <v>3854</v>
      </c>
      <c r="L2090" s="11" t="s">
        <v>3855</v>
      </c>
      <c r="M2090" s="11">
        <v>390</v>
      </c>
      <c r="N2090" s="11"/>
      <c r="O2090" s="42">
        <v>390</v>
      </c>
      <c r="P2090" s="43" t="s">
        <v>4495</v>
      </c>
      <c r="Q2090" s="11">
        <v>24697.02</v>
      </c>
      <c r="R2090" s="11" t="s">
        <v>3844</v>
      </c>
      <c r="S2090" s="11" t="s">
        <v>273</v>
      </c>
      <c r="T2090" s="11">
        <v>0</v>
      </c>
      <c r="V2090" s="11" t="s">
        <v>41</v>
      </c>
    </row>
    <row r="2091" spans="1:22" x14ac:dyDescent="0.25">
      <c r="A2091" s="11">
        <v>101060501</v>
      </c>
      <c r="B2091" s="11" t="s">
        <v>3632</v>
      </c>
      <c r="C2091" s="41">
        <v>44852</v>
      </c>
      <c r="D2091" s="41">
        <v>44942</v>
      </c>
      <c r="E2091" s="11" t="s">
        <v>42</v>
      </c>
      <c r="F2091" s="11" t="s">
        <v>4013</v>
      </c>
      <c r="G2091" s="11">
        <v>107299</v>
      </c>
      <c r="H2091" s="11" t="s">
        <v>4014</v>
      </c>
      <c r="K2091" s="11" t="s">
        <v>3856</v>
      </c>
      <c r="L2091" s="11" t="s">
        <v>3857</v>
      </c>
      <c r="M2091" s="11">
        <v>80.739999999999995</v>
      </c>
      <c r="N2091" s="11"/>
      <c r="O2091" s="42">
        <v>80.739999999999995</v>
      </c>
      <c r="P2091" s="43" t="s">
        <v>4495</v>
      </c>
      <c r="Q2091" s="11">
        <v>24777.759999999998</v>
      </c>
      <c r="R2091" s="11" t="s">
        <v>3844</v>
      </c>
      <c r="S2091" s="11" t="s">
        <v>273</v>
      </c>
      <c r="T2091" s="11">
        <v>0</v>
      </c>
    </row>
    <row r="2092" spans="1:22" x14ac:dyDescent="0.25">
      <c r="A2092" s="11">
        <v>101060501</v>
      </c>
      <c r="B2092" s="11" t="s">
        <v>3632</v>
      </c>
      <c r="C2092" s="41">
        <v>44852</v>
      </c>
      <c r="D2092" s="41">
        <v>44942</v>
      </c>
      <c r="E2092" s="11" t="s">
        <v>42</v>
      </c>
      <c r="F2092" s="11" t="s">
        <v>4015</v>
      </c>
      <c r="G2092" s="11">
        <v>107300</v>
      </c>
      <c r="H2092" s="11" t="s">
        <v>4016</v>
      </c>
      <c r="J2092" s="11" t="s">
        <v>38</v>
      </c>
      <c r="K2092" s="11" t="s">
        <v>3856</v>
      </c>
      <c r="L2092" s="11" t="s">
        <v>3857</v>
      </c>
      <c r="M2092" s="11">
        <v>295</v>
      </c>
      <c r="N2092" s="11"/>
      <c r="O2092" s="42">
        <v>295</v>
      </c>
      <c r="P2092" s="43" t="s">
        <v>4495</v>
      </c>
      <c r="Q2092" s="11">
        <v>25072.76</v>
      </c>
      <c r="R2092" s="11" t="s">
        <v>3844</v>
      </c>
      <c r="S2092" s="11" t="s">
        <v>273</v>
      </c>
      <c r="T2092" s="11">
        <v>0</v>
      </c>
      <c r="V2092" s="11" t="s">
        <v>41</v>
      </c>
    </row>
    <row r="2093" spans="1:22" x14ac:dyDescent="0.25">
      <c r="A2093" s="11">
        <v>101060501</v>
      </c>
      <c r="B2093" s="11" t="s">
        <v>3632</v>
      </c>
      <c r="C2093" s="41">
        <v>44852</v>
      </c>
      <c r="D2093" s="41">
        <v>44852</v>
      </c>
      <c r="E2093" s="11" t="s">
        <v>42</v>
      </c>
      <c r="F2093" s="11" t="s">
        <v>4017</v>
      </c>
      <c r="G2093" s="11">
        <v>107489</v>
      </c>
      <c r="H2093" s="11" t="s">
        <v>4018</v>
      </c>
      <c r="J2093" s="11" t="s">
        <v>38</v>
      </c>
      <c r="K2093" s="11" t="s">
        <v>4019</v>
      </c>
      <c r="L2093" s="11" t="s">
        <v>4020</v>
      </c>
      <c r="M2093" s="11">
        <v>8960</v>
      </c>
      <c r="N2093" s="11"/>
      <c r="O2093" s="42">
        <v>8960</v>
      </c>
      <c r="P2093" s="43" t="s">
        <v>4495</v>
      </c>
      <c r="Q2093" s="11">
        <v>34032.76</v>
      </c>
      <c r="R2093" s="11" t="s">
        <v>3844</v>
      </c>
      <c r="S2093" s="11" t="s">
        <v>273</v>
      </c>
      <c r="T2093" s="11">
        <v>0</v>
      </c>
      <c r="V2093" s="11" t="s">
        <v>41</v>
      </c>
    </row>
    <row r="2094" spans="1:22" x14ac:dyDescent="0.25">
      <c r="A2094" s="11">
        <v>101060501</v>
      </c>
      <c r="B2094" s="11" t="s">
        <v>3632</v>
      </c>
      <c r="C2094" s="41">
        <v>44852</v>
      </c>
      <c r="D2094" s="41">
        <v>44883</v>
      </c>
      <c r="E2094" s="11" t="s">
        <v>42</v>
      </c>
      <c r="F2094" s="11" t="s">
        <v>4021</v>
      </c>
      <c r="G2094" s="11">
        <v>107490</v>
      </c>
      <c r="H2094" s="11" t="s">
        <v>4022</v>
      </c>
      <c r="K2094" s="11" t="s">
        <v>4019</v>
      </c>
      <c r="L2094" s="11" t="s">
        <v>4020</v>
      </c>
      <c r="M2094" s="11">
        <v>1928</v>
      </c>
      <c r="N2094" s="11"/>
      <c r="O2094" s="42">
        <v>1928</v>
      </c>
      <c r="P2094" s="43" t="s">
        <v>4495</v>
      </c>
      <c r="Q2094" s="11">
        <v>35960.76</v>
      </c>
      <c r="R2094" s="11" t="s">
        <v>3844</v>
      </c>
      <c r="S2094" s="11" t="s">
        <v>273</v>
      </c>
      <c r="T2094" s="11">
        <v>0</v>
      </c>
    </row>
    <row r="2095" spans="1:22" x14ac:dyDescent="0.25">
      <c r="A2095" s="11">
        <v>101060501</v>
      </c>
      <c r="B2095" s="11" t="s">
        <v>3632</v>
      </c>
      <c r="C2095" s="41">
        <v>44853</v>
      </c>
      <c r="D2095" s="41">
        <v>44888</v>
      </c>
      <c r="E2095" s="11" t="s">
        <v>3847</v>
      </c>
      <c r="F2095" s="11" t="s">
        <v>4023</v>
      </c>
      <c r="G2095" s="11">
        <v>107208</v>
      </c>
      <c r="H2095" s="11" t="s">
        <v>4024</v>
      </c>
      <c r="K2095" s="11" t="s">
        <v>3912</v>
      </c>
      <c r="L2095" s="11" t="s">
        <v>3913</v>
      </c>
      <c r="M2095" s="11">
        <v>56980.5</v>
      </c>
      <c r="N2095" s="11"/>
      <c r="O2095" s="42">
        <v>56980.5</v>
      </c>
      <c r="P2095" s="43" t="s">
        <v>4495</v>
      </c>
      <c r="Q2095" s="11">
        <v>92941.26</v>
      </c>
      <c r="R2095" s="11" t="s">
        <v>3844</v>
      </c>
      <c r="S2095" s="11" t="s">
        <v>137</v>
      </c>
      <c r="T2095" s="11">
        <v>0</v>
      </c>
    </row>
    <row r="2096" spans="1:22" x14ac:dyDescent="0.25">
      <c r="A2096" s="11">
        <v>101060501</v>
      </c>
      <c r="B2096" s="11" t="s">
        <v>3632</v>
      </c>
      <c r="C2096" s="41">
        <v>44853</v>
      </c>
      <c r="D2096" s="41">
        <v>44853</v>
      </c>
      <c r="E2096" s="11" t="s">
        <v>3883</v>
      </c>
      <c r="F2096" s="11" t="s">
        <v>4025</v>
      </c>
      <c r="G2096" s="11">
        <v>107210</v>
      </c>
      <c r="H2096" s="11" t="s">
        <v>4026</v>
      </c>
      <c r="K2096" s="11" t="s">
        <v>3912</v>
      </c>
      <c r="L2096" s="11" t="s">
        <v>3913</v>
      </c>
      <c r="M2096" s="11"/>
      <c r="N2096" s="11">
        <v>56980.5</v>
      </c>
      <c r="O2096" s="42">
        <v>-56980.5</v>
      </c>
      <c r="P2096" s="43" t="s">
        <v>4495</v>
      </c>
      <c r="Q2096" s="11">
        <v>35960.76</v>
      </c>
      <c r="R2096" s="11" t="s">
        <v>3844</v>
      </c>
      <c r="S2096" s="11" t="s">
        <v>137</v>
      </c>
      <c r="T2096" s="11">
        <v>0</v>
      </c>
    </row>
    <row r="2097" spans="1:20" x14ac:dyDescent="0.25">
      <c r="A2097" s="11">
        <v>101060501</v>
      </c>
      <c r="B2097" s="11" t="s">
        <v>3632</v>
      </c>
      <c r="C2097" s="41">
        <v>44853</v>
      </c>
      <c r="D2097" s="41">
        <v>44887</v>
      </c>
      <c r="E2097" s="11" t="s">
        <v>3847</v>
      </c>
      <c r="F2097" s="11" t="s">
        <v>4027</v>
      </c>
      <c r="G2097" s="11">
        <v>107211</v>
      </c>
      <c r="H2097" s="11" t="s">
        <v>4024</v>
      </c>
      <c r="K2097" s="11" t="s">
        <v>3912</v>
      </c>
      <c r="L2097" s="11" t="s">
        <v>3913</v>
      </c>
      <c r="M2097" s="11">
        <v>56980.5</v>
      </c>
      <c r="N2097" s="11"/>
      <c r="O2097" s="42">
        <v>56980.5</v>
      </c>
      <c r="P2097" s="43" t="s">
        <v>4495</v>
      </c>
      <c r="Q2097" s="11">
        <v>92941.26</v>
      </c>
      <c r="R2097" s="11" t="s">
        <v>3844</v>
      </c>
      <c r="S2097" s="11" t="s">
        <v>137</v>
      </c>
      <c r="T2097" s="11">
        <v>0</v>
      </c>
    </row>
    <row r="2098" spans="1:20" x14ac:dyDescent="0.25">
      <c r="A2098" s="11">
        <v>101060501</v>
      </c>
      <c r="B2098" s="11" t="s">
        <v>3632</v>
      </c>
      <c r="C2098" s="41">
        <v>44853</v>
      </c>
      <c r="D2098" s="41">
        <v>44853</v>
      </c>
      <c r="E2098" s="11" t="s">
        <v>36</v>
      </c>
      <c r="F2098" s="11" t="s">
        <v>3674</v>
      </c>
      <c r="G2098" s="11">
        <v>107213</v>
      </c>
      <c r="H2098" s="11" t="s">
        <v>3644</v>
      </c>
      <c r="K2098" s="11">
        <v>101060408</v>
      </c>
      <c r="L2098" s="11" t="s">
        <v>82</v>
      </c>
      <c r="M2098" s="11"/>
      <c r="N2098" s="11">
        <v>56980.5</v>
      </c>
      <c r="O2098" s="42">
        <v>-56980.5</v>
      </c>
      <c r="P2098" s="43" t="s">
        <v>4492</v>
      </c>
      <c r="Q2098" s="11">
        <v>35960.76</v>
      </c>
      <c r="R2098" s="11" t="s">
        <v>3844</v>
      </c>
      <c r="S2098" s="11" t="s">
        <v>137</v>
      </c>
      <c r="T2098" s="11">
        <v>0</v>
      </c>
    </row>
    <row r="2099" spans="1:20" x14ac:dyDescent="0.25">
      <c r="A2099" s="11">
        <v>101060501</v>
      </c>
      <c r="B2099" s="11" t="s">
        <v>3632</v>
      </c>
      <c r="C2099" s="41">
        <v>44853</v>
      </c>
      <c r="D2099" s="41">
        <v>44853</v>
      </c>
      <c r="E2099" s="11" t="s">
        <v>36</v>
      </c>
      <c r="F2099" s="11" t="s">
        <v>3676</v>
      </c>
      <c r="G2099" s="11">
        <v>107214</v>
      </c>
      <c r="H2099" s="11" t="s">
        <v>3677</v>
      </c>
      <c r="K2099" s="11">
        <v>101060408</v>
      </c>
      <c r="L2099" s="11" t="s">
        <v>82</v>
      </c>
      <c r="M2099" s="11"/>
      <c r="N2099" s="11">
        <v>1745.47</v>
      </c>
      <c r="O2099" s="42">
        <v>-1745.47</v>
      </c>
      <c r="P2099" s="43" t="s">
        <v>4492</v>
      </c>
      <c r="Q2099" s="11">
        <v>34215.29</v>
      </c>
      <c r="R2099" s="11" t="s">
        <v>3844</v>
      </c>
      <c r="S2099" s="11" t="s">
        <v>137</v>
      </c>
      <c r="T2099" s="11">
        <v>0</v>
      </c>
    </row>
    <row r="2100" spans="1:20" x14ac:dyDescent="0.25">
      <c r="A2100" s="11">
        <v>101060501</v>
      </c>
      <c r="B2100" s="11" t="s">
        <v>3632</v>
      </c>
      <c r="C2100" s="41">
        <v>44853</v>
      </c>
      <c r="D2100" s="41">
        <v>44872</v>
      </c>
      <c r="E2100" s="11" t="s">
        <v>3847</v>
      </c>
      <c r="F2100" s="11" t="s">
        <v>4028</v>
      </c>
      <c r="G2100" s="11">
        <v>107227</v>
      </c>
      <c r="H2100" s="11" t="s">
        <v>4029</v>
      </c>
      <c r="K2100" s="11" t="s">
        <v>3886</v>
      </c>
      <c r="L2100" s="11" t="s">
        <v>3887</v>
      </c>
      <c r="M2100" s="11">
        <v>243.15</v>
      </c>
      <c r="N2100" s="11"/>
      <c r="O2100" s="42">
        <v>243.15</v>
      </c>
      <c r="P2100" s="43" t="s">
        <v>4495</v>
      </c>
      <c r="Q2100" s="11">
        <v>34458.44</v>
      </c>
      <c r="R2100" s="11" t="s">
        <v>3844</v>
      </c>
      <c r="S2100" s="11" t="s">
        <v>137</v>
      </c>
      <c r="T2100" s="11">
        <v>0</v>
      </c>
    </row>
    <row r="2101" spans="1:20" x14ac:dyDescent="0.25">
      <c r="A2101" s="11">
        <v>101060501</v>
      </c>
      <c r="B2101" s="11" t="s">
        <v>3632</v>
      </c>
      <c r="C2101" s="41">
        <v>44853</v>
      </c>
      <c r="D2101" s="41">
        <v>44872</v>
      </c>
      <c r="E2101" s="11" t="s">
        <v>3847</v>
      </c>
      <c r="F2101" s="11" t="s">
        <v>4028</v>
      </c>
      <c r="G2101" s="11">
        <v>107227</v>
      </c>
      <c r="H2101" s="11" t="s">
        <v>4029</v>
      </c>
      <c r="K2101" s="11" t="s">
        <v>3886</v>
      </c>
      <c r="L2101" s="11" t="s">
        <v>3887</v>
      </c>
      <c r="M2101" s="11">
        <v>10.56</v>
      </c>
      <c r="N2101" s="11"/>
      <c r="O2101" s="42">
        <v>10.56</v>
      </c>
      <c r="P2101" s="43" t="s">
        <v>4495</v>
      </c>
      <c r="Q2101" s="11">
        <v>34469</v>
      </c>
      <c r="R2101" s="11" t="s">
        <v>3844</v>
      </c>
      <c r="S2101" s="11" t="s">
        <v>137</v>
      </c>
      <c r="T2101" s="11">
        <v>0</v>
      </c>
    </row>
    <row r="2102" spans="1:20" x14ac:dyDescent="0.25">
      <c r="A2102" s="11">
        <v>101060501</v>
      </c>
      <c r="B2102" s="11" t="s">
        <v>3632</v>
      </c>
      <c r="C2102" s="41">
        <v>44853</v>
      </c>
      <c r="D2102" s="41">
        <v>44853</v>
      </c>
      <c r="E2102" s="11" t="s">
        <v>3847</v>
      </c>
      <c r="F2102" s="11" t="s">
        <v>4030</v>
      </c>
      <c r="G2102" s="11">
        <v>107228</v>
      </c>
      <c r="H2102" s="11" t="s">
        <v>4029</v>
      </c>
      <c r="K2102" s="11" t="s">
        <v>3894</v>
      </c>
      <c r="L2102" s="11" t="s">
        <v>3895</v>
      </c>
      <c r="M2102" s="11">
        <v>22096.6</v>
      </c>
      <c r="N2102" s="11"/>
      <c r="O2102" s="42">
        <v>22096.6</v>
      </c>
      <c r="P2102" s="43" t="s">
        <v>4495</v>
      </c>
      <c r="Q2102" s="11">
        <v>56565.599999999999</v>
      </c>
      <c r="R2102" s="11" t="s">
        <v>3844</v>
      </c>
      <c r="S2102" s="11" t="s">
        <v>137</v>
      </c>
      <c r="T2102" s="11">
        <v>0</v>
      </c>
    </row>
    <row r="2103" spans="1:20" x14ac:dyDescent="0.25">
      <c r="A2103" s="11">
        <v>101060501</v>
      </c>
      <c r="B2103" s="11" t="s">
        <v>3632</v>
      </c>
      <c r="C2103" s="41">
        <v>44853</v>
      </c>
      <c r="D2103" s="41">
        <v>44853</v>
      </c>
      <c r="E2103" s="11" t="s">
        <v>3847</v>
      </c>
      <c r="F2103" s="11" t="s">
        <v>4031</v>
      </c>
      <c r="G2103" s="11">
        <v>107231</v>
      </c>
      <c r="H2103" s="11" t="s">
        <v>4032</v>
      </c>
      <c r="K2103" s="11" t="s">
        <v>3873</v>
      </c>
      <c r="L2103" s="11" t="s">
        <v>3874</v>
      </c>
      <c r="M2103" s="11">
        <v>25329.759999999998</v>
      </c>
      <c r="N2103" s="11"/>
      <c r="O2103" s="42">
        <v>25329.759999999998</v>
      </c>
      <c r="P2103" s="43" t="s">
        <v>4495</v>
      </c>
      <c r="Q2103" s="11">
        <v>81895.360000000001</v>
      </c>
      <c r="R2103" s="11" t="s">
        <v>3844</v>
      </c>
      <c r="S2103" s="11" t="s">
        <v>137</v>
      </c>
      <c r="T2103" s="11">
        <v>0</v>
      </c>
    </row>
    <row r="2104" spans="1:20" x14ac:dyDescent="0.25">
      <c r="A2104" s="11">
        <v>101060501</v>
      </c>
      <c r="B2104" s="11" t="s">
        <v>3632</v>
      </c>
      <c r="C2104" s="41">
        <v>44853</v>
      </c>
      <c r="D2104" s="41">
        <v>44853</v>
      </c>
      <c r="E2104" s="11" t="s">
        <v>3847</v>
      </c>
      <c r="F2104" s="11" t="s">
        <v>4031</v>
      </c>
      <c r="G2104" s="11">
        <v>107231</v>
      </c>
      <c r="H2104" s="11" t="s">
        <v>4032</v>
      </c>
      <c r="K2104" s="11" t="s">
        <v>3873</v>
      </c>
      <c r="L2104" s="11" t="s">
        <v>3874</v>
      </c>
      <c r="M2104" s="11">
        <v>400</v>
      </c>
      <c r="N2104" s="11"/>
      <c r="O2104" s="42">
        <v>400</v>
      </c>
      <c r="P2104" s="43" t="s">
        <v>4495</v>
      </c>
      <c r="Q2104" s="11">
        <v>82295.360000000001</v>
      </c>
      <c r="R2104" s="11" t="s">
        <v>3844</v>
      </c>
      <c r="S2104" s="11" t="s">
        <v>137</v>
      </c>
      <c r="T2104" s="11">
        <v>0</v>
      </c>
    </row>
    <row r="2105" spans="1:20" x14ac:dyDescent="0.25">
      <c r="A2105" s="11">
        <v>101060501</v>
      </c>
      <c r="B2105" s="11" t="s">
        <v>3632</v>
      </c>
      <c r="C2105" s="41">
        <v>44853</v>
      </c>
      <c r="D2105" s="41">
        <v>44853</v>
      </c>
      <c r="E2105" s="11" t="s">
        <v>36</v>
      </c>
      <c r="F2105" s="11" t="s">
        <v>3679</v>
      </c>
      <c r="G2105" s="11">
        <v>107232</v>
      </c>
      <c r="H2105" s="11" t="s">
        <v>3639</v>
      </c>
      <c r="K2105" s="11">
        <v>101060408</v>
      </c>
      <c r="L2105" s="11" t="s">
        <v>82</v>
      </c>
      <c r="M2105" s="11"/>
      <c r="N2105" s="11">
        <v>243.15</v>
      </c>
      <c r="O2105" s="42">
        <v>-243.15</v>
      </c>
      <c r="P2105" s="43" t="s">
        <v>4492</v>
      </c>
      <c r="Q2105" s="11">
        <v>82052.210000000006</v>
      </c>
      <c r="R2105" s="11" t="s">
        <v>3844</v>
      </c>
      <c r="S2105" s="11" t="s">
        <v>137</v>
      </c>
      <c r="T2105" s="11">
        <v>0</v>
      </c>
    </row>
    <row r="2106" spans="1:20" x14ac:dyDescent="0.25">
      <c r="A2106" s="11">
        <v>101060501</v>
      </c>
      <c r="B2106" s="11" t="s">
        <v>3632</v>
      </c>
      <c r="C2106" s="41">
        <v>44853</v>
      </c>
      <c r="D2106" s="41">
        <v>44853</v>
      </c>
      <c r="E2106" s="11" t="s">
        <v>36</v>
      </c>
      <c r="F2106" s="11" t="s">
        <v>3681</v>
      </c>
      <c r="G2106" s="11">
        <v>107233</v>
      </c>
      <c r="H2106" s="11" t="s">
        <v>3640</v>
      </c>
      <c r="K2106" s="11">
        <v>101060408</v>
      </c>
      <c r="L2106" s="11" t="s">
        <v>82</v>
      </c>
      <c r="M2106" s="11"/>
      <c r="N2106" s="11">
        <v>22096.6</v>
      </c>
      <c r="O2106" s="42">
        <v>-22096.6</v>
      </c>
      <c r="P2106" s="43" t="s">
        <v>4492</v>
      </c>
      <c r="Q2106" s="11">
        <v>59955.61</v>
      </c>
      <c r="R2106" s="11" t="s">
        <v>3844</v>
      </c>
      <c r="S2106" s="11" t="s">
        <v>137</v>
      </c>
      <c r="T2106" s="11">
        <v>0</v>
      </c>
    </row>
    <row r="2107" spans="1:20" x14ac:dyDescent="0.25">
      <c r="A2107" s="11">
        <v>101060501</v>
      </c>
      <c r="B2107" s="11" t="s">
        <v>3632</v>
      </c>
      <c r="C2107" s="41">
        <v>44853</v>
      </c>
      <c r="D2107" s="41">
        <v>44853</v>
      </c>
      <c r="E2107" s="11" t="s">
        <v>36</v>
      </c>
      <c r="F2107" s="11" t="s">
        <v>3683</v>
      </c>
      <c r="G2107" s="11">
        <v>107237</v>
      </c>
      <c r="H2107" s="11" t="s">
        <v>3636</v>
      </c>
      <c r="K2107" s="11">
        <v>101060408</v>
      </c>
      <c r="L2107" s="11" t="s">
        <v>82</v>
      </c>
      <c r="M2107" s="11"/>
      <c r="N2107" s="11">
        <v>25329.759999999998</v>
      </c>
      <c r="O2107" s="42">
        <v>-25329.759999999998</v>
      </c>
      <c r="P2107" s="43" t="s">
        <v>4492</v>
      </c>
      <c r="Q2107" s="11">
        <v>34625.85</v>
      </c>
      <c r="R2107" s="11" t="s">
        <v>3844</v>
      </c>
      <c r="S2107" s="11" t="s">
        <v>137</v>
      </c>
      <c r="T2107" s="11">
        <v>0</v>
      </c>
    </row>
    <row r="2108" spans="1:20" x14ac:dyDescent="0.25">
      <c r="A2108" s="11">
        <v>101060501</v>
      </c>
      <c r="B2108" s="11" t="s">
        <v>3632</v>
      </c>
      <c r="C2108" s="41">
        <v>44853</v>
      </c>
      <c r="D2108" s="41">
        <v>44853</v>
      </c>
      <c r="E2108" s="11" t="s">
        <v>36</v>
      </c>
      <c r="F2108" s="11" t="s">
        <v>3685</v>
      </c>
      <c r="G2108" s="11">
        <v>107238</v>
      </c>
      <c r="H2108" s="11" t="s">
        <v>3686</v>
      </c>
      <c r="K2108" s="11">
        <v>101060408</v>
      </c>
      <c r="L2108" s="11" t="s">
        <v>82</v>
      </c>
      <c r="M2108" s="11"/>
      <c r="N2108" s="11">
        <v>3902.79</v>
      </c>
      <c r="O2108" s="42">
        <v>-3902.79</v>
      </c>
      <c r="P2108" s="43" t="s">
        <v>4492</v>
      </c>
      <c r="Q2108" s="11">
        <v>30723.06</v>
      </c>
      <c r="R2108" s="11" t="s">
        <v>3844</v>
      </c>
      <c r="S2108" s="11" t="s">
        <v>137</v>
      </c>
      <c r="T2108" s="11">
        <v>0</v>
      </c>
    </row>
    <row r="2109" spans="1:20" x14ac:dyDescent="0.25">
      <c r="A2109" s="11">
        <v>101060501</v>
      </c>
      <c r="B2109" s="11" t="s">
        <v>3632</v>
      </c>
      <c r="C2109" s="41">
        <v>44853</v>
      </c>
      <c r="D2109" s="41">
        <v>44853</v>
      </c>
      <c r="E2109" s="11" t="s">
        <v>203</v>
      </c>
      <c r="F2109" s="11" t="s">
        <v>4033</v>
      </c>
      <c r="G2109" s="11">
        <v>107310</v>
      </c>
      <c r="H2109" s="11" t="s">
        <v>4034</v>
      </c>
      <c r="K2109" s="11">
        <v>61070102</v>
      </c>
      <c r="L2109" s="11" t="s">
        <v>4035</v>
      </c>
      <c r="M2109" s="11"/>
      <c r="N2109" s="11">
        <v>247</v>
      </c>
      <c r="O2109" s="42">
        <v>-247</v>
      </c>
      <c r="P2109" s="43" t="s">
        <v>4495</v>
      </c>
      <c r="Q2109" s="11">
        <v>30476.06</v>
      </c>
      <c r="R2109" s="11" t="s">
        <v>3844</v>
      </c>
      <c r="S2109" s="11" t="s">
        <v>202</v>
      </c>
      <c r="T2109" s="11">
        <v>0</v>
      </c>
    </row>
    <row r="2110" spans="1:20" x14ac:dyDescent="0.25">
      <c r="A2110" s="11">
        <v>101060501</v>
      </c>
      <c r="B2110" s="11" t="s">
        <v>3632</v>
      </c>
      <c r="C2110" s="41">
        <v>44853</v>
      </c>
      <c r="D2110" s="41">
        <v>44853</v>
      </c>
      <c r="E2110" s="11" t="s">
        <v>203</v>
      </c>
      <c r="F2110" s="11" t="s">
        <v>4033</v>
      </c>
      <c r="G2110" s="11">
        <v>107310</v>
      </c>
      <c r="H2110" s="11" t="s">
        <v>3870</v>
      </c>
      <c r="K2110" s="11">
        <v>61070102</v>
      </c>
      <c r="L2110" s="11" t="s">
        <v>4035</v>
      </c>
      <c r="M2110" s="11"/>
      <c r="N2110" s="11">
        <v>80</v>
      </c>
      <c r="O2110" s="42">
        <v>-80</v>
      </c>
      <c r="P2110" s="43" t="s">
        <v>4495</v>
      </c>
      <c r="Q2110" s="11">
        <v>30396.06</v>
      </c>
      <c r="R2110" s="11" t="s">
        <v>3844</v>
      </c>
      <c r="S2110" s="11" t="s">
        <v>202</v>
      </c>
      <c r="T2110" s="11">
        <v>0</v>
      </c>
    </row>
    <row r="2111" spans="1:20" x14ac:dyDescent="0.25">
      <c r="A2111" s="11">
        <v>101060501</v>
      </c>
      <c r="B2111" s="11" t="s">
        <v>3632</v>
      </c>
      <c r="C2111" s="41">
        <v>44853</v>
      </c>
      <c r="D2111" s="41">
        <v>44853</v>
      </c>
      <c r="E2111" s="11" t="s">
        <v>203</v>
      </c>
      <c r="F2111" s="11" t="s">
        <v>4033</v>
      </c>
      <c r="G2111" s="11">
        <v>107310</v>
      </c>
      <c r="H2111" s="11" t="s">
        <v>3875</v>
      </c>
      <c r="K2111" s="11">
        <v>61070102</v>
      </c>
      <c r="L2111" s="11" t="s">
        <v>4035</v>
      </c>
      <c r="M2111" s="11"/>
      <c r="N2111" s="11">
        <v>40.74</v>
      </c>
      <c r="O2111" s="42">
        <v>-40.74</v>
      </c>
      <c r="P2111" s="43" t="s">
        <v>4495</v>
      </c>
      <c r="Q2111" s="11">
        <v>30355.32</v>
      </c>
      <c r="R2111" s="11" t="s">
        <v>3844</v>
      </c>
      <c r="S2111" s="11" t="s">
        <v>202</v>
      </c>
      <c r="T2111" s="11">
        <v>0</v>
      </c>
    </row>
    <row r="2112" spans="1:20" x14ac:dyDescent="0.25">
      <c r="A2112" s="11">
        <v>101060501</v>
      </c>
      <c r="B2112" s="11" t="s">
        <v>3632</v>
      </c>
      <c r="C2112" s="41">
        <v>44854</v>
      </c>
      <c r="D2112" s="41">
        <v>44854</v>
      </c>
      <c r="E2112" s="11" t="s">
        <v>203</v>
      </c>
      <c r="F2112" s="11" t="s">
        <v>4036</v>
      </c>
      <c r="G2112" s="11">
        <v>107312</v>
      </c>
      <c r="H2112" s="11" t="s">
        <v>4037</v>
      </c>
      <c r="K2112" s="11">
        <v>61050401</v>
      </c>
      <c r="L2112" s="11" t="s">
        <v>4038</v>
      </c>
      <c r="M2112" s="11"/>
      <c r="N2112" s="11">
        <v>1198.68</v>
      </c>
      <c r="O2112" s="42">
        <v>-1198.68</v>
      </c>
      <c r="P2112" s="43" t="s">
        <v>4495</v>
      </c>
      <c r="Q2112" s="11">
        <v>29156.639999999999</v>
      </c>
      <c r="R2112" s="11" t="s">
        <v>3844</v>
      </c>
      <c r="S2112" s="11" t="s">
        <v>202</v>
      </c>
      <c r="T2112" s="11">
        <v>0</v>
      </c>
    </row>
    <row r="2113" spans="1:22" x14ac:dyDescent="0.25">
      <c r="A2113" s="11">
        <v>101060501</v>
      </c>
      <c r="B2113" s="11" t="s">
        <v>3632</v>
      </c>
      <c r="C2113" s="41">
        <v>44854</v>
      </c>
      <c r="D2113" s="41">
        <v>44854</v>
      </c>
      <c r="E2113" s="11" t="s">
        <v>203</v>
      </c>
      <c r="F2113" s="11" t="s">
        <v>4039</v>
      </c>
      <c r="G2113" s="11">
        <v>108545</v>
      </c>
      <c r="H2113" s="11" t="s">
        <v>4037</v>
      </c>
      <c r="K2113" s="11">
        <v>61040704</v>
      </c>
      <c r="L2113" s="11" t="s">
        <v>3902</v>
      </c>
      <c r="M2113" s="11"/>
      <c r="N2113" s="11">
        <v>1198.68</v>
      </c>
      <c r="O2113" s="42">
        <v>-1198.68</v>
      </c>
      <c r="P2113" s="43" t="s">
        <v>4495</v>
      </c>
      <c r="Q2113" s="11">
        <v>27957.96</v>
      </c>
      <c r="R2113" s="11" t="s">
        <v>3844</v>
      </c>
      <c r="S2113" s="11" t="s">
        <v>202</v>
      </c>
      <c r="T2113" s="11">
        <v>0</v>
      </c>
    </row>
    <row r="2114" spans="1:22" x14ac:dyDescent="0.25">
      <c r="A2114" s="11">
        <v>101060501</v>
      </c>
      <c r="B2114" s="11" t="s">
        <v>3632</v>
      </c>
      <c r="C2114" s="41">
        <v>44854</v>
      </c>
      <c r="D2114" s="41">
        <v>44854</v>
      </c>
      <c r="E2114" s="11" t="s">
        <v>203</v>
      </c>
      <c r="F2114" s="11" t="s">
        <v>4040</v>
      </c>
      <c r="G2114" s="11">
        <v>108546</v>
      </c>
      <c r="H2114" s="11" t="s">
        <v>4041</v>
      </c>
      <c r="K2114" s="11">
        <v>61050401</v>
      </c>
      <c r="L2114" s="11" t="s">
        <v>4038</v>
      </c>
      <c r="M2114" s="11">
        <v>1198.68</v>
      </c>
      <c r="N2114" s="11"/>
      <c r="O2114" s="42">
        <v>1198.68</v>
      </c>
      <c r="P2114" s="43" t="s">
        <v>4495</v>
      </c>
      <c r="Q2114" s="11">
        <v>29156.639999999999</v>
      </c>
      <c r="R2114" s="11" t="s">
        <v>3844</v>
      </c>
      <c r="S2114" s="11" t="s">
        <v>202</v>
      </c>
      <c r="T2114" s="11">
        <v>0</v>
      </c>
    </row>
    <row r="2115" spans="1:22" x14ac:dyDescent="0.25">
      <c r="A2115" s="11">
        <v>101060501</v>
      </c>
      <c r="B2115" s="11" t="s">
        <v>3632</v>
      </c>
      <c r="C2115" s="41">
        <v>44855</v>
      </c>
      <c r="D2115" s="41">
        <v>44855</v>
      </c>
      <c r="E2115" s="11" t="s">
        <v>3842</v>
      </c>
      <c r="F2115" s="11" t="s">
        <v>4042</v>
      </c>
      <c r="G2115" s="11">
        <v>108388</v>
      </c>
      <c r="H2115" s="11" t="s">
        <v>4043</v>
      </c>
      <c r="K2115" s="11">
        <v>101010306</v>
      </c>
      <c r="L2115" s="11" t="s">
        <v>3869</v>
      </c>
      <c r="M2115" s="11">
        <v>94.32</v>
      </c>
      <c r="N2115" s="11"/>
      <c r="O2115" s="42">
        <v>94.32</v>
      </c>
      <c r="P2115" s="43" t="s">
        <v>4495</v>
      </c>
      <c r="Q2115" s="11">
        <v>29250.959999999999</v>
      </c>
      <c r="R2115" s="11" t="s">
        <v>3844</v>
      </c>
      <c r="S2115" s="11" t="s">
        <v>273</v>
      </c>
      <c r="T2115" s="11">
        <v>0</v>
      </c>
    </row>
    <row r="2116" spans="1:22" x14ac:dyDescent="0.25">
      <c r="A2116" s="11">
        <v>101060501</v>
      </c>
      <c r="B2116" s="11" t="s">
        <v>3632</v>
      </c>
      <c r="C2116" s="41">
        <v>44855</v>
      </c>
      <c r="D2116" s="41">
        <v>44855</v>
      </c>
      <c r="E2116" s="11" t="s">
        <v>3842</v>
      </c>
      <c r="F2116" s="11" t="s">
        <v>4045</v>
      </c>
      <c r="G2116" s="11">
        <v>108389</v>
      </c>
      <c r="H2116" s="11" t="s">
        <v>4046</v>
      </c>
      <c r="K2116" s="11">
        <v>101010306</v>
      </c>
      <c r="L2116" s="11" t="s">
        <v>3869</v>
      </c>
      <c r="M2116" s="11">
        <v>93.6</v>
      </c>
      <c r="N2116" s="11"/>
      <c r="O2116" s="42">
        <v>93.6</v>
      </c>
      <c r="P2116" s="43" t="s">
        <v>4495</v>
      </c>
      <c r="Q2116" s="11">
        <v>29344.560000000001</v>
      </c>
      <c r="R2116" s="11" t="s">
        <v>3844</v>
      </c>
      <c r="S2116" s="11" t="s">
        <v>273</v>
      </c>
      <c r="T2116" s="11">
        <v>0</v>
      </c>
    </row>
    <row r="2117" spans="1:22" x14ac:dyDescent="0.25">
      <c r="A2117" s="11">
        <v>101060501</v>
      </c>
      <c r="B2117" s="11" t="s">
        <v>3632</v>
      </c>
      <c r="C2117" s="41">
        <v>44855</v>
      </c>
      <c r="D2117" s="41">
        <v>44855</v>
      </c>
      <c r="E2117" s="11" t="s">
        <v>3842</v>
      </c>
      <c r="F2117" s="11" t="s">
        <v>4047</v>
      </c>
      <c r="G2117" s="11">
        <v>108391</v>
      </c>
      <c r="H2117" s="11" t="s">
        <v>4048</v>
      </c>
      <c r="K2117" s="11">
        <v>101010306</v>
      </c>
      <c r="L2117" s="11" t="s">
        <v>3869</v>
      </c>
      <c r="M2117" s="11">
        <v>94.32</v>
      </c>
      <c r="N2117" s="11"/>
      <c r="O2117" s="42">
        <v>94.32</v>
      </c>
      <c r="P2117" s="43" t="s">
        <v>4495</v>
      </c>
      <c r="Q2117" s="11">
        <v>29438.880000000001</v>
      </c>
      <c r="R2117" s="11" t="s">
        <v>4044</v>
      </c>
      <c r="S2117" s="11" t="s">
        <v>273</v>
      </c>
      <c r="T2117" s="11">
        <v>0</v>
      </c>
    </row>
    <row r="2118" spans="1:22" x14ac:dyDescent="0.25">
      <c r="A2118" s="11">
        <v>101060501</v>
      </c>
      <c r="B2118" s="11" t="s">
        <v>3632</v>
      </c>
      <c r="C2118" s="41">
        <v>44855</v>
      </c>
      <c r="D2118" s="41">
        <v>44855</v>
      </c>
      <c r="E2118" s="11" t="s">
        <v>3842</v>
      </c>
      <c r="F2118" s="11" t="s">
        <v>4049</v>
      </c>
      <c r="G2118" s="11">
        <v>108392</v>
      </c>
      <c r="H2118" s="11" t="s">
        <v>4050</v>
      </c>
      <c r="K2118" s="11">
        <v>101010306</v>
      </c>
      <c r="L2118" s="11" t="s">
        <v>3869</v>
      </c>
      <c r="M2118" s="11">
        <v>70.31</v>
      </c>
      <c r="N2118" s="11"/>
      <c r="O2118" s="42">
        <v>70.31</v>
      </c>
      <c r="P2118" s="43" t="s">
        <v>4495</v>
      </c>
      <c r="Q2118" s="11">
        <v>29509.19</v>
      </c>
      <c r="R2118" s="11" t="s">
        <v>4051</v>
      </c>
      <c r="S2118" s="11" t="s">
        <v>273</v>
      </c>
      <c r="T2118" s="11">
        <v>0</v>
      </c>
    </row>
    <row r="2119" spans="1:22" x14ac:dyDescent="0.25">
      <c r="A2119" s="11">
        <v>101060501</v>
      </c>
      <c r="B2119" s="11" t="s">
        <v>3632</v>
      </c>
      <c r="C2119" s="41">
        <v>44857</v>
      </c>
      <c r="D2119" s="41">
        <v>44858</v>
      </c>
      <c r="E2119" s="11" t="s">
        <v>3847</v>
      </c>
      <c r="F2119" s="11" t="s">
        <v>4052</v>
      </c>
      <c r="G2119" s="11">
        <v>107960</v>
      </c>
      <c r="H2119" s="11" t="s">
        <v>4053</v>
      </c>
      <c r="K2119" s="11" t="s">
        <v>3848</v>
      </c>
      <c r="L2119" s="11" t="s">
        <v>3849</v>
      </c>
      <c r="M2119" s="11">
        <v>1.85</v>
      </c>
      <c r="N2119" s="11"/>
      <c r="O2119" s="42">
        <v>1.85</v>
      </c>
      <c r="P2119" s="43" t="s">
        <v>4495</v>
      </c>
      <c r="Q2119" s="11">
        <v>29511.040000000001</v>
      </c>
      <c r="R2119" s="11" t="s">
        <v>3844</v>
      </c>
      <c r="S2119" s="11" t="s">
        <v>273</v>
      </c>
      <c r="T2119" s="11">
        <v>0</v>
      </c>
    </row>
    <row r="2120" spans="1:22" x14ac:dyDescent="0.25">
      <c r="A2120" s="11">
        <v>101060501</v>
      </c>
      <c r="B2120" s="11" t="s">
        <v>3632</v>
      </c>
      <c r="C2120" s="41">
        <v>44858</v>
      </c>
      <c r="D2120" s="41">
        <v>44918</v>
      </c>
      <c r="E2120" s="11" t="s">
        <v>42</v>
      </c>
      <c r="F2120" s="11" t="s">
        <v>4054</v>
      </c>
      <c r="G2120" s="11">
        <v>107704</v>
      </c>
      <c r="H2120" s="11" t="s">
        <v>4055</v>
      </c>
      <c r="K2120" s="11" t="s">
        <v>3845</v>
      </c>
      <c r="L2120" s="11" t="s">
        <v>3846</v>
      </c>
      <c r="M2120" s="11">
        <v>127.83</v>
      </c>
      <c r="N2120" s="11"/>
      <c r="O2120" s="42">
        <v>127.83</v>
      </c>
      <c r="P2120" s="43" t="s">
        <v>4495</v>
      </c>
      <c r="Q2120" s="11">
        <v>29638.87</v>
      </c>
      <c r="R2120" s="11" t="s">
        <v>3844</v>
      </c>
      <c r="S2120" s="11" t="s">
        <v>273</v>
      </c>
      <c r="T2120" s="11">
        <v>0</v>
      </c>
    </row>
    <row r="2121" spans="1:22" x14ac:dyDescent="0.25">
      <c r="A2121" s="11">
        <v>101060501</v>
      </c>
      <c r="B2121" s="11" t="s">
        <v>3632</v>
      </c>
      <c r="C2121" s="41">
        <v>44859</v>
      </c>
      <c r="D2121" s="41">
        <v>44859</v>
      </c>
      <c r="E2121" s="11" t="s">
        <v>42</v>
      </c>
      <c r="F2121" s="11" t="s">
        <v>4056</v>
      </c>
      <c r="G2121" s="11">
        <v>107665</v>
      </c>
      <c r="H2121" s="11" t="s">
        <v>4057</v>
      </c>
      <c r="J2121" s="11" t="s">
        <v>38</v>
      </c>
      <c r="K2121" s="11" t="s">
        <v>3865</v>
      </c>
      <c r="L2121" s="11" t="s">
        <v>3866</v>
      </c>
      <c r="M2121" s="11">
        <v>31.81</v>
      </c>
      <c r="N2121" s="11"/>
      <c r="O2121" s="42">
        <v>31.81</v>
      </c>
      <c r="P2121" s="43" t="s">
        <v>4495</v>
      </c>
      <c r="Q2121" s="11">
        <v>29670.68</v>
      </c>
      <c r="R2121" s="11" t="s">
        <v>3844</v>
      </c>
      <c r="S2121" s="11" t="s">
        <v>273</v>
      </c>
      <c r="T2121" s="11">
        <v>0</v>
      </c>
      <c r="V2121" s="11" t="s">
        <v>41</v>
      </c>
    </row>
    <row r="2122" spans="1:22" x14ac:dyDescent="0.25">
      <c r="A2122" s="11">
        <v>101060501</v>
      </c>
      <c r="B2122" s="11" t="s">
        <v>3632</v>
      </c>
      <c r="C2122" s="41">
        <v>44859</v>
      </c>
      <c r="D2122" s="41">
        <v>44859</v>
      </c>
      <c r="E2122" s="11" t="s">
        <v>203</v>
      </c>
      <c r="F2122" s="11" t="s">
        <v>4058</v>
      </c>
      <c r="G2122" s="11">
        <v>107667</v>
      </c>
      <c r="H2122" s="11" t="s">
        <v>4059</v>
      </c>
      <c r="J2122" s="11" t="s">
        <v>38</v>
      </c>
      <c r="K2122" s="11" t="s">
        <v>3865</v>
      </c>
      <c r="L2122" s="11" t="s">
        <v>3866</v>
      </c>
      <c r="M2122" s="11">
        <v>6.2</v>
      </c>
      <c r="N2122" s="11"/>
      <c r="O2122" s="42">
        <v>6.2</v>
      </c>
      <c r="P2122" s="43" t="s">
        <v>4495</v>
      </c>
      <c r="Q2122" s="11">
        <v>29676.880000000001</v>
      </c>
      <c r="R2122" s="11" t="s">
        <v>3844</v>
      </c>
      <c r="S2122" s="11" t="s">
        <v>273</v>
      </c>
      <c r="T2122" s="11">
        <v>0</v>
      </c>
      <c r="V2122" s="11" t="s">
        <v>41</v>
      </c>
    </row>
    <row r="2123" spans="1:22" x14ac:dyDescent="0.25">
      <c r="A2123" s="11">
        <v>101060501</v>
      </c>
      <c r="B2123" s="11" t="s">
        <v>3632</v>
      </c>
      <c r="C2123" s="41">
        <v>44861</v>
      </c>
      <c r="D2123" s="41">
        <v>44861</v>
      </c>
      <c r="E2123" s="11" t="s">
        <v>203</v>
      </c>
      <c r="F2123" s="11" t="s">
        <v>4060</v>
      </c>
      <c r="G2123" s="11">
        <v>107664</v>
      </c>
      <c r="H2123" s="11" t="s">
        <v>4061</v>
      </c>
      <c r="K2123" s="11">
        <v>201040509</v>
      </c>
      <c r="L2123" s="11" t="s">
        <v>3891</v>
      </c>
      <c r="M2123" s="11">
        <v>50</v>
      </c>
      <c r="N2123" s="11"/>
      <c r="O2123" s="42">
        <v>50</v>
      </c>
      <c r="P2123" s="43" t="s">
        <v>4495</v>
      </c>
      <c r="Q2123" s="11">
        <v>29726.880000000001</v>
      </c>
      <c r="R2123" s="11" t="s">
        <v>3844</v>
      </c>
      <c r="S2123" s="11" t="s">
        <v>202</v>
      </c>
      <c r="T2123" s="11">
        <v>0</v>
      </c>
    </row>
    <row r="2124" spans="1:22" x14ac:dyDescent="0.25">
      <c r="A2124" s="11">
        <v>101060501</v>
      </c>
      <c r="B2124" s="11" t="s">
        <v>3632</v>
      </c>
      <c r="C2124" s="41">
        <v>44861</v>
      </c>
      <c r="D2124" s="41">
        <v>44861</v>
      </c>
      <c r="E2124" s="11" t="s">
        <v>203</v>
      </c>
      <c r="F2124" s="11" t="s">
        <v>4062</v>
      </c>
      <c r="G2124" s="11">
        <v>107674</v>
      </c>
      <c r="H2124" s="11" t="s">
        <v>4063</v>
      </c>
      <c r="K2124" s="11">
        <v>201040508</v>
      </c>
      <c r="L2124" s="11" t="s">
        <v>3867</v>
      </c>
      <c r="M2124" s="11">
        <v>1849</v>
      </c>
      <c r="N2124" s="11"/>
      <c r="O2124" s="42">
        <v>1849</v>
      </c>
      <c r="P2124" s="43" t="s">
        <v>4495</v>
      </c>
      <c r="Q2124" s="11">
        <v>31575.88</v>
      </c>
      <c r="R2124" s="11" t="s">
        <v>3844</v>
      </c>
      <c r="S2124" s="11" t="s">
        <v>202</v>
      </c>
      <c r="T2124" s="11">
        <v>0</v>
      </c>
    </row>
    <row r="2125" spans="1:22" x14ac:dyDescent="0.25">
      <c r="A2125" s="11">
        <v>101060501</v>
      </c>
      <c r="B2125" s="11" t="s">
        <v>3632</v>
      </c>
      <c r="C2125" s="41">
        <v>44861</v>
      </c>
      <c r="D2125" s="41">
        <v>44861</v>
      </c>
      <c r="E2125" s="11" t="s">
        <v>203</v>
      </c>
      <c r="F2125" s="11" t="s">
        <v>4064</v>
      </c>
      <c r="G2125" s="11">
        <v>107706</v>
      </c>
      <c r="H2125" s="11" t="s">
        <v>4065</v>
      </c>
      <c r="J2125" s="11" t="s">
        <v>38</v>
      </c>
      <c r="K2125" s="11">
        <v>401030105</v>
      </c>
      <c r="L2125" s="11" t="s">
        <v>54</v>
      </c>
      <c r="M2125" s="11">
        <v>186.69</v>
      </c>
      <c r="N2125" s="11"/>
      <c r="O2125" s="42">
        <v>186.69</v>
      </c>
      <c r="P2125" s="43" t="s">
        <v>4495</v>
      </c>
      <c r="Q2125" s="11">
        <v>31762.57</v>
      </c>
      <c r="R2125" s="11" t="s">
        <v>3844</v>
      </c>
      <c r="S2125" s="11" t="s">
        <v>202</v>
      </c>
      <c r="T2125" s="11">
        <v>0</v>
      </c>
      <c r="V2125" s="11" t="s">
        <v>41</v>
      </c>
    </row>
    <row r="2126" spans="1:22" x14ac:dyDescent="0.25">
      <c r="A2126" s="11">
        <v>101060501</v>
      </c>
      <c r="B2126" s="11" t="s">
        <v>3632</v>
      </c>
      <c r="C2126" s="41">
        <v>44861</v>
      </c>
      <c r="D2126" s="41">
        <v>44861</v>
      </c>
      <c r="E2126" s="11" t="s">
        <v>203</v>
      </c>
      <c r="F2126" s="11" t="s">
        <v>4066</v>
      </c>
      <c r="G2126" s="11">
        <v>107710</v>
      </c>
      <c r="H2126" s="11" t="s">
        <v>4067</v>
      </c>
      <c r="K2126" s="11">
        <v>201040509</v>
      </c>
      <c r="L2126" s="11" t="s">
        <v>3891</v>
      </c>
      <c r="M2126" s="11">
        <v>65</v>
      </c>
      <c r="N2126" s="11"/>
      <c r="O2126" s="42">
        <v>65</v>
      </c>
      <c r="P2126" s="43" t="s">
        <v>4495</v>
      </c>
      <c r="Q2126" s="11">
        <v>31827.57</v>
      </c>
      <c r="R2126" s="11" t="s">
        <v>3844</v>
      </c>
      <c r="S2126" s="11" t="s">
        <v>202</v>
      </c>
      <c r="T2126" s="11">
        <v>0</v>
      </c>
    </row>
    <row r="2127" spans="1:22" x14ac:dyDescent="0.25">
      <c r="A2127" s="11">
        <v>101060501</v>
      </c>
      <c r="B2127" s="11" t="s">
        <v>3632</v>
      </c>
      <c r="C2127" s="41">
        <v>44861</v>
      </c>
      <c r="D2127" s="41">
        <v>44861</v>
      </c>
      <c r="E2127" s="11" t="s">
        <v>203</v>
      </c>
      <c r="F2127" s="11" t="s">
        <v>4068</v>
      </c>
      <c r="G2127" s="11">
        <v>107711</v>
      </c>
      <c r="H2127" s="11" t="s">
        <v>4069</v>
      </c>
      <c r="K2127" s="11">
        <v>201040509</v>
      </c>
      <c r="L2127" s="11" t="s">
        <v>3891</v>
      </c>
      <c r="M2127" s="11"/>
      <c r="N2127" s="11">
        <v>63.7</v>
      </c>
      <c r="O2127" s="42">
        <v>-63.7</v>
      </c>
      <c r="P2127" s="43" t="s">
        <v>4495</v>
      </c>
      <c r="Q2127" s="11">
        <v>31763.87</v>
      </c>
      <c r="R2127" s="11" t="s">
        <v>3844</v>
      </c>
      <c r="S2127" s="11" t="s">
        <v>202</v>
      </c>
      <c r="T2127" s="11">
        <v>0</v>
      </c>
    </row>
    <row r="2128" spans="1:22" x14ac:dyDescent="0.25">
      <c r="A2128" s="11">
        <v>101060501</v>
      </c>
      <c r="B2128" s="11" t="s">
        <v>3632</v>
      </c>
      <c r="C2128" s="41">
        <v>44861</v>
      </c>
      <c r="D2128" s="41">
        <v>44861</v>
      </c>
      <c r="E2128" s="11" t="s">
        <v>203</v>
      </c>
      <c r="F2128" s="11" t="s">
        <v>4070</v>
      </c>
      <c r="G2128" s="11">
        <v>107712</v>
      </c>
      <c r="H2128" s="11" t="s">
        <v>4071</v>
      </c>
      <c r="K2128" s="11">
        <v>201040509</v>
      </c>
      <c r="L2128" s="11" t="s">
        <v>3891</v>
      </c>
      <c r="M2128" s="11"/>
      <c r="N2128" s="11">
        <v>884.92</v>
      </c>
      <c r="O2128" s="42">
        <v>-884.92</v>
      </c>
      <c r="P2128" s="43" t="s">
        <v>4495</v>
      </c>
      <c r="Q2128" s="11">
        <v>30878.95</v>
      </c>
      <c r="R2128" s="11" t="s">
        <v>3844</v>
      </c>
      <c r="S2128" s="11" t="s">
        <v>202</v>
      </c>
      <c r="T2128" s="11">
        <v>0</v>
      </c>
    </row>
    <row r="2129" spans="1:20" x14ac:dyDescent="0.25">
      <c r="A2129" s="11">
        <v>101060501</v>
      </c>
      <c r="B2129" s="11" t="s">
        <v>3632</v>
      </c>
      <c r="C2129" s="41">
        <v>44861</v>
      </c>
      <c r="D2129" s="41">
        <v>44861</v>
      </c>
      <c r="E2129" s="11" t="s">
        <v>203</v>
      </c>
      <c r="F2129" s="11" t="s">
        <v>4072</v>
      </c>
      <c r="G2129" s="11">
        <v>107713</v>
      </c>
      <c r="H2129" s="11" t="s">
        <v>4069</v>
      </c>
      <c r="K2129" s="11">
        <v>201040508</v>
      </c>
      <c r="L2129" s="11" t="s">
        <v>3867</v>
      </c>
      <c r="M2129" s="11">
        <v>63.7</v>
      </c>
      <c r="N2129" s="11"/>
      <c r="O2129" s="42">
        <v>63.7</v>
      </c>
      <c r="P2129" s="43" t="s">
        <v>4495</v>
      </c>
      <c r="Q2129" s="11">
        <v>30942.65</v>
      </c>
      <c r="R2129" s="11" t="s">
        <v>3844</v>
      </c>
      <c r="S2129" s="11" t="s">
        <v>202</v>
      </c>
      <c r="T2129" s="11">
        <v>0</v>
      </c>
    </row>
    <row r="2130" spans="1:20" x14ac:dyDescent="0.25">
      <c r="A2130" s="11">
        <v>101060501</v>
      </c>
      <c r="B2130" s="11" t="s">
        <v>3632</v>
      </c>
      <c r="C2130" s="41">
        <v>44861</v>
      </c>
      <c r="D2130" s="41">
        <v>44861</v>
      </c>
      <c r="E2130" s="11" t="s">
        <v>203</v>
      </c>
      <c r="F2130" s="11" t="s">
        <v>4073</v>
      </c>
      <c r="G2130" s="11">
        <v>107714</v>
      </c>
      <c r="H2130" s="11" t="s">
        <v>4074</v>
      </c>
      <c r="K2130" s="11">
        <v>201040509</v>
      </c>
      <c r="L2130" s="11" t="s">
        <v>3891</v>
      </c>
      <c r="M2130" s="11">
        <v>63.7</v>
      </c>
      <c r="N2130" s="11"/>
      <c r="O2130" s="42">
        <v>63.7</v>
      </c>
      <c r="P2130" s="43" t="s">
        <v>4495</v>
      </c>
      <c r="Q2130" s="11">
        <v>31006.35</v>
      </c>
      <c r="R2130" s="11" t="s">
        <v>3844</v>
      </c>
      <c r="S2130" s="11" t="s">
        <v>202</v>
      </c>
      <c r="T2130" s="11">
        <v>0</v>
      </c>
    </row>
    <row r="2131" spans="1:20" x14ac:dyDescent="0.25">
      <c r="A2131" s="11">
        <v>101060501</v>
      </c>
      <c r="B2131" s="11" t="s">
        <v>3632</v>
      </c>
      <c r="C2131" s="41">
        <v>44861</v>
      </c>
      <c r="D2131" s="41">
        <v>44861</v>
      </c>
      <c r="E2131" s="11" t="s">
        <v>203</v>
      </c>
      <c r="F2131" s="11" t="s">
        <v>4075</v>
      </c>
      <c r="G2131" s="11">
        <v>107717</v>
      </c>
      <c r="H2131" s="11" t="s">
        <v>4076</v>
      </c>
      <c r="K2131" s="11">
        <v>201040509</v>
      </c>
      <c r="L2131" s="11" t="s">
        <v>3891</v>
      </c>
      <c r="M2131" s="11">
        <v>50</v>
      </c>
      <c r="N2131" s="11"/>
      <c r="O2131" s="42">
        <v>50</v>
      </c>
      <c r="P2131" s="43" t="s">
        <v>4495</v>
      </c>
      <c r="Q2131" s="11">
        <v>31056.35</v>
      </c>
      <c r="R2131" s="11" t="s">
        <v>3844</v>
      </c>
      <c r="S2131" s="11" t="s">
        <v>202</v>
      </c>
      <c r="T2131" s="11">
        <v>0</v>
      </c>
    </row>
    <row r="2132" spans="1:20" x14ac:dyDescent="0.25">
      <c r="A2132" s="11">
        <v>101060501</v>
      </c>
      <c r="B2132" s="11" t="s">
        <v>3632</v>
      </c>
      <c r="C2132" s="41">
        <v>44861</v>
      </c>
      <c r="D2132" s="41">
        <v>44861</v>
      </c>
      <c r="E2132" s="11" t="s">
        <v>203</v>
      </c>
      <c r="F2132" s="11" t="s">
        <v>4075</v>
      </c>
      <c r="G2132" s="11">
        <v>107717</v>
      </c>
      <c r="H2132" s="11" t="s">
        <v>4076</v>
      </c>
      <c r="K2132" s="11">
        <v>201040509</v>
      </c>
      <c r="L2132" s="11" t="s">
        <v>3891</v>
      </c>
      <c r="M2132" s="11">
        <v>50</v>
      </c>
      <c r="N2132" s="11"/>
      <c r="O2132" s="42">
        <v>50</v>
      </c>
      <c r="P2132" s="43" t="s">
        <v>4495</v>
      </c>
      <c r="Q2132" s="11">
        <v>31106.35</v>
      </c>
      <c r="R2132" s="11" t="s">
        <v>3844</v>
      </c>
      <c r="S2132" s="11" t="s">
        <v>202</v>
      </c>
      <c r="T2132" s="11">
        <v>0</v>
      </c>
    </row>
    <row r="2133" spans="1:20" x14ac:dyDescent="0.25">
      <c r="A2133" s="11">
        <v>101060501</v>
      </c>
      <c r="B2133" s="11" t="s">
        <v>3632</v>
      </c>
      <c r="C2133" s="41">
        <v>44861</v>
      </c>
      <c r="D2133" s="41">
        <v>44861</v>
      </c>
      <c r="E2133" s="11" t="s">
        <v>203</v>
      </c>
      <c r="F2133" s="11" t="s">
        <v>4077</v>
      </c>
      <c r="G2133" s="11">
        <v>107724</v>
      </c>
      <c r="H2133" s="11" t="s">
        <v>3915</v>
      </c>
      <c r="K2133" s="11">
        <v>201040509</v>
      </c>
      <c r="L2133" s="11" t="s">
        <v>3891</v>
      </c>
      <c r="M2133" s="11"/>
      <c r="N2133" s="11">
        <v>65</v>
      </c>
      <c r="O2133" s="42">
        <v>-65</v>
      </c>
      <c r="P2133" s="43" t="s">
        <v>4495</v>
      </c>
      <c r="Q2133" s="11">
        <v>31041.35</v>
      </c>
      <c r="R2133" s="11" t="s">
        <v>3844</v>
      </c>
      <c r="S2133" s="11" t="s">
        <v>202</v>
      </c>
      <c r="T2133" s="11">
        <v>0</v>
      </c>
    </row>
    <row r="2134" spans="1:20" x14ac:dyDescent="0.25">
      <c r="A2134" s="11">
        <v>101060501</v>
      </c>
      <c r="B2134" s="11" t="s">
        <v>3632</v>
      </c>
      <c r="C2134" s="41">
        <v>44861</v>
      </c>
      <c r="D2134" s="41">
        <v>44861</v>
      </c>
      <c r="E2134" s="11" t="s">
        <v>203</v>
      </c>
      <c r="F2134" s="11" t="s">
        <v>4078</v>
      </c>
      <c r="G2134" s="11">
        <v>107727</v>
      </c>
      <c r="H2134" s="11" t="s">
        <v>4079</v>
      </c>
      <c r="K2134" s="11">
        <v>61040704</v>
      </c>
      <c r="L2134" s="11" t="s">
        <v>3902</v>
      </c>
      <c r="M2134" s="11"/>
      <c r="N2134" s="11">
        <v>169.47</v>
      </c>
      <c r="O2134" s="42">
        <v>-169.47</v>
      </c>
      <c r="P2134" s="43" t="s">
        <v>4495</v>
      </c>
      <c r="Q2134" s="11">
        <v>30871.88</v>
      </c>
      <c r="R2134" s="11" t="s">
        <v>3844</v>
      </c>
      <c r="S2134" s="11" t="s">
        <v>202</v>
      </c>
      <c r="T2134" s="11">
        <v>0</v>
      </c>
    </row>
    <row r="2135" spans="1:20" x14ac:dyDescent="0.25">
      <c r="A2135" s="11">
        <v>101060501</v>
      </c>
      <c r="B2135" s="11" t="s">
        <v>3632</v>
      </c>
      <c r="C2135" s="41">
        <v>44861</v>
      </c>
      <c r="D2135" s="41">
        <v>44861</v>
      </c>
      <c r="E2135" s="11" t="s">
        <v>3842</v>
      </c>
      <c r="F2135" s="11" t="s">
        <v>4080</v>
      </c>
      <c r="G2135" s="11">
        <v>108376</v>
      </c>
      <c r="H2135" s="11" t="s">
        <v>4081</v>
      </c>
      <c r="K2135" s="11">
        <v>101010301</v>
      </c>
      <c r="L2135" s="11" t="s">
        <v>3843</v>
      </c>
      <c r="M2135" s="11">
        <v>50</v>
      </c>
      <c r="N2135" s="11"/>
      <c r="O2135" s="42">
        <v>50</v>
      </c>
      <c r="P2135" s="43" t="s">
        <v>4495</v>
      </c>
      <c r="Q2135" s="11">
        <v>30921.88</v>
      </c>
      <c r="R2135" s="11" t="s">
        <v>3844</v>
      </c>
      <c r="S2135" s="11" t="s">
        <v>273</v>
      </c>
      <c r="T2135" s="11">
        <v>0</v>
      </c>
    </row>
    <row r="2136" spans="1:20" x14ac:dyDescent="0.25">
      <c r="A2136" s="11">
        <v>101060501</v>
      </c>
      <c r="B2136" s="11" t="s">
        <v>3632</v>
      </c>
      <c r="C2136" s="41">
        <v>44861</v>
      </c>
      <c r="D2136" s="41">
        <v>44861</v>
      </c>
      <c r="E2136" s="11" t="s">
        <v>3842</v>
      </c>
      <c r="F2136" s="11" t="s">
        <v>4082</v>
      </c>
      <c r="G2136" s="11">
        <v>108377</v>
      </c>
      <c r="H2136" s="11" t="s">
        <v>4083</v>
      </c>
      <c r="K2136" s="11">
        <v>101010301</v>
      </c>
      <c r="L2136" s="11" t="s">
        <v>3843</v>
      </c>
      <c r="M2136" s="11">
        <v>126.92</v>
      </c>
      <c r="N2136" s="11"/>
      <c r="O2136" s="42">
        <v>126.92</v>
      </c>
      <c r="P2136" s="43" t="s">
        <v>4495</v>
      </c>
      <c r="Q2136" s="11">
        <v>31048.799999999999</v>
      </c>
      <c r="R2136" s="11" t="s">
        <v>3844</v>
      </c>
      <c r="S2136" s="11" t="s">
        <v>273</v>
      </c>
      <c r="T2136" s="11">
        <v>0</v>
      </c>
    </row>
    <row r="2137" spans="1:20" x14ac:dyDescent="0.25">
      <c r="A2137" s="11">
        <v>101060501</v>
      </c>
      <c r="B2137" s="11" t="s">
        <v>3632</v>
      </c>
      <c r="C2137" s="41">
        <v>44862</v>
      </c>
      <c r="D2137" s="41">
        <v>44862</v>
      </c>
      <c r="E2137" s="11" t="s">
        <v>3847</v>
      </c>
      <c r="F2137" s="11" t="s">
        <v>4084</v>
      </c>
      <c r="G2137" s="11">
        <v>107961</v>
      </c>
      <c r="H2137" s="11" t="s">
        <v>4085</v>
      </c>
      <c r="K2137" s="11" t="s">
        <v>3848</v>
      </c>
      <c r="L2137" s="11" t="s">
        <v>3849</v>
      </c>
      <c r="M2137" s="11">
        <v>5.9</v>
      </c>
      <c r="N2137" s="11"/>
      <c r="O2137" s="42">
        <v>5.9</v>
      </c>
      <c r="P2137" s="43" t="s">
        <v>4495</v>
      </c>
      <c r="Q2137" s="11">
        <v>31054.7</v>
      </c>
      <c r="R2137" s="11" t="s">
        <v>3844</v>
      </c>
      <c r="S2137" s="11" t="s">
        <v>273</v>
      </c>
      <c r="T2137" s="11">
        <v>0</v>
      </c>
    </row>
    <row r="2138" spans="1:20" x14ac:dyDescent="0.25">
      <c r="A2138" s="11">
        <v>101060501</v>
      </c>
      <c r="B2138" s="11" t="s">
        <v>3632</v>
      </c>
      <c r="C2138" s="41">
        <v>44862</v>
      </c>
      <c r="D2138" s="41">
        <v>44862</v>
      </c>
      <c r="E2138" s="11" t="s">
        <v>3842</v>
      </c>
      <c r="F2138" s="11" t="s">
        <v>4086</v>
      </c>
      <c r="G2138" s="11">
        <v>108379</v>
      </c>
      <c r="H2138" s="11" t="s">
        <v>4087</v>
      </c>
      <c r="K2138" s="11">
        <v>101010301</v>
      </c>
      <c r="L2138" s="11" t="s">
        <v>3843</v>
      </c>
      <c r="M2138" s="11">
        <v>65</v>
      </c>
      <c r="N2138" s="11"/>
      <c r="O2138" s="42">
        <v>65</v>
      </c>
      <c r="P2138" s="43" t="s">
        <v>4495</v>
      </c>
      <c r="Q2138" s="11">
        <v>31119.7</v>
      </c>
      <c r="R2138" s="11" t="s">
        <v>3844</v>
      </c>
      <c r="S2138" s="11" t="s">
        <v>273</v>
      </c>
      <c r="T2138" s="11">
        <v>0</v>
      </c>
    </row>
    <row r="2139" spans="1:20" x14ac:dyDescent="0.25">
      <c r="A2139" s="11">
        <v>101060501</v>
      </c>
      <c r="B2139" s="11" t="s">
        <v>3632</v>
      </c>
      <c r="C2139" s="41">
        <v>44862</v>
      </c>
      <c r="D2139" s="41">
        <v>44862</v>
      </c>
      <c r="E2139" s="11" t="s">
        <v>3842</v>
      </c>
      <c r="F2139" s="11" t="s">
        <v>4088</v>
      </c>
      <c r="G2139" s="11">
        <v>108380</v>
      </c>
      <c r="H2139" s="11" t="s">
        <v>4089</v>
      </c>
      <c r="K2139" s="11">
        <v>101010301</v>
      </c>
      <c r="L2139" s="11" t="s">
        <v>3843</v>
      </c>
      <c r="M2139" s="11">
        <v>355.5</v>
      </c>
      <c r="N2139" s="11"/>
      <c r="O2139" s="42">
        <v>355.5</v>
      </c>
      <c r="P2139" s="43" t="s">
        <v>4495</v>
      </c>
      <c r="Q2139" s="11">
        <v>31475.200000000001</v>
      </c>
      <c r="R2139" s="11" t="s">
        <v>3844</v>
      </c>
      <c r="S2139" s="11" t="s">
        <v>273</v>
      </c>
      <c r="T2139" s="11">
        <v>0</v>
      </c>
    </row>
    <row r="2140" spans="1:20" x14ac:dyDescent="0.25">
      <c r="A2140" s="11">
        <v>101060501</v>
      </c>
      <c r="B2140" s="11" t="s">
        <v>3632</v>
      </c>
      <c r="C2140" s="41">
        <v>44862</v>
      </c>
      <c r="D2140" s="41">
        <v>44862</v>
      </c>
      <c r="E2140" s="11" t="s">
        <v>3842</v>
      </c>
      <c r="F2140" s="11" t="s">
        <v>4090</v>
      </c>
      <c r="G2140" s="11">
        <v>108437</v>
      </c>
      <c r="H2140" s="11" t="s">
        <v>4091</v>
      </c>
      <c r="K2140" s="11">
        <v>101010306</v>
      </c>
      <c r="L2140" s="11" t="s">
        <v>3869</v>
      </c>
      <c r="M2140" s="11">
        <v>132</v>
      </c>
      <c r="N2140" s="11"/>
      <c r="O2140" s="42">
        <v>132</v>
      </c>
      <c r="P2140" s="43" t="s">
        <v>4495</v>
      </c>
      <c r="Q2140" s="11">
        <v>31607.200000000001</v>
      </c>
      <c r="R2140" s="11" t="s">
        <v>3844</v>
      </c>
      <c r="S2140" s="11" t="s">
        <v>273</v>
      </c>
      <c r="T2140" s="11">
        <v>0</v>
      </c>
    </row>
    <row r="2141" spans="1:20" x14ac:dyDescent="0.25">
      <c r="A2141" s="11">
        <v>101060501</v>
      </c>
      <c r="B2141" s="11" t="s">
        <v>3632</v>
      </c>
      <c r="C2141" s="41">
        <v>44862</v>
      </c>
      <c r="D2141" s="41">
        <v>44862</v>
      </c>
      <c r="E2141" s="11" t="s">
        <v>3842</v>
      </c>
      <c r="F2141" s="11" t="s">
        <v>4092</v>
      </c>
      <c r="G2141" s="11">
        <v>108438</v>
      </c>
      <c r="H2141" s="11" t="s">
        <v>4093</v>
      </c>
      <c r="K2141" s="11">
        <v>101010306</v>
      </c>
      <c r="L2141" s="11" t="s">
        <v>3869</v>
      </c>
      <c r="M2141" s="11">
        <v>1760</v>
      </c>
      <c r="N2141" s="11"/>
      <c r="O2141" s="42">
        <v>1760</v>
      </c>
      <c r="P2141" s="43" t="s">
        <v>4495</v>
      </c>
      <c r="Q2141" s="11">
        <v>33367.199999999997</v>
      </c>
      <c r="R2141" s="11" t="s">
        <v>3844</v>
      </c>
      <c r="S2141" s="11" t="s">
        <v>273</v>
      </c>
      <c r="T2141" s="11">
        <v>0</v>
      </c>
    </row>
    <row r="2142" spans="1:20" x14ac:dyDescent="0.25">
      <c r="A2142" s="11">
        <v>101060501</v>
      </c>
      <c r="B2142" s="11" t="s">
        <v>3632</v>
      </c>
      <c r="C2142" s="41">
        <v>44863</v>
      </c>
      <c r="D2142" s="41">
        <v>44923</v>
      </c>
      <c r="E2142" s="11" t="s">
        <v>42</v>
      </c>
      <c r="F2142" s="11" t="s">
        <v>4094</v>
      </c>
      <c r="G2142" s="11">
        <v>107868</v>
      </c>
      <c r="H2142" s="11" t="s">
        <v>4095</v>
      </c>
      <c r="K2142" s="11" t="s">
        <v>3879</v>
      </c>
      <c r="L2142" s="11" t="s">
        <v>3880</v>
      </c>
      <c r="M2142" s="11">
        <v>682</v>
      </c>
      <c r="N2142" s="11"/>
      <c r="O2142" s="42">
        <v>682</v>
      </c>
      <c r="P2142" s="43" t="s">
        <v>4495</v>
      </c>
      <c r="Q2142" s="11">
        <v>34049.199999999997</v>
      </c>
      <c r="R2142" s="11" t="s">
        <v>3844</v>
      </c>
      <c r="S2142" s="11" t="s">
        <v>273</v>
      </c>
      <c r="T2142" s="11">
        <v>0</v>
      </c>
    </row>
    <row r="2143" spans="1:20" x14ac:dyDescent="0.25">
      <c r="A2143" s="11">
        <v>101060501</v>
      </c>
      <c r="B2143" s="11" t="s">
        <v>3632</v>
      </c>
      <c r="C2143" s="41">
        <v>44863</v>
      </c>
      <c r="D2143" s="41">
        <v>44923</v>
      </c>
      <c r="E2143" s="11" t="s">
        <v>42</v>
      </c>
      <c r="F2143" s="11" t="s">
        <v>4096</v>
      </c>
      <c r="G2143" s="11">
        <v>107870</v>
      </c>
      <c r="H2143" s="11" t="s">
        <v>4097</v>
      </c>
      <c r="K2143" s="11" t="s">
        <v>3879</v>
      </c>
      <c r="L2143" s="11" t="s">
        <v>3880</v>
      </c>
      <c r="M2143" s="11">
        <v>700</v>
      </c>
      <c r="N2143" s="11"/>
      <c r="O2143" s="42">
        <v>700</v>
      </c>
      <c r="P2143" s="43" t="s">
        <v>4495</v>
      </c>
      <c r="Q2143" s="11">
        <v>34749.199999999997</v>
      </c>
      <c r="R2143" s="11" t="s">
        <v>3844</v>
      </c>
      <c r="S2143" s="11" t="s">
        <v>273</v>
      </c>
      <c r="T2143" s="11">
        <v>0</v>
      </c>
    </row>
    <row r="2144" spans="1:20" x14ac:dyDescent="0.25">
      <c r="A2144" s="11">
        <v>101060501</v>
      </c>
      <c r="B2144" s="11" t="s">
        <v>3632</v>
      </c>
      <c r="C2144" s="41">
        <v>44863</v>
      </c>
      <c r="D2144" s="41">
        <v>44923</v>
      </c>
      <c r="E2144" s="11" t="s">
        <v>3847</v>
      </c>
      <c r="F2144" s="11" t="s">
        <v>4098</v>
      </c>
      <c r="G2144" s="11">
        <v>107872</v>
      </c>
      <c r="H2144" s="11" t="s">
        <v>4099</v>
      </c>
      <c r="K2144" s="11" t="s">
        <v>3879</v>
      </c>
      <c r="L2144" s="11" t="s">
        <v>3880</v>
      </c>
      <c r="M2144" s="11">
        <v>4640</v>
      </c>
      <c r="N2144" s="11"/>
      <c r="O2144" s="42">
        <v>4640</v>
      </c>
      <c r="P2144" s="43" t="s">
        <v>4495</v>
      </c>
      <c r="Q2144" s="11">
        <v>39389.199999999997</v>
      </c>
      <c r="R2144" s="11" t="s">
        <v>3844</v>
      </c>
      <c r="S2144" s="11" t="s">
        <v>273</v>
      </c>
      <c r="T2144" s="11">
        <v>0</v>
      </c>
    </row>
    <row r="2145" spans="1:22" x14ac:dyDescent="0.25">
      <c r="A2145" s="11">
        <v>101060501</v>
      </c>
      <c r="B2145" s="11" t="s">
        <v>3632</v>
      </c>
      <c r="C2145" s="41">
        <v>44865</v>
      </c>
      <c r="D2145" s="41">
        <v>44865</v>
      </c>
      <c r="E2145" s="11" t="s">
        <v>3847</v>
      </c>
      <c r="F2145" s="11" t="s">
        <v>4100</v>
      </c>
      <c r="G2145" s="11">
        <v>108180</v>
      </c>
      <c r="H2145" s="11" t="s">
        <v>4101</v>
      </c>
      <c r="K2145" s="11" t="s">
        <v>3848</v>
      </c>
      <c r="L2145" s="11" t="s">
        <v>3849</v>
      </c>
      <c r="M2145" s="11">
        <v>231.78</v>
      </c>
      <c r="N2145" s="11"/>
      <c r="O2145" s="42">
        <v>231.78</v>
      </c>
      <c r="P2145" s="43" t="s">
        <v>4495</v>
      </c>
      <c r="Q2145" s="11">
        <v>39620.980000000003</v>
      </c>
      <c r="R2145" s="11" t="s">
        <v>3844</v>
      </c>
      <c r="S2145" s="11" t="s">
        <v>273</v>
      </c>
      <c r="T2145" s="11">
        <v>0</v>
      </c>
    </row>
    <row r="2146" spans="1:22" x14ac:dyDescent="0.25">
      <c r="A2146" s="11">
        <v>101060501</v>
      </c>
      <c r="B2146" s="11" t="s">
        <v>3632</v>
      </c>
      <c r="C2146" s="41">
        <v>44865</v>
      </c>
      <c r="D2146" s="41">
        <v>44865</v>
      </c>
      <c r="E2146" s="11" t="s">
        <v>42</v>
      </c>
      <c r="F2146" s="11" t="s">
        <v>4102</v>
      </c>
      <c r="G2146" s="11">
        <v>108202</v>
      </c>
      <c r="H2146" s="11" t="s">
        <v>4103</v>
      </c>
      <c r="J2146" s="11" t="s">
        <v>38</v>
      </c>
      <c r="K2146" s="11" t="s">
        <v>3908</v>
      </c>
      <c r="L2146" s="11" t="s">
        <v>3909</v>
      </c>
      <c r="M2146" s="11">
        <v>247</v>
      </c>
      <c r="N2146" s="11"/>
      <c r="O2146" s="42">
        <v>247</v>
      </c>
      <c r="P2146" s="43" t="s">
        <v>4495</v>
      </c>
      <c r="Q2146" s="11">
        <v>39867.980000000003</v>
      </c>
      <c r="R2146" s="11" t="s">
        <v>3844</v>
      </c>
      <c r="S2146" s="11" t="s">
        <v>273</v>
      </c>
      <c r="T2146" s="11">
        <v>0</v>
      </c>
      <c r="V2146" s="11" t="s">
        <v>41</v>
      </c>
    </row>
    <row r="2147" spans="1:22" x14ac:dyDescent="0.25">
      <c r="A2147" s="11">
        <v>101060501</v>
      </c>
      <c r="B2147" s="11" t="s">
        <v>3632</v>
      </c>
      <c r="C2147" s="41">
        <v>44865</v>
      </c>
      <c r="D2147" s="41">
        <v>44865</v>
      </c>
      <c r="E2147" s="11" t="s">
        <v>203</v>
      </c>
      <c r="F2147" s="11" t="s">
        <v>4104</v>
      </c>
      <c r="G2147" s="11">
        <v>108340</v>
      </c>
      <c r="H2147" s="11" t="s">
        <v>4105</v>
      </c>
      <c r="K2147" s="11" t="s">
        <v>4106</v>
      </c>
      <c r="L2147" s="11" t="s">
        <v>4107</v>
      </c>
      <c r="M2147" s="11">
        <v>1250</v>
      </c>
      <c r="N2147" s="11"/>
      <c r="O2147" s="42">
        <v>1250</v>
      </c>
      <c r="P2147" s="43" t="s">
        <v>4495</v>
      </c>
      <c r="Q2147" s="11">
        <v>41117.980000000003</v>
      </c>
      <c r="R2147" s="11" t="s">
        <v>3844</v>
      </c>
      <c r="S2147" s="11" t="s">
        <v>202</v>
      </c>
      <c r="T2147" s="11">
        <v>0</v>
      </c>
    </row>
    <row r="2148" spans="1:22" x14ac:dyDescent="0.25">
      <c r="A2148" s="11">
        <v>101060501</v>
      </c>
      <c r="B2148" s="11" t="s">
        <v>3632</v>
      </c>
      <c r="C2148" s="41">
        <v>44866</v>
      </c>
      <c r="D2148" s="41">
        <v>44866</v>
      </c>
      <c r="E2148" s="11" t="s">
        <v>42</v>
      </c>
      <c r="F2148" s="11" t="s">
        <v>4108</v>
      </c>
      <c r="G2148" s="11">
        <v>108291</v>
      </c>
      <c r="H2148" s="11" t="s">
        <v>4109</v>
      </c>
      <c r="K2148" s="11" t="s">
        <v>4019</v>
      </c>
      <c r="L2148" s="11" t="s">
        <v>4020</v>
      </c>
      <c r="M2148" s="11">
        <v>40</v>
      </c>
      <c r="N2148" s="11"/>
      <c r="O2148" s="42">
        <v>40</v>
      </c>
      <c r="P2148" s="43" t="s">
        <v>4495</v>
      </c>
      <c r="Q2148" s="11">
        <v>41157.980000000003</v>
      </c>
      <c r="R2148" s="11" t="s">
        <v>3844</v>
      </c>
      <c r="S2148" s="11" t="s">
        <v>273</v>
      </c>
      <c r="T2148" s="11">
        <v>0</v>
      </c>
    </row>
    <row r="2149" spans="1:22" x14ac:dyDescent="0.25">
      <c r="A2149" s="11">
        <v>101060501</v>
      </c>
      <c r="B2149" s="11" t="s">
        <v>3632</v>
      </c>
      <c r="C2149" s="41">
        <v>44866</v>
      </c>
      <c r="D2149" s="41">
        <v>44866</v>
      </c>
      <c r="E2149" s="11" t="s">
        <v>42</v>
      </c>
      <c r="F2149" s="11" t="s">
        <v>4110</v>
      </c>
      <c r="G2149" s="11">
        <v>108292</v>
      </c>
      <c r="H2149" s="11" t="s">
        <v>4111</v>
      </c>
      <c r="K2149" s="11" t="s">
        <v>4019</v>
      </c>
      <c r="L2149" s="11" t="s">
        <v>4020</v>
      </c>
      <c r="M2149" s="11">
        <v>2681.92</v>
      </c>
      <c r="N2149" s="11"/>
      <c r="O2149" s="42">
        <v>2681.92</v>
      </c>
      <c r="P2149" s="43" t="s">
        <v>4495</v>
      </c>
      <c r="Q2149" s="11">
        <v>43839.9</v>
      </c>
      <c r="R2149" s="11" t="s">
        <v>3844</v>
      </c>
      <c r="S2149" s="11" t="s">
        <v>273</v>
      </c>
      <c r="T2149" s="11">
        <v>0</v>
      </c>
    </row>
    <row r="2150" spans="1:22" x14ac:dyDescent="0.25">
      <c r="A2150" s="11">
        <v>101060501</v>
      </c>
      <c r="B2150" s="11" t="s">
        <v>3632</v>
      </c>
      <c r="C2150" s="41">
        <v>44866</v>
      </c>
      <c r="D2150" s="41">
        <v>44866</v>
      </c>
      <c r="E2150" s="11" t="s">
        <v>3847</v>
      </c>
      <c r="F2150" s="11" t="s">
        <v>4112</v>
      </c>
      <c r="G2150" s="11">
        <v>108715</v>
      </c>
      <c r="H2150" s="11" t="s">
        <v>4113</v>
      </c>
      <c r="K2150" s="11" t="s">
        <v>3848</v>
      </c>
      <c r="L2150" s="11" t="s">
        <v>3849</v>
      </c>
      <c r="M2150" s="11">
        <v>416.73</v>
      </c>
      <c r="N2150" s="11"/>
      <c r="O2150" s="42">
        <v>416.73</v>
      </c>
      <c r="P2150" s="43" t="s">
        <v>4495</v>
      </c>
      <c r="Q2150" s="11">
        <v>44256.63</v>
      </c>
      <c r="R2150" s="11" t="s">
        <v>3844</v>
      </c>
      <c r="S2150" s="11" t="s">
        <v>273</v>
      </c>
      <c r="T2150" s="11">
        <v>0</v>
      </c>
    </row>
    <row r="2151" spans="1:22" x14ac:dyDescent="0.25">
      <c r="A2151" s="11">
        <v>101060501</v>
      </c>
      <c r="B2151" s="11" t="s">
        <v>3632</v>
      </c>
      <c r="C2151" s="41">
        <v>44866</v>
      </c>
      <c r="D2151" s="41">
        <v>44866</v>
      </c>
      <c r="E2151" s="11" t="s">
        <v>42</v>
      </c>
      <c r="F2151" s="11" t="s">
        <v>4114</v>
      </c>
      <c r="G2151" s="11">
        <v>109010</v>
      </c>
      <c r="H2151" s="11" t="s">
        <v>4115</v>
      </c>
      <c r="J2151" s="11" t="s">
        <v>38</v>
      </c>
      <c r="K2151" s="11" t="s">
        <v>3865</v>
      </c>
      <c r="L2151" s="11" t="s">
        <v>3866</v>
      </c>
      <c r="M2151" s="11">
        <v>75.95</v>
      </c>
      <c r="N2151" s="11"/>
      <c r="O2151" s="42">
        <v>75.95</v>
      </c>
      <c r="P2151" s="43" t="s">
        <v>4495</v>
      </c>
      <c r="Q2151" s="11">
        <v>44332.58</v>
      </c>
      <c r="R2151" s="11" t="s">
        <v>3844</v>
      </c>
      <c r="S2151" s="11" t="s">
        <v>273</v>
      </c>
      <c r="T2151" s="11">
        <v>0</v>
      </c>
      <c r="V2151" s="11" t="s">
        <v>41</v>
      </c>
    </row>
    <row r="2152" spans="1:22" x14ac:dyDescent="0.25">
      <c r="A2152" s="11">
        <v>101060501</v>
      </c>
      <c r="B2152" s="11" t="s">
        <v>3632</v>
      </c>
      <c r="C2152" s="41">
        <v>44866</v>
      </c>
      <c r="D2152" s="41">
        <v>44866</v>
      </c>
      <c r="E2152" s="11" t="s">
        <v>203</v>
      </c>
      <c r="F2152" s="11" t="s">
        <v>4116</v>
      </c>
      <c r="G2152" s="11">
        <v>109020</v>
      </c>
      <c r="H2152" s="11" t="s">
        <v>4117</v>
      </c>
      <c r="J2152" s="11" t="s">
        <v>38</v>
      </c>
      <c r="K2152" s="11" t="s">
        <v>3865</v>
      </c>
      <c r="L2152" s="11" t="s">
        <v>3866</v>
      </c>
      <c r="M2152" s="11">
        <v>6</v>
      </c>
      <c r="N2152" s="11"/>
      <c r="O2152" s="42">
        <v>6</v>
      </c>
      <c r="P2152" s="43" t="s">
        <v>4495</v>
      </c>
      <c r="Q2152" s="11">
        <v>44338.58</v>
      </c>
      <c r="R2152" s="11" t="s">
        <v>3844</v>
      </c>
      <c r="S2152" s="11" t="s">
        <v>273</v>
      </c>
      <c r="T2152" s="11">
        <v>0</v>
      </c>
      <c r="V2152" s="11" t="s">
        <v>41</v>
      </c>
    </row>
    <row r="2153" spans="1:22" x14ac:dyDescent="0.25">
      <c r="A2153" s="11">
        <v>101060501</v>
      </c>
      <c r="B2153" s="11" t="s">
        <v>3632</v>
      </c>
      <c r="C2153" s="41">
        <v>44866</v>
      </c>
      <c r="D2153" s="41">
        <v>44866</v>
      </c>
      <c r="E2153" s="11" t="s">
        <v>203</v>
      </c>
      <c r="F2153" s="11" t="s">
        <v>4118</v>
      </c>
      <c r="G2153" s="11">
        <v>110128</v>
      </c>
      <c r="H2153" s="11" t="s">
        <v>4119</v>
      </c>
      <c r="K2153" s="11" t="s">
        <v>4120</v>
      </c>
      <c r="L2153" s="11" t="s">
        <v>4121</v>
      </c>
      <c r="M2153" s="11">
        <v>400</v>
      </c>
      <c r="N2153" s="11"/>
      <c r="O2153" s="42">
        <v>400</v>
      </c>
      <c r="P2153" s="43" t="s">
        <v>4495</v>
      </c>
      <c r="Q2153" s="11">
        <v>44738.58</v>
      </c>
      <c r="R2153" s="11" t="s">
        <v>3844</v>
      </c>
      <c r="S2153" s="11" t="s">
        <v>273</v>
      </c>
      <c r="T2153" s="11">
        <v>0</v>
      </c>
    </row>
    <row r="2154" spans="1:22" x14ac:dyDescent="0.25">
      <c r="A2154" s="11">
        <v>101060501</v>
      </c>
      <c r="B2154" s="11" t="s">
        <v>3632</v>
      </c>
      <c r="C2154" s="41">
        <v>44866</v>
      </c>
      <c r="D2154" s="41">
        <v>44866</v>
      </c>
      <c r="E2154" s="11" t="s">
        <v>203</v>
      </c>
      <c r="F2154" s="11" t="s">
        <v>4122</v>
      </c>
      <c r="G2154" s="11">
        <v>110129</v>
      </c>
      <c r="H2154" s="11" t="s">
        <v>4123</v>
      </c>
      <c r="K2154" s="11" t="s">
        <v>4120</v>
      </c>
      <c r="L2154" s="11" t="s">
        <v>4121</v>
      </c>
      <c r="M2154" s="11">
        <v>80</v>
      </c>
      <c r="N2154" s="11"/>
      <c r="O2154" s="42">
        <v>80</v>
      </c>
      <c r="P2154" s="43" t="s">
        <v>4495</v>
      </c>
      <c r="Q2154" s="11">
        <v>44818.58</v>
      </c>
      <c r="R2154" s="11" t="s">
        <v>3844</v>
      </c>
      <c r="S2154" s="11" t="s">
        <v>273</v>
      </c>
      <c r="T2154" s="11">
        <v>0</v>
      </c>
    </row>
    <row r="2155" spans="1:22" x14ac:dyDescent="0.25">
      <c r="A2155" s="11">
        <v>101060501</v>
      </c>
      <c r="B2155" s="11" t="s">
        <v>3632</v>
      </c>
      <c r="C2155" s="41">
        <v>44867</v>
      </c>
      <c r="D2155" s="41">
        <v>44928</v>
      </c>
      <c r="E2155" s="11" t="s">
        <v>42</v>
      </c>
      <c r="F2155" s="11" t="s">
        <v>4124</v>
      </c>
      <c r="G2155" s="11">
        <v>108311</v>
      </c>
      <c r="H2155" s="11" t="s">
        <v>4125</v>
      </c>
      <c r="K2155" s="11" t="s">
        <v>3871</v>
      </c>
      <c r="L2155" s="11" t="s">
        <v>3872</v>
      </c>
      <c r="M2155" s="11">
        <v>448</v>
      </c>
      <c r="N2155" s="11"/>
      <c r="O2155" s="42">
        <v>448</v>
      </c>
      <c r="P2155" s="43" t="s">
        <v>4495</v>
      </c>
      <c r="Q2155" s="11">
        <v>45266.58</v>
      </c>
      <c r="R2155" s="11" t="s">
        <v>3844</v>
      </c>
      <c r="S2155" s="11" t="s">
        <v>273</v>
      </c>
      <c r="T2155" s="11">
        <v>0</v>
      </c>
    </row>
    <row r="2156" spans="1:22" x14ac:dyDescent="0.25">
      <c r="A2156" s="11">
        <v>101060501</v>
      </c>
      <c r="B2156" s="11" t="s">
        <v>3632</v>
      </c>
      <c r="C2156" s="41">
        <v>44867</v>
      </c>
      <c r="D2156" s="41">
        <v>44928</v>
      </c>
      <c r="E2156" s="11" t="s">
        <v>42</v>
      </c>
      <c r="F2156" s="11" t="s">
        <v>4126</v>
      </c>
      <c r="G2156" s="11">
        <v>108315</v>
      </c>
      <c r="H2156" s="11" t="s">
        <v>4127</v>
      </c>
      <c r="K2156" s="11" t="s">
        <v>3845</v>
      </c>
      <c r="L2156" s="11" t="s">
        <v>3846</v>
      </c>
      <c r="M2156" s="11">
        <v>606.29999999999995</v>
      </c>
      <c r="N2156" s="11"/>
      <c r="O2156" s="42">
        <v>606.29999999999995</v>
      </c>
      <c r="P2156" s="43" t="s">
        <v>4495</v>
      </c>
      <c r="Q2156" s="11">
        <v>45872.88</v>
      </c>
      <c r="R2156" s="11" t="s">
        <v>3844</v>
      </c>
      <c r="S2156" s="11" t="s">
        <v>273</v>
      </c>
      <c r="T2156" s="11">
        <v>0</v>
      </c>
    </row>
    <row r="2157" spans="1:22" x14ac:dyDescent="0.25">
      <c r="A2157" s="11">
        <v>101060501</v>
      </c>
      <c r="B2157" s="11" t="s">
        <v>3632</v>
      </c>
      <c r="C2157" s="41">
        <v>44867</v>
      </c>
      <c r="D2157" s="41">
        <v>44928</v>
      </c>
      <c r="E2157" s="11" t="s">
        <v>3847</v>
      </c>
      <c r="F2157" s="11" t="s">
        <v>4128</v>
      </c>
      <c r="G2157" s="11">
        <v>108317</v>
      </c>
      <c r="H2157" s="11" t="s">
        <v>4129</v>
      </c>
      <c r="K2157" s="11" t="s">
        <v>3871</v>
      </c>
      <c r="L2157" s="11" t="s">
        <v>3872</v>
      </c>
      <c r="M2157" s="11">
        <v>3230</v>
      </c>
      <c r="N2157" s="11"/>
      <c r="O2157" s="42">
        <v>3230</v>
      </c>
      <c r="P2157" s="43" t="s">
        <v>4495</v>
      </c>
      <c r="Q2157" s="11">
        <v>49102.879999999997</v>
      </c>
      <c r="R2157" s="11" t="s">
        <v>3844</v>
      </c>
      <c r="S2157" s="11" t="s">
        <v>273</v>
      </c>
      <c r="T2157" s="11">
        <v>0</v>
      </c>
    </row>
    <row r="2158" spans="1:22" x14ac:dyDescent="0.25">
      <c r="A2158" s="11">
        <v>101060501</v>
      </c>
      <c r="B2158" s="11" t="s">
        <v>3632</v>
      </c>
      <c r="C2158" s="41">
        <v>44872</v>
      </c>
      <c r="D2158" s="41">
        <v>44932</v>
      </c>
      <c r="E2158" s="11" t="s">
        <v>42</v>
      </c>
      <c r="F2158" s="11" t="s">
        <v>4130</v>
      </c>
      <c r="G2158" s="11">
        <v>108313</v>
      </c>
      <c r="H2158" s="11" t="s">
        <v>4131</v>
      </c>
      <c r="K2158" s="11" t="s">
        <v>3871</v>
      </c>
      <c r="L2158" s="11" t="s">
        <v>3872</v>
      </c>
      <c r="M2158" s="11">
        <v>255</v>
      </c>
      <c r="N2158" s="11"/>
      <c r="O2158" s="42">
        <v>255</v>
      </c>
      <c r="P2158" s="43" t="s">
        <v>4495</v>
      </c>
      <c r="Q2158" s="11">
        <v>49357.88</v>
      </c>
      <c r="R2158" s="11" t="s">
        <v>3844</v>
      </c>
      <c r="S2158" s="11" t="s">
        <v>273</v>
      </c>
      <c r="T2158" s="11">
        <v>0</v>
      </c>
    </row>
    <row r="2159" spans="1:22" x14ac:dyDescent="0.25">
      <c r="A2159" s="11">
        <v>101060501</v>
      </c>
      <c r="B2159" s="11" t="s">
        <v>3632</v>
      </c>
      <c r="C2159" s="41">
        <v>44872</v>
      </c>
      <c r="D2159" s="41">
        <v>44932</v>
      </c>
      <c r="E2159" s="11" t="s">
        <v>42</v>
      </c>
      <c r="F2159" s="11" t="s">
        <v>4132</v>
      </c>
      <c r="G2159" s="11">
        <v>108314</v>
      </c>
      <c r="H2159" s="11" t="s">
        <v>4133</v>
      </c>
      <c r="K2159" s="11" t="s">
        <v>3871</v>
      </c>
      <c r="L2159" s="11" t="s">
        <v>3872</v>
      </c>
      <c r="M2159" s="11">
        <v>544.08000000000004</v>
      </c>
      <c r="N2159" s="11"/>
      <c r="O2159" s="42">
        <v>544.08000000000004</v>
      </c>
      <c r="P2159" s="43" t="s">
        <v>4495</v>
      </c>
      <c r="Q2159" s="11">
        <v>49901.96</v>
      </c>
      <c r="R2159" s="11" t="s">
        <v>3844</v>
      </c>
      <c r="S2159" s="11" t="s">
        <v>273</v>
      </c>
      <c r="T2159" s="11">
        <v>0</v>
      </c>
    </row>
    <row r="2160" spans="1:22" x14ac:dyDescent="0.25">
      <c r="A2160" s="11">
        <v>101060501</v>
      </c>
      <c r="B2160" s="11" t="s">
        <v>3632</v>
      </c>
      <c r="C2160" s="41">
        <v>44872</v>
      </c>
      <c r="D2160" s="41">
        <v>44932</v>
      </c>
      <c r="E2160" s="11" t="s">
        <v>3847</v>
      </c>
      <c r="F2160" s="11" t="s">
        <v>4134</v>
      </c>
      <c r="G2160" s="11">
        <v>108316</v>
      </c>
      <c r="H2160" s="11" t="s">
        <v>4135</v>
      </c>
      <c r="K2160" s="11" t="s">
        <v>3871</v>
      </c>
      <c r="L2160" s="11" t="s">
        <v>3872</v>
      </c>
      <c r="M2160" s="11">
        <v>1281.5999999999999</v>
      </c>
      <c r="N2160" s="11"/>
      <c r="O2160" s="42">
        <v>1281.5999999999999</v>
      </c>
      <c r="P2160" s="43" t="s">
        <v>4495</v>
      </c>
      <c r="Q2160" s="11">
        <v>51183.56</v>
      </c>
      <c r="R2160" s="11" t="s">
        <v>3844</v>
      </c>
      <c r="S2160" s="11" t="s">
        <v>273</v>
      </c>
      <c r="T2160" s="11">
        <v>0</v>
      </c>
    </row>
    <row r="2161" spans="1:22" x14ac:dyDescent="0.25">
      <c r="A2161" s="11">
        <v>101060501</v>
      </c>
      <c r="B2161" s="11" t="s">
        <v>3632</v>
      </c>
      <c r="C2161" s="41">
        <v>44873</v>
      </c>
      <c r="D2161" s="41">
        <v>44935</v>
      </c>
      <c r="E2161" s="11" t="s">
        <v>42</v>
      </c>
      <c r="F2161" s="11" t="s">
        <v>4136</v>
      </c>
      <c r="G2161" s="11">
        <v>108329</v>
      </c>
      <c r="H2161" s="11" t="s">
        <v>4137</v>
      </c>
      <c r="K2161" s="11" t="s">
        <v>3879</v>
      </c>
      <c r="L2161" s="11" t="s">
        <v>3880</v>
      </c>
      <c r="M2161" s="11">
        <v>255</v>
      </c>
      <c r="N2161" s="11"/>
      <c r="O2161" s="42">
        <v>255</v>
      </c>
      <c r="P2161" s="43" t="s">
        <v>4495</v>
      </c>
      <c r="Q2161" s="11">
        <v>51438.559999999998</v>
      </c>
      <c r="R2161" s="11" t="s">
        <v>3844</v>
      </c>
      <c r="S2161" s="11" t="s">
        <v>273</v>
      </c>
      <c r="T2161" s="11">
        <v>0</v>
      </c>
    </row>
    <row r="2162" spans="1:22" x14ac:dyDescent="0.25">
      <c r="A2162" s="11">
        <v>101060501</v>
      </c>
      <c r="B2162" s="11" t="s">
        <v>3632</v>
      </c>
      <c r="C2162" s="41">
        <v>44873</v>
      </c>
      <c r="D2162" s="41">
        <v>44873</v>
      </c>
      <c r="E2162" s="11" t="s">
        <v>122</v>
      </c>
      <c r="F2162" s="11" t="s">
        <v>4138</v>
      </c>
      <c r="G2162" s="11">
        <v>109026</v>
      </c>
      <c r="H2162" s="11" t="s">
        <v>3941</v>
      </c>
      <c r="K2162" s="11" t="s">
        <v>3871</v>
      </c>
      <c r="L2162" s="11" t="s">
        <v>3872</v>
      </c>
      <c r="M2162" s="11"/>
      <c r="N2162" s="11">
        <v>178.57</v>
      </c>
      <c r="O2162" s="42">
        <v>-178.57</v>
      </c>
      <c r="P2162" s="43" t="s">
        <v>4495</v>
      </c>
      <c r="Q2162" s="11">
        <v>51259.99</v>
      </c>
      <c r="R2162" s="11" t="s">
        <v>3844</v>
      </c>
      <c r="S2162" s="11" t="s">
        <v>273</v>
      </c>
      <c r="T2162" s="11">
        <v>0</v>
      </c>
    </row>
    <row r="2163" spans="1:22" x14ac:dyDescent="0.25">
      <c r="A2163" s="11">
        <v>101060501</v>
      </c>
      <c r="B2163" s="11" t="s">
        <v>3632</v>
      </c>
      <c r="C2163" s="41">
        <v>44873</v>
      </c>
      <c r="D2163" s="41">
        <v>44873</v>
      </c>
      <c r="E2163" s="11" t="s">
        <v>122</v>
      </c>
      <c r="F2163" s="11" t="s">
        <v>4139</v>
      </c>
      <c r="G2163" s="11">
        <v>109027</v>
      </c>
      <c r="H2163" s="11" t="s">
        <v>3941</v>
      </c>
      <c r="K2163" s="11" t="s">
        <v>3871</v>
      </c>
      <c r="L2163" s="11" t="s">
        <v>3872</v>
      </c>
      <c r="M2163" s="11"/>
      <c r="N2163" s="11">
        <v>119.51</v>
      </c>
      <c r="O2163" s="42">
        <v>-119.51</v>
      </c>
      <c r="P2163" s="43" t="s">
        <v>4495</v>
      </c>
      <c r="Q2163" s="11">
        <v>51140.480000000003</v>
      </c>
      <c r="R2163" s="11" t="s">
        <v>3844</v>
      </c>
      <c r="S2163" s="11" t="s">
        <v>273</v>
      </c>
      <c r="T2163" s="11">
        <v>0</v>
      </c>
    </row>
    <row r="2164" spans="1:22" x14ac:dyDescent="0.25">
      <c r="A2164" s="11">
        <v>101060501</v>
      </c>
      <c r="B2164" s="11" t="s">
        <v>3632</v>
      </c>
      <c r="C2164" s="41">
        <v>44873</v>
      </c>
      <c r="D2164" s="41">
        <v>44873</v>
      </c>
      <c r="E2164" s="11" t="s">
        <v>3842</v>
      </c>
      <c r="F2164" s="11" t="s">
        <v>4140</v>
      </c>
      <c r="G2164" s="11">
        <v>109193</v>
      </c>
      <c r="H2164" s="11" t="s">
        <v>4141</v>
      </c>
      <c r="K2164" s="11">
        <v>101010301</v>
      </c>
      <c r="L2164" s="11" t="s">
        <v>3843</v>
      </c>
      <c r="M2164" s="11">
        <v>65</v>
      </c>
      <c r="N2164" s="11"/>
      <c r="O2164" s="42">
        <v>65</v>
      </c>
      <c r="P2164" s="43" t="s">
        <v>4495</v>
      </c>
      <c r="Q2164" s="11">
        <v>51205.48</v>
      </c>
      <c r="R2164" s="11" t="s">
        <v>3844</v>
      </c>
      <c r="S2164" s="11" t="s">
        <v>273</v>
      </c>
      <c r="T2164" s="11">
        <v>0</v>
      </c>
    </row>
    <row r="2165" spans="1:22" x14ac:dyDescent="0.25">
      <c r="A2165" s="11">
        <v>101060501</v>
      </c>
      <c r="B2165" s="11" t="s">
        <v>3632</v>
      </c>
      <c r="C2165" s="41">
        <v>44873</v>
      </c>
      <c r="D2165" s="41">
        <v>44873</v>
      </c>
      <c r="E2165" s="11" t="s">
        <v>3842</v>
      </c>
      <c r="F2165" s="11" t="s">
        <v>4142</v>
      </c>
      <c r="G2165" s="11">
        <v>109195</v>
      </c>
      <c r="H2165" s="11" t="s">
        <v>4143</v>
      </c>
      <c r="K2165" s="11">
        <v>101010301</v>
      </c>
      <c r="L2165" s="11" t="s">
        <v>3843</v>
      </c>
      <c r="M2165" s="11">
        <v>574.82000000000005</v>
      </c>
      <c r="N2165" s="11"/>
      <c r="O2165" s="42">
        <v>574.82000000000005</v>
      </c>
      <c r="P2165" s="43" t="s">
        <v>4495</v>
      </c>
      <c r="Q2165" s="11">
        <v>51780.3</v>
      </c>
      <c r="R2165" s="11" t="s">
        <v>3844</v>
      </c>
      <c r="S2165" s="11" t="s">
        <v>273</v>
      </c>
      <c r="T2165" s="11">
        <v>0</v>
      </c>
    </row>
    <row r="2166" spans="1:22" x14ac:dyDescent="0.25">
      <c r="A2166" s="11">
        <v>101060501</v>
      </c>
      <c r="B2166" s="11" t="s">
        <v>3632</v>
      </c>
      <c r="C2166" s="41">
        <v>44873</v>
      </c>
      <c r="D2166" s="41">
        <v>44873</v>
      </c>
      <c r="E2166" s="11" t="s">
        <v>3842</v>
      </c>
      <c r="F2166" s="11" t="s">
        <v>4144</v>
      </c>
      <c r="G2166" s="11">
        <v>109200</v>
      </c>
      <c r="H2166" s="11" t="s">
        <v>4145</v>
      </c>
      <c r="K2166" s="11">
        <v>101010301</v>
      </c>
      <c r="L2166" s="11" t="s">
        <v>3843</v>
      </c>
      <c r="M2166" s="11">
        <v>65</v>
      </c>
      <c r="N2166" s="11"/>
      <c r="O2166" s="42">
        <v>65</v>
      </c>
      <c r="P2166" s="43" t="s">
        <v>4495</v>
      </c>
      <c r="Q2166" s="11">
        <v>51845.3</v>
      </c>
      <c r="R2166" s="11" t="s">
        <v>267</v>
      </c>
      <c r="S2166" s="11" t="s">
        <v>273</v>
      </c>
      <c r="T2166" s="11">
        <v>0</v>
      </c>
    </row>
    <row r="2167" spans="1:22" x14ac:dyDescent="0.25">
      <c r="A2167" s="11">
        <v>101060501</v>
      </c>
      <c r="B2167" s="11" t="s">
        <v>3632</v>
      </c>
      <c r="C2167" s="41">
        <v>44873</v>
      </c>
      <c r="D2167" s="41">
        <v>44873</v>
      </c>
      <c r="E2167" s="11" t="s">
        <v>3842</v>
      </c>
      <c r="F2167" s="11" t="s">
        <v>4146</v>
      </c>
      <c r="G2167" s="11">
        <v>109201</v>
      </c>
      <c r="H2167" s="11" t="s">
        <v>4147</v>
      </c>
      <c r="K2167" s="11">
        <v>101010301</v>
      </c>
      <c r="L2167" s="11" t="s">
        <v>3843</v>
      </c>
      <c r="M2167" s="11">
        <v>3922.86</v>
      </c>
      <c r="N2167" s="11"/>
      <c r="O2167" s="42">
        <v>3922.86</v>
      </c>
      <c r="P2167" s="43" t="s">
        <v>4495</v>
      </c>
      <c r="Q2167" s="11">
        <v>55768.160000000003</v>
      </c>
      <c r="R2167" s="11" t="s">
        <v>4148</v>
      </c>
      <c r="S2167" s="11" t="s">
        <v>273</v>
      </c>
      <c r="T2167" s="11">
        <v>0</v>
      </c>
    </row>
    <row r="2168" spans="1:22" x14ac:dyDescent="0.25">
      <c r="A2168" s="11">
        <v>101060501</v>
      </c>
      <c r="B2168" s="11" t="s">
        <v>3632</v>
      </c>
      <c r="C2168" s="41">
        <v>44873</v>
      </c>
      <c r="D2168" s="41">
        <v>44873</v>
      </c>
      <c r="E2168" s="11" t="s">
        <v>3847</v>
      </c>
      <c r="F2168" s="11" t="s">
        <v>4149</v>
      </c>
      <c r="G2168" s="11">
        <v>109206</v>
      </c>
      <c r="H2168" s="11" t="s">
        <v>4150</v>
      </c>
      <c r="K2168" s="11" t="s">
        <v>3848</v>
      </c>
      <c r="L2168" s="11" t="s">
        <v>3849</v>
      </c>
      <c r="M2168" s="11">
        <v>141.22</v>
      </c>
      <c r="N2168" s="11"/>
      <c r="O2168" s="42">
        <v>141.22</v>
      </c>
      <c r="P2168" s="43" t="s">
        <v>4495</v>
      </c>
      <c r="Q2168" s="11">
        <v>55909.38</v>
      </c>
      <c r="R2168" s="11" t="s">
        <v>3844</v>
      </c>
      <c r="S2168" s="11" t="s">
        <v>273</v>
      </c>
      <c r="T2168" s="11">
        <v>0</v>
      </c>
    </row>
    <row r="2169" spans="1:22" x14ac:dyDescent="0.25">
      <c r="A2169" s="11">
        <v>101060501</v>
      </c>
      <c r="B2169" s="11" t="s">
        <v>3632</v>
      </c>
      <c r="C2169" s="41">
        <v>44873</v>
      </c>
      <c r="D2169" s="41">
        <v>44873</v>
      </c>
      <c r="E2169" s="11" t="s">
        <v>3847</v>
      </c>
      <c r="F2169" s="11" t="s">
        <v>4151</v>
      </c>
      <c r="G2169" s="11">
        <v>109207</v>
      </c>
      <c r="H2169" s="11" t="s">
        <v>4152</v>
      </c>
      <c r="K2169" s="11" t="s">
        <v>3848</v>
      </c>
      <c r="L2169" s="11" t="s">
        <v>3849</v>
      </c>
      <c r="M2169" s="11">
        <v>830.28</v>
      </c>
      <c r="N2169" s="11"/>
      <c r="O2169" s="42">
        <v>830.28</v>
      </c>
      <c r="P2169" s="43" t="s">
        <v>4495</v>
      </c>
      <c r="Q2169" s="11">
        <v>56739.66</v>
      </c>
      <c r="R2169" s="11" t="s">
        <v>3844</v>
      </c>
      <c r="S2169" s="11" t="s">
        <v>273</v>
      </c>
      <c r="T2169" s="11">
        <v>0</v>
      </c>
    </row>
    <row r="2170" spans="1:22" x14ac:dyDescent="0.25">
      <c r="A2170" s="11">
        <v>101060501</v>
      </c>
      <c r="B2170" s="11" t="s">
        <v>3632</v>
      </c>
      <c r="C2170" s="41">
        <v>44875</v>
      </c>
      <c r="D2170" s="41">
        <v>44921</v>
      </c>
      <c r="E2170" s="11" t="s">
        <v>42</v>
      </c>
      <c r="F2170" s="11" t="s">
        <v>4153</v>
      </c>
      <c r="G2170" s="11">
        <v>108723</v>
      </c>
      <c r="H2170" s="11" t="s">
        <v>4154</v>
      </c>
      <c r="K2170" s="11" t="s">
        <v>3898</v>
      </c>
      <c r="L2170" s="11" t="s">
        <v>3899</v>
      </c>
      <c r="M2170" s="11">
        <v>52</v>
      </c>
      <c r="N2170" s="11"/>
      <c r="O2170" s="42">
        <v>52</v>
      </c>
      <c r="P2170" s="43" t="s">
        <v>4495</v>
      </c>
      <c r="Q2170" s="11">
        <v>56791.66</v>
      </c>
      <c r="R2170" s="11" t="s">
        <v>3844</v>
      </c>
      <c r="S2170" s="11" t="s">
        <v>273</v>
      </c>
      <c r="T2170" s="11">
        <v>0</v>
      </c>
    </row>
    <row r="2171" spans="1:22" x14ac:dyDescent="0.25">
      <c r="A2171" s="11">
        <v>101060501</v>
      </c>
      <c r="B2171" s="11" t="s">
        <v>3632</v>
      </c>
      <c r="C2171" s="41">
        <v>44875</v>
      </c>
      <c r="D2171" s="41">
        <v>44935</v>
      </c>
      <c r="E2171" s="11" t="s">
        <v>42</v>
      </c>
      <c r="F2171" s="11" t="s">
        <v>4155</v>
      </c>
      <c r="G2171" s="11">
        <v>108724</v>
      </c>
      <c r="H2171" s="11" t="s">
        <v>4156</v>
      </c>
      <c r="K2171" s="11" t="s">
        <v>3871</v>
      </c>
      <c r="L2171" s="11" t="s">
        <v>3872</v>
      </c>
      <c r="M2171" s="11">
        <v>1500</v>
      </c>
      <c r="N2171" s="11"/>
      <c r="O2171" s="42">
        <v>1500</v>
      </c>
      <c r="P2171" s="43" t="s">
        <v>4495</v>
      </c>
      <c r="Q2171" s="11">
        <v>58291.66</v>
      </c>
      <c r="R2171" s="11" t="s">
        <v>3844</v>
      </c>
      <c r="S2171" s="11" t="s">
        <v>273</v>
      </c>
      <c r="T2171" s="11">
        <v>0</v>
      </c>
    </row>
    <row r="2172" spans="1:22" x14ac:dyDescent="0.25">
      <c r="A2172" s="11">
        <v>101060501</v>
      </c>
      <c r="B2172" s="11" t="s">
        <v>3632</v>
      </c>
      <c r="C2172" s="41">
        <v>44876</v>
      </c>
      <c r="D2172" s="41">
        <v>44884</v>
      </c>
      <c r="E2172" s="11" t="s">
        <v>42</v>
      </c>
      <c r="F2172" s="11" t="s">
        <v>4157</v>
      </c>
      <c r="G2172" s="11">
        <v>108923</v>
      </c>
      <c r="H2172" s="11" t="s">
        <v>4158</v>
      </c>
      <c r="J2172" s="11" t="s">
        <v>38</v>
      </c>
      <c r="K2172" s="11" t="s">
        <v>3871</v>
      </c>
      <c r="L2172" s="11" t="s">
        <v>3872</v>
      </c>
      <c r="M2172" s="11">
        <v>5.33</v>
      </c>
      <c r="N2172" s="11"/>
      <c r="O2172" s="42">
        <v>5.33</v>
      </c>
      <c r="P2172" s="43" t="s">
        <v>4495</v>
      </c>
      <c r="Q2172" s="11">
        <v>58296.99</v>
      </c>
      <c r="R2172" s="11" t="s">
        <v>3844</v>
      </c>
      <c r="S2172" s="11" t="s">
        <v>273</v>
      </c>
      <c r="T2172" s="11">
        <v>0</v>
      </c>
      <c r="V2172" s="11" t="s">
        <v>41</v>
      </c>
    </row>
    <row r="2173" spans="1:22" x14ac:dyDescent="0.25">
      <c r="A2173" s="11">
        <v>101060501</v>
      </c>
      <c r="B2173" s="11" t="s">
        <v>3632</v>
      </c>
      <c r="C2173" s="41">
        <v>44878</v>
      </c>
      <c r="D2173" s="41">
        <v>44938</v>
      </c>
      <c r="E2173" s="11" t="s">
        <v>42</v>
      </c>
      <c r="F2173" s="11" t="s">
        <v>4159</v>
      </c>
      <c r="G2173" s="11">
        <v>108937</v>
      </c>
      <c r="H2173" s="11" t="s">
        <v>4160</v>
      </c>
      <c r="J2173" s="11" t="s">
        <v>38</v>
      </c>
      <c r="K2173" s="11" t="s">
        <v>3852</v>
      </c>
      <c r="L2173" s="11" t="s">
        <v>3853</v>
      </c>
      <c r="M2173" s="11">
        <v>21.25</v>
      </c>
      <c r="N2173" s="11"/>
      <c r="O2173" s="42">
        <v>21.25</v>
      </c>
      <c r="P2173" s="43" t="s">
        <v>4495</v>
      </c>
      <c r="Q2173" s="11">
        <v>58318.239999999998</v>
      </c>
      <c r="R2173" s="11" t="s">
        <v>3844</v>
      </c>
      <c r="S2173" s="11" t="s">
        <v>273</v>
      </c>
      <c r="T2173" s="11">
        <v>0</v>
      </c>
      <c r="V2173" s="11" t="s">
        <v>41</v>
      </c>
    </row>
    <row r="2174" spans="1:22" x14ac:dyDescent="0.25">
      <c r="A2174" s="11">
        <v>101060501</v>
      </c>
      <c r="B2174" s="11" t="s">
        <v>3632</v>
      </c>
      <c r="C2174" s="41">
        <v>44878</v>
      </c>
      <c r="D2174" s="41">
        <v>44938</v>
      </c>
      <c r="E2174" s="11" t="s">
        <v>42</v>
      </c>
      <c r="F2174" s="11" t="s">
        <v>4161</v>
      </c>
      <c r="G2174" s="11">
        <v>108939</v>
      </c>
      <c r="H2174" s="11" t="s">
        <v>4162</v>
      </c>
      <c r="J2174" s="11" t="s">
        <v>38</v>
      </c>
      <c r="K2174" s="11" t="s">
        <v>3852</v>
      </c>
      <c r="L2174" s="11" t="s">
        <v>3853</v>
      </c>
      <c r="M2174" s="11">
        <v>75.599999999999994</v>
      </c>
      <c r="N2174" s="11"/>
      <c r="O2174" s="42">
        <v>75.599999999999994</v>
      </c>
      <c r="P2174" s="43" t="s">
        <v>4495</v>
      </c>
      <c r="Q2174" s="11">
        <v>58393.84</v>
      </c>
      <c r="R2174" s="11" t="s">
        <v>3844</v>
      </c>
      <c r="S2174" s="11" t="s">
        <v>273</v>
      </c>
      <c r="T2174" s="11">
        <v>0</v>
      </c>
      <c r="V2174" s="11" t="s">
        <v>41</v>
      </c>
    </row>
    <row r="2175" spans="1:22" x14ac:dyDescent="0.25">
      <c r="A2175" s="11">
        <v>101060501</v>
      </c>
      <c r="B2175" s="11" t="s">
        <v>3632</v>
      </c>
      <c r="C2175" s="41">
        <v>44878</v>
      </c>
      <c r="D2175" s="41">
        <v>44938</v>
      </c>
      <c r="E2175" s="11" t="s">
        <v>42</v>
      </c>
      <c r="F2175" s="11" t="s">
        <v>4163</v>
      </c>
      <c r="G2175" s="11">
        <v>108940</v>
      </c>
      <c r="H2175" s="11" t="s">
        <v>4164</v>
      </c>
      <c r="K2175" s="11" t="s">
        <v>3852</v>
      </c>
      <c r="L2175" s="11" t="s">
        <v>3853</v>
      </c>
      <c r="M2175" s="11">
        <v>47.68</v>
      </c>
      <c r="N2175" s="11"/>
      <c r="O2175" s="42">
        <v>47.68</v>
      </c>
      <c r="P2175" s="43" t="s">
        <v>4495</v>
      </c>
      <c r="Q2175" s="11">
        <v>58441.52</v>
      </c>
      <c r="R2175" s="11" t="s">
        <v>3844</v>
      </c>
      <c r="S2175" s="11" t="s">
        <v>273</v>
      </c>
      <c r="T2175" s="11">
        <v>0</v>
      </c>
    </row>
    <row r="2176" spans="1:22" x14ac:dyDescent="0.25">
      <c r="A2176" s="11">
        <v>101060501</v>
      </c>
      <c r="B2176" s="11" t="s">
        <v>3632</v>
      </c>
      <c r="C2176" s="41">
        <v>44878</v>
      </c>
      <c r="D2176" s="41">
        <v>44938</v>
      </c>
      <c r="E2176" s="11" t="s">
        <v>42</v>
      </c>
      <c r="F2176" s="11" t="s">
        <v>4165</v>
      </c>
      <c r="G2176" s="11">
        <v>108942</v>
      </c>
      <c r="H2176" s="11" t="s">
        <v>4166</v>
      </c>
      <c r="J2176" s="11" t="s">
        <v>38</v>
      </c>
      <c r="K2176" s="11" t="s">
        <v>3852</v>
      </c>
      <c r="L2176" s="11" t="s">
        <v>3853</v>
      </c>
      <c r="M2176" s="11">
        <v>27.45</v>
      </c>
      <c r="N2176" s="11"/>
      <c r="O2176" s="42">
        <v>27.45</v>
      </c>
      <c r="P2176" s="43" t="s">
        <v>4495</v>
      </c>
      <c r="Q2176" s="11">
        <v>58468.97</v>
      </c>
      <c r="R2176" s="11" t="s">
        <v>3844</v>
      </c>
      <c r="S2176" s="11" t="s">
        <v>273</v>
      </c>
      <c r="T2176" s="11">
        <v>0</v>
      </c>
      <c r="V2176" s="11" t="s">
        <v>41</v>
      </c>
    </row>
    <row r="2177" spans="1:22" x14ac:dyDescent="0.25">
      <c r="A2177" s="11">
        <v>101060501</v>
      </c>
      <c r="B2177" s="11" t="s">
        <v>3632</v>
      </c>
      <c r="C2177" s="41">
        <v>44878</v>
      </c>
      <c r="D2177" s="41">
        <v>44938</v>
      </c>
      <c r="E2177" s="11" t="s">
        <v>42</v>
      </c>
      <c r="F2177" s="11" t="s">
        <v>4167</v>
      </c>
      <c r="G2177" s="11">
        <v>108943</v>
      </c>
      <c r="H2177" s="11" t="s">
        <v>4168</v>
      </c>
      <c r="J2177" s="11" t="s">
        <v>38</v>
      </c>
      <c r="K2177" s="11" t="s">
        <v>3852</v>
      </c>
      <c r="L2177" s="11" t="s">
        <v>3853</v>
      </c>
      <c r="M2177" s="11">
        <v>45.22</v>
      </c>
      <c r="N2177" s="11"/>
      <c r="O2177" s="42">
        <v>45.22</v>
      </c>
      <c r="P2177" s="43" t="s">
        <v>4495</v>
      </c>
      <c r="Q2177" s="11">
        <v>58514.19</v>
      </c>
      <c r="R2177" s="11" t="s">
        <v>3844</v>
      </c>
      <c r="S2177" s="11" t="s">
        <v>273</v>
      </c>
      <c r="T2177" s="11">
        <v>0</v>
      </c>
      <c r="V2177" s="11" t="s">
        <v>41</v>
      </c>
    </row>
    <row r="2178" spans="1:22" x14ac:dyDescent="0.25">
      <c r="A2178" s="11">
        <v>101060501</v>
      </c>
      <c r="B2178" s="11" t="s">
        <v>3632</v>
      </c>
      <c r="C2178" s="41">
        <v>44878</v>
      </c>
      <c r="D2178" s="41">
        <v>44938</v>
      </c>
      <c r="E2178" s="11" t="s">
        <v>42</v>
      </c>
      <c r="F2178" s="11" t="s">
        <v>4169</v>
      </c>
      <c r="G2178" s="11">
        <v>108945</v>
      </c>
      <c r="H2178" s="11" t="s">
        <v>4170</v>
      </c>
      <c r="J2178" s="11" t="s">
        <v>38</v>
      </c>
      <c r="K2178" s="11" t="s">
        <v>3852</v>
      </c>
      <c r="L2178" s="11" t="s">
        <v>3853</v>
      </c>
      <c r="M2178" s="11">
        <v>75.34</v>
      </c>
      <c r="N2178" s="11"/>
      <c r="O2178" s="42">
        <v>75.34</v>
      </c>
      <c r="P2178" s="43" t="s">
        <v>4495</v>
      </c>
      <c r="Q2178" s="11">
        <v>58589.53</v>
      </c>
      <c r="R2178" s="11" t="s">
        <v>3844</v>
      </c>
      <c r="S2178" s="11" t="s">
        <v>273</v>
      </c>
      <c r="T2178" s="11">
        <v>0</v>
      </c>
      <c r="V2178" s="11" t="s">
        <v>41</v>
      </c>
    </row>
    <row r="2179" spans="1:22" x14ac:dyDescent="0.25">
      <c r="A2179" s="11">
        <v>101060501</v>
      </c>
      <c r="B2179" s="11" t="s">
        <v>3632</v>
      </c>
      <c r="C2179" s="41">
        <v>44878</v>
      </c>
      <c r="D2179" s="41">
        <v>44938</v>
      </c>
      <c r="E2179" s="11" t="s">
        <v>42</v>
      </c>
      <c r="F2179" s="11" t="s">
        <v>4171</v>
      </c>
      <c r="G2179" s="11">
        <v>108952</v>
      </c>
      <c r="H2179" s="11" t="s">
        <v>4172</v>
      </c>
      <c r="J2179" s="11" t="s">
        <v>38</v>
      </c>
      <c r="K2179" s="11" t="s">
        <v>3852</v>
      </c>
      <c r="L2179" s="11" t="s">
        <v>3853</v>
      </c>
      <c r="M2179" s="11">
        <v>53.17</v>
      </c>
      <c r="N2179" s="11"/>
      <c r="O2179" s="42">
        <v>53.17</v>
      </c>
      <c r="P2179" s="43" t="s">
        <v>4495</v>
      </c>
      <c r="Q2179" s="11">
        <v>58642.7</v>
      </c>
      <c r="R2179" s="11" t="s">
        <v>4173</v>
      </c>
      <c r="S2179" s="11" t="s">
        <v>273</v>
      </c>
      <c r="T2179" s="11">
        <v>0</v>
      </c>
      <c r="V2179" s="11" t="s">
        <v>41</v>
      </c>
    </row>
    <row r="2180" spans="1:22" x14ac:dyDescent="0.25">
      <c r="A2180" s="11">
        <v>101060501</v>
      </c>
      <c r="B2180" s="11" t="s">
        <v>3632</v>
      </c>
      <c r="C2180" s="41">
        <v>44878</v>
      </c>
      <c r="D2180" s="41">
        <v>44938</v>
      </c>
      <c r="E2180" s="11" t="s">
        <v>42</v>
      </c>
      <c r="F2180" s="11" t="s">
        <v>4174</v>
      </c>
      <c r="G2180" s="11">
        <v>108954</v>
      </c>
      <c r="H2180" s="11" t="s">
        <v>4175</v>
      </c>
      <c r="J2180" s="11" t="s">
        <v>38</v>
      </c>
      <c r="K2180" s="11" t="s">
        <v>3852</v>
      </c>
      <c r="L2180" s="11" t="s">
        <v>3853</v>
      </c>
      <c r="M2180" s="11">
        <v>29.28</v>
      </c>
      <c r="N2180" s="11"/>
      <c r="O2180" s="42">
        <v>29.28</v>
      </c>
      <c r="P2180" s="43" t="s">
        <v>4495</v>
      </c>
      <c r="Q2180" s="11">
        <v>58671.98</v>
      </c>
      <c r="R2180" s="11" t="s">
        <v>3844</v>
      </c>
      <c r="S2180" s="11" t="s">
        <v>273</v>
      </c>
      <c r="T2180" s="11">
        <v>0</v>
      </c>
      <c r="V2180" s="11" t="s">
        <v>41</v>
      </c>
    </row>
    <row r="2181" spans="1:22" x14ac:dyDescent="0.25">
      <c r="A2181" s="11">
        <v>101060501</v>
      </c>
      <c r="B2181" s="11" t="s">
        <v>3632</v>
      </c>
      <c r="C2181" s="41">
        <v>44878</v>
      </c>
      <c r="D2181" s="41">
        <v>44938</v>
      </c>
      <c r="E2181" s="11" t="s">
        <v>42</v>
      </c>
      <c r="F2181" s="11" t="s">
        <v>4176</v>
      </c>
      <c r="G2181" s="11">
        <v>108957</v>
      </c>
      <c r="H2181" s="11" t="s">
        <v>4177</v>
      </c>
      <c r="J2181" s="11" t="s">
        <v>38</v>
      </c>
      <c r="K2181" s="11" t="s">
        <v>3852</v>
      </c>
      <c r="L2181" s="11" t="s">
        <v>3853</v>
      </c>
      <c r="M2181" s="11">
        <v>21.25</v>
      </c>
      <c r="N2181" s="11"/>
      <c r="O2181" s="42">
        <v>21.25</v>
      </c>
      <c r="P2181" s="43" t="s">
        <v>4495</v>
      </c>
      <c r="Q2181" s="11">
        <v>58693.23</v>
      </c>
      <c r="R2181" s="11" t="s">
        <v>3844</v>
      </c>
      <c r="S2181" s="11" t="s">
        <v>273</v>
      </c>
      <c r="T2181" s="11">
        <v>0</v>
      </c>
      <c r="V2181" s="11" t="s">
        <v>41</v>
      </c>
    </row>
    <row r="2182" spans="1:22" x14ac:dyDescent="0.25">
      <c r="A2182" s="11">
        <v>101060501</v>
      </c>
      <c r="B2182" s="11" t="s">
        <v>3632</v>
      </c>
      <c r="C2182" s="41">
        <v>44878</v>
      </c>
      <c r="D2182" s="41">
        <v>44938</v>
      </c>
      <c r="E2182" s="11" t="s">
        <v>42</v>
      </c>
      <c r="F2182" s="11" t="s">
        <v>4178</v>
      </c>
      <c r="G2182" s="11">
        <v>108960</v>
      </c>
      <c r="H2182" s="11" t="s">
        <v>4179</v>
      </c>
      <c r="J2182" s="11" t="s">
        <v>38</v>
      </c>
      <c r="K2182" s="11" t="s">
        <v>3852</v>
      </c>
      <c r="L2182" s="11" t="s">
        <v>3853</v>
      </c>
      <c r="M2182" s="11">
        <v>132.52000000000001</v>
      </c>
      <c r="N2182" s="11"/>
      <c r="O2182" s="42">
        <v>132.52000000000001</v>
      </c>
      <c r="P2182" s="43" t="s">
        <v>4495</v>
      </c>
      <c r="Q2182" s="11">
        <v>58825.75</v>
      </c>
      <c r="R2182" s="11" t="s">
        <v>4180</v>
      </c>
      <c r="S2182" s="11" t="s">
        <v>273</v>
      </c>
      <c r="T2182" s="11">
        <v>0</v>
      </c>
      <c r="V2182" s="11" t="s">
        <v>41</v>
      </c>
    </row>
    <row r="2183" spans="1:22" x14ac:dyDescent="0.25">
      <c r="A2183" s="11">
        <v>101060501</v>
      </c>
      <c r="B2183" s="11" t="s">
        <v>3632</v>
      </c>
      <c r="C2183" s="41">
        <v>44879</v>
      </c>
      <c r="D2183" s="41">
        <v>44887</v>
      </c>
      <c r="E2183" s="11" t="s">
        <v>42</v>
      </c>
      <c r="F2183" s="11" t="s">
        <v>4181</v>
      </c>
      <c r="G2183" s="11">
        <v>108922</v>
      </c>
      <c r="H2183" s="11" t="s">
        <v>4182</v>
      </c>
      <c r="J2183" s="11" t="s">
        <v>38</v>
      </c>
      <c r="K2183" s="11" t="s">
        <v>3871</v>
      </c>
      <c r="L2183" s="11" t="s">
        <v>3872</v>
      </c>
      <c r="M2183" s="11">
        <v>0.33</v>
      </c>
      <c r="N2183" s="11"/>
      <c r="O2183" s="42">
        <v>0.33</v>
      </c>
      <c r="P2183" s="43" t="s">
        <v>4495</v>
      </c>
      <c r="Q2183" s="11">
        <v>58826.080000000002</v>
      </c>
      <c r="R2183" s="11" t="s">
        <v>3844</v>
      </c>
      <c r="S2183" s="11" t="s">
        <v>273</v>
      </c>
      <c r="T2183" s="11">
        <v>0</v>
      </c>
      <c r="V2183" s="11" t="s">
        <v>41</v>
      </c>
    </row>
    <row r="2184" spans="1:22" x14ac:dyDescent="0.25">
      <c r="A2184" s="11">
        <v>101060501</v>
      </c>
      <c r="B2184" s="11" t="s">
        <v>3632</v>
      </c>
      <c r="C2184" s="41">
        <v>44879</v>
      </c>
      <c r="D2184" s="41">
        <v>44879</v>
      </c>
      <c r="E2184" s="11" t="s">
        <v>3842</v>
      </c>
      <c r="F2184" s="11" t="s">
        <v>4183</v>
      </c>
      <c r="G2184" s="11">
        <v>109229</v>
      </c>
      <c r="H2184" s="11" t="s">
        <v>4141</v>
      </c>
      <c r="K2184" s="11">
        <v>101010301</v>
      </c>
      <c r="L2184" s="11" t="s">
        <v>3843</v>
      </c>
      <c r="M2184" s="11">
        <v>50</v>
      </c>
      <c r="N2184" s="11"/>
      <c r="O2184" s="42">
        <v>50</v>
      </c>
      <c r="P2184" s="43" t="s">
        <v>4495</v>
      </c>
      <c r="Q2184" s="11">
        <v>58876.08</v>
      </c>
      <c r="R2184" s="11" t="s">
        <v>3844</v>
      </c>
      <c r="S2184" s="11" t="s">
        <v>273</v>
      </c>
      <c r="T2184" s="11">
        <v>0</v>
      </c>
    </row>
    <row r="2185" spans="1:22" x14ac:dyDescent="0.25">
      <c r="A2185" s="11">
        <v>101060501</v>
      </c>
      <c r="B2185" s="11" t="s">
        <v>3632</v>
      </c>
      <c r="C2185" s="41">
        <v>44879</v>
      </c>
      <c r="D2185" s="41">
        <v>44879</v>
      </c>
      <c r="E2185" s="11" t="s">
        <v>3842</v>
      </c>
      <c r="F2185" s="11" t="s">
        <v>4184</v>
      </c>
      <c r="G2185" s="11">
        <v>109231</v>
      </c>
      <c r="H2185" s="11" t="s">
        <v>4143</v>
      </c>
      <c r="K2185" s="11">
        <v>101010301</v>
      </c>
      <c r="L2185" s="11" t="s">
        <v>3843</v>
      </c>
      <c r="M2185" s="11">
        <v>153.28</v>
      </c>
      <c r="N2185" s="11"/>
      <c r="O2185" s="42">
        <v>153.28</v>
      </c>
      <c r="P2185" s="43" t="s">
        <v>4495</v>
      </c>
      <c r="Q2185" s="11">
        <v>59029.36</v>
      </c>
      <c r="R2185" s="11" t="s">
        <v>3844</v>
      </c>
      <c r="S2185" s="11" t="s">
        <v>273</v>
      </c>
      <c r="T2185" s="11">
        <v>0</v>
      </c>
    </row>
    <row r="2186" spans="1:22" x14ac:dyDescent="0.25">
      <c r="A2186" s="11">
        <v>101060501</v>
      </c>
      <c r="B2186" s="11" t="s">
        <v>3632</v>
      </c>
      <c r="C2186" s="41">
        <v>44879</v>
      </c>
      <c r="D2186" s="41">
        <v>44879</v>
      </c>
      <c r="E2186" s="11" t="s">
        <v>3847</v>
      </c>
      <c r="F2186" s="11" t="s">
        <v>4185</v>
      </c>
      <c r="G2186" s="11">
        <v>109232</v>
      </c>
      <c r="H2186" s="11" t="s">
        <v>4186</v>
      </c>
      <c r="K2186" s="11" t="s">
        <v>3848</v>
      </c>
      <c r="L2186" s="11" t="s">
        <v>3849</v>
      </c>
      <c r="M2186" s="11">
        <v>41.86</v>
      </c>
      <c r="N2186" s="11"/>
      <c r="O2186" s="42">
        <v>41.86</v>
      </c>
      <c r="P2186" s="43" t="s">
        <v>4495</v>
      </c>
      <c r="Q2186" s="11">
        <v>59071.22</v>
      </c>
      <c r="R2186" s="11" t="s">
        <v>3844</v>
      </c>
      <c r="S2186" s="11" t="s">
        <v>273</v>
      </c>
      <c r="T2186" s="11">
        <v>0</v>
      </c>
    </row>
    <row r="2187" spans="1:22" x14ac:dyDescent="0.25">
      <c r="A2187" s="11">
        <v>101060501</v>
      </c>
      <c r="B2187" s="11" t="s">
        <v>3632</v>
      </c>
      <c r="C2187" s="41">
        <v>44879</v>
      </c>
      <c r="D2187" s="41">
        <v>44879</v>
      </c>
      <c r="E2187" s="11" t="s">
        <v>3842</v>
      </c>
      <c r="F2187" s="11" t="s">
        <v>4187</v>
      </c>
      <c r="G2187" s="11">
        <v>109234</v>
      </c>
      <c r="H2187" s="11" t="s">
        <v>4188</v>
      </c>
      <c r="K2187" s="11">
        <v>101010301</v>
      </c>
      <c r="L2187" s="11" t="s">
        <v>3843</v>
      </c>
      <c r="M2187" s="11">
        <v>65</v>
      </c>
      <c r="N2187" s="11"/>
      <c r="O2187" s="42">
        <v>65</v>
      </c>
      <c r="P2187" s="43" t="s">
        <v>4495</v>
      </c>
      <c r="Q2187" s="11">
        <v>59136.22</v>
      </c>
      <c r="R2187" s="11" t="s">
        <v>3844</v>
      </c>
      <c r="S2187" s="11" t="s">
        <v>273</v>
      </c>
      <c r="T2187" s="11">
        <v>0</v>
      </c>
    </row>
    <row r="2188" spans="1:22" x14ac:dyDescent="0.25">
      <c r="A2188" s="11">
        <v>101060501</v>
      </c>
      <c r="B2188" s="11" t="s">
        <v>3632</v>
      </c>
      <c r="C2188" s="41">
        <v>44879</v>
      </c>
      <c r="D2188" s="41">
        <v>44879</v>
      </c>
      <c r="E2188" s="11" t="s">
        <v>3842</v>
      </c>
      <c r="F2188" s="11" t="s">
        <v>4189</v>
      </c>
      <c r="G2188" s="11">
        <v>109235</v>
      </c>
      <c r="H2188" s="11" t="s">
        <v>4190</v>
      </c>
      <c r="K2188" s="11">
        <v>101010301</v>
      </c>
      <c r="L2188" s="11" t="s">
        <v>3843</v>
      </c>
      <c r="M2188" s="11">
        <v>1591.96</v>
      </c>
      <c r="N2188" s="11"/>
      <c r="O2188" s="42">
        <v>1591.96</v>
      </c>
      <c r="P2188" s="43" t="s">
        <v>4495</v>
      </c>
      <c r="Q2188" s="11">
        <v>60728.18</v>
      </c>
      <c r="R2188" s="11" t="s">
        <v>3844</v>
      </c>
      <c r="S2188" s="11" t="s">
        <v>273</v>
      </c>
      <c r="T2188" s="11">
        <v>0</v>
      </c>
    </row>
    <row r="2189" spans="1:22" x14ac:dyDescent="0.25">
      <c r="A2189" s="11">
        <v>101060501</v>
      </c>
      <c r="B2189" s="11" t="s">
        <v>3632</v>
      </c>
      <c r="C2189" s="41">
        <v>44879</v>
      </c>
      <c r="D2189" s="41">
        <v>44879</v>
      </c>
      <c r="E2189" s="11" t="s">
        <v>3842</v>
      </c>
      <c r="F2189" s="11" t="s">
        <v>4191</v>
      </c>
      <c r="G2189" s="11">
        <v>109237</v>
      </c>
      <c r="H2189" s="11" t="s">
        <v>4192</v>
      </c>
      <c r="K2189" s="11">
        <v>101010301</v>
      </c>
      <c r="L2189" s="11" t="s">
        <v>3843</v>
      </c>
      <c r="M2189" s="11">
        <v>65</v>
      </c>
      <c r="N2189" s="11"/>
      <c r="O2189" s="42">
        <v>65</v>
      </c>
      <c r="P2189" s="43" t="s">
        <v>4495</v>
      </c>
      <c r="Q2189" s="11">
        <v>60793.18</v>
      </c>
      <c r="R2189" s="11" t="s">
        <v>267</v>
      </c>
      <c r="S2189" s="11" t="s">
        <v>273</v>
      </c>
      <c r="T2189" s="11">
        <v>0</v>
      </c>
    </row>
    <row r="2190" spans="1:22" x14ac:dyDescent="0.25">
      <c r="A2190" s="11">
        <v>101060501</v>
      </c>
      <c r="B2190" s="11" t="s">
        <v>3632</v>
      </c>
      <c r="C2190" s="41">
        <v>44879</v>
      </c>
      <c r="D2190" s="41">
        <v>44879</v>
      </c>
      <c r="E2190" s="11" t="s">
        <v>3842</v>
      </c>
      <c r="F2190" s="11" t="s">
        <v>4193</v>
      </c>
      <c r="G2190" s="11">
        <v>109238</v>
      </c>
      <c r="H2190" s="11" t="s">
        <v>4194</v>
      </c>
      <c r="K2190" s="11">
        <v>101010301</v>
      </c>
      <c r="L2190" s="11" t="s">
        <v>3843</v>
      </c>
      <c r="M2190" s="11">
        <v>1115.8499999999999</v>
      </c>
      <c r="N2190" s="11"/>
      <c r="O2190" s="42">
        <v>1115.8499999999999</v>
      </c>
      <c r="P2190" s="43" t="s">
        <v>4495</v>
      </c>
      <c r="Q2190" s="11">
        <v>61909.03</v>
      </c>
      <c r="R2190" s="11" t="s">
        <v>4195</v>
      </c>
      <c r="S2190" s="11" t="s">
        <v>273</v>
      </c>
      <c r="T2190" s="11">
        <v>0</v>
      </c>
    </row>
    <row r="2191" spans="1:22" x14ac:dyDescent="0.25">
      <c r="A2191" s="11">
        <v>101060501</v>
      </c>
      <c r="B2191" s="11" t="s">
        <v>3632</v>
      </c>
      <c r="C2191" s="41">
        <v>44881</v>
      </c>
      <c r="D2191" s="41">
        <v>44881</v>
      </c>
      <c r="E2191" s="11" t="s">
        <v>42</v>
      </c>
      <c r="F2191" s="11" t="s">
        <v>4196</v>
      </c>
      <c r="G2191" s="11">
        <v>109487</v>
      </c>
      <c r="H2191" s="11" t="s">
        <v>4197</v>
      </c>
      <c r="J2191" s="11" t="s">
        <v>38</v>
      </c>
      <c r="K2191" s="11" t="s">
        <v>3881</v>
      </c>
      <c r="L2191" s="11" t="s">
        <v>3882</v>
      </c>
      <c r="M2191" s="11">
        <v>26</v>
      </c>
      <c r="N2191" s="11"/>
      <c r="O2191" s="42">
        <v>26</v>
      </c>
      <c r="P2191" s="43" t="s">
        <v>4495</v>
      </c>
      <c r="Q2191" s="11">
        <v>61935.03</v>
      </c>
      <c r="R2191" s="11" t="s">
        <v>3844</v>
      </c>
      <c r="S2191" s="11" t="s">
        <v>273</v>
      </c>
      <c r="T2191" s="11">
        <v>0</v>
      </c>
      <c r="V2191" s="11" t="s">
        <v>41</v>
      </c>
    </row>
    <row r="2192" spans="1:22" x14ac:dyDescent="0.25">
      <c r="A2192" s="11">
        <v>101060501</v>
      </c>
      <c r="B2192" s="11" t="s">
        <v>3632</v>
      </c>
      <c r="C2192" s="41">
        <v>44882</v>
      </c>
      <c r="D2192" s="41">
        <v>44882</v>
      </c>
      <c r="E2192" s="11" t="s">
        <v>42</v>
      </c>
      <c r="F2192" s="11" t="s">
        <v>4198</v>
      </c>
      <c r="G2192" s="11">
        <v>108714</v>
      </c>
      <c r="H2192" s="11" t="s">
        <v>4199</v>
      </c>
      <c r="J2192" s="11" t="s">
        <v>38</v>
      </c>
      <c r="K2192" s="11" t="s">
        <v>4200</v>
      </c>
      <c r="L2192" s="11" t="s">
        <v>4201</v>
      </c>
      <c r="M2192" s="11">
        <v>486.51</v>
      </c>
      <c r="N2192" s="11"/>
      <c r="O2192" s="42">
        <v>486.51</v>
      </c>
      <c r="P2192" s="43" t="s">
        <v>4495</v>
      </c>
      <c r="Q2192" s="11">
        <v>62421.54</v>
      </c>
      <c r="R2192" s="11" t="s">
        <v>3844</v>
      </c>
      <c r="S2192" s="11" t="s">
        <v>273</v>
      </c>
      <c r="T2192" s="11">
        <v>0</v>
      </c>
      <c r="V2192" s="11" t="s">
        <v>41</v>
      </c>
    </row>
    <row r="2193" spans="1:22" x14ac:dyDescent="0.25">
      <c r="A2193" s="11">
        <v>101060501</v>
      </c>
      <c r="B2193" s="11" t="s">
        <v>3632</v>
      </c>
      <c r="C2193" s="41">
        <v>44882</v>
      </c>
      <c r="D2193" s="41">
        <v>44882</v>
      </c>
      <c r="E2193" s="11" t="s">
        <v>3847</v>
      </c>
      <c r="F2193" s="11" t="s">
        <v>4202</v>
      </c>
      <c r="G2193" s="11">
        <v>108763</v>
      </c>
      <c r="H2193" s="11" t="s">
        <v>4203</v>
      </c>
      <c r="K2193" s="11" t="s">
        <v>3859</v>
      </c>
      <c r="L2193" s="11" t="s">
        <v>3860</v>
      </c>
      <c r="M2193" s="11">
        <v>74305.37</v>
      </c>
      <c r="N2193" s="11"/>
      <c r="O2193" s="42">
        <v>74305.37</v>
      </c>
      <c r="P2193" s="43" t="s">
        <v>4495</v>
      </c>
      <c r="Q2193" s="11">
        <v>136726.91</v>
      </c>
      <c r="R2193" s="11" t="s">
        <v>3844</v>
      </c>
      <c r="S2193" s="11" t="s">
        <v>137</v>
      </c>
      <c r="T2193" s="11">
        <v>0</v>
      </c>
    </row>
    <row r="2194" spans="1:22" x14ac:dyDescent="0.25">
      <c r="A2194" s="11">
        <v>101060501</v>
      </c>
      <c r="B2194" s="11" t="s">
        <v>3632</v>
      </c>
      <c r="C2194" s="41">
        <v>44883</v>
      </c>
      <c r="D2194" s="41">
        <v>44883</v>
      </c>
      <c r="E2194" s="11" t="s">
        <v>36</v>
      </c>
      <c r="F2194" s="11" t="s">
        <v>3699</v>
      </c>
      <c r="G2194" s="11">
        <v>108788</v>
      </c>
      <c r="H2194" s="11" t="s">
        <v>3634</v>
      </c>
      <c r="K2194" s="11">
        <v>101060408</v>
      </c>
      <c r="L2194" s="11" t="s">
        <v>82</v>
      </c>
      <c r="M2194" s="11"/>
      <c r="N2194" s="11">
        <v>74305.37</v>
      </c>
      <c r="O2194" s="42">
        <v>-74305.37</v>
      </c>
      <c r="P2194" s="43" t="s">
        <v>4492</v>
      </c>
      <c r="Q2194" s="11">
        <v>62421.54</v>
      </c>
      <c r="R2194" s="11" t="s">
        <v>3844</v>
      </c>
      <c r="S2194" s="11" t="s">
        <v>137</v>
      </c>
      <c r="T2194" s="11">
        <v>0</v>
      </c>
    </row>
    <row r="2195" spans="1:22" x14ac:dyDescent="0.25">
      <c r="A2195" s="11">
        <v>101060501</v>
      </c>
      <c r="B2195" s="11" t="s">
        <v>3632</v>
      </c>
      <c r="C2195" s="41">
        <v>44883</v>
      </c>
      <c r="D2195" s="41">
        <v>44883</v>
      </c>
      <c r="E2195" s="11" t="s">
        <v>36</v>
      </c>
      <c r="F2195" s="11" t="s">
        <v>3704</v>
      </c>
      <c r="G2195" s="11">
        <v>108818</v>
      </c>
      <c r="H2195" s="11" t="s">
        <v>3705</v>
      </c>
      <c r="K2195" s="11">
        <v>101060408</v>
      </c>
      <c r="L2195" s="11" t="s">
        <v>82</v>
      </c>
      <c r="M2195" s="11"/>
      <c r="N2195" s="11">
        <v>14373.71</v>
      </c>
      <c r="O2195" s="42">
        <v>-14373.71</v>
      </c>
      <c r="P2195" s="43" t="s">
        <v>4492</v>
      </c>
      <c r="Q2195" s="11">
        <v>48047.83</v>
      </c>
      <c r="R2195" s="11" t="s">
        <v>3844</v>
      </c>
      <c r="S2195" s="11" t="s">
        <v>137</v>
      </c>
      <c r="T2195" s="11">
        <v>0</v>
      </c>
    </row>
    <row r="2196" spans="1:22" x14ac:dyDescent="0.25">
      <c r="A2196" s="11">
        <v>101060501</v>
      </c>
      <c r="B2196" s="11" t="s">
        <v>3632</v>
      </c>
      <c r="C2196" s="41">
        <v>44886</v>
      </c>
      <c r="D2196" s="41">
        <v>44977</v>
      </c>
      <c r="E2196" s="11" t="s">
        <v>42</v>
      </c>
      <c r="F2196" s="11" t="s">
        <v>4204</v>
      </c>
      <c r="G2196" s="11">
        <v>108962</v>
      </c>
      <c r="H2196" s="11" t="s">
        <v>4205</v>
      </c>
      <c r="J2196" s="11" t="s">
        <v>38</v>
      </c>
      <c r="K2196" s="11" t="s">
        <v>3854</v>
      </c>
      <c r="L2196" s="11" t="s">
        <v>3855</v>
      </c>
      <c r="M2196" s="11">
        <v>260</v>
      </c>
      <c r="N2196" s="11"/>
      <c r="O2196" s="42">
        <v>260</v>
      </c>
      <c r="P2196" s="43" t="s">
        <v>4495</v>
      </c>
      <c r="Q2196" s="11">
        <v>48307.83</v>
      </c>
      <c r="R2196" s="11" t="s">
        <v>3844</v>
      </c>
      <c r="S2196" s="11" t="s">
        <v>273</v>
      </c>
      <c r="T2196" s="11">
        <v>0</v>
      </c>
      <c r="V2196" s="11" t="s">
        <v>41</v>
      </c>
    </row>
    <row r="2197" spans="1:22" x14ac:dyDescent="0.25">
      <c r="A2197" s="11">
        <v>101060501</v>
      </c>
      <c r="B2197" s="11" t="s">
        <v>3632</v>
      </c>
      <c r="C2197" s="41">
        <v>44886</v>
      </c>
      <c r="D2197" s="41">
        <v>44977</v>
      </c>
      <c r="E2197" s="11" t="s">
        <v>42</v>
      </c>
      <c r="F2197" s="11" t="s">
        <v>4206</v>
      </c>
      <c r="G2197" s="11">
        <v>108964</v>
      </c>
      <c r="H2197" s="11" t="s">
        <v>4207</v>
      </c>
      <c r="J2197" s="11" t="s">
        <v>38</v>
      </c>
      <c r="K2197" s="11" t="s">
        <v>3856</v>
      </c>
      <c r="L2197" s="11" t="s">
        <v>3857</v>
      </c>
      <c r="M2197" s="11">
        <v>605</v>
      </c>
      <c r="N2197" s="11"/>
      <c r="O2197" s="42">
        <v>605</v>
      </c>
      <c r="P2197" s="43" t="s">
        <v>4495</v>
      </c>
      <c r="Q2197" s="11">
        <v>48912.83</v>
      </c>
      <c r="R2197" s="11" t="s">
        <v>3844</v>
      </c>
      <c r="S2197" s="11" t="s">
        <v>273</v>
      </c>
      <c r="T2197" s="11">
        <v>0</v>
      </c>
      <c r="V2197" s="11" t="s">
        <v>41</v>
      </c>
    </row>
    <row r="2198" spans="1:22" x14ac:dyDescent="0.25">
      <c r="A2198" s="11">
        <v>101060501</v>
      </c>
      <c r="B2198" s="11" t="s">
        <v>3632</v>
      </c>
      <c r="C2198" s="41">
        <v>44886</v>
      </c>
      <c r="D2198" s="41">
        <v>44977</v>
      </c>
      <c r="E2198" s="11" t="s">
        <v>42</v>
      </c>
      <c r="F2198" s="11" t="s">
        <v>4208</v>
      </c>
      <c r="G2198" s="11">
        <v>108968</v>
      </c>
      <c r="H2198" s="11" t="s">
        <v>4209</v>
      </c>
      <c r="J2198" s="11" t="s">
        <v>38</v>
      </c>
      <c r="K2198" s="11" t="s">
        <v>3856</v>
      </c>
      <c r="L2198" s="11" t="s">
        <v>3857</v>
      </c>
      <c r="M2198" s="11">
        <v>53.93</v>
      </c>
      <c r="N2198" s="11"/>
      <c r="O2198" s="42">
        <v>53.93</v>
      </c>
      <c r="P2198" s="43" t="s">
        <v>4495</v>
      </c>
      <c r="Q2198" s="11">
        <v>48966.76</v>
      </c>
      <c r="R2198" s="11" t="s">
        <v>3844</v>
      </c>
      <c r="S2198" s="11" t="s">
        <v>273</v>
      </c>
      <c r="T2198" s="11">
        <v>0</v>
      </c>
      <c r="V2198" s="11" t="s">
        <v>41</v>
      </c>
    </row>
    <row r="2199" spans="1:22" x14ac:dyDescent="0.25">
      <c r="A2199" s="11">
        <v>101060501</v>
      </c>
      <c r="B2199" s="11" t="s">
        <v>3632</v>
      </c>
      <c r="C2199" s="41">
        <v>44886</v>
      </c>
      <c r="D2199" s="41">
        <v>44977</v>
      </c>
      <c r="E2199" s="11" t="s">
        <v>42</v>
      </c>
      <c r="F2199" s="11" t="s">
        <v>4210</v>
      </c>
      <c r="G2199" s="11">
        <v>108971</v>
      </c>
      <c r="H2199" s="11" t="s">
        <v>4211</v>
      </c>
      <c r="J2199" s="11" t="s">
        <v>38</v>
      </c>
      <c r="K2199" s="11" t="s">
        <v>3856</v>
      </c>
      <c r="L2199" s="11" t="s">
        <v>3857</v>
      </c>
      <c r="M2199" s="11">
        <v>180</v>
      </c>
      <c r="N2199" s="11"/>
      <c r="O2199" s="42">
        <v>180</v>
      </c>
      <c r="P2199" s="43" t="s">
        <v>4495</v>
      </c>
      <c r="Q2199" s="11">
        <v>49146.76</v>
      </c>
      <c r="R2199" s="11" t="s">
        <v>3844</v>
      </c>
      <c r="S2199" s="11" t="s">
        <v>273</v>
      </c>
      <c r="T2199" s="11">
        <v>0</v>
      </c>
      <c r="V2199" s="11" t="s">
        <v>41</v>
      </c>
    </row>
    <row r="2200" spans="1:22" x14ac:dyDescent="0.25">
      <c r="A2200" s="11">
        <v>101060501</v>
      </c>
      <c r="B2200" s="11" t="s">
        <v>3632</v>
      </c>
      <c r="C2200" s="41">
        <v>44887</v>
      </c>
      <c r="D2200" s="41">
        <v>44887</v>
      </c>
      <c r="E2200" s="11" t="s">
        <v>3847</v>
      </c>
      <c r="F2200" s="11" t="s">
        <v>4212</v>
      </c>
      <c r="G2200" s="11">
        <v>108906</v>
      </c>
      <c r="H2200" s="11" t="s">
        <v>4213</v>
      </c>
      <c r="K2200" s="11" t="s">
        <v>4214</v>
      </c>
      <c r="L2200" s="11" t="s">
        <v>4215</v>
      </c>
      <c r="M2200" s="11">
        <v>8172</v>
      </c>
      <c r="N2200" s="11"/>
      <c r="O2200" s="42">
        <v>8172</v>
      </c>
      <c r="P2200" s="43" t="s">
        <v>4495</v>
      </c>
      <c r="Q2200" s="11">
        <v>57318.76</v>
      </c>
      <c r="R2200" s="11" t="s">
        <v>3844</v>
      </c>
      <c r="S2200" s="11" t="s">
        <v>137</v>
      </c>
      <c r="T2200" s="11">
        <v>0</v>
      </c>
    </row>
    <row r="2201" spans="1:22" x14ac:dyDescent="0.25">
      <c r="A2201" s="11">
        <v>101060501</v>
      </c>
      <c r="B2201" s="11" t="s">
        <v>3632</v>
      </c>
      <c r="C2201" s="41">
        <v>44887</v>
      </c>
      <c r="D2201" s="41">
        <v>44887</v>
      </c>
      <c r="E2201" s="11" t="s">
        <v>36</v>
      </c>
      <c r="F2201" s="11" t="s">
        <v>3715</v>
      </c>
      <c r="G2201" s="11">
        <v>108908</v>
      </c>
      <c r="H2201" s="11" t="s">
        <v>3716</v>
      </c>
      <c r="K2201" s="11">
        <v>101060408</v>
      </c>
      <c r="L2201" s="11" t="s">
        <v>82</v>
      </c>
      <c r="M2201" s="11"/>
      <c r="N2201" s="11">
        <v>8172</v>
      </c>
      <c r="O2201" s="42">
        <v>-8172</v>
      </c>
      <c r="P2201" s="43" t="s">
        <v>4492</v>
      </c>
      <c r="Q2201" s="11">
        <v>49146.76</v>
      </c>
      <c r="R2201" s="11" t="s">
        <v>3844</v>
      </c>
      <c r="S2201" s="11" t="s">
        <v>137</v>
      </c>
      <c r="T2201" s="11">
        <v>0</v>
      </c>
    </row>
    <row r="2202" spans="1:22" x14ac:dyDescent="0.25">
      <c r="A2202" s="11">
        <v>101060501</v>
      </c>
      <c r="B2202" s="11" t="s">
        <v>3632</v>
      </c>
      <c r="C2202" s="41">
        <v>44887</v>
      </c>
      <c r="D2202" s="41">
        <v>44887</v>
      </c>
      <c r="E2202" s="11" t="s">
        <v>36</v>
      </c>
      <c r="F2202" s="11" t="s">
        <v>3718</v>
      </c>
      <c r="G2202" s="11">
        <v>108910</v>
      </c>
      <c r="H2202" s="11" t="s">
        <v>3719</v>
      </c>
      <c r="K2202" s="11">
        <v>101060408</v>
      </c>
      <c r="L2202" s="11" t="s">
        <v>82</v>
      </c>
      <c r="M2202" s="11"/>
      <c r="N2202" s="11">
        <v>1630.48</v>
      </c>
      <c r="O2202" s="42">
        <v>-1630.48</v>
      </c>
      <c r="P2202" s="43" t="s">
        <v>4492</v>
      </c>
      <c r="Q2202" s="11">
        <v>47516.28</v>
      </c>
      <c r="R2202" s="11" t="s">
        <v>3844</v>
      </c>
      <c r="S2202" s="11" t="s">
        <v>137</v>
      </c>
      <c r="T2202" s="11">
        <v>0</v>
      </c>
    </row>
    <row r="2203" spans="1:22" x14ac:dyDescent="0.25">
      <c r="A2203" s="11">
        <v>101060501</v>
      </c>
      <c r="B2203" s="11" t="s">
        <v>3632</v>
      </c>
      <c r="C2203" s="41">
        <v>44887</v>
      </c>
      <c r="D2203" s="41">
        <v>44887</v>
      </c>
      <c r="E2203" s="11" t="s">
        <v>3847</v>
      </c>
      <c r="F2203" s="11" t="s">
        <v>4216</v>
      </c>
      <c r="G2203" s="11">
        <v>109007</v>
      </c>
      <c r="H2203" s="11" t="s">
        <v>4217</v>
      </c>
      <c r="K2203" s="11" t="s">
        <v>4120</v>
      </c>
      <c r="L2203" s="11" t="s">
        <v>4121</v>
      </c>
      <c r="M2203" s="11">
        <v>26936.1</v>
      </c>
      <c r="N2203" s="11"/>
      <c r="O2203" s="42">
        <v>26936.1</v>
      </c>
      <c r="P2203" s="43" t="s">
        <v>4495</v>
      </c>
      <c r="Q2203" s="11">
        <v>74452.38</v>
      </c>
      <c r="R2203" s="11" t="s">
        <v>3844</v>
      </c>
      <c r="S2203" s="11" t="s">
        <v>137</v>
      </c>
      <c r="T2203" s="11">
        <v>0</v>
      </c>
    </row>
    <row r="2204" spans="1:22" x14ac:dyDescent="0.25">
      <c r="A2204" s="11">
        <v>101060501</v>
      </c>
      <c r="B2204" s="11" t="s">
        <v>3632</v>
      </c>
      <c r="C2204" s="41">
        <v>44887</v>
      </c>
      <c r="D2204" s="41">
        <v>44887</v>
      </c>
      <c r="E2204" s="11" t="s">
        <v>36</v>
      </c>
      <c r="F2204" s="11" t="s">
        <v>3736</v>
      </c>
      <c r="G2204" s="11">
        <v>109008</v>
      </c>
      <c r="H2204" s="11" t="s">
        <v>3737</v>
      </c>
      <c r="K2204" s="11">
        <v>101060408</v>
      </c>
      <c r="L2204" s="11" t="s">
        <v>82</v>
      </c>
      <c r="M2204" s="11"/>
      <c r="N2204" s="11">
        <v>26936.1</v>
      </c>
      <c r="O2204" s="42">
        <v>-26936.1</v>
      </c>
      <c r="P2204" s="43" t="s">
        <v>4492</v>
      </c>
      <c r="Q2204" s="11">
        <v>47516.28</v>
      </c>
      <c r="R2204" s="11" t="s">
        <v>3844</v>
      </c>
      <c r="S2204" s="11" t="s">
        <v>137</v>
      </c>
      <c r="T2204" s="11">
        <v>0</v>
      </c>
    </row>
    <row r="2205" spans="1:22" x14ac:dyDescent="0.25">
      <c r="A2205" s="11">
        <v>101060501</v>
      </c>
      <c r="B2205" s="11" t="s">
        <v>3632</v>
      </c>
      <c r="C2205" s="41">
        <v>44887</v>
      </c>
      <c r="D2205" s="41">
        <v>44887</v>
      </c>
      <c r="E2205" s="11" t="s">
        <v>36</v>
      </c>
      <c r="F2205" s="11" t="s">
        <v>3739</v>
      </c>
      <c r="G2205" s="11">
        <v>109011</v>
      </c>
      <c r="H2205" s="11" t="s">
        <v>3740</v>
      </c>
      <c r="K2205" s="11">
        <v>101060408</v>
      </c>
      <c r="L2205" s="11" t="s">
        <v>82</v>
      </c>
      <c r="M2205" s="11"/>
      <c r="N2205" s="11">
        <v>5461.66</v>
      </c>
      <c r="O2205" s="42">
        <v>-5461.66</v>
      </c>
      <c r="P2205" s="43" t="s">
        <v>4492</v>
      </c>
      <c r="Q2205" s="11">
        <v>42054.62</v>
      </c>
      <c r="R2205" s="11" t="s">
        <v>3844</v>
      </c>
      <c r="S2205" s="11" t="s">
        <v>137</v>
      </c>
      <c r="T2205" s="11">
        <v>0</v>
      </c>
    </row>
    <row r="2206" spans="1:22" x14ac:dyDescent="0.25">
      <c r="A2206" s="11">
        <v>101060501</v>
      </c>
      <c r="B2206" s="11" t="s">
        <v>3632</v>
      </c>
      <c r="C2206" s="41">
        <v>44887</v>
      </c>
      <c r="D2206" s="41">
        <v>44887</v>
      </c>
      <c r="E2206" s="11" t="s">
        <v>3842</v>
      </c>
      <c r="F2206" s="11" t="s">
        <v>4218</v>
      </c>
      <c r="G2206" s="11">
        <v>109453</v>
      </c>
      <c r="H2206" s="11" t="s">
        <v>4219</v>
      </c>
      <c r="K2206" s="11">
        <v>101010306</v>
      </c>
      <c r="L2206" s="11" t="s">
        <v>3869</v>
      </c>
      <c r="M2206" s="11">
        <v>132</v>
      </c>
      <c r="N2206" s="11"/>
      <c r="O2206" s="42">
        <v>132</v>
      </c>
      <c r="P2206" s="43" t="s">
        <v>4495</v>
      </c>
      <c r="Q2206" s="11">
        <v>42186.62</v>
      </c>
      <c r="R2206" s="11" t="s">
        <v>3993</v>
      </c>
      <c r="S2206" s="11" t="s">
        <v>273</v>
      </c>
      <c r="T2206" s="11">
        <v>0</v>
      </c>
    </row>
    <row r="2207" spans="1:22" x14ac:dyDescent="0.25">
      <c r="A2207" s="11">
        <v>101060501</v>
      </c>
      <c r="B2207" s="11" t="s">
        <v>3632</v>
      </c>
      <c r="C2207" s="41">
        <v>44887</v>
      </c>
      <c r="D2207" s="41">
        <v>44887</v>
      </c>
      <c r="E2207" s="11" t="s">
        <v>3842</v>
      </c>
      <c r="F2207" s="11" t="s">
        <v>4220</v>
      </c>
      <c r="G2207" s="11">
        <v>109454</v>
      </c>
      <c r="H2207" s="11" t="s">
        <v>4221</v>
      </c>
      <c r="K2207" s="11">
        <v>101010306</v>
      </c>
      <c r="L2207" s="11" t="s">
        <v>3869</v>
      </c>
      <c r="M2207" s="11">
        <v>1464.36</v>
      </c>
      <c r="N2207" s="11"/>
      <c r="O2207" s="42">
        <v>1464.36</v>
      </c>
      <c r="P2207" s="43" t="s">
        <v>4495</v>
      </c>
      <c r="Q2207" s="11">
        <v>43650.98</v>
      </c>
      <c r="R2207" s="11" t="s">
        <v>4222</v>
      </c>
      <c r="S2207" s="11" t="s">
        <v>273</v>
      </c>
      <c r="T2207" s="11">
        <v>0</v>
      </c>
    </row>
    <row r="2208" spans="1:22" x14ac:dyDescent="0.25">
      <c r="A2208" s="11">
        <v>101060501</v>
      </c>
      <c r="B2208" s="11" t="s">
        <v>3632</v>
      </c>
      <c r="C2208" s="41">
        <v>44889</v>
      </c>
      <c r="D2208" s="41">
        <v>44949</v>
      </c>
      <c r="E2208" s="11" t="s">
        <v>3847</v>
      </c>
      <c r="F2208" s="11" t="s">
        <v>4223</v>
      </c>
      <c r="G2208" s="11">
        <v>109149</v>
      </c>
      <c r="H2208" s="11" t="s">
        <v>4224</v>
      </c>
      <c r="K2208" s="11" t="s">
        <v>3850</v>
      </c>
      <c r="L2208" s="11" t="s">
        <v>3851</v>
      </c>
      <c r="M2208" s="11">
        <v>363</v>
      </c>
      <c r="N2208" s="11"/>
      <c r="O2208" s="42">
        <v>363</v>
      </c>
      <c r="P2208" s="43" t="s">
        <v>4495</v>
      </c>
      <c r="Q2208" s="11">
        <v>44013.98</v>
      </c>
      <c r="R2208" s="11" t="s">
        <v>3844</v>
      </c>
      <c r="S2208" s="11" t="s">
        <v>137</v>
      </c>
      <c r="T2208" s="11">
        <v>0</v>
      </c>
    </row>
    <row r="2209" spans="1:22" x14ac:dyDescent="0.25">
      <c r="A2209" s="11">
        <v>101060501</v>
      </c>
      <c r="B2209" s="11" t="s">
        <v>3632</v>
      </c>
      <c r="C2209" s="41">
        <v>44889</v>
      </c>
      <c r="D2209" s="41">
        <v>44949</v>
      </c>
      <c r="E2209" s="11" t="s">
        <v>3847</v>
      </c>
      <c r="F2209" s="11" t="s">
        <v>4223</v>
      </c>
      <c r="G2209" s="11">
        <v>109149</v>
      </c>
      <c r="H2209" s="11" t="s">
        <v>4224</v>
      </c>
      <c r="K2209" s="11" t="s">
        <v>3850</v>
      </c>
      <c r="L2209" s="11" t="s">
        <v>3851</v>
      </c>
      <c r="M2209" s="11">
        <v>28.14</v>
      </c>
      <c r="N2209" s="11"/>
      <c r="O2209" s="42">
        <v>28.14</v>
      </c>
      <c r="P2209" s="43" t="s">
        <v>4495</v>
      </c>
      <c r="Q2209" s="11">
        <v>44042.12</v>
      </c>
      <c r="R2209" s="11" t="s">
        <v>3844</v>
      </c>
      <c r="S2209" s="11" t="s">
        <v>137</v>
      </c>
      <c r="T2209" s="11">
        <v>0</v>
      </c>
    </row>
    <row r="2210" spans="1:22" x14ac:dyDescent="0.25">
      <c r="A2210" s="11">
        <v>101060501</v>
      </c>
      <c r="B2210" s="11" t="s">
        <v>3632</v>
      </c>
      <c r="C2210" s="41">
        <v>44889</v>
      </c>
      <c r="D2210" s="41">
        <v>44889</v>
      </c>
      <c r="E2210" s="11" t="s">
        <v>36</v>
      </c>
      <c r="F2210" s="11" t="s">
        <v>3742</v>
      </c>
      <c r="G2210" s="11">
        <v>109170</v>
      </c>
      <c r="H2210" s="11" t="s">
        <v>3631</v>
      </c>
      <c r="K2210" s="11">
        <v>101060408</v>
      </c>
      <c r="L2210" s="11" t="s">
        <v>82</v>
      </c>
      <c r="M2210" s="11"/>
      <c r="N2210" s="11">
        <v>363</v>
      </c>
      <c r="O2210" s="42">
        <v>-363</v>
      </c>
      <c r="P2210" s="43" t="s">
        <v>4492</v>
      </c>
      <c r="Q2210" s="11">
        <v>43679.12</v>
      </c>
      <c r="R2210" s="11" t="s">
        <v>3844</v>
      </c>
      <c r="S2210" s="11" t="s">
        <v>137</v>
      </c>
      <c r="T2210" s="11">
        <v>0</v>
      </c>
    </row>
    <row r="2211" spans="1:22" x14ac:dyDescent="0.25">
      <c r="A2211" s="11">
        <v>101060501</v>
      </c>
      <c r="B2211" s="11" t="s">
        <v>3632</v>
      </c>
      <c r="C2211" s="41">
        <v>44889</v>
      </c>
      <c r="D2211" s="41">
        <v>44889</v>
      </c>
      <c r="E2211" s="11" t="s">
        <v>36</v>
      </c>
      <c r="F2211" s="11" t="s">
        <v>3744</v>
      </c>
      <c r="G2211" s="11">
        <v>109173</v>
      </c>
      <c r="H2211" s="11" t="s">
        <v>3745</v>
      </c>
      <c r="K2211" s="11">
        <v>101060408</v>
      </c>
      <c r="L2211" s="11" t="s">
        <v>82</v>
      </c>
      <c r="M2211" s="11"/>
      <c r="N2211" s="11">
        <v>207.82</v>
      </c>
      <c r="O2211" s="42">
        <v>-207.82</v>
      </c>
      <c r="P2211" s="43" t="s">
        <v>4492</v>
      </c>
      <c r="Q2211" s="11">
        <v>43471.3</v>
      </c>
      <c r="R2211" s="11" t="s">
        <v>3844</v>
      </c>
      <c r="S2211" s="11" t="s">
        <v>137</v>
      </c>
      <c r="T2211" s="11">
        <v>0</v>
      </c>
    </row>
    <row r="2212" spans="1:22" x14ac:dyDescent="0.25">
      <c r="A2212" s="11">
        <v>101060501</v>
      </c>
      <c r="B2212" s="11" t="s">
        <v>3632</v>
      </c>
      <c r="C2212" s="41">
        <v>44889</v>
      </c>
      <c r="D2212" s="41">
        <v>44901</v>
      </c>
      <c r="E2212" s="11" t="s">
        <v>3847</v>
      </c>
      <c r="F2212" s="11" t="s">
        <v>4225</v>
      </c>
      <c r="G2212" s="11">
        <v>109177</v>
      </c>
      <c r="H2212" s="11" t="s">
        <v>4226</v>
      </c>
      <c r="K2212" s="11" t="s">
        <v>3912</v>
      </c>
      <c r="L2212" s="11" t="s">
        <v>3913</v>
      </c>
      <c r="M2212" s="11">
        <v>44083.5</v>
      </c>
      <c r="N2212" s="11"/>
      <c r="O2212" s="42">
        <v>44083.5</v>
      </c>
      <c r="P2212" s="43" t="s">
        <v>4495</v>
      </c>
      <c r="Q2212" s="11">
        <v>87554.8</v>
      </c>
      <c r="R2212" s="11" t="s">
        <v>3844</v>
      </c>
      <c r="S2212" s="11" t="s">
        <v>137</v>
      </c>
      <c r="T2212" s="11">
        <v>0</v>
      </c>
    </row>
    <row r="2213" spans="1:22" x14ac:dyDescent="0.25">
      <c r="A2213" s="11">
        <v>101060501</v>
      </c>
      <c r="B2213" s="11" t="s">
        <v>3632</v>
      </c>
      <c r="C2213" s="41">
        <v>44889</v>
      </c>
      <c r="D2213" s="41">
        <v>44889</v>
      </c>
      <c r="E2213" s="11" t="s">
        <v>36</v>
      </c>
      <c r="F2213" s="11" t="s">
        <v>3747</v>
      </c>
      <c r="G2213" s="11">
        <v>109178</v>
      </c>
      <c r="H2213" s="11" t="s">
        <v>3644</v>
      </c>
      <c r="K2213" s="11">
        <v>101060408</v>
      </c>
      <c r="L2213" s="11" t="s">
        <v>82</v>
      </c>
      <c r="M2213" s="11"/>
      <c r="N2213" s="11">
        <v>44083.5</v>
      </c>
      <c r="O2213" s="42">
        <v>-44083.5</v>
      </c>
      <c r="P2213" s="43" t="s">
        <v>4492</v>
      </c>
      <c r="Q2213" s="11">
        <v>43471.3</v>
      </c>
      <c r="R2213" s="11" t="s">
        <v>3844</v>
      </c>
      <c r="S2213" s="11" t="s">
        <v>137</v>
      </c>
      <c r="T2213" s="11">
        <v>0</v>
      </c>
    </row>
    <row r="2214" spans="1:22" x14ac:dyDescent="0.25">
      <c r="A2214" s="11">
        <v>101060501</v>
      </c>
      <c r="B2214" s="11" t="s">
        <v>3632</v>
      </c>
      <c r="C2214" s="41">
        <v>44889</v>
      </c>
      <c r="D2214" s="41">
        <v>44889</v>
      </c>
      <c r="E2214" s="11" t="s">
        <v>36</v>
      </c>
      <c r="F2214" s="11" t="s">
        <v>3749</v>
      </c>
      <c r="G2214" s="11">
        <v>109180</v>
      </c>
      <c r="H2214" s="11" t="s">
        <v>3750</v>
      </c>
      <c r="K2214" s="11">
        <v>101060408</v>
      </c>
      <c r="L2214" s="11" t="s">
        <v>82</v>
      </c>
      <c r="M2214" s="11"/>
      <c r="N2214" s="11">
        <v>4020</v>
      </c>
      <c r="O2214" s="42">
        <v>-4020</v>
      </c>
      <c r="P2214" s="43" t="s">
        <v>4492</v>
      </c>
      <c r="Q2214" s="11">
        <v>39451.300000000003</v>
      </c>
      <c r="R2214" s="11" t="s">
        <v>3844</v>
      </c>
      <c r="S2214" s="11" t="s">
        <v>137</v>
      </c>
      <c r="T2214" s="11">
        <v>0</v>
      </c>
    </row>
    <row r="2215" spans="1:22" x14ac:dyDescent="0.25">
      <c r="A2215" s="11">
        <v>101060501</v>
      </c>
      <c r="B2215" s="11" t="s">
        <v>3632</v>
      </c>
      <c r="C2215" s="41">
        <v>44889</v>
      </c>
      <c r="D2215" s="41">
        <v>44935</v>
      </c>
      <c r="E2215" s="11" t="s">
        <v>3847</v>
      </c>
      <c r="F2215" s="11" t="s">
        <v>4227</v>
      </c>
      <c r="G2215" s="11">
        <v>109197</v>
      </c>
      <c r="H2215" s="11" t="s">
        <v>4228</v>
      </c>
      <c r="K2215" s="11" t="s">
        <v>3886</v>
      </c>
      <c r="L2215" s="11" t="s">
        <v>3887</v>
      </c>
      <c r="M2215" s="11">
        <v>191.6</v>
      </c>
      <c r="N2215" s="11"/>
      <c r="O2215" s="42">
        <v>191.6</v>
      </c>
      <c r="P2215" s="43" t="s">
        <v>4495</v>
      </c>
      <c r="Q2215" s="11">
        <v>39642.9</v>
      </c>
      <c r="R2215" s="11" t="s">
        <v>3844</v>
      </c>
      <c r="S2215" s="11" t="s">
        <v>137</v>
      </c>
      <c r="T2215" s="11">
        <v>0</v>
      </c>
    </row>
    <row r="2216" spans="1:22" x14ac:dyDescent="0.25">
      <c r="A2216" s="11">
        <v>101060501</v>
      </c>
      <c r="B2216" s="11" t="s">
        <v>3632</v>
      </c>
      <c r="C2216" s="41">
        <v>44889</v>
      </c>
      <c r="D2216" s="41">
        <v>44935</v>
      </c>
      <c r="E2216" s="11" t="s">
        <v>3847</v>
      </c>
      <c r="F2216" s="11" t="s">
        <v>4227</v>
      </c>
      <c r="G2216" s="11">
        <v>109197</v>
      </c>
      <c r="H2216" s="11" t="s">
        <v>4228</v>
      </c>
      <c r="K2216" s="11" t="s">
        <v>3886</v>
      </c>
      <c r="L2216" s="11" t="s">
        <v>3887</v>
      </c>
      <c r="M2216" s="11">
        <v>10.53</v>
      </c>
      <c r="N2216" s="11"/>
      <c r="O2216" s="42">
        <v>10.53</v>
      </c>
      <c r="P2216" s="43" t="s">
        <v>4495</v>
      </c>
      <c r="Q2216" s="11">
        <v>39653.43</v>
      </c>
      <c r="R2216" s="11" t="s">
        <v>3844</v>
      </c>
      <c r="S2216" s="11" t="s">
        <v>137</v>
      </c>
      <c r="T2216" s="11">
        <v>0</v>
      </c>
    </row>
    <row r="2217" spans="1:22" x14ac:dyDescent="0.25">
      <c r="A2217" s="11">
        <v>101060501</v>
      </c>
      <c r="B2217" s="11" t="s">
        <v>3632</v>
      </c>
      <c r="C2217" s="41">
        <v>44889</v>
      </c>
      <c r="D2217" s="41">
        <v>44889</v>
      </c>
      <c r="E2217" s="11" t="s">
        <v>3847</v>
      </c>
      <c r="F2217" s="11" t="s">
        <v>4229</v>
      </c>
      <c r="G2217" s="11">
        <v>109199</v>
      </c>
      <c r="H2217" s="11" t="s">
        <v>4228</v>
      </c>
      <c r="K2217" s="11" t="s">
        <v>3919</v>
      </c>
      <c r="L2217" s="11" t="s">
        <v>3920</v>
      </c>
      <c r="M2217" s="11">
        <v>922.14</v>
      </c>
      <c r="N2217" s="11"/>
      <c r="O2217" s="42">
        <v>922.14</v>
      </c>
      <c r="P2217" s="43" t="s">
        <v>4495</v>
      </c>
      <c r="Q2217" s="11">
        <v>40575.57</v>
      </c>
      <c r="R2217" s="11" t="s">
        <v>3844</v>
      </c>
      <c r="S2217" s="11" t="s">
        <v>137</v>
      </c>
      <c r="T2217" s="11">
        <v>0</v>
      </c>
    </row>
    <row r="2218" spans="1:22" x14ac:dyDescent="0.25">
      <c r="A2218" s="11">
        <v>101060501</v>
      </c>
      <c r="B2218" s="11" t="s">
        <v>3632</v>
      </c>
      <c r="C2218" s="41">
        <v>44889</v>
      </c>
      <c r="D2218" s="41">
        <v>44889</v>
      </c>
      <c r="E2218" s="11" t="s">
        <v>36</v>
      </c>
      <c r="F2218" s="11" t="s">
        <v>3752</v>
      </c>
      <c r="G2218" s="11">
        <v>109203</v>
      </c>
      <c r="H2218" s="11" t="s">
        <v>3639</v>
      </c>
      <c r="K2218" s="11">
        <v>101060408</v>
      </c>
      <c r="L2218" s="11" t="s">
        <v>82</v>
      </c>
      <c r="M2218" s="11"/>
      <c r="N2218" s="11">
        <v>191.6</v>
      </c>
      <c r="O2218" s="42">
        <v>-191.6</v>
      </c>
      <c r="P2218" s="43" t="s">
        <v>4492</v>
      </c>
      <c r="Q2218" s="11">
        <v>40383.97</v>
      </c>
      <c r="R2218" s="11" t="s">
        <v>3844</v>
      </c>
      <c r="S2218" s="11" t="s">
        <v>137</v>
      </c>
      <c r="T2218" s="11">
        <v>0</v>
      </c>
    </row>
    <row r="2219" spans="1:22" x14ac:dyDescent="0.25">
      <c r="A2219" s="11">
        <v>101060501</v>
      </c>
      <c r="B2219" s="11" t="s">
        <v>3632</v>
      </c>
      <c r="C2219" s="41">
        <v>44889</v>
      </c>
      <c r="D2219" s="41">
        <v>44889</v>
      </c>
      <c r="E2219" s="11" t="s">
        <v>36</v>
      </c>
      <c r="F2219" s="11" t="s">
        <v>3754</v>
      </c>
      <c r="G2219" s="11">
        <v>109204</v>
      </c>
      <c r="H2219" s="11" t="s">
        <v>3645</v>
      </c>
      <c r="K2219" s="11">
        <v>101060408</v>
      </c>
      <c r="L2219" s="11" t="s">
        <v>82</v>
      </c>
      <c r="M2219" s="11"/>
      <c r="N2219" s="11">
        <v>922.14</v>
      </c>
      <c r="O2219" s="42">
        <v>-922.14</v>
      </c>
      <c r="P2219" s="43" t="s">
        <v>4492</v>
      </c>
      <c r="Q2219" s="11">
        <v>39461.83</v>
      </c>
      <c r="R2219" s="11" t="s">
        <v>3844</v>
      </c>
      <c r="S2219" s="11" t="s">
        <v>137</v>
      </c>
      <c r="T2219" s="11">
        <v>0</v>
      </c>
    </row>
    <row r="2220" spans="1:22" x14ac:dyDescent="0.25">
      <c r="A2220" s="11">
        <v>101060501</v>
      </c>
      <c r="B2220" s="11" t="s">
        <v>3632</v>
      </c>
      <c r="C2220" s="41">
        <v>44889</v>
      </c>
      <c r="D2220" s="41">
        <v>44889</v>
      </c>
      <c r="E2220" s="11" t="s">
        <v>36</v>
      </c>
      <c r="F2220" s="11" t="s">
        <v>3756</v>
      </c>
      <c r="G2220" s="11">
        <v>109205</v>
      </c>
      <c r="H2220" s="11" t="s">
        <v>3757</v>
      </c>
      <c r="K2220" s="11">
        <v>101060408</v>
      </c>
      <c r="L2220" s="11" t="s">
        <v>82</v>
      </c>
      <c r="M2220" s="11"/>
      <c r="N2220" s="11">
        <v>622.73</v>
      </c>
      <c r="O2220" s="42">
        <v>-622.73</v>
      </c>
      <c r="P2220" s="43" t="s">
        <v>4492</v>
      </c>
      <c r="Q2220" s="11">
        <v>38839.1</v>
      </c>
      <c r="R2220" s="11" t="s">
        <v>3844</v>
      </c>
      <c r="S2220" s="11" t="s">
        <v>137</v>
      </c>
      <c r="T2220" s="11">
        <v>0</v>
      </c>
    </row>
    <row r="2221" spans="1:22" x14ac:dyDescent="0.25">
      <c r="A2221" s="11">
        <v>101060501</v>
      </c>
      <c r="B2221" s="11" t="s">
        <v>3632</v>
      </c>
      <c r="C2221" s="41">
        <v>44890</v>
      </c>
      <c r="D2221" s="41">
        <v>44890</v>
      </c>
      <c r="E2221" s="11" t="s">
        <v>42</v>
      </c>
      <c r="F2221" s="11" t="s">
        <v>4230</v>
      </c>
      <c r="G2221" s="11">
        <v>109518</v>
      </c>
      <c r="H2221" s="11" t="s">
        <v>4231</v>
      </c>
      <c r="J2221" s="11" t="s">
        <v>38</v>
      </c>
      <c r="K2221" s="11" t="s">
        <v>3865</v>
      </c>
      <c r="L2221" s="11" t="s">
        <v>3866</v>
      </c>
      <c r="M2221" s="11">
        <v>31.74</v>
      </c>
      <c r="N2221" s="11"/>
      <c r="O2221" s="42">
        <v>31.74</v>
      </c>
      <c r="P2221" s="43" t="s">
        <v>4495</v>
      </c>
      <c r="Q2221" s="11">
        <v>38870.839999999997</v>
      </c>
      <c r="R2221" s="11" t="s">
        <v>3844</v>
      </c>
      <c r="S2221" s="11" t="s">
        <v>273</v>
      </c>
      <c r="T2221" s="11">
        <v>0</v>
      </c>
      <c r="V2221" s="11" t="s">
        <v>41</v>
      </c>
    </row>
    <row r="2222" spans="1:22" x14ac:dyDescent="0.25">
      <c r="A2222" s="11">
        <v>101060501</v>
      </c>
      <c r="B2222" s="11" t="s">
        <v>3632</v>
      </c>
      <c r="C2222" s="41">
        <v>44890</v>
      </c>
      <c r="D2222" s="41">
        <v>44890</v>
      </c>
      <c r="E2222" s="11" t="s">
        <v>203</v>
      </c>
      <c r="F2222" s="11" t="s">
        <v>4232</v>
      </c>
      <c r="G2222" s="11">
        <v>109524</v>
      </c>
      <c r="H2222" s="11" t="s">
        <v>4233</v>
      </c>
      <c r="J2222" s="11" t="s">
        <v>38</v>
      </c>
      <c r="K2222" s="11" t="s">
        <v>3865</v>
      </c>
      <c r="L2222" s="11" t="s">
        <v>3866</v>
      </c>
      <c r="M2222" s="11">
        <v>3.05</v>
      </c>
      <c r="N2222" s="11"/>
      <c r="O2222" s="42">
        <v>3.05</v>
      </c>
      <c r="P2222" s="43" t="s">
        <v>4495</v>
      </c>
      <c r="Q2222" s="11">
        <v>38873.89</v>
      </c>
      <c r="R2222" s="11" t="s">
        <v>3820</v>
      </c>
      <c r="S2222" s="11" t="s">
        <v>273</v>
      </c>
      <c r="T2222" s="11">
        <v>0</v>
      </c>
      <c r="V2222" s="11" t="s">
        <v>41</v>
      </c>
    </row>
    <row r="2223" spans="1:22" x14ac:dyDescent="0.25">
      <c r="A2223" s="11">
        <v>101060501</v>
      </c>
      <c r="B2223" s="11" t="s">
        <v>3632</v>
      </c>
      <c r="C2223" s="41">
        <v>44890</v>
      </c>
      <c r="D2223" s="41">
        <v>44890</v>
      </c>
      <c r="E2223" s="11" t="s">
        <v>3847</v>
      </c>
      <c r="F2223" s="11" t="s">
        <v>4234</v>
      </c>
      <c r="G2223" s="11">
        <v>109678</v>
      </c>
      <c r="H2223" s="11" t="s">
        <v>4235</v>
      </c>
      <c r="K2223" s="11" t="s">
        <v>3848</v>
      </c>
      <c r="L2223" s="11" t="s">
        <v>3849</v>
      </c>
      <c r="M2223" s="11">
        <v>185.49</v>
      </c>
      <c r="N2223" s="11"/>
      <c r="O2223" s="42">
        <v>185.49</v>
      </c>
      <c r="P2223" s="43" t="s">
        <v>4495</v>
      </c>
      <c r="Q2223" s="11">
        <v>39059.379999999997</v>
      </c>
      <c r="R2223" s="11" t="s">
        <v>3844</v>
      </c>
      <c r="S2223" s="11" t="s">
        <v>273</v>
      </c>
      <c r="T2223" s="11">
        <v>0</v>
      </c>
    </row>
    <row r="2224" spans="1:22" x14ac:dyDescent="0.25">
      <c r="A2224" s="11">
        <v>101060501</v>
      </c>
      <c r="B2224" s="11" t="s">
        <v>3632</v>
      </c>
      <c r="C2224" s="41">
        <v>44893</v>
      </c>
      <c r="D2224" s="41">
        <v>44893</v>
      </c>
      <c r="E2224" s="11" t="s">
        <v>42</v>
      </c>
      <c r="F2224" s="11" t="s">
        <v>4236</v>
      </c>
      <c r="G2224" s="11">
        <v>109391</v>
      </c>
      <c r="H2224" s="11" t="s">
        <v>4237</v>
      </c>
      <c r="J2224" s="11" t="s">
        <v>38</v>
      </c>
      <c r="K2224" s="11" t="s">
        <v>3892</v>
      </c>
      <c r="L2224" s="11" t="s">
        <v>3893</v>
      </c>
      <c r="M2224" s="11">
        <v>255</v>
      </c>
      <c r="N2224" s="11"/>
      <c r="O2224" s="42">
        <v>255</v>
      </c>
      <c r="P2224" s="43" t="s">
        <v>4495</v>
      </c>
      <c r="Q2224" s="11">
        <v>39314.379999999997</v>
      </c>
      <c r="R2224" s="11" t="s">
        <v>3888</v>
      </c>
      <c r="S2224" s="11" t="s">
        <v>273</v>
      </c>
      <c r="T2224" s="11">
        <v>0</v>
      </c>
      <c r="V2224" s="11" t="s">
        <v>41</v>
      </c>
    </row>
    <row r="2225" spans="1:20" x14ac:dyDescent="0.25">
      <c r="A2225" s="11">
        <v>101060501</v>
      </c>
      <c r="B2225" s="11" t="s">
        <v>3632</v>
      </c>
      <c r="C2225" s="41">
        <v>44893</v>
      </c>
      <c r="D2225" s="41">
        <v>44893</v>
      </c>
      <c r="E2225" s="11" t="s">
        <v>3842</v>
      </c>
      <c r="F2225" s="11" t="s">
        <v>4238</v>
      </c>
      <c r="G2225" s="11">
        <v>109723</v>
      </c>
      <c r="H2225" s="11" t="s">
        <v>4239</v>
      </c>
      <c r="K2225" s="11">
        <v>101010301</v>
      </c>
      <c r="L2225" s="11" t="s">
        <v>3843</v>
      </c>
      <c r="M2225" s="11">
        <v>24.61</v>
      </c>
      <c r="N2225" s="11"/>
      <c r="O2225" s="42">
        <v>24.61</v>
      </c>
      <c r="P2225" s="43" t="s">
        <v>4495</v>
      </c>
      <c r="Q2225" s="11">
        <v>39338.99</v>
      </c>
      <c r="R2225" s="11" t="s">
        <v>3844</v>
      </c>
      <c r="S2225" s="11" t="s">
        <v>273</v>
      </c>
      <c r="T2225" s="11">
        <v>0</v>
      </c>
    </row>
    <row r="2226" spans="1:20" x14ac:dyDescent="0.25">
      <c r="A2226" s="11">
        <v>101060501</v>
      </c>
      <c r="B2226" s="11" t="s">
        <v>3632</v>
      </c>
      <c r="C2226" s="41">
        <v>44895</v>
      </c>
      <c r="D2226" s="41">
        <v>44895</v>
      </c>
      <c r="E2226" s="11" t="s">
        <v>203</v>
      </c>
      <c r="F2226" s="11" t="s">
        <v>4240</v>
      </c>
      <c r="G2226" s="11">
        <v>110117</v>
      </c>
      <c r="H2226" s="11" t="s">
        <v>4241</v>
      </c>
      <c r="K2226" s="11">
        <v>201040509</v>
      </c>
      <c r="L2226" s="11" t="s">
        <v>3891</v>
      </c>
      <c r="M2226" s="11">
        <v>65</v>
      </c>
      <c r="N2226" s="11"/>
      <c r="O2226" s="42">
        <v>65</v>
      </c>
      <c r="P2226" s="43" t="s">
        <v>4495</v>
      </c>
      <c r="Q2226" s="11">
        <v>39403.99</v>
      </c>
      <c r="R2226" s="11" t="s">
        <v>3844</v>
      </c>
      <c r="S2226" s="11" t="s">
        <v>202</v>
      </c>
      <c r="T2226" s="11">
        <v>0</v>
      </c>
    </row>
    <row r="2227" spans="1:20" x14ac:dyDescent="0.25">
      <c r="A2227" s="11">
        <v>101060501</v>
      </c>
      <c r="B2227" s="11" t="s">
        <v>3632</v>
      </c>
      <c r="C2227" s="41">
        <v>44895</v>
      </c>
      <c r="D2227" s="41">
        <v>44895</v>
      </c>
      <c r="E2227" s="11" t="s">
        <v>203</v>
      </c>
      <c r="F2227" s="11" t="s">
        <v>4242</v>
      </c>
      <c r="G2227" s="11">
        <v>110119</v>
      </c>
      <c r="H2227" s="11" t="s">
        <v>4243</v>
      </c>
      <c r="K2227" s="11">
        <v>201040509</v>
      </c>
      <c r="L2227" s="11" t="s">
        <v>3891</v>
      </c>
      <c r="M2227" s="11">
        <v>50</v>
      </c>
      <c r="N2227" s="11"/>
      <c r="O2227" s="42">
        <v>50</v>
      </c>
      <c r="P2227" s="43" t="s">
        <v>4495</v>
      </c>
      <c r="Q2227" s="11">
        <v>39453.99</v>
      </c>
      <c r="R2227" s="11" t="s">
        <v>3844</v>
      </c>
      <c r="S2227" s="11" t="s">
        <v>202</v>
      </c>
      <c r="T2227" s="11">
        <v>0</v>
      </c>
    </row>
    <row r="2228" spans="1:20" x14ac:dyDescent="0.25">
      <c r="A2228" s="11">
        <v>101060501</v>
      </c>
      <c r="B2228" s="11" t="s">
        <v>3632</v>
      </c>
      <c r="C2228" s="41">
        <v>44895</v>
      </c>
      <c r="D2228" s="41">
        <v>44895</v>
      </c>
      <c r="E2228" s="11" t="s">
        <v>203</v>
      </c>
      <c r="F2228" s="11" t="s">
        <v>4244</v>
      </c>
      <c r="G2228" s="11">
        <v>110120</v>
      </c>
      <c r="H2228" s="11" t="s">
        <v>4245</v>
      </c>
      <c r="K2228" s="11">
        <v>61040701</v>
      </c>
      <c r="L2228" s="11" t="s">
        <v>3878</v>
      </c>
      <c r="M2228" s="11"/>
      <c r="N2228" s="11">
        <v>15</v>
      </c>
      <c r="O2228" s="42">
        <v>-15</v>
      </c>
      <c r="P2228" s="43" t="s">
        <v>4495</v>
      </c>
      <c r="Q2228" s="11">
        <v>39438.99</v>
      </c>
      <c r="R2228" s="11" t="s">
        <v>3844</v>
      </c>
      <c r="S2228" s="11" t="s">
        <v>202</v>
      </c>
      <c r="T2228" s="11">
        <v>0</v>
      </c>
    </row>
    <row r="2229" spans="1:20" x14ac:dyDescent="0.25">
      <c r="A2229" s="11">
        <v>101060501</v>
      </c>
      <c r="B2229" s="11" t="s">
        <v>3632</v>
      </c>
      <c r="C2229" s="41">
        <v>44895</v>
      </c>
      <c r="D2229" s="41">
        <v>44895</v>
      </c>
      <c r="E2229" s="11" t="s">
        <v>203</v>
      </c>
      <c r="F2229" s="11" t="s">
        <v>4246</v>
      </c>
      <c r="G2229" s="11">
        <v>110135</v>
      </c>
      <c r="H2229" s="11" t="s">
        <v>4247</v>
      </c>
      <c r="K2229" s="11">
        <v>401030105</v>
      </c>
      <c r="L2229" s="11" t="s">
        <v>54</v>
      </c>
      <c r="M2229" s="11">
        <v>51</v>
      </c>
      <c r="N2229" s="11"/>
      <c r="O2229" s="42">
        <v>51</v>
      </c>
      <c r="P2229" s="43" t="s">
        <v>4495</v>
      </c>
      <c r="Q2229" s="11">
        <v>39489.99</v>
      </c>
      <c r="R2229" s="11" t="s">
        <v>3844</v>
      </c>
      <c r="S2229" s="11" t="s">
        <v>202</v>
      </c>
      <c r="T2229" s="11">
        <v>0</v>
      </c>
    </row>
    <row r="2230" spans="1:20" x14ac:dyDescent="0.25">
      <c r="A2230" s="11">
        <v>101060501</v>
      </c>
      <c r="B2230" s="11" t="s">
        <v>3632</v>
      </c>
      <c r="C2230" s="41">
        <v>44895</v>
      </c>
      <c r="D2230" s="41">
        <v>44895</v>
      </c>
      <c r="E2230" s="11" t="s">
        <v>203</v>
      </c>
      <c r="F2230" s="11" t="s">
        <v>4248</v>
      </c>
      <c r="G2230" s="11">
        <v>110141</v>
      </c>
      <c r="H2230" s="11" t="s">
        <v>4249</v>
      </c>
      <c r="K2230" s="11">
        <v>401030105</v>
      </c>
      <c r="L2230" s="11" t="s">
        <v>54</v>
      </c>
      <c r="M2230" s="11">
        <v>54.19</v>
      </c>
      <c r="N2230" s="11"/>
      <c r="O2230" s="42">
        <v>54.19</v>
      </c>
      <c r="P2230" s="43" t="s">
        <v>4495</v>
      </c>
      <c r="Q2230" s="11">
        <v>39544.18</v>
      </c>
      <c r="R2230" s="11" t="s">
        <v>3844</v>
      </c>
      <c r="S2230" s="11" t="s">
        <v>202</v>
      </c>
      <c r="T2230" s="11">
        <v>0</v>
      </c>
    </row>
    <row r="2231" spans="1:20" x14ac:dyDescent="0.25">
      <c r="A2231" s="11">
        <v>101060501</v>
      </c>
      <c r="B2231" s="11" t="s">
        <v>3632</v>
      </c>
      <c r="C2231" s="41">
        <v>44895</v>
      </c>
      <c r="D2231" s="41">
        <v>44895</v>
      </c>
      <c r="E2231" s="11" t="s">
        <v>203</v>
      </c>
      <c r="F2231" s="11" t="s">
        <v>4250</v>
      </c>
      <c r="G2231" s="11">
        <v>110146</v>
      </c>
      <c r="H2231" s="11" t="s">
        <v>4251</v>
      </c>
      <c r="K2231" s="11">
        <v>201040509</v>
      </c>
      <c r="L2231" s="11" t="s">
        <v>3891</v>
      </c>
      <c r="M2231" s="11">
        <v>120</v>
      </c>
      <c r="N2231" s="11"/>
      <c r="O2231" s="42">
        <v>120</v>
      </c>
      <c r="P2231" s="43" t="s">
        <v>4495</v>
      </c>
      <c r="Q2231" s="11">
        <v>39664.18</v>
      </c>
      <c r="R2231" s="11" t="s">
        <v>3844</v>
      </c>
      <c r="S2231" s="11" t="s">
        <v>202</v>
      </c>
      <c r="T2231" s="11">
        <v>0</v>
      </c>
    </row>
    <row r="2232" spans="1:20" x14ac:dyDescent="0.25">
      <c r="A2232" s="11">
        <v>101060501</v>
      </c>
      <c r="B2232" s="11" t="s">
        <v>3632</v>
      </c>
      <c r="C2232" s="41">
        <v>44895</v>
      </c>
      <c r="D2232" s="41">
        <v>44895</v>
      </c>
      <c r="E2232" s="11" t="s">
        <v>203</v>
      </c>
      <c r="F2232" s="11" t="s">
        <v>4252</v>
      </c>
      <c r="G2232" s="11">
        <v>110147</v>
      </c>
      <c r="H2232" s="11" t="s">
        <v>3911</v>
      </c>
      <c r="K2232" s="11">
        <v>201040509</v>
      </c>
      <c r="L2232" s="11" t="s">
        <v>3891</v>
      </c>
      <c r="M2232" s="11"/>
      <c r="N2232" s="11">
        <v>65</v>
      </c>
      <c r="O2232" s="42">
        <v>-65</v>
      </c>
      <c r="P2232" s="43" t="s">
        <v>4495</v>
      </c>
      <c r="Q2232" s="11">
        <v>39599.18</v>
      </c>
      <c r="R2232" s="11" t="s">
        <v>3844</v>
      </c>
      <c r="S2232" s="11" t="s">
        <v>202</v>
      </c>
      <c r="T2232" s="11">
        <v>0</v>
      </c>
    </row>
    <row r="2233" spans="1:20" x14ac:dyDescent="0.25">
      <c r="A2233" s="11">
        <v>101060501</v>
      </c>
      <c r="B2233" s="11" t="s">
        <v>3632</v>
      </c>
      <c r="C2233" s="41">
        <v>44895</v>
      </c>
      <c r="D2233" s="41">
        <v>44895</v>
      </c>
      <c r="E2233" s="11" t="s">
        <v>203</v>
      </c>
      <c r="F2233" s="11" t="s">
        <v>4253</v>
      </c>
      <c r="G2233" s="11">
        <v>110148</v>
      </c>
      <c r="H2233" s="11" t="s">
        <v>4254</v>
      </c>
      <c r="K2233" s="11">
        <v>101050101</v>
      </c>
      <c r="L2233" s="11" t="s">
        <v>3868</v>
      </c>
      <c r="M2233" s="11"/>
      <c r="N2233" s="11">
        <v>1017.31</v>
      </c>
      <c r="O2233" s="42">
        <v>-1017.31</v>
      </c>
      <c r="P2233" s="43" t="s">
        <v>4495</v>
      </c>
      <c r="Q2233" s="11">
        <v>38581.870000000003</v>
      </c>
      <c r="R2233" s="11" t="s">
        <v>3844</v>
      </c>
      <c r="S2233" s="11" t="s">
        <v>202</v>
      </c>
      <c r="T2233" s="11">
        <v>0</v>
      </c>
    </row>
    <row r="2234" spans="1:20" x14ac:dyDescent="0.25">
      <c r="A2234" s="11">
        <v>101060501</v>
      </c>
      <c r="B2234" s="11" t="s">
        <v>3632</v>
      </c>
      <c r="C2234" s="41">
        <v>44895</v>
      </c>
      <c r="D2234" s="41">
        <v>44895</v>
      </c>
      <c r="E2234" s="11" t="s">
        <v>203</v>
      </c>
      <c r="F2234" s="11" t="s">
        <v>4255</v>
      </c>
      <c r="G2234" s="11">
        <v>110157</v>
      </c>
      <c r="H2234" s="11" t="s">
        <v>4256</v>
      </c>
      <c r="K2234" s="11">
        <v>401030105</v>
      </c>
      <c r="L2234" s="11" t="s">
        <v>54</v>
      </c>
      <c r="M2234" s="11"/>
      <c r="N2234" s="11">
        <v>34</v>
      </c>
      <c r="O2234" s="42">
        <v>-34</v>
      </c>
      <c r="P2234" s="43" t="s">
        <v>4495</v>
      </c>
      <c r="Q2234" s="11">
        <v>38547.870000000003</v>
      </c>
      <c r="R2234" s="11" t="s">
        <v>3844</v>
      </c>
      <c r="S2234" s="11" t="s">
        <v>202</v>
      </c>
      <c r="T2234" s="11">
        <v>0</v>
      </c>
    </row>
    <row r="2235" spans="1:20" x14ac:dyDescent="0.25">
      <c r="A2235" s="11">
        <v>101060501</v>
      </c>
      <c r="B2235" s="11" t="s">
        <v>3632</v>
      </c>
      <c r="C2235" s="41">
        <v>44895</v>
      </c>
      <c r="D2235" s="41">
        <v>44895</v>
      </c>
      <c r="E2235" s="11" t="s">
        <v>203</v>
      </c>
      <c r="F2235" s="11" t="s">
        <v>4257</v>
      </c>
      <c r="G2235" s="11">
        <v>110160</v>
      </c>
      <c r="H2235" s="11" t="s">
        <v>4258</v>
      </c>
      <c r="K2235" s="11">
        <v>401030105</v>
      </c>
      <c r="L2235" s="11" t="s">
        <v>54</v>
      </c>
      <c r="M2235" s="11"/>
      <c r="N2235" s="11">
        <v>7.05</v>
      </c>
      <c r="O2235" s="42">
        <v>-7.05</v>
      </c>
      <c r="P2235" s="43" t="s">
        <v>4495</v>
      </c>
      <c r="Q2235" s="11">
        <v>38540.82</v>
      </c>
      <c r="R2235" s="11" t="s">
        <v>3844</v>
      </c>
      <c r="S2235" s="11" t="s">
        <v>202</v>
      </c>
      <c r="T2235" s="11">
        <v>0</v>
      </c>
    </row>
    <row r="2236" spans="1:20" x14ac:dyDescent="0.25">
      <c r="A2236" s="11">
        <v>101060501</v>
      </c>
      <c r="B2236" s="11" t="s">
        <v>3632</v>
      </c>
      <c r="C2236" s="41">
        <v>44895</v>
      </c>
      <c r="D2236" s="41">
        <v>44895</v>
      </c>
      <c r="E2236" s="11" t="s">
        <v>203</v>
      </c>
      <c r="F2236" s="11" t="s">
        <v>4259</v>
      </c>
      <c r="G2236" s="11">
        <v>110163</v>
      </c>
      <c r="H2236" s="11" t="s">
        <v>4105</v>
      </c>
      <c r="K2236" s="11">
        <v>401030105</v>
      </c>
      <c r="L2236" s="11" t="s">
        <v>54</v>
      </c>
      <c r="M2236" s="11">
        <v>298.08</v>
      </c>
      <c r="N2236" s="11"/>
      <c r="O2236" s="42">
        <v>298.08</v>
      </c>
      <c r="P2236" s="43" t="s">
        <v>4495</v>
      </c>
      <c r="Q2236" s="11">
        <v>38838.9</v>
      </c>
      <c r="R2236" s="11" t="s">
        <v>3844</v>
      </c>
      <c r="S2236" s="11" t="s">
        <v>202</v>
      </c>
      <c r="T2236" s="11">
        <v>0</v>
      </c>
    </row>
    <row r="2237" spans="1:20" x14ac:dyDescent="0.25">
      <c r="A2237" s="11">
        <v>101060501</v>
      </c>
      <c r="B2237" s="11" t="s">
        <v>3632</v>
      </c>
      <c r="C2237" s="41">
        <v>44895</v>
      </c>
      <c r="D2237" s="41">
        <v>44895</v>
      </c>
      <c r="E2237" s="11" t="s">
        <v>203</v>
      </c>
      <c r="F2237" s="11" t="s">
        <v>4260</v>
      </c>
      <c r="G2237" s="11">
        <v>110168</v>
      </c>
      <c r="H2237" s="11" t="s">
        <v>4261</v>
      </c>
      <c r="K2237" s="11" t="s">
        <v>3886</v>
      </c>
      <c r="L2237" s="11" t="s">
        <v>3887</v>
      </c>
      <c r="M2237" s="11">
        <v>2399.23</v>
      </c>
      <c r="N2237" s="11"/>
      <c r="O2237" s="42">
        <v>2399.23</v>
      </c>
      <c r="P2237" s="43" t="s">
        <v>4495</v>
      </c>
      <c r="Q2237" s="11">
        <v>41238.129999999997</v>
      </c>
      <c r="R2237" s="11" t="s">
        <v>3844</v>
      </c>
      <c r="S2237" s="11" t="s">
        <v>202</v>
      </c>
      <c r="T2237" s="11">
        <v>0</v>
      </c>
    </row>
    <row r="2238" spans="1:20" x14ac:dyDescent="0.25">
      <c r="A2238" s="11">
        <v>101060501</v>
      </c>
      <c r="B2238" s="11" t="s">
        <v>3632</v>
      </c>
      <c r="C2238" s="41">
        <v>44895</v>
      </c>
      <c r="D2238" s="41">
        <v>44895</v>
      </c>
      <c r="E2238" s="11" t="s">
        <v>203</v>
      </c>
      <c r="F2238" s="11" t="s">
        <v>4262</v>
      </c>
      <c r="G2238" s="11">
        <v>110171</v>
      </c>
      <c r="H2238" s="11" t="s">
        <v>3914</v>
      </c>
      <c r="K2238" s="11">
        <v>201040509</v>
      </c>
      <c r="L2238" s="11" t="s">
        <v>3891</v>
      </c>
      <c r="M2238" s="11"/>
      <c r="N2238" s="11">
        <v>100</v>
      </c>
      <c r="O2238" s="42">
        <v>-100</v>
      </c>
      <c r="P2238" s="43" t="s">
        <v>4495</v>
      </c>
      <c r="Q2238" s="11">
        <v>41138.129999999997</v>
      </c>
      <c r="R2238" s="11" t="s">
        <v>3844</v>
      </c>
      <c r="S2238" s="11" t="s">
        <v>202</v>
      </c>
      <c r="T2238" s="11">
        <v>0</v>
      </c>
    </row>
    <row r="2239" spans="1:20" x14ac:dyDescent="0.25">
      <c r="A2239" s="11">
        <v>101060501</v>
      </c>
      <c r="B2239" s="11" t="s">
        <v>3632</v>
      </c>
      <c r="C2239" s="41">
        <v>44895</v>
      </c>
      <c r="D2239" s="41">
        <v>44895</v>
      </c>
      <c r="E2239" s="11" t="s">
        <v>203</v>
      </c>
      <c r="F2239" s="11" t="s">
        <v>4263</v>
      </c>
      <c r="G2239" s="11">
        <v>110174</v>
      </c>
      <c r="H2239" s="11" t="s">
        <v>4264</v>
      </c>
      <c r="K2239" s="11">
        <v>201040508</v>
      </c>
      <c r="L2239" s="11" t="s">
        <v>3867</v>
      </c>
      <c r="M2239" s="11"/>
      <c r="N2239" s="11">
        <v>2089.59</v>
      </c>
      <c r="O2239" s="42">
        <v>-2089.59</v>
      </c>
      <c r="P2239" s="43" t="s">
        <v>4495</v>
      </c>
      <c r="Q2239" s="11">
        <v>39048.54</v>
      </c>
      <c r="R2239" s="11" t="s">
        <v>3844</v>
      </c>
      <c r="S2239" s="11" t="s">
        <v>202</v>
      </c>
      <c r="T2239" s="11">
        <v>0</v>
      </c>
    </row>
    <row r="2240" spans="1:20" x14ac:dyDescent="0.25">
      <c r="A2240" s="11">
        <v>101060501</v>
      </c>
      <c r="B2240" s="11" t="s">
        <v>3632</v>
      </c>
      <c r="C2240" s="41">
        <v>44895</v>
      </c>
      <c r="D2240" s="41">
        <v>44895</v>
      </c>
      <c r="E2240" s="11" t="s">
        <v>203</v>
      </c>
      <c r="F2240" s="11" t="s">
        <v>4265</v>
      </c>
      <c r="G2240" s="11">
        <v>110175</v>
      </c>
      <c r="H2240" s="11" t="s">
        <v>4266</v>
      </c>
      <c r="K2240" s="11">
        <v>401030105</v>
      </c>
      <c r="L2240" s="11" t="s">
        <v>54</v>
      </c>
      <c r="M2240" s="11"/>
      <c r="N2240" s="11">
        <v>209.64</v>
      </c>
      <c r="O2240" s="42">
        <v>-209.64</v>
      </c>
      <c r="P2240" s="43" t="s">
        <v>4495</v>
      </c>
      <c r="Q2240" s="11">
        <v>38838.9</v>
      </c>
      <c r="R2240" s="11" t="s">
        <v>3844</v>
      </c>
      <c r="S2240" s="11" t="s">
        <v>202</v>
      </c>
      <c r="T2240" s="11">
        <v>0</v>
      </c>
    </row>
    <row r="2241" spans="1:22" x14ac:dyDescent="0.25">
      <c r="A2241" s="11">
        <v>101060501</v>
      </c>
      <c r="B2241" s="11" t="s">
        <v>3632</v>
      </c>
      <c r="C2241" s="41">
        <v>44895</v>
      </c>
      <c r="D2241" s="41">
        <v>44895</v>
      </c>
      <c r="E2241" s="11" t="s">
        <v>203</v>
      </c>
      <c r="F2241" s="11" t="s">
        <v>4267</v>
      </c>
      <c r="G2241" s="11">
        <v>110176</v>
      </c>
      <c r="H2241" s="11" t="s">
        <v>4268</v>
      </c>
      <c r="K2241" s="11">
        <v>101050101</v>
      </c>
      <c r="L2241" s="11" t="s">
        <v>3868</v>
      </c>
      <c r="M2241" s="11"/>
      <c r="N2241" s="11">
        <v>1083.97</v>
      </c>
      <c r="O2241" s="42">
        <v>-1083.97</v>
      </c>
      <c r="P2241" s="43" t="s">
        <v>4495</v>
      </c>
      <c r="Q2241" s="11">
        <v>37754.93</v>
      </c>
      <c r="R2241" s="11" t="s">
        <v>3844</v>
      </c>
      <c r="S2241" s="11" t="s">
        <v>202</v>
      </c>
      <c r="T2241" s="11">
        <v>0</v>
      </c>
    </row>
    <row r="2242" spans="1:22" x14ac:dyDescent="0.25">
      <c r="A2242" s="11">
        <v>101060501</v>
      </c>
      <c r="B2242" s="11" t="s">
        <v>3632</v>
      </c>
      <c r="C2242" s="41">
        <v>44895</v>
      </c>
      <c r="D2242" s="41">
        <v>44895</v>
      </c>
      <c r="E2242" s="11" t="s">
        <v>203</v>
      </c>
      <c r="F2242" s="11" t="s">
        <v>4269</v>
      </c>
      <c r="G2242" s="11">
        <v>110177</v>
      </c>
      <c r="H2242" s="11" t="s">
        <v>3918</v>
      </c>
      <c r="K2242" s="11">
        <v>101050101</v>
      </c>
      <c r="L2242" s="11" t="s">
        <v>3868</v>
      </c>
      <c r="M2242" s="11"/>
      <c r="N2242" s="11">
        <v>263.52</v>
      </c>
      <c r="O2242" s="42">
        <v>-263.52</v>
      </c>
      <c r="P2242" s="43" t="s">
        <v>4495</v>
      </c>
      <c r="Q2242" s="11">
        <v>37491.410000000003</v>
      </c>
      <c r="R2242" s="11" t="s">
        <v>3844</v>
      </c>
      <c r="S2242" s="11" t="s">
        <v>202</v>
      </c>
      <c r="T2242" s="11">
        <v>0</v>
      </c>
    </row>
    <row r="2243" spans="1:22" x14ac:dyDescent="0.25">
      <c r="A2243" s="11">
        <v>101060501</v>
      </c>
      <c r="B2243" s="11" t="s">
        <v>3632</v>
      </c>
      <c r="C2243" s="41">
        <v>44895</v>
      </c>
      <c r="D2243" s="41">
        <v>44895</v>
      </c>
      <c r="E2243" s="11" t="s">
        <v>203</v>
      </c>
      <c r="F2243" s="11" t="s">
        <v>4270</v>
      </c>
      <c r="G2243" s="11">
        <v>110178</v>
      </c>
      <c r="H2243" s="11" t="s">
        <v>4081</v>
      </c>
      <c r="K2243" s="11">
        <v>201040509</v>
      </c>
      <c r="L2243" s="11" t="s">
        <v>3891</v>
      </c>
      <c r="M2243" s="11"/>
      <c r="N2243" s="11">
        <v>65</v>
      </c>
      <c r="O2243" s="42">
        <v>-65</v>
      </c>
      <c r="P2243" s="43" t="s">
        <v>4495</v>
      </c>
      <c r="Q2243" s="11">
        <v>37426.410000000003</v>
      </c>
      <c r="R2243" s="11" t="s">
        <v>3844</v>
      </c>
      <c r="S2243" s="11" t="s">
        <v>202</v>
      </c>
      <c r="T2243" s="11">
        <v>0</v>
      </c>
    </row>
    <row r="2244" spans="1:22" x14ac:dyDescent="0.25">
      <c r="A2244" s="11">
        <v>101060501</v>
      </c>
      <c r="B2244" s="11" t="s">
        <v>3632</v>
      </c>
      <c r="C2244" s="41">
        <v>44895</v>
      </c>
      <c r="D2244" s="41">
        <v>44895</v>
      </c>
      <c r="E2244" s="11" t="s">
        <v>203</v>
      </c>
      <c r="F2244" s="11" t="s">
        <v>4271</v>
      </c>
      <c r="G2244" s="11">
        <v>110179</v>
      </c>
      <c r="H2244" s="11" t="s">
        <v>3988</v>
      </c>
      <c r="K2244" s="11">
        <v>201040509</v>
      </c>
      <c r="L2244" s="11" t="s">
        <v>3891</v>
      </c>
      <c r="M2244" s="11"/>
      <c r="N2244" s="11">
        <v>65</v>
      </c>
      <c r="O2244" s="42">
        <v>-65</v>
      </c>
      <c r="P2244" s="43" t="s">
        <v>4495</v>
      </c>
      <c r="Q2244" s="11">
        <v>37361.410000000003</v>
      </c>
      <c r="R2244" s="11" t="s">
        <v>3844</v>
      </c>
      <c r="S2244" s="11" t="s">
        <v>202</v>
      </c>
      <c r="T2244" s="11">
        <v>0</v>
      </c>
    </row>
    <row r="2245" spans="1:22" x14ac:dyDescent="0.25">
      <c r="A2245" s="11">
        <v>101060501</v>
      </c>
      <c r="B2245" s="11" t="s">
        <v>3632</v>
      </c>
      <c r="C2245" s="41">
        <v>44895</v>
      </c>
      <c r="D2245" s="41">
        <v>44895</v>
      </c>
      <c r="E2245" s="11" t="s">
        <v>203</v>
      </c>
      <c r="F2245" s="11" t="s">
        <v>4272</v>
      </c>
      <c r="G2245" s="11">
        <v>110180</v>
      </c>
      <c r="H2245" s="11" t="s">
        <v>4273</v>
      </c>
      <c r="K2245" s="11">
        <v>101050101</v>
      </c>
      <c r="L2245" s="11" t="s">
        <v>3868</v>
      </c>
      <c r="M2245" s="11"/>
      <c r="N2245" s="11">
        <v>293.27</v>
      </c>
      <c r="O2245" s="42">
        <v>-293.27</v>
      </c>
      <c r="P2245" s="43" t="s">
        <v>4495</v>
      </c>
      <c r="Q2245" s="11">
        <v>37068.14</v>
      </c>
      <c r="R2245" s="11" t="s">
        <v>3844</v>
      </c>
      <c r="S2245" s="11" t="s">
        <v>202</v>
      </c>
      <c r="T2245" s="11">
        <v>0</v>
      </c>
    </row>
    <row r="2246" spans="1:22" x14ac:dyDescent="0.25">
      <c r="A2246" s="11">
        <v>101060501</v>
      </c>
      <c r="B2246" s="11" t="s">
        <v>3632</v>
      </c>
      <c r="C2246" s="41">
        <v>44896</v>
      </c>
      <c r="D2246" s="41">
        <v>44958</v>
      </c>
      <c r="E2246" s="11" t="s">
        <v>3847</v>
      </c>
      <c r="F2246" s="11" t="s">
        <v>4274</v>
      </c>
      <c r="G2246" s="11">
        <v>109598</v>
      </c>
      <c r="H2246" s="11" t="s">
        <v>4275</v>
      </c>
      <c r="K2246" s="11" t="s">
        <v>3861</v>
      </c>
      <c r="L2246" s="11" t="s">
        <v>3862</v>
      </c>
      <c r="M2246" s="11">
        <v>161451</v>
      </c>
      <c r="N2246" s="11"/>
      <c r="O2246" s="42">
        <v>161451</v>
      </c>
      <c r="P2246" s="43" t="s">
        <v>4495</v>
      </c>
      <c r="Q2246" s="11">
        <v>198519.14</v>
      </c>
      <c r="R2246" s="11" t="s">
        <v>3844</v>
      </c>
      <c r="S2246" s="11" t="s">
        <v>137</v>
      </c>
      <c r="T2246" s="11">
        <v>0</v>
      </c>
    </row>
    <row r="2247" spans="1:22" x14ac:dyDescent="0.25">
      <c r="A2247" s="11">
        <v>101060501</v>
      </c>
      <c r="B2247" s="11" t="s">
        <v>3632</v>
      </c>
      <c r="C2247" s="41">
        <v>44896</v>
      </c>
      <c r="D2247" s="41">
        <v>44896</v>
      </c>
      <c r="E2247" s="11" t="s">
        <v>36</v>
      </c>
      <c r="F2247" s="11" t="s">
        <v>3763</v>
      </c>
      <c r="G2247" s="11">
        <v>109604</v>
      </c>
      <c r="H2247" s="11" t="s">
        <v>3635</v>
      </c>
      <c r="K2247" s="11">
        <v>101060408</v>
      </c>
      <c r="L2247" s="11" t="s">
        <v>82</v>
      </c>
      <c r="M2247" s="11"/>
      <c r="N2247" s="11">
        <v>161451</v>
      </c>
      <c r="O2247" s="42">
        <v>-161451</v>
      </c>
      <c r="P2247" s="43" t="s">
        <v>4492</v>
      </c>
      <c r="Q2247" s="11">
        <v>37068.14</v>
      </c>
      <c r="R2247" s="11" t="s">
        <v>3844</v>
      </c>
      <c r="S2247" s="11" t="s">
        <v>137</v>
      </c>
      <c r="T2247" s="11">
        <v>0</v>
      </c>
    </row>
    <row r="2248" spans="1:22" x14ac:dyDescent="0.25">
      <c r="A2248" s="11">
        <v>101060501</v>
      </c>
      <c r="B2248" s="11" t="s">
        <v>3632</v>
      </c>
      <c r="C2248" s="41">
        <v>44896</v>
      </c>
      <c r="D2248" s="41">
        <v>44896</v>
      </c>
      <c r="E2248" s="11" t="s">
        <v>36</v>
      </c>
      <c r="F2248" s="11" t="s">
        <v>3765</v>
      </c>
      <c r="G2248" s="11">
        <v>109613</v>
      </c>
      <c r="H2248" s="11" t="s">
        <v>3766</v>
      </c>
      <c r="K2248" s="11">
        <v>101060408</v>
      </c>
      <c r="L2248" s="11" t="s">
        <v>82</v>
      </c>
      <c r="M2248" s="11"/>
      <c r="N2248" s="11">
        <v>9822.89</v>
      </c>
      <c r="O2248" s="42">
        <v>-9822.89</v>
      </c>
      <c r="P2248" s="43" t="s">
        <v>4492</v>
      </c>
      <c r="Q2248" s="11">
        <v>27245.25</v>
      </c>
      <c r="R2248" s="11" t="s">
        <v>3844</v>
      </c>
      <c r="S2248" s="11" t="s">
        <v>137</v>
      </c>
      <c r="T2248" s="11">
        <v>0</v>
      </c>
    </row>
    <row r="2249" spans="1:22" x14ac:dyDescent="0.25">
      <c r="A2249" s="11">
        <v>101060501</v>
      </c>
      <c r="B2249" s="11" t="s">
        <v>3632</v>
      </c>
      <c r="C2249" s="41">
        <v>44896</v>
      </c>
      <c r="D2249" s="41">
        <v>44896</v>
      </c>
      <c r="E2249" s="11" t="s">
        <v>3842</v>
      </c>
      <c r="F2249" s="11" t="s">
        <v>4276</v>
      </c>
      <c r="G2249" s="11">
        <v>110663</v>
      </c>
      <c r="H2249" s="11" t="s">
        <v>4277</v>
      </c>
      <c r="K2249" s="11">
        <v>101010301</v>
      </c>
      <c r="L2249" s="11" t="s">
        <v>3843</v>
      </c>
      <c r="M2249" s="11">
        <v>65</v>
      </c>
      <c r="N2249" s="11"/>
      <c r="O2249" s="42">
        <v>65</v>
      </c>
      <c r="P2249" s="43" t="s">
        <v>4495</v>
      </c>
      <c r="Q2249" s="11">
        <v>27310.25</v>
      </c>
      <c r="R2249" s="11" t="s">
        <v>267</v>
      </c>
      <c r="S2249" s="11" t="s">
        <v>273</v>
      </c>
      <c r="T2249" s="11">
        <v>0</v>
      </c>
    </row>
    <row r="2250" spans="1:22" x14ac:dyDescent="0.25">
      <c r="A2250" s="11">
        <v>101060501</v>
      </c>
      <c r="B2250" s="11" t="s">
        <v>3632</v>
      </c>
      <c r="C2250" s="41">
        <v>44896</v>
      </c>
      <c r="D2250" s="41">
        <v>44896</v>
      </c>
      <c r="E2250" s="11" t="s">
        <v>3842</v>
      </c>
      <c r="F2250" s="11" t="s">
        <v>4278</v>
      </c>
      <c r="G2250" s="11">
        <v>110664</v>
      </c>
      <c r="H2250" s="11" t="s">
        <v>4279</v>
      </c>
      <c r="K2250" s="11">
        <v>101010301</v>
      </c>
      <c r="L2250" s="11" t="s">
        <v>3843</v>
      </c>
      <c r="M2250" s="11">
        <v>153.63</v>
      </c>
      <c r="N2250" s="11"/>
      <c r="O2250" s="42">
        <v>153.63</v>
      </c>
      <c r="P2250" s="43" t="s">
        <v>4495</v>
      </c>
      <c r="Q2250" s="11">
        <v>27463.88</v>
      </c>
      <c r="R2250" s="11" t="s">
        <v>4280</v>
      </c>
      <c r="S2250" s="11" t="s">
        <v>273</v>
      </c>
      <c r="T2250" s="11">
        <v>0</v>
      </c>
    </row>
    <row r="2251" spans="1:22" x14ac:dyDescent="0.25">
      <c r="A2251" s="11">
        <v>101060501</v>
      </c>
      <c r="B2251" s="11" t="s">
        <v>3632</v>
      </c>
      <c r="C2251" s="41">
        <v>44896</v>
      </c>
      <c r="D2251" s="41">
        <v>44896</v>
      </c>
      <c r="E2251" s="11" t="s">
        <v>3847</v>
      </c>
      <c r="F2251" s="11" t="s">
        <v>4281</v>
      </c>
      <c r="G2251" s="11">
        <v>110677</v>
      </c>
      <c r="H2251" s="11" t="s">
        <v>4282</v>
      </c>
      <c r="K2251" s="11" t="s">
        <v>3848</v>
      </c>
      <c r="L2251" s="11" t="s">
        <v>3849</v>
      </c>
      <c r="M2251" s="11">
        <v>11.31</v>
      </c>
      <c r="N2251" s="11"/>
      <c r="O2251" s="42">
        <v>11.31</v>
      </c>
      <c r="P2251" s="43" t="s">
        <v>4495</v>
      </c>
      <c r="Q2251" s="11">
        <v>27475.19</v>
      </c>
      <c r="R2251" s="11" t="s">
        <v>3844</v>
      </c>
      <c r="S2251" s="11" t="s">
        <v>273</v>
      </c>
      <c r="T2251" s="11">
        <v>0</v>
      </c>
    </row>
    <row r="2252" spans="1:22" x14ac:dyDescent="0.25">
      <c r="A2252" s="11">
        <v>101060501</v>
      </c>
      <c r="B2252" s="11" t="s">
        <v>3632</v>
      </c>
      <c r="C2252" s="41">
        <v>44896</v>
      </c>
      <c r="D2252" s="41">
        <v>44896</v>
      </c>
      <c r="E2252" s="11" t="s">
        <v>3847</v>
      </c>
      <c r="F2252" s="11" t="s">
        <v>4283</v>
      </c>
      <c r="G2252" s="11">
        <v>111502</v>
      </c>
      <c r="H2252" s="11" t="s">
        <v>4284</v>
      </c>
      <c r="K2252" s="11" t="s">
        <v>3889</v>
      </c>
      <c r="L2252" s="11" t="s">
        <v>3890</v>
      </c>
      <c r="M2252" s="11">
        <v>1700</v>
      </c>
      <c r="N2252" s="11"/>
      <c r="O2252" s="42">
        <v>1700</v>
      </c>
      <c r="P2252" s="43" t="s">
        <v>4495</v>
      </c>
      <c r="Q2252" s="11">
        <v>29175.19</v>
      </c>
      <c r="R2252" s="11" t="s">
        <v>3844</v>
      </c>
      <c r="S2252" s="11" t="s">
        <v>273</v>
      </c>
      <c r="T2252" s="11">
        <v>0</v>
      </c>
    </row>
    <row r="2253" spans="1:22" x14ac:dyDescent="0.25">
      <c r="A2253" s="11">
        <v>101060501</v>
      </c>
      <c r="B2253" s="11" t="s">
        <v>3632</v>
      </c>
      <c r="C2253" s="41">
        <v>44897</v>
      </c>
      <c r="D2253" s="41">
        <v>44957</v>
      </c>
      <c r="E2253" s="11" t="s">
        <v>42</v>
      </c>
      <c r="F2253" s="11" t="s">
        <v>4285</v>
      </c>
      <c r="G2253" s="11">
        <v>109742</v>
      </c>
      <c r="H2253" s="11" t="s">
        <v>4286</v>
      </c>
      <c r="J2253" s="11" t="s">
        <v>38</v>
      </c>
      <c r="K2253" s="11" t="s">
        <v>3871</v>
      </c>
      <c r="L2253" s="11" t="s">
        <v>3872</v>
      </c>
      <c r="M2253" s="11">
        <v>212.5</v>
      </c>
      <c r="N2253" s="11"/>
      <c r="O2253" s="42">
        <v>212.5</v>
      </c>
      <c r="P2253" s="43" t="s">
        <v>4495</v>
      </c>
      <c r="Q2253" s="11">
        <v>29387.69</v>
      </c>
      <c r="R2253" s="11" t="s">
        <v>3844</v>
      </c>
      <c r="S2253" s="11" t="s">
        <v>273</v>
      </c>
      <c r="T2253" s="11">
        <v>0</v>
      </c>
      <c r="V2253" s="11" t="s">
        <v>41</v>
      </c>
    </row>
    <row r="2254" spans="1:22" x14ac:dyDescent="0.25">
      <c r="A2254" s="11">
        <v>101060501</v>
      </c>
      <c r="B2254" s="11" t="s">
        <v>3632</v>
      </c>
      <c r="C2254" s="41">
        <v>44897</v>
      </c>
      <c r="D2254" s="41">
        <v>44957</v>
      </c>
      <c r="E2254" s="11" t="s">
        <v>42</v>
      </c>
      <c r="F2254" s="11" t="s">
        <v>4287</v>
      </c>
      <c r="G2254" s="11">
        <v>109775</v>
      </c>
      <c r="H2254" s="11" t="s">
        <v>4288</v>
      </c>
      <c r="K2254" s="11" t="s">
        <v>3845</v>
      </c>
      <c r="L2254" s="11" t="s">
        <v>3846</v>
      </c>
      <c r="M2254" s="11">
        <v>178.84</v>
      </c>
      <c r="N2254" s="11"/>
      <c r="O2254" s="42">
        <v>178.84</v>
      </c>
      <c r="P2254" s="43" t="s">
        <v>4495</v>
      </c>
      <c r="Q2254" s="11">
        <v>29566.53</v>
      </c>
      <c r="R2254" s="11" t="s">
        <v>3844</v>
      </c>
      <c r="S2254" s="11" t="s">
        <v>273</v>
      </c>
      <c r="T2254" s="11">
        <v>0</v>
      </c>
    </row>
    <row r="2255" spans="1:22" x14ac:dyDescent="0.25">
      <c r="A2255" s="11">
        <v>101060501</v>
      </c>
      <c r="B2255" s="11" t="s">
        <v>3632</v>
      </c>
      <c r="C2255" s="41">
        <v>44897</v>
      </c>
      <c r="D2255" s="41">
        <v>44957</v>
      </c>
      <c r="E2255" s="11" t="s">
        <v>3883</v>
      </c>
      <c r="F2255" s="11" t="s">
        <v>4289</v>
      </c>
      <c r="G2255" s="11">
        <v>110509</v>
      </c>
      <c r="H2255" s="11" t="s">
        <v>3910</v>
      </c>
      <c r="J2255" s="11" t="s">
        <v>38</v>
      </c>
      <c r="K2255" s="11" t="s">
        <v>3871</v>
      </c>
      <c r="L2255" s="11" t="s">
        <v>3872</v>
      </c>
      <c r="M2255" s="11"/>
      <c r="N2255" s="11">
        <v>212.5</v>
      </c>
      <c r="O2255" s="42">
        <v>-212.5</v>
      </c>
      <c r="P2255" s="43" t="s">
        <v>4495</v>
      </c>
      <c r="Q2255" s="11">
        <v>29354.03</v>
      </c>
      <c r="R2255" s="11" t="s">
        <v>3844</v>
      </c>
      <c r="S2255" s="11" t="s">
        <v>273</v>
      </c>
      <c r="T2255" s="11">
        <v>0</v>
      </c>
      <c r="V2255" s="11" t="s">
        <v>41</v>
      </c>
    </row>
    <row r="2256" spans="1:22" x14ac:dyDescent="0.25">
      <c r="A2256" s="11">
        <v>101060501</v>
      </c>
      <c r="B2256" s="11" t="s">
        <v>3632</v>
      </c>
      <c r="C2256" s="41">
        <v>44900</v>
      </c>
      <c r="D2256" s="41">
        <v>44960</v>
      </c>
      <c r="E2256" s="11" t="s">
        <v>42</v>
      </c>
      <c r="F2256" s="11" t="s">
        <v>4290</v>
      </c>
      <c r="G2256" s="11">
        <v>109738</v>
      </c>
      <c r="H2256" s="11" t="s">
        <v>4291</v>
      </c>
      <c r="J2256" s="11" t="s">
        <v>38</v>
      </c>
      <c r="K2256" s="11" t="s">
        <v>3871</v>
      </c>
      <c r="L2256" s="11" t="s">
        <v>3872</v>
      </c>
      <c r="M2256" s="11">
        <v>448</v>
      </c>
      <c r="N2256" s="11"/>
      <c r="O2256" s="42">
        <v>448</v>
      </c>
      <c r="P2256" s="43" t="s">
        <v>4495</v>
      </c>
      <c r="Q2256" s="11">
        <v>29802.03</v>
      </c>
      <c r="R2256" s="11" t="s">
        <v>3844</v>
      </c>
      <c r="S2256" s="11" t="s">
        <v>273</v>
      </c>
      <c r="T2256" s="11">
        <v>0</v>
      </c>
      <c r="V2256" s="11" t="s">
        <v>41</v>
      </c>
    </row>
    <row r="2257" spans="1:22" x14ac:dyDescent="0.25">
      <c r="A2257" s="11">
        <v>101060501</v>
      </c>
      <c r="B2257" s="11" t="s">
        <v>3632</v>
      </c>
      <c r="C2257" s="41">
        <v>44900</v>
      </c>
      <c r="D2257" s="41">
        <v>44960</v>
      </c>
      <c r="E2257" s="11" t="s">
        <v>42</v>
      </c>
      <c r="F2257" s="11" t="s">
        <v>4292</v>
      </c>
      <c r="G2257" s="11">
        <v>109740</v>
      </c>
      <c r="H2257" s="11" t="s">
        <v>4293</v>
      </c>
      <c r="J2257" s="11" t="s">
        <v>38</v>
      </c>
      <c r="K2257" s="11" t="s">
        <v>3871</v>
      </c>
      <c r="L2257" s="11" t="s">
        <v>3872</v>
      </c>
      <c r="M2257" s="11">
        <v>160</v>
      </c>
      <c r="N2257" s="11"/>
      <c r="O2257" s="42">
        <v>160</v>
      </c>
      <c r="P2257" s="43" t="s">
        <v>4495</v>
      </c>
      <c r="Q2257" s="11">
        <v>29962.03</v>
      </c>
      <c r="R2257" s="11" t="s">
        <v>3844</v>
      </c>
      <c r="S2257" s="11" t="s">
        <v>273</v>
      </c>
      <c r="T2257" s="11">
        <v>0</v>
      </c>
      <c r="V2257" s="11" t="s">
        <v>41</v>
      </c>
    </row>
    <row r="2258" spans="1:22" x14ac:dyDescent="0.25">
      <c r="A2258" s="11">
        <v>101060501</v>
      </c>
      <c r="B2258" s="11" t="s">
        <v>3632</v>
      </c>
      <c r="C2258" s="41">
        <v>44900</v>
      </c>
      <c r="D2258" s="41">
        <v>44960</v>
      </c>
      <c r="E2258" s="11" t="s">
        <v>3847</v>
      </c>
      <c r="F2258" s="11" t="s">
        <v>4294</v>
      </c>
      <c r="G2258" s="11">
        <v>109748</v>
      </c>
      <c r="H2258" s="11" t="s">
        <v>4295</v>
      </c>
      <c r="K2258" s="11" t="s">
        <v>3871</v>
      </c>
      <c r="L2258" s="11" t="s">
        <v>3872</v>
      </c>
      <c r="M2258" s="11">
        <v>2880</v>
      </c>
      <c r="N2258" s="11"/>
      <c r="O2258" s="42">
        <v>2880</v>
      </c>
      <c r="P2258" s="43" t="s">
        <v>4495</v>
      </c>
      <c r="Q2258" s="11">
        <v>32842.03</v>
      </c>
      <c r="R2258" s="11" t="s">
        <v>3844</v>
      </c>
      <c r="S2258" s="11" t="s">
        <v>273</v>
      </c>
      <c r="T2258" s="11">
        <v>0</v>
      </c>
    </row>
    <row r="2259" spans="1:22" x14ac:dyDescent="0.25">
      <c r="A2259" s="11">
        <v>101060501</v>
      </c>
      <c r="B2259" s="11" t="s">
        <v>3632</v>
      </c>
      <c r="C2259" s="41">
        <v>44900</v>
      </c>
      <c r="D2259" s="41">
        <v>44960</v>
      </c>
      <c r="E2259" s="11" t="s">
        <v>3847</v>
      </c>
      <c r="F2259" s="11" t="s">
        <v>4296</v>
      </c>
      <c r="G2259" s="11">
        <v>109750</v>
      </c>
      <c r="H2259" s="11" t="s">
        <v>4297</v>
      </c>
      <c r="K2259" s="11" t="s">
        <v>3871</v>
      </c>
      <c r="L2259" s="11" t="s">
        <v>3872</v>
      </c>
      <c r="M2259" s="11">
        <v>855.8</v>
      </c>
      <c r="N2259" s="11"/>
      <c r="O2259" s="42">
        <v>855.8</v>
      </c>
      <c r="P2259" s="43" t="s">
        <v>4495</v>
      </c>
      <c r="Q2259" s="11">
        <v>33697.83</v>
      </c>
      <c r="R2259" s="11" t="s">
        <v>3844</v>
      </c>
      <c r="S2259" s="11" t="s">
        <v>273</v>
      </c>
      <c r="T2259" s="11">
        <v>0</v>
      </c>
    </row>
    <row r="2260" spans="1:22" x14ac:dyDescent="0.25">
      <c r="A2260" s="11">
        <v>101060501</v>
      </c>
      <c r="B2260" s="11" t="s">
        <v>3632</v>
      </c>
      <c r="C2260" s="41">
        <v>44900</v>
      </c>
      <c r="D2260" s="41">
        <v>44960</v>
      </c>
      <c r="E2260" s="11" t="s">
        <v>3883</v>
      </c>
      <c r="F2260" s="11" t="s">
        <v>4298</v>
      </c>
      <c r="G2260" s="11">
        <v>110510</v>
      </c>
      <c r="H2260" s="11" t="s">
        <v>3910</v>
      </c>
      <c r="J2260" s="11" t="s">
        <v>38</v>
      </c>
      <c r="K2260" s="11" t="s">
        <v>3871</v>
      </c>
      <c r="L2260" s="11" t="s">
        <v>3872</v>
      </c>
      <c r="M2260" s="11"/>
      <c r="N2260" s="11">
        <v>160</v>
      </c>
      <c r="O2260" s="42">
        <v>-160</v>
      </c>
      <c r="P2260" s="43" t="s">
        <v>4495</v>
      </c>
      <c r="Q2260" s="11">
        <v>33537.83</v>
      </c>
      <c r="R2260" s="11" t="s">
        <v>3844</v>
      </c>
      <c r="S2260" s="11" t="s">
        <v>273</v>
      </c>
      <c r="T2260" s="11">
        <v>0</v>
      </c>
      <c r="V2260" s="11" t="s">
        <v>41</v>
      </c>
    </row>
    <row r="2261" spans="1:22" x14ac:dyDescent="0.25">
      <c r="A2261" s="11">
        <v>101060501</v>
      </c>
      <c r="B2261" s="11" t="s">
        <v>3632</v>
      </c>
      <c r="C2261" s="41">
        <v>44900</v>
      </c>
      <c r="D2261" s="41">
        <v>44960</v>
      </c>
      <c r="E2261" s="11" t="s">
        <v>3883</v>
      </c>
      <c r="F2261" s="11" t="s">
        <v>4299</v>
      </c>
      <c r="G2261" s="11">
        <v>110637</v>
      </c>
      <c r="H2261" s="11" t="s">
        <v>3910</v>
      </c>
      <c r="K2261" s="11" t="s">
        <v>3871</v>
      </c>
      <c r="L2261" s="11" t="s">
        <v>3872</v>
      </c>
      <c r="M2261" s="11"/>
      <c r="N2261" s="11">
        <v>855.8</v>
      </c>
      <c r="O2261" s="42">
        <v>-855.8</v>
      </c>
      <c r="P2261" s="43" t="s">
        <v>4495</v>
      </c>
      <c r="Q2261" s="11">
        <v>32682.03</v>
      </c>
      <c r="R2261" s="11" t="s">
        <v>3844</v>
      </c>
      <c r="S2261" s="11" t="s">
        <v>273</v>
      </c>
      <c r="T2261" s="11">
        <v>0</v>
      </c>
    </row>
    <row r="2262" spans="1:22" x14ac:dyDescent="0.25">
      <c r="A2262" s="11">
        <v>101060501</v>
      </c>
      <c r="B2262" s="11" t="s">
        <v>3632</v>
      </c>
      <c r="C2262" s="41">
        <v>44901</v>
      </c>
      <c r="D2262" s="41">
        <v>44963</v>
      </c>
      <c r="E2262" s="11" t="s">
        <v>3847</v>
      </c>
      <c r="F2262" s="11" t="s">
        <v>4300</v>
      </c>
      <c r="G2262" s="11">
        <v>109745</v>
      </c>
      <c r="H2262" s="11" t="s">
        <v>4301</v>
      </c>
      <c r="K2262" s="11" t="s">
        <v>3871</v>
      </c>
      <c r="L2262" s="11" t="s">
        <v>3872</v>
      </c>
      <c r="M2262" s="11">
        <v>1200.8</v>
      </c>
      <c r="N2262" s="11"/>
      <c r="O2262" s="42">
        <v>1200.8</v>
      </c>
      <c r="P2262" s="43" t="s">
        <v>4495</v>
      </c>
      <c r="Q2262" s="11">
        <v>33882.83</v>
      </c>
      <c r="R2262" s="11" t="s">
        <v>3844</v>
      </c>
      <c r="S2262" s="11" t="s">
        <v>273</v>
      </c>
      <c r="T2262" s="11">
        <v>0</v>
      </c>
    </row>
    <row r="2263" spans="1:22" x14ac:dyDescent="0.25">
      <c r="A2263" s="11">
        <v>101060501</v>
      </c>
      <c r="B2263" s="11" t="s">
        <v>3632</v>
      </c>
      <c r="C2263" s="41">
        <v>44901</v>
      </c>
      <c r="D2263" s="41">
        <v>44963</v>
      </c>
      <c r="E2263" s="11" t="s">
        <v>3847</v>
      </c>
      <c r="F2263" s="11" t="s">
        <v>4302</v>
      </c>
      <c r="G2263" s="11">
        <v>109746</v>
      </c>
      <c r="H2263" s="11" t="s">
        <v>4303</v>
      </c>
      <c r="K2263" s="11" t="s">
        <v>3871</v>
      </c>
      <c r="L2263" s="11" t="s">
        <v>3872</v>
      </c>
      <c r="M2263" s="11">
        <v>799.05</v>
      </c>
      <c r="N2263" s="11"/>
      <c r="O2263" s="42">
        <v>799.05</v>
      </c>
      <c r="P2263" s="43" t="s">
        <v>4495</v>
      </c>
      <c r="Q2263" s="11">
        <v>34681.879999999997</v>
      </c>
      <c r="R2263" s="11" t="s">
        <v>3844</v>
      </c>
      <c r="S2263" s="11" t="s">
        <v>273</v>
      </c>
      <c r="T2263" s="11">
        <v>0</v>
      </c>
    </row>
    <row r="2264" spans="1:22" x14ac:dyDescent="0.25">
      <c r="A2264" s="11">
        <v>101060501</v>
      </c>
      <c r="B2264" s="11" t="s">
        <v>3632</v>
      </c>
      <c r="C2264" s="41">
        <v>44901</v>
      </c>
      <c r="D2264" s="41">
        <v>44963</v>
      </c>
      <c r="E2264" s="11" t="s">
        <v>42</v>
      </c>
      <c r="F2264" s="11" t="s">
        <v>4304</v>
      </c>
      <c r="G2264" s="11">
        <v>109756</v>
      </c>
      <c r="H2264" s="11" t="s">
        <v>4305</v>
      </c>
      <c r="K2264" s="11" t="s">
        <v>3871</v>
      </c>
      <c r="L2264" s="11" t="s">
        <v>3872</v>
      </c>
      <c r="M2264" s="11">
        <v>415</v>
      </c>
      <c r="N2264" s="11"/>
      <c r="O2264" s="42">
        <v>415</v>
      </c>
      <c r="P2264" s="43" t="s">
        <v>4495</v>
      </c>
      <c r="Q2264" s="11">
        <v>35096.879999999997</v>
      </c>
      <c r="R2264" s="11" t="s">
        <v>3844</v>
      </c>
      <c r="S2264" s="11" t="s">
        <v>273</v>
      </c>
      <c r="T2264" s="11">
        <v>0</v>
      </c>
    </row>
    <row r="2265" spans="1:22" x14ac:dyDescent="0.25">
      <c r="A2265" s="11">
        <v>101060501</v>
      </c>
      <c r="B2265" s="11" t="s">
        <v>3632</v>
      </c>
      <c r="C2265" s="41">
        <v>44901</v>
      </c>
      <c r="D2265" s="41">
        <v>44963</v>
      </c>
      <c r="E2265" s="11" t="s">
        <v>42</v>
      </c>
      <c r="F2265" s="11" t="s">
        <v>4306</v>
      </c>
      <c r="G2265" s="11">
        <v>109759</v>
      </c>
      <c r="H2265" s="11" t="s">
        <v>4307</v>
      </c>
      <c r="K2265" s="11" t="s">
        <v>3871</v>
      </c>
      <c r="L2265" s="11" t="s">
        <v>3872</v>
      </c>
      <c r="M2265" s="11">
        <v>590.42999999999995</v>
      </c>
      <c r="N2265" s="11"/>
      <c r="O2265" s="42">
        <v>590.42999999999995</v>
      </c>
      <c r="P2265" s="43" t="s">
        <v>4495</v>
      </c>
      <c r="Q2265" s="11">
        <v>35687.31</v>
      </c>
      <c r="R2265" s="11" t="s">
        <v>3844</v>
      </c>
      <c r="S2265" s="11" t="s">
        <v>273</v>
      </c>
      <c r="T2265" s="11">
        <v>0</v>
      </c>
    </row>
    <row r="2266" spans="1:22" x14ac:dyDescent="0.25">
      <c r="A2266" s="11">
        <v>101060501</v>
      </c>
      <c r="B2266" s="11" t="s">
        <v>3632</v>
      </c>
      <c r="C2266" s="41">
        <v>44901</v>
      </c>
      <c r="D2266" s="41">
        <v>44963</v>
      </c>
      <c r="E2266" s="11" t="s">
        <v>42</v>
      </c>
      <c r="F2266" s="11" t="s">
        <v>4308</v>
      </c>
      <c r="G2266" s="11">
        <v>109762</v>
      </c>
      <c r="H2266" s="11" t="s">
        <v>4309</v>
      </c>
      <c r="K2266" s="11" t="s">
        <v>3871</v>
      </c>
      <c r="L2266" s="11" t="s">
        <v>3872</v>
      </c>
      <c r="M2266" s="11">
        <v>255</v>
      </c>
      <c r="N2266" s="11"/>
      <c r="O2266" s="42">
        <v>255</v>
      </c>
      <c r="P2266" s="43" t="s">
        <v>4495</v>
      </c>
      <c r="Q2266" s="11">
        <v>35942.31</v>
      </c>
      <c r="R2266" s="11" t="s">
        <v>3844</v>
      </c>
      <c r="S2266" s="11" t="s">
        <v>273</v>
      </c>
      <c r="T2266" s="11">
        <v>0</v>
      </c>
    </row>
    <row r="2267" spans="1:22" x14ac:dyDescent="0.25">
      <c r="A2267" s="11">
        <v>101060501</v>
      </c>
      <c r="B2267" s="11" t="s">
        <v>3632</v>
      </c>
      <c r="C2267" s="41">
        <v>44901</v>
      </c>
      <c r="D2267" s="41">
        <v>44963</v>
      </c>
      <c r="E2267" s="11" t="s">
        <v>42</v>
      </c>
      <c r="F2267" s="11" t="s">
        <v>4310</v>
      </c>
      <c r="G2267" s="11">
        <v>110256</v>
      </c>
      <c r="H2267" s="11" t="s">
        <v>4311</v>
      </c>
      <c r="J2267" s="11" t="s">
        <v>38</v>
      </c>
      <c r="K2267" s="11" t="s">
        <v>3852</v>
      </c>
      <c r="L2267" s="11" t="s">
        <v>3853</v>
      </c>
      <c r="M2267" s="11">
        <v>21.25</v>
      </c>
      <c r="N2267" s="11"/>
      <c r="O2267" s="42">
        <v>21.25</v>
      </c>
      <c r="P2267" s="43" t="s">
        <v>4495</v>
      </c>
      <c r="Q2267" s="11">
        <v>35963.56</v>
      </c>
      <c r="R2267" s="11" t="s">
        <v>3844</v>
      </c>
      <c r="S2267" s="11" t="s">
        <v>273</v>
      </c>
      <c r="T2267" s="11">
        <v>0</v>
      </c>
      <c r="V2267" s="11" t="s">
        <v>41</v>
      </c>
    </row>
    <row r="2268" spans="1:22" x14ac:dyDescent="0.25">
      <c r="A2268" s="11">
        <v>101060501</v>
      </c>
      <c r="B2268" s="11" t="s">
        <v>3632</v>
      </c>
      <c r="C2268" s="41">
        <v>44901</v>
      </c>
      <c r="D2268" s="41">
        <v>44963</v>
      </c>
      <c r="E2268" s="11" t="s">
        <v>42</v>
      </c>
      <c r="F2268" s="11" t="s">
        <v>4312</v>
      </c>
      <c r="G2268" s="11">
        <v>110258</v>
      </c>
      <c r="H2268" s="11" t="s">
        <v>4313</v>
      </c>
      <c r="J2268" s="11" t="s">
        <v>38</v>
      </c>
      <c r="K2268" s="11" t="s">
        <v>3852</v>
      </c>
      <c r="L2268" s="11" t="s">
        <v>3853</v>
      </c>
      <c r="M2268" s="11">
        <v>21.25</v>
      </c>
      <c r="N2268" s="11"/>
      <c r="O2268" s="42">
        <v>21.25</v>
      </c>
      <c r="P2268" s="43" t="s">
        <v>4495</v>
      </c>
      <c r="Q2268" s="11">
        <v>35984.81</v>
      </c>
      <c r="R2268" s="11" t="s">
        <v>3844</v>
      </c>
      <c r="S2268" s="11" t="s">
        <v>273</v>
      </c>
      <c r="T2268" s="11">
        <v>0</v>
      </c>
      <c r="V2268" s="11" t="s">
        <v>41</v>
      </c>
    </row>
    <row r="2269" spans="1:22" x14ac:dyDescent="0.25">
      <c r="A2269" s="11">
        <v>101060501</v>
      </c>
      <c r="B2269" s="11" t="s">
        <v>3632</v>
      </c>
      <c r="C2269" s="41">
        <v>44901</v>
      </c>
      <c r="D2269" s="41">
        <v>44901</v>
      </c>
      <c r="E2269" s="11" t="s">
        <v>3847</v>
      </c>
      <c r="F2269" s="11" t="s">
        <v>4314</v>
      </c>
      <c r="G2269" s="11">
        <v>110706</v>
      </c>
      <c r="H2269" s="11" t="s">
        <v>4315</v>
      </c>
      <c r="K2269" s="11" t="s">
        <v>3848</v>
      </c>
      <c r="L2269" s="11" t="s">
        <v>3849</v>
      </c>
      <c r="M2269" s="11">
        <v>410.13</v>
      </c>
      <c r="N2269" s="11"/>
      <c r="O2269" s="42">
        <v>410.13</v>
      </c>
      <c r="P2269" s="43" t="s">
        <v>4495</v>
      </c>
      <c r="Q2269" s="11">
        <v>36394.94</v>
      </c>
      <c r="R2269" s="11" t="s">
        <v>3844</v>
      </c>
      <c r="S2269" s="11" t="s">
        <v>273</v>
      </c>
      <c r="T2269" s="11">
        <v>0</v>
      </c>
    </row>
    <row r="2270" spans="1:22" x14ac:dyDescent="0.25">
      <c r="A2270" s="11">
        <v>101060501</v>
      </c>
      <c r="B2270" s="11" t="s">
        <v>3632</v>
      </c>
      <c r="C2270" s="41">
        <v>44902</v>
      </c>
      <c r="D2270" s="41">
        <v>44949</v>
      </c>
      <c r="E2270" s="11" t="s">
        <v>42</v>
      </c>
      <c r="F2270" s="11" t="s">
        <v>4316</v>
      </c>
      <c r="G2270" s="11">
        <v>110136</v>
      </c>
      <c r="H2270" s="11" t="s">
        <v>4317</v>
      </c>
      <c r="K2270" s="11" t="s">
        <v>3898</v>
      </c>
      <c r="L2270" s="11" t="s">
        <v>3899</v>
      </c>
      <c r="M2270" s="11">
        <v>407.89</v>
      </c>
      <c r="N2270" s="11"/>
      <c r="O2270" s="42">
        <v>407.89</v>
      </c>
      <c r="P2270" s="43" t="s">
        <v>4495</v>
      </c>
      <c r="Q2270" s="11">
        <v>36802.83</v>
      </c>
      <c r="R2270" s="11" t="s">
        <v>4318</v>
      </c>
      <c r="S2270" s="11" t="s">
        <v>273</v>
      </c>
      <c r="T2270" s="11">
        <v>0</v>
      </c>
    </row>
    <row r="2271" spans="1:22" x14ac:dyDescent="0.25">
      <c r="A2271" s="11">
        <v>101060501</v>
      </c>
      <c r="B2271" s="11" t="s">
        <v>3632</v>
      </c>
      <c r="C2271" s="41">
        <v>44902</v>
      </c>
      <c r="D2271" s="41">
        <v>44902</v>
      </c>
      <c r="E2271" s="11" t="s">
        <v>3847</v>
      </c>
      <c r="F2271" s="11" t="s">
        <v>4319</v>
      </c>
      <c r="G2271" s="11">
        <v>110710</v>
      </c>
      <c r="H2271" s="11" t="s">
        <v>4320</v>
      </c>
      <c r="K2271" s="11" t="s">
        <v>3848</v>
      </c>
      <c r="L2271" s="11" t="s">
        <v>3849</v>
      </c>
      <c r="M2271" s="11">
        <v>393.1</v>
      </c>
      <c r="N2271" s="11"/>
      <c r="O2271" s="42">
        <v>393.1</v>
      </c>
      <c r="P2271" s="43" t="s">
        <v>4495</v>
      </c>
      <c r="Q2271" s="11">
        <v>37195.93</v>
      </c>
      <c r="R2271" s="11" t="s">
        <v>3844</v>
      </c>
      <c r="S2271" s="11" t="s">
        <v>273</v>
      </c>
      <c r="T2271" s="11">
        <v>0</v>
      </c>
    </row>
    <row r="2272" spans="1:22" x14ac:dyDescent="0.25">
      <c r="A2272" s="11">
        <v>101060501</v>
      </c>
      <c r="B2272" s="11" t="s">
        <v>3632</v>
      </c>
      <c r="C2272" s="41">
        <v>44904</v>
      </c>
      <c r="D2272" s="41">
        <v>44964</v>
      </c>
      <c r="E2272" s="11" t="s">
        <v>42</v>
      </c>
      <c r="F2272" s="11" t="s">
        <v>4321</v>
      </c>
      <c r="G2272" s="11">
        <v>110134</v>
      </c>
      <c r="H2272" s="11" t="s">
        <v>4322</v>
      </c>
      <c r="K2272" s="11" t="s">
        <v>3871</v>
      </c>
      <c r="L2272" s="11" t="s">
        <v>3872</v>
      </c>
      <c r="M2272" s="11">
        <v>255</v>
      </c>
      <c r="N2272" s="11"/>
      <c r="O2272" s="42">
        <v>255</v>
      </c>
      <c r="P2272" s="43" t="s">
        <v>4495</v>
      </c>
      <c r="Q2272" s="11">
        <v>37450.93</v>
      </c>
      <c r="R2272" s="11" t="s">
        <v>3844</v>
      </c>
      <c r="S2272" s="11" t="s">
        <v>273</v>
      </c>
      <c r="T2272" s="11">
        <v>0</v>
      </c>
    </row>
    <row r="2273" spans="1:22" x14ac:dyDescent="0.25">
      <c r="A2273" s="11">
        <v>101060501</v>
      </c>
      <c r="B2273" s="11" t="s">
        <v>3632</v>
      </c>
      <c r="C2273" s="41">
        <v>44904</v>
      </c>
      <c r="D2273" s="41">
        <v>44904</v>
      </c>
      <c r="E2273" s="11" t="s">
        <v>3847</v>
      </c>
      <c r="F2273" s="11" t="s">
        <v>4323</v>
      </c>
      <c r="G2273" s="11">
        <v>110975</v>
      </c>
      <c r="H2273" s="11" t="s">
        <v>4324</v>
      </c>
      <c r="K2273" s="11" t="s">
        <v>3848</v>
      </c>
      <c r="L2273" s="11" t="s">
        <v>3849</v>
      </c>
      <c r="M2273" s="11">
        <v>1322.45</v>
      </c>
      <c r="N2273" s="11"/>
      <c r="O2273" s="42">
        <v>1322.45</v>
      </c>
      <c r="P2273" s="43" t="s">
        <v>4495</v>
      </c>
      <c r="Q2273" s="11">
        <v>38773.379999999997</v>
      </c>
      <c r="R2273" s="11" t="s">
        <v>4325</v>
      </c>
      <c r="S2273" s="11" t="s">
        <v>273</v>
      </c>
      <c r="T2273" s="11">
        <v>0</v>
      </c>
    </row>
    <row r="2274" spans="1:22" x14ac:dyDescent="0.25">
      <c r="A2274" s="11">
        <v>101060501</v>
      </c>
      <c r="B2274" s="11" t="s">
        <v>3632</v>
      </c>
      <c r="C2274" s="41">
        <v>44907</v>
      </c>
      <c r="D2274" s="41">
        <v>44967</v>
      </c>
      <c r="E2274" s="11" t="s">
        <v>42</v>
      </c>
      <c r="F2274" s="11" t="s">
        <v>4326</v>
      </c>
      <c r="G2274" s="11">
        <v>110495</v>
      </c>
      <c r="H2274" s="11" t="s">
        <v>4327</v>
      </c>
      <c r="K2274" s="11" t="s">
        <v>3871</v>
      </c>
      <c r="L2274" s="11" t="s">
        <v>3872</v>
      </c>
      <c r="M2274" s="11">
        <v>270.02999999999997</v>
      </c>
      <c r="N2274" s="11"/>
      <c r="O2274" s="42">
        <v>270.02999999999997</v>
      </c>
      <c r="P2274" s="43" t="s">
        <v>4495</v>
      </c>
      <c r="Q2274" s="11">
        <v>39043.410000000003</v>
      </c>
      <c r="R2274" s="11" t="s">
        <v>3844</v>
      </c>
      <c r="S2274" s="11" t="s">
        <v>273</v>
      </c>
      <c r="T2274" s="11">
        <v>0</v>
      </c>
    </row>
    <row r="2275" spans="1:22" x14ac:dyDescent="0.25">
      <c r="A2275" s="11">
        <v>101060501</v>
      </c>
      <c r="B2275" s="11" t="s">
        <v>3632</v>
      </c>
      <c r="C2275" s="41">
        <v>44907</v>
      </c>
      <c r="D2275" s="41">
        <v>44907</v>
      </c>
      <c r="E2275" s="11" t="s">
        <v>3842</v>
      </c>
      <c r="F2275" s="11" t="s">
        <v>4328</v>
      </c>
      <c r="G2275" s="11">
        <v>110699</v>
      </c>
      <c r="H2275" s="11" t="s">
        <v>4329</v>
      </c>
      <c r="K2275" s="11">
        <v>101010301</v>
      </c>
      <c r="L2275" s="11" t="s">
        <v>3843</v>
      </c>
      <c r="M2275" s="11">
        <v>65</v>
      </c>
      <c r="N2275" s="11"/>
      <c r="O2275" s="42">
        <v>65</v>
      </c>
      <c r="P2275" s="43" t="s">
        <v>4495</v>
      </c>
      <c r="Q2275" s="11">
        <v>39108.410000000003</v>
      </c>
      <c r="R2275" s="11" t="s">
        <v>267</v>
      </c>
      <c r="S2275" s="11" t="s">
        <v>273</v>
      </c>
      <c r="T2275" s="11">
        <v>0</v>
      </c>
    </row>
    <row r="2276" spans="1:22" x14ac:dyDescent="0.25">
      <c r="A2276" s="11">
        <v>101060501</v>
      </c>
      <c r="B2276" s="11" t="s">
        <v>3632</v>
      </c>
      <c r="C2276" s="41">
        <v>44907</v>
      </c>
      <c r="D2276" s="41">
        <v>44907</v>
      </c>
      <c r="E2276" s="11" t="s">
        <v>3842</v>
      </c>
      <c r="F2276" s="11" t="s">
        <v>4330</v>
      </c>
      <c r="G2276" s="11">
        <v>110700</v>
      </c>
      <c r="H2276" s="11" t="s">
        <v>4331</v>
      </c>
      <c r="K2276" s="11">
        <v>101010301</v>
      </c>
      <c r="L2276" s="11" t="s">
        <v>3843</v>
      </c>
      <c r="M2276" s="11">
        <v>257.89999999999998</v>
      </c>
      <c r="N2276" s="11"/>
      <c r="O2276" s="42">
        <v>257.89999999999998</v>
      </c>
      <c r="P2276" s="43" t="s">
        <v>4495</v>
      </c>
      <c r="Q2276" s="11">
        <v>39366.31</v>
      </c>
      <c r="R2276" s="11" t="s">
        <v>4332</v>
      </c>
      <c r="S2276" s="11" t="s">
        <v>273</v>
      </c>
      <c r="T2276" s="11">
        <v>0</v>
      </c>
    </row>
    <row r="2277" spans="1:22" x14ac:dyDescent="0.25">
      <c r="A2277" s="11">
        <v>101060501</v>
      </c>
      <c r="B2277" s="11" t="s">
        <v>3632</v>
      </c>
      <c r="C2277" s="41">
        <v>44907</v>
      </c>
      <c r="D2277" s="41">
        <v>44907</v>
      </c>
      <c r="E2277" s="11" t="s">
        <v>3847</v>
      </c>
      <c r="F2277" s="11" t="s">
        <v>4333</v>
      </c>
      <c r="G2277" s="11">
        <v>110977</v>
      </c>
      <c r="H2277" s="11" t="s">
        <v>4334</v>
      </c>
      <c r="K2277" s="11" t="s">
        <v>3848</v>
      </c>
      <c r="L2277" s="11" t="s">
        <v>3849</v>
      </c>
      <c r="M2277" s="11">
        <v>15.8</v>
      </c>
      <c r="N2277" s="11"/>
      <c r="O2277" s="42">
        <v>15.8</v>
      </c>
      <c r="P2277" s="43" t="s">
        <v>4495</v>
      </c>
      <c r="Q2277" s="11">
        <v>39382.11</v>
      </c>
      <c r="R2277" s="11" t="s">
        <v>3844</v>
      </c>
      <c r="S2277" s="11" t="s">
        <v>273</v>
      </c>
      <c r="T2277" s="11">
        <v>0</v>
      </c>
    </row>
    <row r="2278" spans="1:22" x14ac:dyDescent="0.25">
      <c r="A2278" s="11">
        <v>101060501</v>
      </c>
      <c r="B2278" s="11" t="s">
        <v>3632</v>
      </c>
      <c r="C2278" s="41">
        <v>44907</v>
      </c>
      <c r="D2278" s="41">
        <v>44907</v>
      </c>
      <c r="E2278" s="11" t="s">
        <v>3847</v>
      </c>
      <c r="F2278" s="11" t="s">
        <v>4335</v>
      </c>
      <c r="G2278" s="11">
        <v>110981</v>
      </c>
      <c r="H2278" s="11" t="s">
        <v>4336</v>
      </c>
      <c r="K2278" s="11" t="s">
        <v>3848</v>
      </c>
      <c r="L2278" s="11" t="s">
        <v>3849</v>
      </c>
      <c r="M2278" s="11">
        <v>2901.67</v>
      </c>
      <c r="N2278" s="11"/>
      <c r="O2278" s="42">
        <v>2901.67</v>
      </c>
      <c r="P2278" s="43" t="s">
        <v>4495</v>
      </c>
      <c r="Q2278" s="11">
        <v>42283.78</v>
      </c>
      <c r="R2278" s="11" t="s">
        <v>3844</v>
      </c>
      <c r="S2278" s="11" t="s">
        <v>273</v>
      </c>
      <c r="T2278" s="11">
        <v>0</v>
      </c>
    </row>
    <row r="2279" spans="1:22" x14ac:dyDescent="0.25">
      <c r="A2279" s="11">
        <v>101060501</v>
      </c>
      <c r="B2279" s="11" t="s">
        <v>3632</v>
      </c>
      <c r="C2279" s="41">
        <v>44908</v>
      </c>
      <c r="D2279" s="41">
        <v>44998</v>
      </c>
      <c r="E2279" s="11" t="s">
        <v>42</v>
      </c>
      <c r="F2279" s="11" t="s">
        <v>4337</v>
      </c>
      <c r="G2279" s="11">
        <v>110472</v>
      </c>
      <c r="H2279" s="11" t="s">
        <v>4338</v>
      </c>
      <c r="K2279" s="11" t="s">
        <v>3854</v>
      </c>
      <c r="L2279" s="11" t="s">
        <v>3855</v>
      </c>
      <c r="M2279" s="11">
        <v>4230</v>
      </c>
      <c r="N2279" s="11"/>
      <c r="O2279" s="42">
        <v>4230</v>
      </c>
      <c r="P2279" s="43" t="s">
        <v>4495</v>
      </c>
      <c r="Q2279" s="11">
        <v>46513.78</v>
      </c>
      <c r="R2279" s="11" t="s">
        <v>3844</v>
      </c>
      <c r="S2279" s="11" t="s">
        <v>273</v>
      </c>
      <c r="T2279" s="11">
        <v>0</v>
      </c>
    </row>
    <row r="2280" spans="1:22" x14ac:dyDescent="0.25">
      <c r="A2280" s="11">
        <v>101060501</v>
      </c>
      <c r="B2280" s="11" t="s">
        <v>3632</v>
      </c>
      <c r="C2280" s="41">
        <v>44908</v>
      </c>
      <c r="D2280" s="41">
        <v>44998</v>
      </c>
      <c r="E2280" s="11" t="s">
        <v>42</v>
      </c>
      <c r="F2280" s="11" t="s">
        <v>4339</v>
      </c>
      <c r="G2280" s="11">
        <v>110475</v>
      </c>
      <c r="H2280" s="11" t="s">
        <v>4340</v>
      </c>
      <c r="J2280" s="11" t="s">
        <v>38</v>
      </c>
      <c r="K2280" s="11" t="s">
        <v>3854</v>
      </c>
      <c r="L2280" s="11" t="s">
        <v>3855</v>
      </c>
      <c r="M2280" s="11">
        <v>750</v>
      </c>
      <c r="N2280" s="11"/>
      <c r="O2280" s="42">
        <v>750</v>
      </c>
      <c r="P2280" s="43" t="s">
        <v>4495</v>
      </c>
      <c r="Q2280" s="11">
        <v>47263.78</v>
      </c>
      <c r="R2280" s="11" t="s">
        <v>3844</v>
      </c>
      <c r="S2280" s="11" t="s">
        <v>273</v>
      </c>
      <c r="T2280" s="11">
        <v>0</v>
      </c>
      <c r="V2280" s="11" t="s">
        <v>41</v>
      </c>
    </row>
    <row r="2281" spans="1:22" x14ac:dyDescent="0.25">
      <c r="A2281" s="11">
        <v>101060501</v>
      </c>
      <c r="B2281" s="11" t="s">
        <v>3632</v>
      </c>
      <c r="C2281" s="41">
        <v>44908</v>
      </c>
      <c r="D2281" s="41">
        <v>44998</v>
      </c>
      <c r="E2281" s="11" t="s">
        <v>42</v>
      </c>
      <c r="F2281" s="11" t="s">
        <v>4341</v>
      </c>
      <c r="G2281" s="11">
        <v>110479</v>
      </c>
      <c r="H2281" s="11" t="s">
        <v>4342</v>
      </c>
      <c r="K2281" s="11" t="s">
        <v>3856</v>
      </c>
      <c r="L2281" s="11" t="s">
        <v>3857</v>
      </c>
      <c r="M2281" s="11">
        <v>171.78</v>
      </c>
      <c r="N2281" s="11"/>
      <c r="O2281" s="42">
        <v>171.78</v>
      </c>
      <c r="P2281" s="43" t="s">
        <v>4495</v>
      </c>
      <c r="Q2281" s="11">
        <v>47435.56</v>
      </c>
      <c r="R2281" s="11" t="s">
        <v>3844</v>
      </c>
      <c r="S2281" s="11" t="s">
        <v>273</v>
      </c>
      <c r="T2281" s="11">
        <v>0</v>
      </c>
    </row>
    <row r="2282" spans="1:22" x14ac:dyDescent="0.25">
      <c r="A2282" s="11">
        <v>101060501</v>
      </c>
      <c r="B2282" s="11" t="s">
        <v>3632</v>
      </c>
      <c r="C2282" s="41">
        <v>44908</v>
      </c>
      <c r="D2282" s="41">
        <v>44998</v>
      </c>
      <c r="E2282" s="11" t="s">
        <v>42</v>
      </c>
      <c r="F2282" s="11" t="s">
        <v>4343</v>
      </c>
      <c r="G2282" s="11">
        <v>110480</v>
      </c>
      <c r="H2282" s="11" t="s">
        <v>4344</v>
      </c>
      <c r="K2282" s="11" t="s">
        <v>3856</v>
      </c>
      <c r="L2282" s="11" t="s">
        <v>3857</v>
      </c>
      <c r="M2282" s="11">
        <v>1225.3599999999999</v>
      </c>
      <c r="N2282" s="11"/>
      <c r="O2282" s="42">
        <v>1225.3599999999999</v>
      </c>
      <c r="P2282" s="43" t="s">
        <v>4495</v>
      </c>
      <c r="Q2282" s="11">
        <v>48660.92</v>
      </c>
      <c r="R2282" s="11" t="s">
        <v>3844</v>
      </c>
      <c r="S2282" s="11" t="s">
        <v>273</v>
      </c>
      <c r="T2282" s="11">
        <v>0</v>
      </c>
    </row>
    <row r="2283" spans="1:22" x14ac:dyDescent="0.25">
      <c r="A2283" s="11">
        <v>101060501</v>
      </c>
      <c r="B2283" s="11" t="s">
        <v>3632</v>
      </c>
      <c r="C2283" s="41">
        <v>44908</v>
      </c>
      <c r="D2283" s="41">
        <v>44998</v>
      </c>
      <c r="E2283" s="11" t="s">
        <v>42</v>
      </c>
      <c r="F2283" s="11" t="s">
        <v>4345</v>
      </c>
      <c r="G2283" s="11">
        <v>110481</v>
      </c>
      <c r="H2283" s="11" t="s">
        <v>4346</v>
      </c>
      <c r="K2283" s="11" t="s">
        <v>3856</v>
      </c>
      <c r="L2283" s="11" t="s">
        <v>3857</v>
      </c>
      <c r="M2283" s="11">
        <v>7009.2</v>
      </c>
      <c r="N2283" s="11"/>
      <c r="O2283" s="42">
        <v>7009.2</v>
      </c>
      <c r="P2283" s="43" t="s">
        <v>4495</v>
      </c>
      <c r="Q2283" s="11">
        <v>55670.12</v>
      </c>
      <c r="R2283" s="11" t="s">
        <v>3844</v>
      </c>
      <c r="S2283" s="11" t="s">
        <v>273</v>
      </c>
      <c r="T2283" s="11">
        <v>0</v>
      </c>
    </row>
    <row r="2284" spans="1:22" x14ac:dyDescent="0.25">
      <c r="A2284" s="11">
        <v>101060501</v>
      </c>
      <c r="B2284" s="11" t="s">
        <v>3632</v>
      </c>
      <c r="C2284" s="41">
        <v>44908</v>
      </c>
      <c r="D2284" s="41">
        <v>44970</v>
      </c>
      <c r="E2284" s="11" t="s">
        <v>42</v>
      </c>
      <c r="F2284" s="11" t="s">
        <v>4347</v>
      </c>
      <c r="G2284" s="11">
        <v>110483</v>
      </c>
      <c r="H2284" s="11" t="s">
        <v>4348</v>
      </c>
      <c r="K2284" s="11" t="s">
        <v>3871</v>
      </c>
      <c r="L2284" s="11" t="s">
        <v>3872</v>
      </c>
      <c r="M2284" s="11">
        <v>160</v>
      </c>
      <c r="N2284" s="11"/>
      <c r="O2284" s="42">
        <v>160</v>
      </c>
      <c r="P2284" s="43" t="s">
        <v>4495</v>
      </c>
      <c r="Q2284" s="11">
        <v>55830.12</v>
      </c>
      <c r="R2284" s="11" t="s">
        <v>3844</v>
      </c>
      <c r="S2284" s="11" t="s">
        <v>273</v>
      </c>
      <c r="T2284" s="11">
        <v>0</v>
      </c>
    </row>
    <row r="2285" spans="1:22" x14ac:dyDescent="0.25">
      <c r="A2285" s="11">
        <v>101060501</v>
      </c>
      <c r="B2285" s="11" t="s">
        <v>3632</v>
      </c>
      <c r="C2285" s="41">
        <v>44908</v>
      </c>
      <c r="D2285" s="41">
        <v>44970</v>
      </c>
      <c r="E2285" s="11" t="s">
        <v>42</v>
      </c>
      <c r="F2285" s="11" t="s">
        <v>4349</v>
      </c>
      <c r="G2285" s="11">
        <v>110484</v>
      </c>
      <c r="H2285" s="11" t="s">
        <v>4350</v>
      </c>
      <c r="K2285" s="11" t="s">
        <v>3871</v>
      </c>
      <c r="L2285" s="11" t="s">
        <v>3872</v>
      </c>
      <c r="M2285" s="11">
        <v>212.5</v>
      </c>
      <c r="N2285" s="11"/>
      <c r="O2285" s="42">
        <v>212.5</v>
      </c>
      <c r="P2285" s="43" t="s">
        <v>4495</v>
      </c>
      <c r="Q2285" s="11">
        <v>56042.62</v>
      </c>
      <c r="R2285" s="11" t="s">
        <v>3844</v>
      </c>
      <c r="S2285" s="11" t="s">
        <v>273</v>
      </c>
      <c r="T2285" s="11">
        <v>0</v>
      </c>
    </row>
    <row r="2286" spans="1:22" x14ac:dyDescent="0.25">
      <c r="A2286" s="11">
        <v>101060501</v>
      </c>
      <c r="B2286" s="11" t="s">
        <v>3632</v>
      </c>
      <c r="C2286" s="41">
        <v>44908</v>
      </c>
      <c r="D2286" s="41">
        <v>44970</v>
      </c>
      <c r="E2286" s="11" t="s">
        <v>42</v>
      </c>
      <c r="F2286" s="11" t="s">
        <v>4351</v>
      </c>
      <c r="G2286" s="11">
        <v>110485</v>
      </c>
      <c r="H2286" s="11" t="s">
        <v>4352</v>
      </c>
      <c r="J2286" s="11" t="s">
        <v>38</v>
      </c>
      <c r="K2286" s="11" t="s">
        <v>3871</v>
      </c>
      <c r="L2286" s="11" t="s">
        <v>3872</v>
      </c>
      <c r="M2286" s="11">
        <v>250</v>
      </c>
      <c r="N2286" s="11"/>
      <c r="O2286" s="42">
        <v>250</v>
      </c>
      <c r="P2286" s="43" t="s">
        <v>4495</v>
      </c>
      <c r="Q2286" s="11">
        <v>56292.62</v>
      </c>
      <c r="R2286" s="11" t="s">
        <v>3844</v>
      </c>
      <c r="S2286" s="11" t="s">
        <v>273</v>
      </c>
      <c r="T2286" s="11">
        <v>0</v>
      </c>
      <c r="V2286" s="11" t="s">
        <v>41</v>
      </c>
    </row>
    <row r="2287" spans="1:22" x14ac:dyDescent="0.25">
      <c r="A2287" s="11">
        <v>101060501</v>
      </c>
      <c r="B2287" s="11" t="s">
        <v>3632</v>
      </c>
      <c r="C2287" s="41">
        <v>44908</v>
      </c>
      <c r="D2287" s="41">
        <v>44970</v>
      </c>
      <c r="E2287" s="11" t="s">
        <v>42</v>
      </c>
      <c r="F2287" s="11" t="s">
        <v>4353</v>
      </c>
      <c r="G2287" s="11">
        <v>110486</v>
      </c>
      <c r="H2287" s="11" t="s">
        <v>4354</v>
      </c>
      <c r="K2287" s="11" t="s">
        <v>3871</v>
      </c>
      <c r="L2287" s="11" t="s">
        <v>3872</v>
      </c>
      <c r="M2287" s="11">
        <v>41.07</v>
      </c>
      <c r="N2287" s="11"/>
      <c r="O2287" s="42">
        <v>41.07</v>
      </c>
      <c r="P2287" s="43" t="s">
        <v>4495</v>
      </c>
      <c r="Q2287" s="11">
        <v>56333.69</v>
      </c>
      <c r="R2287" s="11" t="s">
        <v>3844</v>
      </c>
      <c r="S2287" s="11" t="s">
        <v>273</v>
      </c>
      <c r="T2287" s="11">
        <v>0</v>
      </c>
    </row>
    <row r="2288" spans="1:22" x14ac:dyDescent="0.25">
      <c r="A2288" s="11">
        <v>101060501</v>
      </c>
      <c r="B2288" s="11" t="s">
        <v>3632</v>
      </c>
      <c r="C2288" s="41">
        <v>44908</v>
      </c>
      <c r="D2288" s="41">
        <v>44970</v>
      </c>
      <c r="E2288" s="11" t="s">
        <v>42</v>
      </c>
      <c r="F2288" s="11" t="s">
        <v>4355</v>
      </c>
      <c r="G2288" s="11">
        <v>110494</v>
      </c>
      <c r="H2288" s="11" t="s">
        <v>4356</v>
      </c>
      <c r="K2288" s="11" t="s">
        <v>3871</v>
      </c>
      <c r="L2288" s="11" t="s">
        <v>3872</v>
      </c>
      <c r="M2288" s="11">
        <v>680</v>
      </c>
      <c r="N2288" s="11"/>
      <c r="O2288" s="42">
        <v>680</v>
      </c>
      <c r="P2288" s="43" t="s">
        <v>4495</v>
      </c>
      <c r="Q2288" s="11">
        <v>57013.69</v>
      </c>
      <c r="R2288" s="11" t="s">
        <v>3844</v>
      </c>
      <c r="S2288" s="11" t="s">
        <v>273</v>
      </c>
      <c r="T2288" s="11">
        <v>0</v>
      </c>
    </row>
    <row r="2289" spans="1:22" x14ac:dyDescent="0.25">
      <c r="A2289" s="11">
        <v>101060501</v>
      </c>
      <c r="B2289" s="11" t="s">
        <v>3632</v>
      </c>
      <c r="C2289" s="41">
        <v>44908</v>
      </c>
      <c r="D2289" s="41">
        <v>44970</v>
      </c>
      <c r="E2289" s="11" t="s">
        <v>3847</v>
      </c>
      <c r="F2289" s="11" t="s">
        <v>4357</v>
      </c>
      <c r="G2289" s="11">
        <v>110639</v>
      </c>
      <c r="H2289" s="11" t="s">
        <v>4358</v>
      </c>
      <c r="J2289" s="11" t="s">
        <v>38</v>
      </c>
      <c r="K2289" s="11" t="s">
        <v>3871</v>
      </c>
      <c r="L2289" s="11" t="s">
        <v>3872</v>
      </c>
      <c r="M2289" s="11">
        <v>855.8</v>
      </c>
      <c r="N2289" s="11"/>
      <c r="O2289" s="42">
        <v>855.8</v>
      </c>
      <c r="P2289" s="43" t="s">
        <v>4495</v>
      </c>
      <c r="Q2289" s="11">
        <v>57869.49</v>
      </c>
      <c r="R2289" s="11" t="s">
        <v>3844</v>
      </c>
      <c r="S2289" s="11" t="s">
        <v>273</v>
      </c>
      <c r="T2289" s="11">
        <v>0</v>
      </c>
      <c r="V2289" s="11" t="s">
        <v>41</v>
      </c>
    </row>
    <row r="2290" spans="1:22" x14ac:dyDescent="0.25">
      <c r="A2290" s="11">
        <v>101060501</v>
      </c>
      <c r="B2290" s="11" t="s">
        <v>3632</v>
      </c>
      <c r="C2290" s="41">
        <v>44908</v>
      </c>
      <c r="D2290" s="41">
        <v>44908</v>
      </c>
      <c r="E2290" s="11" t="s">
        <v>3842</v>
      </c>
      <c r="F2290" s="11" t="s">
        <v>4359</v>
      </c>
      <c r="G2290" s="11">
        <v>110961</v>
      </c>
      <c r="H2290" s="11" t="s">
        <v>4360</v>
      </c>
      <c r="K2290" s="11">
        <v>101010306</v>
      </c>
      <c r="L2290" s="11" t="s">
        <v>3869</v>
      </c>
      <c r="M2290" s="11">
        <v>132</v>
      </c>
      <c r="N2290" s="11"/>
      <c r="O2290" s="42">
        <v>132</v>
      </c>
      <c r="P2290" s="43" t="s">
        <v>4495</v>
      </c>
      <c r="Q2290" s="11">
        <v>58001.49</v>
      </c>
      <c r="R2290" s="11" t="s">
        <v>3844</v>
      </c>
      <c r="S2290" s="11" t="s">
        <v>273</v>
      </c>
      <c r="T2290" s="11">
        <v>0</v>
      </c>
    </row>
    <row r="2291" spans="1:22" x14ac:dyDescent="0.25">
      <c r="A2291" s="11">
        <v>101060501</v>
      </c>
      <c r="B2291" s="11" t="s">
        <v>3632</v>
      </c>
      <c r="C2291" s="41">
        <v>44908</v>
      </c>
      <c r="D2291" s="41">
        <v>44908</v>
      </c>
      <c r="E2291" s="11" t="s">
        <v>3842</v>
      </c>
      <c r="F2291" s="11" t="s">
        <v>4361</v>
      </c>
      <c r="G2291" s="11">
        <v>110962</v>
      </c>
      <c r="H2291" s="11" t="s">
        <v>4362</v>
      </c>
      <c r="K2291" s="11">
        <v>101010306</v>
      </c>
      <c r="L2291" s="11" t="s">
        <v>3869</v>
      </c>
      <c r="M2291" s="11">
        <v>476.69</v>
      </c>
      <c r="N2291" s="11"/>
      <c r="O2291" s="42">
        <v>476.69</v>
      </c>
      <c r="P2291" s="43" t="s">
        <v>4495</v>
      </c>
      <c r="Q2291" s="11">
        <v>58478.18</v>
      </c>
      <c r="R2291" s="11" t="s">
        <v>4363</v>
      </c>
      <c r="S2291" s="11" t="s">
        <v>273</v>
      </c>
      <c r="T2291" s="11">
        <v>0</v>
      </c>
    </row>
    <row r="2292" spans="1:22" x14ac:dyDescent="0.25">
      <c r="A2292" s="11">
        <v>101060501</v>
      </c>
      <c r="B2292" s="11" t="s">
        <v>3632</v>
      </c>
      <c r="C2292" s="41">
        <v>44908</v>
      </c>
      <c r="D2292" s="41">
        <v>44908</v>
      </c>
      <c r="E2292" s="11" t="s">
        <v>3842</v>
      </c>
      <c r="F2292" s="11" t="s">
        <v>4364</v>
      </c>
      <c r="G2292" s="11">
        <v>110964</v>
      </c>
      <c r="H2292" s="11" t="s">
        <v>4365</v>
      </c>
      <c r="K2292" s="11">
        <v>101010306</v>
      </c>
      <c r="L2292" s="11" t="s">
        <v>3869</v>
      </c>
      <c r="M2292" s="11">
        <v>132</v>
      </c>
      <c r="N2292" s="11"/>
      <c r="O2292" s="42">
        <v>132</v>
      </c>
      <c r="P2292" s="43" t="s">
        <v>4495</v>
      </c>
      <c r="Q2292" s="11">
        <v>58610.18</v>
      </c>
      <c r="R2292" s="11" t="s">
        <v>3844</v>
      </c>
      <c r="S2292" s="11" t="s">
        <v>273</v>
      </c>
      <c r="T2292" s="11">
        <v>0</v>
      </c>
    </row>
    <row r="2293" spans="1:22" x14ac:dyDescent="0.25">
      <c r="A2293" s="11">
        <v>101060501</v>
      </c>
      <c r="B2293" s="11" t="s">
        <v>3632</v>
      </c>
      <c r="C2293" s="41">
        <v>44908</v>
      </c>
      <c r="D2293" s="41">
        <v>44908</v>
      </c>
      <c r="E2293" s="11" t="s">
        <v>3842</v>
      </c>
      <c r="F2293" s="11" t="s">
        <v>4366</v>
      </c>
      <c r="G2293" s="11">
        <v>110965</v>
      </c>
      <c r="H2293" s="11" t="s">
        <v>4367</v>
      </c>
      <c r="K2293" s="11">
        <v>101010306</v>
      </c>
      <c r="L2293" s="11" t="s">
        <v>3869</v>
      </c>
      <c r="M2293" s="11">
        <v>1540</v>
      </c>
      <c r="N2293" s="11"/>
      <c r="O2293" s="42">
        <v>1540</v>
      </c>
      <c r="P2293" s="43" t="s">
        <v>4495</v>
      </c>
      <c r="Q2293" s="11">
        <v>60150.18</v>
      </c>
      <c r="R2293" s="11" t="s">
        <v>3844</v>
      </c>
      <c r="S2293" s="11" t="s">
        <v>273</v>
      </c>
      <c r="T2293" s="11">
        <v>0</v>
      </c>
    </row>
    <row r="2294" spans="1:22" x14ac:dyDescent="0.25">
      <c r="A2294" s="11">
        <v>101060501</v>
      </c>
      <c r="B2294" s="11" t="s">
        <v>3632</v>
      </c>
      <c r="C2294" s="41">
        <v>44908</v>
      </c>
      <c r="D2294" s="41">
        <v>44908</v>
      </c>
      <c r="E2294" s="11" t="s">
        <v>3842</v>
      </c>
      <c r="F2294" s="11" t="s">
        <v>4359</v>
      </c>
      <c r="G2294" s="11">
        <v>111577</v>
      </c>
      <c r="H2294" s="11" t="s">
        <v>4368</v>
      </c>
      <c r="K2294" s="11">
        <v>101010306</v>
      </c>
      <c r="L2294" s="11" t="s">
        <v>3869</v>
      </c>
      <c r="M2294" s="11"/>
      <c r="N2294" s="11">
        <v>132</v>
      </c>
      <c r="O2294" s="42">
        <v>-132</v>
      </c>
      <c r="P2294" s="43" t="s">
        <v>4495</v>
      </c>
      <c r="Q2294" s="11">
        <v>60018.18</v>
      </c>
      <c r="R2294" s="11" t="s">
        <v>3844</v>
      </c>
      <c r="S2294" s="11" t="s">
        <v>273</v>
      </c>
      <c r="T2294" s="11">
        <v>0</v>
      </c>
    </row>
    <row r="2295" spans="1:22" x14ac:dyDescent="0.25">
      <c r="A2295" s="11">
        <v>101060501</v>
      </c>
      <c r="B2295" s="11" t="s">
        <v>3632</v>
      </c>
      <c r="C2295" s="41">
        <v>44908</v>
      </c>
      <c r="D2295" s="41">
        <v>44908</v>
      </c>
      <c r="E2295" s="11" t="s">
        <v>3842</v>
      </c>
      <c r="F2295" s="11" t="s">
        <v>4369</v>
      </c>
      <c r="G2295" s="11">
        <v>111578</v>
      </c>
      <c r="H2295" s="11" t="s">
        <v>4370</v>
      </c>
      <c r="K2295" s="11">
        <v>101010306</v>
      </c>
      <c r="L2295" s="11" t="s">
        <v>3869</v>
      </c>
      <c r="M2295" s="11">
        <v>120</v>
      </c>
      <c r="N2295" s="11"/>
      <c r="O2295" s="42">
        <v>120</v>
      </c>
      <c r="P2295" s="43" t="s">
        <v>4495</v>
      </c>
      <c r="Q2295" s="11">
        <v>60138.18</v>
      </c>
      <c r="R2295" s="11" t="s">
        <v>3858</v>
      </c>
      <c r="S2295" s="11" t="s">
        <v>273</v>
      </c>
      <c r="T2295" s="11">
        <v>0</v>
      </c>
    </row>
    <row r="2296" spans="1:22" x14ac:dyDescent="0.25">
      <c r="A2296" s="11">
        <v>101060501</v>
      </c>
      <c r="B2296" s="11" t="s">
        <v>3632</v>
      </c>
      <c r="C2296" s="41">
        <v>44908</v>
      </c>
      <c r="D2296" s="41">
        <v>44908</v>
      </c>
      <c r="E2296" s="11" t="s">
        <v>3842</v>
      </c>
      <c r="F2296" s="11" t="s">
        <v>4364</v>
      </c>
      <c r="G2296" s="11">
        <v>111582</v>
      </c>
      <c r="H2296" s="11" t="s">
        <v>4371</v>
      </c>
      <c r="K2296" s="11">
        <v>101010306</v>
      </c>
      <c r="L2296" s="11" t="s">
        <v>3869</v>
      </c>
      <c r="M2296" s="11"/>
      <c r="N2296" s="11">
        <v>132</v>
      </c>
      <c r="O2296" s="42">
        <v>-132</v>
      </c>
      <c r="P2296" s="43" t="s">
        <v>4495</v>
      </c>
      <c r="Q2296" s="11">
        <v>60006.18</v>
      </c>
      <c r="R2296" s="11" t="s">
        <v>3844</v>
      </c>
      <c r="S2296" s="11" t="s">
        <v>273</v>
      </c>
      <c r="T2296" s="11">
        <v>0</v>
      </c>
    </row>
    <row r="2297" spans="1:22" x14ac:dyDescent="0.25">
      <c r="A2297" s="11">
        <v>101060501</v>
      </c>
      <c r="B2297" s="11" t="s">
        <v>3632</v>
      </c>
      <c r="C2297" s="41">
        <v>44908</v>
      </c>
      <c r="D2297" s="41">
        <v>44908</v>
      </c>
      <c r="E2297" s="11" t="s">
        <v>3842</v>
      </c>
      <c r="F2297" s="11" t="s">
        <v>4372</v>
      </c>
      <c r="G2297" s="11">
        <v>111586</v>
      </c>
      <c r="H2297" s="11" t="s">
        <v>4365</v>
      </c>
      <c r="K2297" s="11">
        <v>101010306</v>
      </c>
      <c r="L2297" s="11" t="s">
        <v>3869</v>
      </c>
      <c r="M2297" s="11">
        <v>120</v>
      </c>
      <c r="N2297" s="11"/>
      <c r="O2297" s="42">
        <v>120</v>
      </c>
      <c r="P2297" s="43" t="s">
        <v>4495</v>
      </c>
      <c r="Q2297" s="11">
        <v>60126.18</v>
      </c>
      <c r="R2297" s="11" t="s">
        <v>3844</v>
      </c>
      <c r="S2297" s="11" t="s">
        <v>273</v>
      </c>
      <c r="T2297" s="11">
        <v>0</v>
      </c>
    </row>
    <row r="2298" spans="1:22" x14ac:dyDescent="0.25">
      <c r="A2298" s="11">
        <v>101060501</v>
      </c>
      <c r="B2298" s="11" t="s">
        <v>3632</v>
      </c>
      <c r="C2298" s="41">
        <v>44909</v>
      </c>
      <c r="D2298" s="41">
        <v>44956</v>
      </c>
      <c r="E2298" s="11" t="s">
        <v>42</v>
      </c>
      <c r="F2298" s="11" t="s">
        <v>4373</v>
      </c>
      <c r="G2298" s="11">
        <v>110477</v>
      </c>
      <c r="H2298" s="11" t="s">
        <v>4374</v>
      </c>
      <c r="K2298" s="11" t="s">
        <v>3900</v>
      </c>
      <c r="L2298" s="11" t="s">
        <v>3901</v>
      </c>
      <c r="M2298" s="11">
        <v>259.39999999999998</v>
      </c>
      <c r="N2298" s="11"/>
      <c r="O2298" s="42">
        <v>259.39999999999998</v>
      </c>
      <c r="P2298" s="43" t="s">
        <v>4495</v>
      </c>
      <c r="Q2298" s="11">
        <v>60385.58</v>
      </c>
      <c r="R2298" s="11" t="s">
        <v>4375</v>
      </c>
      <c r="S2298" s="11" t="s">
        <v>273</v>
      </c>
      <c r="T2298" s="11">
        <v>0</v>
      </c>
    </row>
    <row r="2299" spans="1:22" x14ac:dyDescent="0.25">
      <c r="A2299" s="11">
        <v>101060501</v>
      </c>
      <c r="B2299" s="11" t="s">
        <v>3632</v>
      </c>
      <c r="C2299" s="41">
        <v>44909</v>
      </c>
      <c r="D2299" s="41">
        <v>44999</v>
      </c>
      <c r="E2299" s="11" t="s">
        <v>42</v>
      </c>
      <c r="F2299" s="11" t="s">
        <v>4376</v>
      </c>
      <c r="G2299" s="11">
        <v>110478</v>
      </c>
      <c r="H2299" s="11" t="s">
        <v>4377</v>
      </c>
      <c r="J2299" s="11" t="s">
        <v>38</v>
      </c>
      <c r="K2299" s="11" t="s">
        <v>3856</v>
      </c>
      <c r="L2299" s="11" t="s">
        <v>3857</v>
      </c>
      <c r="M2299" s="11">
        <v>798.63</v>
      </c>
      <c r="N2299" s="11"/>
      <c r="O2299" s="42">
        <v>798.63</v>
      </c>
      <c r="P2299" s="43" t="s">
        <v>4495</v>
      </c>
      <c r="Q2299" s="11">
        <v>61184.21</v>
      </c>
      <c r="R2299" s="11" t="s">
        <v>3844</v>
      </c>
      <c r="S2299" s="11" t="s">
        <v>273</v>
      </c>
      <c r="T2299" s="11">
        <v>0</v>
      </c>
      <c r="V2299" s="11" t="s">
        <v>41</v>
      </c>
    </row>
    <row r="2300" spans="1:22" x14ac:dyDescent="0.25">
      <c r="A2300" s="11">
        <v>101060501</v>
      </c>
      <c r="B2300" s="11" t="s">
        <v>3632</v>
      </c>
      <c r="C2300" s="41">
        <v>44909</v>
      </c>
      <c r="D2300" s="41">
        <v>44909</v>
      </c>
      <c r="E2300" s="11" t="s">
        <v>3847</v>
      </c>
      <c r="F2300" s="11" t="s">
        <v>4378</v>
      </c>
      <c r="G2300" s="11">
        <v>110707</v>
      </c>
      <c r="H2300" s="11" t="s">
        <v>4379</v>
      </c>
      <c r="K2300" s="11" t="s">
        <v>3848</v>
      </c>
      <c r="L2300" s="11" t="s">
        <v>3849</v>
      </c>
      <c r="M2300" s="11">
        <v>94.07</v>
      </c>
      <c r="N2300" s="11"/>
      <c r="O2300" s="42">
        <v>94.07</v>
      </c>
      <c r="P2300" s="43" t="s">
        <v>4495</v>
      </c>
      <c r="Q2300" s="11">
        <v>61278.28</v>
      </c>
      <c r="R2300" s="11" t="s">
        <v>3844</v>
      </c>
      <c r="S2300" s="11" t="s">
        <v>273</v>
      </c>
      <c r="T2300" s="11">
        <v>0</v>
      </c>
    </row>
    <row r="2301" spans="1:22" x14ac:dyDescent="0.25">
      <c r="A2301" s="11">
        <v>101060501</v>
      </c>
      <c r="B2301" s="11" t="s">
        <v>3632</v>
      </c>
      <c r="C2301" s="41">
        <v>44910</v>
      </c>
      <c r="D2301" s="41">
        <v>44910</v>
      </c>
      <c r="E2301" s="11" t="s">
        <v>3847</v>
      </c>
      <c r="F2301" s="11" t="s">
        <v>4380</v>
      </c>
      <c r="G2301" s="11">
        <v>111153</v>
      </c>
      <c r="H2301" s="11" t="s">
        <v>4381</v>
      </c>
      <c r="K2301" s="11" t="s">
        <v>3848</v>
      </c>
      <c r="L2301" s="11" t="s">
        <v>3849</v>
      </c>
      <c r="M2301" s="11">
        <v>4.2699999999999996</v>
      </c>
      <c r="N2301" s="11"/>
      <c r="O2301" s="42">
        <v>4.2699999999999996</v>
      </c>
      <c r="P2301" s="43" t="s">
        <v>4495</v>
      </c>
      <c r="Q2301" s="11">
        <v>61282.55</v>
      </c>
      <c r="R2301" s="11" t="s">
        <v>3844</v>
      </c>
      <c r="S2301" s="11" t="s">
        <v>273</v>
      </c>
      <c r="T2301" s="11">
        <v>0</v>
      </c>
    </row>
    <row r="2302" spans="1:22" x14ac:dyDescent="0.25">
      <c r="A2302" s="11">
        <v>101060501</v>
      </c>
      <c r="B2302" s="11" t="s">
        <v>3632</v>
      </c>
      <c r="C2302" s="41">
        <v>44911</v>
      </c>
      <c r="D2302" s="41">
        <v>44971</v>
      </c>
      <c r="E2302" s="11" t="s">
        <v>42</v>
      </c>
      <c r="F2302" s="11" t="s">
        <v>4382</v>
      </c>
      <c r="G2302" s="11">
        <v>110609</v>
      </c>
      <c r="H2302" s="11" t="s">
        <v>4383</v>
      </c>
      <c r="K2302" s="11" t="s">
        <v>3845</v>
      </c>
      <c r="L2302" s="11" t="s">
        <v>3846</v>
      </c>
      <c r="M2302" s="11">
        <v>116.71</v>
      </c>
      <c r="N2302" s="11"/>
      <c r="O2302" s="42">
        <v>116.71</v>
      </c>
      <c r="P2302" s="43" t="s">
        <v>4495</v>
      </c>
      <c r="Q2302" s="11">
        <v>61399.26</v>
      </c>
      <c r="R2302" s="11" t="s">
        <v>3844</v>
      </c>
      <c r="S2302" s="11" t="s">
        <v>273</v>
      </c>
      <c r="T2302" s="11">
        <v>0</v>
      </c>
    </row>
    <row r="2303" spans="1:22" x14ac:dyDescent="0.25">
      <c r="A2303" s="11">
        <v>101060501</v>
      </c>
      <c r="B2303" s="11" t="s">
        <v>3632</v>
      </c>
      <c r="C2303" s="41">
        <v>44911</v>
      </c>
      <c r="D2303" s="41">
        <v>44971</v>
      </c>
      <c r="E2303" s="11" t="s">
        <v>42</v>
      </c>
      <c r="F2303" s="11" t="s">
        <v>4384</v>
      </c>
      <c r="G2303" s="11">
        <v>110612</v>
      </c>
      <c r="H2303" s="11" t="s">
        <v>4385</v>
      </c>
      <c r="K2303" s="11" t="s">
        <v>3871</v>
      </c>
      <c r="L2303" s="11" t="s">
        <v>3872</v>
      </c>
      <c r="M2303" s="11">
        <v>63.54</v>
      </c>
      <c r="N2303" s="11"/>
      <c r="O2303" s="42">
        <v>63.54</v>
      </c>
      <c r="P2303" s="43" t="s">
        <v>4495</v>
      </c>
      <c r="Q2303" s="11">
        <v>61462.8</v>
      </c>
      <c r="R2303" s="11" t="s">
        <v>3844</v>
      </c>
      <c r="S2303" s="11" t="s">
        <v>273</v>
      </c>
      <c r="T2303" s="11">
        <v>0</v>
      </c>
    </row>
    <row r="2304" spans="1:22" x14ac:dyDescent="0.25">
      <c r="A2304" s="11">
        <v>101060501</v>
      </c>
      <c r="B2304" s="11" t="s">
        <v>3632</v>
      </c>
      <c r="C2304" s="41">
        <v>44914</v>
      </c>
      <c r="D2304" s="41">
        <v>44914</v>
      </c>
      <c r="E2304" s="11" t="s">
        <v>3847</v>
      </c>
      <c r="F2304" s="11" t="s">
        <v>4386</v>
      </c>
      <c r="G2304" s="11">
        <v>110377</v>
      </c>
      <c r="H2304" s="11" t="s">
        <v>4387</v>
      </c>
      <c r="K2304" s="11" t="s">
        <v>3884</v>
      </c>
      <c r="L2304" s="11" t="s">
        <v>3885</v>
      </c>
      <c r="M2304" s="11">
        <v>16739</v>
      </c>
      <c r="N2304" s="11"/>
      <c r="O2304" s="42">
        <v>16739</v>
      </c>
      <c r="P2304" s="43" t="s">
        <v>4495</v>
      </c>
      <c r="Q2304" s="11">
        <v>78201.8</v>
      </c>
      <c r="R2304" s="11" t="s">
        <v>3844</v>
      </c>
      <c r="S2304" s="11" t="s">
        <v>137</v>
      </c>
      <c r="T2304" s="11">
        <v>0</v>
      </c>
    </row>
    <row r="2305" spans="1:22" x14ac:dyDescent="0.25">
      <c r="A2305" s="11">
        <v>101060501</v>
      </c>
      <c r="B2305" s="11" t="s">
        <v>3632</v>
      </c>
      <c r="C2305" s="41">
        <v>44914</v>
      </c>
      <c r="D2305" s="41">
        <v>44914</v>
      </c>
      <c r="E2305" s="11" t="s">
        <v>36</v>
      </c>
      <c r="F2305" s="11" t="s">
        <v>3769</v>
      </c>
      <c r="G2305" s="11">
        <v>110378</v>
      </c>
      <c r="H2305" s="11" t="s">
        <v>3638</v>
      </c>
      <c r="K2305" s="11">
        <v>101060408</v>
      </c>
      <c r="L2305" s="11" t="s">
        <v>82</v>
      </c>
      <c r="M2305" s="11"/>
      <c r="N2305" s="11">
        <v>16739</v>
      </c>
      <c r="O2305" s="42">
        <v>-16739</v>
      </c>
      <c r="P2305" s="43" t="s">
        <v>4492</v>
      </c>
      <c r="Q2305" s="11">
        <v>61462.8</v>
      </c>
      <c r="R2305" s="11" t="s">
        <v>3844</v>
      </c>
      <c r="S2305" s="11" t="s">
        <v>137</v>
      </c>
      <c r="T2305" s="11">
        <v>0</v>
      </c>
    </row>
    <row r="2306" spans="1:22" x14ac:dyDescent="0.25">
      <c r="A2306" s="11">
        <v>101060501</v>
      </c>
      <c r="B2306" s="11" t="s">
        <v>3632</v>
      </c>
      <c r="C2306" s="41">
        <v>44914</v>
      </c>
      <c r="D2306" s="41">
        <v>44914</v>
      </c>
      <c r="E2306" s="11" t="s">
        <v>3847</v>
      </c>
      <c r="F2306" s="11" t="s">
        <v>4388</v>
      </c>
      <c r="G2306" s="11">
        <v>110381</v>
      </c>
      <c r="H2306" s="11" t="s">
        <v>4389</v>
      </c>
      <c r="K2306" s="11" t="s">
        <v>3906</v>
      </c>
      <c r="L2306" s="11" t="s">
        <v>3907</v>
      </c>
      <c r="M2306" s="11">
        <v>12195</v>
      </c>
      <c r="N2306" s="11"/>
      <c r="O2306" s="42">
        <v>12195</v>
      </c>
      <c r="P2306" s="43" t="s">
        <v>4495</v>
      </c>
      <c r="Q2306" s="11">
        <v>73657.8</v>
      </c>
      <c r="R2306" s="11" t="s">
        <v>3844</v>
      </c>
      <c r="S2306" s="11" t="s">
        <v>137</v>
      </c>
      <c r="T2306" s="11">
        <v>0</v>
      </c>
    </row>
    <row r="2307" spans="1:22" x14ac:dyDescent="0.25">
      <c r="A2307" s="11">
        <v>101060501</v>
      </c>
      <c r="B2307" s="11" t="s">
        <v>3632</v>
      </c>
      <c r="C2307" s="41">
        <v>44914</v>
      </c>
      <c r="D2307" s="41">
        <v>44914</v>
      </c>
      <c r="E2307" s="11" t="s">
        <v>36</v>
      </c>
      <c r="F2307" s="11" t="s">
        <v>3771</v>
      </c>
      <c r="G2307" s="11">
        <v>110383</v>
      </c>
      <c r="H2307" s="11" t="s">
        <v>3643</v>
      </c>
      <c r="K2307" s="11">
        <v>101060408</v>
      </c>
      <c r="L2307" s="11" t="s">
        <v>82</v>
      </c>
      <c r="M2307" s="11"/>
      <c r="N2307" s="11">
        <v>12195</v>
      </c>
      <c r="O2307" s="42">
        <v>-12195</v>
      </c>
      <c r="P2307" s="43" t="s">
        <v>4492</v>
      </c>
      <c r="Q2307" s="11">
        <v>61462.8</v>
      </c>
      <c r="R2307" s="11" t="s">
        <v>3844</v>
      </c>
      <c r="S2307" s="11" t="s">
        <v>137</v>
      </c>
      <c r="T2307" s="11">
        <v>0</v>
      </c>
    </row>
    <row r="2308" spans="1:22" x14ac:dyDescent="0.25">
      <c r="A2308" s="11">
        <v>101060501</v>
      </c>
      <c r="B2308" s="11" t="s">
        <v>3632</v>
      </c>
      <c r="C2308" s="41">
        <v>44914</v>
      </c>
      <c r="D2308" s="41">
        <v>44914</v>
      </c>
      <c r="E2308" s="11" t="s">
        <v>36</v>
      </c>
      <c r="F2308" s="11" t="s">
        <v>3773</v>
      </c>
      <c r="G2308" s="11">
        <v>110385</v>
      </c>
      <c r="H2308" s="11" t="s">
        <v>3774</v>
      </c>
      <c r="K2308" s="11">
        <v>101060408</v>
      </c>
      <c r="L2308" s="11" t="s">
        <v>82</v>
      </c>
      <c r="M2308" s="11"/>
      <c r="N2308" s="11">
        <v>6298.81</v>
      </c>
      <c r="O2308" s="42">
        <v>-6298.81</v>
      </c>
      <c r="P2308" s="43" t="s">
        <v>4492</v>
      </c>
      <c r="Q2308" s="11">
        <v>55163.99</v>
      </c>
      <c r="R2308" s="11" t="s">
        <v>3844</v>
      </c>
      <c r="S2308" s="11" t="s">
        <v>137</v>
      </c>
      <c r="T2308" s="11">
        <v>0</v>
      </c>
    </row>
    <row r="2309" spans="1:22" x14ac:dyDescent="0.25">
      <c r="A2309" s="11">
        <v>101060501</v>
      </c>
      <c r="B2309" s="11" t="s">
        <v>3632</v>
      </c>
      <c r="C2309" s="41">
        <v>44914</v>
      </c>
      <c r="D2309" s="41">
        <v>44974</v>
      </c>
      <c r="E2309" s="11" t="s">
        <v>42</v>
      </c>
      <c r="F2309" s="11" t="s">
        <v>4390</v>
      </c>
      <c r="G2309" s="11">
        <v>110496</v>
      </c>
      <c r="H2309" s="11" t="s">
        <v>4391</v>
      </c>
      <c r="J2309" s="11" t="s">
        <v>38</v>
      </c>
      <c r="K2309" s="11" t="s">
        <v>4392</v>
      </c>
      <c r="L2309" s="11" t="s">
        <v>4393</v>
      </c>
      <c r="M2309" s="11">
        <v>69.819999999999993</v>
      </c>
      <c r="N2309" s="11"/>
      <c r="O2309" s="42">
        <v>69.819999999999993</v>
      </c>
      <c r="P2309" s="43" t="s">
        <v>4495</v>
      </c>
      <c r="Q2309" s="11">
        <v>55233.81</v>
      </c>
      <c r="R2309" s="11" t="s">
        <v>4394</v>
      </c>
      <c r="S2309" s="11" t="s">
        <v>273</v>
      </c>
      <c r="T2309" s="11">
        <v>0</v>
      </c>
      <c r="V2309" s="11" t="s">
        <v>41</v>
      </c>
    </row>
    <row r="2310" spans="1:22" x14ac:dyDescent="0.25">
      <c r="A2310" s="11">
        <v>101060501</v>
      </c>
      <c r="B2310" s="11" t="s">
        <v>3632</v>
      </c>
      <c r="C2310" s="41">
        <v>44914</v>
      </c>
      <c r="D2310" s="41">
        <v>44914</v>
      </c>
      <c r="E2310" s="11" t="s">
        <v>3842</v>
      </c>
      <c r="F2310" s="11" t="s">
        <v>4395</v>
      </c>
      <c r="G2310" s="11">
        <v>110968</v>
      </c>
      <c r="H2310" s="11" t="s">
        <v>4396</v>
      </c>
      <c r="K2310" s="11">
        <v>101010306</v>
      </c>
      <c r="L2310" s="11" t="s">
        <v>3869</v>
      </c>
      <c r="M2310" s="11">
        <v>115.4</v>
      </c>
      <c r="N2310" s="11"/>
      <c r="O2310" s="42">
        <v>115.4</v>
      </c>
      <c r="P2310" s="43" t="s">
        <v>4495</v>
      </c>
      <c r="Q2310" s="11">
        <v>55349.21</v>
      </c>
      <c r="R2310" s="11" t="s">
        <v>3844</v>
      </c>
      <c r="S2310" s="11" t="s">
        <v>273</v>
      </c>
      <c r="T2310" s="11">
        <v>0</v>
      </c>
    </row>
    <row r="2311" spans="1:22" x14ac:dyDescent="0.25">
      <c r="A2311" s="11">
        <v>101060501</v>
      </c>
      <c r="B2311" s="11" t="s">
        <v>3632</v>
      </c>
      <c r="C2311" s="41">
        <v>44914</v>
      </c>
      <c r="D2311" s="41">
        <v>44914</v>
      </c>
      <c r="E2311" s="11" t="s">
        <v>3842</v>
      </c>
      <c r="F2311" s="11" t="s">
        <v>4397</v>
      </c>
      <c r="G2311" s="11">
        <v>110969</v>
      </c>
      <c r="H2311" s="11" t="s">
        <v>4398</v>
      </c>
      <c r="K2311" s="11">
        <v>101010306</v>
      </c>
      <c r="L2311" s="11" t="s">
        <v>3869</v>
      </c>
      <c r="M2311" s="11">
        <v>302.57</v>
      </c>
      <c r="N2311" s="11"/>
      <c r="O2311" s="42">
        <v>302.57</v>
      </c>
      <c r="P2311" s="43" t="s">
        <v>4495</v>
      </c>
      <c r="Q2311" s="11">
        <v>55651.78</v>
      </c>
      <c r="R2311" s="11" t="s">
        <v>4399</v>
      </c>
      <c r="S2311" s="11" t="s">
        <v>273</v>
      </c>
      <c r="T2311" s="11">
        <v>0</v>
      </c>
    </row>
    <row r="2312" spans="1:22" x14ac:dyDescent="0.25">
      <c r="A2312" s="11">
        <v>101060501</v>
      </c>
      <c r="B2312" s="11" t="s">
        <v>3632</v>
      </c>
      <c r="C2312" s="41">
        <v>44914</v>
      </c>
      <c r="D2312" s="41">
        <v>44914</v>
      </c>
      <c r="E2312" s="11" t="s">
        <v>3842</v>
      </c>
      <c r="F2312" s="11" t="s">
        <v>4395</v>
      </c>
      <c r="G2312" s="11">
        <v>111587</v>
      </c>
      <c r="H2312" s="11" t="s">
        <v>4400</v>
      </c>
      <c r="K2312" s="11">
        <v>101010306</v>
      </c>
      <c r="L2312" s="11" t="s">
        <v>3869</v>
      </c>
      <c r="M2312" s="11"/>
      <c r="N2312" s="11">
        <v>115.4</v>
      </c>
      <c r="O2312" s="42">
        <v>-115.4</v>
      </c>
      <c r="P2312" s="43" t="s">
        <v>4495</v>
      </c>
      <c r="Q2312" s="11">
        <v>55536.38</v>
      </c>
      <c r="R2312" s="11" t="s">
        <v>3844</v>
      </c>
      <c r="S2312" s="11" t="s">
        <v>273</v>
      </c>
      <c r="T2312" s="11">
        <v>0</v>
      </c>
    </row>
    <row r="2313" spans="1:22" x14ac:dyDescent="0.25">
      <c r="A2313" s="11">
        <v>101060501</v>
      </c>
      <c r="B2313" s="11" t="s">
        <v>3632</v>
      </c>
      <c r="C2313" s="41">
        <v>44914</v>
      </c>
      <c r="D2313" s="41">
        <v>44914</v>
      </c>
      <c r="E2313" s="11" t="s">
        <v>3842</v>
      </c>
      <c r="F2313" s="11" t="s">
        <v>4401</v>
      </c>
      <c r="G2313" s="11">
        <v>111590</v>
      </c>
      <c r="H2313" s="11" t="s">
        <v>4396</v>
      </c>
      <c r="K2313" s="11">
        <v>101010306</v>
      </c>
      <c r="L2313" s="11" t="s">
        <v>3869</v>
      </c>
      <c r="M2313" s="11">
        <v>105.18</v>
      </c>
      <c r="N2313" s="11"/>
      <c r="O2313" s="42">
        <v>105.18</v>
      </c>
      <c r="P2313" s="43" t="s">
        <v>4495</v>
      </c>
      <c r="Q2313" s="11">
        <v>55641.56</v>
      </c>
      <c r="R2313" s="11" t="s">
        <v>4402</v>
      </c>
      <c r="S2313" s="11" t="s">
        <v>273</v>
      </c>
      <c r="T2313" s="11">
        <v>0</v>
      </c>
    </row>
    <row r="2314" spans="1:22" x14ac:dyDescent="0.25">
      <c r="A2314" s="11">
        <v>101060501</v>
      </c>
      <c r="B2314" s="11" t="s">
        <v>3632</v>
      </c>
      <c r="C2314" s="41">
        <v>44914</v>
      </c>
      <c r="D2314" s="41">
        <v>44974</v>
      </c>
      <c r="E2314" s="11" t="s">
        <v>203</v>
      </c>
      <c r="F2314" s="11" t="s">
        <v>4403</v>
      </c>
      <c r="G2314" s="11">
        <v>112500</v>
      </c>
      <c r="H2314" s="11" t="s">
        <v>4391</v>
      </c>
      <c r="J2314" s="11" t="s">
        <v>38</v>
      </c>
      <c r="K2314" s="11">
        <v>61030501</v>
      </c>
      <c r="L2314" s="11" t="s">
        <v>4404</v>
      </c>
      <c r="M2314" s="11"/>
      <c r="N2314" s="11">
        <v>69.819999999999993</v>
      </c>
      <c r="O2314" s="42">
        <v>-69.819999999999993</v>
      </c>
      <c r="P2314" s="43" t="s">
        <v>4495</v>
      </c>
      <c r="Q2314" s="11">
        <v>55571.74</v>
      </c>
      <c r="R2314" s="11" t="s">
        <v>4405</v>
      </c>
      <c r="S2314" s="11" t="s">
        <v>202</v>
      </c>
      <c r="T2314" s="11">
        <v>0</v>
      </c>
      <c r="V2314" s="11" t="s">
        <v>41</v>
      </c>
    </row>
    <row r="2315" spans="1:22" x14ac:dyDescent="0.25">
      <c r="A2315" s="11">
        <v>101060501</v>
      </c>
      <c r="B2315" s="11" t="s">
        <v>3632</v>
      </c>
      <c r="C2315" s="41">
        <v>44915</v>
      </c>
      <c r="D2315" s="41">
        <v>44915</v>
      </c>
      <c r="E2315" s="11" t="s">
        <v>3847</v>
      </c>
      <c r="F2315" s="11" t="s">
        <v>4406</v>
      </c>
      <c r="G2315" s="11">
        <v>110423</v>
      </c>
      <c r="H2315" s="11" t="s">
        <v>4407</v>
      </c>
      <c r="K2315" s="11" t="s">
        <v>257</v>
      </c>
      <c r="L2315" s="11" t="s">
        <v>258</v>
      </c>
      <c r="M2315" s="11">
        <v>72667.62</v>
      </c>
      <c r="N2315" s="11"/>
      <c r="O2315" s="42">
        <v>72667.62</v>
      </c>
      <c r="P2315" s="43" t="s">
        <v>4495</v>
      </c>
      <c r="Q2315" s="11">
        <v>128239.36</v>
      </c>
      <c r="R2315" s="11" t="s">
        <v>3844</v>
      </c>
      <c r="S2315" s="11" t="s">
        <v>137</v>
      </c>
      <c r="T2315" s="11">
        <v>0</v>
      </c>
    </row>
    <row r="2316" spans="1:22" x14ac:dyDescent="0.25">
      <c r="A2316" s="11">
        <v>101060501</v>
      </c>
      <c r="B2316" s="11" t="s">
        <v>3632</v>
      </c>
      <c r="C2316" s="41">
        <v>44915</v>
      </c>
      <c r="D2316" s="41">
        <v>44915</v>
      </c>
      <c r="E2316" s="11" t="s">
        <v>36</v>
      </c>
      <c r="F2316" s="11" t="s">
        <v>3776</v>
      </c>
      <c r="G2316" s="11">
        <v>110429</v>
      </c>
      <c r="H2316" s="11" t="s">
        <v>3633</v>
      </c>
      <c r="K2316" s="11">
        <v>101060408</v>
      </c>
      <c r="L2316" s="11" t="s">
        <v>82</v>
      </c>
      <c r="M2316" s="11"/>
      <c r="N2316" s="11">
        <v>72667.62</v>
      </c>
      <c r="O2316" s="42">
        <v>-72667.62</v>
      </c>
      <c r="P2316" s="43" t="s">
        <v>4492</v>
      </c>
      <c r="Q2316" s="11">
        <v>55571.74</v>
      </c>
      <c r="R2316" s="11" t="s">
        <v>3844</v>
      </c>
      <c r="S2316" s="11" t="s">
        <v>137</v>
      </c>
      <c r="T2316" s="11">
        <v>0</v>
      </c>
    </row>
    <row r="2317" spans="1:22" x14ac:dyDescent="0.25">
      <c r="A2317" s="11">
        <v>101060501</v>
      </c>
      <c r="B2317" s="11" t="s">
        <v>3632</v>
      </c>
      <c r="C2317" s="41">
        <v>44915</v>
      </c>
      <c r="D2317" s="41">
        <v>44915</v>
      </c>
      <c r="E2317" s="11" t="s">
        <v>36</v>
      </c>
      <c r="F2317" s="11" t="s">
        <v>3778</v>
      </c>
      <c r="G2317" s="11">
        <v>110433</v>
      </c>
      <c r="H2317" s="11" t="s">
        <v>3779</v>
      </c>
      <c r="K2317" s="11">
        <v>101060408</v>
      </c>
      <c r="L2317" s="11" t="s">
        <v>82</v>
      </c>
      <c r="M2317" s="11"/>
      <c r="N2317" s="11">
        <v>12733.46</v>
      </c>
      <c r="O2317" s="42">
        <v>-12733.46</v>
      </c>
      <c r="P2317" s="43" t="s">
        <v>4492</v>
      </c>
      <c r="Q2317" s="11">
        <v>42838.28</v>
      </c>
      <c r="R2317" s="11" t="s">
        <v>3844</v>
      </c>
      <c r="S2317" s="11" t="s">
        <v>137</v>
      </c>
      <c r="T2317" s="11">
        <v>0</v>
      </c>
    </row>
    <row r="2318" spans="1:22" x14ac:dyDescent="0.25">
      <c r="A2318" s="11">
        <v>101060501</v>
      </c>
      <c r="B2318" s="11" t="s">
        <v>3632</v>
      </c>
      <c r="C2318" s="41">
        <v>44915</v>
      </c>
      <c r="D2318" s="41">
        <v>44915</v>
      </c>
      <c r="E2318" s="11" t="s">
        <v>3842</v>
      </c>
      <c r="F2318" s="11" t="s">
        <v>4408</v>
      </c>
      <c r="G2318" s="11">
        <v>110973</v>
      </c>
      <c r="H2318" s="11" t="s">
        <v>4409</v>
      </c>
      <c r="K2318" s="11">
        <v>101010301</v>
      </c>
      <c r="L2318" s="11" t="s">
        <v>3843</v>
      </c>
      <c r="M2318" s="11">
        <v>50</v>
      </c>
      <c r="N2318" s="11"/>
      <c r="O2318" s="42">
        <v>50</v>
      </c>
      <c r="P2318" s="43" t="s">
        <v>4495</v>
      </c>
      <c r="Q2318" s="11">
        <v>42888.28</v>
      </c>
      <c r="R2318" s="11" t="s">
        <v>3864</v>
      </c>
      <c r="S2318" s="11" t="s">
        <v>273</v>
      </c>
      <c r="T2318" s="11">
        <v>0</v>
      </c>
    </row>
    <row r="2319" spans="1:22" x14ac:dyDescent="0.25">
      <c r="A2319" s="11">
        <v>101060501</v>
      </c>
      <c r="B2319" s="11" t="s">
        <v>3632</v>
      </c>
      <c r="C2319" s="41">
        <v>44916</v>
      </c>
      <c r="D2319" s="41">
        <v>44916</v>
      </c>
      <c r="E2319" s="11" t="s">
        <v>3847</v>
      </c>
      <c r="F2319" s="11" t="s">
        <v>4410</v>
      </c>
      <c r="G2319" s="11">
        <v>110533</v>
      </c>
      <c r="H2319" s="11" t="s">
        <v>4411</v>
      </c>
      <c r="K2319" s="11" t="s">
        <v>3912</v>
      </c>
      <c r="L2319" s="11" t="s">
        <v>3913</v>
      </c>
      <c r="M2319" s="11">
        <v>1431.31</v>
      </c>
      <c r="N2319" s="11"/>
      <c r="O2319" s="42">
        <v>1431.31</v>
      </c>
      <c r="P2319" s="43" t="s">
        <v>4495</v>
      </c>
      <c r="Q2319" s="11">
        <v>44319.59</v>
      </c>
      <c r="R2319" s="11" t="s">
        <v>3844</v>
      </c>
      <c r="S2319" s="11" t="s">
        <v>137</v>
      </c>
      <c r="T2319" s="11">
        <v>0</v>
      </c>
    </row>
    <row r="2320" spans="1:22" x14ac:dyDescent="0.25">
      <c r="A2320" s="11">
        <v>101060501</v>
      </c>
      <c r="B2320" s="11" t="s">
        <v>3632</v>
      </c>
      <c r="C2320" s="41">
        <v>44916</v>
      </c>
      <c r="D2320" s="41">
        <v>44916</v>
      </c>
      <c r="E2320" s="11" t="s">
        <v>3847</v>
      </c>
      <c r="F2320" s="11" t="s">
        <v>4412</v>
      </c>
      <c r="G2320" s="11">
        <v>110536</v>
      </c>
      <c r="H2320" s="11" t="s">
        <v>4411</v>
      </c>
      <c r="K2320" s="11" t="s">
        <v>3876</v>
      </c>
      <c r="L2320" s="11" t="s">
        <v>3877</v>
      </c>
      <c r="M2320" s="11">
        <v>13894.04</v>
      </c>
      <c r="N2320" s="11"/>
      <c r="O2320" s="42">
        <v>13894.04</v>
      </c>
      <c r="P2320" s="43" t="s">
        <v>4495</v>
      </c>
      <c r="Q2320" s="11">
        <v>58213.63</v>
      </c>
      <c r="R2320" s="11" t="s">
        <v>3844</v>
      </c>
      <c r="S2320" s="11" t="s">
        <v>137</v>
      </c>
      <c r="T2320" s="11">
        <v>0</v>
      </c>
    </row>
    <row r="2321" spans="1:20" x14ac:dyDescent="0.25">
      <c r="A2321" s="11">
        <v>101060501</v>
      </c>
      <c r="B2321" s="11" t="s">
        <v>3632</v>
      </c>
      <c r="C2321" s="41">
        <v>44916</v>
      </c>
      <c r="D2321" s="41">
        <v>44916</v>
      </c>
      <c r="E2321" s="11" t="s">
        <v>3847</v>
      </c>
      <c r="F2321" s="11" t="s">
        <v>4412</v>
      </c>
      <c r="G2321" s="11">
        <v>110536</v>
      </c>
      <c r="H2321" s="11" t="s">
        <v>4411</v>
      </c>
      <c r="K2321" s="11" t="s">
        <v>3876</v>
      </c>
      <c r="L2321" s="11" t="s">
        <v>3877</v>
      </c>
      <c r="M2321" s="11">
        <v>650</v>
      </c>
      <c r="N2321" s="11"/>
      <c r="O2321" s="42">
        <v>650</v>
      </c>
      <c r="P2321" s="43" t="s">
        <v>4495</v>
      </c>
      <c r="Q2321" s="11">
        <v>58863.63</v>
      </c>
      <c r="R2321" s="11" t="s">
        <v>3844</v>
      </c>
      <c r="S2321" s="11" t="s">
        <v>137</v>
      </c>
      <c r="T2321" s="11">
        <v>0</v>
      </c>
    </row>
    <row r="2322" spans="1:20" x14ac:dyDescent="0.25">
      <c r="A2322" s="11">
        <v>101060501</v>
      </c>
      <c r="B2322" s="11" t="s">
        <v>3632</v>
      </c>
      <c r="C2322" s="41">
        <v>44916</v>
      </c>
      <c r="D2322" s="41">
        <v>44916</v>
      </c>
      <c r="E2322" s="11" t="s">
        <v>36</v>
      </c>
      <c r="F2322" s="11" t="s">
        <v>3785</v>
      </c>
      <c r="G2322" s="11">
        <v>110540</v>
      </c>
      <c r="H2322" s="11" t="s">
        <v>3637</v>
      </c>
      <c r="K2322" s="11">
        <v>101060408</v>
      </c>
      <c r="L2322" s="11" t="s">
        <v>82</v>
      </c>
      <c r="M2322" s="11"/>
      <c r="N2322" s="11">
        <v>13894.04</v>
      </c>
      <c r="O2322" s="42">
        <v>-13894.04</v>
      </c>
      <c r="P2322" s="43" t="s">
        <v>4492</v>
      </c>
      <c r="Q2322" s="11">
        <v>44969.59</v>
      </c>
      <c r="R2322" s="11" t="s">
        <v>3844</v>
      </c>
      <c r="S2322" s="11" t="s">
        <v>137</v>
      </c>
      <c r="T2322" s="11">
        <v>0</v>
      </c>
    </row>
    <row r="2323" spans="1:20" x14ac:dyDescent="0.25">
      <c r="A2323" s="11">
        <v>101060501</v>
      </c>
      <c r="B2323" s="11" t="s">
        <v>3632</v>
      </c>
      <c r="C2323" s="41">
        <v>44916</v>
      </c>
      <c r="D2323" s="41">
        <v>44916</v>
      </c>
      <c r="E2323" s="11" t="s">
        <v>36</v>
      </c>
      <c r="F2323" s="11" t="s">
        <v>3787</v>
      </c>
      <c r="G2323" s="11">
        <v>110542</v>
      </c>
      <c r="H2323" s="11" t="s">
        <v>3644</v>
      </c>
      <c r="K2323" s="11">
        <v>101060408</v>
      </c>
      <c r="L2323" s="11" t="s">
        <v>82</v>
      </c>
      <c r="M2323" s="11"/>
      <c r="N2323" s="11">
        <v>1431.31</v>
      </c>
      <c r="O2323" s="42">
        <v>-1431.31</v>
      </c>
      <c r="P2323" s="43" t="s">
        <v>4492</v>
      </c>
      <c r="Q2323" s="11">
        <v>43538.28</v>
      </c>
      <c r="R2323" s="11" t="s">
        <v>3844</v>
      </c>
      <c r="S2323" s="11" t="s">
        <v>137</v>
      </c>
      <c r="T2323" s="11">
        <v>0</v>
      </c>
    </row>
    <row r="2324" spans="1:20" x14ac:dyDescent="0.25">
      <c r="A2324" s="11">
        <v>101060501</v>
      </c>
      <c r="B2324" s="11" t="s">
        <v>3632</v>
      </c>
      <c r="C2324" s="41">
        <v>44916</v>
      </c>
      <c r="D2324" s="41">
        <v>44916</v>
      </c>
      <c r="E2324" s="11" t="s">
        <v>36</v>
      </c>
      <c r="F2324" s="11" t="s">
        <v>3789</v>
      </c>
      <c r="G2324" s="11">
        <v>110548</v>
      </c>
      <c r="H2324" s="11" t="s">
        <v>3790</v>
      </c>
      <c r="K2324" s="11">
        <v>101060408</v>
      </c>
      <c r="L2324" s="11" t="s">
        <v>82</v>
      </c>
      <c r="M2324" s="11"/>
      <c r="N2324" s="11">
        <v>4753.21</v>
      </c>
      <c r="O2324" s="42">
        <v>-4753.21</v>
      </c>
      <c r="P2324" s="43" t="s">
        <v>4492</v>
      </c>
      <c r="Q2324" s="11">
        <v>38785.07</v>
      </c>
      <c r="R2324" s="11" t="s">
        <v>3844</v>
      </c>
      <c r="S2324" s="11" t="s">
        <v>137</v>
      </c>
      <c r="T2324" s="11">
        <v>0</v>
      </c>
    </row>
    <row r="2325" spans="1:20" x14ac:dyDescent="0.25">
      <c r="A2325" s="11">
        <v>101060501</v>
      </c>
      <c r="B2325" s="11" t="s">
        <v>3632</v>
      </c>
      <c r="C2325" s="41">
        <v>44917</v>
      </c>
      <c r="D2325" s="41">
        <v>44917</v>
      </c>
      <c r="E2325" s="11" t="s">
        <v>3847</v>
      </c>
      <c r="F2325" s="11" t="s">
        <v>4413</v>
      </c>
      <c r="G2325" s="11">
        <v>110655</v>
      </c>
      <c r="H2325" s="11" t="s">
        <v>4414</v>
      </c>
      <c r="K2325" s="11" t="s">
        <v>3904</v>
      </c>
      <c r="L2325" s="11" t="s">
        <v>3905</v>
      </c>
      <c r="M2325" s="11">
        <v>2340</v>
      </c>
      <c r="N2325" s="11"/>
      <c r="O2325" s="42">
        <v>2340</v>
      </c>
      <c r="P2325" s="43" t="s">
        <v>4495</v>
      </c>
      <c r="Q2325" s="11">
        <v>41125.07</v>
      </c>
      <c r="R2325" s="11" t="s">
        <v>3844</v>
      </c>
      <c r="S2325" s="11" t="s">
        <v>137</v>
      </c>
      <c r="T2325" s="11">
        <v>0</v>
      </c>
    </row>
    <row r="2326" spans="1:20" x14ac:dyDescent="0.25">
      <c r="A2326" s="11">
        <v>101060501</v>
      </c>
      <c r="B2326" s="11" t="s">
        <v>3632</v>
      </c>
      <c r="C2326" s="41">
        <v>44917</v>
      </c>
      <c r="D2326" s="41">
        <v>44917</v>
      </c>
      <c r="E2326" s="11" t="s">
        <v>36</v>
      </c>
      <c r="F2326" s="11" t="s">
        <v>3796</v>
      </c>
      <c r="G2326" s="11">
        <v>110656</v>
      </c>
      <c r="H2326" s="11" t="s">
        <v>3642</v>
      </c>
      <c r="K2326" s="11">
        <v>101060408</v>
      </c>
      <c r="L2326" s="11" t="s">
        <v>82</v>
      </c>
      <c r="M2326" s="11"/>
      <c r="N2326" s="11">
        <v>2340</v>
      </c>
      <c r="O2326" s="42">
        <v>-2340</v>
      </c>
      <c r="P2326" s="43" t="s">
        <v>4492</v>
      </c>
      <c r="Q2326" s="11">
        <v>38785.07</v>
      </c>
      <c r="R2326" s="11" t="s">
        <v>3844</v>
      </c>
      <c r="S2326" s="11" t="s">
        <v>137</v>
      </c>
      <c r="T2326" s="11">
        <v>0</v>
      </c>
    </row>
    <row r="2327" spans="1:20" x14ac:dyDescent="0.25">
      <c r="A2327" s="11">
        <v>101060501</v>
      </c>
      <c r="B2327" s="11" t="s">
        <v>3632</v>
      </c>
      <c r="C2327" s="41">
        <v>44917</v>
      </c>
      <c r="D2327" s="41">
        <v>44917</v>
      </c>
      <c r="E2327" s="11" t="s">
        <v>36</v>
      </c>
      <c r="F2327" s="11" t="s">
        <v>3798</v>
      </c>
      <c r="G2327" s="11">
        <v>110657</v>
      </c>
      <c r="H2327" s="11" t="s">
        <v>3799</v>
      </c>
      <c r="K2327" s="11">
        <v>101060408</v>
      </c>
      <c r="L2327" s="11" t="s">
        <v>82</v>
      </c>
      <c r="M2327" s="11"/>
      <c r="N2327" s="11">
        <v>1883.53</v>
      </c>
      <c r="O2327" s="42">
        <v>-1883.53</v>
      </c>
      <c r="P2327" s="43" t="s">
        <v>4492</v>
      </c>
      <c r="Q2327" s="11">
        <v>36901.54</v>
      </c>
      <c r="R2327" s="11" t="s">
        <v>3844</v>
      </c>
      <c r="S2327" s="11" t="s">
        <v>137</v>
      </c>
      <c r="T2327" s="11">
        <v>0</v>
      </c>
    </row>
    <row r="2328" spans="1:20" x14ac:dyDescent="0.25">
      <c r="A2328" s="11">
        <v>101060501</v>
      </c>
      <c r="B2328" s="11" t="s">
        <v>3632</v>
      </c>
      <c r="C2328" s="41">
        <v>44917</v>
      </c>
      <c r="D2328" s="41">
        <v>44917</v>
      </c>
      <c r="E2328" s="11" t="s">
        <v>3842</v>
      </c>
      <c r="F2328" s="11" t="s">
        <v>4415</v>
      </c>
      <c r="G2328" s="11">
        <v>111293</v>
      </c>
      <c r="H2328" s="11" t="s">
        <v>4416</v>
      </c>
      <c r="K2328" s="11">
        <v>101010306</v>
      </c>
      <c r="L2328" s="11" t="s">
        <v>3869</v>
      </c>
      <c r="M2328" s="11">
        <v>132</v>
      </c>
      <c r="N2328" s="11"/>
      <c r="O2328" s="42">
        <v>132</v>
      </c>
      <c r="P2328" s="43" t="s">
        <v>4495</v>
      </c>
      <c r="Q2328" s="11">
        <v>37033.54</v>
      </c>
      <c r="R2328" s="11" t="s">
        <v>3844</v>
      </c>
      <c r="S2328" s="11" t="s">
        <v>273</v>
      </c>
      <c r="T2328" s="11">
        <v>0</v>
      </c>
    </row>
    <row r="2329" spans="1:20" x14ac:dyDescent="0.25">
      <c r="A2329" s="11">
        <v>101060501</v>
      </c>
      <c r="B2329" s="11" t="s">
        <v>3632</v>
      </c>
      <c r="C2329" s="41">
        <v>44917</v>
      </c>
      <c r="D2329" s="41">
        <v>44917</v>
      </c>
      <c r="E2329" s="11" t="s">
        <v>3842</v>
      </c>
      <c r="F2329" s="11" t="s">
        <v>4417</v>
      </c>
      <c r="G2329" s="11">
        <v>111295</v>
      </c>
      <c r="H2329" s="11" t="s">
        <v>4418</v>
      </c>
      <c r="K2329" s="11">
        <v>101010306</v>
      </c>
      <c r="L2329" s="11" t="s">
        <v>3869</v>
      </c>
      <c r="M2329" s="11">
        <v>581.76</v>
      </c>
      <c r="N2329" s="11"/>
      <c r="O2329" s="42">
        <v>581.76</v>
      </c>
      <c r="P2329" s="43" t="s">
        <v>4495</v>
      </c>
      <c r="Q2329" s="11">
        <v>37615.300000000003</v>
      </c>
      <c r="R2329" s="11" t="s">
        <v>3844</v>
      </c>
      <c r="S2329" s="11" t="s">
        <v>273</v>
      </c>
      <c r="T2329" s="11">
        <v>0</v>
      </c>
    </row>
    <row r="2330" spans="1:20" x14ac:dyDescent="0.25">
      <c r="A2330" s="11">
        <v>101060501</v>
      </c>
      <c r="B2330" s="11" t="s">
        <v>3632</v>
      </c>
      <c r="C2330" s="41">
        <v>44917</v>
      </c>
      <c r="D2330" s="41">
        <v>44917</v>
      </c>
      <c r="E2330" s="11" t="s">
        <v>3842</v>
      </c>
      <c r="F2330" s="11" t="s">
        <v>4415</v>
      </c>
      <c r="G2330" s="11">
        <v>111591</v>
      </c>
      <c r="H2330" s="11" t="s">
        <v>4419</v>
      </c>
      <c r="K2330" s="11">
        <v>101010306</v>
      </c>
      <c r="L2330" s="11" t="s">
        <v>3869</v>
      </c>
      <c r="M2330" s="11"/>
      <c r="N2330" s="11">
        <v>132</v>
      </c>
      <c r="O2330" s="42">
        <v>-132</v>
      </c>
      <c r="P2330" s="43" t="s">
        <v>4495</v>
      </c>
      <c r="Q2330" s="11">
        <v>37483.300000000003</v>
      </c>
      <c r="R2330" s="11" t="s">
        <v>3844</v>
      </c>
      <c r="S2330" s="11" t="s">
        <v>273</v>
      </c>
      <c r="T2330" s="11">
        <v>0</v>
      </c>
    </row>
    <row r="2331" spans="1:20" x14ac:dyDescent="0.25">
      <c r="A2331" s="11">
        <v>101060501</v>
      </c>
      <c r="B2331" s="11" t="s">
        <v>3632</v>
      </c>
      <c r="C2331" s="41">
        <v>44917</v>
      </c>
      <c r="D2331" s="41">
        <v>44917</v>
      </c>
      <c r="E2331" s="11" t="s">
        <v>3842</v>
      </c>
      <c r="F2331" s="11" t="s">
        <v>4420</v>
      </c>
      <c r="G2331" s="11">
        <v>111592</v>
      </c>
      <c r="H2331" s="11" t="s">
        <v>4416</v>
      </c>
      <c r="K2331" s="11">
        <v>101010306</v>
      </c>
      <c r="L2331" s="11" t="s">
        <v>3869</v>
      </c>
      <c r="M2331" s="11">
        <v>120</v>
      </c>
      <c r="N2331" s="11"/>
      <c r="O2331" s="42">
        <v>120</v>
      </c>
      <c r="P2331" s="43" t="s">
        <v>4495</v>
      </c>
      <c r="Q2331" s="11">
        <v>37603.300000000003</v>
      </c>
      <c r="R2331" s="11" t="s">
        <v>3844</v>
      </c>
      <c r="S2331" s="11" t="s">
        <v>273</v>
      </c>
      <c r="T2331" s="11">
        <v>0</v>
      </c>
    </row>
    <row r="2332" spans="1:20" x14ac:dyDescent="0.25">
      <c r="A2332" s="11">
        <v>101060501</v>
      </c>
      <c r="B2332" s="11" t="s">
        <v>3632</v>
      </c>
      <c r="C2332" s="41">
        <v>44922</v>
      </c>
      <c r="D2332" s="41">
        <v>44922</v>
      </c>
      <c r="E2332" s="11" t="s">
        <v>3847</v>
      </c>
      <c r="F2332" s="11" t="s">
        <v>4421</v>
      </c>
      <c r="G2332" s="11">
        <v>110718</v>
      </c>
      <c r="H2332" s="11" t="s">
        <v>4422</v>
      </c>
      <c r="K2332" s="11" t="s">
        <v>3873</v>
      </c>
      <c r="L2332" s="11" t="s">
        <v>3874</v>
      </c>
      <c r="M2332" s="11">
        <v>17510.04</v>
      </c>
      <c r="N2332" s="11"/>
      <c r="O2332" s="42">
        <v>17510.04</v>
      </c>
      <c r="P2332" s="43" t="s">
        <v>4495</v>
      </c>
      <c r="Q2332" s="11">
        <v>55113.34</v>
      </c>
      <c r="R2332" s="11" t="s">
        <v>3844</v>
      </c>
      <c r="S2332" s="11" t="s">
        <v>137</v>
      </c>
      <c r="T2332" s="11">
        <v>0</v>
      </c>
    </row>
    <row r="2333" spans="1:20" x14ac:dyDescent="0.25">
      <c r="A2333" s="11">
        <v>101060501</v>
      </c>
      <c r="B2333" s="11" t="s">
        <v>3632</v>
      </c>
      <c r="C2333" s="41">
        <v>44922</v>
      </c>
      <c r="D2333" s="41">
        <v>44922</v>
      </c>
      <c r="E2333" s="11" t="s">
        <v>3847</v>
      </c>
      <c r="F2333" s="11" t="s">
        <v>4421</v>
      </c>
      <c r="G2333" s="11">
        <v>110718</v>
      </c>
      <c r="H2333" s="11" t="s">
        <v>4422</v>
      </c>
      <c r="K2333" s="11" t="s">
        <v>3873</v>
      </c>
      <c r="L2333" s="11" t="s">
        <v>3874</v>
      </c>
      <c r="M2333" s="11">
        <v>325</v>
      </c>
      <c r="N2333" s="11"/>
      <c r="O2333" s="42">
        <v>325</v>
      </c>
      <c r="P2333" s="43" t="s">
        <v>4495</v>
      </c>
      <c r="Q2333" s="11">
        <v>55438.34</v>
      </c>
      <c r="R2333" s="11" t="s">
        <v>3903</v>
      </c>
      <c r="S2333" s="11" t="s">
        <v>137</v>
      </c>
      <c r="T2333" s="11">
        <v>0</v>
      </c>
    </row>
    <row r="2334" spans="1:20" x14ac:dyDescent="0.25">
      <c r="A2334" s="11">
        <v>101060501</v>
      </c>
      <c r="B2334" s="11" t="s">
        <v>3632</v>
      </c>
      <c r="C2334" s="41">
        <v>44922</v>
      </c>
      <c r="D2334" s="41">
        <v>44922</v>
      </c>
      <c r="E2334" s="11" t="s">
        <v>3847</v>
      </c>
      <c r="F2334" s="11" t="s">
        <v>4423</v>
      </c>
      <c r="G2334" s="11">
        <v>110719</v>
      </c>
      <c r="H2334" s="11" t="s">
        <v>4422</v>
      </c>
      <c r="K2334" s="11" t="s">
        <v>3919</v>
      </c>
      <c r="L2334" s="11" t="s">
        <v>3920</v>
      </c>
      <c r="M2334" s="11">
        <v>154.63999999999999</v>
      </c>
      <c r="N2334" s="11"/>
      <c r="O2334" s="42">
        <v>154.63999999999999</v>
      </c>
      <c r="P2334" s="43" t="s">
        <v>4495</v>
      </c>
      <c r="Q2334" s="11">
        <v>55592.98</v>
      </c>
      <c r="R2334" s="11" t="s">
        <v>3844</v>
      </c>
      <c r="S2334" s="11" t="s">
        <v>137</v>
      </c>
      <c r="T2334" s="11">
        <v>0</v>
      </c>
    </row>
    <row r="2335" spans="1:20" x14ac:dyDescent="0.25">
      <c r="A2335" s="11">
        <v>101060501</v>
      </c>
      <c r="B2335" s="11" t="s">
        <v>3632</v>
      </c>
      <c r="C2335" s="41">
        <v>44922</v>
      </c>
      <c r="D2335" s="41">
        <v>44922</v>
      </c>
      <c r="E2335" s="11" t="s">
        <v>36</v>
      </c>
      <c r="F2335" s="11" t="s">
        <v>3801</v>
      </c>
      <c r="G2335" s="11">
        <v>110721</v>
      </c>
      <c r="H2335" s="11" t="s">
        <v>3636</v>
      </c>
      <c r="K2335" s="11">
        <v>101060408</v>
      </c>
      <c r="L2335" s="11" t="s">
        <v>82</v>
      </c>
      <c r="M2335" s="11"/>
      <c r="N2335" s="11">
        <v>17510.04</v>
      </c>
      <c r="O2335" s="42">
        <v>-17510.04</v>
      </c>
      <c r="P2335" s="43" t="s">
        <v>4492</v>
      </c>
      <c r="Q2335" s="11">
        <v>38082.94</v>
      </c>
      <c r="R2335" s="11" t="s">
        <v>3844</v>
      </c>
      <c r="S2335" s="11" t="s">
        <v>137</v>
      </c>
      <c r="T2335" s="11">
        <v>0</v>
      </c>
    </row>
    <row r="2336" spans="1:20" x14ac:dyDescent="0.25">
      <c r="A2336" s="11">
        <v>101060501</v>
      </c>
      <c r="B2336" s="11" t="s">
        <v>3632</v>
      </c>
      <c r="C2336" s="41">
        <v>44922</v>
      </c>
      <c r="D2336" s="41">
        <v>44922</v>
      </c>
      <c r="E2336" s="11" t="s">
        <v>36</v>
      </c>
      <c r="F2336" s="11" t="s">
        <v>3803</v>
      </c>
      <c r="G2336" s="11">
        <v>110723</v>
      </c>
      <c r="H2336" s="11" t="s">
        <v>3645</v>
      </c>
      <c r="K2336" s="11">
        <v>101060408</v>
      </c>
      <c r="L2336" s="11" t="s">
        <v>82</v>
      </c>
      <c r="M2336" s="11"/>
      <c r="N2336" s="11">
        <v>154.63999999999999</v>
      </c>
      <c r="O2336" s="42">
        <v>-154.63999999999999</v>
      </c>
      <c r="P2336" s="43" t="s">
        <v>4492</v>
      </c>
      <c r="Q2336" s="11">
        <v>37928.300000000003</v>
      </c>
      <c r="R2336" s="11" t="s">
        <v>3844</v>
      </c>
      <c r="S2336" s="11" t="s">
        <v>137</v>
      </c>
      <c r="T2336" s="11">
        <v>0</v>
      </c>
    </row>
    <row r="2337" spans="1:20" x14ac:dyDescent="0.25">
      <c r="A2337" s="11">
        <v>101060501</v>
      </c>
      <c r="B2337" s="11" t="s">
        <v>3632</v>
      </c>
      <c r="C2337" s="41">
        <v>44922</v>
      </c>
      <c r="D2337" s="41">
        <v>44922</v>
      </c>
      <c r="E2337" s="11" t="s">
        <v>36</v>
      </c>
      <c r="F2337" s="11" t="s">
        <v>3805</v>
      </c>
      <c r="G2337" s="11">
        <v>110725</v>
      </c>
      <c r="H2337" s="11" t="s">
        <v>3806</v>
      </c>
      <c r="K2337" s="11">
        <v>101060408</v>
      </c>
      <c r="L2337" s="11" t="s">
        <v>82</v>
      </c>
      <c r="M2337" s="11"/>
      <c r="N2337" s="11">
        <v>2244.9499999999998</v>
      </c>
      <c r="O2337" s="42">
        <v>-2244.9499999999998</v>
      </c>
      <c r="P2337" s="43" t="s">
        <v>4492</v>
      </c>
      <c r="Q2337" s="11">
        <v>35683.35</v>
      </c>
      <c r="R2337" s="11" t="s">
        <v>3844</v>
      </c>
      <c r="S2337" s="11" t="s">
        <v>137</v>
      </c>
      <c r="T2337" s="11">
        <v>0</v>
      </c>
    </row>
    <row r="2338" spans="1:20" x14ac:dyDescent="0.25">
      <c r="A2338" s="11">
        <v>101060501</v>
      </c>
      <c r="B2338" s="11" t="s">
        <v>3632</v>
      </c>
      <c r="C2338" s="41">
        <v>44922</v>
      </c>
      <c r="D2338" s="41">
        <v>45012</v>
      </c>
      <c r="E2338" s="11" t="s">
        <v>3847</v>
      </c>
      <c r="F2338" s="11" t="s">
        <v>4424</v>
      </c>
      <c r="G2338" s="11">
        <v>110739</v>
      </c>
      <c r="H2338" s="11" t="s">
        <v>4425</v>
      </c>
      <c r="K2338" s="11" t="s">
        <v>3896</v>
      </c>
      <c r="L2338" s="11" t="s">
        <v>3897</v>
      </c>
      <c r="M2338" s="11">
        <v>78548.58</v>
      </c>
      <c r="N2338" s="11"/>
      <c r="O2338" s="42">
        <v>78548.58</v>
      </c>
      <c r="P2338" s="43" t="s">
        <v>4495</v>
      </c>
      <c r="Q2338" s="11">
        <v>114231.93</v>
      </c>
      <c r="R2338" s="11" t="s">
        <v>3844</v>
      </c>
      <c r="S2338" s="11" t="s">
        <v>137</v>
      </c>
      <c r="T2338" s="11">
        <v>0</v>
      </c>
    </row>
    <row r="2339" spans="1:20" x14ac:dyDescent="0.25">
      <c r="A2339" s="11">
        <v>101060501</v>
      </c>
      <c r="B2339" s="11" t="s">
        <v>3632</v>
      </c>
      <c r="C2339" s="41">
        <v>44922</v>
      </c>
      <c r="D2339" s="41">
        <v>44922</v>
      </c>
      <c r="E2339" s="11" t="s">
        <v>36</v>
      </c>
      <c r="F2339" s="11" t="s">
        <v>3809</v>
      </c>
      <c r="G2339" s="11">
        <v>110742</v>
      </c>
      <c r="H2339" s="11" t="s">
        <v>3641</v>
      </c>
      <c r="K2339" s="11">
        <v>101060408</v>
      </c>
      <c r="L2339" s="11" t="s">
        <v>82</v>
      </c>
      <c r="M2339" s="11"/>
      <c r="N2339" s="11">
        <v>78548.58</v>
      </c>
      <c r="O2339" s="42">
        <v>-78548.58</v>
      </c>
      <c r="P2339" s="43" t="s">
        <v>4492</v>
      </c>
      <c r="Q2339" s="11">
        <v>35683.35</v>
      </c>
      <c r="R2339" s="11" t="s">
        <v>3844</v>
      </c>
      <c r="S2339" s="11" t="s">
        <v>137</v>
      </c>
      <c r="T2339" s="11">
        <v>0</v>
      </c>
    </row>
    <row r="2340" spans="1:20" x14ac:dyDescent="0.25">
      <c r="A2340" s="11">
        <v>101060501</v>
      </c>
      <c r="B2340" s="11" t="s">
        <v>3632</v>
      </c>
      <c r="C2340" s="41">
        <v>44922</v>
      </c>
      <c r="D2340" s="41">
        <v>44922</v>
      </c>
      <c r="E2340" s="11" t="s">
        <v>36</v>
      </c>
      <c r="F2340" s="11" t="s">
        <v>3811</v>
      </c>
      <c r="G2340" s="11">
        <v>110744</v>
      </c>
      <c r="H2340" s="11" t="s">
        <v>3812</v>
      </c>
      <c r="K2340" s="11">
        <v>101060408</v>
      </c>
      <c r="L2340" s="11" t="s">
        <v>82</v>
      </c>
      <c r="M2340" s="11"/>
      <c r="N2340" s="11">
        <v>8883.35</v>
      </c>
      <c r="O2340" s="42">
        <v>-8883.35</v>
      </c>
      <c r="P2340" s="43" t="s">
        <v>4492</v>
      </c>
      <c r="Q2340" s="11">
        <v>26800</v>
      </c>
      <c r="R2340" s="11" t="s">
        <v>3844</v>
      </c>
      <c r="S2340" s="11" t="s">
        <v>137</v>
      </c>
      <c r="T2340" s="11">
        <v>0</v>
      </c>
    </row>
    <row r="2341" spans="1:20" x14ac:dyDescent="0.25">
      <c r="A2341" s="11">
        <v>101060501</v>
      </c>
      <c r="B2341" s="11" t="s">
        <v>3632</v>
      </c>
      <c r="C2341" s="41">
        <v>44922</v>
      </c>
      <c r="D2341" s="41">
        <v>44922</v>
      </c>
      <c r="E2341" s="11" t="s">
        <v>3842</v>
      </c>
      <c r="F2341" s="11" t="s">
        <v>4426</v>
      </c>
      <c r="G2341" s="11">
        <v>110984</v>
      </c>
      <c r="H2341" s="11" t="s">
        <v>4427</v>
      </c>
      <c r="K2341" s="11">
        <v>101010301</v>
      </c>
      <c r="L2341" s="11" t="s">
        <v>3843</v>
      </c>
      <c r="M2341" s="11">
        <v>65</v>
      </c>
      <c r="N2341" s="11"/>
      <c r="O2341" s="42">
        <v>65</v>
      </c>
      <c r="P2341" s="43" t="s">
        <v>4495</v>
      </c>
      <c r="Q2341" s="11">
        <v>26865</v>
      </c>
      <c r="R2341" s="11" t="s">
        <v>267</v>
      </c>
      <c r="S2341" s="11" t="s">
        <v>273</v>
      </c>
      <c r="T2341" s="11">
        <v>0</v>
      </c>
    </row>
    <row r="2342" spans="1:20" x14ac:dyDescent="0.25">
      <c r="A2342" s="11">
        <v>101060501</v>
      </c>
      <c r="B2342" s="11" t="s">
        <v>3632</v>
      </c>
      <c r="C2342" s="41">
        <v>44922</v>
      </c>
      <c r="D2342" s="41">
        <v>44922</v>
      </c>
      <c r="E2342" s="11" t="s">
        <v>3842</v>
      </c>
      <c r="F2342" s="11" t="s">
        <v>4428</v>
      </c>
      <c r="G2342" s="11">
        <v>110997</v>
      </c>
      <c r="H2342" s="11" t="s">
        <v>4429</v>
      </c>
      <c r="K2342" s="11">
        <v>101010301</v>
      </c>
      <c r="L2342" s="11" t="s">
        <v>3843</v>
      </c>
      <c r="M2342" s="11">
        <v>361.44</v>
      </c>
      <c r="N2342" s="11"/>
      <c r="O2342" s="42">
        <v>361.44</v>
      </c>
      <c r="P2342" s="43" t="s">
        <v>4495</v>
      </c>
      <c r="Q2342" s="11">
        <v>27226.44</v>
      </c>
      <c r="R2342" s="11" t="s">
        <v>4430</v>
      </c>
      <c r="S2342" s="11" t="s">
        <v>273</v>
      </c>
      <c r="T2342" s="11">
        <v>0</v>
      </c>
    </row>
    <row r="2343" spans="1:20" x14ac:dyDescent="0.25">
      <c r="A2343" s="11">
        <v>101060501</v>
      </c>
      <c r="B2343" s="11" t="s">
        <v>3632</v>
      </c>
      <c r="C2343" s="41">
        <v>44923</v>
      </c>
      <c r="D2343" s="41">
        <v>44923</v>
      </c>
      <c r="E2343" s="11" t="s">
        <v>3847</v>
      </c>
      <c r="F2343" s="11" t="s">
        <v>4431</v>
      </c>
      <c r="G2343" s="11">
        <v>110857</v>
      </c>
      <c r="H2343" s="11" t="s">
        <v>4432</v>
      </c>
      <c r="K2343" s="11" t="s">
        <v>3919</v>
      </c>
      <c r="L2343" s="11" t="s">
        <v>3920</v>
      </c>
      <c r="M2343" s="11">
        <v>3065.95</v>
      </c>
      <c r="N2343" s="11"/>
      <c r="O2343" s="42">
        <v>3065.95</v>
      </c>
      <c r="P2343" s="43" t="s">
        <v>4495</v>
      </c>
      <c r="Q2343" s="11">
        <v>30292.39</v>
      </c>
      <c r="R2343" s="11" t="s">
        <v>3844</v>
      </c>
      <c r="S2343" s="11" t="s">
        <v>137</v>
      </c>
      <c r="T2343" s="11">
        <v>0</v>
      </c>
    </row>
    <row r="2344" spans="1:20" x14ac:dyDescent="0.25">
      <c r="A2344" s="11">
        <v>101060501</v>
      </c>
      <c r="B2344" s="11" t="s">
        <v>3632</v>
      </c>
      <c r="C2344" s="41">
        <v>44923</v>
      </c>
      <c r="D2344" s="41">
        <v>44923</v>
      </c>
      <c r="E2344" s="11" t="s">
        <v>36</v>
      </c>
      <c r="F2344" s="11" t="s">
        <v>3814</v>
      </c>
      <c r="G2344" s="11">
        <v>110863</v>
      </c>
      <c r="H2344" s="11" t="s">
        <v>3645</v>
      </c>
      <c r="K2344" s="11">
        <v>101060408</v>
      </c>
      <c r="L2344" s="11" t="s">
        <v>82</v>
      </c>
      <c r="M2344" s="11"/>
      <c r="N2344" s="11">
        <v>3065.95</v>
      </c>
      <c r="O2344" s="42">
        <v>-3065.95</v>
      </c>
      <c r="P2344" s="43" t="s">
        <v>4492</v>
      </c>
      <c r="Q2344" s="11">
        <v>27226.44</v>
      </c>
      <c r="R2344" s="11" t="s">
        <v>3844</v>
      </c>
      <c r="S2344" s="11" t="s">
        <v>137</v>
      </c>
      <c r="T2344" s="11">
        <v>0</v>
      </c>
    </row>
    <row r="2345" spans="1:20" x14ac:dyDescent="0.25">
      <c r="A2345" s="11">
        <v>101060501</v>
      </c>
      <c r="B2345" s="11" t="s">
        <v>3632</v>
      </c>
      <c r="C2345" s="41">
        <v>44923</v>
      </c>
      <c r="D2345" s="41">
        <v>44923</v>
      </c>
      <c r="E2345" s="11" t="s">
        <v>36</v>
      </c>
      <c r="F2345" s="11" t="s">
        <v>3816</v>
      </c>
      <c r="G2345" s="11">
        <v>110866</v>
      </c>
      <c r="H2345" s="11" t="s">
        <v>3817</v>
      </c>
      <c r="K2345" s="11">
        <v>101060408</v>
      </c>
      <c r="L2345" s="11" t="s">
        <v>82</v>
      </c>
      <c r="M2345" s="11"/>
      <c r="N2345" s="11">
        <v>361.13</v>
      </c>
      <c r="O2345" s="42">
        <v>-361.13</v>
      </c>
      <c r="P2345" s="43" t="s">
        <v>4492</v>
      </c>
      <c r="Q2345" s="11">
        <v>26865.31</v>
      </c>
      <c r="R2345" s="11" t="s">
        <v>3844</v>
      </c>
      <c r="S2345" s="11" t="s">
        <v>137</v>
      </c>
      <c r="T2345" s="11">
        <v>0</v>
      </c>
    </row>
    <row r="2346" spans="1:20" x14ac:dyDescent="0.25">
      <c r="A2346" s="11">
        <v>101060501</v>
      </c>
      <c r="B2346" s="11" t="s">
        <v>3632</v>
      </c>
      <c r="C2346" s="41">
        <v>44923</v>
      </c>
      <c r="D2346" s="41">
        <v>44923</v>
      </c>
      <c r="E2346" s="11" t="s">
        <v>3842</v>
      </c>
      <c r="F2346" s="11" t="s">
        <v>4433</v>
      </c>
      <c r="G2346" s="11">
        <v>111159</v>
      </c>
      <c r="H2346" s="11" t="s">
        <v>4434</v>
      </c>
      <c r="K2346" s="11">
        <v>101010301</v>
      </c>
      <c r="L2346" s="11" t="s">
        <v>3843</v>
      </c>
      <c r="M2346" s="11">
        <v>65</v>
      </c>
      <c r="N2346" s="11"/>
      <c r="O2346" s="42">
        <v>65</v>
      </c>
      <c r="P2346" s="43" t="s">
        <v>4495</v>
      </c>
      <c r="Q2346" s="11">
        <v>26930.31</v>
      </c>
      <c r="R2346" s="11" t="s">
        <v>3844</v>
      </c>
      <c r="S2346" s="11" t="s">
        <v>273</v>
      </c>
      <c r="T2346" s="11">
        <v>0</v>
      </c>
    </row>
    <row r="2347" spans="1:20" x14ac:dyDescent="0.25">
      <c r="A2347" s="11">
        <v>101060501</v>
      </c>
      <c r="B2347" s="11" t="s">
        <v>3632</v>
      </c>
      <c r="C2347" s="41">
        <v>44923</v>
      </c>
      <c r="D2347" s="41">
        <v>44923</v>
      </c>
      <c r="E2347" s="11" t="s">
        <v>3842</v>
      </c>
      <c r="F2347" s="11" t="s">
        <v>4435</v>
      </c>
      <c r="G2347" s="11">
        <v>111160</v>
      </c>
      <c r="H2347" s="11" t="s">
        <v>4436</v>
      </c>
      <c r="K2347" s="11">
        <v>101010301</v>
      </c>
      <c r="L2347" s="11" t="s">
        <v>3843</v>
      </c>
      <c r="M2347" s="11">
        <v>1763.34</v>
      </c>
      <c r="N2347" s="11"/>
      <c r="O2347" s="42">
        <v>1763.34</v>
      </c>
      <c r="P2347" s="43" t="s">
        <v>4495</v>
      </c>
      <c r="Q2347" s="11">
        <v>28693.65</v>
      </c>
      <c r="R2347" s="11" t="s">
        <v>3844</v>
      </c>
      <c r="S2347" s="11" t="s">
        <v>273</v>
      </c>
      <c r="T2347" s="11">
        <v>0</v>
      </c>
    </row>
    <row r="2348" spans="1:20" x14ac:dyDescent="0.25">
      <c r="A2348" s="11">
        <v>101060501</v>
      </c>
      <c r="B2348" s="11" t="s">
        <v>3632</v>
      </c>
      <c r="C2348" s="41">
        <v>44923</v>
      </c>
      <c r="D2348" s="41">
        <v>44923</v>
      </c>
      <c r="E2348" s="11" t="s">
        <v>3842</v>
      </c>
      <c r="F2348" s="11" t="s">
        <v>4437</v>
      </c>
      <c r="G2348" s="11">
        <v>111162</v>
      </c>
      <c r="H2348" s="11" t="s">
        <v>4438</v>
      </c>
      <c r="K2348" s="11">
        <v>101010301</v>
      </c>
      <c r="L2348" s="11" t="s">
        <v>3843</v>
      </c>
      <c r="M2348" s="11">
        <v>50</v>
      </c>
      <c r="N2348" s="11"/>
      <c r="O2348" s="42">
        <v>50</v>
      </c>
      <c r="P2348" s="43" t="s">
        <v>4495</v>
      </c>
      <c r="Q2348" s="11">
        <v>28743.65</v>
      </c>
      <c r="R2348" s="11" t="s">
        <v>3844</v>
      </c>
      <c r="S2348" s="11" t="s">
        <v>273</v>
      </c>
      <c r="T2348" s="11">
        <v>0</v>
      </c>
    </row>
    <row r="2349" spans="1:20" x14ac:dyDescent="0.25">
      <c r="A2349" s="11">
        <v>101060501</v>
      </c>
      <c r="B2349" s="11" t="s">
        <v>3632</v>
      </c>
      <c r="C2349" s="41">
        <v>44923</v>
      </c>
      <c r="D2349" s="41">
        <v>44923</v>
      </c>
      <c r="E2349" s="11" t="s">
        <v>3842</v>
      </c>
      <c r="F2349" s="11" t="s">
        <v>4439</v>
      </c>
      <c r="G2349" s="11">
        <v>111163</v>
      </c>
      <c r="H2349" s="11" t="s">
        <v>4440</v>
      </c>
      <c r="K2349" s="11">
        <v>101010301</v>
      </c>
      <c r="L2349" s="11" t="s">
        <v>3843</v>
      </c>
      <c r="M2349" s="11">
        <v>165.69</v>
      </c>
      <c r="N2349" s="11"/>
      <c r="O2349" s="42">
        <v>165.69</v>
      </c>
      <c r="P2349" s="43" t="s">
        <v>4495</v>
      </c>
      <c r="Q2349" s="11">
        <v>28909.34</v>
      </c>
      <c r="R2349" s="11" t="s">
        <v>3844</v>
      </c>
      <c r="S2349" s="11" t="s">
        <v>273</v>
      </c>
      <c r="T2349" s="11">
        <v>0</v>
      </c>
    </row>
    <row r="2350" spans="1:20" x14ac:dyDescent="0.25">
      <c r="A2350" s="11">
        <v>101060501</v>
      </c>
      <c r="B2350" s="11" t="s">
        <v>3632</v>
      </c>
      <c r="C2350" s="41">
        <v>44925</v>
      </c>
      <c r="D2350" s="41">
        <v>44925</v>
      </c>
      <c r="E2350" s="11" t="s">
        <v>203</v>
      </c>
      <c r="F2350" s="11" t="s">
        <v>4441</v>
      </c>
      <c r="G2350" s="11">
        <v>111264</v>
      </c>
      <c r="H2350" s="11" t="s">
        <v>4442</v>
      </c>
      <c r="K2350" s="11">
        <v>101050101</v>
      </c>
      <c r="L2350" s="11" t="s">
        <v>3868</v>
      </c>
      <c r="M2350" s="11"/>
      <c r="N2350" s="11">
        <v>1000.58</v>
      </c>
      <c r="O2350" s="42">
        <v>-1000.58</v>
      </c>
      <c r="P2350" s="43" t="s">
        <v>4495</v>
      </c>
      <c r="Q2350" s="11">
        <v>27908.76</v>
      </c>
      <c r="R2350" s="11" t="s">
        <v>3844</v>
      </c>
      <c r="S2350" s="11" t="s">
        <v>202</v>
      </c>
      <c r="T2350" s="11">
        <v>0</v>
      </c>
    </row>
    <row r="2351" spans="1:20" x14ac:dyDescent="0.25">
      <c r="A2351" s="11">
        <v>101060501</v>
      </c>
      <c r="B2351" s="11" t="s">
        <v>3632</v>
      </c>
      <c r="C2351" s="41">
        <v>44925</v>
      </c>
      <c r="D2351" s="41">
        <v>44925</v>
      </c>
      <c r="E2351" s="11" t="s">
        <v>203</v>
      </c>
      <c r="F2351" s="11" t="s">
        <v>4443</v>
      </c>
      <c r="G2351" s="11">
        <v>111449</v>
      </c>
      <c r="H2351" s="11" t="s">
        <v>4444</v>
      </c>
      <c r="K2351" s="11">
        <v>101050101</v>
      </c>
      <c r="L2351" s="11" t="s">
        <v>3868</v>
      </c>
      <c r="M2351" s="11"/>
      <c r="N2351" s="11">
        <v>165.69</v>
      </c>
      <c r="O2351" s="42">
        <v>-165.69</v>
      </c>
      <c r="P2351" s="43" t="s">
        <v>4495</v>
      </c>
      <c r="Q2351" s="11">
        <v>27743.07</v>
      </c>
      <c r="R2351" s="11" t="s">
        <v>3844</v>
      </c>
      <c r="S2351" s="11" t="s">
        <v>202</v>
      </c>
      <c r="T2351" s="11">
        <v>0</v>
      </c>
    </row>
    <row r="2352" spans="1:20" x14ac:dyDescent="0.25">
      <c r="A2352" s="11">
        <v>101060501</v>
      </c>
      <c r="B2352" s="11" t="s">
        <v>3632</v>
      </c>
      <c r="C2352" s="41">
        <v>44925</v>
      </c>
      <c r="D2352" s="41">
        <v>44925</v>
      </c>
      <c r="E2352" s="11" t="s">
        <v>203</v>
      </c>
      <c r="F2352" s="11" t="s">
        <v>4445</v>
      </c>
      <c r="G2352" s="11">
        <v>111452</v>
      </c>
      <c r="H2352" s="11" t="s">
        <v>4446</v>
      </c>
      <c r="K2352" s="11">
        <v>61040701</v>
      </c>
      <c r="L2352" s="11" t="s">
        <v>3878</v>
      </c>
      <c r="M2352" s="11"/>
      <c r="N2352" s="11">
        <v>12</v>
      </c>
      <c r="O2352" s="42">
        <v>-12</v>
      </c>
      <c r="P2352" s="43" t="s">
        <v>4495</v>
      </c>
      <c r="Q2352" s="11">
        <v>27731.07</v>
      </c>
      <c r="R2352" s="11" t="s">
        <v>3844</v>
      </c>
      <c r="S2352" s="11" t="s">
        <v>202</v>
      </c>
      <c r="T2352" s="11">
        <v>0</v>
      </c>
    </row>
    <row r="2353" spans="1:20" x14ac:dyDescent="0.25">
      <c r="A2353" s="11">
        <v>101060501</v>
      </c>
      <c r="B2353" s="11" t="s">
        <v>3632</v>
      </c>
      <c r="C2353" s="41">
        <v>44925</v>
      </c>
      <c r="D2353" s="41">
        <v>44925</v>
      </c>
      <c r="E2353" s="11" t="s">
        <v>203</v>
      </c>
      <c r="F2353" s="11" t="s">
        <v>4447</v>
      </c>
      <c r="G2353" s="11">
        <v>111461</v>
      </c>
      <c r="H2353" s="11" t="s">
        <v>4448</v>
      </c>
      <c r="K2353" s="11">
        <v>61040701</v>
      </c>
      <c r="L2353" s="11" t="s">
        <v>3878</v>
      </c>
      <c r="M2353" s="11"/>
      <c r="N2353" s="11">
        <v>7.96</v>
      </c>
      <c r="O2353" s="42">
        <v>-7.96</v>
      </c>
      <c r="P2353" s="43" t="s">
        <v>4495</v>
      </c>
      <c r="Q2353" s="11">
        <v>27723.11</v>
      </c>
      <c r="R2353" s="11" t="s">
        <v>3844</v>
      </c>
      <c r="S2353" s="11" t="s">
        <v>202</v>
      </c>
      <c r="T2353" s="11">
        <v>0</v>
      </c>
    </row>
    <row r="2354" spans="1:20" x14ac:dyDescent="0.25">
      <c r="A2354" s="11">
        <v>101060501</v>
      </c>
      <c r="B2354" s="11" t="s">
        <v>3632</v>
      </c>
      <c r="C2354" s="41">
        <v>44925</v>
      </c>
      <c r="D2354" s="41">
        <v>44925</v>
      </c>
      <c r="E2354" s="11" t="s">
        <v>203</v>
      </c>
      <c r="F2354" s="11" t="s">
        <v>4449</v>
      </c>
      <c r="G2354" s="11">
        <v>111464</v>
      </c>
      <c r="H2354" s="11" t="s">
        <v>4450</v>
      </c>
      <c r="K2354" s="11">
        <v>101050101</v>
      </c>
      <c r="L2354" s="11" t="s">
        <v>3868</v>
      </c>
      <c r="M2354" s="11"/>
      <c r="N2354" s="11">
        <v>93.6</v>
      </c>
      <c r="O2354" s="42">
        <v>-93.6</v>
      </c>
      <c r="P2354" s="43" t="s">
        <v>4495</v>
      </c>
      <c r="Q2354" s="11">
        <v>27629.51</v>
      </c>
      <c r="R2354" s="11" t="s">
        <v>3844</v>
      </c>
      <c r="S2354" s="11" t="s">
        <v>202</v>
      </c>
      <c r="T2354" s="11">
        <v>0</v>
      </c>
    </row>
    <row r="2355" spans="1:20" x14ac:dyDescent="0.25">
      <c r="A2355" s="11">
        <v>101060501</v>
      </c>
      <c r="B2355" s="11" t="s">
        <v>3632</v>
      </c>
      <c r="C2355" s="41">
        <v>44925</v>
      </c>
      <c r="D2355" s="41">
        <v>44925</v>
      </c>
      <c r="E2355" s="11" t="s">
        <v>203</v>
      </c>
      <c r="F2355" s="11" t="s">
        <v>4451</v>
      </c>
      <c r="G2355" s="11">
        <v>111467</v>
      </c>
      <c r="H2355" s="11" t="s">
        <v>4452</v>
      </c>
      <c r="K2355" s="11">
        <v>61040701</v>
      </c>
      <c r="L2355" s="11" t="s">
        <v>3878</v>
      </c>
      <c r="M2355" s="11"/>
      <c r="N2355" s="11">
        <v>67</v>
      </c>
      <c r="O2355" s="42">
        <v>-67</v>
      </c>
      <c r="P2355" s="43" t="s">
        <v>4495</v>
      </c>
      <c r="Q2355" s="11">
        <v>27562.51</v>
      </c>
      <c r="R2355" s="11" t="s">
        <v>3844</v>
      </c>
      <c r="S2355" s="11" t="s">
        <v>202</v>
      </c>
      <c r="T2355" s="11">
        <v>0</v>
      </c>
    </row>
    <row r="2356" spans="1:20" x14ac:dyDescent="0.25">
      <c r="A2356" s="11">
        <v>101060501</v>
      </c>
      <c r="B2356" s="11" t="s">
        <v>3632</v>
      </c>
      <c r="C2356" s="41">
        <v>44925</v>
      </c>
      <c r="D2356" s="41">
        <v>44925</v>
      </c>
      <c r="E2356" s="11" t="s">
        <v>203</v>
      </c>
      <c r="F2356" s="11" t="s">
        <v>4453</v>
      </c>
      <c r="G2356" s="11">
        <v>111469</v>
      </c>
      <c r="H2356" s="11" t="s">
        <v>4454</v>
      </c>
      <c r="K2356" s="11">
        <v>201040509</v>
      </c>
      <c r="L2356" s="11" t="s">
        <v>3891</v>
      </c>
      <c r="M2356" s="11">
        <v>65</v>
      </c>
      <c r="N2356" s="11"/>
      <c r="O2356" s="42">
        <v>65</v>
      </c>
      <c r="P2356" s="43" t="s">
        <v>4495</v>
      </c>
      <c r="Q2356" s="11">
        <v>27627.51</v>
      </c>
      <c r="R2356" s="11" t="s">
        <v>3844</v>
      </c>
      <c r="S2356" s="11" t="s">
        <v>202</v>
      </c>
      <c r="T2356" s="11">
        <v>0</v>
      </c>
    </row>
    <row r="2357" spans="1:20" x14ac:dyDescent="0.25">
      <c r="A2357" s="11">
        <v>101060501</v>
      </c>
      <c r="B2357" s="11" t="s">
        <v>3632</v>
      </c>
      <c r="C2357" s="41">
        <v>44925</v>
      </c>
      <c r="D2357" s="41">
        <v>44925</v>
      </c>
      <c r="E2357" s="11" t="s">
        <v>203</v>
      </c>
      <c r="F2357" s="11" t="s">
        <v>4455</v>
      </c>
      <c r="G2357" s="11">
        <v>111470</v>
      </c>
      <c r="H2357" s="11" t="s">
        <v>4456</v>
      </c>
      <c r="K2357" s="11">
        <v>101050101</v>
      </c>
      <c r="L2357" s="11" t="s">
        <v>3868</v>
      </c>
      <c r="M2357" s="11"/>
      <c r="N2357" s="11">
        <v>143.29</v>
      </c>
      <c r="O2357" s="42">
        <v>-143.29</v>
      </c>
      <c r="P2357" s="43" t="s">
        <v>4495</v>
      </c>
      <c r="Q2357" s="11">
        <v>27484.22</v>
      </c>
      <c r="R2357" s="11" t="s">
        <v>3844</v>
      </c>
      <c r="S2357" s="11" t="s">
        <v>202</v>
      </c>
      <c r="T2357" s="11">
        <v>0</v>
      </c>
    </row>
    <row r="2358" spans="1:20" x14ac:dyDescent="0.25">
      <c r="A2358" s="11">
        <v>101060501</v>
      </c>
      <c r="B2358" s="11" t="s">
        <v>3632</v>
      </c>
      <c r="C2358" s="41">
        <v>44925</v>
      </c>
      <c r="D2358" s="41">
        <v>44925</v>
      </c>
      <c r="E2358" s="11" t="s">
        <v>203</v>
      </c>
      <c r="F2358" s="11" t="s">
        <v>4457</v>
      </c>
      <c r="G2358" s="11">
        <v>111476</v>
      </c>
      <c r="H2358" s="11" t="s">
        <v>4458</v>
      </c>
      <c r="K2358" s="11">
        <v>61040701</v>
      </c>
      <c r="L2358" s="11" t="s">
        <v>3878</v>
      </c>
      <c r="M2358" s="11"/>
      <c r="N2358" s="11">
        <v>79</v>
      </c>
      <c r="O2358" s="42">
        <v>-79</v>
      </c>
      <c r="P2358" s="43" t="s">
        <v>4495</v>
      </c>
      <c r="Q2358" s="11">
        <v>27405.22</v>
      </c>
      <c r="R2358" s="11" t="s">
        <v>3844</v>
      </c>
      <c r="S2358" s="11" t="s">
        <v>202</v>
      </c>
      <c r="T2358" s="11">
        <v>0</v>
      </c>
    </row>
    <row r="2359" spans="1:20" x14ac:dyDescent="0.25">
      <c r="A2359" s="11">
        <v>101060501</v>
      </c>
      <c r="B2359" s="11" t="s">
        <v>3632</v>
      </c>
      <c r="C2359" s="41">
        <v>44925</v>
      </c>
      <c r="D2359" s="41">
        <v>44925</v>
      </c>
      <c r="E2359" s="11" t="s">
        <v>203</v>
      </c>
      <c r="F2359" s="11" t="s">
        <v>4459</v>
      </c>
      <c r="G2359" s="11">
        <v>111478</v>
      </c>
      <c r="H2359" s="11" t="s">
        <v>4460</v>
      </c>
      <c r="K2359" s="11">
        <v>401030105</v>
      </c>
      <c r="L2359" s="11" t="s">
        <v>54</v>
      </c>
      <c r="M2359" s="11"/>
      <c r="N2359" s="11">
        <v>51.47</v>
      </c>
      <c r="O2359" s="42">
        <v>-51.47</v>
      </c>
      <c r="P2359" s="43" t="s">
        <v>4495</v>
      </c>
      <c r="Q2359" s="11">
        <v>27353.75</v>
      </c>
      <c r="R2359" s="11" t="s">
        <v>3844</v>
      </c>
      <c r="S2359" s="11" t="s">
        <v>202</v>
      </c>
      <c r="T2359" s="11">
        <v>0</v>
      </c>
    </row>
    <row r="2360" spans="1:20" x14ac:dyDescent="0.25">
      <c r="A2360" s="11">
        <v>101060501</v>
      </c>
      <c r="B2360" s="11" t="s">
        <v>3632</v>
      </c>
      <c r="C2360" s="41">
        <v>44925</v>
      </c>
      <c r="D2360" s="41">
        <v>44925</v>
      </c>
      <c r="E2360" s="11" t="s">
        <v>203</v>
      </c>
      <c r="F2360" s="11" t="s">
        <v>4461</v>
      </c>
      <c r="G2360" s="11">
        <v>111506</v>
      </c>
      <c r="H2360" s="11" t="s">
        <v>4462</v>
      </c>
      <c r="K2360" s="11">
        <v>101050101</v>
      </c>
      <c r="L2360" s="11" t="s">
        <v>3868</v>
      </c>
      <c r="M2360" s="11"/>
      <c r="N2360" s="11">
        <v>1591.96</v>
      </c>
      <c r="O2360" s="42">
        <v>-1591.96</v>
      </c>
      <c r="P2360" s="43" t="s">
        <v>4495</v>
      </c>
      <c r="Q2360" s="11">
        <v>25761.79</v>
      </c>
      <c r="R2360" s="11" t="s">
        <v>3844</v>
      </c>
      <c r="S2360" s="11" t="s">
        <v>202</v>
      </c>
      <c r="T2360" s="11">
        <v>0</v>
      </c>
    </row>
    <row r="2361" spans="1:20" x14ac:dyDescent="0.25">
      <c r="A2361" s="11">
        <v>101060501</v>
      </c>
      <c r="B2361" s="11" t="s">
        <v>3632</v>
      </c>
      <c r="C2361" s="41">
        <v>44925</v>
      </c>
      <c r="D2361" s="41">
        <v>44925</v>
      </c>
      <c r="E2361" s="11" t="s">
        <v>203</v>
      </c>
      <c r="F2361" s="11" t="s">
        <v>4463</v>
      </c>
      <c r="G2361" s="11">
        <v>111514</v>
      </c>
      <c r="H2361" s="11" t="s">
        <v>4464</v>
      </c>
      <c r="K2361" s="11">
        <v>101050101</v>
      </c>
      <c r="L2361" s="11" t="s">
        <v>3868</v>
      </c>
      <c r="M2361" s="11"/>
      <c r="N2361" s="11">
        <v>81.92</v>
      </c>
      <c r="O2361" s="42">
        <v>-81.92</v>
      </c>
      <c r="P2361" s="43" t="s">
        <v>4495</v>
      </c>
      <c r="Q2361" s="11">
        <v>25679.87</v>
      </c>
      <c r="R2361" s="11" t="s">
        <v>3844</v>
      </c>
      <c r="S2361" s="11" t="s">
        <v>202</v>
      </c>
      <c r="T2361" s="11">
        <v>0</v>
      </c>
    </row>
    <row r="2362" spans="1:20" x14ac:dyDescent="0.25">
      <c r="A2362" s="11">
        <v>101060501</v>
      </c>
      <c r="B2362" s="11" t="s">
        <v>3632</v>
      </c>
      <c r="C2362" s="41">
        <v>44925</v>
      </c>
      <c r="D2362" s="41">
        <v>44925</v>
      </c>
      <c r="E2362" s="11" t="s">
        <v>203</v>
      </c>
      <c r="F2362" s="11" t="s">
        <v>4465</v>
      </c>
      <c r="G2362" s="11">
        <v>112048</v>
      </c>
      <c r="H2362" s="11" t="s">
        <v>3992</v>
      </c>
      <c r="K2362" s="11">
        <v>61040701</v>
      </c>
      <c r="L2362" s="11" t="s">
        <v>3878</v>
      </c>
      <c r="M2362" s="11"/>
      <c r="N2362" s="11">
        <v>12</v>
      </c>
      <c r="O2362" s="42">
        <v>-12</v>
      </c>
      <c r="P2362" s="43" t="s">
        <v>4495</v>
      </c>
      <c r="Q2362" s="11">
        <v>25667.87</v>
      </c>
      <c r="R2362" s="11" t="s">
        <v>3844</v>
      </c>
      <c r="S2362" s="11" t="s">
        <v>202</v>
      </c>
      <c r="T2362" s="11">
        <v>0</v>
      </c>
    </row>
    <row r="2363" spans="1:20" x14ac:dyDescent="0.25">
      <c r="A2363" s="11">
        <v>101060501</v>
      </c>
      <c r="B2363" s="11" t="s">
        <v>3632</v>
      </c>
      <c r="C2363" s="41">
        <v>44925</v>
      </c>
      <c r="D2363" s="41">
        <v>44925</v>
      </c>
      <c r="E2363" s="11" t="s">
        <v>203</v>
      </c>
      <c r="F2363" s="11" t="s">
        <v>4466</v>
      </c>
      <c r="G2363" s="11">
        <v>112050</v>
      </c>
      <c r="H2363" s="11" t="s">
        <v>4467</v>
      </c>
      <c r="K2363" s="11">
        <v>61040701</v>
      </c>
      <c r="L2363" s="11" t="s">
        <v>3878</v>
      </c>
      <c r="M2363" s="11">
        <v>24</v>
      </c>
      <c r="N2363" s="11"/>
      <c r="O2363" s="42">
        <v>24</v>
      </c>
      <c r="P2363" s="43" t="s">
        <v>4495</v>
      </c>
      <c r="Q2363" s="11">
        <v>25691.87</v>
      </c>
      <c r="R2363" s="11" t="s">
        <v>3844</v>
      </c>
      <c r="S2363" s="11" t="s">
        <v>202</v>
      </c>
      <c r="T2363" s="11">
        <v>0</v>
      </c>
    </row>
    <row r="2364" spans="1:20" x14ac:dyDescent="0.25">
      <c r="A2364" s="11">
        <v>101060501</v>
      </c>
      <c r="B2364" s="11" t="s">
        <v>3632</v>
      </c>
      <c r="C2364" s="41">
        <v>44925</v>
      </c>
      <c r="D2364" s="41">
        <v>44925</v>
      </c>
      <c r="E2364" s="11" t="s">
        <v>203</v>
      </c>
      <c r="F2364" s="11" t="s">
        <v>4468</v>
      </c>
      <c r="G2364" s="11">
        <v>112052</v>
      </c>
      <c r="H2364" s="11" t="s">
        <v>4469</v>
      </c>
      <c r="K2364" s="11">
        <v>101050101</v>
      </c>
      <c r="L2364" s="11" t="s">
        <v>3868</v>
      </c>
      <c r="M2364" s="11"/>
      <c r="N2364" s="11">
        <v>515.70000000000005</v>
      </c>
      <c r="O2364" s="42">
        <v>-515.70000000000005</v>
      </c>
      <c r="P2364" s="43" t="s">
        <v>4495</v>
      </c>
      <c r="Q2364" s="11">
        <v>25176.17</v>
      </c>
      <c r="R2364" s="11" t="s">
        <v>3844</v>
      </c>
      <c r="S2364" s="11" t="s">
        <v>202</v>
      </c>
      <c r="T2364" s="11">
        <v>0</v>
      </c>
    </row>
    <row r="2365" spans="1:20" x14ac:dyDescent="0.25">
      <c r="A2365" s="11">
        <v>101060501</v>
      </c>
      <c r="B2365" s="11" t="s">
        <v>3632</v>
      </c>
      <c r="C2365" s="41">
        <v>44925</v>
      </c>
      <c r="D2365" s="41">
        <v>44925</v>
      </c>
      <c r="E2365" s="11" t="s">
        <v>203</v>
      </c>
      <c r="F2365" s="11" t="s">
        <v>4470</v>
      </c>
      <c r="G2365" s="11">
        <v>112056</v>
      </c>
      <c r="H2365" s="11" t="s">
        <v>3921</v>
      </c>
      <c r="K2365" s="11">
        <v>201040509</v>
      </c>
      <c r="L2365" s="11" t="s">
        <v>3891</v>
      </c>
      <c r="M2365" s="11"/>
      <c r="N2365" s="11">
        <v>65</v>
      </c>
      <c r="O2365" s="42">
        <v>-65</v>
      </c>
      <c r="P2365" s="43" t="s">
        <v>4495</v>
      </c>
      <c r="Q2365" s="11">
        <v>25111.17</v>
      </c>
      <c r="R2365" s="11" t="s">
        <v>3844</v>
      </c>
      <c r="S2365" s="11" t="s">
        <v>202</v>
      </c>
      <c r="T2365" s="11">
        <v>0</v>
      </c>
    </row>
    <row r="2366" spans="1:20" x14ac:dyDescent="0.25">
      <c r="A2366" s="11">
        <v>101060501</v>
      </c>
      <c r="B2366" s="11" t="s">
        <v>3632</v>
      </c>
      <c r="C2366" s="41">
        <v>44925</v>
      </c>
      <c r="D2366" s="41">
        <v>44925</v>
      </c>
      <c r="E2366" s="11" t="s">
        <v>203</v>
      </c>
      <c r="F2366" s="11" t="s">
        <v>4471</v>
      </c>
      <c r="G2366" s="11">
        <v>112057</v>
      </c>
      <c r="H2366" s="11" t="s">
        <v>4469</v>
      </c>
      <c r="K2366" s="11">
        <v>101050101</v>
      </c>
      <c r="L2366" s="11" t="s">
        <v>3868</v>
      </c>
      <c r="M2366" s="11"/>
      <c r="N2366" s="11">
        <v>1014.24</v>
      </c>
      <c r="O2366" s="42">
        <v>-1014.24</v>
      </c>
      <c r="P2366" s="43" t="s">
        <v>4495</v>
      </c>
      <c r="Q2366" s="11">
        <v>24096.93</v>
      </c>
      <c r="R2366" s="11" t="s">
        <v>3844</v>
      </c>
      <c r="S2366" s="11" t="s">
        <v>202</v>
      </c>
      <c r="T2366" s="11">
        <v>0</v>
      </c>
    </row>
    <row r="2367" spans="1:20" x14ac:dyDescent="0.25">
      <c r="A2367" s="11">
        <v>101060501</v>
      </c>
      <c r="B2367" s="11" t="s">
        <v>3632</v>
      </c>
      <c r="C2367" s="41">
        <v>44925</v>
      </c>
      <c r="D2367" s="41">
        <v>44925</v>
      </c>
      <c r="E2367" s="11" t="s">
        <v>203</v>
      </c>
      <c r="F2367" s="11" t="s">
        <v>4472</v>
      </c>
      <c r="G2367" s="11">
        <v>112058</v>
      </c>
      <c r="H2367" s="11" t="s">
        <v>3998</v>
      </c>
      <c r="K2367" s="11">
        <v>201040509</v>
      </c>
      <c r="L2367" s="11" t="s">
        <v>3891</v>
      </c>
      <c r="M2367" s="11"/>
      <c r="N2367" s="11">
        <v>132</v>
      </c>
      <c r="O2367" s="42">
        <v>-132</v>
      </c>
      <c r="P2367" s="43" t="s">
        <v>4495</v>
      </c>
      <c r="Q2367" s="11">
        <v>23964.93</v>
      </c>
      <c r="R2367" s="11" t="s">
        <v>3844</v>
      </c>
      <c r="S2367" s="11" t="s">
        <v>202</v>
      </c>
      <c r="T2367" s="11">
        <v>0</v>
      </c>
    </row>
    <row r="2368" spans="1:20" x14ac:dyDescent="0.25">
      <c r="A2368" s="11">
        <v>101060501</v>
      </c>
      <c r="B2368" s="11" t="s">
        <v>3632</v>
      </c>
      <c r="C2368" s="41">
        <v>44925</v>
      </c>
      <c r="D2368" s="41">
        <v>44925</v>
      </c>
      <c r="E2368" s="11" t="s">
        <v>203</v>
      </c>
      <c r="F2368" s="11" t="s">
        <v>4473</v>
      </c>
      <c r="G2368" s="11">
        <v>112059</v>
      </c>
      <c r="H2368" s="11" t="s">
        <v>4000</v>
      </c>
      <c r="K2368" s="11">
        <v>101050101</v>
      </c>
      <c r="L2368" s="11" t="s">
        <v>3868</v>
      </c>
      <c r="M2368" s="11"/>
      <c r="N2368" s="11">
        <v>2424.4899999999998</v>
      </c>
      <c r="O2368" s="42">
        <v>-2424.4899999999998</v>
      </c>
      <c r="P2368" s="43" t="s">
        <v>4495</v>
      </c>
      <c r="Q2368" s="11">
        <v>21540.44</v>
      </c>
      <c r="R2368" s="11" t="s">
        <v>3844</v>
      </c>
      <c r="S2368" s="11" t="s">
        <v>202</v>
      </c>
      <c r="T2368" s="11">
        <v>0</v>
      </c>
    </row>
    <row r="2369" spans="1:20" x14ac:dyDescent="0.25">
      <c r="A2369" s="11">
        <v>101060501</v>
      </c>
      <c r="B2369" s="11" t="s">
        <v>3632</v>
      </c>
      <c r="C2369" s="41">
        <v>44925</v>
      </c>
      <c r="D2369" s="41">
        <v>44925</v>
      </c>
      <c r="E2369" s="11" t="s">
        <v>203</v>
      </c>
      <c r="F2369" s="11" t="s">
        <v>4474</v>
      </c>
      <c r="G2369" s="11">
        <v>112061</v>
      </c>
      <c r="H2369" s="11" t="s">
        <v>4093</v>
      </c>
      <c r="K2369" s="11">
        <v>101050101</v>
      </c>
      <c r="L2369" s="11" t="s">
        <v>3868</v>
      </c>
      <c r="M2369" s="11"/>
      <c r="N2369" s="11">
        <v>1760</v>
      </c>
      <c r="O2369" s="42">
        <v>-1760</v>
      </c>
      <c r="P2369" s="43" t="s">
        <v>4495</v>
      </c>
      <c r="Q2369" s="11">
        <v>19780.439999999999</v>
      </c>
      <c r="R2369" s="11" t="s">
        <v>3844</v>
      </c>
      <c r="S2369" s="11" t="s">
        <v>202</v>
      </c>
      <c r="T2369" s="11">
        <v>0</v>
      </c>
    </row>
    <row r="2370" spans="1:20" x14ac:dyDescent="0.25">
      <c r="A2370" s="11">
        <v>101060501</v>
      </c>
      <c r="B2370" s="11" t="s">
        <v>3632</v>
      </c>
      <c r="C2370" s="41">
        <v>44925</v>
      </c>
      <c r="D2370" s="41">
        <v>44925</v>
      </c>
      <c r="E2370" s="11" t="s">
        <v>203</v>
      </c>
      <c r="F2370" s="11" t="s">
        <v>4475</v>
      </c>
      <c r="G2370" s="11">
        <v>112062</v>
      </c>
      <c r="H2370" s="11" t="s">
        <v>4091</v>
      </c>
      <c r="K2370" s="11">
        <v>201040509</v>
      </c>
      <c r="L2370" s="11" t="s">
        <v>3891</v>
      </c>
      <c r="M2370" s="11"/>
      <c r="N2370" s="11">
        <v>132</v>
      </c>
      <c r="O2370" s="42">
        <v>-132</v>
      </c>
      <c r="P2370" s="43" t="s">
        <v>4495</v>
      </c>
      <c r="Q2370" s="11">
        <v>19648.439999999999</v>
      </c>
      <c r="R2370" s="11" t="s">
        <v>3844</v>
      </c>
      <c r="S2370" s="11" t="s">
        <v>202</v>
      </c>
      <c r="T2370" s="11">
        <v>0</v>
      </c>
    </row>
    <row r="2371" spans="1:20" x14ac:dyDescent="0.25">
      <c r="A2371" s="11">
        <v>101060501</v>
      </c>
      <c r="B2371" s="11" t="s">
        <v>3632</v>
      </c>
      <c r="C2371" s="41">
        <v>44925</v>
      </c>
      <c r="D2371" s="41">
        <v>44925</v>
      </c>
      <c r="E2371" s="11" t="s">
        <v>203</v>
      </c>
      <c r="F2371" s="11" t="s">
        <v>4476</v>
      </c>
      <c r="G2371" s="11">
        <v>112066</v>
      </c>
      <c r="H2371" s="11" t="s">
        <v>4083</v>
      </c>
      <c r="K2371" s="11">
        <v>101050101</v>
      </c>
      <c r="L2371" s="11" t="s">
        <v>3868</v>
      </c>
      <c r="M2371" s="11"/>
      <c r="N2371" s="11">
        <v>126.92</v>
      </c>
      <c r="O2371" s="42">
        <v>-126.92</v>
      </c>
      <c r="P2371" s="43" t="s">
        <v>4495</v>
      </c>
      <c r="Q2371" s="11">
        <v>19521.52</v>
      </c>
      <c r="R2371" s="11" t="s">
        <v>3844</v>
      </c>
      <c r="S2371" s="11" t="s">
        <v>202</v>
      </c>
      <c r="T2371" s="11">
        <v>0</v>
      </c>
    </row>
    <row r="2372" spans="1:20" x14ac:dyDescent="0.25">
      <c r="A2372" s="11">
        <v>101060501</v>
      </c>
      <c r="B2372" s="11" t="s">
        <v>3632</v>
      </c>
      <c r="C2372" s="41">
        <v>44925</v>
      </c>
      <c r="D2372" s="41">
        <v>44925</v>
      </c>
      <c r="E2372" s="11" t="s">
        <v>203</v>
      </c>
      <c r="F2372" s="11" t="s">
        <v>4477</v>
      </c>
      <c r="G2372" s="11">
        <v>112071</v>
      </c>
      <c r="H2372" s="11" t="s">
        <v>4434</v>
      </c>
      <c r="K2372" s="11">
        <v>201040509</v>
      </c>
      <c r="L2372" s="11" t="s">
        <v>3891</v>
      </c>
      <c r="M2372" s="11"/>
      <c r="N2372" s="11">
        <v>65</v>
      </c>
      <c r="O2372" s="42">
        <v>-65</v>
      </c>
      <c r="P2372" s="43" t="s">
        <v>4495</v>
      </c>
      <c r="Q2372" s="11">
        <v>19456.52</v>
      </c>
      <c r="R2372" s="11" t="s">
        <v>3844</v>
      </c>
      <c r="S2372" s="11" t="s">
        <v>202</v>
      </c>
      <c r="T2372" s="11">
        <v>0</v>
      </c>
    </row>
    <row r="2373" spans="1:20" x14ac:dyDescent="0.25">
      <c r="A2373" s="11">
        <v>101060501</v>
      </c>
      <c r="B2373" s="11" t="s">
        <v>3632</v>
      </c>
      <c r="C2373" s="41">
        <v>44925</v>
      </c>
      <c r="D2373" s="41">
        <v>44925</v>
      </c>
      <c r="E2373" s="11" t="s">
        <v>203</v>
      </c>
      <c r="F2373" s="11" t="s">
        <v>4478</v>
      </c>
      <c r="G2373" s="11">
        <v>112074</v>
      </c>
      <c r="H2373" s="11" t="s">
        <v>4479</v>
      </c>
      <c r="K2373" s="11">
        <v>101050101</v>
      </c>
      <c r="L2373" s="11" t="s">
        <v>3868</v>
      </c>
      <c r="M2373" s="11"/>
      <c r="N2373" s="11">
        <v>1763.34</v>
      </c>
      <c r="O2373" s="42">
        <v>-1763.34</v>
      </c>
      <c r="P2373" s="43" t="s">
        <v>4495</v>
      </c>
      <c r="Q2373" s="11">
        <v>17693.18</v>
      </c>
      <c r="R2373" s="11" t="s">
        <v>3844</v>
      </c>
      <c r="S2373" s="11" t="s">
        <v>202</v>
      </c>
      <c r="T2373" s="11">
        <v>0</v>
      </c>
    </row>
    <row r="2382" spans="1:20" x14ac:dyDescent="0.25">
      <c r="A2382" s="45" t="s">
        <v>3</v>
      </c>
      <c r="C2382" s="45" t="s">
        <v>4</v>
      </c>
      <c r="M2382" s="11"/>
      <c r="N2382" s="11"/>
    </row>
    <row r="2383" spans="1:20" x14ac:dyDescent="0.25">
      <c r="A2383" s="45" t="s">
        <v>5</v>
      </c>
      <c r="B2383" s="45" t="s">
        <v>6</v>
      </c>
      <c r="C2383" s="11" t="s">
        <v>9</v>
      </c>
      <c r="D2383" s="11" t="s">
        <v>4480</v>
      </c>
      <c r="E2383" s="11" t="s">
        <v>4491</v>
      </c>
      <c r="F2383" s="11" t="s">
        <v>4481</v>
      </c>
      <c r="G2383" s="46" t="s">
        <v>4489</v>
      </c>
      <c r="H2383" s="46" t="s">
        <v>4488</v>
      </c>
      <c r="I2383" s="46" t="s">
        <v>4494</v>
      </c>
      <c r="J2383" s="11" t="s">
        <v>4493</v>
      </c>
      <c r="K2383" s="11" t="s">
        <v>4490</v>
      </c>
      <c r="L2383" s="11" t="s">
        <v>4492</v>
      </c>
      <c r="M2383" s="11" t="s">
        <v>4495</v>
      </c>
      <c r="N2383" s="11" t="s">
        <v>4482</v>
      </c>
    </row>
    <row r="2384" spans="1:20" x14ac:dyDescent="0.25">
      <c r="A2384" s="11">
        <v>101060401</v>
      </c>
      <c r="B2384" s="11" t="s">
        <v>34</v>
      </c>
      <c r="C2384" s="47">
        <v>1183604.4099999999</v>
      </c>
      <c r="D2384" s="47">
        <v>196519.18999999992</v>
      </c>
      <c r="E2384" s="47">
        <v>-6134.26</v>
      </c>
      <c r="F2384" s="47">
        <v>334341.04000000004</v>
      </c>
      <c r="G2384" s="47">
        <v>-464168.20000000019</v>
      </c>
      <c r="H2384" s="47">
        <v>20167.100000000002</v>
      </c>
      <c r="I2384" s="47">
        <v>14680.18</v>
      </c>
      <c r="J2384" s="47">
        <v>132.19</v>
      </c>
      <c r="K2384" s="47">
        <v>-55286.42</v>
      </c>
      <c r="L2384" s="47"/>
      <c r="M2384" s="47"/>
      <c r="N2384" s="47">
        <v>1223855.2299999997</v>
      </c>
    </row>
    <row r="2385" spans="1:14" x14ac:dyDescent="0.25">
      <c r="A2385" s="11">
        <v>101060402</v>
      </c>
      <c r="B2385" s="11" t="s">
        <v>44</v>
      </c>
      <c r="C2385" s="47">
        <v>1274570.99</v>
      </c>
      <c r="D2385" s="47"/>
      <c r="E2385" s="47"/>
      <c r="F2385" s="47">
        <v>631277.91999999993</v>
      </c>
      <c r="G2385" s="47">
        <v>-371603.23000000004</v>
      </c>
      <c r="H2385" s="47">
        <v>5652.3799999999992</v>
      </c>
      <c r="I2385" s="47">
        <v>3124.9700000000003</v>
      </c>
      <c r="J2385" s="47">
        <v>-1348.05</v>
      </c>
      <c r="K2385" s="47">
        <v>-43109.68</v>
      </c>
      <c r="L2385" s="47"/>
      <c r="M2385" s="47"/>
      <c r="N2385" s="47">
        <v>1498565.2999999998</v>
      </c>
    </row>
    <row r="2386" spans="1:14" x14ac:dyDescent="0.25">
      <c r="A2386" s="11">
        <v>101060405</v>
      </c>
      <c r="B2386" s="11" t="s">
        <v>3623</v>
      </c>
      <c r="C2386" s="47">
        <v>3.98</v>
      </c>
      <c r="D2386" s="47"/>
      <c r="E2386" s="47"/>
      <c r="F2386" s="47"/>
      <c r="G2386" s="47"/>
      <c r="H2386" s="47"/>
      <c r="I2386" s="47"/>
      <c r="J2386" s="47"/>
      <c r="K2386" s="47"/>
      <c r="L2386" s="47"/>
      <c r="M2386" s="47"/>
      <c r="N2386" s="47">
        <v>3.98</v>
      </c>
    </row>
    <row r="2387" spans="1:14" x14ac:dyDescent="0.25">
      <c r="A2387" s="11">
        <v>101060406</v>
      </c>
      <c r="B2387" s="11" t="s">
        <v>289</v>
      </c>
      <c r="C2387" s="47">
        <v>2874.98</v>
      </c>
      <c r="D2387" s="47"/>
      <c r="E2387" s="47"/>
      <c r="F2387" s="47">
        <v>519.65</v>
      </c>
      <c r="G2387" s="47"/>
      <c r="H2387" s="47"/>
      <c r="I2387" s="47"/>
      <c r="J2387" s="47"/>
      <c r="K2387" s="47"/>
      <c r="L2387" s="47"/>
      <c r="M2387" s="47"/>
      <c r="N2387" s="47">
        <v>3394.63</v>
      </c>
    </row>
    <row r="2388" spans="1:14" x14ac:dyDescent="0.25">
      <c r="A2388" s="11">
        <v>101060407</v>
      </c>
      <c r="B2388" s="11" t="s">
        <v>78</v>
      </c>
      <c r="C2388" s="47">
        <v>29035.47</v>
      </c>
      <c r="D2388" s="47"/>
      <c r="E2388" s="47"/>
      <c r="F2388" s="47">
        <v>291.68</v>
      </c>
      <c r="G2388" s="47"/>
      <c r="H2388" s="47"/>
      <c r="I2388" s="47"/>
      <c r="J2388" s="47"/>
      <c r="K2388" s="47">
        <v>-31720.68</v>
      </c>
      <c r="L2388" s="47"/>
      <c r="M2388" s="47"/>
      <c r="N2388" s="47">
        <v>-2393.5299999999988</v>
      </c>
    </row>
    <row r="2389" spans="1:14" x14ac:dyDescent="0.25">
      <c r="A2389" s="11">
        <v>101060408</v>
      </c>
      <c r="B2389" s="11" t="s">
        <v>82</v>
      </c>
      <c r="C2389" s="47">
        <v>75615.77</v>
      </c>
      <c r="D2389" s="47"/>
      <c r="E2389" s="47"/>
      <c r="F2389" s="47">
        <v>-970935.6399999999</v>
      </c>
      <c r="G2389" s="47">
        <v>-8665.48</v>
      </c>
      <c r="H2389" s="47"/>
      <c r="I2389" s="47">
        <v>425.86</v>
      </c>
      <c r="J2389" s="47"/>
      <c r="K2389" s="47"/>
      <c r="L2389" s="47">
        <v>983381.05999999994</v>
      </c>
      <c r="M2389" s="47"/>
      <c r="N2389" s="47">
        <v>79821.570000000065</v>
      </c>
    </row>
    <row r="2390" spans="1:14" x14ac:dyDescent="0.25">
      <c r="A2390" s="11">
        <v>101060409</v>
      </c>
      <c r="B2390" s="11" t="s">
        <v>128</v>
      </c>
      <c r="C2390" s="47">
        <v>38334.239999999998</v>
      </c>
      <c r="D2390" s="47"/>
      <c r="E2390" s="47"/>
      <c r="F2390" s="47">
        <v>4505.3499999999985</v>
      </c>
      <c r="G2390" s="47">
        <v>-1739.87</v>
      </c>
      <c r="H2390" s="47"/>
      <c r="I2390" s="47">
        <v>227.76</v>
      </c>
      <c r="J2390" s="47"/>
      <c r="K2390" s="47">
        <v>-34092.21</v>
      </c>
      <c r="L2390" s="47"/>
      <c r="M2390" s="47"/>
      <c r="N2390" s="47">
        <v>7235.2699999999968</v>
      </c>
    </row>
    <row r="2391" spans="1:14" x14ac:dyDescent="0.25">
      <c r="A2391" s="11">
        <v>101060415</v>
      </c>
      <c r="B2391" s="11" t="s">
        <v>3841</v>
      </c>
      <c r="C2391" s="47">
        <v>1.81</v>
      </c>
      <c r="D2391" s="47"/>
      <c r="E2391" s="47"/>
      <c r="F2391" s="47"/>
      <c r="G2391" s="47"/>
      <c r="H2391" s="47"/>
      <c r="I2391" s="47"/>
      <c r="J2391" s="47"/>
      <c r="K2391" s="47"/>
      <c r="L2391" s="47"/>
      <c r="M2391" s="47"/>
      <c r="N2391" s="47">
        <v>1.81</v>
      </c>
    </row>
    <row r="2392" spans="1:14" x14ac:dyDescent="0.25">
      <c r="A2392" s="11">
        <v>101060501</v>
      </c>
      <c r="B2392" s="11" t="s">
        <v>3632</v>
      </c>
      <c r="C2392" s="47">
        <v>10641.33</v>
      </c>
      <c r="D2392" s="47"/>
      <c r="E2392" s="47"/>
      <c r="F2392" s="47"/>
      <c r="G2392" s="47"/>
      <c r="H2392" s="47"/>
      <c r="I2392" s="47"/>
      <c r="J2392" s="47"/>
      <c r="K2392" s="47"/>
      <c r="L2392" s="47">
        <v>-983427.3899999999</v>
      </c>
      <c r="M2392" s="47">
        <v>975543.01000000013</v>
      </c>
      <c r="N2392" s="47">
        <v>2756.9500000001863</v>
      </c>
    </row>
    <row r="2393" spans="1:14" x14ac:dyDescent="0.25">
      <c r="A2393" s="11" t="s">
        <v>4482</v>
      </c>
      <c r="C2393" s="47">
        <v>2614682.9800000004</v>
      </c>
      <c r="D2393" s="47">
        <v>196519.18999999992</v>
      </c>
      <c r="E2393" s="47">
        <v>-6134.26</v>
      </c>
      <c r="F2393" s="47">
        <v>1.3824319466948509E-10</v>
      </c>
      <c r="G2393" s="47">
        <v>-846176.78000000014</v>
      </c>
      <c r="H2393" s="47">
        <v>25819.480000000003</v>
      </c>
      <c r="I2393" s="47">
        <v>18458.77</v>
      </c>
      <c r="J2393" s="47">
        <v>-1215.8599999999999</v>
      </c>
      <c r="K2393" s="47">
        <v>-164208.99</v>
      </c>
      <c r="L2393" s="47">
        <v>-46.32999999995809</v>
      </c>
      <c r="M2393" s="47">
        <v>975543.01000000013</v>
      </c>
      <c r="N2393" s="47">
        <v>2813241.21</v>
      </c>
    </row>
    <row r="2406" spans="1:2" x14ac:dyDescent="0.25">
      <c r="A2406" s="26">
        <f>3922315+35741.99</f>
        <v>3958056.99</v>
      </c>
    </row>
    <row r="2407" spans="1:2" x14ac:dyDescent="0.25">
      <c r="A2407" s="26">
        <v>-44861.83</v>
      </c>
      <c r="B2407" s="11" t="s">
        <v>4494</v>
      </c>
    </row>
    <row r="2408" spans="1:2" x14ac:dyDescent="0.25">
      <c r="A2408" s="26">
        <v>-677.03</v>
      </c>
    </row>
  </sheetData>
  <autoFilter ref="A1:Y2373" xr:uid="{0E7A316A-3965-43EB-8B82-0A9805A6046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CC44-3EC7-40F1-9A59-6308EC01D7E7}">
  <dimension ref="A1:Z11"/>
  <sheetViews>
    <sheetView showGridLines="0" workbookViewId="0"/>
  </sheetViews>
  <sheetFormatPr baseColWidth="10" defaultColWidth="10.90625" defaultRowHeight="12.5" x14ac:dyDescent="0.25"/>
  <cols>
    <col min="1" max="1" width="55.453125" style="11" bestFit="1" customWidth="1"/>
    <col min="2" max="2" width="51.453125" style="11" bestFit="1" customWidth="1"/>
    <col min="3" max="3" width="13.1796875" style="11" bestFit="1" customWidth="1"/>
    <col min="4" max="4" width="11.453125" style="11" bestFit="1" customWidth="1"/>
    <col min="5" max="16384" width="10.90625" style="11"/>
  </cols>
  <sheetData>
    <row r="1" spans="1:26" s="36" customFormat="1" x14ac:dyDescent="0.25">
      <c r="A1" s="36" t="s">
        <v>5</v>
      </c>
      <c r="B1" s="36" t="s">
        <v>6</v>
      </c>
      <c r="C1" s="36" t="s">
        <v>11</v>
      </c>
      <c r="D1" s="36" t="s">
        <v>12</v>
      </c>
      <c r="E1" s="36" t="s">
        <v>13</v>
      </c>
      <c r="F1" s="36" t="s">
        <v>14</v>
      </c>
      <c r="G1" s="36" t="s">
        <v>15</v>
      </c>
      <c r="H1" s="36" t="s">
        <v>16</v>
      </c>
      <c r="I1" s="36" t="s">
        <v>17</v>
      </c>
      <c r="J1" s="36" t="s">
        <v>18</v>
      </c>
      <c r="K1" s="36" t="s">
        <v>19</v>
      </c>
      <c r="L1" s="36" t="s">
        <v>20</v>
      </c>
      <c r="M1" s="36" t="s">
        <v>21</v>
      </c>
      <c r="N1" s="36" t="s">
        <v>22</v>
      </c>
      <c r="O1" s="36" t="s">
        <v>23</v>
      </c>
      <c r="P1" s="39" t="s">
        <v>24</v>
      </c>
      <c r="Q1" s="39" t="s">
        <v>4</v>
      </c>
      <c r="R1" s="36" t="s">
        <v>25</v>
      </c>
      <c r="S1" s="36" t="s">
        <v>26</v>
      </c>
      <c r="T1" s="36" t="s">
        <v>27</v>
      </c>
      <c r="U1" s="36" t="s">
        <v>28</v>
      </c>
      <c r="V1" s="36" t="s">
        <v>29</v>
      </c>
      <c r="W1" s="36" t="s">
        <v>30</v>
      </c>
      <c r="X1" s="36" t="s">
        <v>31</v>
      </c>
      <c r="Y1" s="36" t="s">
        <v>32</v>
      </c>
      <c r="Z1" s="36" t="s">
        <v>33</v>
      </c>
    </row>
    <row r="2" spans="1:26" x14ac:dyDescent="0.25">
      <c r="A2" s="11">
        <v>101061101</v>
      </c>
      <c r="B2" s="11" t="s">
        <v>8</v>
      </c>
      <c r="C2" s="11" t="s">
        <v>35</v>
      </c>
      <c r="D2" s="11">
        <v>101061101</v>
      </c>
      <c r="H2" s="11" t="s">
        <v>9</v>
      </c>
      <c r="O2" s="11">
        <v>4831.1499999999996</v>
      </c>
      <c r="P2" s="40">
        <v>-4831.1499999999996</v>
      </c>
      <c r="Q2" s="11" t="s">
        <v>9</v>
      </c>
      <c r="R2" s="11">
        <v>-4831.1499999999996</v>
      </c>
    </row>
    <row r="3" spans="1:26" x14ac:dyDescent="0.25">
      <c r="A3" s="11">
        <v>101061101</v>
      </c>
      <c r="B3" s="11" t="s">
        <v>8</v>
      </c>
      <c r="C3" s="41">
        <v>44925</v>
      </c>
      <c r="D3" s="41">
        <v>44925</v>
      </c>
      <c r="E3" s="11" t="s">
        <v>203</v>
      </c>
      <c r="F3" s="11" t="s">
        <v>4483</v>
      </c>
      <c r="G3" s="11">
        <v>112447</v>
      </c>
      <c r="H3" s="11" t="s">
        <v>4484</v>
      </c>
      <c r="J3" s="11" t="s">
        <v>38</v>
      </c>
      <c r="K3" s="11">
        <v>61030705</v>
      </c>
      <c r="L3" s="11" t="s">
        <v>4485</v>
      </c>
      <c r="M3" s="11" t="s">
        <v>4486</v>
      </c>
      <c r="O3" s="11">
        <v>5195.76</v>
      </c>
      <c r="P3" s="40">
        <v>-5195.76</v>
      </c>
      <c r="Q3" s="40" t="s">
        <v>7</v>
      </c>
      <c r="R3" s="11">
        <v>-10026.91</v>
      </c>
      <c r="S3" s="11" t="s">
        <v>4486</v>
      </c>
      <c r="T3" s="11" t="s">
        <v>202</v>
      </c>
      <c r="U3" s="11">
        <v>0</v>
      </c>
      <c r="W3" s="11" t="s">
        <v>41</v>
      </c>
    </row>
    <row r="8" spans="1:26" x14ac:dyDescent="0.25">
      <c r="A8" s="11" t="s">
        <v>3</v>
      </c>
      <c r="C8" s="11" t="s">
        <v>4</v>
      </c>
    </row>
    <row r="9" spans="1:26" x14ac:dyDescent="0.25">
      <c r="A9" s="11" t="s">
        <v>5</v>
      </c>
      <c r="B9" s="11" t="s">
        <v>6</v>
      </c>
      <c r="C9" s="11" t="s">
        <v>7</v>
      </c>
      <c r="D9" s="11" t="s">
        <v>9</v>
      </c>
    </row>
    <row r="10" spans="1:26" x14ac:dyDescent="0.25">
      <c r="A10" s="11">
        <v>101061101</v>
      </c>
      <c r="B10" s="11" t="s">
        <v>8</v>
      </c>
      <c r="C10" s="11">
        <v>-5195.76</v>
      </c>
      <c r="D10" s="11">
        <v>-4831.1499999999996</v>
      </c>
    </row>
    <row r="11" spans="1:26" x14ac:dyDescent="0.25">
      <c r="A11" s="11" t="s">
        <v>4482</v>
      </c>
      <c r="C11" s="11">
        <v>-5195.76</v>
      </c>
      <c r="D11" s="11">
        <v>-4831.1499999999996</v>
      </c>
    </row>
  </sheetData>
  <autoFilter ref="A1:Z3" xr:uid="{B45D7F60-3BC6-4532-A157-43D46D4BEE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110.03</vt:lpstr>
      <vt:lpstr>Base de mayores</vt:lpstr>
      <vt:lpstr>Movimiento inventario</vt:lpstr>
      <vt:lpstr>Movimiento de la provisión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Kreston Ecuador</dc:creator>
  <cp:lastModifiedBy>Admin</cp:lastModifiedBy>
  <dcterms:created xsi:type="dcterms:W3CDTF">2023-03-02T02:52:15Z</dcterms:created>
  <dcterms:modified xsi:type="dcterms:W3CDTF">2026-04-17T00:03:03Z</dcterms:modified>
</cp:coreProperties>
</file>