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echoe\Downloads\Papeles Modelo Kreston-20260416T233239Z-3-001\Papeles Modelo Kreston\02. Pruebas sustantivas 2024\02. Pruebas sustantivas\1. Activo\9. Activo Intangibles\"/>
    </mc:Choice>
  </mc:AlternateContent>
  <xr:revisionPtr revIDLastSave="0" documentId="13_ncr:1_{1692D20B-A81A-4AF6-8CBB-B94C0CF91166}" xr6:coauthVersionLast="47" xr6:coauthVersionMax="47" xr10:uidLastSave="{00000000-0000-0000-0000-000000000000}"/>
  <bookViews>
    <workbookView xWindow="-110" yWindow="-110" windowWidth="19420" windowHeight="10300" xr2:uid="{88682EC2-6073-4D91-A4B7-131B81960490}"/>
  </bookViews>
  <sheets>
    <sheet name="10.04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___">NA()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1Excel_BuiltIn_Print_Area_1_1">#REF!</definedName>
    <definedName name="_1Sin_nombre">#REF!</definedName>
    <definedName name="_2Sin_nombre_3">#REF!</definedName>
    <definedName name="_3Sin_nombre">#REF!</definedName>
    <definedName name="_4Sin_nombre_0">#REF!</definedName>
    <definedName name="_5Sin_nombre_1">#REF!</definedName>
    <definedName name="_6Sin_nombre_2">#REF!</definedName>
    <definedName name="_7Sin_nombre_3">#REF!</definedName>
    <definedName name="_a">#REF!</definedName>
    <definedName name="_A70000">#REF!</definedName>
    <definedName name="_A99999">#REF!</definedName>
    <definedName name="_DAT2">#REF!</definedName>
    <definedName name="_F">[1]Datos!$B$1</definedName>
    <definedName name="_xlnm._FilterDatabase" localSheetId="0" hidden="1">'10.04'!$B$36:$U$51</definedName>
    <definedName name="_RSE2" localSheetId="0">#REF!</definedName>
    <definedName name="_RSE2">#REF!</definedName>
    <definedName name="_W2" localSheetId="0">#REF!</definedName>
    <definedName name="_W2">#REF!</definedName>
    <definedName name="a" localSheetId="0">#REF!</definedName>
    <definedName name="a">#REF!</definedName>
    <definedName name="A_impresión_IM">#REF!</definedName>
    <definedName name="A_IMPRESIÓN_IM_1">#REF!</definedName>
    <definedName name="AC">#REF!</definedName>
    <definedName name="ACREEDORES">#REF!</definedName>
    <definedName name="anexo">#REF!</definedName>
    <definedName name="AportePat">[2]Datos!$B$3</definedName>
    <definedName name="AportePer">[2]Datos!$B$2</definedName>
    <definedName name="ARA_Threshold" localSheetId="0">#REF!</definedName>
    <definedName name="ARA_Threshold">#REF!</definedName>
    <definedName name="_xlnm.Print_Area" localSheetId="0">#REF!</definedName>
    <definedName name="_xlnm.Print_Area">#REF!</definedName>
    <definedName name="ARP_Threshold" localSheetId="0">#REF!</definedName>
    <definedName name="ARP_Threshold">#REF!</definedName>
    <definedName name="arreglo">#REF!</definedName>
    <definedName name="AS">#REF!</definedName>
    <definedName name="AS2DocOpenMode" hidden="1">"AS2DocumentEdit"</definedName>
    <definedName name="AS2HasNoAutoHeaderFooter" hidden="1">" "</definedName>
    <definedName name="AS2NamedRange" hidden="1">2</definedName>
    <definedName name="AS2ReportLS" hidden="1">1</definedName>
    <definedName name="asd">#REF!</definedName>
    <definedName name="asfdasfa">#REF!</definedName>
    <definedName name="b">[3]Cartera!#REF!</definedName>
    <definedName name="BAL">#N/A</definedName>
    <definedName name="balance">#REF!</definedName>
    <definedName name="BASE">#REF!</definedName>
    <definedName name="BASE1">#REF!</definedName>
    <definedName name="BASE2">#REF!</definedName>
    <definedName name="BASE2001">#REF!</definedName>
    <definedName name="BASE3">#REF!</definedName>
    <definedName name="BASEBG2001">#REF!</definedName>
    <definedName name="_xlnm.Database">#REF!</definedName>
    <definedName name="BASEFECHA">[2]Datos!$A$6:$C$17</definedName>
    <definedName name="basic_level">'[4]Tabla del Límite'!$A$6:$C$11</definedName>
    <definedName name="BBBB" localSheetId="0">#REF!</definedName>
    <definedName name="BBBB">#REF!</definedName>
    <definedName name="Beg_Bal" localSheetId="0">#REF!</definedName>
    <definedName name="Beg_Bal">#REF!</definedName>
    <definedName name="BG_Del" hidden="1">15</definedName>
    <definedName name="BG_Ins" hidden="1">4</definedName>
    <definedName name="BG_Mod" hidden="1">6</definedName>
    <definedName name="bosque" localSheetId="0">#REF!</definedName>
    <definedName name="bosque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CADMINISTRACION">#REF!</definedName>
    <definedName name="carlos">#REF!</definedName>
    <definedName name="CBASE">#REF!</definedName>
    <definedName name="cbodega">#REF!</definedName>
    <definedName name="cbordados">#REF!</definedName>
    <definedName name="ccamisas">#REF!</definedName>
    <definedName name="Cchofer">#REF!</definedName>
    <definedName name="ccorte">#REF!</definedName>
    <definedName name="cdiseño">#REF!</definedName>
    <definedName name="cguardia">#REF!</definedName>
    <definedName name="ClientName">#REF!</definedName>
    <definedName name="climpieza">#REF!</definedName>
    <definedName name="cmecanico">#REF!</definedName>
    <definedName name="COIMM">#REF!</definedName>
    <definedName name="Color">OFFSET(#REF!,MATCH(#REF!,#REF!,0)-1,0,1,1)</definedName>
    <definedName name="Componente">[2]Datos!$B$1</definedName>
    <definedName name="Conclusión" localSheetId="0">#REF!</definedName>
    <definedName name="Conclusión">#REF!</definedName>
    <definedName name="Contab_Provision" localSheetId="0">#REF!</definedName>
    <definedName name="Contab_Provision">#REF!</definedName>
    <definedName name="CPantalones" localSheetId="0">#REF!</definedName>
    <definedName name="CPantalones">#REF!</definedName>
    <definedName name="csacos">#REF!</definedName>
    <definedName name="csecretaria">#REF!</definedName>
    <definedName name="cterminados">#REF!</definedName>
    <definedName name="Ctransporte">#REF!</definedName>
    <definedName name="CY_tx_all_Equity">#REF!</definedName>
    <definedName name="CY_tx_all_Income">#REF!</definedName>
    <definedName name="CY_tx_all_Liabs">#REF!</definedName>
    <definedName name="CY_tx_all_RetEarn_bf">#REF!</definedName>
    <definedName name="CY_tx_knw_Equity">#REF!</definedName>
    <definedName name="CY_tx_knw_Income">#REF!</definedName>
    <definedName name="CY_tx_knw_Liabs">#REF!</definedName>
    <definedName name="CY_tx_knw_RetEarn_bf">#REF!</definedName>
    <definedName name="CY_tx_lik_Equity">#REF!</definedName>
    <definedName name="CY_tx_lik_Income">#REF!</definedName>
    <definedName name="CY_tx_lik_Liabs">#REF!</definedName>
    <definedName name="CY_tx_lik_RetEarn_bf">#REF!</definedName>
    <definedName name="d">#REF!</definedName>
    <definedName name="da">#REF!</definedName>
    <definedName name="Data">#REF!</definedName>
    <definedName name="DBDA">[5]Hoja3!$Q$41</definedName>
    <definedName name="dd" localSheetId="0">#REF!</definedName>
    <definedName name="dd">#REF!</definedName>
    <definedName name="decimo14">[2]Datos!$B$4</definedName>
    <definedName name="detalle" localSheetId="0">#REF!</definedName>
    <definedName name="detalle">#REF!</definedName>
    <definedName name="df" localSheetId="0">#REF!</definedName>
    <definedName name="df">#REF!</definedName>
    <definedName name="dffd" localSheetId="0">Scheduled_Payment+Extra_Payment</definedName>
    <definedName name="dffd">Scheduled_Payment+Extra_Payment</definedName>
    <definedName name="DI" localSheetId="0">'[6]VEG. $ NEC'!#REF!</definedName>
    <definedName name="DI">'[6]VEG. $ NEC'!#REF!</definedName>
    <definedName name="DICIEMBRE">[7]DICIEMBRE!$A$2:$G$67</definedName>
    <definedName name="DMEI">[5]Hoja2!$Q$41</definedName>
    <definedName name="DS2PLHeader" localSheetId="0">#REF!</definedName>
    <definedName name="DS2PLHeader">#REF!</definedName>
    <definedName name="DS7RevProdHeader" localSheetId="0">#REF!</definedName>
    <definedName name="DS7RevProdHeader">#REF!</definedName>
    <definedName name="DS9PLFuncHeader" localSheetId="0">#REF!</definedName>
    <definedName name="DS9PLFuncHeader">#REF!</definedName>
    <definedName name="End_Bal">#REF!</definedName>
    <definedName name="EndFSPeriod">#REF!</definedName>
    <definedName name="Excel_BuiltIn__FilterDatabase_1">#REF!</definedName>
    <definedName name="Excel_BuiltIn__FilterDatabase_23">'[8]Cruce Renta vs Libros (YA)'!#REF!</definedName>
    <definedName name="Excel_BuiltIn_Database" localSheetId="0">#REF!</definedName>
    <definedName name="Excel_BuiltIn_Database">#REF!</definedName>
    <definedName name="Excel_BuiltIn_Print_Area" localSheetId="0">#REF!</definedName>
    <definedName name="Excel_BuiltIn_Print_Area">#REF!</definedName>
    <definedName name="Excel_BuiltIn_Print_Area_1" localSheetId="0">#REF!</definedName>
    <definedName name="Excel_BuiltIn_Print_Area_1">#REF!</definedName>
    <definedName name="Excel_BuiltIn_Print_Titles">#REF!</definedName>
    <definedName name="Extra_Pay">#REF!</definedName>
    <definedName name="FBasica2">[2]Impuestos!$B$7</definedName>
    <definedName name="Fbasica3">[2]Impuestos!$B$8</definedName>
    <definedName name="Fbasica4">[2]Impuestos!$B$9</definedName>
    <definedName name="FBasica5">[2]Impuestos!$B$10</definedName>
    <definedName name="FBasica6">[2]Impuestos!$B$11</definedName>
    <definedName name="fecha">'[8]Concili. Bancarias (MI)'!$A$3</definedName>
    <definedName name="Fexceso2">[2]Impuestos!$C$7</definedName>
    <definedName name="FExceso3">[2]Impuestos!$C$8</definedName>
    <definedName name="FExceso4">[2]Impuestos!$C$9</definedName>
    <definedName name="FExceso5">[2]Impuestos!$C$10</definedName>
    <definedName name="FNUMERO">[2]Datos!$B$19</definedName>
    <definedName name="FolderItemNumber" localSheetId="0">#REF!</definedName>
    <definedName name="FolderItemNumber">#REF!</definedName>
    <definedName name="FolderItemTitle" localSheetId="0">#REF!</definedName>
    <definedName name="FolderItemTitle">#REF!</definedName>
    <definedName name="FTESFORE" localSheetId="0">#REF!</definedName>
    <definedName name="FTESFORE">#REF!</definedName>
    <definedName name="FTESYTD">#REF!</definedName>
    <definedName name="Full_Print">#REF!</definedName>
    <definedName name="g">#REF!</definedName>
    <definedName name="_xlnm.Recorder">#REF!</definedName>
    <definedName name="Header_Row">ROW(#REF!)</definedName>
    <definedName name="HOJA">#REF!</definedName>
    <definedName name="IBasica2">[2]Impuestos!$D$7</definedName>
    <definedName name="IBasica3">[2]Impuestos!$D$8</definedName>
    <definedName name="IBasica4">[2]Impuestos!$D$9</definedName>
    <definedName name="IBasica5">[2]Impuestos!$D$10</definedName>
    <definedName name="IBasica6">[2]Impuestos!$D$11</definedName>
    <definedName name="Iexceso2">[2]Impuestos!$E$7</definedName>
    <definedName name="Iexceso3">[2]Impuestos!$E$8</definedName>
    <definedName name="IExceso4">[2]Impuestos!$E$9</definedName>
    <definedName name="IExceso5">[2]Impuestos!$E$10</definedName>
    <definedName name="IExceso6">[2]Impuestos!$E$11</definedName>
    <definedName name="inicial" localSheetId="0">#REF!</definedName>
    <definedName name="inicial">#REF!</definedName>
    <definedName name="Int" localSheetId="0">#REF!</definedName>
    <definedName name="Int">#REF!</definedName>
    <definedName name="INTANGIBLES" localSheetId="0">#REF!</definedName>
    <definedName name="INTANGIBLES">#REF!</definedName>
    <definedName name="Interest_Rate">#REF!</definedName>
    <definedName name="interm_level">'[4]Tabla del Límite'!$D$6:$F$11</definedName>
    <definedName name="J" localSheetId="0">#REF!</definedName>
    <definedName name="J">#REF!</definedName>
    <definedName name="jj" localSheetId="0">Scheduled_Payment+Extra_Payment</definedName>
    <definedName name="jj">Scheduled_Payment+Extra_Payment</definedName>
    <definedName name="jjjjjj" localSheetId="0">OFFSET(#REF!,MATCH(#REF!,#REF!,0)-1,0,1,1)</definedName>
    <definedName name="jjjjjj">OFFSET(#REF!,MATCH(#REF!,#REF!,0)-1,0,1,1)</definedName>
    <definedName name="JOSE">#REF!</definedName>
    <definedName name="L_AJE_Tot">[9]Links!$G$1:$G$65536</definedName>
    <definedName name="L_CY_Beg">[9]Links!$F$1:$F$65536</definedName>
    <definedName name="L_CY_End">[9]Links!$J$1:$J$65536</definedName>
    <definedName name="L_PY_End">[9]Links!$K$1:$K$65536</definedName>
    <definedName name="L_RJE_Tot">[9]Links!$I$1:$I$65536</definedName>
    <definedName name="Last_Row" localSheetId="0">IF('10.04'!Values_Entered,Header_Row+'10.04'!Number_of_Payments,Header_Row)</definedName>
    <definedName name="Last_Row">IF(Values_Entered,Header_Row+Number_of_Payments,Header_Row)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M">#REF!</definedName>
    <definedName name="M1189940">#REF!</definedName>
    <definedName name="M1262050">#REF!</definedName>
    <definedName name="M1262060">#REF!</definedName>
    <definedName name="M1262090">#REF!</definedName>
    <definedName name="M2311010">'[10]Det. Rec. Prov. Locales {PPC}'!#REF!</definedName>
    <definedName name="M2311030">'[10]Det. Rec. Prov. Locales {PPC}'!#REF!</definedName>
    <definedName name="MA">'[6]VEG. $ NEC'!#REF!</definedName>
    <definedName name="MANUWL" localSheetId="0">#REF!</definedName>
    <definedName name="MANUWL">#REF!</definedName>
    <definedName name="MARIA" localSheetId="0">#REF!</definedName>
    <definedName name="MARIA">#REF!</definedName>
    <definedName name="MAS" localSheetId="0">#REF!</definedName>
    <definedName name="MAS">#REF!</definedName>
    <definedName name="mayor">#REF!</definedName>
    <definedName name="mayorg">#REF!</definedName>
    <definedName name="mes">#REF!</definedName>
    <definedName name="MONEDA">#REF!</definedName>
    <definedName name="NOVIEMBRE">[7]NOVIEMBRE!$A$1:$G$50</definedName>
    <definedName name="Num_Pmt_Per_Year">#REF!</definedName>
    <definedName name="Number_of_Payments" localSheetId="0">MATCH(0.01,End_Bal,-1)+1</definedName>
    <definedName name="Number_of_Payments">MATCH(0.01,End_Bal,-1)+1</definedName>
    <definedName name="NUMERICO">NA()</definedName>
    <definedName name="NUMERO">'[2]rol individual 1'!$I$1</definedName>
    <definedName name="NUMERO1">'[2]rol individual 1'!$I$2</definedName>
    <definedName name="NUMERO3">#REF!</definedName>
    <definedName name="NUMERO4">#REF!</definedName>
    <definedName name="Ñ">[1]Datos!$B$1</definedName>
    <definedName name="Observaciones">[11]A.01!$K$50:$K$53</definedName>
    <definedName name="octubre">[7]octubre!$A$1:$H$50</definedName>
    <definedName name="otros" localSheetId="0" hidden="1">{#N/A,#N/A,FALSE,"Aging Summary";#N/A,#N/A,FALSE,"Ratio Analysis";#N/A,#N/A,FALSE,"Test 120 Day Accts";#N/A,#N/A,FALSE,"Tickmarks"}</definedName>
    <definedName name="otros" hidden="1">{#N/A,#N/A,FALSE,"Aging Summary";#N/A,#N/A,FALSE,"Ratio Analysis";#N/A,#N/A,FALSE,"Test 120 Day Accts";#N/A,#N/A,FALSE,"Tickmarks"}</definedName>
    <definedName name="P">[1]Datos!$B$2</definedName>
    <definedName name="PAIS">#REF!</definedName>
    <definedName name="Pay_Date">#REF!</definedName>
    <definedName name="Pay_Num">#REF!</definedName>
    <definedName name="Payment_Date" localSheetId="0">DATE(YEAR('10.04'!Loan_Start),MONTH('10.04'!Loan_Start)+Payment_Number,DAY('10.04'!Loan_Start))</definedName>
    <definedName name="Payment_Date">DATE(YEAR(Loan_Start),MONTH(Loan_Start)+Payment_Number,DAY(Loan_Start))</definedName>
    <definedName name="PCOST" localSheetId="0">#REF!</definedName>
    <definedName name="PCOST">#REF!</definedName>
    <definedName name="PCOSTBYACTV" localSheetId="0">#REF!</definedName>
    <definedName name="PCOSTBYACTV">#REF!</definedName>
    <definedName name="pnot_fore" localSheetId="0">#REF!</definedName>
    <definedName name="pnot_fore">#REF!</definedName>
    <definedName name="pnot_month">#REF!</definedName>
    <definedName name="pnot_ytd">#REF!</definedName>
    <definedName name="PO">#REF!</definedName>
    <definedName name="PRANGE">#REF!</definedName>
    <definedName name="Princ">#REF!</definedName>
    <definedName name="Print_Area">#REF!</definedName>
    <definedName name="Print_Area_Reset" localSheetId="0">OFFSET(Full_Print,0,0,'10.04'!Last_Row)</definedName>
    <definedName name="Print_Area_Reset">OFFSET(Full_Print,0,0,Last_Row)</definedName>
    <definedName name="PY_all_RetEarn" localSheetId="0">#REF!</definedName>
    <definedName name="PY_all_RetEarn">#REF!</definedName>
    <definedName name="PY_knw_Income">#REF!</definedName>
    <definedName name="PY_knw_RetEarn">#REF!</definedName>
    <definedName name="PY_lik_Income">#REF!</definedName>
    <definedName name="PY_lik_RetEarn">#REF!</definedName>
    <definedName name="PY_tot_knw_Xfoot">#REF!</definedName>
    <definedName name="PY_tot_lik_Xfoot">#REF!</definedName>
    <definedName name="PY_tx_all_Income">#REF!</definedName>
    <definedName name="PY_tx_all_RetEarn">#REF!</definedName>
    <definedName name="PY_tx_knw_Income">#REF!</definedName>
    <definedName name="PY_tx_knw_RetEarn">#REF!</definedName>
    <definedName name="PY_tx_lik_Income">#REF!</definedName>
    <definedName name="PY_tx_lik_RetEarn">#REF!</definedName>
    <definedName name="q">#REF!</definedName>
    <definedName name="R_Factor">'[12]Threshold Table'!$A$2:$A$4</definedName>
    <definedName name="Ref_1">#REF!</definedName>
    <definedName name="Ref_10">'[13]Costo+Reexp'!#REF!</definedName>
    <definedName name="Ref_103">#REF!</definedName>
    <definedName name="Ref_104">#REF!</definedName>
    <definedName name="Ref_105">[14]Costo!#REF!</definedName>
    <definedName name="Ref_11">#REF!</definedName>
    <definedName name="Ref_12">'[13]Costo+Reexp'!#REF!</definedName>
    <definedName name="Ref_125">#REF!</definedName>
    <definedName name="Ref_126">#REF!</definedName>
    <definedName name="Ref_127">#REF!</definedName>
    <definedName name="Ref_128">#REF!</definedName>
    <definedName name="Ref_129">#REF!</definedName>
    <definedName name="Ref_13">#REF!</definedName>
    <definedName name="Ref_130">#REF!</definedName>
    <definedName name="Ref_131">#REF!</definedName>
    <definedName name="Ref_132">#REF!</definedName>
    <definedName name="Ref_133">#REF!</definedName>
    <definedName name="Ref_134">#REF!</definedName>
    <definedName name="Ref_135">[14]Costo!#REF!</definedName>
    <definedName name="Ref_136">[14]Dep.!#REF!</definedName>
    <definedName name="Ref_14">#REF!</definedName>
    <definedName name="Ref_15">#REF!</definedName>
    <definedName name="Ref_16">#REF!</definedName>
    <definedName name="Ref_17">#REF!</definedName>
    <definedName name="Ref_18">'[13]Costo+Reexp'!#REF!</definedName>
    <definedName name="Ref_19">#REF!</definedName>
    <definedName name="Ref_2">#REF!</definedName>
    <definedName name="Ref_20">#REF!</definedName>
    <definedName name="Ref_21">'[13]Costo+Reexp'!#REF!</definedName>
    <definedName name="Ref_22">#REF!</definedName>
    <definedName name="Ref_23">#REF!</definedName>
    <definedName name="Ref_24">#REF!</definedName>
    <definedName name="Ref_25">'[13]Costo+Reexp'!#REF!</definedName>
    <definedName name="Ref_26">#REF!</definedName>
    <definedName name="Ref_27">'[13]Costo+Reexp'!#REF!</definedName>
    <definedName name="Ref_28">#REF!</definedName>
    <definedName name="Ref_29">#REF!</definedName>
    <definedName name="Ref_3">[15]A!#REF!</definedName>
    <definedName name="Ref_30">#REF!</definedName>
    <definedName name="Ref_31">#REF!</definedName>
    <definedName name="Ref_32">#REF!</definedName>
    <definedName name="Ref_33">#REF!</definedName>
    <definedName name="Ref_34">#REF!</definedName>
    <definedName name="Ref_35">#REF!</definedName>
    <definedName name="Ref_36">#REF!</definedName>
    <definedName name="Ref_37">'[13]Costo+Reexp'!#REF!</definedName>
    <definedName name="Ref_39">#REF!</definedName>
    <definedName name="Ref_4">#REF!</definedName>
    <definedName name="Ref_40">'[13]Costo+Reexp'!#REF!</definedName>
    <definedName name="Ref_41">#REF!</definedName>
    <definedName name="Ref_42">#REF!</definedName>
    <definedName name="Ref_43">#REF!</definedName>
    <definedName name="Ref_44">#REF!</definedName>
    <definedName name="Ref_45">#REF!</definedName>
    <definedName name="Ref_46">'[13]Costo+Reexp'!#REF!</definedName>
    <definedName name="Ref_47">'[13]Costo+Reexp'!#REF!</definedName>
    <definedName name="Ref_48">'[13]Costo+Reexp'!#REF!</definedName>
    <definedName name="Ref_49">#REF!</definedName>
    <definedName name="Ref_5">#REF!</definedName>
    <definedName name="Ref_50">#REF!</definedName>
    <definedName name="Ref_51">#REF!</definedName>
    <definedName name="Ref_52">#REF!</definedName>
    <definedName name="Ref_53">#REF!</definedName>
    <definedName name="Ref_54">#REF!</definedName>
    <definedName name="Ref_55">#REF!</definedName>
    <definedName name="Ref_56">#REF!</definedName>
    <definedName name="Ref_57">#REF!</definedName>
    <definedName name="Ref_58">#REF!</definedName>
    <definedName name="Ref_59">#REF!</definedName>
    <definedName name="Ref_6">'[13]Costo+Reexp'!#REF!</definedName>
    <definedName name="Ref_60">#REF!</definedName>
    <definedName name="Ref_61">#REF!</definedName>
    <definedName name="Ref_62">'[13]Costo+Reexp'!#REF!</definedName>
    <definedName name="Ref_63">'[13]Costo+Reexp'!#REF!</definedName>
    <definedName name="Ref_64">#REF!</definedName>
    <definedName name="Ref_65">#REF!</definedName>
    <definedName name="Ref_66">'[13]Costo+Reexp'!#REF!</definedName>
    <definedName name="Ref_67">#REF!</definedName>
    <definedName name="Ref_68">#REF!</definedName>
    <definedName name="Ref_69">#REF!</definedName>
    <definedName name="Ref_7">#REF!</definedName>
    <definedName name="Ref_70">#REF!</definedName>
    <definedName name="Ref_71">#REF!</definedName>
    <definedName name="Ref_72">#REF!</definedName>
    <definedName name="Ref_73">#REF!</definedName>
    <definedName name="Ref_74">#REF!</definedName>
    <definedName name="Ref_75">#REF!</definedName>
    <definedName name="Ref_76">#REF!</definedName>
    <definedName name="Ref_77">#REF!</definedName>
    <definedName name="Ref_78">#REF!</definedName>
    <definedName name="Ref_79">'[13]Costo+Reexp'!#REF!</definedName>
    <definedName name="Ref_8">#REF!</definedName>
    <definedName name="Ref_80">'[13]Costo+Reexp'!#REF!</definedName>
    <definedName name="Ref_84">[14]Costo!#REF!</definedName>
    <definedName name="Ref_85">[14]Costo!#REF!</definedName>
    <definedName name="Ref_86">[14]Costo!#REF!</definedName>
    <definedName name="Ref_87">[14]Costo!#REF!</definedName>
    <definedName name="Ref_88">[14]Costo!#REF!</definedName>
    <definedName name="Ref_89">[14]Costo!#REF!</definedName>
    <definedName name="Ref_9">#REF!</definedName>
    <definedName name="Ref_98">[14]Costo!#REF!</definedName>
    <definedName name="rev_fore">#REF!</definedName>
    <definedName name="rev_month">#REF!</definedName>
    <definedName name="rev_ytd">#REF!</definedName>
    <definedName name="S_AcctDes">#REF!</definedName>
    <definedName name="S_AcctNum">#REF!</definedName>
    <definedName name="S_Adjust">#REF!</definedName>
    <definedName name="S_Adjust_Data">[9]Lead!$I$1:$I$43</definedName>
    <definedName name="S_CY_Beg">#REF!</definedName>
    <definedName name="S_CY_End">#REF!</definedName>
    <definedName name="S_Diff_Amt">#REF!</definedName>
    <definedName name="S_Diff_Pct">#REF!</definedName>
    <definedName name="S_Headings">#REF!</definedName>
    <definedName name="S_KeyValue">#REF!</definedName>
    <definedName name="S_LSRange1">#REF!</definedName>
    <definedName name="S_LSRange1Balance">#REF!</definedName>
    <definedName name="S_LSRange1Balance1">#REF!</definedName>
    <definedName name="S_LSRange1Balance2">#REF!</definedName>
    <definedName name="S_LSRange1Balance3">#REF!</definedName>
    <definedName name="S_LSRange2">#REF!</definedName>
    <definedName name="S_LSRange2Balance">#REF!</definedName>
    <definedName name="S_LSRange2Balance1">#REF!</definedName>
    <definedName name="S_LSRange2Balance2">#REF!</definedName>
    <definedName name="S_LSRange2Balance3">#REF!</definedName>
    <definedName name="S_LSRange3">#REF!</definedName>
    <definedName name="S_LSRange3Balance">#REF!</definedName>
    <definedName name="S_LSRange3Balance1">#REF!</definedName>
    <definedName name="S_LSRange3Balance2">#REF!</definedName>
    <definedName name="S_LSRange3Balance3">#REF!</definedName>
    <definedName name="S_LSRange4">#REF!</definedName>
    <definedName name="S_LSRange4Balance">#REF!</definedName>
    <definedName name="S_LSRange4Balance1">#REF!</definedName>
    <definedName name="S_LSRange4Balance2">#REF!</definedName>
    <definedName name="S_LSRange4Balance3">#REF!</definedName>
    <definedName name="S_LSRange5">#REF!</definedName>
    <definedName name="S_LSRange5Balance">#REF!</definedName>
    <definedName name="S_LSRange5Balance1">#REF!</definedName>
    <definedName name="S_LSRange5Balance2">#REF!</definedName>
    <definedName name="S_LSRange5Balance3">#REF!</definedName>
    <definedName name="S_LSRange6">#REF!</definedName>
    <definedName name="S_LSRange6Balance">#REF!</definedName>
    <definedName name="S_LSRange6Balance1">#REF!</definedName>
    <definedName name="S_LSRange6Balance2">#REF!</definedName>
    <definedName name="S_LSRange6Balance3">#REF!</definedName>
    <definedName name="S_LSRange7">#REF!</definedName>
    <definedName name="S_LSRange7Balance">#REF!</definedName>
    <definedName name="S_LSRange7Balance1">#REF!</definedName>
    <definedName name="S_LSRange7Balance2">#REF!</definedName>
    <definedName name="S_LSRange7Balance3">#REF!</definedName>
    <definedName name="S_LSRange8">#REF!</definedName>
    <definedName name="S_LSRange8Balance">#REF!</definedName>
    <definedName name="S_LSRange8Balance1">#REF!</definedName>
    <definedName name="S_LSRange8Balance2">#REF!</definedName>
    <definedName name="S_LSRange8Balance3">#REF!</definedName>
    <definedName name="S_PY_End">#REF!</definedName>
    <definedName name="S_PY_End_Data">[9]Lead!$N$1:$N$43</definedName>
    <definedName name="S_Total">#REF!</definedName>
    <definedName name="S_Total1">#REF!</definedName>
    <definedName name="S_Total2">#REF!</definedName>
    <definedName name="S_Total3">#REF!</definedName>
    <definedName name="SAL">#REF!</definedName>
    <definedName name="SAPBEXhrIndnt" hidden="1">1</definedName>
    <definedName name="SAPBEXrevision" hidden="1">9</definedName>
    <definedName name="SAPBEXsysID" hidden="1">"BL6"</definedName>
    <definedName name="SAPBEXwbID" hidden="1">"3US4CVJVAYMOMMXFQAGC0TC14"</definedName>
    <definedName name="Scale">[16]Options!$B$1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SD">#REF!</definedName>
    <definedName name="SE">'[6]VEG. $ NEC'!#REF!</definedName>
    <definedName name="seppg" localSheetId="0">#REF!</definedName>
    <definedName name="seppg">#REF!</definedName>
    <definedName name="SHARED_FORMULA_0">#N/A</definedName>
    <definedName name="SHARED_FORMULA_1">#N/A</definedName>
    <definedName name="SHARED_FORMULA_10">#N/A</definedName>
    <definedName name="SHARED_FORMULA_100">#N/A</definedName>
    <definedName name="SHARED_FORMULA_101">#N/A</definedName>
    <definedName name="SHARED_FORMULA_102">#N/A</definedName>
    <definedName name="SHARED_FORMULA_103">#N/A</definedName>
    <definedName name="SHARED_FORMULA_104">#N/A</definedName>
    <definedName name="SHARED_FORMULA_105">#N/A</definedName>
    <definedName name="SHARED_FORMULA_106">#N/A</definedName>
    <definedName name="SHARED_FORMULA_107">#N/A</definedName>
    <definedName name="SHARED_FORMULA_108">#N/A</definedName>
    <definedName name="SHARED_FORMULA_109">#N/A</definedName>
    <definedName name="SHARED_FORMULA_11">#N/A</definedName>
    <definedName name="SHARED_FORMULA_110">#N/A</definedName>
    <definedName name="SHARED_FORMULA_111">#N/A</definedName>
    <definedName name="SHARED_FORMULA_112">#N/A</definedName>
    <definedName name="SHARED_FORMULA_113">#N/A</definedName>
    <definedName name="SHARED_FORMULA_114">#N/A</definedName>
    <definedName name="SHARED_FORMULA_115">#N/A</definedName>
    <definedName name="SHARED_FORMULA_116">#N/A</definedName>
    <definedName name="SHARED_FORMULA_117">#N/A</definedName>
    <definedName name="SHARED_FORMULA_118">#N/A</definedName>
    <definedName name="SHARED_FORMULA_119">#N/A</definedName>
    <definedName name="SHARED_FORMULA_12">#N/A</definedName>
    <definedName name="SHARED_FORMULA_120">#N/A</definedName>
    <definedName name="SHARED_FORMULA_121">#N/A</definedName>
    <definedName name="SHARED_FORMULA_122">#N/A</definedName>
    <definedName name="SHARED_FORMULA_123">#N/A</definedName>
    <definedName name="SHARED_FORMULA_124">#N/A</definedName>
    <definedName name="SHARED_FORMULA_125">#N/A</definedName>
    <definedName name="SHARED_FORMULA_126">#N/A</definedName>
    <definedName name="SHARED_FORMULA_127">#N/A</definedName>
    <definedName name="SHARED_FORMULA_128">#N/A</definedName>
    <definedName name="SHARED_FORMULA_129">#N/A</definedName>
    <definedName name="SHARED_FORMULA_13">#N/A</definedName>
    <definedName name="SHARED_FORMULA_130">#N/A</definedName>
    <definedName name="SHARED_FORMULA_131">#N/A</definedName>
    <definedName name="SHARED_FORMULA_132">#N/A</definedName>
    <definedName name="SHARED_FORMULA_133">#N/A</definedName>
    <definedName name="SHARED_FORMULA_134">#N/A</definedName>
    <definedName name="SHARED_FORMULA_135">#N/A</definedName>
    <definedName name="SHARED_FORMULA_14">#N/A</definedName>
    <definedName name="SHARED_FORMULA_15">#N/A</definedName>
    <definedName name="SHARED_FORMULA_16">#N/A</definedName>
    <definedName name="SHARED_FORMULA_17">#N/A</definedName>
    <definedName name="SHARED_FORMULA_18">#N/A</definedName>
    <definedName name="SHARED_FORMULA_19">#N/A</definedName>
    <definedName name="SHARED_FORMULA_2">#N/A</definedName>
    <definedName name="SHARED_FORMULA_20">#N/A</definedName>
    <definedName name="SHARED_FORMULA_21">#N/A</definedName>
    <definedName name="SHARED_FORMULA_22">#N/A</definedName>
    <definedName name="SHARED_FORMULA_23">#N/A</definedName>
    <definedName name="SHARED_FORMULA_24">#N/A</definedName>
    <definedName name="SHARED_FORMULA_25">#N/A</definedName>
    <definedName name="SHARED_FORMULA_26">#N/A</definedName>
    <definedName name="SHARED_FORMULA_27">#N/A</definedName>
    <definedName name="SHARED_FORMULA_28">#N/A</definedName>
    <definedName name="SHARED_FORMULA_29">#N/A</definedName>
    <definedName name="SHARED_FORMULA_3">#N/A</definedName>
    <definedName name="SHARED_FORMULA_30">#N/A</definedName>
    <definedName name="SHARED_FORMULA_31">#N/A</definedName>
    <definedName name="SHARED_FORMULA_32">#N/A</definedName>
    <definedName name="SHARED_FORMULA_33">#N/A</definedName>
    <definedName name="SHARED_FORMULA_34">#N/A</definedName>
    <definedName name="SHARED_FORMULA_35">#N/A</definedName>
    <definedName name="SHARED_FORMULA_36">#N/A</definedName>
    <definedName name="SHARED_FORMULA_37">#N/A</definedName>
    <definedName name="SHARED_FORMULA_38">#N/A</definedName>
    <definedName name="SHARED_FORMULA_39">#N/A</definedName>
    <definedName name="SHARED_FORMULA_4">#N/A</definedName>
    <definedName name="SHARED_FORMULA_40">#N/A</definedName>
    <definedName name="SHARED_FORMULA_41">#N/A</definedName>
    <definedName name="SHARED_FORMULA_42">#N/A</definedName>
    <definedName name="SHARED_FORMULA_43">#N/A</definedName>
    <definedName name="SHARED_FORMULA_44">#N/A</definedName>
    <definedName name="SHARED_FORMULA_45">#N/A</definedName>
    <definedName name="SHARED_FORMULA_46">#N/A</definedName>
    <definedName name="SHARED_FORMULA_47">#N/A</definedName>
    <definedName name="SHARED_FORMULA_48">#N/A</definedName>
    <definedName name="SHARED_FORMULA_49">#N/A</definedName>
    <definedName name="SHARED_FORMULA_5">#N/A</definedName>
    <definedName name="SHARED_FORMULA_50">#N/A</definedName>
    <definedName name="SHARED_FORMULA_51">#N/A</definedName>
    <definedName name="SHARED_FORMULA_52">#N/A</definedName>
    <definedName name="SHARED_FORMULA_53">#N/A</definedName>
    <definedName name="SHARED_FORMULA_54">#N/A</definedName>
    <definedName name="SHARED_FORMULA_55">#N/A</definedName>
    <definedName name="SHARED_FORMULA_56">#N/A</definedName>
    <definedName name="SHARED_FORMULA_57">#N/A</definedName>
    <definedName name="SHARED_FORMULA_58">#N/A</definedName>
    <definedName name="SHARED_FORMULA_59">#N/A</definedName>
    <definedName name="SHARED_FORMULA_6">#N/A</definedName>
    <definedName name="SHARED_FORMULA_60">#N/A</definedName>
    <definedName name="SHARED_FORMULA_61">#N/A</definedName>
    <definedName name="SHARED_FORMULA_62">#N/A</definedName>
    <definedName name="SHARED_FORMULA_63">#N/A</definedName>
    <definedName name="SHARED_FORMULA_64">#N/A</definedName>
    <definedName name="SHARED_FORMULA_65">#N/A</definedName>
    <definedName name="SHARED_FORMULA_66">#N/A</definedName>
    <definedName name="SHARED_FORMULA_67">#N/A</definedName>
    <definedName name="SHARED_FORMULA_68">#N/A</definedName>
    <definedName name="SHARED_FORMULA_69">#N/A</definedName>
    <definedName name="SHARED_FORMULA_7">#N/A</definedName>
    <definedName name="SHARED_FORMULA_70">#N/A</definedName>
    <definedName name="SHARED_FORMULA_71">#N/A</definedName>
    <definedName name="SHARED_FORMULA_72">#N/A</definedName>
    <definedName name="SHARED_FORMULA_73">#N/A</definedName>
    <definedName name="SHARED_FORMULA_74">#N/A</definedName>
    <definedName name="SHARED_FORMULA_75">#N/A</definedName>
    <definedName name="SHARED_FORMULA_76">#N/A</definedName>
    <definedName name="SHARED_FORMULA_77">#N/A</definedName>
    <definedName name="SHARED_FORMULA_78">#N/A</definedName>
    <definedName name="SHARED_FORMULA_79">#N/A</definedName>
    <definedName name="SHARED_FORMULA_8">#N/A</definedName>
    <definedName name="SHARED_FORMULA_80">#N/A</definedName>
    <definedName name="SHARED_FORMULA_81">#N/A</definedName>
    <definedName name="SHARED_FORMULA_82">#N/A</definedName>
    <definedName name="SHARED_FORMULA_83">#N/A</definedName>
    <definedName name="SHARED_FORMULA_84">#N/A</definedName>
    <definedName name="SHARED_FORMULA_85">#N/A</definedName>
    <definedName name="SHARED_FORMULA_86">#N/A</definedName>
    <definedName name="SHARED_FORMULA_87">#N/A</definedName>
    <definedName name="SHARED_FORMULA_88">#N/A</definedName>
    <definedName name="SHARED_FORMULA_89">#N/A</definedName>
    <definedName name="SHARED_FORMULA_9">#N/A</definedName>
    <definedName name="SHARED_FORMULA_90">#N/A</definedName>
    <definedName name="SHARED_FORMULA_91">#N/A</definedName>
    <definedName name="SHARED_FORMULA_92">#N/A</definedName>
    <definedName name="SHARED_FORMULA_93">#N/A</definedName>
    <definedName name="SHARED_FORMULA_94">#N/A</definedName>
    <definedName name="SHARED_FORMULA_95">#N/A</definedName>
    <definedName name="SHARED_FORMULA_96">#N/A</definedName>
    <definedName name="SHARED_FORMULA_97">#N/A</definedName>
    <definedName name="SHARED_FORMULA_98">#N/A</definedName>
    <definedName name="SHARED_FORMULA_99">#N/A</definedName>
    <definedName name="sil" localSheetId="0">#REF!</definedName>
    <definedName name="sil">#REF!</definedName>
    <definedName name="Sin_nombre" localSheetId="0">#REF!</definedName>
    <definedName name="Sin_nombre">#REF!</definedName>
    <definedName name="Sin_nombre_3">#REF!</definedName>
    <definedName name="Tax_Rate">#REF!</definedName>
    <definedName name="TEST1">#REF!</definedName>
    <definedName name="TESTHKEY">#REF!</definedName>
    <definedName name="TESTKEYS">#REF!</definedName>
    <definedName name="TESTVKEY">#REF!</definedName>
    <definedName name="TextRefCopy1">'[13]Costo+Reexp'!#REF!</definedName>
    <definedName name="TextRefCopy1_15">#REF!</definedName>
    <definedName name="TextRefCopy1_16">#REF!</definedName>
    <definedName name="TextRefCopy1_2">#REF!</definedName>
    <definedName name="TextRefCopy1_3">#REF!</definedName>
    <definedName name="TextRefCopy10">#REF!</definedName>
    <definedName name="TextRefCopy10_15">#REF!</definedName>
    <definedName name="TextRefCopy10_16">#REF!</definedName>
    <definedName name="TextRefCopy10_2">#REF!</definedName>
    <definedName name="TextRefCopy10_3">#REF!</definedName>
    <definedName name="TextRefCopy11">#REF!</definedName>
    <definedName name="TextRefCopy11_15">#REF!</definedName>
    <definedName name="TextRefCopy11_16">#REF!</definedName>
    <definedName name="TextRefCopy11_2">#REF!</definedName>
    <definedName name="TextRefCopy11_3">#REF!</definedName>
    <definedName name="TextRefCopy12">#REF!</definedName>
    <definedName name="TextRefCopy12_15">#REF!</definedName>
    <definedName name="TextRefCopy12_16">#REF!</definedName>
    <definedName name="TextRefCopy12_2">#REF!</definedName>
    <definedName name="TextRefCopy12_3">#REF!</definedName>
    <definedName name="TextRefCopy13">#REF!</definedName>
    <definedName name="TextRefCopy13_15">#REF!</definedName>
    <definedName name="TextRefCopy13_16">#REF!</definedName>
    <definedName name="TextRefCopy13_2">#REF!</definedName>
    <definedName name="TextRefCopy13_3">#REF!</definedName>
    <definedName name="TextRefCopy14">#REF!</definedName>
    <definedName name="TextRefCopy15">'[17]Anexo 4'!#REF!</definedName>
    <definedName name="TextRefCopy15_15">#REF!</definedName>
    <definedName name="TextRefCopy15_16">#REF!</definedName>
    <definedName name="TextRefCopy15_2">#REF!</definedName>
    <definedName name="TextRefCopy15_3">#REF!</definedName>
    <definedName name="TextRefCopy16">'[13]Costo+Reexp'!#REF!</definedName>
    <definedName name="TextRefCopy17">'[13]Costo+Reexp'!#REF!</definedName>
    <definedName name="TextRefCopy18">'[13]Costo+Reexp'!#REF!</definedName>
    <definedName name="TextRefCopy2">'[13]Costo+Reexp'!#REF!</definedName>
    <definedName name="TextRefCopy2_15">#REF!</definedName>
    <definedName name="TextRefCopy2_16">#REF!</definedName>
    <definedName name="TextRefCopy2_2">#REF!</definedName>
    <definedName name="TextRefCopy2_3">#REF!</definedName>
    <definedName name="TextRefCopy20">'[13]Costo+Reexp'!#REF!</definedName>
    <definedName name="TextRefCopy21">'[13]Costo+Reexp'!#REF!</definedName>
    <definedName name="TextRefCopy22">'[13]Costo+Reexp'!#REF!</definedName>
    <definedName name="TextRefCopy24">#REF!</definedName>
    <definedName name="TextRefCopy25">#REF!</definedName>
    <definedName name="TextRefCopy28">#REF!</definedName>
    <definedName name="TextRefCopy29">#REF!</definedName>
    <definedName name="TextRefCopy3">'[13]Costo+Reexp'!#REF!</definedName>
    <definedName name="TextRefCopy3_15">#REF!</definedName>
    <definedName name="TextRefCopy3_16">#REF!</definedName>
    <definedName name="TextRefCopy3_2">#REF!</definedName>
    <definedName name="TextRefCopy3_3">#REF!</definedName>
    <definedName name="TextRefCopy30">#REF!</definedName>
    <definedName name="TextRefCopy31">#REF!</definedName>
    <definedName name="TextRefCopy32">'[18]Nota a los Estados Financieros'!#REF!</definedName>
    <definedName name="TextRefCopy34">#REF!</definedName>
    <definedName name="TextRefCopy39">#REF!</definedName>
    <definedName name="TextRefCopy4">'[13]Costo+Reexp'!#REF!</definedName>
    <definedName name="TextRefCopy4_15">#REF!</definedName>
    <definedName name="TextRefCopy4_16">#REF!</definedName>
    <definedName name="TextRefCopy4_2">#REF!</definedName>
    <definedName name="TextRefCopy4_3">#REF!</definedName>
    <definedName name="TextRefCopy42">#REF!</definedName>
    <definedName name="TextRefCopy43">[19]Detalle!$G$2</definedName>
    <definedName name="TextRefCopy44">'[20]Cálculo S. I.'!$U$55</definedName>
    <definedName name="TextRefCopy44_15">#REF!</definedName>
    <definedName name="TextRefCopy44_16">#REF!</definedName>
    <definedName name="TextRefCopy44_2">#REF!</definedName>
    <definedName name="TextRefCopy44_23">#REF!</definedName>
    <definedName name="TextRefCopy44_3">#REF!</definedName>
    <definedName name="TextRefCopy45">'[17]Anexo 4'!#REF!</definedName>
    <definedName name="TextRefCopy47">#REF!</definedName>
    <definedName name="TextRefCopy49">'[17]Anexo 4'!#REF!</definedName>
    <definedName name="TextRefCopy5">#REF!</definedName>
    <definedName name="TextRefCopy50">'[18]Deprec. {PPC}'!#REF!</definedName>
    <definedName name="TextRefCopy51">#REF!</definedName>
    <definedName name="TextRefCopy52">'[18]Deprec. {PPC}'!#REF!</definedName>
    <definedName name="TextRefCopy53">'[18]Deprec. {PPC}'!#REF!</definedName>
    <definedName name="TextRefCopy6">#REF!</definedName>
    <definedName name="TextRefCopy6_15">#REF!</definedName>
    <definedName name="TextRefCopy6_16">#REF!</definedName>
    <definedName name="TextRefCopy6_2">#REF!</definedName>
    <definedName name="TextRefCopy6_3">#REF!</definedName>
    <definedName name="TextRefCopy69">#REF!</definedName>
    <definedName name="TextRefCopy7">'[17]Anexo 4'!#REF!</definedName>
    <definedName name="TextRefCopy7_15">#REF!</definedName>
    <definedName name="TextRefCopy7_16">#REF!</definedName>
    <definedName name="TextRefCopy7_2">#REF!</definedName>
    <definedName name="TextRefCopy7_3">#REF!</definedName>
    <definedName name="TextRefCopy73">#REF!</definedName>
    <definedName name="TextRefCopy74">#REF!</definedName>
    <definedName name="TextRefCopy75">#REF!</definedName>
    <definedName name="TextRefCopy76">#REF!</definedName>
    <definedName name="TextRefCopy77">#REF!</definedName>
    <definedName name="TextRefCopy8">'[17]Anexo 4'!#REF!</definedName>
    <definedName name="TextRefCopy8_15">#REF!</definedName>
    <definedName name="TextRefCopy8_16">#REF!</definedName>
    <definedName name="TextRefCopy8_2">#REF!</definedName>
    <definedName name="TextRefCopy8_3">#REF!</definedName>
    <definedName name="TextRefCopy9">#REF!</definedName>
    <definedName name="TextRefCopy9_15">#REF!</definedName>
    <definedName name="TextRefCopy9_16">#REF!</definedName>
    <definedName name="TextRefCopy9_2">#REF!</definedName>
    <definedName name="TextRefCopy9_3">#REF!</definedName>
    <definedName name="TextRefCopyRangeCount" hidden="1">6</definedName>
    <definedName name="tg" localSheetId="0">DATE(YEAR('10.04'!Loan_Start),MONTH('10.04'!Loan_Start)+Payment_Number,DAY('10.04'!Loan_Start))</definedName>
    <definedName name="tg">DATE(YEAR(Loan_Start),MONTH(Loan_Start)+Payment_Number,DAY(Loan_Start))</definedName>
    <definedName name="th" localSheetId="0">DATE(YEAR('10.04'!Loan_Start),MONTH('10.04'!Loan_Start)+Payment_Number,DAY('10.04'!Loan_Start))</definedName>
    <definedName name="th">DATE(YEAR(Loan_Start),MONTH(Loan_Start)+Payment_Number,DAY(Loan_Start))</definedName>
    <definedName name="TIPO" localSheetId="0">#REF!</definedName>
    <definedName name="TIPO">#REF!</definedName>
    <definedName name="_xlnm.Print_Titles">#N/A</definedName>
    <definedName name="TN" localSheetId="0">DATE(YEAR('10.04'!Loan_Start),MONTH('10.04'!Loan_Start)+Payment_Number,DAY('10.04'!Loan_Start))</definedName>
    <definedName name="TN">DATE(YEAR(Loan_Start),MONTH(Loan_Start)+Payment_Number,DAY(Loan_Start))</definedName>
    <definedName name="Total_Amount" localSheetId="0">#REF!</definedName>
    <definedName name="Total_Amount">#REF!</definedName>
    <definedName name="Total_Interest" localSheetId="0">#REF!</definedName>
    <definedName name="Total_Interest">#REF!</definedName>
    <definedName name="Total_Pay" localSheetId="0">#REF!</definedName>
    <definedName name="Total_Pay">#REF!</definedName>
    <definedName name="Total_Payment" localSheetId="0">Scheduled_Payment+Extra_Payment</definedName>
    <definedName name="Total_Payment">Scheduled_Payment+Extra_Payment</definedName>
    <definedName name="Values_Entered" localSheetId="0">IF('10.04'!Loan_Amount*Interest_Rate*'10.04'!Loan_Years*'10.04'!Loan_Start&gt;0,1,0)</definedName>
    <definedName name="Values_Entered">IF(Loan_Amount*Interest_Rate*Loan_Years*Loan_Start&gt;0,1,0)</definedName>
    <definedName name="VC" localSheetId="0">#REF!</definedName>
    <definedName name="VC">#REF!</definedName>
    <definedName name="verito" hidden="1">2</definedName>
    <definedName name="vero" hidden="1">2</definedName>
    <definedName name="VM" localSheetId="0">#REF!</definedName>
    <definedName name="VM">#REF!</definedName>
    <definedName name="W">[1]Datos!$A$6:$C$17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WW">#REF!</definedName>
    <definedName name="XREF_COLUMN_11" hidden="1">#REF!</definedName>
    <definedName name="XREF_COLUMN_13" hidden="1">#REF!</definedName>
    <definedName name="XREF_COLUMN_14" hidden="1">#REF!</definedName>
    <definedName name="XREF_COLUMN_16" hidden="1">'[21]Análisis IVA'!#REF!</definedName>
    <definedName name="XREF_COLUMN_17" hidden="1">'[21]Análisis IVA'!#REF!</definedName>
    <definedName name="XREF_COLUMN_18" hidden="1">'[21]Análisis IVA'!#REF!</definedName>
    <definedName name="XREF_COLUMN_19" hidden="1">#REF!</definedName>
    <definedName name="XREF_COLUMN_21" hidden="1">#REF!</definedName>
    <definedName name="XREF_COLUMN_22" hidden="1">#REF!</definedName>
    <definedName name="XREF_COLUMN_28" hidden="1">[22]Detalle!#REF!</definedName>
    <definedName name="XREF_COLUMN_29" hidden="1">[22]Detalle!#REF!</definedName>
    <definedName name="XREF_COLUMN_3" hidden="1">'[23]Análisis Ret Fuente'!#REF!</definedName>
    <definedName name="XREF_COLUMN_9" hidden="1">'[24]Varios dólares'!#REF!</definedName>
    <definedName name="XRefActiveRow" hidden="1">#REF!</definedName>
    <definedName name="XRefColumnsCount" hidden="1">18</definedName>
    <definedName name="XRefCopy1Row" hidden="1">[21]XREF!#REF!</definedName>
    <definedName name="XRefCopy35Row" hidden="1">#REF!</definedName>
    <definedName name="XRefCopy36Row" hidden="1">#REF!</definedName>
    <definedName name="XRefCopy37Row" hidden="1">#REF!</definedName>
    <definedName name="XRefCopy38Row" hidden="1">#REF!</definedName>
    <definedName name="XRefCopy39Row" hidden="1">#REF!</definedName>
    <definedName name="XRefCopy3Row" hidden="1">[25]XREF!#REF!</definedName>
    <definedName name="XRefCopy43Row" hidden="1">#REF!</definedName>
    <definedName name="XRefCopy4Row" hidden="1">#REF!</definedName>
    <definedName name="XRefCopy5" hidden="1">#REF!</definedName>
    <definedName name="XRefCopyRangeCount" hidden="1">1</definedName>
    <definedName name="XRefPaste10Row" hidden="1">[21]XREF!#REF!</definedName>
    <definedName name="XRefPaste11Row" hidden="1">[21]XREF!#REF!</definedName>
    <definedName name="XRefPaste14" hidden="1">#REF!</definedName>
    <definedName name="XRefPaste14Row" hidden="1">#REF!</definedName>
    <definedName name="XRefPaste16" hidden="1">#REF!</definedName>
    <definedName name="XRefPaste17" hidden="1">#REF!</definedName>
    <definedName name="XRefPaste18" hidden="1">#REF!</definedName>
    <definedName name="XRefPaste19" hidden="1">#REF!</definedName>
    <definedName name="XRefPaste1Row" hidden="1">#REF!</definedName>
    <definedName name="XRefPaste20" hidden="1">#REF!</definedName>
    <definedName name="XRefPaste21" hidden="1">#REF!</definedName>
    <definedName name="XRefPaste22" hidden="1">#REF!</definedName>
    <definedName name="XRefPaste22Row" hidden="1">#REF!</definedName>
    <definedName name="XRefPaste28" hidden="1">#REF!</definedName>
    <definedName name="XRefPaste29" hidden="1">#REF!</definedName>
    <definedName name="XRefPaste3" hidden="1">#REF!</definedName>
    <definedName name="XRefPaste31" hidden="1">#REF!</definedName>
    <definedName name="XRefPaste32" hidden="1">#REF!</definedName>
    <definedName name="XRefPaste33" hidden="1">#REF!</definedName>
    <definedName name="XRefPaste34" hidden="1">#REF!</definedName>
    <definedName name="XRefPaste35" hidden="1">#REF!</definedName>
    <definedName name="XRefPaste36" hidden="1">#REF!</definedName>
    <definedName name="XRefPaste37" hidden="1">#REF!</definedName>
    <definedName name="XRefPaste38" hidden="1">#REF!</definedName>
    <definedName name="XRefPaste39" hidden="1">#REF!</definedName>
    <definedName name="XRefPaste3Row" hidden="1">#REF!</definedName>
    <definedName name="XRefPaste4Row" hidden="1">[21]XREF!#REF!</definedName>
    <definedName name="XRefPaste9Row" hidden="1">[21]XREF!#REF!</definedName>
    <definedName name="XRefPasteRangeCount" hidden="1">22</definedName>
    <definedName name="XXX" localSheetId="0">OFFSET(Full_Print,0,0,'10.04'!Last_Row)</definedName>
    <definedName name="XXX">OFFSET(Full_Print,0,0,Last_Row)</definedName>
    <definedName name="Z">[26]A!$1:$14</definedName>
    <definedName name="ZZ">#REF!</definedName>
  </definedNames>
  <calcPr calcId="191029"/>
  <pivotCaches>
    <pivotCache cacheId="38" r:id="rId2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8" i="2" l="1"/>
  <c r="G100" i="2"/>
  <c r="E88" i="2"/>
  <c r="G104" i="2"/>
  <c r="G106" i="2"/>
  <c r="G105" i="2"/>
  <c r="G103" i="2"/>
  <c r="G102" i="2"/>
  <c r="G101" i="2"/>
  <c r="E86" i="2" l="1"/>
  <c r="L37" i="2" l="1"/>
  <c r="N37" i="2"/>
  <c r="P37" i="2" s="1"/>
  <c r="O37" i="2" s="1"/>
  <c r="Q37" i="2"/>
  <c r="Q53" i="2" s="1"/>
  <c r="N51" i="2"/>
  <c r="P51" i="2" s="1"/>
  <c r="O51" i="2" s="1"/>
  <c r="N50" i="2"/>
  <c r="P50" i="2" s="1"/>
  <c r="O50" i="2" s="1"/>
  <c r="N49" i="2"/>
  <c r="Q49" i="2" s="1"/>
  <c r="N48" i="2"/>
  <c r="P48" i="2" s="1"/>
  <c r="O48" i="2" s="1"/>
  <c r="N47" i="2"/>
  <c r="P47" i="2" s="1"/>
  <c r="O47" i="2" s="1"/>
  <c r="N46" i="2"/>
  <c r="P46" i="2" s="1"/>
  <c r="O46" i="2" s="1"/>
  <c r="N45" i="2"/>
  <c r="P45" i="2" s="1"/>
  <c r="O45" i="2" s="1"/>
  <c r="N44" i="2"/>
  <c r="P44" i="2" s="1"/>
  <c r="O44" i="2" s="1"/>
  <c r="N43" i="2"/>
  <c r="P43" i="2" s="1"/>
  <c r="O43" i="2" s="1"/>
  <c r="N42" i="2"/>
  <c r="Q42" i="2" s="1"/>
  <c r="N41" i="2"/>
  <c r="Q41" i="2" s="1"/>
  <c r="N40" i="2"/>
  <c r="P40" i="2" s="1"/>
  <c r="O40" i="2" s="1"/>
  <c r="N39" i="2"/>
  <c r="P39" i="2" s="1"/>
  <c r="O39" i="2" s="1"/>
  <c r="N38" i="2"/>
  <c r="Q38" i="2" s="1"/>
  <c r="J53" i="2"/>
  <c r="I53" i="2"/>
  <c r="H53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E75" i="2" l="1"/>
  <c r="F75" i="2" s="1"/>
  <c r="D74" i="2"/>
  <c r="F74" i="2" s="1"/>
  <c r="E74" i="2"/>
  <c r="Q46" i="2"/>
  <c r="Q50" i="2"/>
  <c r="P49" i="2"/>
  <c r="O49" i="2" s="1"/>
  <c r="Q44" i="2"/>
  <c r="Q45" i="2"/>
  <c r="P53" i="2"/>
  <c r="Q48" i="2"/>
  <c r="P38" i="2"/>
  <c r="O38" i="2" s="1"/>
  <c r="P41" i="2"/>
  <c r="O41" i="2" s="1"/>
  <c r="L53" i="2"/>
  <c r="Q40" i="2"/>
  <c r="P42" i="2"/>
  <c r="O42" i="2" s="1"/>
  <c r="Q39" i="2"/>
  <c r="Q43" i="2"/>
  <c r="Q47" i="2"/>
  <c r="Q51" i="2"/>
  <c r="F77" i="2" l="1"/>
  <c r="O53" i="2"/>
  <c r="E89" i="2" s="1"/>
</calcChain>
</file>

<file path=xl/sharedStrings.xml><?xml version="1.0" encoding="utf-8"?>
<sst xmlns="http://schemas.openxmlformats.org/spreadsheetml/2006/main" count="117" uniqueCount="91">
  <si>
    <t>Conclusión:</t>
  </si>
  <si>
    <t>Cálculos realizados por auditoria</t>
  </si>
  <si>
    <t>Diferencia</t>
  </si>
  <si>
    <t>Costo</t>
  </si>
  <si>
    <t xml:space="preserve"> </t>
  </si>
  <si>
    <t>Desarrollo:</t>
  </si>
  <si>
    <t>Procedimientos:</t>
  </si>
  <si>
    <t>Objetivo:</t>
  </si>
  <si>
    <t>Preparado por:</t>
  </si>
  <si>
    <t>COMPAÑÍA MODELO S.A.</t>
  </si>
  <si>
    <t>Base de decisión: Materialidad</t>
  </si>
  <si>
    <t>AL 31 DE DICIEMBRE DE 20XX</t>
  </si>
  <si>
    <t>Revisado por:</t>
  </si>
  <si>
    <t>Ref.</t>
  </si>
  <si>
    <t>XX</t>
  </si>
  <si>
    <t>General</t>
  </si>
  <si>
    <t>XXX.XXX</t>
  </si>
  <si>
    <t>Desempeño</t>
  </si>
  <si>
    <t>Errores Triviales</t>
  </si>
  <si>
    <t>Marcas de auditoría:</t>
  </si>
  <si>
    <t>p/t 1600</t>
  </si>
  <si>
    <t xml:space="preserve">Sumatoria </t>
  </si>
  <si>
    <t>_/_/20XX</t>
  </si>
  <si>
    <t>Preliminar</t>
  </si>
  <si>
    <t>Final</t>
  </si>
  <si>
    <t>Fecha de compra</t>
  </si>
  <si>
    <t>Amortización mensual</t>
  </si>
  <si>
    <t>Amortización acumulada</t>
  </si>
  <si>
    <t>Código cuenta contable</t>
  </si>
  <si>
    <t>Nombre Cuenta Contable</t>
  </si>
  <si>
    <t>Saldo según EEFF al _/_/20xx</t>
  </si>
  <si>
    <t>Saldo según detalle</t>
  </si>
  <si>
    <t>Saldo según recálculo</t>
  </si>
  <si>
    <t>FECHA DE CORTE: _/_/20XX</t>
  </si>
  <si>
    <t>1.-</t>
  </si>
  <si>
    <t>Solicitar a la Compañía los estados financieros al _/_/20XX.</t>
  </si>
  <si>
    <t>2.-</t>
  </si>
  <si>
    <t>3.-</t>
  </si>
  <si>
    <t>4.-</t>
  </si>
  <si>
    <t>Conciliar los saldos del detalle y del recálculo con estados financieros.</t>
  </si>
  <si>
    <t>5.-</t>
  </si>
  <si>
    <t>Documentar el papel de trabajo y concluir en base al objetivo.</t>
  </si>
  <si>
    <t>Cumplimiento de la política contable</t>
  </si>
  <si>
    <t>Nombre cuenta contable</t>
  </si>
  <si>
    <t>Grupo</t>
  </si>
  <si>
    <t>Años de vida útil</t>
  </si>
  <si>
    <t>c</t>
  </si>
  <si>
    <t>u</t>
  </si>
  <si>
    <t>Gasto del período</t>
  </si>
  <si>
    <t>Vida útil asignada</t>
  </si>
  <si>
    <t>Cumple con lo establecido en la política contable</t>
  </si>
  <si>
    <t>Comentarios</t>
  </si>
  <si>
    <t xml:space="preserve"> Costo</t>
  </si>
  <si>
    <t>Total general</t>
  </si>
  <si>
    <t>Cruce con estado financieros</t>
  </si>
  <si>
    <t>Información proporcionada por el cliente</t>
  </si>
  <si>
    <t>A</t>
  </si>
  <si>
    <t>B</t>
  </si>
  <si>
    <t>C</t>
  </si>
  <si>
    <t>Notas aclaratorias:</t>
  </si>
  <si>
    <t>a)</t>
  </si>
  <si>
    <t>b)</t>
  </si>
  <si>
    <t>c)</t>
  </si>
  <si>
    <t>Observaciones:</t>
  </si>
  <si>
    <t>Obs.1</t>
  </si>
  <si>
    <t>Obs.2</t>
  </si>
  <si>
    <t>Obs.3</t>
  </si>
  <si>
    <t>RECÁLCULO AMORTIZACIÓN DE ACTIVOS INTANGIBLES</t>
  </si>
  <si>
    <t>Verificar la valuación de la cuenta de activos intangibles efectuada por la Compañía al _/_/20XX</t>
  </si>
  <si>
    <t>Solicitar a la Compañía el detalle de los activos intangibles al _/_/20XX.</t>
  </si>
  <si>
    <t>Descripción del activo intangible</t>
  </si>
  <si>
    <t>Activos totalmente amortizados</t>
  </si>
  <si>
    <t>Amortización anual</t>
  </si>
  <si>
    <t xml:space="preserve">  Amortización acumulada</t>
  </si>
  <si>
    <t>2) Recálculo gasto amortización vs estado de resultados</t>
  </si>
  <si>
    <t>Realizar una tabla dinámica, con el código de la cuenta contable, nombre de la cuenta, grupo y el recálculo de la amortización acumulada para conciliar con Estados Financieros</t>
  </si>
  <si>
    <t>10.04</t>
  </si>
  <si>
    <t>***Si no cumple con la política contable conversar con los responsables y dejar el respectivo comentario</t>
  </si>
  <si>
    <t>SI</t>
  </si>
  <si>
    <t>NO</t>
  </si>
  <si>
    <t>p/t 10</t>
  </si>
  <si>
    <t>3) Recálculo amortización acumulada vs estado de situación financiera</t>
  </si>
  <si>
    <t>*** (Concluir en función al objetivo)</t>
  </si>
  <si>
    <t>Realizar el recálculo de la amortización acumulada y mensual.</t>
  </si>
  <si>
    <t>Verificaciones:</t>
  </si>
  <si>
    <t>(en blanco)</t>
  </si>
  <si>
    <t xml:space="preserve">  Grupo</t>
  </si>
  <si>
    <t xml:space="preserve">  Activos totalmente amortizados</t>
  </si>
  <si>
    <t>1) Cruce detalle costo y amortización acumulada vs estado de situación financiera</t>
  </si>
  <si>
    <t>[1]</t>
  </si>
  <si>
    <t>Resumen anexo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</si>
</sst>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 * #,##0.00_ ;_ * \-#,##0.00_ ;_ * &quot;-&quot;??_ ;_ @_ "/>
    <numFmt numFmtId="164" formatCode="_(* #,##0_);_(* \(#,##0\);_(* &quot;-&quot;??_);_(@_)"/>
    <numFmt numFmtId="165" formatCode="_(* #,##0.00_);_(* \(#,##0.00\);_(* &quot;-&quot;??_);_(@_)"/>
    <numFmt numFmtId="166" formatCode="_-* #.##000\ _€_-;[Red]\-* #.##000\ _€_-;_-* &quot;-&quot;??\ _€_-;_-@_-"/>
    <numFmt numFmtId="167" formatCode="_(* #,##0_);_(* \(#,##0\);_(* &quot;-&quot;_);_(@_)"/>
    <numFmt numFmtId="168" formatCode="_-* #,##0.00\ _D_M_-;\-* #,##0.00\ _D_M_-;_-* &quot;-&quot;??\ _D_M_-;_-@_-"/>
    <numFmt numFmtId="169" formatCode="_(* #,##0.00_);_(* \(#,##0.00\);_(* &quot;-&quot;_);_(@_)"/>
    <numFmt numFmtId="170" formatCode="_-* #,##0.00\ _€_-;\-* #,##0.00\ _€_-;_-* &quot;-&quot;??\ _€_-;_-@_-"/>
    <numFmt numFmtId="171" formatCode="d\-mmm\-yyyy"/>
    <numFmt numFmtId="172" formatCode="[$-1540A]dd\-mmm\-yy;@"/>
    <numFmt numFmtId="173" formatCode="_(* #,##0.0_);_(* \(#,##0.0\);_(* &quot;-&quot;??_);_(@_)"/>
  </numFmts>
  <fonts count="23" x14ac:knownFonts="1"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0"/>
      <color rgb="FFFF0000"/>
      <name val="Tahoma"/>
      <family val="2"/>
    </font>
    <font>
      <b/>
      <sz val="10"/>
      <color theme="1"/>
      <name val="Tahoma"/>
      <family val="2"/>
    </font>
    <font>
      <sz val="11"/>
      <color indexed="8"/>
      <name val="Calibri"/>
      <family val="2"/>
    </font>
    <font>
      <b/>
      <sz val="10"/>
      <color rgb="FFFF0000"/>
      <name val="Tahoma"/>
      <family val="2"/>
    </font>
    <font>
      <b/>
      <sz val="10"/>
      <color rgb="FF0000FF"/>
      <name val="Tahoma"/>
      <family val="2"/>
    </font>
    <font>
      <sz val="10"/>
      <color indexed="8"/>
      <name val="Tahoma"/>
      <family val="2"/>
    </font>
    <font>
      <b/>
      <sz val="10"/>
      <color rgb="FFFF0000"/>
      <name val="Webdings"/>
      <family val="1"/>
      <charset val="2"/>
    </font>
    <font>
      <sz val="10"/>
      <name val="Webdings"/>
      <family val="1"/>
      <charset val="2"/>
    </font>
    <font>
      <b/>
      <sz val="10"/>
      <color rgb="FF002060"/>
      <name val="Tahoma"/>
      <family val="2"/>
    </font>
    <font>
      <b/>
      <sz val="10"/>
      <name val="Tahoma"/>
      <family val="2"/>
    </font>
    <font>
      <sz val="10"/>
      <color theme="1"/>
      <name val="Arial"/>
      <family val="2"/>
    </font>
    <font>
      <sz val="10"/>
      <color theme="0"/>
      <name val="Tahoma"/>
      <family val="2"/>
    </font>
    <font>
      <b/>
      <u/>
      <sz val="10"/>
      <color rgb="FF0000FF"/>
      <name val="Tahoma"/>
      <family val="2"/>
    </font>
    <font>
      <b/>
      <sz val="10"/>
      <color theme="3"/>
      <name val="Tahoma"/>
      <family val="2"/>
    </font>
    <font>
      <sz val="10"/>
      <color rgb="FF002060"/>
      <name val="Tahoma"/>
      <family val="2"/>
    </font>
    <font>
      <b/>
      <sz val="10"/>
      <color theme="0"/>
      <name val="Tahoma"/>
      <family val="2"/>
    </font>
    <font>
      <sz val="9"/>
      <color rgb="FFFF0000"/>
      <name val="Tahoma"/>
      <family val="2"/>
    </font>
    <font>
      <b/>
      <u/>
      <sz val="10"/>
      <color rgb="FF00206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theme="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8" tint="-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/>
    <xf numFmtId="0" fontId="3" fillId="0" borderId="0"/>
    <xf numFmtId="165" fontId="2" fillId="0" borderId="0" applyFont="0" applyFill="0" applyBorder="0" applyAlignment="0" applyProtection="0"/>
    <xf numFmtId="0" fontId="2" fillId="0" borderId="0"/>
    <xf numFmtId="0" fontId="7" fillId="0" borderId="0"/>
    <xf numFmtId="168" fontId="3" fillId="0" borderId="0" applyFont="0" applyFill="0" applyBorder="0" applyAlignment="0" applyProtection="0"/>
    <xf numFmtId="0" fontId="3" fillId="0" borderId="0"/>
    <xf numFmtId="9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2" fillId="0" borderId="0"/>
    <xf numFmtId="170" fontId="2" fillId="0" borderId="0" applyFont="0" applyFill="0" applyBorder="0" applyAlignment="0" applyProtection="0"/>
    <xf numFmtId="165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7" fillId="0" borderId="0"/>
    <xf numFmtId="43" fontId="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</cellStyleXfs>
  <cellXfs count="172">
    <xf numFmtId="0" fontId="0" fillId="0" borderId="0" xfId="0"/>
    <xf numFmtId="0" fontId="4" fillId="0" borderId="0" xfId="3" applyFont="1"/>
    <xf numFmtId="0" fontId="4" fillId="2" borderId="0" xfId="3" applyFont="1" applyFill="1"/>
    <xf numFmtId="164" fontId="5" fillId="2" borderId="0" xfId="0" applyNumberFormat="1" applyFont="1" applyFill="1"/>
    <xf numFmtId="0" fontId="5" fillId="2" borderId="0" xfId="0" applyFont="1" applyFill="1" applyAlignment="1">
      <alignment horizontal="right"/>
    </xf>
    <xf numFmtId="1" fontId="4" fillId="2" borderId="0" xfId="4" applyNumberFormat="1" applyFont="1" applyFill="1" applyAlignment="1" applyProtection="1">
      <alignment horizontal="left"/>
      <protection hidden="1"/>
    </xf>
    <xf numFmtId="0" fontId="4" fillId="0" borderId="0" xfId="0" applyFont="1" applyAlignment="1">
      <alignment horizontal="left"/>
    </xf>
    <xf numFmtId="164" fontId="6" fillId="2" borderId="0" xfId="0" applyNumberFormat="1" applyFont="1" applyFill="1"/>
    <xf numFmtId="0" fontId="6" fillId="2" borderId="0" xfId="0" applyFont="1" applyFill="1"/>
    <xf numFmtId="167" fontId="8" fillId="2" borderId="0" xfId="7" quotePrefix="1" applyNumberFormat="1" applyFont="1" applyFill="1" applyAlignment="1">
      <alignment horizontal="right"/>
    </xf>
    <xf numFmtId="0" fontId="9" fillId="2" borderId="0" xfId="0" applyFont="1" applyFill="1"/>
    <xf numFmtId="0" fontId="8" fillId="0" borderId="0" xfId="3" applyFont="1" applyAlignment="1">
      <alignment horizontal="center"/>
    </xf>
    <xf numFmtId="167" fontId="11" fillId="2" borderId="0" xfId="7" applyNumberFormat="1" applyFont="1" applyFill="1" applyAlignment="1">
      <alignment horizontal="center"/>
    </xf>
    <xf numFmtId="0" fontId="12" fillId="0" borderId="0" xfId="3" applyFont="1"/>
    <xf numFmtId="167" fontId="8" fillId="0" borderId="0" xfId="8" applyNumberFormat="1" applyFont="1" applyFill="1" applyBorder="1" applyAlignment="1">
      <alignment horizontal="right"/>
    </xf>
    <xf numFmtId="0" fontId="4" fillId="0" borderId="0" xfId="9" applyFont="1"/>
    <xf numFmtId="9" fontId="4" fillId="0" borderId="0" xfId="2" applyFont="1" applyFill="1" applyBorder="1"/>
    <xf numFmtId="43" fontId="4" fillId="0" borderId="0" xfId="3" applyNumberFormat="1" applyFont="1"/>
    <xf numFmtId="167" fontId="8" fillId="2" borderId="0" xfId="7" applyNumberFormat="1" applyFont="1" applyFill="1" applyAlignment="1">
      <alignment horizontal="center"/>
    </xf>
    <xf numFmtId="169" fontId="4" fillId="2" borderId="0" xfId="9" applyNumberFormat="1" applyFont="1" applyFill="1"/>
    <xf numFmtId="43" fontId="4" fillId="2" borderId="0" xfId="3" applyNumberFormat="1" applyFont="1" applyFill="1"/>
    <xf numFmtId="43" fontId="4" fillId="0" borderId="0" xfId="1" applyFont="1"/>
    <xf numFmtId="165" fontId="4" fillId="2" borderId="0" xfId="12" applyFont="1" applyFill="1" applyBorder="1" applyAlignment="1">
      <alignment wrapText="1"/>
    </xf>
    <xf numFmtId="15" fontId="4" fillId="0" borderId="0" xfId="12" applyNumberFormat="1" applyFont="1" applyFill="1" applyBorder="1" applyAlignment="1">
      <alignment horizontal="center" wrapText="1"/>
    </xf>
    <xf numFmtId="1" fontId="4" fillId="2" borderId="0" xfId="12" applyNumberFormat="1" applyFont="1" applyFill="1" applyBorder="1" applyAlignment="1">
      <alignment horizontal="center" wrapText="1"/>
    </xf>
    <xf numFmtId="0" fontId="4" fillId="2" borderId="0" xfId="13" applyFont="1" applyFill="1" applyAlignment="1">
      <alignment horizontal="left"/>
    </xf>
    <xf numFmtId="49" fontId="4" fillId="2" borderId="0" xfId="15" applyNumberFormat="1" applyFont="1" applyFill="1" applyBorder="1" applyAlignment="1" applyProtection="1">
      <alignment horizontal="left"/>
      <protection hidden="1"/>
    </xf>
    <xf numFmtId="49" fontId="4" fillId="2" borderId="0" xfId="15" applyNumberFormat="1" applyFont="1" applyFill="1" applyBorder="1" applyAlignment="1" applyProtection="1">
      <alignment horizontal="center"/>
      <protection hidden="1"/>
    </xf>
    <xf numFmtId="167" fontId="5" fillId="0" borderId="0" xfId="9" applyNumberFormat="1" applyFont="1" applyAlignment="1">
      <alignment horizontal="left"/>
    </xf>
    <xf numFmtId="165" fontId="4" fillId="2" borderId="0" xfId="12" applyFont="1" applyFill="1" applyBorder="1" applyAlignment="1">
      <alignment horizontal="right" vertical="top" wrapText="1"/>
    </xf>
    <xf numFmtId="14" fontId="14" fillId="0" borderId="0" xfId="3" applyNumberFormat="1" applyFont="1" applyAlignment="1">
      <alignment horizontal="center"/>
    </xf>
    <xf numFmtId="0" fontId="14" fillId="0" borderId="0" xfId="17" applyFont="1"/>
    <xf numFmtId="0" fontId="4" fillId="0" borderId="0" xfId="17" applyFont="1"/>
    <xf numFmtId="0" fontId="10" fillId="3" borderId="0" xfId="3" applyFont="1" applyFill="1"/>
    <xf numFmtId="0" fontId="8" fillId="0" borderId="0" xfId="3" applyFont="1" applyAlignment="1">
      <alignment horizontal="center" vertical="center"/>
    </xf>
    <xf numFmtId="0" fontId="8" fillId="0" borderId="0" xfId="3" applyFont="1" applyAlignment="1">
      <alignment horizontal="left"/>
    </xf>
    <xf numFmtId="0" fontId="13" fillId="0" borderId="0" xfId="17" applyFont="1"/>
    <xf numFmtId="0" fontId="17" fillId="3" borderId="0" xfId="7" applyFont="1" applyFill="1"/>
    <xf numFmtId="0" fontId="16" fillId="0" borderId="0" xfId="3" applyFont="1"/>
    <xf numFmtId="0" fontId="1" fillId="0" borderId="0" xfId="0" applyFont="1"/>
    <xf numFmtId="0" fontId="17" fillId="0" borderId="0" xfId="0" applyFont="1"/>
    <xf numFmtId="0" fontId="13" fillId="2" borderId="0" xfId="0" applyFont="1" applyFill="1" applyAlignment="1">
      <alignment horizontal="left" vertical="top"/>
    </xf>
    <xf numFmtId="0" fontId="13" fillId="4" borderId="2" xfId="0" applyFont="1" applyFill="1" applyBorder="1" applyAlignment="1" applyProtection="1">
      <alignment horizontal="center" vertical="center"/>
      <protection hidden="1"/>
    </xf>
    <xf numFmtId="0" fontId="13" fillId="4" borderId="1" xfId="0" applyFont="1" applyFill="1" applyBorder="1" applyAlignment="1" applyProtection="1">
      <alignment horizontal="center" vertical="center"/>
      <protection hidden="1"/>
    </xf>
    <xf numFmtId="0" fontId="8" fillId="2" borderId="1" xfId="0" applyFont="1" applyFill="1" applyBorder="1" applyAlignment="1">
      <alignment horizontal="center" vertical="center" wrapText="1"/>
    </xf>
    <xf numFmtId="0" fontId="18" fillId="2" borderId="0" xfId="23" applyFont="1" applyFill="1" applyAlignment="1">
      <alignment vertical="center"/>
    </xf>
    <xf numFmtId="167" fontId="5" fillId="0" borderId="0" xfId="9" applyNumberFormat="1" applyFont="1" applyAlignment="1">
      <alignment horizontal="right"/>
    </xf>
    <xf numFmtId="0" fontId="1" fillId="2" borderId="0" xfId="0" applyFont="1" applyFill="1"/>
    <xf numFmtId="0" fontId="1" fillId="2" borderId="1" xfId="22" applyFont="1" applyFill="1" applyBorder="1" applyAlignment="1" applyProtection="1">
      <alignment horizontal="center" vertical="center"/>
      <protection hidden="1"/>
    </xf>
    <xf numFmtId="0" fontId="1" fillId="3" borderId="1" xfId="18" applyFont="1" applyFill="1" applyBorder="1" applyAlignment="1">
      <alignment horizontal="center" vertical="center" wrapText="1"/>
    </xf>
    <xf numFmtId="0" fontId="4" fillId="2" borderId="0" xfId="20" applyFont="1" applyFill="1" applyAlignment="1">
      <alignment horizontal="left"/>
    </xf>
    <xf numFmtId="0" fontId="4" fillId="4" borderId="1" xfId="0" applyFont="1" applyFill="1" applyBorder="1" applyAlignment="1">
      <alignment horizontal="center"/>
    </xf>
    <xf numFmtId="0" fontId="4" fillId="4" borderId="2" xfId="0" applyFont="1" applyFill="1" applyBorder="1"/>
    <xf numFmtId="0" fontId="4" fillId="0" borderId="1" xfId="22" applyFont="1" applyBorder="1" applyAlignment="1">
      <alignment horizontal="center"/>
    </xf>
    <xf numFmtId="0" fontId="13" fillId="4" borderId="4" xfId="7" applyFont="1" applyFill="1" applyBorder="1" applyAlignment="1">
      <alignment horizontal="center" vertical="center" wrapText="1"/>
    </xf>
    <xf numFmtId="9" fontId="13" fillId="4" borderId="1" xfId="16" applyFont="1" applyFill="1" applyBorder="1" applyAlignment="1">
      <alignment horizontal="center" vertical="center" wrapText="1"/>
    </xf>
    <xf numFmtId="171" fontId="13" fillId="4" borderId="1" xfId="13" applyNumberFormat="1" applyFont="1" applyFill="1" applyBorder="1" applyAlignment="1">
      <alignment horizontal="center" vertical="center" wrapText="1"/>
    </xf>
    <xf numFmtId="43" fontId="13" fillId="4" borderId="1" xfId="12" applyNumberFormat="1" applyFont="1" applyFill="1" applyBorder="1" applyAlignment="1">
      <alignment horizontal="center" vertical="center" wrapText="1"/>
    </xf>
    <xf numFmtId="0" fontId="4" fillId="0" borderId="1" xfId="3" applyFont="1" applyBorder="1" applyAlignment="1">
      <alignment horizontal="center"/>
    </xf>
    <xf numFmtId="0" fontId="4" fillId="0" borderId="1" xfId="3" applyFont="1" applyBorder="1"/>
    <xf numFmtId="43" fontId="4" fillId="0" borderId="1" xfId="1" applyFont="1" applyBorder="1"/>
    <xf numFmtId="0" fontId="5" fillId="0" borderId="1" xfId="0" applyFont="1" applyBorder="1"/>
    <xf numFmtId="49" fontId="4" fillId="2" borderId="1" xfId="15" applyNumberFormat="1" applyFont="1" applyFill="1" applyBorder="1" applyAlignment="1" applyProtection="1">
      <alignment horizontal="left"/>
      <protection hidden="1"/>
    </xf>
    <xf numFmtId="0" fontId="1" fillId="2" borderId="1" xfId="13" applyFont="1" applyFill="1" applyBorder="1"/>
    <xf numFmtId="1" fontId="4" fillId="2" borderId="1" xfId="12" applyNumberFormat="1" applyFont="1" applyFill="1" applyBorder="1" applyAlignment="1">
      <alignment horizontal="center" wrapText="1"/>
    </xf>
    <xf numFmtId="49" fontId="4" fillId="2" borderId="1" xfId="15" applyNumberFormat="1" applyFont="1" applyFill="1" applyBorder="1" applyAlignment="1" applyProtection="1">
      <alignment horizontal="center"/>
      <protection hidden="1"/>
    </xf>
    <xf numFmtId="0" fontId="4" fillId="2" borderId="1" xfId="13" applyFont="1" applyFill="1" applyBorder="1" applyAlignment="1">
      <alignment horizontal="left"/>
    </xf>
    <xf numFmtId="43" fontId="4" fillId="0" borderId="0" xfId="11" applyFont="1" applyBorder="1"/>
    <xf numFmtId="165" fontId="1" fillId="0" borderId="3" xfId="13" applyNumberFormat="1" applyFont="1" applyBorder="1"/>
    <xf numFmtId="43" fontId="4" fillId="0" borderId="3" xfId="11" applyFont="1" applyBorder="1"/>
    <xf numFmtId="165" fontId="1" fillId="0" borderId="0" xfId="13" applyNumberFormat="1" applyFont="1"/>
    <xf numFmtId="43" fontId="4" fillId="2" borderId="0" xfId="1" applyFont="1" applyFill="1" applyBorder="1"/>
    <xf numFmtId="9" fontId="8" fillId="0" borderId="0" xfId="2" applyFont="1" applyBorder="1" applyAlignment="1">
      <alignment horizontal="center"/>
    </xf>
    <xf numFmtId="0" fontId="13" fillId="2" borderId="0" xfId="0" applyFont="1" applyFill="1" applyAlignment="1">
      <alignment horizontal="center"/>
    </xf>
    <xf numFmtId="0" fontId="8" fillId="2" borderId="0" xfId="3" applyFont="1" applyFill="1" applyAlignment="1">
      <alignment horizontal="center"/>
    </xf>
    <xf numFmtId="173" fontId="1" fillId="2" borderId="1" xfId="5" applyNumberFormat="1" applyFont="1" applyFill="1" applyBorder="1"/>
    <xf numFmtId="173" fontId="1" fillId="2" borderId="3" xfId="0" applyNumberFormat="1" applyFont="1" applyFill="1" applyBorder="1"/>
    <xf numFmtId="173" fontId="1" fillId="2" borderId="0" xfId="0" applyNumberFormat="1" applyFont="1" applyFill="1"/>
    <xf numFmtId="0" fontId="13" fillId="0" borderId="0" xfId="0" applyFont="1" applyAlignment="1">
      <alignment horizontal="center"/>
    </xf>
    <xf numFmtId="0" fontId="8" fillId="2" borderId="0" xfId="0" applyFont="1" applyFill="1" applyAlignment="1">
      <alignment horizontal="left"/>
    </xf>
    <xf numFmtId="173" fontId="1" fillId="0" borderId="0" xfId="0" applyNumberFormat="1" applyFont="1"/>
    <xf numFmtId="0" fontId="1" fillId="2" borderId="0" xfId="0" applyFont="1" applyFill="1" applyAlignment="1">
      <alignment horizontal="right"/>
    </xf>
    <xf numFmtId="164" fontId="1" fillId="2" borderId="0" xfId="5" applyNumberFormat="1" applyFont="1" applyFill="1"/>
    <xf numFmtId="0" fontId="16" fillId="0" borderId="0" xfId="3" applyFont="1" applyAlignment="1">
      <alignment horizontal="right"/>
    </xf>
    <xf numFmtId="169" fontId="4" fillId="2" borderId="1" xfId="9" applyNumberFormat="1" applyFont="1" applyFill="1" applyBorder="1"/>
    <xf numFmtId="43" fontId="19" fillId="2" borderId="1" xfId="0" applyNumberFormat="1" applyFont="1" applyFill="1" applyBorder="1" applyAlignment="1">
      <alignment horizontal="center"/>
    </xf>
    <xf numFmtId="167" fontId="16" fillId="0" borderId="0" xfId="9" applyNumberFormat="1" applyFont="1" applyAlignment="1">
      <alignment horizontal="right"/>
    </xf>
    <xf numFmtId="173" fontId="1" fillId="2" borderId="0" xfId="5" applyNumberFormat="1" applyFont="1" applyFill="1" applyBorder="1"/>
    <xf numFmtId="0" fontId="8" fillId="0" borderId="0" xfId="9" applyFont="1" applyAlignment="1">
      <alignment horizontal="right" vertical="center"/>
    </xf>
    <xf numFmtId="43" fontId="13" fillId="2" borderId="0" xfId="0" applyNumberFormat="1" applyFont="1" applyFill="1" applyAlignment="1">
      <alignment horizontal="center"/>
    </xf>
    <xf numFmtId="0" fontId="1" fillId="0" borderId="0" xfId="3" applyFont="1"/>
    <xf numFmtId="0" fontId="6" fillId="2" borderId="7" xfId="0" applyFont="1" applyFill="1" applyBorder="1" applyAlignment="1" applyProtection="1">
      <alignment horizontal="left" vertical="center"/>
      <protection hidden="1"/>
    </xf>
    <xf numFmtId="0" fontId="6" fillId="0" borderId="7" xfId="0" applyFont="1" applyBorder="1" applyAlignment="1" applyProtection="1">
      <alignment horizontal="left" vertical="center"/>
      <protection hidden="1"/>
    </xf>
    <xf numFmtId="0" fontId="4" fillId="2" borderId="0" xfId="0" applyFont="1" applyFill="1"/>
    <xf numFmtId="0" fontId="1" fillId="2" borderId="0" xfId="0" applyFont="1" applyFill="1" applyAlignment="1">
      <alignment vertical="center"/>
    </xf>
    <xf numFmtId="172" fontId="1" fillId="2" borderId="0" xfId="0" applyNumberFormat="1" applyFont="1" applyFill="1"/>
    <xf numFmtId="0" fontId="1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0" fontId="4" fillId="0" borderId="0" xfId="22" applyFont="1" applyAlignment="1">
      <alignment horizontal="center"/>
    </xf>
    <xf numFmtId="0" fontId="1" fillId="0" borderId="0" xfId="3" applyFont="1" applyAlignment="1">
      <alignment horizontal="right"/>
    </xf>
    <xf numFmtId="14" fontId="1" fillId="0" borderId="0" xfId="3" applyNumberFormat="1" applyFont="1"/>
    <xf numFmtId="167" fontId="8" fillId="0" borderId="0" xfId="7" applyNumberFormat="1" applyFont="1" applyAlignment="1">
      <alignment horizontal="center"/>
    </xf>
    <xf numFmtId="0" fontId="13" fillId="0" borderId="0" xfId="3" applyFont="1"/>
    <xf numFmtId="43" fontId="20" fillId="0" borderId="0" xfId="12" applyNumberFormat="1" applyFont="1" applyFill="1" applyBorder="1" applyAlignment="1">
      <alignment horizontal="center" vertical="center" wrapText="1"/>
    </xf>
    <xf numFmtId="0" fontId="13" fillId="4" borderId="1" xfId="3" applyFont="1" applyFill="1" applyBorder="1" applyAlignment="1">
      <alignment horizontal="center" vertical="center" wrapText="1"/>
    </xf>
    <xf numFmtId="43" fontId="20" fillId="2" borderId="0" xfId="12" applyNumberFormat="1" applyFont="1" applyFill="1" applyBorder="1" applyAlignment="1">
      <alignment horizontal="center" wrapText="1"/>
    </xf>
    <xf numFmtId="0" fontId="13" fillId="4" borderId="1" xfId="3" applyFont="1" applyFill="1" applyBorder="1" applyAlignment="1">
      <alignment horizontal="center" vertical="center"/>
    </xf>
    <xf numFmtId="0" fontId="13" fillId="4" borderId="8" xfId="3" applyFont="1" applyFill="1" applyBorder="1" applyAlignment="1">
      <alignment horizontal="center" vertical="center" wrapText="1"/>
    </xf>
    <xf numFmtId="0" fontId="13" fillId="4" borderId="8" xfId="3" applyFont="1" applyFill="1" applyBorder="1" applyAlignment="1">
      <alignment horizontal="center" vertical="center"/>
    </xf>
    <xf numFmtId="167" fontId="8" fillId="0" borderId="0" xfId="8" applyNumberFormat="1" applyFont="1" applyFill="1" applyBorder="1" applyAlignment="1">
      <alignment horizontal="center"/>
    </xf>
    <xf numFmtId="43" fontId="4" fillId="0" borderId="1" xfId="3" applyNumberFormat="1" applyFont="1" applyBorder="1"/>
    <xf numFmtId="43" fontId="4" fillId="0" borderId="1" xfId="11" applyFont="1" applyBorder="1"/>
    <xf numFmtId="0" fontId="4" fillId="0" borderId="1" xfId="11" applyNumberFormat="1" applyFont="1" applyBorder="1"/>
    <xf numFmtId="0" fontId="21" fillId="0" borderId="0" xfId="3" applyFont="1" applyAlignment="1">
      <alignment horizontal="left"/>
    </xf>
    <xf numFmtId="165" fontId="4" fillId="0" borderId="0" xfId="12" applyFont="1" applyFill="1" applyBorder="1" applyAlignment="1">
      <alignment horizontal="right" vertical="top" wrapText="1"/>
    </xf>
    <xf numFmtId="167" fontId="21" fillId="0" borderId="0" xfId="9" applyNumberFormat="1" applyFont="1" applyAlignment="1">
      <alignment horizontal="left"/>
    </xf>
    <xf numFmtId="165" fontId="4" fillId="0" borderId="0" xfId="12" applyFont="1" applyFill="1" applyBorder="1" applyAlignment="1">
      <alignment wrapText="1"/>
    </xf>
    <xf numFmtId="164" fontId="8" fillId="0" borderId="0" xfId="5" applyNumberFormat="1" applyFont="1" applyFill="1" applyBorder="1"/>
    <xf numFmtId="164" fontId="8" fillId="0" borderId="0" xfId="5" applyNumberFormat="1" applyFont="1" applyBorder="1"/>
    <xf numFmtId="164" fontId="8" fillId="2" borderId="0" xfId="5" applyNumberFormat="1" applyFont="1" applyFill="1" applyBorder="1"/>
    <xf numFmtId="0" fontId="2" fillId="0" borderId="0" xfId="0" applyFont="1"/>
    <xf numFmtId="0" fontId="22" fillId="0" borderId="0" xfId="3" applyFont="1"/>
    <xf numFmtId="0" fontId="1" fillId="2" borderId="0" xfId="3" applyFont="1" applyFill="1"/>
    <xf numFmtId="0" fontId="14" fillId="2" borderId="0" xfId="0" applyFont="1" applyFill="1" applyAlignment="1">
      <alignment horizontal="left"/>
    </xf>
    <xf numFmtId="0" fontId="4" fillId="0" borderId="0" xfId="0" applyFont="1"/>
    <xf numFmtId="0" fontId="4" fillId="0" borderId="0" xfId="9" applyFont="1" applyAlignment="1">
      <alignment horizontal="right"/>
    </xf>
    <xf numFmtId="43" fontId="14" fillId="0" borderId="0" xfId="1" applyFont="1" applyFill="1" applyBorder="1"/>
    <xf numFmtId="0" fontId="9" fillId="0" borderId="0" xfId="0" applyFont="1" applyAlignment="1">
      <alignment horizontal="left"/>
    </xf>
    <xf numFmtId="3" fontId="20" fillId="0" borderId="0" xfId="9" applyNumberFormat="1" applyFont="1" applyAlignment="1">
      <alignment horizontal="center" vertical="center" wrapText="1"/>
    </xf>
    <xf numFmtId="0" fontId="8" fillId="0" borderId="0" xfId="0" applyFont="1"/>
    <xf numFmtId="0" fontId="17" fillId="2" borderId="0" xfId="18" applyFont="1" applyFill="1"/>
    <xf numFmtId="0" fontId="1" fillId="2" borderId="0" xfId="6" applyFont="1" applyFill="1"/>
    <xf numFmtId="0" fontId="8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6" fontId="1" fillId="2" borderId="0" xfId="0" applyNumberFormat="1" applyFont="1" applyFill="1"/>
    <xf numFmtId="165" fontId="1" fillId="2" borderId="0" xfId="5" applyFont="1" applyFill="1" applyBorder="1"/>
    <xf numFmtId="164" fontId="1" fillId="2" borderId="0" xfId="0" applyNumberFormat="1" applyFont="1" applyFill="1"/>
    <xf numFmtId="165" fontId="19" fillId="2" borderId="1" xfId="0" applyNumberFormat="1" applyFont="1" applyFill="1" applyBorder="1" applyAlignment="1">
      <alignment horizontal="center"/>
    </xf>
    <xf numFmtId="0" fontId="5" fillId="0" borderId="0" xfId="3" applyFont="1" applyBorder="1"/>
    <xf numFmtId="0" fontId="4" fillId="0" borderId="0" xfId="3" applyFont="1" applyBorder="1"/>
    <xf numFmtId="0" fontId="6" fillId="6" borderId="0" xfId="0" applyFont="1" applyFill="1" applyAlignment="1">
      <alignment horizontal="left"/>
    </xf>
    <xf numFmtId="0" fontId="4" fillId="0" borderId="0" xfId="3" applyFont="1" applyAlignment="1">
      <alignment vertical="center" wrapText="1"/>
    </xf>
    <xf numFmtId="0" fontId="13" fillId="4" borderId="1" xfId="0" applyFont="1" applyFill="1" applyBorder="1" applyAlignment="1">
      <alignment horizontal="center" vertical="center" wrapText="1"/>
    </xf>
    <xf numFmtId="43" fontId="4" fillId="2" borderId="0" xfId="3" applyNumberFormat="1" applyFont="1" applyFill="1" applyAlignment="1">
      <alignment vertical="center" wrapText="1"/>
    </xf>
    <xf numFmtId="0" fontId="8" fillId="0" borderId="0" xfId="3" applyFont="1" applyAlignment="1">
      <alignment horizontal="center" vertical="center" wrapText="1"/>
    </xf>
    <xf numFmtId="0" fontId="1" fillId="0" borderId="0" xfId="3" applyFont="1" applyAlignment="1">
      <alignment vertical="center" wrapText="1"/>
    </xf>
    <xf numFmtId="0" fontId="0" fillId="0" borderId="0" xfId="0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0" fontId="5" fillId="2" borderId="0" xfId="3" applyFont="1" applyFill="1" applyBorder="1"/>
    <xf numFmtId="0" fontId="16" fillId="0" borderId="0" xfId="3" applyFont="1" applyAlignment="1">
      <alignment vertical="center" wrapText="1"/>
    </xf>
    <xf numFmtId="0" fontId="5" fillId="2" borderId="0" xfId="0" applyFont="1" applyFill="1"/>
    <xf numFmtId="14" fontId="4" fillId="0" borderId="1" xfId="12" applyNumberFormat="1" applyFont="1" applyFill="1" applyBorder="1" applyAlignment="1">
      <alignment horizontal="center" wrapText="1"/>
    </xf>
    <xf numFmtId="0" fontId="8" fillId="2" borderId="0" xfId="0" applyFont="1" applyFill="1" applyAlignment="1">
      <alignment horizontal="right"/>
    </xf>
    <xf numFmtId="0" fontId="8" fillId="2" borderId="3" xfId="5" applyNumberFormat="1" applyFont="1" applyFill="1" applyBorder="1"/>
    <xf numFmtId="0" fontId="4" fillId="2" borderId="0" xfId="13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NumberFormat="1" applyFont="1" applyBorder="1"/>
    <xf numFmtId="0" fontId="1" fillId="2" borderId="1" xfId="0" applyFont="1" applyFill="1" applyBorder="1" applyAlignment="1">
      <alignment horizontal="left"/>
    </xf>
    <xf numFmtId="0" fontId="1" fillId="2" borderId="1" xfId="0" applyNumberFormat="1" applyFont="1" applyFill="1" applyBorder="1"/>
    <xf numFmtId="0" fontId="19" fillId="0" borderId="1" xfId="0" pivotButton="1" applyFont="1" applyBorder="1"/>
    <xf numFmtId="0" fontId="19" fillId="0" borderId="1" xfId="0" applyFont="1" applyBorder="1"/>
    <xf numFmtId="0" fontId="19" fillId="0" borderId="0" xfId="0" applyFont="1" applyAlignment="1">
      <alignment horizontal="center" vertical="center" wrapText="1"/>
    </xf>
    <xf numFmtId="0" fontId="5" fillId="0" borderId="0" xfId="3" applyFont="1" applyAlignment="1">
      <alignment horizontal="center" vertical="center" wrapText="1"/>
    </xf>
    <xf numFmtId="43" fontId="19" fillId="0" borderId="1" xfId="1" applyFont="1" applyFill="1" applyBorder="1" applyAlignment="1">
      <alignment horizontal="center" vertical="center" wrapText="1"/>
    </xf>
    <xf numFmtId="0" fontId="9" fillId="2" borderId="0" xfId="24" applyFont="1" applyFill="1" applyAlignment="1">
      <alignment horizontal="left"/>
    </xf>
    <xf numFmtId="0" fontId="9" fillId="2" borderId="0" xfId="24" applyFont="1" applyFill="1" applyAlignment="1">
      <alignment horizontal="center"/>
    </xf>
    <xf numFmtId="0" fontId="13" fillId="5" borderId="2" xfId="3" applyFont="1" applyFill="1" applyBorder="1" applyAlignment="1">
      <alignment horizontal="center"/>
    </xf>
    <xf numFmtId="0" fontId="13" fillId="5" borderId="5" xfId="3" applyFont="1" applyFill="1" applyBorder="1" applyAlignment="1">
      <alignment horizontal="center"/>
    </xf>
    <xf numFmtId="0" fontId="13" fillId="5" borderId="6" xfId="3" applyFont="1" applyFill="1" applyBorder="1" applyAlignment="1">
      <alignment horizontal="center"/>
    </xf>
    <xf numFmtId="0" fontId="13" fillId="5" borderId="2" xfId="0" applyFont="1" applyFill="1" applyBorder="1" applyAlignment="1">
      <alignment horizontal="center"/>
    </xf>
    <xf numFmtId="0" fontId="13" fillId="5" borderId="5" xfId="0" applyFont="1" applyFill="1" applyBorder="1" applyAlignment="1">
      <alignment horizontal="center"/>
    </xf>
    <xf numFmtId="0" fontId="13" fillId="5" borderId="6" xfId="0" applyFont="1" applyFill="1" applyBorder="1" applyAlignment="1">
      <alignment horizontal="center"/>
    </xf>
  </cellXfs>
  <cellStyles count="25">
    <cellStyle name="Millares" xfId="1" builtinId="3"/>
    <cellStyle name="Millares 10 2" xfId="15" xr:uid="{CBF8CCB6-3000-4EDE-B3DF-DC77EA5B5E77}"/>
    <cellStyle name="Millares 11 2" xfId="11" xr:uid="{FF349D9F-69C0-438C-B8BF-A8B6B6B49D1F}"/>
    <cellStyle name="Millares 17" xfId="8" xr:uid="{7E788DB5-F1DB-434E-974C-4E256FB45B1F}"/>
    <cellStyle name="Millares 2" xfId="5" xr:uid="{959C7F30-3380-4C74-A78A-23E1DF3E2CCF}"/>
    <cellStyle name="Millares 4 2" xfId="21" xr:uid="{3467F564-2E7F-44EB-96E5-B7310A0FB628}"/>
    <cellStyle name="Millares 4 2 2" xfId="12" xr:uid="{822E2FC7-9371-4001-BAC7-2D2A7C80C536}"/>
    <cellStyle name="Millares 47 9" xfId="14" xr:uid="{E1157EAD-AD32-4371-B498-9BFCF02BA703}"/>
    <cellStyle name="Normal" xfId="0" builtinId="0"/>
    <cellStyle name="Normal 10 2 8" xfId="3" xr:uid="{F9383DE1-6AE8-48C1-BF35-EEF9733CCBC7}"/>
    <cellStyle name="Normal 13" xfId="13" xr:uid="{1E4CF786-F121-4F57-A7D2-0659D1306A77}"/>
    <cellStyle name="Normal 14" xfId="9" xr:uid="{9965A200-01AD-4DE2-9AC3-31D4445AD043}"/>
    <cellStyle name="Normal 2 10" xfId="22" xr:uid="{F5592939-983A-4E9C-A12C-3901CE8698B3}"/>
    <cellStyle name="Normal 2 2 2 10" xfId="24" xr:uid="{55DF1EFC-8F4D-4882-9A29-FC59B961B4DB}"/>
    <cellStyle name="Normal 2 2 2 2" xfId="18" xr:uid="{8C399C84-FCB3-4E33-AC58-D7F8ADE7F429}"/>
    <cellStyle name="Normal 2 2 2 3" xfId="4" xr:uid="{4AEBAE59-AAF4-48D8-9E07-4ADA8AB9274E}"/>
    <cellStyle name="Normal 3 2" xfId="23" xr:uid="{58FA7B9F-CE66-43CA-A38C-DD24D3CAC569}"/>
    <cellStyle name="Normal 4 2" xfId="19" xr:uid="{B2DDBFDD-4090-408E-89D0-074FF5E51207}"/>
    <cellStyle name="Normal 5" xfId="6" xr:uid="{FCD1460A-25F4-4490-9DD6-7FD46F90D38D}"/>
    <cellStyle name="Normal_2102 Sumaria de Efectivo y Equivalentes" xfId="7" xr:uid="{290224C9-2881-4F1B-A991-3326D980FAA8}"/>
    <cellStyle name="Normal_2102.1.1 Analisis de Partidas Conciliatorias" xfId="20" xr:uid="{1EA6D963-080F-485B-8A57-0C0ECF5D235A}"/>
    <cellStyle name="Normal_Revisión deinversiones o bligatorias-09" xfId="17" xr:uid="{319023C0-2CEF-414D-92AB-733CCAFDC4DB}"/>
    <cellStyle name="Porcentaje" xfId="2" builtinId="5"/>
    <cellStyle name="Porcentaje 2" xfId="10" xr:uid="{4032C949-2983-41A1-B7BB-F8F692DE0507}"/>
    <cellStyle name="Porcentual 2 3 4" xfId="16" xr:uid="{7C0B2DFC-33E9-4ECB-A1F0-ACEA2FEB51D1}"/>
  </cellStyles>
  <dxfs count="22">
    <dxf>
      <font>
        <color rgb="FF002060"/>
      </font>
    </dxf>
    <dxf>
      <font>
        <color rgb="FF002060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pivotCacheDefinition" Target="pivotCache/pivotCacheDefinition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1477200</xdr:colOff>
      <xdr:row>52</xdr:row>
      <xdr:rowOff>1517</xdr:rowOff>
    </xdr:from>
    <xdr:ext cx="232427" cy="232427"/>
    <xdr:pic>
      <xdr:nvPicPr>
        <xdr:cNvPr id="3" name="Imagen 2">
          <a:extLst>
            <a:ext uri="{FF2B5EF4-FFF2-40B4-BE49-F238E27FC236}">
              <a16:creationId xmlns:a16="http://schemas.microsoft.com/office/drawing/2014/main" id="{9677BA48-3E13-4A3F-B45E-AE74603D8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0138" y="8439080"/>
          <a:ext cx="232427" cy="2324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44955</xdr:colOff>
      <xdr:row>33</xdr:row>
      <xdr:rowOff>58573</xdr:rowOff>
    </xdr:from>
    <xdr:ext cx="240795" cy="240795"/>
    <xdr:pic>
      <xdr:nvPicPr>
        <xdr:cNvPr id="4" name="Imagen 3">
          <a:extLst>
            <a:ext uri="{FF2B5EF4-FFF2-40B4-BE49-F238E27FC236}">
              <a16:creationId xmlns:a16="http://schemas.microsoft.com/office/drawing/2014/main" id="{2181ED01-D306-4C75-B2A5-051942E1E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3580" y="5003636"/>
          <a:ext cx="240795" cy="2407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158755</xdr:colOff>
      <xdr:row>112</xdr:row>
      <xdr:rowOff>0</xdr:rowOff>
    </xdr:from>
    <xdr:ext cx="174625" cy="174625"/>
    <xdr:pic>
      <xdr:nvPicPr>
        <xdr:cNvPr id="5" name="Imagen 4">
          <a:extLst>
            <a:ext uri="{FF2B5EF4-FFF2-40B4-BE49-F238E27FC236}">
              <a16:creationId xmlns:a16="http://schemas.microsoft.com/office/drawing/2014/main" id="{22A46946-6F25-485A-8B51-4A6315487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55" y="19958050"/>
          <a:ext cx="174625" cy="174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13</xdr:col>
      <xdr:colOff>0</xdr:colOff>
      <xdr:row>33</xdr:row>
      <xdr:rowOff>121910</xdr:rowOff>
    </xdr:from>
    <xdr:to>
      <xdr:col>13</xdr:col>
      <xdr:colOff>233850</xdr:colOff>
      <xdr:row>35</xdr:row>
      <xdr:rowOff>2619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C3B7D80-570E-4918-AD6B-BE5877931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82200" y="5055860"/>
          <a:ext cx="233850" cy="2299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219402</xdr:colOff>
      <xdr:row>34</xdr:row>
      <xdr:rowOff>63500</xdr:rowOff>
    </xdr:from>
    <xdr:to>
      <xdr:col>17</xdr:col>
      <xdr:colOff>31750</xdr:colOff>
      <xdr:row>34</xdr:row>
      <xdr:rowOff>71437</xdr:rowOff>
    </xdr:to>
    <xdr:cxnSp macro="">
      <xdr:nvCxnSpPr>
        <xdr:cNvPr id="7" name="Conector recto de flecha 6">
          <a:extLst>
            <a:ext uri="{FF2B5EF4-FFF2-40B4-BE49-F238E27FC236}">
              <a16:creationId xmlns:a16="http://schemas.microsoft.com/office/drawing/2014/main" id="{ED69E368-E467-4BAD-86CC-8F3352EC5584}"/>
            </a:ext>
          </a:extLst>
        </xdr:cNvPr>
        <xdr:cNvCxnSpPr>
          <a:stCxn id="6" idx="3"/>
        </xdr:cNvCxnSpPr>
      </xdr:nvCxnSpPr>
      <xdr:spPr>
        <a:xfrm flipV="1">
          <a:off x="22901602" y="5181600"/>
          <a:ext cx="8670598" cy="7937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1112838</xdr:colOff>
      <xdr:row>52</xdr:row>
      <xdr:rowOff>49212</xdr:rowOff>
    </xdr:from>
    <xdr:ext cx="192088" cy="192088"/>
    <xdr:pic>
      <xdr:nvPicPr>
        <xdr:cNvPr id="8" name="Imagen 7">
          <a:extLst>
            <a:ext uri="{FF2B5EF4-FFF2-40B4-BE49-F238E27FC236}">
              <a16:creationId xmlns:a16="http://schemas.microsoft.com/office/drawing/2014/main" id="{7C3A6856-8B2E-4E8F-8565-BB5BF76EB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95038" y="8596312"/>
          <a:ext cx="192088" cy="1920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151608</xdr:colOff>
      <xdr:row>114</xdr:row>
      <xdr:rowOff>8732</xdr:rowOff>
    </xdr:from>
    <xdr:ext cx="174625" cy="174625"/>
    <xdr:pic>
      <xdr:nvPicPr>
        <xdr:cNvPr id="9" name="Imagen 8">
          <a:extLst>
            <a:ext uri="{FF2B5EF4-FFF2-40B4-BE49-F238E27FC236}">
              <a16:creationId xmlns:a16="http://schemas.microsoft.com/office/drawing/2014/main" id="{49FB9DDD-26E6-4CAF-86FD-77A49B3A4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608" y="20290632"/>
          <a:ext cx="174625" cy="174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155903</xdr:colOff>
      <xdr:row>113</xdr:row>
      <xdr:rowOff>5087</xdr:rowOff>
    </xdr:from>
    <xdr:to>
      <xdr:col>0</xdr:col>
      <xdr:colOff>330528</xdr:colOff>
      <xdr:row>114</xdr:row>
      <xdr:rowOff>13026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F0C695E5-39E9-4B7B-A900-7F356A1A7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903" y="20121887"/>
          <a:ext cx="174625" cy="1730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2452895</xdr:colOff>
      <xdr:row>76</xdr:row>
      <xdr:rowOff>15492</xdr:rowOff>
    </xdr:from>
    <xdr:ext cx="211297" cy="211297"/>
    <xdr:pic>
      <xdr:nvPicPr>
        <xdr:cNvPr id="11" name="Imagen 10">
          <a:extLst>
            <a:ext uri="{FF2B5EF4-FFF2-40B4-BE49-F238E27FC236}">
              <a16:creationId xmlns:a16="http://schemas.microsoft.com/office/drawing/2014/main" id="{A8C0C445-9E8B-4FDC-9D74-B79A5DBA66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2020" y="12977430"/>
          <a:ext cx="211297" cy="2112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1496773</xdr:colOff>
      <xdr:row>85</xdr:row>
      <xdr:rowOff>9562</xdr:rowOff>
    </xdr:from>
    <xdr:ext cx="211297" cy="211297"/>
    <xdr:pic>
      <xdr:nvPicPr>
        <xdr:cNvPr id="12" name="Imagen 11">
          <a:extLst>
            <a:ext uri="{FF2B5EF4-FFF2-40B4-BE49-F238E27FC236}">
              <a16:creationId xmlns:a16="http://schemas.microsoft.com/office/drawing/2014/main" id="{2BC254C3-10E5-44F3-A231-BD1E8E0CCC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3773" y="14416125"/>
          <a:ext cx="211297" cy="2112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1569720</xdr:colOff>
      <xdr:row>106</xdr:row>
      <xdr:rowOff>140244</xdr:rowOff>
    </xdr:from>
    <xdr:ext cx="232427" cy="232427"/>
    <xdr:pic>
      <xdr:nvPicPr>
        <xdr:cNvPr id="13" name="Imagen 12">
          <a:extLst>
            <a:ext uri="{FF2B5EF4-FFF2-40B4-BE49-F238E27FC236}">
              <a16:creationId xmlns:a16="http://schemas.microsoft.com/office/drawing/2014/main" id="{F3AC35D9-A72F-44E5-9F5F-DA523A4BCB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62908" y="18626682"/>
          <a:ext cx="232427" cy="2324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11</xdr:col>
      <xdr:colOff>958915</xdr:colOff>
      <xdr:row>33</xdr:row>
      <xdr:rowOff>128004</xdr:rowOff>
    </xdr:from>
    <xdr:to>
      <xdr:col>11</xdr:col>
      <xdr:colOff>1182687</xdr:colOff>
      <xdr:row>34</xdr:row>
      <xdr:rowOff>164656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802A8C0D-D2A8-493C-9A0F-476A15830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18478" y="5073067"/>
          <a:ext cx="223772" cy="2192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47745</xdr:colOff>
      <xdr:row>59</xdr:row>
      <xdr:rowOff>44582</xdr:rowOff>
    </xdr:from>
    <xdr:to>
      <xdr:col>1</xdr:col>
      <xdr:colOff>303415</xdr:colOff>
      <xdr:row>61</xdr:row>
      <xdr:rowOff>21767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8628F26B-C7F3-4D46-958F-30E1A23B7B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370" y="9688645"/>
          <a:ext cx="255670" cy="247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258838</xdr:colOff>
      <xdr:row>60</xdr:row>
      <xdr:rowOff>63500</xdr:rowOff>
    </xdr:from>
    <xdr:to>
      <xdr:col>4</xdr:col>
      <xdr:colOff>2746375</xdr:colOff>
      <xdr:row>60</xdr:row>
      <xdr:rowOff>78604</xdr:rowOff>
    </xdr:to>
    <xdr:cxnSp macro="">
      <xdr:nvCxnSpPr>
        <xdr:cNvPr id="16" name="Conector recto de flecha 15">
          <a:extLst>
            <a:ext uri="{FF2B5EF4-FFF2-40B4-BE49-F238E27FC236}">
              <a16:creationId xmlns:a16="http://schemas.microsoft.com/office/drawing/2014/main" id="{9E4074A4-5234-4ED6-ABEF-7A77409D54B5}"/>
            </a:ext>
          </a:extLst>
        </xdr:cNvPr>
        <xdr:cNvCxnSpPr/>
      </xdr:nvCxnSpPr>
      <xdr:spPr>
        <a:xfrm flipV="1">
          <a:off x="687463" y="9882188"/>
          <a:ext cx="5670475" cy="15104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332478</xdr:colOff>
      <xdr:row>34</xdr:row>
      <xdr:rowOff>56868</xdr:rowOff>
    </xdr:from>
    <xdr:to>
      <xdr:col>9</xdr:col>
      <xdr:colOff>1163665</xdr:colOff>
      <xdr:row>34</xdr:row>
      <xdr:rowOff>56868</xdr:rowOff>
    </xdr:to>
    <xdr:cxnSp macro="">
      <xdr:nvCxnSpPr>
        <xdr:cNvPr id="17" name="Conector recto de flecha 16">
          <a:extLst>
            <a:ext uri="{FF2B5EF4-FFF2-40B4-BE49-F238E27FC236}">
              <a16:creationId xmlns:a16="http://schemas.microsoft.com/office/drawing/2014/main" id="{0F220185-4389-4B02-9A93-4665C1810AEE}"/>
            </a:ext>
          </a:extLst>
        </xdr:cNvPr>
        <xdr:cNvCxnSpPr/>
      </xdr:nvCxnSpPr>
      <xdr:spPr>
        <a:xfrm>
          <a:off x="761103" y="5184493"/>
          <a:ext cx="18000000" cy="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1242284</xdr:colOff>
      <xdr:row>96</xdr:row>
      <xdr:rowOff>36285</xdr:rowOff>
    </xdr:from>
    <xdr:to>
      <xdr:col>7</xdr:col>
      <xdr:colOff>29735</xdr:colOff>
      <xdr:row>96</xdr:row>
      <xdr:rowOff>145142</xdr:rowOff>
    </xdr:to>
    <xdr:sp macro="" textlink="">
      <xdr:nvSpPr>
        <xdr:cNvPr id="18" name="Cerrar llave 17">
          <a:extLst>
            <a:ext uri="{FF2B5EF4-FFF2-40B4-BE49-F238E27FC236}">
              <a16:creationId xmlns:a16="http://schemas.microsoft.com/office/drawing/2014/main" id="{646C0E44-F472-4741-9422-1E2011AB40E2}"/>
            </a:ext>
          </a:extLst>
        </xdr:cNvPr>
        <xdr:cNvSpPr/>
      </xdr:nvSpPr>
      <xdr:spPr>
        <a:xfrm rot="16200000">
          <a:off x="7890431" y="10869688"/>
          <a:ext cx="108857" cy="12541551"/>
        </a:xfrm>
        <a:prstGeom prst="rightBrace">
          <a:avLst>
            <a:gd name="adj1" fmla="val 8333"/>
            <a:gd name="adj2" fmla="val 50733"/>
          </a:avLst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EC" sz="1100">
            <a:solidFill>
              <a:srgbClr val="FF0000"/>
            </a:solidFill>
          </a:endParaRPr>
        </a:p>
      </xdr:txBody>
    </xdr:sp>
    <xdr:clientData/>
  </xdr:twoCellAnchor>
  <xdr:twoCellAnchor>
    <xdr:from>
      <xdr:col>19</xdr:col>
      <xdr:colOff>1333050</xdr:colOff>
      <xdr:row>29</xdr:row>
      <xdr:rowOff>49170</xdr:rowOff>
    </xdr:from>
    <xdr:to>
      <xdr:col>19</xdr:col>
      <xdr:colOff>1334588</xdr:colOff>
      <xdr:row>33</xdr:row>
      <xdr:rowOff>174327</xdr:rowOff>
    </xdr:to>
    <xdr:cxnSp macro="">
      <xdr:nvCxnSpPr>
        <xdr:cNvPr id="19" name="Conector recto de flecha 18">
          <a:extLst>
            <a:ext uri="{FF2B5EF4-FFF2-40B4-BE49-F238E27FC236}">
              <a16:creationId xmlns:a16="http://schemas.microsoft.com/office/drawing/2014/main" id="{19CC4894-FB5D-407B-ADDE-FD53084E9F60}"/>
            </a:ext>
          </a:extLst>
        </xdr:cNvPr>
        <xdr:cNvCxnSpPr/>
      </xdr:nvCxnSpPr>
      <xdr:spPr>
        <a:xfrm flipH="1">
          <a:off x="35985000" y="4411620"/>
          <a:ext cx="1538" cy="696657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o1\contabilidad\CONTABILIDAD\ROLES\Roles%202004\RolJulio200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JIME%20S\BIBLIOTECA\MATERIAL%20ACTUALIZADO%2008\Textos%20entregados%20Planificaci&#243;n\Formatos%20de%20papeles%20de%20trabajo\Auditorias%202004\2004\Trabajo%20Especial\Nuevo%20Almacen\El%20nuevo%20almac&#233;n\File%20An&#225;lisis\Nomina\Nomina%20Agosto%2005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auricio\2005\Contabilidad\An&#225;lisis%20de%20cuentas%20activo%202005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30-1%20Revisi&#243;n%20Anal&#237;tica%20Sustantiva%20-%20Poblaciones%20Disgregadas%20%20Activo%20Fijo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msola\Mis%20documentos\INEC\Copia%20de%20formulario%20de%20manufactura%202009%202da%20entrega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ARDEX%20VEGETATIVO\VEG.%20PLANTAS%20SL%20_2008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LIENTES%202001\BDF\PLANIFICACION\analitb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vreyes\CaseWare\2016_UIO_Auditor&#237;a_Superteporte%20S.A.%20(Sync)\Visita%20preliminar\Anexos%20a%20los%20EEFF%20-%200300%20-%20Superdeporte%20-%20Agosto%202016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310%20Hoja%20Resumen%20Gasto%20de%20Personal%20-%20Kamerino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30%20An&#225;lisis%20de%20Gatos%20Anticipado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lientes%202011%20APT\Cepsa%202011\A%20Efectivo%20y%20Equivalentes%20de%20Efectivo%20DPL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%20%20%20Plantilla%20de%20Procedimientos%20Anal&#237;ticos%20Sustantivo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730%20An&#225;lisis%20de%20Plantacione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630%20An&#225;lisis%20de%20Activos%20Fijo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uio-storage\activos\My%20Documents\CECILIA\FORREQUE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vvalenzuela\Documents\Base%20Legal\Pruebas%202008\Pruebas%202008%20Finales\Mis%20Documentos\NOMINA\PRESUPUESTO%202006\AOP%202006%20Personnel%20Cost\h\Crest%20Reports\Actuals%202005\March%2005\P&amp;L%20March%2005%20BPC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1152%20Anexos%20Carta%20de%20Requerimiento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000%20000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LIENTES%202012\Construecuador\Archivo%20An&#225;lisis%20Construecuador-12%20Ok\Users\Auditores\Documents\Marcos\Documentos\Archivos%20recuperados%202\Marcos\INCON%20Impuestos\Papeles%20Megadatos\5630%20An&#225;lisis%20de%20Activo%20Fijo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40%20An&#225;lisis%20del%20Saldo%20Incial%20de%20Activos%20Fijo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6430%20An&#225;lisis%20de%20Retenciones%20en%20la%20Fuente%20y%20del%20Impuesto%20al%20Valor%20Agregado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330%20An&#225;lisis%20de%20Gastos%20operacionale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1162.%201%20Anexos%20C&#233;dula%20de%20participaci&#243;n%20del%20Cliente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6230%20An&#225;lisis%20de%20Gastos%20Acumulados%20y%20Otras%20Cuentas%20por%20Pagar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730%20An&#225;lisis%20de%20Intangibles%20y%20Otros%20Activo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%20C00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A (2)"/>
      <sheetName val="ENA"/>
      <sheetName val="ENA1"/>
      <sheetName val="CON"/>
      <sheetName val="CON1"/>
      <sheetName val="CON2"/>
      <sheetName val="PRA"/>
      <sheetName val="CHI"/>
      <sheetName val="CASA"/>
      <sheetName val="CASA2"/>
      <sheetName val="CAB"/>
      <sheetName val="GARCIA"/>
      <sheetName val="CONTABIL"/>
      <sheetName val="Datos"/>
      <sheetName val="Tablas SRI"/>
      <sheetName val="A-2"/>
      <sheetName val="A-2-1"/>
      <sheetName val="ENA_(2)"/>
    </sheetNames>
    <sheetDataSet>
      <sheetData sheetId="0">
        <row r="1">
          <cell r="B1">
            <v>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B1">
            <v>8</v>
          </cell>
        </row>
      </sheetData>
      <sheetData sheetId="13" refreshError="1">
        <row r="1">
          <cell r="B1">
            <v>8</v>
          </cell>
        </row>
        <row r="2">
          <cell r="B2">
            <v>9.35E-2</v>
          </cell>
        </row>
        <row r="6">
          <cell r="A6">
            <v>1</v>
          </cell>
          <cell r="B6" t="str">
            <v>ENERO DEL 2004</v>
          </cell>
        </row>
        <row r="7">
          <cell r="A7">
            <v>2</v>
          </cell>
          <cell r="B7" t="str">
            <v>FEBRERO DEL 2004</v>
          </cell>
        </row>
        <row r="8">
          <cell r="A8">
            <v>3</v>
          </cell>
          <cell r="B8" t="str">
            <v>MARZO DEL 2004</v>
          </cell>
        </row>
        <row r="9">
          <cell r="A9">
            <v>4</v>
          </cell>
          <cell r="B9" t="str">
            <v>ABRIL DEL 2004</v>
          </cell>
        </row>
        <row r="10">
          <cell r="A10">
            <v>5</v>
          </cell>
          <cell r="B10" t="str">
            <v>MAYO DEL 2004</v>
          </cell>
        </row>
        <row r="11">
          <cell r="A11">
            <v>6</v>
          </cell>
          <cell r="B11" t="str">
            <v>JUNIO DEL 2004</v>
          </cell>
        </row>
        <row r="12">
          <cell r="A12">
            <v>7</v>
          </cell>
          <cell r="B12" t="str">
            <v>JULIO DEL 2004</v>
          </cell>
        </row>
        <row r="13">
          <cell r="A13">
            <v>8</v>
          </cell>
          <cell r="B13" t="str">
            <v>AGOSTO DEL 2004</v>
          </cell>
        </row>
        <row r="14">
          <cell r="A14">
            <v>9</v>
          </cell>
          <cell r="B14" t="str">
            <v>SEPTIEMBRE DEL 2004</v>
          </cell>
        </row>
        <row r="15">
          <cell r="A15">
            <v>10</v>
          </cell>
          <cell r="B15" t="str">
            <v>OCTUBRE DEL 2004</v>
          </cell>
        </row>
        <row r="16">
          <cell r="A16">
            <v>11</v>
          </cell>
          <cell r="B16" t="str">
            <v>NOVIEMBRE DEL 2004</v>
          </cell>
        </row>
        <row r="17">
          <cell r="A17">
            <v>12</v>
          </cell>
          <cell r="B17" t="str">
            <v>DICIEMBRE DEL 2004</v>
          </cell>
        </row>
      </sheetData>
      <sheetData sheetId="14" refreshError="1"/>
      <sheetData sheetId="15" refreshError="1"/>
      <sheetData sheetId="16" refreshError="1"/>
      <sheetData sheetId="17">
        <row r="1">
          <cell r="B1">
            <v>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 (2)"/>
      <sheetName val="ENA"/>
      <sheetName val="rol individual 1"/>
      <sheetName val="rol individual 2"/>
      <sheetName val="rol individual 3"/>
      <sheetName val="rol individual 4"/>
      <sheetName val="rol individual 5"/>
      <sheetName val="CONTABIL"/>
      <sheetName val="Datos"/>
      <sheetName val="Impuestos"/>
      <sheetName val="Hoja1"/>
      <sheetName val="ENA (2)"/>
    </sheetNames>
    <sheetDataSet>
      <sheetData sheetId="0"/>
      <sheetData sheetId="1"/>
      <sheetData sheetId="2">
        <row r="1">
          <cell r="I1">
            <v>1</v>
          </cell>
        </row>
      </sheetData>
      <sheetData sheetId="3"/>
      <sheetData sheetId="4"/>
      <sheetData sheetId="5"/>
      <sheetData sheetId="6"/>
      <sheetData sheetId="7"/>
      <sheetData sheetId="8">
        <row r="1">
          <cell r="B1">
            <v>0</v>
          </cell>
        </row>
        <row r="2">
          <cell r="B2">
            <v>9.35E-2</v>
          </cell>
        </row>
        <row r="3">
          <cell r="B3">
            <v>0.1215</v>
          </cell>
        </row>
        <row r="4">
          <cell r="B4">
            <v>150</v>
          </cell>
        </row>
        <row r="6">
          <cell r="A6">
            <v>1</v>
          </cell>
          <cell r="B6" t="str">
            <v>ENERO DEL 2005</v>
          </cell>
        </row>
        <row r="7">
          <cell r="A7">
            <v>2</v>
          </cell>
          <cell r="B7" t="str">
            <v>FEBRERO DEL 2005</v>
          </cell>
        </row>
        <row r="8">
          <cell r="A8">
            <v>3</v>
          </cell>
          <cell r="B8" t="str">
            <v>MARZO DEL 2005</v>
          </cell>
        </row>
        <row r="9">
          <cell r="A9">
            <v>4</v>
          </cell>
          <cell r="B9" t="str">
            <v>ABRIL DEL 2005</v>
          </cell>
        </row>
        <row r="10">
          <cell r="A10">
            <v>5</v>
          </cell>
          <cell r="B10" t="str">
            <v>MAYO DEL 2005</v>
          </cell>
        </row>
        <row r="11">
          <cell r="A11">
            <v>6</v>
          </cell>
          <cell r="B11" t="str">
            <v>JUNIO DEL 2005</v>
          </cell>
        </row>
        <row r="12">
          <cell r="A12">
            <v>7</v>
          </cell>
          <cell r="B12" t="str">
            <v>JULIO DEL 2005</v>
          </cell>
        </row>
        <row r="13">
          <cell r="A13">
            <v>8</v>
          </cell>
          <cell r="B13" t="str">
            <v>AGOSTO DEL 2005</v>
          </cell>
        </row>
        <row r="14">
          <cell r="A14">
            <v>9</v>
          </cell>
          <cell r="B14" t="str">
            <v>SEPTIEMBRE DEL 2005</v>
          </cell>
        </row>
        <row r="15">
          <cell r="A15">
            <v>10</v>
          </cell>
          <cell r="B15" t="str">
            <v>OCTUBRE DEL 2005</v>
          </cell>
        </row>
        <row r="16">
          <cell r="A16">
            <v>11</v>
          </cell>
          <cell r="B16" t="str">
            <v>NOVIEMBRE DEL 2005</v>
          </cell>
        </row>
        <row r="17">
          <cell r="A17">
            <v>12</v>
          </cell>
          <cell r="B17" t="str">
            <v>DICIEMBRE DEL 2005</v>
          </cell>
        </row>
        <row r="19">
          <cell r="B19">
            <v>7</v>
          </cell>
        </row>
      </sheetData>
      <sheetData sheetId="9">
        <row r="7">
          <cell r="B7">
            <v>7401</v>
          </cell>
          <cell r="C7">
            <v>14800</v>
          </cell>
          <cell r="D7">
            <v>0</v>
          </cell>
          <cell r="E7">
            <v>5</v>
          </cell>
        </row>
        <row r="8">
          <cell r="B8">
            <v>14801</v>
          </cell>
          <cell r="C8">
            <v>29600</v>
          </cell>
          <cell r="D8">
            <v>370</v>
          </cell>
          <cell r="E8">
            <v>10</v>
          </cell>
        </row>
        <row r="9">
          <cell r="B9">
            <v>29601</v>
          </cell>
          <cell r="C9">
            <v>44100</v>
          </cell>
          <cell r="D9">
            <v>1850</v>
          </cell>
          <cell r="E9">
            <v>15</v>
          </cell>
        </row>
        <row r="10">
          <cell r="B10">
            <v>44101</v>
          </cell>
          <cell r="C10">
            <v>58800</v>
          </cell>
          <cell r="D10">
            <v>4025</v>
          </cell>
          <cell r="E10">
            <v>20</v>
          </cell>
        </row>
        <row r="11">
          <cell r="B11">
            <v>58801</v>
          </cell>
          <cell r="D11">
            <v>6965</v>
          </cell>
          <cell r="E11">
            <v>25</v>
          </cell>
        </row>
      </sheetData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. Tránsito"/>
      <sheetName val="I.T. ATAIC"/>
      <sheetName val="I.T. varios"/>
      <sheetName val="AIG METROPOLITANA"/>
      <sheetName val="CHEQUES DEVUELTOS"/>
      <sheetName val="Quincenas"/>
      <sheetName val="Incobrables"/>
      <sheetName val="Prep. 05-2004"/>
      <sheetName val="Laf."/>
      <sheetName val="Cartera"/>
      <sheetName val="SEGUROS PREP."/>
      <sheetName val="PLAN T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erminación del Límite"/>
      <sheetName val="Hoja de Datos"/>
      <sheetName val="Tabla del Límite"/>
      <sheetName val="Tickmarks"/>
      <sheetName val="Module1"/>
    </sheetNames>
    <sheetDataSet>
      <sheetData sheetId="0" refreshError="1"/>
      <sheetData sheetId="1" refreshError="1"/>
      <sheetData sheetId="2">
        <row r="6">
          <cell r="A6">
            <v>1</v>
          </cell>
          <cell r="B6">
            <v>0.9</v>
          </cell>
          <cell r="C6">
            <v>4.5</v>
          </cell>
          <cell r="D6">
            <v>1</v>
          </cell>
          <cell r="E6">
            <v>0.45</v>
          </cell>
          <cell r="F6">
            <v>3</v>
          </cell>
        </row>
        <row r="7">
          <cell r="A7">
            <v>2</v>
          </cell>
          <cell r="B7">
            <v>0.85</v>
          </cell>
          <cell r="C7">
            <v>4.25</v>
          </cell>
          <cell r="D7">
            <v>2</v>
          </cell>
          <cell r="E7">
            <v>0.4</v>
          </cell>
          <cell r="F7">
            <v>2.67</v>
          </cell>
        </row>
        <row r="8">
          <cell r="A8">
            <v>4</v>
          </cell>
          <cell r="B8">
            <v>0.75</v>
          </cell>
          <cell r="C8">
            <v>3.75</v>
          </cell>
          <cell r="D8">
            <v>4</v>
          </cell>
          <cell r="E8">
            <v>0.35</v>
          </cell>
          <cell r="F8">
            <v>2.33</v>
          </cell>
        </row>
        <row r="9">
          <cell r="A9">
            <v>6</v>
          </cell>
          <cell r="B9">
            <v>0.65</v>
          </cell>
          <cell r="C9">
            <v>3.25</v>
          </cell>
          <cell r="D9">
            <v>6</v>
          </cell>
          <cell r="E9">
            <v>0.3</v>
          </cell>
          <cell r="F9">
            <v>2</v>
          </cell>
        </row>
        <row r="10">
          <cell r="A10">
            <v>12</v>
          </cell>
          <cell r="B10">
            <v>0.5</v>
          </cell>
          <cell r="C10">
            <v>2.5</v>
          </cell>
          <cell r="D10">
            <v>12</v>
          </cell>
          <cell r="E10">
            <v>0.25</v>
          </cell>
          <cell r="F10">
            <v>1.67</v>
          </cell>
        </row>
        <row r="11">
          <cell r="A11">
            <v>13</v>
          </cell>
          <cell r="B11">
            <v>0.4</v>
          </cell>
          <cell r="C11">
            <v>2</v>
          </cell>
          <cell r="D11">
            <v>13</v>
          </cell>
          <cell r="E11">
            <v>0.2</v>
          </cell>
          <cell r="F11">
            <v>1.33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Hoja2"/>
      <sheetName val="Hoja3"/>
      <sheetName val="MP"/>
      <sheetName val="PRODUCCION"/>
      <sheetName val="Hoja6"/>
      <sheetName val="detalle de otros"/>
    </sheetNames>
    <sheetDataSet>
      <sheetData sheetId="0" refreshError="1"/>
      <sheetData sheetId="1">
        <row r="41">
          <cell r="Q41">
            <v>7931</v>
          </cell>
        </row>
      </sheetData>
      <sheetData sheetId="2">
        <row r="41">
          <cell r="Q41">
            <v>160811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TAS NEC"/>
      <sheetName val="PLANTAS FASB"/>
      <sheetName val="ING. VEG NEC"/>
      <sheetName val="VEG. $ NEC"/>
      <sheetName val="ING.VEG.FASB"/>
      <sheetName val="VEG $ FASB"/>
      <sheetName val="AMORT. A VEGET."/>
    </sheetNames>
    <sheetDataSet>
      <sheetData sheetId="0"/>
      <sheetData sheetId="1" refreshError="1"/>
      <sheetData sheetId="2"/>
      <sheetData sheetId="3"/>
      <sheetData sheetId="4" refreshError="1"/>
      <sheetData sheetId="5"/>
      <sheetData sheetId="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octubre"/>
      <sheetName val="NOVIEMBRE"/>
      <sheetName val="DICIEMBRE"/>
    </sheetNames>
    <sheetDataSet>
      <sheetData sheetId="0">
        <row r="1">
          <cell r="A1" t="str">
            <v>cod_cta</v>
          </cell>
        </row>
      </sheetData>
      <sheetData sheetId="1">
        <row r="1">
          <cell r="A1" t="str">
            <v>cod_cta</v>
          </cell>
          <cell r="B1" t="str">
            <v>nom_cta</v>
          </cell>
          <cell r="C1" t="str">
            <v>nivel</v>
          </cell>
          <cell r="D1" t="str">
            <v>padre</v>
          </cell>
          <cell r="E1" t="str">
            <v>compute_0009</v>
          </cell>
          <cell r="F1" t="str">
            <v>compute_0014</v>
          </cell>
        </row>
        <row r="2">
          <cell r="A2" t="str">
            <v>101010100</v>
          </cell>
          <cell r="B2" t="str">
            <v>CAJA</v>
          </cell>
          <cell r="C2" t="str">
            <v>4</v>
          </cell>
          <cell r="D2" t="str">
            <v>101010000</v>
          </cell>
          <cell r="E2">
            <v>1280</v>
          </cell>
          <cell r="F2" t="str">
            <v>D</v>
          </cell>
          <cell r="G2">
            <v>1280</v>
          </cell>
          <cell r="H2">
            <v>1280</v>
          </cell>
        </row>
        <row r="3">
          <cell r="A3" t="str">
            <v>101010200</v>
          </cell>
          <cell r="B3" t="str">
            <v>BANCOS</v>
          </cell>
          <cell r="C3" t="str">
            <v>4</v>
          </cell>
          <cell r="D3" t="str">
            <v>101010000</v>
          </cell>
          <cell r="E3">
            <v>19734.52</v>
          </cell>
          <cell r="F3" t="str">
            <v>D</v>
          </cell>
          <cell r="G3">
            <v>19734.52</v>
          </cell>
          <cell r="H3">
            <v>19734.52</v>
          </cell>
        </row>
        <row r="4">
          <cell r="A4" t="str">
            <v>101020100</v>
          </cell>
          <cell r="B4" t="str">
            <v>INVERSIONES</v>
          </cell>
          <cell r="C4" t="str">
            <v>4</v>
          </cell>
          <cell r="D4" t="str">
            <v>101020000</v>
          </cell>
          <cell r="E4">
            <v>5192.97</v>
          </cell>
          <cell r="F4" t="str">
            <v>D</v>
          </cell>
          <cell r="G4">
            <v>5192.97</v>
          </cell>
          <cell r="H4">
            <v>5192.97</v>
          </cell>
        </row>
        <row r="5">
          <cell r="A5" t="str">
            <v>101020200</v>
          </cell>
          <cell r="B5" t="str">
            <v>DEPOSITOS EN GARANTIA</v>
          </cell>
          <cell r="C5" t="str">
            <v>4</v>
          </cell>
          <cell r="D5" t="str">
            <v>101010000</v>
          </cell>
          <cell r="E5">
            <v>2364</v>
          </cell>
          <cell r="F5" t="str">
            <v>D</v>
          </cell>
          <cell r="G5">
            <v>2364</v>
          </cell>
          <cell r="H5">
            <v>2364</v>
          </cell>
        </row>
        <row r="6">
          <cell r="A6" t="str">
            <v>101030100</v>
          </cell>
          <cell r="B6" t="str">
            <v>CLIENTES</v>
          </cell>
          <cell r="C6" t="str">
            <v>4</v>
          </cell>
          <cell r="D6" t="str">
            <v>101030000</v>
          </cell>
          <cell r="E6">
            <v>1989276.55</v>
          </cell>
          <cell r="F6" t="str">
            <v>D</v>
          </cell>
          <cell r="G6">
            <v>1989276.55</v>
          </cell>
          <cell r="H6">
            <v>1989276.55</v>
          </cell>
        </row>
        <row r="7">
          <cell r="A7" t="str">
            <v>101030300</v>
          </cell>
          <cell r="B7" t="str">
            <v>CUENTAS POR COBRAR PERSONAL</v>
          </cell>
          <cell r="C7" t="str">
            <v>4</v>
          </cell>
          <cell r="D7" t="str">
            <v>101030000</v>
          </cell>
          <cell r="E7">
            <v>135241.04999999999</v>
          </cell>
          <cell r="F7" t="str">
            <v>D</v>
          </cell>
          <cell r="G7">
            <v>135241.04999999999</v>
          </cell>
          <cell r="H7">
            <v>135241.04999999999</v>
          </cell>
        </row>
        <row r="8">
          <cell r="A8" t="str">
            <v>101030400</v>
          </cell>
          <cell r="B8" t="str">
            <v>OTRAS CUENTAS POR COBRAR</v>
          </cell>
          <cell r="C8" t="str">
            <v>4</v>
          </cell>
          <cell r="D8" t="str">
            <v>101030000</v>
          </cell>
          <cell r="E8">
            <v>-4426.1099999999997</v>
          </cell>
          <cell r="F8" t="str">
            <v>D</v>
          </cell>
          <cell r="G8">
            <v>-4426.1099999999997</v>
          </cell>
          <cell r="H8">
            <v>-4426.1099999999997</v>
          </cell>
        </row>
        <row r="9">
          <cell r="A9" t="str">
            <v>101030500</v>
          </cell>
          <cell r="B9" t="str">
            <v>PROVISION CLIENTES</v>
          </cell>
          <cell r="C9" t="str">
            <v>4</v>
          </cell>
          <cell r="D9" t="str">
            <v>101030000</v>
          </cell>
          <cell r="E9">
            <v>-17488.75</v>
          </cell>
          <cell r="F9" t="str">
            <v>D</v>
          </cell>
          <cell r="G9">
            <v>-17488.75</v>
          </cell>
          <cell r="H9">
            <v>-17488.75</v>
          </cell>
        </row>
        <row r="10">
          <cell r="A10" t="str">
            <v>101040100</v>
          </cell>
          <cell r="B10" t="str">
            <v>ANTICIPO PROVEEDORES</v>
          </cell>
          <cell r="C10" t="str">
            <v>4</v>
          </cell>
          <cell r="D10" t="str">
            <v>101040000</v>
          </cell>
          <cell r="E10">
            <v>52594.52</v>
          </cell>
          <cell r="F10" t="str">
            <v>D</v>
          </cell>
          <cell r="G10">
            <v>52594.52</v>
          </cell>
          <cell r="H10">
            <v>52594.52</v>
          </cell>
        </row>
        <row r="11">
          <cell r="A11" t="str">
            <v>101050100</v>
          </cell>
          <cell r="B11" t="str">
            <v>IMPUESTOS CREDITO TRIBUTARIO</v>
          </cell>
          <cell r="C11" t="str">
            <v>4</v>
          </cell>
          <cell r="D11" t="str">
            <v>101050000</v>
          </cell>
          <cell r="E11">
            <v>59647.3</v>
          </cell>
          <cell r="F11" t="str">
            <v>D</v>
          </cell>
          <cell r="G11">
            <v>59647.3</v>
          </cell>
          <cell r="H11">
            <v>59647.3</v>
          </cell>
        </row>
        <row r="12">
          <cell r="A12" t="str">
            <v>101060100</v>
          </cell>
          <cell r="B12" t="str">
            <v>INVENTARIOS COSMED</v>
          </cell>
          <cell r="C12" t="str">
            <v>4</v>
          </cell>
          <cell r="D12" t="str">
            <v>101060000</v>
          </cell>
          <cell r="E12">
            <v>345727.64</v>
          </cell>
          <cell r="F12" t="str">
            <v>D</v>
          </cell>
          <cell r="G12">
            <v>345727.64</v>
          </cell>
          <cell r="H12">
            <v>345727.64</v>
          </cell>
        </row>
        <row r="13">
          <cell r="A13" t="str">
            <v>101060200</v>
          </cell>
          <cell r="B13" t="str">
            <v>INVENTARIOS MEDICAL</v>
          </cell>
          <cell r="C13" t="str">
            <v>4</v>
          </cell>
          <cell r="D13" t="str">
            <v>101060000</v>
          </cell>
          <cell r="E13">
            <v>202261.56</v>
          </cell>
          <cell r="F13" t="str">
            <v>D</v>
          </cell>
          <cell r="G13">
            <v>202261.56</v>
          </cell>
          <cell r="H13">
            <v>202261.56</v>
          </cell>
        </row>
        <row r="14">
          <cell r="A14" t="str">
            <v>101060300</v>
          </cell>
          <cell r="B14" t="str">
            <v>INVENTARIOS TESA</v>
          </cell>
          <cell r="C14" t="str">
            <v>4</v>
          </cell>
          <cell r="D14" t="str">
            <v>101060000</v>
          </cell>
          <cell r="E14">
            <v>137499.74</v>
          </cell>
          <cell r="F14" t="str">
            <v>D</v>
          </cell>
          <cell r="G14">
            <v>137499.74</v>
          </cell>
          <cell r="H14">
            <v>137499.74</v>
          </cell>
        </row>
        <row r="15">
          <cell r="A15" t="str">
            <v>101060400</v>
          </cell>
          <cell r="B15" t="str">
            <v>PRODUCTOS PARA PROMOCIONES</v>
          </cell>
          <cell r="C15" t="str">
            <v>4</v>
          </cell>
          <cell r="D15" t="str">
            <v>101060000</v>
          </cell>
          <cell r="E15">
            <v>93.62</v>
          </cell>
          <cell r="F15" t="str">
            <v>D</v>
          </cell>
          <cell r="G15">
            <v>93.62</v>
          </cell>
          <cell r="H15">
            <v>93.62</v>
          </cell>
        </row>
        <row r="16">
          <cell r="A16" t="str">
            <v>101060500</v>
          </cell>
          <cell r="B16" t="str">
            <v>PROVISION INVENTARIOS</v>
          </cell>
          <cell r="C16" t="str">
            <v>4</v>
          </cell>
          <cell r="D16" t="str">
            <v>101060000</v>
          </cell>
          <cell r="E16">
            <v>-49679.5</v>
          </cell>
          <cell r="F16" t="str">
            <v>D</v>
          </cell>
          <cell r="G16">
            <v>-49679.5</v>
          </cell>
          <cell r="H16">
            <v>-49679.5</v>
          </cell>
        </row>
        <row r="17">
          <cell r="A17" t="str">
            <v>101070100</v>
          </cell>
          <cell r="B17" t="str">
            <v>FACTURAS TRANSITO</v>
          </cell>
          <cell r="C17" t="str">
            <v>4</v>
          </cell>
          <cell r="D17" t="str">
            <v>101070000</v>
          </cell>
          <cell r="E17">
            <v>194028.9388</v>
          </cell>
          <cell r="F17" t="str">
            <v>D</v>
          </cell>
          <cell r="G17">
            <v>194028.9388</v>
          </cell>
          <cell r="H17">
            <v>194028.9388</v>
          </cell>
        </row>
        <row r="18">
          <cell r="A18" t="str">
            <v>101070200</v>
          </cell>
          <cell r="B18" t="str">
            <v>GASTOS DE IMPORTACION</v>
          </cell>
          <cell r="C18" t="str">
            <v>4</v>
          </cell>
          <cell r="D18" t="str">
            <v>101070000</v>
          </cell>
          <cell r="E18">
            <v>89745.23</v>
          </cell>
          <cell r="F18" t="str">
            <v>D</v>
          </cell>
          <cell r="G18">
            <v>89745.23</v>
          </cell>
          <cell r="H18">
            <v>89745.23</v>
          </cell>
        </row>
        <row r="19">
          <cell r="A19" t="str">
            <v>102010100</v>
          </cell>
          <cell r="B19" t="str">
            <v>PROPIEDAD PLANTA Y EQUIPO</v>
          </cell>
          <cell r="C19" t="str">
            <v>4</v>
          </cell>
          <cell r="D19" t="str">
            <v>102010000</v>
          </cell>
          <cell r="E19">
            <v>783927.26</v>
          </cell>
          <cell r="F19" t="str">
            <v>D</v>
          </cell>
          <cell r="G19">
            <v>783927.26</v>
          </cell>
          <cell r="H19">
            <v>783927.26</v>
          </cell>
        </row>
        <row r="20">
          <cell r="A20" t="str">
            <v>102010200</v>
          </cell>
          <cell r="B20" t="str">
            <v>REVALORIZACION ACTIVOS FIJOS</v>
          </cell>
          <cell r="C20" t="str">
            <v>4</v>
          </cell>
          <cell r="D20" t="str">
            <v>102010000</v>
          </cell>
          <cell r="E20">
            <v>111304.28</v>
          </cell>
          <cell r="F20" t="str">
            <v>D</v>
          </cell>
          <cell r="G20">
            <v>111304.28</v>
          </cell>
          <cell r="H20">
            <v>111304.28</v>
          </cell>
        </row>
        <row r="21">
          <cell r="A21" t="str">
            <v>102010300</v>
          </cell>
          <cell r="B21" t="str">
            <v>DEPRECIACION ACUMULADA ACTIVOS FIJOS</v>
          </cell>
          <cell r="C21" t="str">
            <v>4</v>
          </cell>
          <cell r="D21" t="str">
            <v>102010000</v>
          </cell>
          <cell r="E21">
            <v>-43814.43</v>
          </cell>
          <cell r="F21" t="str">
            <v>D</v>
          </cell>
          <cell r="G21">
            <v>-43814.43</v>
          </cell>
          <cell r="H21">
            <v>-43814.43</v>
          </cell>
        </row>
        <row r="22">
          <cell r="A22" t="str">
            <v>102010400</v>
          </cell>
          <cell r="B22" t="str">
            <v>DEP. ACUM. POR REVALORIAZCION</v>
          </cell>
          <cell r="C22" t="str">
            <v>4</v>
          </cell>
          <cell r="D22" t="str">
            <v>102010000</v>
          </cell>
          <cell r="E22">
            <v>-76463.58</v>
          </cell>
          <cell r="F22" t="str">
            <v>D</v>
          </cell>
          <cell r="G22">
            <v>-76463.58</v>
          </cell>
          <cell r="H22">
            <v>-76463.58</v>
          </cell>
        </row>
        <row r="23">
          <cell r="A23" t="str">
            <v>103010100</v>
          </cell>
          <cell r="B23" t="str">
            <v>GASTOS ANTICIPADOS</v>
          </cell>
          <cell r="C23" t="str">
            <v>4</v>
          </cell>
          <cell r="D23" t="str">
            <v>103010000</v>
          </cell>
          <cell r="E23">
            <v>13117.34</v>
          </cell>
          <cell r="F23" t="str">
            <v>D</v>
          </cell>
          <cell r="G23">
            <v>13117.34</v>
          </cell>
          <cell r="H23">
            <v>13117.34</v>
          </cell>
        </row>
        <row r="24">
          <cell r="A24" t="str">
            <v>103010200</v>
          </cell>
          <cell r="B24" t="str">
            <v>SEGUROS PAGADOS POR ANTICIPADO</v>
          </cell>
          <cell r="C24" t="str">
            <v>4</v>
          </cell>
          <cell r="D24" t="str">
            <v>103010000</v>
          </cell>
          <cell r="E24">
            <v>200.43</v>
          </cell>
          <cell r="F24" t="str">
            <v>D</v>
          </cell>
          <cell r="G24">
            <v>200.43</v>
          </cell>
          <cell r="H24">
            <v>200.43</v>
          </cell>
        </row>
        <row r="25">
          <cell r="A25" t="str">
            <v>103020100</v>
          </cell>
          <cell r="B25" t="str">
            <v>DIFERIDOS DE MARKETING</v>
          </cell>
          <cell r="C25" t="str">
            <v>4</v>
          </cell>
          <cell r="D25" t="str">
            <v>103020000</v>
          </cell>
          <cell r="E25">
            <v>50192.42</v>
          </cell>
          <cell r="F25" t="str">
            <v>D</v>
          </cell>
          <cell r="G25">
            <v>50192.42</v>
          </cell>
          <cell r="H25">
            <v>50192.42</v>
          </cell>
        </row>
        <row r="26">
          <cell r="A26" t="str">
            <v>103020200</v>
          </cell>
          <cell r="B26" t="str">
            <v>ACTIVOS Y GASTOS DIFERIDOS</v>
          </cell>
          <cell r="C26" t="str">
            <v>4</v>
          </cell>
          <cell r="D26" t="str">
            <v>103020000</v>
          </cell>
          <cell r="E26">
            <v>22940.54</v>
          </cell>
          <cell r="F26" t="str">
            <v>D</v>
          </cell>
          <cell r="G26">
            <v>22940.54</v>
          </cell>
          <cell r="H26">
            <v>22940.54</v>
          </cell>
        </row>
        <row r="27">
          <cell r="A27" t="str">
            <v>201010100</v>
          </cell>
          <cell r="B27" t="str">
            <v>SOBREGIROS OCASIONALES</v>
          </cell>
          <cell r="C27" t="str">
            <v>4</v>
          </cell>
          <cell r="D27" t="str">
            <v>201010000</v>
          </cell>
          <cell r="E27">
            <v>-0.28000000000000003</v>
          </cell>
          <cell r="F27" t="str">
            <v>C</v>
          </cell>
          <cell r="G27">
            <v>0.28000000000000003</v>
          </cell>
          <cell r="H27">
            <v>0.28000000000000003</v>
          </cell>
        </row>
        <row r="28">
          <cell r="A28" t="str">
            <v>201010200</v>
          </cell>
          <cell r="B28" t="str">
            <v>PRESTAMOS BANCARIOS</v>
          </cell>
          <cell r="C28" t="str">
            <v>4</v>
          </cell>
          <cell r="D28" t="str">
            <v>201010000</v>
          </cell>
          <cell r="E28">
            <v>474131.24</v>
          </cell>
          <cell r="F28" t="str">
            <v>C</v>
          </cell>
          <cell r="G28">
            <v>-474131.24</v>
          </cell>
          <cell r="H28">
            <v>-474131.24</v>
          </cell>
        </row>
        <row r="29">
          <cell r="A29" t="str">
            <v>201010300</v>
          </cell>
          <cell r="B29" t="str">
            <v>PRESTAMOS CIAS RELACIONADAS</v>
          </cell>
          <cell r="C29" t="str">
            <v>4</v>
          </cell>
          <cell r="D29" t="str">
            <v>201010000</v>
          </cell>
          <cell r="E29">
            <v>882228.66</v>
          </cell>
          <cell r="F29" t="str">
            <v>C</v>
          </cell>
          <cell r="G29">
            <v>-882228.66</v>
          </cell>
          <cell r="H29">
            <v>-882228.66</v>
          </cell>
        </row>
        <row r="30">
          <cell r="A30" t="str">
            <v>201020100</v>
          </cell>
          <cell r="B30" t="str">
            <v>PROVEEDORES CIAS. RELACIONADAS COSMED</v>
          </cell>
          <cell r="C30" t="str">
            <v>4</v>
          </cell>
          <cell r="D30" t="str">
            <v>201020000</v>
          </cell>
          <cell r="E30">
            <v>481935.81880000001</v>
          </cell>
          <cell r="F30" t="str">
            <v>C</v>
          </cell>
          <cell r="G30">
            <v>-481935.81880000001</v>
          </cell>
          <cell r="H30">
            <v>-481935.81880000001</v>
          </cell>
        </row>
        <row r="31">
          <cell r="A31" t="str">
            <v>201020200</v>
          </cell>
          <cell r="B31" t="str">
            <v>PROVEEDORES CIAS. RELACIONADAS MEDICAL</v>
          </cell>
          <cell r="C31" t="str">
            <v>4</v>
          </cell>
          <cell r="D31" t="str">
            <v>201020000</v>
          </cell>
          <cell r="E31">
            <v>176225.84</v>
          </cell>
          <cell r="F31" t="str">
            <v>C</v>
          </cell>
          <cell r="G31">
            <v>-176225.84</v>
          </cell>
          <cell r="H31">
            <v>-176225.84</v>
          </cell>
        </row>
        <row r="32">
          <cell r="A32" t="str">
            <v>201020300</v>
          </cell>
          <cell r="B32" t="str">
            <v>PROVEEDORES CIAS. RELACIONADAS TESA</v>
          </cell>
          <cell r="C32" t="str">
            <v>4</v>
          </cell>
          <cell r="D32" t="str">
            <v>201020000</v>
          </cell>
          <cell r="E32">
            <v>53113.22</v>
          </cell>
          <cell r="F32" t="str">
            <v>C</v>
          </cell>
          <cell r="G32">
            <v>-53113.22</v>
          </cell>
          <cell r="H32">
            <v>-53113.22</v>
          </cell>
        </row>
        <row r="33">
          <cell r="A33" t="str">
            <v>201030100</v>
          </cell>
          <cell r="B33" t="str">
            <v>PROVEEDORES TERCEROS COSMED</v>
          </cell>
          <cell r="C33" t="str">
            <v>4</v>
          </cell>
          <cell r="D33" t="str">
            <v>201030000</v>
          </cell>
          <cell r="E33">
            <v>38595.11</v>
          </cell>
          <cell r="F33" t="str">
            <v>C</v>
          </cell>
          <cell r="G33">
            <v>-38595.11</v>
          </cell>
          <cell r="H33">
            <v>-38595.11</v>
          </cell>
        </row>
        <row r="34">
          <cell r="A34" t="str">
            <v>201030200</v>
          </cell>
          <cell r="B34" t="str">
            <v>PROVEEDORES TERCEROS MEDICAL</v>
          </cell>
          <cell r="C34" t="str">
            <v>4</v>
          </cell>
          <cell r="D34" t="str">
            <v>201030000</v>
          </cell>
          <cell r="E34">
            <v>23213.8</v>
          </cell>
          <cell r="F34" t="str">
            <v>C</v>
          </cell>
          <cell r="G34">
            <v>-23213.8</v>
          </cell>
          <cell r="H34">
            <v>-23213.8</v>
          </cell>
        </row>
        <row r="35">
          <cell r="A35" t="str">
            <v>201030300</v>
          </cell>
          <cell r="B35" t="str">
            <v>PROVEEDORES TERCEROS TESA</v>
          </cell>
          <cell r="C35" t="str">
            <v>4</v>
          </cell>
          <cell r="D35" t="str">
            <v>201030000</v>
          </cell>
          <cell r="E35">
            <v>153.79</v>
          </cell>
          <cell r="F35" t="str">
            <v>C</v>
          </cell>
          <cell r="G35">
            <v>-153.79</v>
          </cell>
          <cell r="H35">
            <v>-153.79</v>
          </cell>
        </row>
        <row r="36">
          <cell r="A36" t="str">
            <v>201040100</v>
          </cell>
          <cell r="B36" t="str">
            <v>PROVEEDORES LOCALES</v>
          </cell>
          <cell r="C36" t="str">
            <v>4</v>
          </cell>
          <cell r="D36" t="str">
            <v>201040000</v>
          </cell>
          <cell r="E36">
            <v>827189</v>
          </cell>
          <cell r="F36" t="str">
            <v>C</v>
          </cell>
          <cell r="G36">
            <v>-827189</v>
          </cell>
          <cell r="H36">
            <v>-827189</v>
          </cell>
        </row>
        <row r="37">
          <cell r="A37" t="str">
            <v>201040200</v>
          </cell>
          <cell r="B37" t="str">
            <v>CUENTAS POR PAGAR NOMINA</v>
          </cell>
          <cell r="C37" t="str">
            <v>4</v>
          </cell>
          <cell r="D37" t="str">
            <v>201040000</v>
          </cell>
          <cell r="E37">
            <v>4600.3500000000004</v>
          </cell>
          <cell r="F37" t="str">
            <v>C</v>
          </cell>
          <cell r="G37">
            <v>-4600.3500000000004</v>
          </cell>
          <cell r="H37">
            <v>-4600.3500000000004</v>
          </cell>
        </row>
        <row r="38">
          <cell r="A38" t="str">
            <v>201040300</v>
          </cell>
          <cell r="B38" t="str">
            <v>OTRAS CUENTAS POR PAGAR</v>
          </cell>
          <cell r="C38" t="str">
            <v>4</v>
          </cell>
          <cell r="D38" t="str">
            <v>201040000</v>
          </cell>
          <cell r="E38">
            <v>3064.1</v>
          </cell>
          <cell r="F38" t="str">
            <v>C</v>
          </cell>
          <cell r="G38">
            <v>-3064.1</v>
          </cell>
          <cell r="H38">
            <v>-3064.1</v>
          </cell>
        </row>
        <row r="39">
          <cell r="A39" t="str">
            <v>201050100</v>
          </cell>
          <cell r="B39" t="str">
            <v>IMPUESTO GENERADO</v>
          </cell>
          <cell r="C39" t="str">
            <v>4</v>
          </cell>
          <cell r="D39" t="str">
            <v>201050000</v>
          </cell>
          <cell r="E39">
            <v>32186.41</v>
          </cell>
          <cell r="F39" t="str">
            <v>C</v>
          </cell>
          <cell r="G39">
            <v>-32186.41</v>
          </cell>
          <cell r="H39">
            <v>-32186.41</v>
          </cell>
        </row>
        <row r="40">
          <cell r="A40" t="str">
            <v>201050200</v>
          </cell>
          <cell r="B40" t="str">
            <v>RETENCIONES EN LA FUENTE</v>
          </cell>
          <cell r="C40" t="str">
            <v>4</v>
          </cell>
          <cell r="D40" t="str">
            <v>201050000</v>
          </cell>
          <cell r="E40">
            <v>6371.63</v>
          </cell>
          <cell r="F40" t="str">
            <v>C</v>
          </cell>
          <cell r="G40">
            <v>-6371.63</v>
          </cell>
          <cell r="H40">
            <v>-6371.63</v>
          </cell>
        </row>
        <row r="41">
          <cell r="A41" t="str">
            <v>201050300</v>
          </cell>
          <cell r="B41" t="str">
            <v>RETENCIONES IVA</v>
          </cell>
          <cell r="C41" t="str">
            <v>4</v>
          </cell>
          <cell r="D41" t="str">
            <v>201050000</v>
          </cell>
          <cell r="E41">
            <v>8629.9240000000009</v>
          </cell>
          <cell r="F41" t="str">
            <v>C</v>
          </cell>
          <cell r="G41">
            <v>-8629.9240000000009</v>
          </cell>
          <cell r="H41">
            <v>-8629.9240000000009</v>
          </cell>
        </row>
        <row r="42">
          <cell r="A42" t="str">
            <v>201060100</v>
          </cell>
          <cell r="B42" t="str">
            <v>PROVISIONES MARKETING</v>
          </cell>
          <cell r="C42" t="str">
            <v>4</v>
          </cell>
          <cell r="D42" t="str">
            <v>201060000</v>
          </cell>
          <cell r="E42">
            <v>578.07000000000005</v>
          </cell>
          <cell r="F42" t="str">
            <v>C</v>
          </cell>
          <cell r="G42">
            <v>-578.07000000000005</v>
          </cell>
          <cell r="H42">
            <v>-578.07000000000005</v>
          </cell>
        </row>
        <row r="43">
          <cell r="A43" t="str">
            <v>201060200</v>
          </cell>
          <cell r="B43" t="str">
            <v>PROVISIONES PARA PAGOS LABORALES</v>
          </cell>
          <cell r="C43" t="str">
            <v>4</v>
          </cell>
          <cell r="D43" t="str">
            <v>201060000</v>
          </cell>
          <cell r="E43">
            <v>79550.02</v>
          </cell>
          <cell r="F43" t="str">
            <v>C</v>
          </cell>
          <cell r="G43">
            <v>-79550.02</v>
          </cell>
          <cell r="H43">
            <v>-79550.02</v>
          </cell>
        </row>
        <row r="44">
          <cell r="A44" t="str">
            <v>201060300</v>
          </cell>
          <cell r="B44" t="str">
            <v>PROVISIONES PARA OBLIGACIONES FISCALES</v>
          </cell>
          <cell r="C44" t="str">
            <v>4</v>
          </cell>
          <cell r="D44" t="str">
            <v>201060000</v>
          </cell>
          <cell r="E44">
            <v>78534</v>
          </cell>
          <cell r="F44" t="str">
            <v>C</v>
          </cell>
          <cell r="G44">
            <v>-78534</v>
          </cell>
          <cell r="H44">
            <v>-78534</v>
          </cell>
        </row>
        <row r="45">
          <cell r="A45" t="str">
            <v>201060400</v>
          </cell>
          <cell r="B45" t="str">
            <v>REGALIAS POR PAGAR</v>
          </cell>
          <cell r="C45" t="str">
            <v>4</v>
          </cell>
          <cell r="D45" t="str">
            <v>201060000</v>
          </cell>
          <cell r="E45">
            <v>12697.57</v>
          </cell>
          <cell r="F45" t="str">
            <v>C</v>
          </cell>
          <cell r="G45">
            <v>-12697.57</v>
          </cell>
          <cell r="H45">
            <v>-12697.57</v>
          </cell>
        </row>
        <row r="46">
          <cell r="A46" t="str">
            <v>301010100</v>
          </cell>
          <cell r="B46" t="str">
            <v>CAPITAL SOCIAL</v>
          </cell>
          <cell r="C46" t="str">
            <v>4</v>
          </cell>
          <cell r="D46" t="str">
            <v>301010000</v>
          </cell>
          <cell r="E46">
            <v>424640</v>
          </cell>
          <cell r="F46" t="str">
            <v>C</v>
          </cell>
          <cell r="G46">
            <v>-424640</v>
          </cell>
          <cell r="H46">
            <v>-424640</v>
          </cell>
        </row>
        <row r="47">
          <cell r="A47" t="str">
            <v>301010200</v>
          </cell>
          <cell r="B47" t="str">
            <v>RESERVAS</v>
          </cell>
          <cell r="C47" t="str">
            <v>4</v>
          </cell>
          <cell r="D47" t="str">
            <v>301010000</v>
          </cell>
          <cell r="E47">
            <v>342021.54</v>
          </cell>
          <cell r="F47" t="str">
            <v>C</v>
          </cell>
          <cell r="G47">
            <v>-342021.54</v>
          </cell>
          <cell r="H47">
            <v>-342021.54</v>
          </cell>
        </row>
        <row r="48">
          <cell r="A48" t="str">
            <v>301010300</v>
          </cell>
          <cell r="B48" t="str">
            <v>REEXPRESION MONETARIA</v>
          </cell>
          <cell r="C48" t="str">
            <v>4</v>
          </cell>
          <cell r="D48" t="str">
            <v>301010000</v>
          </cell>
          <cell r="E48">
            <v>-175239.93</v>
          </cell>
          <cell r="F48" t="str">
            <v>C</v>
          </cell>
          <cell r="G48">
            <v>175239.93</v>
          </cell>
          <cell r="H48">
            <v>175239.93</v>
          </cell>
        </row>
        <row r="49">
          <cell r="A49" t="str">
            <v>301010400</v>
          </cell>
          <cell r="B49" t="str">
            <v>UTILIDADES RETENIDAS</v>
          </cell>
          <cell r="C49" t="str">
            <v>4</v>
          </cell>
          <cell r="D49" t="str">
            <v>301010000</v>
          </cell>
          <cell r="E49">
            <v>41579</v>
          </cell>
          <cell r="F49" t="str">
            <v>C</v>
          </cell>
          <cell r="G49">
            <v>-41579</v>
          </cell>
          <cell r="H49">
            <v>-41579</v>
          </cell>
        </row>
        <row r="50">
          <cell r="A50" t="str">
            <v>301010500</v>
          </cell>
          <cell r="B50" t="str">
            <v>UTILIDADES DEL EJERCICIO</v>
          </cell>
          <cell r="C50" t="str">
            <v>4</v>
          </cell>
          <cell r="D50" t="str">
            <v>301010000</v>
          </cell>
          <cell r="E50">
            <v>208498.65599999999</v>
          </cell>
          <cell r="F50" t="str">
            <v>C</v>
          </cell>
          <cell r="G50">
            <v>-208498.65599999999</v>
          </cell>
          <cell r="H50">
            <v>-208498.65599999999</v>
          </cell>
        </row>
      </sheetData>
      <sheetData sheetId="2">
        <row r="1">
          <cell r="A1" t="str">
            <v>cod_cta</v>
          </cell>
          <cell r="B1" t="str">
            <v>nom_cta</v>
          </cell>
          <cell r="C1" t="str">
            <v>nivel</v>
          </cell>
          <cell r="D1" t="str">
            <v>compute_0009</v>
          </cell>
          <cell r="E1" t="str">
            <v>compute_0014</v>
          </cell>
          <cell r="F1" t="str">
            <v>compute_0014</v>
          </cell>
        </row>
        <row r="2">
          <cell r="A2" t="str">
            <v>101010100</v>
          </cell>
          <cell r="B2" t="str">
            <v>CAJA</v>
          </cell>
          <cell r="C2" t="str">
            <v>4</v>
          </cell>
          <cell r="D2">
            <v>1280</v>
          </cell>
          <cell r="E2" t="str">
            <v>D</v>
          </cell>
          <cell r="F2">
            <v>1280</v>
          </cell>
          <cell r="G2">
            <v>1280</v>
          </cell>
        </row>
        <row r="3">
          <cell r="A3" t="str">
            <v>101010200</v>
          </cell>
          <cell r="B3" t="str">
            <v>BANCOS</v>
          </cell>
          <cell r="C3" t="str">
            <v>4</v>
          </cell>
          <cell r="D3">
            <v>103713.8838</v>
          </cell>
          <cell r="E3" t="str">
            <v>D</v>
          </cell>
          <cell r="F3">
            <v>103713.8838</v>
          </cell>
          <cell r="G3">
            <v>103713.8838</v>
          </cell>
        </row>
        <row r="4">
          <cell r="A4" t="str">
            <v>101020100</v>
          </cell>
          <cell r="B4" t="str">
            <v>INVERSIONES</v>
          </cell>
          <cell r="C4" t="str">
            <v>4</v>
          </cell>
          <cell r="D4">
            <v>5192.97</v>
          </cell>
          <cell r="E4" t="str">
            <v>D</v>
          </cell>
          <cell r="F4">
            <v>5192.97</v>
          </cell>
          <cell r="G4">
            <v>5192.97</v>
          </cell>
        </row>
        <row r="5">
          <cell r="A5" t="str">
            <v>101020200</v>
          </cell>
          <cell r="B5" t="str">
            <v>DEPOSITOS EN GARANTIA</v>
          </cell>
          <cell r="C5" t="str">
            <v>4</v>
          </cell>
          <cell r="D5">
            <v>3714</v>
          </cell>
          <cell r="E5" t="str">
            <v>D</v>
          </cell>
          <cell r="F5">
            <v>3714</v>
          </cell>
          <cell r="G5">
            <v>3714</v>
          </cell>
        </row>
        <row r="6">
          <cell r="A6" t="str">
            <v>101030100</v>
          </cell>
          <cell r="B6" t="str">
            <v>CLIENTES</v>
          </cell>
          <cell r="C6" t="str">
            <v>4</v>
          </cell>
          <cell r="D6">
            <v>2127488.64</v>
          </cell>
          <cell r="E6" t="str">
            <v>D</v>
          </cell>
          <cell r="F6">
            <v>2127488.64</v>
          </cell>
          <cell r="G6">
            <v>2127488.64</v>
          </cell>
        </row>
        <row r="7">
          <cell r="A7" t="str">
            <v>101030300</v>
          </cell>
          <cell r="B7" t="str">
            <v>CUENTAS POR COBRAR PERSONAL</v>
          </cell>
          <cell r="C7" t="str">
            <v>4</v>
          </cell>
          <cell r="D7">
            <v>150881.01999999999</v>
          </cell>
          <cell r="E7" t="str">
            <v>D</v>
          </cell>
          <cell r="F7">
            <v>150881.01999999999</v>
          </cell>
          <cell r="G7">
            <v>150881.01999999999</v>
          </cell>
        </row>
        <row r="8">
          <cell r="A8" t="str">
            <v>101030400</v>
          </cell>
          <cell r="B8" t="str">
            <v>OTRAS CUENTAS POR COBRAR</v>
          </cell>
          <cell r="C8" t="str">
            <v>4</v>
          </cell>
          <cell r="D8">
            <v>11328.2</v>
          </cell>
          <cell r="E8" t="str">
            <v>D</v>
          </cell>
          <cell r="F8">
            <v>11328.2</v>
          </cell>
          <cell r="G8">
            <v>11328.2</v>
          </cell>
        </row>
        <row r="9">
          <cell r="A9" t="str">
            <v>101030500</v>
          </cell>
          <cell r="B9" t="str">
            <v>PROVISION CLIENTES</v>
          </cell>
          <cell r="C9" t="str">
            <v>4</v>
          </cell>
          <cell r="D9">
            <v>-18420.97</v>
          </cell>
          <cell r="E9" t="str">
            <v>D</v>
          </cell>
          <cell r="F9">
            <v>-18420.97</v>
          </cell>
          <cell r="G9">
            <v>-18420.97</v>
          </cell>
        </row>
        <row r="10">
          <cell r="A10" t="str">
            <v>101040100</v>
          </cell>
          <cell r="B10" t="str">
            <v>ANTICIPO PROVEEDORES</v>
          </cell>
          <cell r="C10" t="str">
            <v>4</v>
          </cell>
          <cell r="D10">
            <v>59460.46</v>
          </cell>
          <cell r="E10" t="str">
            <v>D</v>
          </cell>
          <cell r="F10">
            <v>59460.46</v>
          </cell>
          <cell r="G10">
            <v>59460.46</v>
          </cell>
        </row>
        <row r="11">
          <cell r="A11" t="str">
            <v>101050100</v>
          </cell>
          <cell r="B11" t="str">
            <v>IMPUESTOS CREDITO TRIBUTARIO</v>
          </cell>
          <cell r="C11" t="str">
            <v>4</v>
          </cell>
          <cell r="D11">
            <v>64925.89</v>
          </cell>
          <cell r="E11" t="str">
            <v>D</v>
          </cell>
          <cell r="F11">
            <v>64925.89</v>
          </cell>
          <cell r="G11">
            <v>64925.89</v>
          </cell>
        </row>
        <row r="12">
          <cell r="A12" t="str">
            <v>101060100</v>
          </cell>
          <cell r="B12" t="str">
            <v>INVENTARIOS COSMED</v>
          </cell>
          <cell r="C12" t="str">
            <v>4</v>
          </cell>
          <cell r="D12">
            <v>347244.2</v>
          </cell>
          <cell r="E12" t="str">
            <v>D</v>
          </cell>
          <cell r="F12">
            <v>347244.2</v>
          </cell>
          <cell r="G12">
            <v>347244.2</v>
          </cell>
        </row>
        <row r="13">
          <cell r="A13" t="str">
            <v>101060200</v>
          </cell>
          <cell r="B13" t="str">
            <v>INVENTARIOS MEDICAL</v>
          </cell>
          <cell r="C13" t="str">
            <v>4</v>
          </cell>
          <cell r="D13">
            <v>240784.46</v>
          </cell>
          <cell r="E13" t="str">
            <v>D</v>
          </cell>
          <cell r="F13">
            <v>240784.46</v>
          </cell>
          <cell r="G13">
            <v>240784.46</v>
          </cell>
        </row>
        <row r="14">
          <cell r="A14" t="str">
            <v>101060300</v>
          </cell>
          <cell r="B14" t="str">
            <v>INVENTARIOS TESA</v>
          </cell>
          <cell r="C14" t="str">
            <v>4</v>
          </cell>
          <cell r="D14">
            <v>131299.81</v>
          </cell>
          <cell r="E14" t="str">
            <v>D</v>
          </cell>
          <cell r="F14">
            <v>131299.81</v>
          </cell>
          <cell r="G14">
            <v>131299.81</v>
          </cell>
        </row>
        <row r="15">
          <cell r="A15" t="str">
            <v>101060400</v>
          </cell>
          <cell r="B15" t="str">
            <v>PRODUCTOS PARA PROMOCIONES</v>
          </cell>
          <cell r="C15" t="str">
            <v>4</v>
          </cell>
          <cell r="D15">
            <v>93.62</v>
          </cell>
          <cell r="E15" t="str">
            <v>D</v>
          </cell>
          <cell r="F15">
            <v>93.62</v>
          </cell>
          <cell r="G15">
            <v>93.62</v>
          </cell>
        </row>
        <row r="16">
          <cell r="A16" t="str">
            <v>101060500</v>
          </cell>
          <cell r="B16" t="str">
            <v>PROVISION INVENTARIOS</v>
          </cell>
          <cell r="C16" t="str">
            <v>4</v>
          </cell>
          <cell r="D16">
            <v>-50977.89</v>
          </cell>
          <cell r="E16" t="str">
            <v>D</v>
          </cell>
          <cell r="F16">
            <v>-50977.89</v>
          </cell>
          <cell r="G16">
            <v>-50977.89</v>
          </cell>
        </row>
        <row r="17">
          <cell r="A17" t="str">
            <v>101070100</v>
          </cell>
          <cell r="B17" t="str">
            <v>FACTURAS TRANSITO</v>
          </cell>
          <cell r="C17" t="str">
            <v>4</v>
          </cell>
          <cell r="D17">
            <v>258285.9344</v>
          </cell>
          <cell r="E17" t="str">
            <v>D</v>
          </cell>
          <cell r="F17">
            <v>258285.9344</v>
          </cell>
          <cell r="G17">
            <v>258285.9344</v>
          </cell>
        </row>
        <row r="18">
          <cell r="A18" t="str">
            <v>101070200</v>
          </cell>
          <cell r="B18" t="str">
            <v>GASTOS DE IMPORTACION</v>
          </cell>
          <cell r="C18" t="str">
            <v>4</v>
          </cell>
          <cell r="D18">
            <v>114949.55</v>
          </cell>
          <cell r="E18" t="str">
            <v>D</v>
          </cell>
          <cell r="F18">
            <v>114949.55</v>
          </cell>
          <cell r="G18">
            <v>114949.55</v>
          </cell>
        </row>
        <row r="19">
          <cell r="A19" t="str">
            <v>102010100</v>
          </cell>
          <cell r="B19" t="str">
            <v>PROPIEDAD PLANTA Y EQUIPO</v>
          </cell>
          <cell r="C19" t="str">
            <v>4</v>
          </cell>
          <cell r="D19">
            <v>809480.31</v>
          </cell>
          <cell r="E19" t="str">
            <v>D</v>
          </cell>
          <cell r="F19">
            <v>809480.31</v>
          </cell>
          <cell r="G19">
            <v>809480.31</v>
          </cell>
        </row>
        <row r="20">
          <cell r="A20" t="str">
            <v>102010200</v>
          </cell>
          <cell r="B20" t="str">
            <v>REVALORIZACION ACTIVOS FIJOS</v>
          </cell>
          <cell r="C20" t="str">
            <v>4</v>
          </cell>
          <cell r="D20">
            <v>111304.28</v>
          </cell>
          <cell r="E20" t="str">
            <v>D</v>
          </cell>
          <cell r="F20">
            <v>111304.28</v>
          </cell>
          <cell r="G20">
            <v>111304.28</v>
          </cell>
        </row>
        <row r="21">
          <cell r="A21" t="str">
            <v>102010300</v>
          </cell>
          <cell r="B21" t="str">
            <v>DEPRECIACION ACUMULADA ACTIVOS FIJOS</v>
          </cell>
          <cell r="C21" t="str">
            <v>4</v>
          </cell>
          <cell r="D21">
            <v>-47579.27</v>
          </cell>
          <cell r="E21" t="str">
            <v>D</v>
          </cell>
          <cell r="F21">
            <v>-47579.27</v>
          </cell>
          <cell r="G21">
            <v>-47579.27</v>
          </cell>
        </row>
        <row r="22">
          <cell r="A22" t="str">
            <v>102010400</v>
          </cell>
          <cell r="B22" t="str">
            <v>DEP. ACUM. POR REVALORIAZCION</v>
          </cell>
          <cell r="C22" t="str">
            <v>4</v>
          </cell>
          <cell r="D22">
            <v>-79083.039999999994</v>
          </cell>
          <cell r="E22" t="str">
            <v>D</v>
          </cell>
          <cell r="F22">
            <v>-79083.039999999994</v>
          </cell>
          <cell r="G22">
            <v>-79083.039999999994</v>
          </cell>
        </row>
        <row r="23">
          <cell r="A23" t="str">
            <v>103010100</v>
          </cell>
          <cell r="B23" t="str">
            <v>GASTOS ANTICIPADOS</v>
          </cell>
          <cell r="C23" t="str">
            <v>4</v>
          </cell>
          <cell r="D23">
            <v>4347.37</v>
          </cell>
          <cell r="E23" t="str">
            <v>D</v>
          </cell>
          <cell r="F23">
            <v>4347.37</v>
          </cell>
          <cell r="G23">
            <v>4347.37</v>
          </cell>
        </row>
        <row r="24">
          <cell r="A24" t="str">
            <v>103010200</v>
          </cell>
          <cell r="B24" t="str">
            <v>SEGUROS PAGADOS POR ANTICIPADO</v>
          </cell>
          <cell r="C24" t="str">
            <v>4</v>
          </cell>
          <cell r="D24">
            <v>200.43</v>
          </cell>
          <cell r="E24" t="str">
            <v>D</v>
          </cell>
          <cell r="F24">
            <v>200.43</v>
          </cell>
          <cell r="G24">
            <v>200.43</v>
          </cell>
        </row>
        <row r="25">
          <cell r="A25" t="str">
            <v>103020100</v>
          </cell>
          <cell r="B25" t="str">
            <v>DIFERIDOS DE MARKETING</v>
          </cell>
          <cell r="C25" t="str">
            <v>4</v>
          </cell>
          <cell r="D25">
            <v>30361.31</v>
          </cell>
          <cell r="E25" t="str">
            <v>D</v>
          </cell>
          <cell r="F25">
            <v>30361.31</v>
          </cell>
          <cell r="G25">
            <v>30361.31</v>
          </cell>
        </row>
        <row r="26">
          <cell r="A26" t="str">
            <v>103020200</v>
          </cell>
          <cell r="B26" t="str">
            <v>ACTIVOS Y GASTOS DIFERIDOS</v>
          </cell>
          <cell r="C26" t="str">
            <v>4</v>
          </cell>
          <cell r="D26">
            <v>-0.01</v>
          </cell>
          <cell r="E26" t="str">
            <v>D</v>
          </cell>
          <cell r="F26">
            <v>-0.01</v>
          </cell>
          <cell r="G26">
            <v>-0.01</v>
          </cell>
        </row>
        <row r="27">
          <cell r="A27" t="str">
            <v>201010100</v>
          </cell>
          <cell r="B27" t="str">
            <v>SOBREGIROS OCASIONALES</v>
          </cell>
          <cell r="C27" t="str">
            <v>4</v>
          </cell>
          <cell r="D27">
            <v>122842.6</v>
          </cell>
          <cell r="E27" t="str">
            <v>C</v>
          </cell>
          <cell r="F27">
            <v>-122842.6</v>
          </cell>
          <cell r="G27">
            <v>-122842.6</v>
          </cell>
        </row>
        <row r="28">
          <cell r="A28" t="str">
            <v>201010200</v>
          </cell>
          <cell r="B28" t="str">
            <v>PRESTAMOS BANCARIOS</v>
          </cell>
          <cell r="C28" t="str">
            <v>4</v>
          </cell>
          <cell r="D28">
            <v>699516.74</v>
          </cell>
          <cell r="E28" t="str">
            <v>C</v>
          </cell>
          <cell r="F28">
            <v>-699516.74</v>
          </cell>
          <cell r="G28">
            <v>-699516.74</v>
          </cell>
        </row>
        <row r="29">
          <cell r="A29" t="str">
            <v>201010300</v>
          </cell>
          <cell r="B29" t="str">
            <v>PRESTAMOS CIAS RELACIONADAS</v>
          </cell>
          <cell r="C29" t="str">
            <v>4</v>
          </cell>
          <cell r="D29">
            <v>823895.33</v>
          </cell>
          <cell r="E29" t="str">
            <v>C</v>
          </cell>
          <cell r="F29">
            <v>-823895.33</v>
          </cell>
          <cell r="G29">
            <v>-823895.33</v>
          </cell>
        </row>
        <row r="30">
          <cell r="A30" t="str">
            <v>201020100</v>
          </cell>
          <cell r="B30" t="str">
            <v>PROVEEDORES CIAS. RELACIONADAS COSMED</v>
          </cell>
          <cell r="C30" t="str">
            <v>4</v>
          </cell>
          <cell r="D30">
            <v>485912.02639999997</v>
          </cell>
          <cell r="E30" t="str">
            <v>C</v>
          </cell>
          <cell r="F30">
            <v>-485912.02639999997</v>
          </cell>
          <cell r="G30">
            <v>-485912.02639999997</v>
          </cell>
        </row>
        <row r="31">
          <cell r="A31" t="str">
            <v>201020200</v>
          </cell>
          <cell r="B31" t="str">
            <v>PROVEEDORES CIAS. RELACIONADAS MEDICAL</v>
          </cell>
          <cell r="C31" t="str">
            <v>4</v>
          </cell>
          <cell r="D31">
            <v>158846.71</v>
          </cell>
          <cell r="E31" t="str">
            <v>C</v>
          </cell>
          <cell r="F31">
            <v>-158846.71</v>
          </cell>
          <cell r="G31">
            <v>-158846.71</v>
          </cell>
        </row>
        <row r="32">
          <cell r="A32" t="str">
            <v>201020300</v>
          </cell>
          <cell r="B32" t="str">
            <v>PROVEEDORES CIAS. RELACIONADAS TESA</v>
          </cell>
          <cell r="C32" t="str">
            <v>4</v>
          </cell>
          <cell r="D32">
            <v>39323.9</v>
          </cell>
          <cell r="E32" t="str">
            <v>C</v>
          </cell>
          <cell r="F32">
            <v>-39323.9</v>
          </cell>
          <cell r="G32">
            <v>-39323.9</v>
          </cell>
        </row>
        <row r="33">
          <cell r="A33" t="str">
            <v>201030100</v>
          </cell>
          <cell r="B33" t="str">
            <v>PROVEEDORES TERCEROS COSMED</v>
          </cell>
          <cell r="C33" t="str">
            <v>4</v>
          </cell>
          <cell r="D33">
            <v>47074.438000000002</v>
          </cell>
          <cell r="E33" t="str">
            <v>C</v>
          </cell>
          <cell r="F33">
            <v>-47074.438000000002</v>
          </cell>
          <cell r="G33">
            <v>-47074.438000000002</v>
          </cell>
        </row>
        <row r="34">
          <cell r="A34" t="str">
            <v>201030200</v>
          </cell>
          <cell r="B34" t="str">
            <v>PROVEEDORES TERCEROS MEDICAL</v>
          </cell>
          <cell r="C34" t="str">
            <v>4</v>
          </cell>
          <cell r="D34">
            <v>34074.959999999999</v>
          </cell>
          <cell r="E34" t="str">
            <v>C</v>
          </cell>
          <cell r="F34">
            <v>-34074.959999999999</v>
          </cell>
          <cell r="G34">
            <v>-34074.959999999999</v>
          </cell>
        </row>
        <row r="35">
          <cell r="A35" t="str">
            <v>201030300</v>
          </cell>
          <cell r="B35" t="str">
            <v>PROVEEDORES TERCEROS TESA</v>
          </cell>
          <cell r="C35" t="str">
            <v>4</v>
          </cell>
          <cell r="D35">
            <v>153.79</v>
          </cell>
          <cell r="E35" t="str">
            <v>C</v>
          </cell>
          <cell r="F35">
            <v>-153.79</v>
          </cell>
          <cell r="G35">
            <v>-153.79</v>
          </cell>
        </row>
        <row r="36">
          <cell r="A36" t="str">
            <v>201040100</v>
          </cell>
          <cell r="B36" t="str">
            <v>PROVEEDORES LOCALES</v>
          </cell>
          <cell r="C36" t="str">
            <v>4</v>
          </cell>
          <cell r="D36">
            <v>842143.04</v>
          </cell>
          <cell r="E36" t="str">
            <v>C</v>
          </cell>
          <cell r="F36">
            <v>-842143.04</v>
          </cell>
          <cell r="G36">
            <v>-842143.04</v>
          </cell>
        </row>
        <row r="37">
          <cell r="A37" t="str">
            <v>201040200</v>
          </cell>
          <cell r="B37" t="str">
            <v>CUENTAS POR PAGAR NOMINA</v>
          </cell>
          <cell r="C37" t="str">
            <v>4</v>
          </cell>
          <cell r="D37">
            <v>3758.93</v>
          </cell>
          <cell r="E37" t="str">
            <v>C</v>
          </cell>
          <cell r="F37">
            <v>-3758.93</v>
          </cell>
          <cell r="G37">
            <v>-3758.93</v>
          </cell>
        </row>
        <row r="38">
          <cell r="A38" t="str">
            <v>201040300</v>
          </cell>
          <cell r="B38" t="str">
            <v>OTRAS CUENTAS POR PAGAR</v>
          </cell>
          <cell r="C38" t="str">
            <v>4</v>
          </cell>
          <cell r="D38">
            <v>2713.38</v>
          </cell>
          <cell r="E38" t="str">
            <v>C</v>
          </cell>
          <cell r="F38">
            <v>-2713.38</v>
          </cell>
          <cell r="G38">
            <v>-2713.38</v>
          </cell>
        </row>
        <row r="39">
          <cell r="A39" t="str">
            <v>201050100</v>
          </cell>
          <cell r="B39" t="str">
            <v>IMPUESTO GENERADO</v>
          </cell>
          <cell r="C39" t="str">
            <v>4</v>
          </cell>
          <cell r="D39">
            <v>11589.28</v>
          </cell>
          <cell r="E39" t="str">
            <v>C</v>
          </cell>
          <cell r="F39">
            <v>-11589.28</v>
          </cell>
          <cell r="G39">
            <v>-11589.28</v>
          </cell>
        </row>
        <row r="40">
          <cell r="A40" t="str">
            <v>201050200</v>
          </cell>
          <cell r="B40" t="str">
            <v>RETENCIONES EN LA FUENTE</v>
          </cell>
          <cell r="C40" t="str">
            <v>4</v>
          </cell>
          <cell r="D40">
            <v>2822.93</v>
          </cell>
          <cell r="E40" t="str">
            <v>C</v>
          </cell>
          <cell r="F40">
            <v>-2822.93</v>
          </cell>
          <cell r="G40">
            <v>-2822.93</v>
          </cell>
        </row>
        <row r="41">
          <cell r="A41" t="str">
            <v>201050300</v>
          </cell>
          <cell r="B41" t="str">
            <v>RETENCIONES IVA</v>
          </cell>
          <cell r="C41" t="str">
            <v>4</v>
          </cell>
          <cell r="D41">
            <v>10505.074000000001</v>
          </cell>
          <cell r="E41" t="str">
            <v>C</v>
          </cell>
          <cell r="F41">
            <v>-10505.074000000001</v>
          </cell>
          <cell r="G41">
            <v>-10505.074000000001</v>
          </cell>
        </row>
        <row r="42">
          <cell r="A42" t="str">
            <v>201060100</v>
          </cell>
          <cell r="B42" t="str">
            <v>PROVISIONES MARKETING</v>
          </cell>
          <cell r="C42" t="str">
            <v>4</v>
          </cell>
          <cell r="D42">
            <v>24732.43</v>
          </cell>
          <cell r="E42" t="str">
            <v>C</v>
          </cell>
          <cell r="F42">
            <v>-24732.43</v>
          </cell>
          <cell r="G42">
            <v>-24732.43</v>
          </cell>
        </row>
        <row r="43">
          <cell r="A43" t="str">
            <v>201060200</v>
          </cell>
          <cell r="B43" t="str">
            <v>PROVISIONES PARA PAGOS LABORALES</v>
          </cell>
          <cell r="C43" t="str">
            <v>4</v>
          </cell>
          <cell r="D43">
            <v>87690.15</v>
          </cell>
          <cell r="E43" t="str">
            <v>C</v>
          </cell>
          <cell r="F43">
            <v>-87690.15</v>
          </cell>
          <cell r="G43">
            <v>-87690.15</v>
          </cell>
        </row>
        <row r="44">
          <cell r="A44" t="str">
            <v>201060300</v>
          </cell>
          <cell r="B44" t="str">
            <v>PROVISIONES PARA OBLIGACIONES FISCALES</v>
          </cell>
          <cell r="C44" t="str">
            <v>4</v>
          </cell>
          <cell r="D44">
            <v>87548.67</v>
          </cell>
          <cell r="E44" t="str">
            <v>C</v>
          </cell>
          <cell r="F44">
            <v>-87548.67</v>
          </cell>
          <cell r="G44">
            <v>-87548.67</v>
          </cell>
        </row>
        <row r="45">
          <cell r="A45" t="str">
            <v>201060400</v>
          </cell>
          <cell r="B45" t="str">
            <v>REGALIAS POR PAGAR</v>
          </cell>
          <cell r="C45" t="str">
            <v>4</v>
          </cell>
          <cell r="D45">
            <v>23156.35</v>
          </cell>
          <cell r="E45" t="str">
            <v>C</v>
          </cell>
          <cell r="F45">
            <v>-23156.35</v>
          </cell>
          <cell r="G45">
            <v>-23156.35</v>
          </cell>
        </row>
        <row r="46">
          <cell r="A46" t="str">
            <v>301010100</v>
          </cell>
          <cell r="B46" t="str">
            <v>CAPITAL SOCIAL</v>
          </cell>
          <cell r="C46" t="str">
            <v>4</v>
          </cell>
          <cell r="D46">
            <v>424640</v>
          </cell>
          <cell r="E46" t="str">
            <v>C</v>
          </cell>
          <cell r="F46">
            <v>-424640</v>
          </cell>
          <cell r="G46">
            <v>-424640</v>
          </cell>
        </row>
        <row r="47">
          <cell r="A47" t="str">
            <v>301010200</v>
          </cell>
          <cell r="B47" t="str">
            <v>RESERVAS</v>
          </cell>
          <cell r="C47" t="str">
            <v>4</v>
          </cell>
          <cell r="D47">
            <v>342021.54</v>
          </cell>
          <cell r="E47" t="str">
            <v>C</v>
          </cell>
          <cell r="F47">
            <v>-342021.54</v>
          </cell>
          <cell r="G47">
            <v>-342021.54</v>
          </cell>
        </row>
        <row r="48">
          <cell r="A48" t="str">
            <v>301010300</v>
          </cell>
          <cell r="B48" t="str">
            <v>REEXPRESION MONETARIA</v>
          </cell>
          <cell r="C48" t="str">
            <v>4</v>
          </cell>
          <cell r="D48">
            <v>-175239.93</v>
          </cell>
          <cell r="E48" t="str">
            <v>C</v>
          </cell>
          <cell r="F48">
            <v>175239.93</v>
          </cell>
          <cell r="G48">
            <v>175239.93</v>
          </cell>
        </row>
        <row r="49">
          <cell r="A49" t="str">
            <v>301010400</v>
          </cell>
          <cell r="B49" t="str">
            <v>UTILIDADES RETENIDAS</v>
          </cell>
          <cell r="C49" t="str">
            <v>4</v>
          </cell>
          <cell r="D49">
            <v>41579</v>
          </cell>
          <cell r="E49" t="str">
            <v>C</v>
          </cell>
          <cell r="F49">
            <v>-41579</v>
          </cell>
          <cell r="G49">
            <v>-41579</v>
          </cell>
        </row>
        <row r="50">
          <cell r="A50" t="str">
            <v>301010500</v>
          </cell>
          <cell r="B50" t="str">
            <v>UTILIDADES DEL EJERCICIO</v>
          </cell>
          <cell r="C50" t="str">
            <v>4</v>
          </cell>
          <cell r="D50">
            <v>238973.8198</v>
          </cell>
          <cell r="E50" t="str">
            <v>C</v>
          </cell>
          <cell r="F50">
            <v>-238973.8198</v>
          </cell>
          <cell r="G50">
            <v>-238973.8198</v>
          </cell>
        </row>
      </sheetData>
      <sheetData sheetId="3">
        <row r="1">
          <cell r="A1" t="str">
            <v>cod_cta</v>
          </cell>
        </row>
        <row r="2">
          <cell r="A2" t="str">
            <v>101010100</v>
          </cell>
          <cell r="B2" t="str">
            <v>CAJA</v>
          </cell>
          <cell r="C2" t="str">
            <v>4</v>
          </cell>
          <cell r="D2">
            <v>1680</v>
          </cell>
          <cell r="E2" t="str">
            <v>D</v>
          </cell>
          <cell r="F2">
            <v>1680</v>
          </cell>
          <cell r="G2">
            <v>1680</v>
          </cell>
        </row>
        <row r="3">
          <cell r="A3" t="str">
            <v>101010200</v>
          </cell>
          <cell r="B3" t="str">
            <v>BANCOS</v>
          </cell>
          <cell r="C3" t="str">
            <v>4</v>
          </cell>
          <cell r="D3">
            <v>111406.9538</v>
          </cell>
          <cell r="E3" t="str">
            <v>D</v>
          </cell>
          <cell r="F3">
            <v>111406.9538</v>
          </cell>
          <cell r="G3">
            <v>111406.9538</v>
          </cell>
        </row>
        <row r="4">
          <cell r="A4" t="str">
            <v>101020100</v>
          </cell>
          <cell r="B4" t="str">
            <v>INVERSIONES</v>
          </cell>
          <cell r="C4" t="str">
            <v>4</v>
          </cell>
          <cell r="D4">
            <v>5192.97</v>
          </cell>
          <cell r="E4" t="str">
            <v>D</v>
          </cell>
          <cell r="F4">
            <v>5192.97</v>
          </cell>
          <cell r="G4">
            <v>5192.97</v>
          </cell>
        </row>
        <row r="5">
          <cell r="A5" t="str">
            <v>101020200</v>
          </cell>
          <cell r="B5" t="str">
            <v>DEPOSITOS EN GARANTIA</v>
          </cell>
          <cell r="C5" t="str">
            <v>4</v>
          </cell>
          <cell r="D5">
            <v>2060</v>
          </cell>
          <cell r="E5" t="str">
            <v>D</v>
          </cell>
          <cell r="F5">
            <v>2060</v>
          </cell>
          <cell r="G5">
            <v>2060</v>
          </cell>
        </row>
        <row r="6">
          <cell r="A6" t="str">
            <v>101030100</v>
          </cell>
          <cell r="B6" t="str">
            <v>CLIENTES</v>
          </cell>
          <cell r="C6" t="str">
            <v>4</v>
          </cell>
          <cell r="D6">
            <v>2189856.36</v>
          </cell>
          <cell r="E6" t="str">
            <v>D</v>
          </cell>
          <cell r="F6">
            <v>2189856.36</v>
          </cell>
          <cell r="G6">
            <v>2189856.36</v>
          </cell>
        </row>
        <row r="7">
          <cell r="A7" t="str">
            <v>101030300</v>
          </cell>
          <cell r="B7" t="str">
            <v>CUENTAS POR COBRAR PERSONAL</v>
          </cell>
          <cell r="C7" t="str">
            <v>4</v>
          </cell>
          <cell r="D7">
            <v>146141.20000000001</v>
          </cell>
          <cell r="E7" t="str">
            <v>D</v>
          </cell>
          <cell r="F7">
            <v>146141.20000000001</v>
          </cell>
          <cell r="G7">
            <v>146141.20000000001</v>
          </cell>
        </row>
        <row r="8">
          <cell r="A8" t="str">
            <v>101030400</v>
          </cell>
          <cell r="B8" t="str">
            <v>OTRAS CUENTAS POR COBRAR</v>
          </cell>
          <cell r="C8" t="str">
            <v>4</v>
          </cell>
          <cell r="D8">
            <v>-51801.279999999999</v>
          </cell>
          <cell r="E8" t="str">
            <v>D</v>
          </cell>
          <cell r="F8">
            <v>-51801.279999999999</v>
          </cell>
          <cell r="G8">
            <v>-51801.279999999999</v>
          </cell>
        </row>
        <row r="9">
          <cell r="A9" t="str">
            <v>101030500</v>
          </cell>
          <cell r="B9" t="str">
            <v>PROVISION CLIENTES</v>
          </cell>
          <cell r="C9" t="str">
            <v>4</v>
          </cell>
          <cell r="D9">
            <v>-16531.39</v>
          </cell>
          <cell r="E9" t="str">
            <v>D</v>
          </cell>
          <cell r="F9">
            <v>-16531.39</v>
          </cell>
          <cell r="G9">
            <v>-16531.39</v>
          </cell>
        </row>
        <row r="10">
          <cell r="A10" t="str">
            <v>101040100</v>
          </cell>
          <cell r="B10" t="str">
            <v>ANTICIPO PROVEEDORES</v>
          </cell>
          <cell r="C10" t="str">
            <v>4</v>
          </cell>
          <cell r="D10">
            <v>47785.06</v>
          </cell>
          <cell r="E10" t="str">
            <v>D</v>
          </cell>
          <cell r="F10">
            <v>47785.06</v>
          </cell>
          <cell r="G10">
            <v>47785.06</v>
          </cell>
        </row>
        <row r="11">
          <cell r="A11" t="str">
            <v>101050100</v>
          </cell>
          <cell r="B11" t="str">
            <v>IMPUESTOS CREDITO TRIBUTARIO</v>
          </cell>
          <cell r="C11" t="str">
            <v>4</v>
          </cell>
          <cell r="D11">
            <v>69653.279999999999</v>
          </cell>
          <cell r="E11" t="str">
            <v>D</v>
          </cell>
          <cell r="F11">
            <v>69653.279999999999</v>
          </cell>
          <cell r="G11">
            <v>69653.279999999999</v>
          </cell>
        </row>
        <row r="12">
          <cell r="A12" t="str">
            <v>101060100</v>
          </cell>
          <cell r="B12" t="str">
            <v>INVENTARIOS COSMED</v>
          </cell>
          <cell r="C12" t="str">
            <v>4</v>
          </cell>
          <cell r="D12">
            <v>346043.02</v>
          </cell>
          <cell r="E12" t="str">
            <v>D</v>
          </cell>
          <cell r="F12">
            <v>346043.02</v>
          </cell>
          <cell r="G12">
            <v>346043.02</v>
          </cell>
        </row>
        <row r="13">
          <cell r="A13" t="str">
            <v>101060200</v>
          </cell>
          <cell r="B13" t="str">
            <v>INVENTARIOS MEDICAL</v>
          </cell>
          <cell r="C13" t="str">
            <v>4</v>
          </cell>
          <cell r="D13">
            <v>178240.98</v>
          </cell>
          <cell r="E13" t="str">
            <v>D</v>
          </cell>
          <cell r="F13">
            <v>178240.98</v>
          </cell>
          <cell r="G13">
            <v>178240.98</v>
          </cell>
        </row>
        <row r="14">
          <cell r="A14" t="str">
            <v>101060300</v>
          </cell>
          <cell r="B14" t="str">
            <v>INVENTARIOS TESA</v>
          </cell>
          <cell r="C14" t="str">
            <v>4</v>
          </cell>
          <cell r="D14">
            <v>114999.54</v>
          </cell>
          <cell r="E14" t="str">
            <v>D</v>
          </cell>
          <cell r="F14">
            <v>114999.54</v>
          </cell>
          <cell r="G14">
            <v>114999.54</v>
          </cell>
        </row>
        <row r="15">
          <cell r="A15" t="str">
            <v>101060400</v>
          </cell>
          <cell r="B15" t="str">
            <v>PRODUCTOS PARA PROMOCIONES</v>
          </cell>
          <cell r="C15" t="str">
            <v>4</v>
          </cell>
          <cell r="D15">
            <v>86.26</v>
          </cell>
          <cell r="E15" t="str">
            <v>D</v>
          </cell>
          <cell r="F15">
            <v>86.26</v>
          </cell>
          <cell r="G15">
            <v>86.26</v>
          </cell>
        </row>
        <row r="16">
          <cell r="A16" t="str">
            <v>101060500</v>
          </cell>
          <cell r="B16" t="str">
            <v>PROVISION INVENTARIOS</v>
          </cell>
          <cell r="C16" t="str">
            <v>4</v>
          </cell>
          <cell r="D16">
            <v>-35304.26</v>
          </cell>
          <cell r="E16" t="str">
            <v>D</v>
          </cell>
          <cell r="F16">
            <v>-35304.26</v>
          </cell>
          <cell r="G16">
            <v>-35304.26</v>
          </cell>
        </row>
        <row r="17">
          <cell r="A17" t="str">
            <v>101070100</v>
          </cell>
          <cell r="B17" t="str">
            <v>FACTURAS TRANSITO</v>
          </cell>
          <cell r="C17" t="str">
            <v>4</v>
          </cell>
          <cell r="D17">
            <v>267838.57059999998</v>
          </cell>
          <cell r="E17" t="str">
            <v>D</v>
          </cell>
          <cell r="F17">
            <v>267838.57059999998</v>
          </cell>
          <cell r="G17">
            <v>267838.57059999998</v>
          </cell>
        </row>
        <row r="18">
          <cell r="A18" t="str">
            <v>101070200</v>
          </cell>
          <cell r="B18" t="str">
            <v>GASTOS DE IMPORTACION</v>
          </cell>
          <cell r="C18" t="str">
            <v>4</v>
          </cell>
          <cell r="D18">
            <v>122766.6</v>
          </cell>
          <cell r="E18" t="str">
            <v>D</v>
          </cell>
          <cell r="F18">
            <v>122766.6</v>
          </cell>
          <cell r="G18">
            <v>122766.6</v>
          </cell>
        </row>
        <row r="19">
          <cell r="A19" t="str">
            <v>102010100</v>
          </cell>
          <cell r="B19" t="str">
            <v>PROPIEDAD PLANTA Y EQUIPO</v>
          </cell>
          <cell r="C19" t="str">
            <v>4</v>
          </cell>
          <cell r="D19">
            <v>811824.31</v>
          </cell>
          <cell r="E19" t="str">
            <v>D</v>
          </cell>
          <cell r="F19">
            <v>811824.31</v>
          </cell>
          <cell r="G19">
            <v>811824.31</v>
          </cell>
        </row>
        <row r="20">
          <cell r="A20" t="str">
            <v>102010200</v>
          </cell>
          <cell r="B20" t="str">
            <v>REVALORIZACION ACTIVOS FIJOS</v>
          </cell>
          <cell r="C20" t="str">
            <v>4</v>
          </cell>
          <cell r="D20">
            <v>111304.28</v>
          </cell>
          <cell r="E20" t="str">
            <v>D</v>
          </cell>
          <cell r="F20">
            <v>111304.28</v>
          </cell>
          <cell r="G20">
            <v>111304.28</v>
          </cell>
        </row>
        <row r="21">
          <cell r="A21" t="str">
            <v>102010300</v>
          </cell>
          <cell r="B21" t="str">
            <v>DEPRECIACION ACUMULADA ACTIVOS FIJOS</v>
          </cell>
          <cell r="C21" t="str">
            <v>4</v>
          </cell>
          <cell r="D21">
            <v>-49461.69</v>
          </cell>
          <cell r="E21" t="str">
            <v>D</v>
          </cell>
          <cell r="F21">
            <v>-49461.69</v>
          </cell>
          <cell r="G21">
            <v>-49461.69</v>
          </cell>
        </row>
        <row r="22">
          <cell r="A22" t="str">
            <v>102010400</v>
          </cell>
          <cell r="B22" t="str">
            <v>DEP. ACUM. POR REVALORIAZCION</v>
          </cell>
          <cell r="C22" t="str">
            <v>4</v>
          </cell>
          <cell r="D22">
            <v>-80392.77</v>
          </cell>
          <cell r="E22" t="str">
            <v>D</v>
          </cell>
          <cell r="F22">
            <v>-80392.77</v>
          </cell>
          <cell r="G22">
            <v>-80392.77</v>
          </cell>
        </row>
        <row r="23">
          <cell r="A23" t="str">
            <v>103010100</v>
          </cell>
          <cell r="B23" t="str">
            <v>GASTOS ANTICIPADOS</v>
          </cell>
          <cell r="C23" t="str">
            <v>4</v>
          </cell>
          <cell r="D23">
            <v>4347.37</v>
          </cell>
          <cell r="E23" t="str">
            <v>D</v>
          </cell>
          <cell r="F23">
            <v>4347.37</v>
          </cell>
          <cell r="G23">
            <v>4347.37</v>
          </cell>
        </row>
        <row r="24">
          <cell r="A24" t="str">
            <v>103010200</v>
          </cell>
          <cell r="B24" t="str">
            <v>SEGUROS PAGADOS POR ANTICIPADO</v>
          </cell>
          <cell r="C24" t="str">
            <v>4</v>
          </cell>
          <cell r="D24">
            <v>200.43</v>
          </cell>
          <cell r="E24" t="str">
            <v>D</v>
          </cell>
          <cell r="F24">
            <v>200.43</v>
          </cell>
          <cell r="G24">
            <v>200.43</v>
          </cell>
        </row>
        <row r="25">
          <cell r="A25" t="str">
            <v>103020100</v>
          </cell>
          <cell r="B25" t="str">
            <v>DIFERIDOS DE MARKETING</v>
          </cell>
          <cell r="C25" t="str">
            <v>4</v>
          </cell>
          <cell r="D25">
            <v>47248.27</v>
          </cell>
          <cell r="E25" t="str">
            <v>D</v>
          </cell>
          <cell r="F25">
            <v>47248.27</v>
          </cell>
          <cell r="G25">
            <v>47248.27</v>
          </cell>
        </row>
        <row r="26">
          <cell r="A26" t="str">
            <v>103020200</v>
          </cell>
          <cell r="B26" t="str">
            <v>ACTIVOS Y GASTOS DIFERIDOS</v>
          </cell>
          <cell r="C26" t="str">
            <v>4</v>
          </cell>
          <cell r="D26">
            <v>-0.01</v>
          </cell>
          <cell r="E26" t="str">
            <v>D</v>
          </cell>
          <cell r="F26">
            <v>-0.01</v>
          </cell>
          <cell r="G26">
            <v>-0.01</v>
          </cell>
        </row>
        <row r="27">
          <cell r="A27" t="str">
            <v>201010100</v>
          </cell>
          <cell r="B27" t="str">
            <v>SOBREGIROS OCASIONALES</v>
          </cell>
          <cell r="C27" t="str">
            <v>4</v>
          </cell>
          <cell r="D27">
            <v>122842.6</v>
          </cell>
          <cell r="E27" t="str">
            <v>C</v>
          </cell>
          <cell r="F27">
            <v>-122842.6</v>
          </cell>
          <cell r="G27">
            <v>-122842.6</v>
          </cell>
        </row>
        <row r="28">
          <cell r="A28" t="str">
            <v>201010200</v>
          </cell>
          <cell r="B28" t="str">
            <v>PRESTAMOS BANCARIOS</v>
          </cell>
          <cell r="C28" t="str">
            <v>4</v>
          </cell>
          <cell r="D28">
            <v>599614.92000000004</v>
          </cell>
          <cell r="E28" t="str">
            <v>C</v>
          </cell>
          <cell r="F28">
            <v>-599614.92000000004</v>
          </cell>
          <cell r="G28">
            <v>-599614.92000000004</v>
          </cell>
        </row>
        <row r="29">
          <cell r="A29" t="str">
            <v>201010300</v>
          </cell>
          <cell r="B29" t="str">
            <v>PRESTAMOS CIAS RELACIONADAS</v>
          </cell>
          <cell r="C29" t="str">
            <v>4</v>
          </cell>
          <cell r="D29">
            <v>810822.7</v>
          </cell>
          <cell r="E29" t="str">
            <v>C</v>
          </cell>
          <cell r="F29">
            <v>-810822.7</v>
          </cell>
          <cell r="G29">
            <v>-810822.7</v>
          </cell>
        </row>
        <row r="30">
          <cell r="A30" t="str">
            <v>201020100</v>
          </cell>
          <cell r="B30" t="str">
            <v>PROVEEDORES CIAS. RELACIONADAS COSMED</v>
          </cell>
          <cell r="C30" t="str">
            <v>4</v>
          </cell>
          <cell r="D30">
            <v>628745.34259999997</v>
          </cell>
          <cell r="E30" t="str">
            <v>C</v>
          </cell>
          <cell r="F30">
            <v>-628745.34259999997</v>
          </cell>
          <cell r="G30">
            <v>-628745.34259999997</v>
          </cell>
        </row>
        <row r="31">
          <cell r="A31" t="str">
            <v>201020200</v>
          </cell>
          <cell r="B31" t="str">
            <v>PROVEEDORES CIAS. RELACIONADAS MEDICAL</v>
          </cell>
          <cell r="C31" t="str">
            <v>4</v>
          </cell>
          <cell r="D31">
            <v>158846.71</v>
          </cell>
          <cell r="E31" t="str">
            <v>C</v>
          </cell>
          <cell r="F31">
            <v>-158846.71</v>
          </cell>
          <cell r="G31">
            <v>-158846.71</v>
          </cell>
        </row>
        <row r="32">
          <cell r="A32" t="str">
            <v>201020300</v>
          </cell>
          <cell r="B32" t="str">
            <v>PROVEEDORES CIAS. RELACIONADAS TESA</v>
          </cell>
          <cell r="C32" t="str">
            <v>4</v>
          </cell>
          <cell r="D32">
            <v>37816.33</v>
          </cell>
          <cell r="E32" t="str">
            <v>C</v>
          </cell>
          <cell r="F32">
            <v>-37816.33</v>
          </cell>
          <cell r="G32">
            <v>-37816.33</v>
          </cell>
        </row>
        <row r="33">
          <cell r="A33" t="str">
            <v>201030100</v>
          </cell>
          <cell r="B33" t="str">
            <v>PROVEEDORES TERCEROS COSMED</v>
          </cell>
          <cell r="C33" t="str">
            <v>4</v>
          </cell>
          <cell r="D33">
            <v>47074.438000000002</v>
          </cell>
          <cell r="E33" t="str">
            <v>C</v>
          </cell>
          <cell r="F33">
            <v>-47074.438000000002</v>
          </cell>
          <cell r="G33">
            <v>-47074.438000000002</v>
          </cell>
        </row>
        <row r="34">
          <cell r="A34" t="str">
            <v>201030200</v>
          </cell>
          <cell r="B34" t="str">
            <v>PROVEEDORES TERCEROS MEDICAL</v>
          </cell>
          <cell r="C34" t="str">
            <v>4</v>
          </cell>
          <cell r="D34">
            <v>34074.959999999999</v>
          </cell>
          <cell r="E34" t="str">
            <v>C</v>
          </cell>
          <cell r="F34">
            <v>-34074.959999999999</v>
          </cell>
          <cell r="G34">
            <v>-34074.959999999999</v>
          </cell>
        </row>
        <row r="35">
          <cell r="A35" t="str">
            <v>201030300</v>
          </cell>
          <cell r="B35" t="str">
            <v>PROVEEDORES TERCEROS TESA</v>
          </cell>
          <cell r="C35" t="str">
            <v>4</v>
          </cell>
          <cell r="D35">
            <v>153.79</v>
          </cell>
          <cell r="E35" t="str">
            <v>C</v>
          </cell>
          <cell r="F35">
            <v>-153.79</v>
          </cell>
          <cell r="G35">
            <v>-153.79</v>
          </cell>
        </row>
        <row r="36">
          <cell r="A36" t="str">
            <v>201040100</v>
          </cell>
          <cell r="B36" t="str">
            <v>PROVEEDORES LOCALES</v>
          </cell>
          <cell r="C36" t="str">
            <v>4</v>
          </cell>
          <cell r="D36">
            <v>808337.53</v>
          </cell>
          <cell r="E36" t="str">
            <v>C</v>
          </cell>
          <cell r="F36">
            <v>-808337.53</v>
          </cell>
          <cell r="G36">
            <v>-808337.53</v>
          </cell>
        </row>
        <row r="37">
          <cell r="A37" t="str">
            <v>201040200</v>
          </cell>
          <cell r="B37" t="str">
            <v>CUENTAS POR PAGAR NOMINA</v>
          </cell>
          <cell r="C37" t="str">
            <v>4</v>
          </cell>
          <cell r="D37">
            <v>3947.54</v>
          </cell>
          <cell r="E37" t="str">
            <v>C</v>
          </cell>
          <cell r="F37">
            <v>-3947.54</v>
          </cell>
          <cell r="G37">
            <v>-3947.54</v>
          </cell>
        </row>
        <row r="38">
          <cell r="A38" t="str">
            <v>201040300</v>
          </cell>
          <cell r="B38" t="str">
            <v>OTRAS CUENTAS POR PAGAR</v>
          </cell>
          <cell r="C38" t="str">
            <v>4</v>
          </cell>
          <cell r="D38">
            <v>2695.14</v>
          </cell>
          <cell r="E38" t="str">
            <v>C</v>
          </cell>
          <cell r="F38">
            <v>-2695.14</v>
          </cell>
          <cell r="G38">
            <v>-2695.14</v>
          </cell>
        </row>
        <row r="39">
          <cell r="A39" t="str">
            <v>201050100</v>
          </cell>
          <cell r="B39" t="str">
            <v>IMPUESTO GENERADO</v>
          </cell>
          <cell r="C39" t="str">
            <v>4</v>
          </cell>
          <cell r="D39">
            <v>24266.43</v>
          </cell>
          <cell r="E39" t="str">
            <v>C</v>
          </cell>
          <cell r="F39">
            <v>-24266.43</v>
          </cell>
          <cell r="G39">
            <v>-24266.43</v>
          </cell>
        </row>
        <row r="40">
          <cell r="A40" t="str">
            <v>201050200</v>
          </cell>
          <cell r="B40" t="str">
            <v>RETENCIONES EN LA FUENTE</v>
          </cell>
          <cell r="C40" t="str">
            <v>4</v>
          </cell>
          <cell r="D40">
            <v>7141.72</v>
          </cell>
          <cell r="E40" t="str">
            <v>C</v>
          </cell>
          <cell r="F40">
            <v>-7141.72</v>
          </cell>
          <cell r="G40">
            <v>-7141.72</v>
          </cell>
        </row>
        <row r="41">
          <cell r="A41" t="str">
            <v>201050300</v>
          </cell>
          <cell r="B41" t="str">
            <v>RETENCIONES IVA</v>
          </cell>
          <cell r="C41" t="str">
            <v>4</v>
          </cell>
          <cell r="D41">
            <v>9889.4740000000002</v>
          </cell>
          <cell r="E41" t="str">
            <v>C</v>
          </cell>
          <cell r="F41">
            <v>-9889.4740000000002</v>
          </cell>
          <cell r="G41">
            <v>-9889.4740000000002</v>
          </cell>
        </row>
        <row r="42">
          <cell r="A42" t="str">
            <v>201060100</v>
          </cell>
          <cell r="B42" t="str">
            <v>PROVISIONES MARKETING</v>
          </cell>
          <cell r="C42" t="str">
            <v>4</v>
          </cell>
          <cell r="D42">
            <v>568.65</v>
          </cell>
          <cell r="E42" t="str">
            <v>C</v>
          </cell>
          <cell r="F42">
            <v>-568.65</v>
          </cell>
          <cell r="G42">
            <v>-568.65</v>
          </cell>
        </row>
        <row r="43">
          <cell r="A43" t="str">
            <v>201060200</v>
          </cell>
          <cell r="B43" t="str">
            <v>PROVISIONES PARA PAGOS LABORALES</v>
          </cell>
          <cell r="C43" t="str">
            <v>4</v>
          </cell>
          <cell r="D43">
            <v>68680.45</v>
          </cell>
          <cell r="E43" t="str">
            <v>C</v>
          </cell>
          <cell r="F43">
            <v>-68680.45</v>
          </cell>
          <cell r="G43">
            <v>-68680.45</v>
          </cell>
        </row>
        <row r="44">
          <cell r="A44" t="str">
            <v>201060300</v>
          </cell>
          <cell r="B44" t="str">
            <v>PROVISIONES PARA OBLIGACIONES FISCALES</v>
          </cell>
          <cell r="C44" t="str">
            <v>4</v>
          </cell>
          <cell r="D44">
            <v>91082.74</v>
          </cell>
          <cell r="E44" t="str">
            <v>C</v>
          </cell>
          <cell r="F44">
            <v>-91082.74</v>
          </cell>
          <cell r="G44">
            <v>-91082.74</v>
          </cell>
        </row>
        <row r="45">
          <cell r="A45" t="str">
            <v>301010100</v>
          </cell>
          <cell r="B45" t="str">
            <v>CAPITAL SOCIAL</v>
          </cell>
          <cell r="C45" t="str">
            <v>4</v>
          </cell>
          <cell r="D45">
            <v>31424</v>
          </cell>
          <cell r="E45" t="str">
            <v>C</v>
          </cell>
          <cell r="F45">
            <v>-424640</v>
          </cell>
          <cell r="G45">
            <v>-424640</v>
          </cell>
        </row>
        <row r="46">
          <cell r="A46" t="str">
            <v>301010200</v>
          </cell>
          <cell r="B46" t="str">
            <v>RESERVAS</v>
          </cell>
          <cell r="C46" t="str">
            <v>4</v>
          </cell>
          <cell r="D46">
            <v>342021.54</v>
          </cell>
          <cell r="E46" t="str">
            <v>C</v>
          </cell>
          <cell r="F46">
            <v>-342021.54</v>
          </cell>
          <cell r="G46">
            <v>-342021.54</v>
          </cell>
        </row>
        <row r="47">
          <cell r="A47" t="str">
            <v>301010300</v>
          </cell>
          <cell r="B47" t="str">
            <v>REEXPRESION MONETARIA</v>
          </cell>
          <cell r="C47" t="str">
            <v>4</v>
          </cell>
          <cell r="D47">
            <v>-175239.93</v>
          </cell>
          <cell r="E47" t="str">
            <v>C</v>
          </cell>
          <cell r="F47">
            <v>175239.93</v>
          </cell>
          <cell r="G47">
            <v>175239.93</v>
          </cell>
        </row>
        <row r="48">
          <cell r="A48" t="str">
            <v>301010400</v>
          </cell>
          <cell r="B48" t="str">
            <v>UTILIDADES RETENIDAS</v>
          </cell>
          <cell r="C48" t="str">
            <v>4</v>
          </cell>
          <cell r="D48">
            <v>41579</v>
          </cell>
          <cell r="E48" t="str">
            <v>C</v>
          </cell>
          <cell r="F48">
            <v>-41579</v>
          </cell>
          <cell r="G48">
            <v>-41579</v>
          </cell>
        </row>
        <row r="49">
          <cell r="A49" t="str">
            <v>301010500</v>
          </cell>
          <cell r="B49" t="str">
            <v>UTILIDADES DEL EJERCICIO</v>
          </cell>
          <cell r="C49" t="str">
            <v>4</v>
          </cell>
          <cell r="D49">
            <v>255581.9798</v>
          </cell>
          <cell r="E49" t="str">
            <v>C</v>
          </cell>
          <cell r="F49">
            <v>-255581.9798</v>
          </cell>
          <cell r="G49">
            <v>-255581.9798</v>
          </cell>
        </row>
        <row r="50">
          <cell r="A50" t="str">
            <v>301010500</v>
          </cell>
          <cell r="B50" t="str">
            <v>UTILIDADES DEL EJERCICIO</v>
          </cell>
          <cell r="C50" t="str">
            <v>4</v>
          </cell>
          <cell r="D50">
            <v>238973.8198</v>
          </cell>
          <cell r="E50" t="str">
            <v>C</v>
          </cell>
          <cell r="F50">
            <v>-238973.8198</v>
          </cell>
          <cell r="G50">
            <v>-238973.8198</v>
          </cell>
        </row>
        <row r="51">
          <cell r="F5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o de Compañías"/>
      <sheetName val="Anexos EEFF"/>
      <sheetName val="Comentarios"/>
      <sheetName val="Balance Comp. (AS)"/>
      <sheetName val="E.E.F.F."/>
      <sheetName val="Revisión Analítica"/>
      <sheetName val="Cajas Chicas - Sueltos (MI)"/>
      <sheetName val="Concili. Bancarias (MI)"/>
      <sheetName val="Detalle Conc. Banc. (MI)"/>
      <sheetName val="Inversiones"/>
      <sheetName val="Cartera Cías. Relac. (PCH)"/>
      <sheetName val="Cartera (PCH)"/>
      <sheetName val="Prov. Incobra. (PCH)"/>
      <sheetName val="Prov. Pérdida de Inventario (AS"/>
      <sheetName val="Costo Amortizado NIIF (AS)"/>
      <sheetName val="Conceciones (AS)"/>
      <sheetName val="Otras Cuentas por Cobrar (PT)"/>
      <sheetName val="Servicios Pag. x Adelan (AS)"/>
      <sheetName val="Amortizaciones (AS)"/>
      <sheetName val="Arriendos Pag. x Adelan (AS)"/>
      <sheetName val="Licencias Pag. x Adelan (AS)"/>
      <sheetName val="Detalle Inv. Valorado"/>
      <sheetName val="Mov. Inv. (YA)"/>
      <sheetName val="Detalle Compras Inven. (YA)"/>
      <sheetName val="Inv. Tránsit. (YA)"/>
      <sheetName val="Prov. Obsolesc. (YA)"/>
      <sheetName val="Detalle Polizas Seguros (YA)"/>
      <sheetName val="1294.03 AMORTIZACIONES"/>
      <sheetName val="PPE (HR)"/>
      <sheetName val="Mov. PPE Costo (HR)"/>
      <sheetName val="Mov. PPE Deprec. (HR)"/>
      <sheetName val="Detalle compras PPE (HR)"/>
      <sheetName val="Bajas y ventas PPE (HR)"/>
      <sheetName val="Detalle Concesiones"/>
      <sheetName val="Inversiones en Acciones"/>
      <sheetName val="Mov. Inversiones Acciones"/>
      <sheetName val="Proveedores (PCH)"/>
      <sheetName val="Prestamos"/>
      <sheetName val="CxP Cías. Relacionadas (PCH)"/>
      <sheetName val="Provisiones (YA)"/>
      <sheetName val="Det de Oblig. Financieras (MI)"/>
      <sheetName val="Benefcios Sociales (PT)"/>
      <sheetName val="IVA (HR)"/>
      <sheetName val="Cruce IVA vs Libros (HR)"/>
      <sheetName val="Cruce Renta vs Libros (YA)"/>
      <sheetName val="Movimiento Patrimonio (AS)"/>
      <sheetName val="bc (AS)"/>
      <sheetName val="Anticipos ISD (PCH)"/>
      <sheetName val="n"/>
      <sheetName val="Transitoria Bancos (YA)"/>
      <sheetName val="DETALLE P.COMER-OBLIG (MI)"/>
    </sheetNames>
    <sheetDataSet>
      <sheetData sheetId="0"/>
      <sheetData sheetId="1">
        <row r="8">
          <cell r="H8" t="str">
            <v>Superdeporte S.A.</v>
          </cell>
        </row>
      </sheetData>
      <sheetData sheetId="2"/>
      <sheetData sheetId="3">
        <row r="146">
          <cell r="G146">
            <v>249208.24000000005</v>
          </cell>
        </row>
      </sheetData>
      <sheetData sheetId="4"/>
      <sheetData sheetId="5"/>
      <sheetData sheetId="6"/>
      <sheetData sheetId="7">
        <row r="3">
          <cell r="A3">
            <v>42613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4">
          <cell r="K14">
            <v>60981288.149999999</v>
          </cell>
        </row>
      </sheetData>
      <sheetData sheetId="23"/>
      <sheetData sheetId="24"/>
      <sheetData sheetId="25"/>
      <sheetData sheetId="26"/>
      <sheetData sheetId="27"/>
      <sheetData sheetId="28">
        <row r="30">
          <cell r="B30" t="str">
            <v>1212,02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ad"/>
      <sheetName val="Links"/>
      <sheetName val="XREF"/>
      <sheetName val="Tickmarks"/>
    </sheetNames>
    <sheetDataSet>
      <sheetData sheetId="0">
        <row r="2">
          <cell r="F2" t="str">
            <v>Preliminar</v>
          </cell>
          <cell r="I2" t="str">
            <v>Saldos Ajustados</v>
          </cell>
        </row>
        <row r="4">
          <cell r="I4">
            <v>0</v>
          </cell>
        </row>
        <row r="6">
          <cell r="I6">
            <v>0</v>
          </cell>
        </row>
        <row r="8">
          <cell r="I8">
            <v>0</v>
          </cell>
        </row>
        <row r="10">
          <cell r="I10">
            <v>0</v>
          </cell>
        </row>
        <row r="12">
          <cell r="I12">
            <v>0</v>
          </cell>
        </row>
        <row r="14">
          <cell r="I14">
            <v>467</v>
          </cell>
        </row>
        <row r="15">
          <cell r="I15">
            <v>119540</v>
          </cell>
        </row>
        <row r="16">
          <cell r="I16">
            <v>172</v>
          </cell>
        </row>
        <row r="17">
          <cell r="I17">
            <v>462</v>
          </cell>
        </row>
        <row r="18">
          <cell r="I18">
            <v>120641</v>
          </cell>
        </row>
        <row r="20">
          <cell r="I20">
            <v>5000</v>
          </cell>
        </row>
        <row r="21">
          <cell r="I21">
            <v>45000</v>
          </cell>
        </row>
        <row r="22">
          <cell r="I22">
            <v>50000</v>
          </cell>
        </row>
        <row r="24">
          <cell r="I24">
            <v>369</v>
          </cell>
        </row>
        <row r="25">
          <cell r="I25">
            <v>369</v>
          </cell>
        </row>
        <row r="27">
          <cell r="I27">
            <v>0</v>
          </cell>
        </row>
        <row r="29">
          <cell r="I29">
            <v>0</v>
          </cell>
        </row>
        <row r="31">
          <cell r="I31">
            <v>1466</v>
          </cell>
        </row>
        <row r="32">
          <cell r="I32">
            <v>1466</v>
          </cell>
        </row>
        <row r="34">
          <cell r="I34">
            <v>0</v>
          </cell>
        </row>
        <row r="36">
          <cell r="I36">
            <v>87</v>
          </cell>
        </row>
        <row r="37">
          <cell r="I37">
            <v>1083</v>
          </cell>
        </row>
        <row r="38">
          <cell r="I38">
            <v>1320</v>
          </cell>
        </row>
        <row r="39">
          <cell r="I39">
            <v>2867</v>
          </cell>
        </row>
        <row r="40">
          <cell r="I40">
            <v>5357</v>
          </cell>
        </row>
        <row r="42">
          <cell r="I42">
            <v>2948</v>
          </cell>
        </row>
        <row r="43">
          <cell r="I43">
            <v>2948</v>
          </cell>
        </row>
      </sheetData>
      <sheetData sheetId="1">
        <row r="1">
          <cell r="F1" t="str">
            <v>Preliminar</v>
          </cell>
          <cell r="G1" t="str">
            <v>AJE</v>
          </cell>
          <cell r="I1" t="str">
            <v>RJE</v>
          </cell>
          <cell r="J1" t="str">
            <v>31-Dic-03</v>
          </cell>
          <cell r="K1" t="str">
            <v>31-dic-02</v>
          </cell>
        </row>
        <row r="3">
          <cell r="F3">
            <v>0</v>
          </cell>
          <cell r="G3">
            <v>0</v>
          </cell>
          <cell r="I3">
            <v>0</v>
          </cell>
          <cell r="J3">
            <v>0</v>
          </cell>
          <cell r="K3">
            <v>0</v>
          </cell>
        </row>
        <row r="5">
          <cell r="F5">
            <v>0</v>
          </cell>
          <cell r="G5">
            <v>0</v>
          </cell>
          <cell r="I5">
            <v>0</v>
          </cell>
          <cell r="J5">
            <v>0</v>
          </cell>
          <cell r="K5">
            <v>0</v>
          </cell>
        </row>
        <row r="7">
          <cell r="F7">
            <v>0</v>
          </cell>
          <cell r="G7">
            <v>0</v>
          </cell>
          <cell r="I7">
            <v>0</v>
          </cell>
          <cell r="J7">
            <v>0</v>
          </cell>
          <cell r="K7">
            <v>0</v>
          </cell>
        </row>
        <row r="9">
          <cell r="F9">
            <v>0</v>
          </cell>
          <cell r="G9">
            <v>0</v>
          </cell>
          <cell r="I9">
            <v>0</v>
          </cell>
          <cell r="J9">
            <v>0</v>
          </cell>
          <cell r="K9">
            <v>0</v>
          </cell>
        </row>
        <row r="11">
          <cell r="F11">
            <v>0</v>
          </cell>
          <cell r="G11">
            <v>0</v>
          </cell>
          <cell r="I11">
            <v>0</v>
          </cell>
          <cell r="J11">
            <v>0</v>
          </cell>
          <cell r="K11">
            <v>0</v>
          </cell>
        </row>
        <row r="13">
          <cell r="F13">
            <v>467</v>
          </cell>
          <cell r="G13">
            <v>0</v>
          </cell>
          <cell r="I13">
            <v>0</v>
          </cell>
          <cell r="J13">
            <v>467</v>
          </cell>
          <cell r="K13">
            <v>0</v>
          </cell>
        </row>
        <row r="14">
          <cell r="F14">
            <v>119540</v>
          </cell>
          <cell r="G14">
            <v>0</v>
          </cell>
          <cell r="I14">
            <v>0</v>
          </cell>
          <cell r="J14">
            <v>119540</v>
          </cell>
          <cell r="K14">
            <v>0</v>
          </cell>
        </row>
        <row r="15">
          <cell r="F15">
            <v>172</v>
          </cell>
          <cell r="G15">
            <v>0</v>
          </cell>
          <cell r="I15">
            <v>0</v>
          </cell>
          <cell r="J15">
            <v>172</v>
          </cell>
          <cell r="K15">
            <v>0</v>
          </cell>
        </row>
        <row r="16">
          <cell r="F16">
            <v>462</v>
          </cell>
          <cell r="G16">
            <v>0</v>
          </cell>
          <cell r="I16">
            <v>0</v>
          </cell>
          <cell r="J16">
            <v>462</v>
          </cell>
          <cell r="K16">
            <v>0</v>
          </cell>
        </row>
        <row r="17">
          <cell r="F17">
            <v>120641</v>
          </cell>
          <cell r="G17">
            <v>0</v>
          </cell>
          <cell r="I17">
            <v>0</v>
          </cell>
          <cell r="J17">
            <v>120641</v>
          </cell>
          <cell r="K17">
            <v>0</v>
          </cell>
        </row>
        <row r="19">
          <cell r="F19">
            <v>5000</v>
          </cell>
          <cell r="G19">
            <v>0</v>
          </cell>
          <cell r="I19">
            <v>0</v>
          </cell>
          <cell r="J19">
            <v>5000</v>
          </cell>
          <cell r="K19">
            <v>0</v>
          </cell>
        </row>
        <row r="20">
          <cell r="F20">
            <v>45000</v>
          </cell>
          <cell r="G20">
            <v>0</v>
          </cell>
          <cell r="I20">
            <v>0</v>
          </cell>
          <cell r="J20">
            <v>45000</v>
          </cell>
          <cell r="K20">
            <v>0</v>
          </cell>
        </row>
        <row r="21">
          <cell r="F21">
            <v>50000</v>
          </cell>
          <cell r="G21">
            <v>0</v>
          </cell>
          <cell r="I21">
            <v>0</v>
          </cell>
          <cell r="J21">
            <v>50000</v>
          </cell>
          <cell r="K21">
            <v>0</v>
          </cell>
        </row>
        <row r="23">
          <cell r="F23">
            <v>369</v>
          </cell>
          <cell r="G23">
            <v>0</v>
          </cell>
          <cell r="I23">
            <v>0</v>
          </cell>
          <cell r="J23">
            <v>369</v>
          </cell>
          <cell r="K23">
            <v>0</v>
          </cell>
        </row>
        <row r="24">
          <cell r="F24">
            <v>369</v>
          </cell>
          <cell r="G24">
            <v>0</v>
          </cell>
          <cell r="I24">
            <v>0</v>
          </cell>
          <cell r="J24">
            <v>369</v>
          </cell>
          <cell r="K24">
            <v>0</v>
          </cell>
        </row>
        <row r="26">
          <cell r="F26">
            <v>0</v>
          </cell>
          <cell r="G26">
            <v>0</v>
          </cell>
          <cell r="I26">
            <v>0</v>
          </cell>
          <cell r="J26">
            <v>0</v>
          </cell>
          <cell r="K26">
            <v>0</v>
          </cell>
        </row>
        <row r="28">
          <cell r="F28">
            <v>0</v>
          </cell>
          <cell r="G28">
            <v>0</v>
          </cell>
          <cell r="I28">
            <v>0</v>
          </cell>
          <cell r="J28">
            <v>0</v>
          </cell>
          <cell r="K28">
            <v>0</v>
          </cell>
        </row>
        <row r="30">
          <cell r="F30">
            <v>1466</v>
          </cell>
          <cell r="G30">
            <v>0</v>
          </cell>
          <cell r="I30">
            <v>0</v>
          </cell>
          <cell r="J30">
            <v>1466</v>
          </cell>
          <cell r="K30">
            <v>0</v>
          </cell>
        </row>
        <row r="31">
          <cell r="F31">
            <v>1466</v>
          </cell>
          <cell r="G31">
            <v>0</v>
          </cell>
          <cell r="I31">
            <v>0</v>
          </cell>
          <cell r="J31">
            <v>1466</v>
          </cell>
          <cell r="K31">
            <v>0</v>
          </cell>
        </row>
        <row r="33">
          <cell r="F33">
            <v>0</v>
          </cell>
          <cell r="G33">
            <v>0</v>
          </cell>
          <cell r="I33">
            <v>0</v>
          </cell>
          <cell r="J33">
            <v>0</v>
          </cell>
          <cell r="K33">
            <v>0</v>
          </cell>
        </row>
        <row r="35">
          <cell r="F35">
            <v>87</v>
          </cell>
          <cell r="G35">
            <v>0</v>
          </cell>
          <cell r="I35">
            <v>0</v>
          </cell>
          <cell r="J35">
            <v>87</v>
          </cell>
          <cell r="K35">
            <v>0</v>
          </cell>
        </row>
        <row r="36">
          <cell r="F36">
            <v>1083</v>
          </cell>
          <cell r="G36">
            <v>0</v>
          </cell>
          <cell r="I36">
            <v>0</v>
          </cell>
          <cell r="J36">
            <v>1083</v>
          </cell>
          <cell r="K36">
            <v>0</v>
          </cell>
        </row>
        <row r="37">
          <cell r="F37">
            <v>1320</v>
          </cell>
          <cell r="G37">
            <v>0</v>
          </cell>
          <cell r="I37">
            <v>0</v>
          </cell>
          <cell r="J37">
            <v>1320</v>
          </cell>
          <cell r="K37">
            <v>0</v>
          </cell>
        </row>
        <row r="38">
          <cell r="F38">
            <v>2867</v>
          </cell>
          <cell r="G38">
            <v>0</v>
          </cell>
          <cell r="I38">
            <v>0</v>
          </cell>
          <cell r="J38">
            <v>2867</v>
          </cell>
          <cell r="K38">
            <v>0</v>
          </cell>
        </row>
        <row r="39">
          <cell r="F39">
            <v>5357</v>
          </cell>
          <cell r="G39">
            <v>0</v>
          </cell>
          <cell r="I39">
            <v>0</v>
          </cell>
          <cell r="J39">
            <v>5357</v>
          </cell>
          <cell r="K39">
            <v>0</v>
          </cell>
        </row>
        <row r="41">
          <cell r="F41">
            <v>2948</v>
          </cell>
          <cell r="G41">
            <v>0</v>
          </cell>
          <cell r="I41">
            <v>0</v>
          </cell>
          <cell r="J41">
            <v>2948</v>
          </cell>
          <cell r="K41">
            <v>0</v>
          </cell>
        </row>
        <row r="42">
          <cell r="F42">
            <v>2948</v>
          </cell>
          <cell r="G42">
            <v>0</v>
          </cell>
          <cell r="I42">
            <v>0</v>
          </cell>
          <cell r="J42">
            <v>2948</v>
          </cell>
          <cell r="K42">
            <v>0</v>
          </cell>
        </row>
        <row r="43">
          <cell r="F43">
            <v>180781</v>
          </cell>
          <cell r="G43">
            <v>0</v>
          </cell>
          <cell r="I43">
            <v>0</v>
          </cell>
          <cell r="J43">
            <v>180781</v>
          </cell>
          <cell r="K43">
            <v>0</v>
          </cell>
        </row>
      </sheetData>
      <sheetData sheetId="2" refreshError="1"/>
      <sheetData sheetId="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. Varias."/>
      <sheetName val="Det.Rec"/>
      <sheetName val="Det. Rec. Prov. Locales {PPC}"/>
      <sheetName val="Det. Rec. Prov. Exterior {PPC}"/>
      <sheetName val="Det.Ant."/>
      <sheetName val="Det. 18-10"/>
      <sheetName val="Det. seguros"/>
      <sheetName val="Seguros Año Ant."/>
      <sheetName val="Calc. Seguros"/>
      <sheetName val="Límites"/>
      <sheetName val="Tickmarks"/>
      <sheetName val="XREF"/>
    </sheetNames>
    <sheetDataSet>
      <sheetData sheetId="0"/>
      <sheetData sheetId="1"/>
      <sheetData sheetId="2"/>
      <sheetData sheetId="3" refreshError="1"/>
      <sheetData sheetId="4"/>
      <sheetData sheetId="5" refreshError="1"/>
      <sheetData sheetId="6"/>
      <sheetData sheetId="7" refreshError="1"/>
      <sheetData sheetId="8"/>
      <sheetData sheetId="9" refreshError="1"/>
      <sheetData sheetId="10"/>
      <sheetData sheetId="1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.01"/>
      <sheetName val="A.02"/>
      <sheetName val="A_01"/>
    </sheetNames>
    <sheetDataSet>
      <sheetData sheetId="0">
        <row r="50">
          <cell r="K50" t="str">
            <v>Carta a la Gerencia</v>
          </cell>
        </row>
        <row r="51">
          <cell r="K51" t="str">
            <v>Opinión de Auditoría</v>
          </cell>
        </row>
        <row r="52">
          <cell r="K52" t="str">
            <v>Carta a la Gerencia y Opinión de Auditoría</v>
          </cell>
        </row>
        <row r="53">
          <cell r="K53" t="str">
            <v>No Aplica</v>
          </cell>
        </row>
      </sheetData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ance"/>
      <sheetName val="Overview"/>
      <sheetName val="SA Procedures"/>
      <sheetName val="Expectation"/>
      <sheetName val="Explanation"/>
      <sheetName val="Threshold Table"/>
      <sheetName val="Tickmarks"/>
      <sheetName val="Guía"/>
      <sheetName val="Provisiones"/>
      <sheetName val="Expectation Provisiones"/>
      <sheetName val="Beneficios Sociales"/>
      <sheetName val="Expectation Beneficios Sociales"/>
      <sheetName val="Sueldos"/>
      <sheetName val="Arriendo"/>
      <sheetName val="Expectation arriendo"/>
      <sheetName val="Expectation Sueldos"/>
      <sheetName val="XREF"/>
      <sheetName val="Explanation Sueldos"/>
      <sheetName val="Explanation Beeficios Sociales"/>
      <sheetName val="Prv. Beneficios Sociales"/>
      <sheetName val="Expectation Prov. Beneficios so"/>
      <sheetName val="Explanation Prov"/>
      <sheetName val="Cómputo"/>
      <sheetName val="#REF"/>
      <sheetName val="SA Procedures (2)"/>
      <sheetName val="Det. Rec. Prov. Locales {PPC}"/>
      <sheetName val="Guidance Perform SA Procedures"/>
      <sheetName val="Examples Develop An Expectation"/>
      <sheetName val="MetaData"/>
      <sheetName val="SA_Procedures"/>
      <sheetName val="Threshold_Table1"/>
      <sheetName val="Threshold_Table"/>
      <sheetName val="Hoja1"/>
      <sheetName val="Prb"/>
    </sheetNames>
    <sheetDataSet>
      <sheetData sheetId="0" refreshError="1"/>
      <sheetData sheetId="1" refreshError="1"/>
      <sheetData sheetId="2"/>
      <sheetData sheetId="3">
        <row r="2">
          <cell r="A2">
            <v>0.7</v>
          </cell>
        </row>
      </sheetData>
      <sheetData sheetId="4" refreshError="1"/>
      <sheetData sheetId="5" refreshError="1">
        <row r="2">
          <cell r="A2">
            <v>0.7</v>
          </cell>
        </row>
        <row r="3">
          <cell r="A3">
            <v>1.7</v>
          </cell>
        </row>
        <row r="4">
          <cell r="A4">
            <v>2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>
        <row r="2">
          <cell r="A2">
            <v>0.7</v>
          </cell>
        </row>
      </sheetData>
      <sheetData sheetId="31"/>
      <sheetData sheetId="32">
        <row r="3">
          <cell r="A3" t="str">
            <v>Contratos de inversión</v>
          </cell>
        </row>
      </sheetData>
      <sheetData sheetId="3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 a los Estados Financieros"/>
      <sheetName val="Costo+Reexp"/>
      <sheetName val="Amort.Costo+Reexp"/>
      <sheetName val="Cálculo Amort."/>
      <sheetName val="Cálculo Reexp.Costo"/>
      <sheetName val="Cálculo Reexp Amort."/>
      <sheetName val="Cálculo Amort. (fec.siemb.)"/>
      <sheetName val="Cálculo Reexp Amort. (fech.sie)"/>
      <sheetName val="Mov. Plant.Proceso"/>
      <sheetName val="CorrMonPlantProc"/>
      <sheetName val="selec.adic.plant.proc"/>
      <sheetName val="Anál.Ad.plant.proc."/>
      <sheetName val="Detalle de ptas.adquir."/>
      <sheetName val="distrib.ctos."/>
      <sheetName val="Tildes"/>
      <sheetName val="XREF"/>
      <sheetName val="Hoja2"/>
      <sheetName val="detalle M.O"/>
      <sheetName val="Costo_Reexp"/>
      <sheetName val="Nota"/>
      <sheetName val="Detalle"/>
      <sheetName val=" Costo"/>
      <sheetName val="Amortización"/>
      <sheetName val="MMA "/>
      <sheetName val="Tickmarks"/>
      <sheetName val="Mov.Costo"/>
      <sheetName val="Cál."/>
      <sheetName val="MMA"/>
      <sheetName val="APT Adics."/>
      <sheetName val="Límite"/>
      <sheetName val="Valuación"/>
      <sheetName val="Costo-Pivot"/>
      <sheetName val="Mov. Amort."/>
      <sheetName val="Cal.Amort."/>
      <sheetName val="Adiciones"/>
      <sheetName val="Costo"/>
      <sheetName val="Amort. Acumulada"/>
      <sheetName val="Cal. Amort."/>
      <sheetName val="Análisis"/>
      <sheetName val="Ventas"/>
      <sheetName val="Análisis de Adic."/>
      <sheetName val="Análisis Importaciones"/>
      <sheetName val="Calc. Límite"/>
      <sheetName val="Sheet1"/>
      <sheetName val="Récalculo Amortización"/>
      <sheetName val="Mov. Costo"/>
      <sheetName val="Mov. Amortiz"/>
      <sheetName val="Anál Adi"/>
      <sheetName val="Notas"/>
      <sheetName val="Anali. Adiciones"/>
      <sheetName val="Amort. Acumulada (2)"/>
      <sheetName val="#REF"/>
      <sheetName val="Links"/>
      <sheetName val="Lead"/>
      <sheetName val="Proveed. Loc.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MMA"/>
      <sheetName val="seleccionados"/>
      <sheetName val="Cálculo Depreciación"/>
      <sheetName val="Movimiento Activo"/>
      <sheetName val="Tickmarks"/>
      <sheetName val="Movimiento costo"/>
      <sheetName val="Nota a los Estados Financieros"/>
      <sheetName val="Movimiento dep-costo"/>
      <sheetName val="Selección"/>
      <sheetName val="Adiciones"/>
      <sheetName val="Retiros"/>
      <sheetName val="XREF"/>
      <sheetName val="Nota"/>
      <sheetName val="Costo"/>
      <sheetName val="ECU12 (2)"/>
      <sheetName val="Dep."/>
      <sheetName val="Cálc. Global. Dep."/>
      <sheetName val="Cálculo Reexp. Costo"/>
      <sheetName val="Cálculo Reexp. Dep."/>
      <sheetName val="Reex."/>
      <sheetName val="Reex. Dep."/>
      <sheetName val="Mov. Activo Fijo"/>
      <sheetName val="Movimiento depreciación"/>
      <sheetName val="C Glob. Deprec. "/>
      <sheetName val="Límite"/>
      <sheetName val="T. Límite"/>
      <sheetName val="Selección Adiciones"/>
      <sheetName val="Selecciion Ajustes"/>
      <sheetName val="Ajustes"/>
      <sheetName val="Listado AF"/>
      <sheetName val="Nota AF FINAL"/>
      <sheetName val="Conciliación"/>
      <sheetName val="Costo Reexp."/>
      <sheetName val="Dep.Costo."/>
      <sheetName val="Dep.Costo. Rex"/>
      <sheetName val="Calc.Gasto Costo"/>
      <sheetName val="Calc.Gasto Costo Reexp."/>
      <sheetName val="Calc.Reexp. Costo"/>
      <sheetName val="Calc Reexp.Dep."/>
      <sheetName val="APT"/>
      <sheetName val="Bajas"/>
      <sheetName val="Listado PPC"/>
      <sheetName val="Corrección Monetaria"/>
      <sheetName val="Nota "/>
      <sheetName val="Af costo "/>
      <sheetName val="Af Deprec"/>
      <sheetName val="Cálculo Deprec"/>
      <sheetName val="Análisis adic."/>
      <sheetName val="Bajas AF "/>
      <sheetName val="Det. Cons. Curso"/>
      <sheetName val="Selecc const. curso"/>
      <sheetName val="Análisis CC"/>
      <sheetName val="Selección toma física"/>
      <sheetName val="Reexp. Costo"/>
      <sheetName val="Depreciación"/>
      <sheetName val="#REF"/>
      <sheetName val="Deprec."/>
      <sheetName val="Calc. glob. dep."/>
      <sheetName val="An.Adiciones"/>
      <sheetName val="An.Bajas"/>
      <sheetName val="Sheet3"/>
      <sheetName val="mov. def."/>
      <sheetName val="cal. global dep."/>
      <sheetName val="Hoja 1"/>
      <sheetName val="Sheet2"/>
      <sheetName val="Marcas Estándar"/>
      <sheetName val="Análisis de adiciones"/>
      <sheetName val="mov."/>
      <sheetName val="Mov. final"/>
      <sheetName val="Mov. depreciación"/>
      <sheetName val="Mov. preliminar"/>
      <sheetName val="Detalle bajas"/>
      <sheetName val="base act. fijos"/>
      <sheetName val="Mov. Costo {ppc}"/>
      <sheetName val="Mov. Dep. {ppc}"/>
      <sheetName val="Prueba S.I."/>
      <sheetName val="Cálculo global deprec."/>
      <sheetName val="Análisis Adiciones"/>
      <sheetName val="Ventas {ppc}"/>
      <sheetName val="AF Inmateriales"/>
      <sheetName val="A.F.Costo"/>
      <sheetName val="A.F.Deprec."/>
      <sheetName val="Recálculo Dep."/>
      <sheetName val="Ventas AF 9"/>
      <sheetName val="Análisis"/>
      <sheetName val="Dep.Acum."/>
      <sheetName val="C. Global Deprec."/>
      <sheetName val="Adiciones1"/>
      <sheetName val="Ventas y Retiros"/>
      <sheetName val="Listado (PPC)"/>
      <sheetName val="Totalmente Deprec."/>
      <sheetName val="Analisis Adiciones"/>
      <sheetName val="AF en Internacion temporal  PPC"/>
      <sheetName val="Nota E.F"/>
      <sheetName val="Mov.Costo"/>
      <sheetName val="Mov. Depreciacion"/>
      <sheetName val="Cálculo Global Dep."/>
      <sheetName val="An. Bajas"/>
      <sheetName val="Tíckmarks"/>
      <sheetName val="Nota EEFF"/>
      <sheetName val="Mov.Dep.Costo"/>
      <sheetName val="Calc.Gto.Dep."/>
      <sheetName val="Mov.Act.Fijo PPC"/>
      <sheetName val="Mov.Costo Reexp."/>
      <sheetName val="Mov.Dep.Costo."/>
      <sheetName val="Mov.Dep. Reex."/>
      <sheetName val="Calc.Gasto Dep "/>
      <sheetName val="Calc Reexp Costo"/>
      <sheetName val="Calc.Reexp. Dep"/>
      <sheetName val="Detalle de Adiciones"/>
      <sheetName val="Selección de adiciones"/>
      <sheetName val="Análisis de Bajas"/>
      <sheetName val="Selección de bajas"/>
      <sheetName val="AnálisisBajas"/>
      <sheetName val="Muebles"/>
      <sheetName val="Computadoras"/>
      <sheetName val="Vehículos"/>
      <sheetName val="Selec. Adic"/>
      <sheetName val="Anal. Adqu."/>
      <sheetName val="C.Glob.Deprec.Costo"/>
      <sheetName val="RM depreciación"/>
      <sheetName val="RM G. costo"/>
      <sheetName val="Cálculo Dep."/>
      <sheetName val="Detalle activos fijos"/>
      <sheetName val="Cal.Deprec."/>
      <sheetName val="Ventas"/>
      <sheetName val="Cal.Deprec. (Prel.)"/>
      <sheetName val="APT Adiciones"/>
      <sheetName val="Mov. Costo"/>
      <sheetName val="Mov. Deprec."/>
      <sheetName val="Calc.Global Deprec."/>
      <sheetName val="Calc Límite"/>
      <sheetName val="MMA S.I"/>
      <sheetName val="Adiciones (SI)"/>
      <sheetName val="Selecc. Sal"/>
      <sheetName val="Movi. Act."/>
      <sheetName val="MMA Adici."/>
      <sheetName val="Anál. Adiciones"/>
      <sheetName val="Listado A.F."/>
      <sheetName val="Movimi. Deprec."/>
      <sheetName val="Movim. Depre."/>
      <sheetName val="Calc. Glob. Depr."/>
      <sheetName val="Cálculo Global"/>
      <sheetName val="Listado"/>
      <sheetName val="Cálc. Global"/>
      <sheetName val="Conciliación "/>
      <sheetName val="NotaEF"/>
      <sheetName val="Dep.Costo"/>
      <sheetName val="Calc.global deprec"/>
      <sheetName val="Limite"/>
      <sheetName val="MMA Adiciones"/>
      <sheetName val="Tildes"/>
      <sheetName val="Notas"/>
      <sheetName val="Mov. Deprec"/>
      <sheetName val="Listado vs. libros"/>
      <sheetName val="Cálculo Dep Final"/>
      <sheetName val="Venta A.F."/>
      <sheetName val="Adiciiones"/>
      <sheetName val="Cálculo Dep preliminar"/>
      <sheetName val="Importaciones en Trans."/>
      <sheetName val="Adic. Prel"/>
      <sheetName val="Cálculo Dep "/>
      <sheetName val="Cálculo Dep (F)"/>
      <sheetName val="MMA  (F)"/>
      <sheetName val="Adic. (F)"/>
      <sheetName val="Cál. Dep."/>
      <sheetName val="MMA "/>
      <sheetName val="Toma física Quito"/>
      <sheetName val="List 31-Dic-06"/>
      <sheetName val="Adiciones Activo Fijo"/>
      <sheetName val="Calc.Depr"/>
      <sheetName val="Ventas-Bajas"/>
      <sheetName val="MMA Adics."/>
      <sheetName val="MMAToma Física"/>
      <sheetName val="Cálculo del límite"/>
      <sheetName val="Límites"/>
      <sheetName val="Calc.Depr (fin)"/>
      <sheetName val="Detalle Eq. En tráns"/>
      <sheetName val="Detalle Eq. En tránsito"/>
      <sheetName val="Mayor"/>
      <sheetName val="Calc.Depr."/>
      <sheetName val="Selecc Adic Prelim"/>
      <sheetName val="Toma física"/>
      <sheetName val="MMA Toma Física"/>
      <sheetName val="Mov.Dep."/>
      <sheetName val="C.G.Dep.Final"/>
      <sheetName val="Lím."/>
      <sheetName val="Cal.Lim."/>
      <sheetName val="MMA Ad.Prel."/>
      <sheetName val="Adic.Prel."/>
      <sheetName val="Sel.Sal."/>
      <sheetName val="MMA Adic.Final"/>
      <sheetName val="Adic.Final"/>
      <sheetName val="Nota a EEFF"/>
      <sheetName val="Depreciacion"/>
      <sheetName val="CGlobal Dep."/>
      <sheetName val="Bajas-ventas"/>
      <sheetName val=" Detalle Imp Tráns "/>
      <sheetName val="Selecc Adic "/>
      <sheetName val="MMA Adic final"/>
      <sheetName val="Detalle vtas. bajas"/>
      <sheetName val="Cálculo Global Final"/>
      <sheetName val="C. Global Deprec. PreL."/>
      <sheetName val="Detalle Eq. tránsito"/>
      <sheetName val="Listado Final (PPC)"/>
      <sheetName val="Listado Prel. (PPC)"/>
      <sheetName val="Totalmente deprec. final"/>
      <sheetName val="Ventas &amp; Bajas Final"/>
      <sheetName val="Movim. final"/>
      <sheetName val="Movim. pre"/>
      <sheetName val="Calc.Deprec.Act.Fijo"/>
      <sheetName val="Cálculo Amortiz."/>
      <sheetName val="Cálculo límites"/>
      <sheetName val="Parámetros"/>
      <sheetName val="Base Datos final"/>
      <sheetName val="Base de datos pre"/>
      <sheetName val="Adiciones Prel."/>
      <sheetName val="Depreciados (PPC)"/>
      <sheetName val="Costo PPC"/>
      <sheetName val="Depreciación PPC"/>
      <sheetName val="Resumen"/>
      <sheetName val="Gasto Final"/>
      <sheetName val="Retiros Final (PPC)"/>
      <sheetName val="Gasto Prel."/>
      <sheetName val="Retiros Prel. (PPC)"/>
      <sheetName val="Saldos iniciales"/>
      <sheetName val="Calc. Glo. Depre"/>
      <sheetName val="Cal. Glob. Depre"/>
      <sheetName val="Listados"/>
      <sheetName val="Nota AF"/>
      <sheetName val="Revisión Analítica"/>
      <sheetName val="Análisis Ad. Prelim."/>
      <sheetName val="VTA AF"/>
      <sheetName val="Listado A. Fijos"/>
      <sheetName val="Bajas AF"/>
      <sheetName val="LISTADO ACTIVOS"/>
      <sheetName val="DEPRECIADOS TOTALMENTE"/>
      <sheetName val="TRANSF. (-)"/>
      <sheetName val="TRANSF.(+)"/>
      <sheetName val="Totalmente deprec. FINAL 2002"/>
      <sheetName val="Listado FINAL (2002)"/>
      <sheetName val="Dep.Acum.Fin"/>
      <sheetName val="C. Global Deprec. Fin"/>
      <sheetName val="Conciliación-Fin"/>
      <sheetName val="Equipos en Tránsito"/>
      <sheetName val="MMA Eq.Trán"/>
      <sheetName val="Análisis Eq.Trán"/>
      <sheetName val="MMA adiciones Prel"/>
      <sheetName val="MMA adiciones Fin"/>
      <sheetName val="LISTADO ACTIVOS-Fin"/>
      <sheetName val="DEPRECIADOS TOTALMENTE-Fin"/>
      <sheetName val="TRANSF(+)"/>
      <sheetName val="Conciliación-Prel"/>
      <sheetName val="LISTADO ACTIVOS-Prel"/>
      <sheetName val="DEPRECIADOS TOTALMENTE-Prel"/>
      <sheetName val="TRANSF.(+)Pre"/>
      <sheetName val="Movimiento Deprec."/>
      <sheetName val="Recálc. Dep."/>
      <sheetName val="Cálc.Global Deprec."/>
      <sheetName val="Cálculo Global Dpreciación"/>
      <sheetName val="Adicio."/>
      <sheetName val="Lis."/>
      <sheetName val="Mov. Dep."/>
      <sheetName val="Adic."/>
      <sheetName val="List."/>
      <sheetName val="Mov. A.Fijo"/>
      <sheetName val="Mov. Dep.A.Fijp"/>
      <sheetName val="Detalle ventas-baja"/>
      <sheetName val="Análisis Vtas-Bajas"/>
      <sheetName val="Recálculo Depreciación"/>
      <sheetName val="Bajas Ventas"/>
      <sheetName val="Conciliación Prel."/>
      <sheetName val="C.G.Preliminar"/>
      <sheetName val="Bajas "/>
      <sheetName val="T. Depreciados"/>
      <sheetName val="Conciliación Final"/>
      <sheetName val="C. Global Deprec.Final"/>
      <sheetName val="Ventas (PPC)"/>
      <sheetName val="Depreciados (PPC)final"/>
      <sheetName val="Listado (PPC) Final"/>
      <sheetName val="Activos nuevos final"/>
      <sheetName val="AF Costo"/>
      <sheetName val="Bajas y Ventas AF"/>
      <sheetName val="Cálc.Global (Prel)"/>
      <sheetName val="Cruce Listados-Libros"/>
      <sheetName val="Detalle"/>
      <sheetName val="Mov. AF. (P)"/>
      <sheetName val="Mov. Cons. en Curso. (P)"/>
      <sheetName val="Mov. Deprec. (P)"/>
      <sheetName val="Cálc.Global Dep. (P)"/>
      <sheetName val="Bajas y Vtas. AF (P)"/>
      <sheetName val="Depreciaciones"/>
      <sheetName val="Costo AF"/>
      <sheetName val="Depreciación AF"/>
      <sheetName val="Cálculo Gasto Depreciación"/>
      <sheetName val="MMA Final"/>
      <sheetName val="Ventas y Bajas"/>
      <sheetName val="Listado AF final"/>
      <sheetName val="Listado AF Preliminar"/>
      <sheetName val="Calc.global deprec Final"/>
      <sheetName val="MMA Adiciones Final"/>
      <sheetName val="Compras Locales"/>
      <sheetName val="Importaciones"/>
      <sheetName val="Ventas Prel."/>
      <sheetName val="Calc.Global Gs. Dep."/>
      <sheetName val="Analisis C. Locales"/>
      <sheetName val="Nota EE.FF"/>
      <sheetName val="Cálculo depr."/>
      <sheetName val="Cálculo.global"/>
      <sheetName val="Terreno"/>
      <sheetName val="MyE"/>
      <sheetName val="Edificios-instal"/>
      <sheetName val="Maq"/>
      <sheetName val="Eqind"/>
      <sheetName val="Veh"/>
      <sheetName val="Eqoficina"/>
      <sheetName val="Calc.Dep"/>
      <sheetName val="Calc.Dep final"/>
      <sheetName val="Ventas Activo Fijo"/>
      <sheetName val="Movimiento"/>
      <sheetName val="Cálculo Global Depc."/>
      <sheetName val="AnalisisCosto AF"/>
      <sheetName val="Cálculo Deprec (F)"/>
      <sheetName val="Adiciones (F)"/>
      <sheetName val="Adiciones Prel"/>
      <sheetName val="Ventas (F)"/>
      <sheetName val="Depreciaión"/>
      <sheetName val="CMA_Adiciones"/>
      <sheetName val="CMA_Selections "/>
      <sheetName val="Análisis de Adiciones "/>
      <sheetName val="SA Procedures"/>
      <sheetName val="Expectation"/>
      <sheetName val="Explanation"/>
      <sheetName val="Mov. Depr"/>
      <sheetName val="Cal. Global Final"/>
      <sheetName val="Det. Bajas"/>
      <sheetName val="D. Importaciones"/>
      <sheetName val="Análisi de Adiciones "/>
      <sheetName val="Importaciones en tránsito "/>
      <sheetName val="Cál. Global"/>
      <sheetName val="Costo "/>
      <sheetName val="Cal.Global Dep."/>
      <sheetName val="APT Adiciones Final"/>
      <sheetName val="Bajas - Ventas (2)"/>
      <sheetName val="Compras AF.Nov05"/>
      <sheetName val="Activos en tránsito"/>
      <sheetName val="MMA Compras"/>
      <sheetName val="Análisis de Adic."/>
      <sheetName val="Bajas - Ventas"/>
      <sheetName val="Calc. Global Deprec."/>
      <sheetName val="Otros"/>
      <sheetName val="Cálculo de Exceso"/>
      <sheetName val="Análisis de compras"/>
      <sheetName val="Detalle de compras y bajas"/>
      <sheetName val="Mov. AF."/>
      <sheetName val="Cálc. Dep."/>
      <sheetName val="Bajas y Vtas. AF "/>
      <sheetName val="Movimiento Depreciacion"/>
      <sheetName val="Cálculo del umbral"/>
      <sheetName val="PPC-Listado AF"/>
      <sheetName val="Cálculo Global Depreciación"/>
      <sheetName val="Constr y mejoras"/>
      <sheetName val="MMA SI"/>
      <sheetName val="Análisis SI"/>
      <sheetName val="MMA Observ físico"/>
      <sheetName val="C. Depreciación"/>
      <sheetName val="C. Depreciación final"/>
      <sheetName val="C. Depreciación final - LOCAL"/>
      <sheetName val="D. Clientes"/>
      <sheetName val="AdicionesA.F."/>
      <sheetName val="Valoracion AF Bodegas"/>
      <sheetName val="RetirosAF(PPC)"/>
      <sheetName val="BASE CLIENTES OBSOLETOS"/>
      <sheetName val="Tabla del Limite"/>
      <sheetName val="Vtas-Bajas"/>
      <sheetName val="Clientes"/>
      <sheetName val="Adiciones AF- imp"/>
      <sheetName val="C.G. Depreciación"/>
      <sheetName val="Clientes Mar"/>
      <sheetName val="Clientes Jun"/>
      <sheetName val="Telepuerto Jun"/>
      <sheetName val="Clientes Sep"/>
      <sheetName val="Telep Sep"/>
      <sheetName val="Análisis exterior"/>
      <sheetName val="Calc.glob.dep."/>
      <sheetName val="Ventas AF"/>
      <sheetName val="Movimiento de Activos Fijos"/>
      <sheetName val="Movimiento Depreciac.Acumul."/>
      <sheetName val="Cálculo Global dep"/>
      <sheetName val="Anexo retiros"/>
      <sheetName val="MMA saldo inical"/>
      <sheetName val="Constatación Fisica"/>
      <sheetName val="Detalle de bajas y ventas"/>
      <sheetName val="MMA saldo"/>
      <sheetName val="Detalle Activos Fijos2000"/>
      <sheetName val="Adicion herramientas"/>
      <sheetName val="Calculo global deprec,"/>
      <sheetName val="Analisis Saldos iniciales"/>
      <sheetName val="INFORME"/>
      <sheetName val="Mal soportado"/>
      <sheetName val="Sin soporte"/>
      <sheetName val="Nota EF´s"/>
      <sheetName val="Listado 2005"/>
      <sheetName val="CG Dep. Prel."/>
      <sheetName val="CG Dep. Final"/>
      <sheetName val="MMA Prel."/>
      <sheetName val="Límite Prel."/>
      <sheetName val="Límite Final"/>
      <sheetName val="CG Depreciación"/>
      <sheetName val="Listado - PPC"/>
      <sheetName val="Cálc.Global"/>
      <sheetName val="Cálculo global depr."/>
      <sheetName val="Análisis Bajas"/>
      <sheetName val="Detalle adiciones"/>
      <sheetName val="Listado Oct"/>
      <sheetName val="Listado Dic"/>
      <sheetName val="Movim. Costo"/>
      <sheetName val="Movim. Deprecia."/>
      <sheetName val="Calculo Gasto Depre"/>
      <sheetName val="Anál Adiciones AF"/>
      <sheetName val="Listado de A.F.(ppc)"/>
      <sheetName val="Adquisiciones y Bajas (ppc)"/>
      <sheetName val="Nota Final"/>
      <sheetName val="Nota Prel."/>
      <sheetName val="Cal. Global Depreciación"/>
      <sheetName val="Listado a Oct-03 (PPC)"/>
      <sheetName val="A.F depreciados"/>
      <sheetName val="Calc.Amort.Plantaciones"/>
      <sheetName val="Base de datos"/>
      <sheetName val="C Glob. Deprec."/>
      <sheetName val="MMA Compras Inventarios"/>
      <sheetName val="Bajas y Vtas"/>
      <sheetName val="AnálisisAdic"/>
      <sheetName val="Mov"/>
      <sheetName val="C.Global"/>
      <sheetName val="Det.Lim"/>
      <sheetName val="Vtas. y Bajas"/>
      <sheetName val="MMA adiciones activos"/>
      <sheetName val="Nota 02"/>
      <sheetName val="Mov.Depr."/>
      <sheetName val="Calc.Depr. (PPC)"/>
      <sheetName val="Calc.CM. (PPC)"/>
      <sheetName val="Recálculo"/>
      <sheetName val="Selec. y Anál. Adic."/>
      <sheetName val="Mov. Activo Costo"/>
      <sheetName val="cal.glob.dep.fin"/>
      <sheetName val="Adciones"/>
      <sheetName val="Detalle de Ajustes"/>
      <sheetName val="Mov. Costo(p)"/>
      <sheetName val="Mov. Depreciacion (p)"/>
      <sheetName val="Listado AF(ppc)"/>
      <sheetName val="Listado A.F. 2005(ppc)"/>
      <sheetName val="MMA S. I."/>
      <sheetName val="Calculo Global Depreciación"/>
      <sheetName val="Análisis de Ventas y bajas"/>
      <sheetName val="Análisis de adic"/>
      <sheetName val="Calculo Global Dep final"/>
      <sheetName val="Detalle de ventas y bajas"/>
      <sheetName val="Calc Glob Dep."/>
      <sheetName val="Toma Física AF"/>
      <sheetName val="Anexo de A.F. Compañía"/>
      <sheetName val="Listado de AF PPC"/>
      <sheetName val="MMA-preliminar"/>
      <sheetName val="Análisis adiciones importa"/>
      <sheetName val="Dep.Costo. "/>
      <sheetName val="Cálculo Glob Dep."/>
      <sheetName val="Calc. Límites"/>
      <sheetName val="MMA Adic. Final"/>
      <sheetName val="Análisis Adic.Imp."/>
      <sheetName val="MMAAdiciones Prelim."/>
      <sheetName val="Venta Activos"/>
      <sheetName val="Análisis Compras"/>
      <sheetName val="Listado AF 31-ago-08"/>
      <sheetName val="Dep.Mejoras"/>
      <sheetName val="Listado de A.F"/>
      <sheetName val="Bajas Activos fijos"/>
      <sheetName val="Listados Vs. Registros "/>
      <sheetName val="Capitalizaciones"/>
      <sheetName val="Listado Act. Fijo Dic"/>
      <sheetName val="Listados Vs. Registros Dic"/>
      <sheetName val="MMA Dic"/>
      <sheetName val="Listados Vs. Registros"/>
      <sheetName val="Listado de Activos fijos"/>
      <sheetName val="Límite (2)"/>
      <sheetName val="MMA-Sep"/>
      <sheetName val="P&amp;A"/>
      <sheetName val="Cálculo Global Nov"/>
      <sheetName val="Cálculo Global Ago"/>
      <sheetName val="Listado de Activos"/>
      <sheetName val="Listado Diciembre"/>
      <sheetName val="Proyecto (Gasto)"/>
      <sheetName val="Análisis de Gastos"/>
      <sheetName val="Límite Nov"/>
      <sheetName val="Límite Preliminar"/>
      <sheetName val="DEP. AREA 61"/>
      <sheetName val="DEP. AREA 11"/>
      <sheetName val="Temp"/>
      <sheetName val="Dep. Costo"/>
      <sheetName val="MMA. Adici.Final"/>
      <sheetName val="MMA. Adici.Prel"/>
      <sheetName val="MMA Saldos Prel."/>
      <sheetName val="Conciliación Prel-PPC"/>
      <sheetName val="Listado AF Local GM Prel"/>
      <sheetName val="Listado AF Reexp GM Prel"/>
      <sheetName val="MMA Adic Dic-03 "/>
      <sheetName val="Análisis Adiciones Dic-03"/>
      <sheetName val="Análisis de Bajas y Ventas"/>
      <sheetName val="MMA Adic Ago-03"/>
      <sheetName val="Análisis Adiciones Ago-03"/>
      <sheetName val="Listado AF Local-Ago-03"/>
      <sheetName val="Listado AF Reexp-Sep"/>
      <sheetName val="Calc. Gasto Dep"/>
      <sheetName val="Listado AF(Nov)"/>
      <sheetName val="Compras"/>
      <sheetName val="Gastos (Activos en Proceso)"/>
      <sheetName val="Determinación del Límite"/>
      <sheetName val="Mov. Costo Otros"/>
      <sheetName val="MMA Prel"/>
      <sheetName val="Análisis Adic. Sep."/>
      <sheetName val="Análisis Adic. Dic."/>
      <sheetName val="Toma Fisica"/>
      <sheetName val="Dep acum"/>
      <sheetName val="Venta Act.Fijos"/>
      <sheetName val="C.G Depr"/>
      <sheetName val="C. Clobal"/>
      <sheetName val="Análisis Saldos In."/>
      <sheetName val="Mov. Costo "/>
      <sheetName val="Mov. Dep. "/>
      <sheetName val="Calc. Dep Oct-03"/>
      <sheetName val="Anal.Adic."/>
      <sheetName val="Límite-Sep"/>
      <sheetName val="Cálculo global Dic"/>
      <sheetName val="Análisis AdicionesDic"/>
      <sheetName val="Bajas Dic"/>
      <sheetName val="Excess Calc Dic"/>
      <sheetName val="Cálculo global prem"/>
      <sheetName val="Listados Vs. Registros prem"/>
      <sheetName val="Listado de Activos prem"/>
      <sheetName val="MMA prem"/>
      <sheetName val="Capitalizaciones prem"/>
      <sheetName val="Bajas prem"/>
      <sheetName val="Límite-Sep prem"/>
      <sheetName val="Movimiento Costos"/>
      <sheetName val="Movimiento Dep."/>
      <sheetName val="Análisis Vtas."/>
      <sheetName val="Listado A.F. Dic"/>
      <sheetName val="Cálculo global "/>
      <sheetName val="Calc.Glob.Dep. Prel"/>
      <sheetName val="Adición Fijos"/>
      <sheetName val="Nota 1"/>
      <sheetName val="MMA-adiciones"/>
      <sheetName val="C. locales"/>
      <sheetName val="Construc. en curso"/>
      <sheetName val="MMA const. en curso"/>
      <sheetName val="Anál Construc. en curso"/>
      <sheetName val="Desglose CC"/>
      <sheetName val="Construcciones en curso"/>
      <sheetName val="MMA-adiciones preliminar"/>
      <sheetName val="MMA construcciones en curso"/>
      <sheetName val="Cálculo Glob Dep.Prelim"/>
      <sheetName val="Análisis Ad"/>
      <sheetName val="Detalle Rep. #21"/>
      <sheetName val="Detalle Rep # 38"/>
      <sheetName val="Detalle Rep # 47"/>
      <sheetName val="Tabla Límites"/>
      <sheetName val="MMAAdiciones Final"/>
      <sheetName val="Cálculo Glob Dep.Final"/>
      <sheetName val="Análisis Adic. Final"/>
      <sheetName val="MMAAdiciones"/>
      <sheetName val="MMAAdiciones (2)"/>
      <sheetName val="VentaActivos"/>
      <sheetName val="Análisis Ad. Final"/>
      <sheetName val="Dep.Costo. Prelimi."/>
      <sheetName val="Cálculo Glob Dep. Final"/>
      <sheetName val="MMA Preliminar"/>
      <sheetName val="Dep. Acumulada"/>
      <sheetName val="Proyectos"/>
      <sheetName val="MMA S. Iniciales"/>
      <sheetName val="Mov Depreciación (USGAAP)"/>
      <sheetName val="Mov Depreciación (LOCAL)"/>
      <sheetName val="Determinación del Límite (2)"/>
      <sheetName val="Bajas de Activos"/>
      <sheetName val="Calc. Global Amort."/>
      <sheetName val="Mov Deprec (Spanis)"/>
      <sheetName val="Análisis de Vtas y bajas"/>
      <sheetName val="Costo (ppc)"/>
      <sheetName val="Depreciacion (ppc)"/>
      <sheetName val="C.G. Depreciacion"/>
      <sheetName val="Bajas y Ventas"/>
      <sheetName val="Análisis adic"/>
      <sheetName val="Bajas de AF"/>
      <sheetName val="Selección SI"/>
      <sheetName val="Detalle Vtas y Bajas"/>
      <sheetName val="Análisis Vtas. y Bajas"/>
      <sheetName val="Listado de AF"/>
      <sheetName val="Listado de AF prelim"/>
      <sheetName val="Vtas y Bajas"/>
      <sheetName val="Nota EEF"/>
      <sheetName val="Mov Costo"/>
      <sheetName val="Venta"/>
      <sheetName val="MMA adciones prel"/>
      <sheetName val="Adiciones "/>
      <sheetName val="Resumen de Saldos Iniciales"/>
      <sheetName val="MMA saldos iniciales "/>
      <sheetName val="Prueba de Bajas"/>
      <sheetName val="Adiciones Importac"/>
      <sheetName val="Análisis de Ventas"/>
      <sheetName val="Nota EF"/>
      <sheetName val="Detalle de Vtas y bajas"/>
      <sheetName val="MMA Ad. Final"/>
      <sheetName val="MMA Ad. Pre."/>
      <sheetName val="Cál. global dep."/>
      <sheetName val="Detalle de compras"/>
      <sheetName val="Nota E.F."/>
      <sheetName val="Mvto. Costo"/>
      <sheetName val="Mvto. Depreciación"/>
      <sheetName val="Gasto"/>
      <sheetName val="Detalle de Ventas"/>
      <sheetName val="MMA Prelim. Vts."/>
      <sheetName val="Análisis Vts."/>
      <sheetName val="MMA Prelim. Ad."/>
      <sheetName val="Análisis Ad."/>
      <sheetName val="IMP. TRAN"/>
      <sheetName val="MMA Preli"/>
      <sheetName val="APT Imp.Tran."/>
      <sheetName val="MMA Prelim. Import."/>
      <sheetName val="Mvto. Costo semov."/>
      <sheetName val="Mvto. Dep. semov."/>
      <sheetName val="C.Global Dep."/>
      <sheetName val="Detalle Bajas y ventas"/>
      <sheetName val="Detalle dep."/>
      <sheetName val="Detalle de Bajas"/>
      <sheetName val=" Deprec"/>
      <sheetName val="Cons. vs.Repor "/>
      <sheetName val="Cálculo Global Dep. Final"/>
      <sheetName val="Cálculo Global Dep.Prelim"/>
      <sheetName val="Selección Adiciones AF"/>
      <sheetName val="Mov. Const.Curso"/>
      <sheetName val="Selección Adiciones CC"/>
      <sheetName val="Análisis Ad. CC"/>
      <sheetName val="Ajuste Instal"/>
      <sheetName val="constuccion curso"/>
      <sheetName val="Mov. Act. Fijo"/>
      <sheetName val="Cál.Dep. Final"/>
      <sheetName val="Retiros Final"/>
      <sheetName val="Cál.Dep. Preliminar"/>
      <sheetName val="análisis del avalúo (2)"/>
      <sheetName val="análisis del avalúo"/>
      <sheetName val="RetirosAF PPC"/>
      <sheetName val="BIENES RAICES SG (PPC)"/>
      <sheetName val=" BIENESRAICES SV(PPC)"/>
      <sheetName val="Tabla del Límite"/>
      <sheetName val="Cál.Dep."/>
      <sheetName val="Ventas Bajas"/>
      <sheetName val="MMA Adic. Act. Fij Ago 07"/>
      <sheetName val="APT Adición Act. Fijos"/>
      <sheetName val="Detalle Const. Proceso"/>
      <sheetName val="Listado Act. Fijos 31-Ago-07"/>
      <sheetName val="MMA Adiciones Prel."/>
      <sheetName val="APT Ventas y Bajas"/>
      <sheetName val="Const. en Proceso"/>
      <sheetName val="Listado Prel."/>
      <sheetName val="Ventas y bajas Dic"/>
      <sheetName val="Anexo 11"/>
      <sheetName val="Det. Bajas Dep"/>
      <sheetName val="Mov Deprec"/>
      <sheetName val="Cálculo Global Deprec"/>
      <sheetName val="Listado_Jul-09"/>
      <sheetName val="MovC"/>
      <sheetName val="Mov.Depr"/>
      <sheetName val="Análisis de Vtas.-Bajas"/>
      <sheetName val="ListadoAF"/>
      <sheetName val="Costos"/>
      <sheetName val="Deprec.Acum."/>
      <sheetName val="APTadiciones"/>
      <sheetName val="Dep. Acum."/>
      <sheetName val="Cal.Dep.Act.Fijo"/>
      <sheetName val="Venta AF"/>
      <sheetName val="Bajas Junio"/>
      <sheetName val="Cálc Global"/>
      <sheetName val="Cálcl Global"/>
      <sheetName val="Mov Dep"/>
      <sheetName val="Anal Adic"/>
      <sheetName val="Detalle de Bajas "/>
      <sheetName val="Cálculo Global Dep. "/>
      <sheetName val="Análisis Adiciones "/>
      <sheetName val="Detalle Imp. Tránsito"/>
      <sheetName val="MMA Importaciones"/>
      <sheetName val="Análisis Imp. Tránsito"/>
      <sheetName val="Cálculo Dep. (Dic)"/>
      <sheetName val="MMA Adiciones (Dic)"/>
      <sheetName val="Avalúo"/>
      <sheetName val="Depre"/>
      <sheetName val="Cal Depre"/>
      <sheetName val="Cálc. Global Deprec."/>
      <sheetName val="Listado Act. Fijo"/>
      <sheetName val="Cal.Glob.Deprec."/>
      <sheetName val="List.Act.Fijo"/>
      <sheetName val="Depreciac"/>
      <sheetName val="Cálculo x listado"/>
      <sheetName val="Cálc.Global Final"/>
      <sheetName val="MMA (adiciones)"/>
      <sheetName val="Mov.Cost Hist."/>
      <sheetName val="Mov.Deprec."/>
      <sheetName val="Calculo Global Pre"/>
      <sheetName val="Calculo Global Fin"/>
      <sheetName val="List. Act. Fijo"/>
      <sheetName val="List. AF Final"/>
      <sheetName val="Anal. Adic"/>
      <sheetName val="Anál. Bajas"/>
      <sheetName val="APT Adic"/>
      <sheetName val="S Iniciales"/>
      <sheetName val="MMA SInic"/>
      <sheetName val="Gasto deprec."/>
      <sheetName val="Hoja de Datos"/>
      <sheetName val="Adiciones PPC"/>
      <sheetName val="Ventas A. Fijo PPC"/>
      <sheetName val="Cons Curso final"/>
      <sheetName val="Cons. Curso"/>
      <sheetName val="Act. Fijo Tránsito"/>
      <sheetName val="MMA act. f. trans"/>
      <sheetName val="Análisis de Act. Fijo Tráns."/>
      <sheetName val="Análisis Imp. CBH"/>
      <sheetName val="Detalle Vtas-Bajs"/>
      <sheetName val="Conc. Listado AF FINAL"/>
      <sheetName val="Conciliación Listado"/>
      <sheetName val="Cálc.Global (P)"/>
      <sheetName val="MMA Saldos Iniciales"/>
      <sheetName val="Análisis Saldos Iniciales"/>
      <sheetName val="Venta y Bajas"/>
      <sheetName val="Constatación"/>
      <sheetName val="Mov Costo Final"/>
      <sheetName val="MMA Adquisiciones Proyectos"/>
      <sheetName val="MMA Adquisiciones "/>
      <sheetName val="APT Obras en proceso"/>
      <sheetName val="Listado de act fijos"/>
      <sheetName val="Obras en construcción"/>
      <sheetName val="Movimiento AF y Depreciación"/>
      <sheetName val="Detalle anticipos"/>
      <sheetName val="MMA Anticipos Prelim"/>
      <sheetName val="MMA Anticipos Final"/>
      <sheetName val="Análisis de Anticipos"/>
      <sheetName val="Detalle Const Curso"/>
      <sheetName val="Detalle No Activados"/>
      <sheetName val="MMA Const Curso Prel"/>
      <sheetName val="MMA Const Curso Final"/>
      <sheetName val="Análisis Const Curso"/>
      <sheetName val="Cobertura de Seguros"/>
      <sheetName val="Notas EEFF"/>
      <sheetName val="Pruebas Sustantivas"/>
      <sheetName val="Movimiento del costo"/>
      <sheetName val="Movimiento de Depreciación"/>
      <sheetName val="Listado final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/>
      <sheetData sheetId="14" refreshError="1"/>
      <sheetData sheetId="15"/>
      <sheetData sheetId="16" refreshError="1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 refreshError="1"/>
      <sheetData sheetId="159"/>
      <sheetData sheetId="160"/>
      <sheetData sheetId="161" refreshError="1"/>
      <sheetData sheetId="162" refreshError="1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 refreshError="1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/>
      <sheetData sheetId="26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/>
      <sheetData sheetId="281"/>
      <sheetData sheetId="282" refreshError="1"/>
      <sheetData sheetId="283" refreshError="1"/>
      <sheetData sheetId="284" refreshError="1"/>
      <sheetData sheetId="285" refreshError="1"/>
      <sheetData sheetId="286"/>
      <sheetData sheetId="287"/>
      <sheetData sheetId="288" refreshError="1"/>
      <sheetData sheetId="289" refreshError="1"/>
      <sheetData sheetId="290" refreshError="1"/>
      <sheetData sheetId="29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/>
      <sheetData sheetId="302" refreshError="1"/>
      <sheetData sheetId="303"/>
      <sheetData sheetId="304" refreshError="1"/>
      <sheetData sheetId="305"/>
      <sheetData sheetId="306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/>
      <sheetData sheetId="343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/>
      <sheetData sheetId="357" refreshError="1"/>
      <sheetData sheetId="358" refreshError="1"/>
      <sheetData sheetId="359" refreshError="1"/>
      <sheetData sheetId="360" refreshError="1"/>
      <sheetData sheetId="361"/>
      <sheetData sheetId="362"/>
      <sheetData sheetId="363"/>
      <sheetData sheetId="364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/>
      <sheetData sheetId="373"/>
      <sheetData sheetId="374"/>
      <sheetData sheetId="375" refreshError="1"/>
      <sheetData sheetId="376" refreshError="1"/>
      <sheetData sheetId="377"/>
      <sheetData sheetId="378"/>
      <sheetData sheetId="379" refreshError="1"/>
      <sheetData sheetId="380" refreshError="1"/>
      <sheetData sheetId="381" refreshError="1"/>
      <sheetData sheetId="382"/>
      <sheetData sheetId="383" refreshError="1"/>
      <sheetData sheetId="384" refreshError="1"/>
      <sheetData sheetId="385"/>
      <sheetData sheetId="386"/>
      <sheetData sheetId="387"/>
      <sheetData sheetId="388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/>
      <sheetData sheetId="400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/>
      <sheetData sheetId="410"/>
      <sheetData sheetId="411" refreshError="1"/>
      <sheetData sheetId="412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  <sheetData sheetId="432"/>
      <sheetData sheetId="433"/>
      <sheetData sheetId="434" refreshError="1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/>
      <sheetData sheetId="452"/>
      <sheetData sheetId="453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/>
      <sheetData sheetId="480"/>
      <sheetData sheetId="481"/>
      <sheetData sheetId="482"/>
      <sheetData sheetId="483" refreshError="1"/>
      <sheetData sheetId="484" refreshError="1"/>
      <sheetData sheetId="485"/>
      <sheetData sheetId="486"/>
      <sheetData sheetId="487"/>
      <sheetData sheetId="488"/>
      <sheetData sheetId="489"/>
      <sheetData sheetId="490" refreshError="1"/>
      <sheetData sheetId="491"/>
      <sheetData sheetId="492"/>
      <sheetData sheetId="493"/>
      <sheetData sheetId="494"/>
      <sheetData sheetId="495"/>
      <sheetData sheetId="496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/>
      <sheetData sheetId="523"/>
      <sheetData sheetId="524" refreshError="1"/>
      <sheetData sheetId="525"/>
      <sheetData sheetId="526"/>
      <sheetData sheetId="527" refreshError="1"/>
      <sheetData sheetId="528" refreshError="1"/>
      <sheetData sheetId="529"/>
      <sheetData sheetId="530"/>
      <sheetData sheetId="53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/>
      <sheetData sheetId="548"/>
      <sheetData sheetId="549"/>
      <sheetData sheetId="550"/>
      <sheetData sheetId="55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/>
      <sheetData sheetId="578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 refreshError="1"/>
      <sheetData sheetId="590" refreshError="1"/>
      <sheetData sheetId="591" refreshError="1"/>
      <sheetData sheetId="592"/>
      <sheetData sheetId="593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/>
      <sheetData sheetId="603" refreshError="1"/>
      <sheetData sheetId="604" refreshError="1"/>
      <sheetData sheetId="605" refreshError="1"/>
      <sheetData sheetId="606"/>
      <sheetData sheetId="607" refreshError="1"/>
      <sheetData sheetId="608"/>
      <sheetData sheetId="609" refreshError="1"/>
      <sheetData sheetId="610" refreshError="1"/>
      <sheetData sheetId="611" refreshError="1"/>
      <sheetData sheetId="612" refreshError="1"/>
      <sheetData sheetId="613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/>
      <sheetData sheetId="646"/>
      <sheetData sheetId="647"/>
      <sheetData sheetId="648"/>
      <sheetData sheetId="649" refreshError="1"/>
      <sheetData sheetId="650" refreshError="1"/>
      <sheetData sheetId="651"/>
      <sheetData sheetId="652"/>
      <sheetData sheetId="653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/>
      <sheetData sheetId="665" refreshError="1"/>
      <sheetData sheetId="666" refreshError="1"/>
      <sheetData sheetId="667" refreshError="1"/>
      <sheetData sheetId="668" refreshError="1"/>
      <sheetData sheetId="669"/>
      <sheetData sheetId="670"/>
      <sheetData sheetId="671"/>
      <sheetData sheetId="672"/>
      <sheetData sheetId="673"/>
      <sheetData sheetId="674"/>
      <sheetData sheetId="675"/>
      <sheetData sheetId="676" refreshError="1"/>
      <sheetData sheetId="677" refreshError="1"/>
      <sheetData sheetId="678" refreshError="1"/>
      <sheetData sheetId="679"/>
      <sheetData sheetId="680" refreshError="1"/>
      <sheetData sheetId="681" refreshError="1"/>
      <sheetData sheetId="682"/>
      <sheetData sheetId="683" refreshError="1"/>
      <sheetData sheetId="684" refreshError="1"/>
      <sheetData sheetId="685"/>
      <sheetData sheetId="686"/>
      <sheetData sheetId="687"/>
      <sheetData sheetId="688"/>
      <sheetData sheetId="689" refreshError="1"/>
      <sheetData sheetId="690" refreshError="1"/>
      <sheetData sheetId="691" refreshError="1"/>
      <sheetData sheetId="692"/>
      <sheetData sheetId="693"/>
      <sheetData sheetId="694" refreshError="1"/>
      <sheetData sheetId="695" refreshError="1"/>
      <sheetData sheetId="696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C1"/>
      <sheetName val="C2"/>
      <sheetName val="C3"/>
      <sheetName val="C4"/>
      <sheetName val="C5"/>
      <sheetName val="D"/>
      <sheetName val="E"/>
      <sheetName val="G"/>
      <sheetName val="H"/>
      <sheetName val="H1"/>
      <sheetName val="H2"/>
      <sheetName val="H3"/>
      <sheetName val="I"/>
      <sheetName val="J"/>
      <sheetName val="K"/>
      <sheetName val="L"/>
      <sheetName val="M"/>
      <sheetName val="M1"/>
      <sheetName val="N"/>
      <sheetName val="Q"/>
      <sheetName val="RS"/>
      <sheetName val="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PBEXqueries"/>
      <sheetName val="SAPBEXfilters"/>
      <sheetName val="Options"/>
      <sheetName val="LC"/>
      <sheetName val="FX"/>
      <sheetName val="Days"/>
      <sheetName val="P10"/>
      <sheetName val="P10A"/>
      <sheetName val="P10B"/>
      <sheetName val="P10C"/>
      <sheetName val="P10D"/>
      <sheetName val="P11"/>
      <sheetName val="P11A"/>
      <sheetName val="P11B"/>
      <sheetName val="P11C"/>
      <sheetName val="P11D"/>
    </sheetNames>
    <sheetDataSet>
      <sheetData sheetId="0" refreshError="1"/>
      <sheetData sheetId="1" refreshError="1"/>
      <sheetData sheetId="2" refreshError="1">
        <row r="1">
          <cell r="B1">
            <v>1000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exo 1"/>
      <sheetName val="Anexo 3"/>
      <sheetName val="Anexo 4"/>
      <sheetName val="Anexo 5"/>
      <sheetName val="Anexo 6"/>
      <sheetName val="Anexo 7"/>
      <sheetName val="Anexo 8"/>
      <sheetName val="Anexo 10"/>
      <sheetName val="Anexo 11"/>
      <sheetName val="Anexo 12"/>
      <sheetName val="Anexo 13"/>
      <sheetName val="Anexo 14"/>
      <sheetName val="Anexo 15"/>
      <sheetName val="Anexo 16"/>
      <sheetName val="Anexo 17"/>
      <sheetName val="Anexo 2"/>
      <sheetName val="Anexo 9"/>
      <sheetName val="Lead"/>
      <sheetName val="Links"/>
    </sheetNames>
    <sheetDataSet>
      <sheetData sheetId="0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 a los Estados Financieros"/>
      <sheetName val="Costo {PPC}"/>
      <sheetName val="Deprec. {PPC}"/>
      <sheetName val="Cálculo Dep (Preliminar)"/>
      <sheetName val="Límites"/>
      <sheetName val="MMA Adiciones"/>
      <sheetName val="MMA Saldo Inicial"/>
      <sheetName val="Obs. Toma Física"/>
      <sheetName val="Análisis Adiciones"/>
      <sheetName val="Cálculo Dep (Final)"/>
      <sheetName val="XREF"/>
      <sheetName val="Tickmarks"/>
      <sheetName val="NotaalosEstadosFinancieros"/>
      <sheetName val="Deprec__PPC_"/>
      <sheetName val="Detalle"/>
      <sheetName val="MMA"/>
      <sheetName val="APT Gastos"/>
      <sheetName val="Arriendos"/>
      <sheetName val="Arr. Mercantil [ppc]"/>
      <sheetName val="Asistencia VW"/>
      <sheetName val="Comis. y Honorarios"/>
      <sheetName val="Otras ctas.xpagar (PPC)"/>
      <sheetName val="Mov. Benef. Socs."/>
      <sheetName val="Calc. Global Benef. (Sep)"/>
      <sheetName val="Calc. Global Benef. (Oct)"/>
      <sheetName val="Pagos Posteriores"/>
      <sheetName val="F.Conting. (oct)"/>
      <sheetName val="F. Conting. (Sep)"/>
      <sheetName val="Calc. Límites"/>
      <sheetName val="Mov. Inventarios"/>
      <sheetName val="Devoluci."/>
      <sheetName val="Adiciones MP."/>
      <sheetName val="Import. Tráns."/>
      <sheetName val="Valuación"/>
      <sheetName val="Préstamos Terceros"/>
      <sheetName val="Movimiento Benef.Soc."/>
      <sheetName val="Calc. Global Benef. (Prel)"/>
      <sheetName val="Det.Anticipos Clientes"/>
      <sheetName val="Análisis anticipos"/>
      <sheetName val="Int.no devenga"/>
      <sheetName val="A"/>
      <sheetName val="NotaEF "/>
      <sheetName val="Costo"/>
      <sheetName val="Dep.Costo. "/>
      <sheetName val="MMA (Adiciones) "/>
      <sheetName val="MMA S.Inicial"/>
      <sheetName val="MMA Toma física"/>
      <sheetName val="S Inicial"/>
      <sheetName val="Cálc. Global"/>
      <sheetName val="APT Adiciones"/>
    </sheetNames>
    <sheetDataSet>
      <sheetData sheetId="0"/>
      <sheetData sheetId="1"/>
      <sheetData sheetId="2"/>
      <sheetData sheetId="3"/>
      <sheetData sheetId="4" refreshError="1"/>
      <sheetData sheetId="5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/>
      <sheetData sheetId="4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"/>
      <sheetName val="Detalle"/>
      <sheetName val="Mov. Costo"/>
      <sheetName val="Mov. Depreciación"/>
      <sheetName val="Cálculo Global"/>
      <sheetName val="Adición Act. Fijo"/>
      <sheetName val="Selección Adiciones"/>
      <sheetName val="APT de Adiciones Act. Fijo"/>
      <sheetName val="Detalle Ventas Activos"/>
      <sheetName val="Selección Ventas"/>
      <sheetName val="Análisis Ventas"/>
      <sheetName val="Saldos Iniciales"/>
      <sheetName val="XREF"/>
      <sheetName val="Tickmarks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>
        <row r="3">
          <cell r="A3" t="str">
            <v>{a}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MMA"/>
      <sheetName val="Cálculo S. I."/>
      <sheetName val="Análisis Saldo Inicial"/>
      <sheetName val="XREF"/>
      <sheetName val="Tickmarks"/>
      <sheetName val="CálculoS_I_"/>
      <sheetName val="Anexo 4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/>
      <sheetData sheetId="7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álisis IVA"/>
      <sheetName val="Análisis Ret Fuente"/>
      <sheetName val="Tickmarks"/>
      <sheetName val="XREF"/>
      <sheetName val="AnálisisIVA"/>
      <sheetName val="Detalle de Gastos"/>
      <sheetName val="Tax Working"/>
      <sheetName val="INSTRUCTIONS"/>
      <sheetName val="Varios dólares"/>
      <sheetName val="SSO"/>
      <sheetName val="Reexpresado año 2000"/>
      <sheetName val="Owned"/>
      <sheetName val="VALORES PUBLICOS"/>
      <sheetName val="CONSTANTES"/>
      <sheetName val="LPH INCE"/>
      <sheetName val="F-1.0 Balance Gral"/>
      <sheetName val="IPC"/>
      <sheetName val="Prueba de Diferencial Cambi (2)"/>
      <sheetName val="sapactivexlhiddensheet"/>
      <sheetName val="Matríz Dic 04"/>
      <sheetName val="31 Dic 96"/>
      <sheetName val="Detalle"/>
      <sheetName val="Detalle Cuentas por Cobrar"/>
      <sheetName val="Sheet1"/>
      <sheetName val="ROLCOBOS"/>
      <sheetName val="Imp_Noviembre"/>
      <sheetName val="Hoja4"/>
      <sheetName val="Hoja3"/>
      <sheetName val="Cuadre"/>
      <sheetName val="Reembolsos"/>
      <sheetName val="CT"/>
      <sheetName val="AUT "/>
      <sheetName val="Partes  relacionadas"/>
      <sheetName val="ATS"/>
      <sheetName val="PARTES RELACIONADAS"/>
      <sheetName val="Hoja1"/>
      <sheetName val="Hoja2"/>
      <sheetName val="ORG"/>
      <sheetName val="Namelist"/>
      <sheetName val="SetUp"/>
      <sheetName val="Balance General"/>
      <sheetName val="Sheet6"/>
      <sheetName val="Adiciones e intereses"/>
      <sheetName val="Utilidades"/>
      <sheetName val="Prest. Soc."/>
      <sheetName val="TABLAIPC "/>
      <sheetName val="Hoja5"/>
      <sheetName val="Abr-03"/>
      <sheetName val="DB"/>
      <sheetName val="LPH e INCE"/>
      <sheetName val="Movimiento"/>
      <sheetName val="Prov Activo Fijo Jun-2002"/>
      <sheetName val="Anexo 12"/>
      <sheetName val="BM PPR Act"/>
      <sheetName val="Prueba global - Pasivo"/>
    </sheetNames>
    <sheetDataSet>
      <sheetData sheetId="0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Asignaciones"/>
      <sheetName val="APT Gastos"/>
      <sheetName val="Sueldos"/>
      <sheetName val="Honorarios"/>
      <sheetName val="Marcas Estándar"/>
      <sheetName val="XREF"/>
      <sheetName val="#REF"/>
      <sheetName val="Gtos. Admin. y Vtas."/>
      <sheetName val="MMA APT"/>
      <sheetName val="Análisis APT"/>
      <sheetName val="Tickmarks"/>
      <sheetName val="Detalle APT"/>
      <sheetName val="Selección APT"/>
      <sheetName val="Detalle Cuentas Public."/>
      <sheetName val="Sheet13"/>
      <sheetName val="Sheet12"/>
      <sheetName val="Detalle Prove Public."/>
      <sheetName val="Análisis Selec."/>
      <sheetName val="Det. Gto.Ben.Soc"/>
      <sheetName val="Det.Gst.Fij"/>
      <sheetName val="Det.GstoInterc"/>
      <sheetName val="Gsto.Interc."/>
      <sheetName val="Det.Pub."/>
      <sheetName val="MMA"/>
      <sheetName val="Anál. APT"/>
      <sheetName val="Análisis Remun."/>
      <sheetName val="GASTOS"/>
      <sheetName val="Sheet1"/>
      <sheetName val="Roles sep-00"/>
      <sheetName val="Benefic. sep.00"/>
      <sheetName val=" Sue. y prov.-final"/>
      <sheetName val="CalcuGlobalSueldo"/>
      <sheetName val=" MMA"/>
      <sheetName val="Análisis"/>
      <sheetName val="Mayores MMA (PPC)"/>
      <sheetName val="Hoja1"/>
      <sheetName val="Cálculo Sueldos"/>
      <sheetName val="Detalle abierto"/>
      <sheetName val="APT"/>
      <sheetName val="Detalle (1)"/>
      <sheetName val="Tildes"/>
      <sheetName val="Detalle -Apt"/>
      <sheetName val="CG - sueldos"/>
      <sheetName val="CG - Arriendos"/>
      <sheetName val="Comisiones pagadas"/>
      <sheetName val="Selección"/>
      <sheetName val="Siniestros pagados"/>
      <sheetName val="MMA Siniestros"/>
      <sheetName val="Siniestros pagados final"/>
      <sheetName val="MMA Anulaciones"/>
      <sheetName val="Análisis Anulaciones"/>
      <sheetName val="Sheet1 (2)"/>
      <sheetName val="Detalle  (2)"/>
      <sheetName val="CALCULO GLOBAL SUELDOS"/>
      <sheetName val="An. remuner."/>
      <sheetName val="R. Analítica"/>
      <sheetName val="Cálculo del límite"/>
      <sheetName val="Tabla del Limite"/>
      <sheetName val="Cálc. Global Sueldos (2)"/>
      <sheetName val="Detalle de Gastos"/>
      <sheetName val="Cálc. Global Sueldos"/>
      <sheetName val="Selección de Gtos."/>
      <sheetName val="Analisis de gastos"/>
      <sheetName val="Det Gtos Oper"/>
      <sheetName val="Análisis Gastos Oper"/>
      <sheetName val="Análisis de Anul y Canc"/>
      <sheetName val="MMA final"/>
      <sheetName val="Anal Sin pagados"/>
      <sheetName val="det. brokers"/>
      <sheetName val="MMA BROKERS"/>
      <sheetName val="CMA_Calculations"/>
      <sheetName val="CMA_Selections"/>
      <sheetName val="Arriendos"/>
      <sheetName val="Nómina"/>
      <sheetName val="Beneficios Sociales"/>
      <sheetName val="C.G. Comisiones"/>
      <sheetName val="Indemnizaciones"/>
      <sheetName val="C.G.Vehículos F.Vtas."/>
      <sheetName val="C.G. Arriendos"/>
      <sheetName val="C.G Honorarios"/>
      <sheetName val="C.G. Bonificaciones"/>
      <sheetName val="Límite"/>
      <sheetName val="Tabla"/>
      <sheetName val="Detalle Gastos"/>
      <sheetName val="Otros Gastos"/>
      <sheetName val="Resumen Comisiones"/>
      <sheetName val="C. Tarjetas"/>
      <sheetName val="Technical SAG."/>
      <sheetName val="Mant. redes"/>
      <sheetName val="Comisiones-bonos-residuales"/>
      <sheetName val="roles de pago"/>
      <sheetName val="Sueldo final"/>
      <sheetName val="Sueldo prel"/>
      <sheetName val="Alimentación"/>
      <sheetName val="Liq. empleados"/>
      <sheetName val="1000 "/>
      <sheetName val="2000"/>
      <sheetName val="3000"/>
      <sheetName val="4000"/>
      <sheetName val="5000"/>
      <sheetName val="6000"/>
      <sheetName val="70081"/>
      <sheetName val="70082"/>
      <sheetName val="70083"/>
      <sheetName val="70084"/>
      <sheetName val="8000"/>
      <sheetName val="Análisis Gtos.Oper."/>
      <sheetName val="Resumen"/>
      <sheetName val="Selección "/>
      <sheetName val="Cál.Glob.Arrend."/>
      <sheetName val="Sueldos Final"/>
      <sheetName val="APT Gastos (Final)"/>
      <sheetName val="Honorarios profesionales"/>
      <sheetName val="Det. dep.prov.amort."/>
      <sheetName val="Gasto Arriendo"/>
      <sheetName val="Pivot"/>
      <sheetName val="Subdetalle Final"/>
      <sheetName val="Subdetalle Prel."/>
      <sheetName val="Planillas"/>
      <sheetName val="Hoja 1"/>
      <sheetName val="Cal. Glob. Sueldos"/>
      <sheetName val="Cálculo Varios"/>
      <sheetName val="Cálc.Serv.Distr."/>
      <sheetName val="Detalle Regalías"/>
      <sheetName val="Regalías"/>
      <sheetName val="Detalle Arriendos"/>
      <sheetName val="Patentes"/>
      <sheetName val="Publicidad"/>
      <sheetName val="APT Gtos."/>
      <sheetName val="Pivot "/>
      <sheetName val="APT MMA"/>
      <sheetName val="Determinación del Límite"/>
      <sheetName val="Tabla del Límite"/>
      <sheetName val="Join V."/>
      <sheetName val="EDS"/>
      <sheetName val="Guarantee"/>
      <sheetName val="Seguros"/>
      <sheetName val="MMA "/>
      <sheetName val="APT Dic"/>
      <sheetName val="Calc. Límites Dic-04"/>
      <sheetName val=" Límite"/>
      <sheetName val="Detalle G. Op."/>
      <sheetName val="Leasing"/>
      <sheetName val="E. Electrica"/>
      <sheetName val="Consumo E. Electrica"/>
      <sheetName val="Det  Benef.Soc."/>
      <sheetName val="Gasto Sueldos"/>
      <sheetName val="Cálculo Global Sueldos"/>
      <sheetName val="Revisión analítica gastos"/>
      <sheetName val="Gráfico"/>
      <sheetName val="MMA (2)"/>
      <sheetName val="Detalle de Gastos "/>
      <sheetName val="Detalle gastos administ"/>
      <sheetName val="Detalle gastos ventas"/>
      <sheetName val="Planillas IESS"/>
      <sheetName val="Cál.Glob. Sueldos"/>
      <sheetName val="Rol"/>
      <sheetName val="Análisis Honorarios"/>
      <sheetName val="Marcas"/>
      <sheetName val="MMA Gastos"/>
      <sheetName val="Detalle de Sueldos y Salarios"/>
      <sheetName val="Trabajo Prestado"/>
      <sheetName val="Calc. Límites"/>
      <sheetName val="Persoserv"/>
      <sheetName val="Guarantee (Sep)"/>
      <sheetName val="Arriendo"/>
      <sheetName val="Remuneraciones"/>
      <sheetName val="Resumen Planillas"/>
      <sheetName val="Cuadro Comparativo"/>
      <sheetName val="Asist. Técnica"/>
      <sheetName val="Comisiones del Ext."/>
      <sheetName val="Gtos. Ventas y Administración"/>
      <sheetName val="Cálculo del umbral"/>
      <sheetName val="C. Globla Primas 2003"/>
      <sheetName val="Cálculos Globales"/>
      <sheetName val="Calc. Límites "/>
      <sheetName val="Fact.Que No Cumplen Reg. Fact."/>
      <sheetName val="C. Global Mov. y B. Resp."/>
      <sheetName val="Marca"/>
      <sheetName val="Detalle servicios especial"/>
      <sheetName val="Aportes a la AGD"/>
      <sheetName val="Aporte SIB"/>
      <sheetName val="Servipagos"/>
      <sheetName val="Tevcol"/>
      <sheetName val="Detalle 2004"/>
      <sheetName val="Variaciones Jul-Sept04"/>
      <sheetName val="MMA Sept04"/>
      <sheetName val="APT Sept04"/>
      <sheetName val="Sueldos y benef Adm"/>
      <sheetName val="Suel y Benf Estac"/>
      <sheetName val="Alquiler"/>
      <sheetName val="Depreciación FASB52"/>
      <sheetName val="MMA (var)"/>
      <sheetName val="Base"/>
      <sheetName val="MMAAPT"/>
      <sheetName val="Gtos."/>
      <sheetName val="Seleccionados"/>
      <sheetName val="Rol ejecut."/>
      <sheetName val="Indemnización"/>
      <sheetName val="Otros Serv."/>
      <sheetName val="Pivot (dic)"/>
      <sheetName val="Pivot (sept)"/>
      <sheetName val="Revisión analítica"/>
      <sheetName val="Seguro Médico"/>
      <sheetName val="Sueldos Corp."/>
      <sheetName val="MMA Prelim"/>
      <sheetName val="Interhealth"/>
      <sheetName val="Brokers"/>
      <sheetName val="Detalle Gastos APT"/>
      <sheetName val="Detalle Gastos Vtas"/>
      <sheetName val="Análisis Gastos APT"/>
      <sheetName val="C. Global Gto.Coms."/>
      <sheetName val="APTGastos"/>
      <sheetName val="Gasstos mensuales"/>
      <sheetName val="MMA Jul-Dic"/>
      <sheetName val="APT Gastos "/>
      <sheetName val="Cálculo arrendamiento"/>
      <sheetName val=" MMA Sept-04"/>
      <sheetName val="APT Sept-04"/>
      <sheetName val="Cal.Sueldos"/>
      <sheetName val="Cálculo Glob. Arriendos"/>
      <sheetName val="Análisis Gastos"/>
      <sheetName val="Imptos y Contrib."/>
      <sheetName val="Transp. Mercaderia"/>
      <sheetName val="Vtas Diners"/>
      <sheetName val="Recuper.Gtos"/>
      <sheetName val="Tabla Límites"/>
      <sheetName val="Detalle Gastos Opert."/>
      <sheetName val="Impuestos y Contribuciones"/>
      <sheetName val="Anal.Remun."/>
      <sheetName val="Tickmarks (2)"/>
      <sheetName val="Calc. Global Sueldos"/>
      <sheetName val="Arrendamiento"/>
      <sheetName val="Cálc. Glob. Arrend."/>
      <sheetName val="MMAGastos"/>
      <sheetName val="límite "/>
      <sheetName val="Revision Analitica"/>
      <sheetName val="Gastos por CC"/>
      <sheetName val="Rev. Analítica"/>
      <sheetName val="Límites Prel"/>
      <sheetName val="Límites Dic"/>
      <sheetName val="Límites"/>
      <sheetName val="Cálc. Glob. Arriendos"/>
      <sheetName val="Cálc. Glob. Guardianía"/>
      <sheetName val="Cálc. Glob. Alimentación"/>
      <sheetName val="Análisis de Gastos APT"/>
      <sheetName val="Servicios Corporativos"/>
      <sheetName val="Prorrateo"/>
      <sheetName val="Análisis Prorrateo"/>
      <sheetName val="MMA Prel"/>
      <sheetName val="Límite Ap.IESS"/>
      <sheetName val="Aj Sueldos"/>
      <sheetName val="Ben Soc"/>
      <sheetName val="Limite Arr"/>
      <sheetName val="Pivot (Fin)"/>
      <sheetName val="Pivot (Prel)"/>
      <sheetName val="MMA (APT)"/>
      <sheetName val="Asesorías"/>
      <sheetName val="Base Costos y Gastos"/>
      <sheetName val="OPERACIONALES"/>
      <sheetName val="Pivot (Dic05)"/>
      <sheetName val="Pivot(Sep05)"/>
      <sheetName val="Rev. Análitica"/>
      <sheetName val="Cal.Glob.Corp"/>
      <sheetName val="Cal. Glob. Arriend"/>
      <sheetName val="Seg. Médico"/>
      <sheetName val="Sueldos Laminado (2002)"/>
      <sheetName val="Local 101"/>
      <sheetName val="Compra de Inmodiamante."/>
      <sheetName val="Aportes AGD"/>
      <sheetName val="Contrib SBS"/>
      <sheetName val="MMA Sep-05"/>
      <sheetName val="EBITDA"/>
      <sheetName val="Remuneración Variable"/>
      <sheetName val="Gasto Vehículos"/>
      <sheetName val="Gasto Km"/>
      <sheetName val="Km Fact"/>
      <sheetName val="CCostos"/>
      <sheetName val="Cálculo Nómina"/>
      <sheetName val="MMA Junio"/>
      <sheetName val="CG Honorarios"/>
      <sheetName val="CG Seguridad"/>
      <sheetName val="CG Arriendos"/>
      <sheetName val="Sueldos y B. Soc."/>
      <sheetName val="Beneficios"/>
      <sheetName val="Servicios Profesionales"/>
      <sheetName val="RR HH"/>
      <sheetName val="Limpieza"/>
      <sheetName val="Mant y Rep"/>
      <sheetName val="Contratos"/>
      <sheetName val="Salas VIP"/>
      <sheetName val="Suministros"/>
      <sheetName val="Gastos generales"/>
      <sheetName val="Tercerización"/>
      <sheetName val="Detalle Nov-03"/>
      <sheetName val="Calculo Sueldos"/>
      <sheetName val="Calculo Mant. SPIDER"/>
      <sheetName val="C.G. Sueldos"/>
      <sheetName val="C.G. Honorarios"/>
      <sheetName val="C.G. Arriendos y Vigilancia"/>
      <sheetName val="MMA Dic"/>
      <sheetName val="MMA Sept"/>
      <sheetName val="No Operacionales"/>
      <sheetName val="Anal Sin pag sept 02"/>
      <sheetName val="Análisis gastos adminis."/>
      <sheetName val="Anal Sin pag junio 02"/>
      <sheetName val="Det. de Gastos "/>
      <sheetName val="PPC-1100103"/>
      <sheetName val="Threshold Calc"/>
      <sheetName val="Det Ctas Benef Soc"/>
      <sheetName val="S5210"/>
      <sheetName val="PPC-S5210"/>
      <sheetName val="Gtos Manufactura"/>
      <sheetName val="Reaseg Cedidos"/>
      <sheetName val="Siniestros Vida"/>
      <sheetName val="Siniestros Generales"/>
      <sheetName val="Comisiones (sep)"/>
      <sheetName val="Análisis Comisiones"/>
      <sheetName val="No proporcionales"/>
      <sheetName val="Comisiones"/>
      <sheetName val="Reaseguros Cedidos"/>
      <sheetName val="Serv. Administrativos"/>
      <sheetName val="MMA Conserv y Mant"/>
      <sheetName val="Ansalisis Conserv y Mant"/>
      <sheetName val="Comisión Brokers"/>
      <sheetName val="Comisión Nova"/>
      <sheetName val="MMA Prelim."/>
      <sheetName val="APT Comisiones"/>
      <sheetName val="MMA Sep"/>
      <sheetName val="Sueldos-Benef Cía"/>
      <sheetName val="Sueldos-Benf. Estaciones"/>
      <sheetName val="Movimiento Benf. Soc"/>
      <sheetName val="CG Vigilancia"/>
      <sheetName val="Sobresueldos"/>
      <sheetName val="Base de Datos"/>
      <sheetName val="Análisis Base de datos"/>
      <sheetName val="MMA Preliminar"/>
      <sheetName val="Asesorías y Honorarios"/>
      <sheetName val="Benef. Sociales"/>
      <sheetName val="MMA Gastos Final"/>
      <sheetName val="MMA Gastos Prelim."/>
      <sheetName val="Detalle Convenios"/>
      <sheetName val="Análisis de Comisiones"/>
      <sheetName val="Cobertura Seguros"/>
      <sheetName val="MMA Comisiones"/>
      <sheetName val="Análisis APT Gastos"/>
      <sheetName val="Análisis Siniestros"/>
      <sheetName val="Cobertura Exterior"/>
      <sheetName val="Detalle Siniestros"/>
      <sheetName val="Siniestros Ajustes Manuales"/>
      <sheetName val="Analisis Siniestros"/>
      <sheetName val="Siniestros Anulados"/>
      <sheetName val="Gs. Adm."/>
      <sheetName val="Gs. Ventas"/>
      <sheetName val="Calc. Gl. Honorarios"/>
      <sheetName val="Cálculo global"/>
      <sheetName val="Análisis de honorarios"/>
      <sheetName val="Empleados y Funcionarios"/>
      <sheetName val="MMA Comisiones Prelim."/>
      <sheetName val="MMA Liq. Rescates"/>
      <sheetName val="Remuneraciones "/>
      <sheetName val="Otros pagos"/>
      <sheetName val="Personal"/>
      <sheetName val="Total"/>
      <sheetName val="2002 "/>
      <sheetName val="2002"/>
      <sheetName val="2001 2002"/>
      <sheetName val="2001.2002"/>
      <sheetName val="Selección resumen"/>
      <sheetName val="Testing"/>
      <sheetName val="MMA Pagos"/>
      <sheetName val="APT Pagos"/>
      <sheetName val="Análisis saldos negativos"/>
      <sheetName val="Detalle Final"/>
      <sheetName val="MMA APT-Hugo"/>
      <sheetName val="Detalle-Hugo"/>
      <sheetName val="Sueldos (prel.)"/>
      <sheetName val="APT de todo"/>
      <sheetName val="MMA APT (2)"/>
      <sheetName val="Detalle (2)- prueba"/>
      <sheetName val="APT "/>
      <sheetName val="Reembolso Gstos"/>
      <sheetName val="Tarjeta Crédito"/>
      <sheetName val="Resnet"/>
      <sheetName val="Detalle-Preliminar"/>
      <sheetName val="Límites "/>
      <sheetName val="MMA - Final"/>
      <sheetName val="APT - Gastos"/>
      <sheetName val="Detalle "/>
      <sheetName val="CMA_SampleDesign"/>
      <sheetName val="DialogInsert"/>
      <sheetName val="Calculo S.B."/>
      <sheetName val="APT Final"/>
      <sheetName val="APT Preliminar"/>
      <sheetName val="Sueldos "/>
      <sheetName val="Límite Honorarios"/>
      <sheetName val="Excess Calc"/>
      <sheetName val="Pivot centro de Costo"/>
      <sheetName val="Base Pivot"/>
      <sheetName val="Agrupación"/>
      <sheetName val="Tercerizadoras"/>
      <sheetName val="Trabajo de Terceros"/>
      <sheetName val="APT Prelim"/>
      <sheetName val="Hoja de Datos"/>
      <sheetName val="Bienes y Serv. Cons"/>
      <sheetName val="Asistencia Técnica"/>
      <sheetName val="Fedapal"/>
      <sheetName val="Ancupa"/>
      <sheetName val="Calc. Límite"/>
      <sheetName val="Análisis de Adic."/>
      <sheetName val="Primas"/>
      <sheetName val="Analisis de Roles"/>
      <sheetName val="SA Procedures"/>
      <sheetName val="Expectation"/>
      <sheetName val="Explanation"/>
      <sheetName val="Análisis de Nómina"/>
      <sheetName val="Gastos Apt"/>
      <sheetName val="Serv. Comercialización"/>
      <sheetName val="Imp. salida Div."/>
      <sheetName val="Cal Global Sueldos"/>
      <sheetName val="Cálculo Tercerizadora"/>
      <sheetName val="Rotators"/>
      <sheetName val="MMA Rotators"/>
      <sheetName val="Análisis Rotators"/>
      <sheetName val="Expatriados y Consultores"/>
      <sheetName val="Facturas Exp y Consult"/>
      <sheetName val="Nota EEFF"/>
      <sheetName val="Cálculo global de Nómina"/>
      <sheetName val="Limites"/>
      <sheetName val="Analisis Gastos APT"/>
      <sheetName val="Honorarios 2"/>
      <sheetName val="Provisiones"/>
      <sheetName val="Asesorías relacionadas"/>
      <sheetName val="Hon"/>
      <sheetName val="Sueldos y Salarios"/>
      <sheetName val="Detalle de Primas"/>
      <sheetName val="Honorarios (2)"/>
      <sheetName val="APT de Gastos"/>
      <sheetName val="Asesoría Técnica"/>
      <sheetName val="Arriendos "/>
      <sheetName val="Detalle."/>
      <sheetName val="Incentivos sobre resultados"/>
      <sheetName val="APT Iguals"/>
      <sheetName val="APT Gastos Fin"/>
      <sheetName val="Sueldos y Benef."/>
      <sheetName val="Limite Benef."/>
      <sheetName val="Transporte de Quimicos"/>
      <sheetName val="Servicios Ocasionales"/>
      <sheetName val="Cálculo Global de Sueldos"/>
      <sheetName val="APT Serv Profesionales"/>
      <sheetName val="Seguros "/>
      <sheetName val="Contingencias"/>
      <sheetName val="Detalle Contingencia Inundación"/>
      <sheetName val="Gastos según CC"/>
      <sheetName val="Cuentas con Saldos Contrarios"/>
      <sheetName val="Sueldos Temporales"/>
      <sheetName val="513551"/>
      <sheetName val="Gastos de Exportación"/>
      <sheetName val="Educación Médica Continua"/>
      <sheetName val="CMA Calculations"/>
      <sheetName val="Analisis Gastos"/>
      <sheetName val="Arriendos leasing"/>
      <sheetName val="Detalle Desembolsos por Capitul"/>
      <sheetName val="Comisión Supermaxi"/>
      <sheetName val="APT Fin"/>
      <sheetName val="Nota"/>
      <sheetName val="Bonificaciones"/>
      <sheetName val="Limite Nómina"/>
      <sheetName val="Limite Comisiones"/>
      <sheetName val="Imp. Contribuciones"/>
      <sheetName val="Análisis APT Prel."/>
      <sheetName val="Selección Gastos"/>
      <sheetName val="Muestra Gastos"/>
      <sheetName val="Servicios básicos"/>
      <sheetName val="APT Gasto"/>
      <sheetName val="Honorarios "/>
      <sheetName val="APT Gastos Operacionales"/>
      <sheetName val="APT terciarizados"/>
      <sheetName val="Comisión Schlumberger"/>
      <sheetName val="Expats"/>
      <sheetName val="APT Ingenieros"/>
      <sheetName val="MMA (f)"/>
      <sheetName val="MMA(p)"/>
      <sheetName val="MMA 2004"/>
      <sheetName val="Prov. Publicidad P&amp;A"/>
      <sheetName val="Gto Interes Fideicomisos"/>
      <sheetName val="Fee Casa Matriz"/>
      <sheetName val="Facturas Casa Matriz"/>
      <sheetName val="Clasificación Gtos. 31-Dec-08"/>
      <sheetName val="Clasificación Gtos. 31-Oc-08"/>
      <sheetName val="Comisiones Dic"/>
      <sheetName val="Contratos (reaseg no proporc)"/>
      <sheetName val="ANALISIS GTS."/>
      <sheetName val="CG Asesoria"/>
      <sheetName val="Comisiones Exterior"/>
      <sheetName val="Aporte Patronal"/>
      <sheetName val="Intereses"/>
      <sheetName val="Seguridad y Vigilancia"/>
      <sheetName val="Arrendamientos"/>
      <sheetName val="Otros Impuestos"/>
      <sheetName val="Gastos No Deducibles"/>
      <sheetName val="CMA Selections"/>
      <sheetName val="Análisis de APT"/>
      <sheetName val="Nota EF"/>
      <sheetName val="pruebas sustantivas"/>
      <sheetName val="Expectativa de gastos"/>
      <sheetName val="APT Prel"/>
      <sheetName val="Arriendo Inm"/>
      <sheetName val="Guardiania"/>
      <sheetName val="Transporte Mercaderías"/>
      <sheetName val="Determinación de Límites"/>
      <sheetName val="Gtos. Bancarios"/>
      <sheetName val="Límite Sueldos"/>
      <sheetName val="Reembolso gastos"/>
      <sheetName val="Nómina "/>
      <sheetName val="Recalculo de Nómina "/>
      <sheetName val="MMA Gastos Operacionales"/>
      <sheetName val="Guardianía"/>
      <sheetName val="Tab"/>
      <sheetName val="APT Gasto Arriendo"/>
      <sheetName val="Cálculo Comisión Schlumberger"/>
      <sheetName val="APT Rotators"/>
      <sheetName val="APT Expats"/>
      <sheetName val="Procedimiento"/>
      <sheetName val="Nómina Final"/>
      <sheetName val=" APT"/>
      <sheetName val="Servicios"/>
      <sheetName val="Bono Especial"/>
      <sheetName val="Fletes"/>
      <sheetName val="Límites Nómina Final"/>
      <sheetName val="Límites Nómina"/>
      <sheetName val="Prov. Incobrables"/>
      <sheetName val="CMA Calculations (2)"/>
      <sheetName val="Sueldos y Beneficios"/>
      <sheetName val="Notas EEFF"/>
      <sheetName val="Quito"/>
      <sheetName val="Guayaquil"/>
      <sheetName val="Gatos Sini- Reclamos "/>
      <sheetName val="P.1. Detalle"/>
      <sheetName val="P.2. APT Gastos (F)"/>
      <sheetName val="P.3. Analisis de Donaciones (F)"/>
      <sheetName val="P.4. Análisis Nómina (F)"/>
      <sheetName val="Arrendamiento Mercantil"/>
      <sheetName val="Límite cp"/>
      <sheetName val="Calculo Global de Sueldos"/>
      <sheetName val="Cálculo Arriendos"/>
      <sheetName val="Admin Base datos"/>
      <sheetName val="CálculoGlob. Consultores"/>
      <sheetName val="Cálculo Global Expatriados"/>
      <sheetName val="Cálculo Global Arriendos"/>
      <sheetName val="Gastos ADC"/>
      <sheetName val="Conta, Asesor y Otros"/>
      <sheetName val="Provisión Corpaq"/>
      <sheetName val="O&amp;M Manag. Fee Prel."/>
      <sheetName val="O&amp;M Manag. Fee Final"/>
      <sheetName val="Servipago"/>
      <sheetName val="O&amp;M Manag. Fee"/>
      <sheetName val="APT Gastos ADC"/>
      <sheetName val="Serv. contables y otros"/>
      <sheetName val="O&amp;M Manag Fee"/>
      <sheetName val="Serv.Contables y Otros"/>
      <sheetName val="O&amp;M Management Fee"/>
      <sheetName val="Nota a los EEFF"/>
      <sheetName val="APT Gastos Prel"/>
      <sheetName val="Contab, Ases, Otros "/>
      <sheetName val="O&amp;M Exp.Onshore"/>
      <sheetName val="O&amp;M Exp.Offshore"/>
      <sheetName val="Corpaq Concession Fee"/>
      <sheetName val="O&amp;M Manag. Fee  Sept"/>
      <sheetName val="Calculo Global Honorarios"/>
      <sheetName val="O&amp;M Expenses Onshore"/>
      <sheetName val="O&amp;M Expenses Offshore"/>
      <sheetName val="O&amp;M Managt Fee Jul"/>
      <sheetName val="Servicios contables y otros"/>
      <sheetName val="Nomina"/>
      <sheetName val="Selección Empleados"/>
      <sheetName val="Cálculo  Arriendos"/>
      <sheetName val="Management"/>
      <sheetName val="Impuestos"/>
      <sheetName val="F316"/>
      <sheetName val="Salarios y beneficios sociales"/>
      <sheetName val="Límites Final"/>
      <sheetName val="Detalle Costos"/>
      <sheetName val="Límite am"/>
      <sheetName val="Gastos Generales "/>
      <sheetName val="Selección MMA"/>
      <sheetName val="Seguridad"/>
      <sheetName val="Internet"/>
      <sheetName val="G. Administr. Interfondos"/>
      <sheetName val="Gtos. Operación"/>
      <sheetName val="Suedos Dic'06"/>
      <sheetName val="Sueldos Aug'06"/>
      <sheetName val="Sueldos Jul'06"/>
      <sheetName val="Honorarios Dic'06"/>
      <sheetName val="Honorarios Aug'06"/>
      <sheetName val="Honorarios Jul'06"/>
      <sheetName val="MMA Serv. Varios"/>
      <sheetName val="Serv. Varios"/>
      <sheetName val="Contratos Dic'06"/>
      <sheetName val="Contratos Aug'06"/>
      <sheetName val="Contratos Jul'06"/>
      <sheetName val="MMA Desembolsos Contr."/>
      <sheetName val="An. Desembolsos Contr."/>
      <sheetName val="Subselección APT"/>
      <sheetName val="CalcArriend"/>
      <sheetName val="Subselección Apt Final"/>
      <sheetName val="Subselección APT Preliminar"/>
      <sheetName val="Análisis de liquidaciones"/>
      <sheetName val="Analisis Gastos APT "/>
      <sheetName val="Analisis de Honorarios"/>
      <sheetName val="CMA Calculations (Final)"/>
      <sheetName val="CMA Calculations (Preli)"/>
      <sheetName val="Límites Provisiones"/>
      <sheetName val="Nomina Final"/>
      <sheetName val="Courier"/>
      <sheetName val="Recálculo Nómina"/>
      <sheetName val="Nómina Prelim"/>
      <sheetName val="APT Prel_Final"/>
      <sheetName val="Nómina Ec"/>
      <sheetName val="Nómina 2011 (2)"/>
      <sheetName val="Honorarios Prof YP"/>
      <sheetName val="Honorarios Prof. Gerenciales"/>
      <sheetName val="Arriendos YP"/>
      <sheetName val="Partidas a analizar"/>
      <sheetName val="Nomina (2)"/>
      <sheetName val="Conclusión"/>
      <sheetName val="Serv. Comerc."/>
      <sheetName val="Seguros Prelim"/>
      <sheetName val="Seguros Fin"/>
      <sheetName val="CG Nómina"/>
      <sheetName val="Revisión Otros Gastos"/>
      <sheetName val="Análisis de Variaciones"/>
      <sheetName val="Análisis ISD"/>
      <sheetName val="Procedimientos"/>
      <sheetName val="Vigilancia APT"/>
      <sheetName val="Servicios Administrativos"/>
      <sheetName val="Alquiler Veh"/>
      <sheetName val="Alquiler Inmueble"/>
      <sheetName val="Serv. Tecn. y Arrendm."/>
      <sheetName val="Cálculo selección de APT"/>
      <sheetName val="Analisis APT"/>
      <sheetName val="Variación de Gastos"/>
      <sheetName val="Honorarios APT"/>
      <sheetName val="Nómina Quito"/>
      <sheetName val="Nómina Guayaquil"/>
      <sheetName val="Calculo Global Nomina"/>
      <sheetName val="Renta"/>
      <sheetName val="Cálculo de benficios sociales"/>
      <sheetName val="Análisis Nómina"/>
      <sheetName val="A. Servicios Corporativos"/>
      <sheetName val="Analsis Gastos APT"/>
      <sheetName val="Benef. Sociales "/>
      <sheetName val="Fact Allocations Dic 08"/>
      <sheetName val="Facturación Allocations"/>
      <sheetName val="Allocations"/>
      <sheetName val="Transporte OCP"/>
      <sheetName val="Corte Tardío"/>
      <sheetName val="Ley Medio Ambiente"/>
      <sheetName val="MMA Select Gastos APT"/>
      <sheetName val="08"/>
      <sheetName val="Análisis Arriendos APT"/>
      <sheetName val="Análisis Honorarios APT "/>
      <sheetName val="Cálculo Global Beneficios Socia"/>
      <sheetName val="Resumen por cuenta"/>
      <sheetName val="Cont. Selec"/>
      <sheetName val="Vacaciones"/>
      <sheetName val="Gasto Petroecuador"/>
      <sheetName val="Selección Gastos APT Final"/>
      <sheetName val="Límite de Nómina"/>
      <sheetName val="Límite de Nóminca"/>
      <sheetName val="Gto arriendo Vehi Ofic"/>
      <sheetName val="Calculo ingresos Inmocastle"/>
      <sheetName val="Contratos Varios APT"/>
      <sheetName val="Fletes y Promoc"/>
      <sheetName val="Worksheet in 8330 Análisis de G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/>
      <sheetData sheetId="13" refreshError="1"/>
      <sheetData sheetId="14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 refreshError="1"/>
      <sheetData sheetId="23"/>
      <sheetData sheetId="24" refreshError="1"/>
      <sheetData sheetId="25" refreshError="1"/>
      <sheetData sheetId="26" refreshError="1"/>
      <sheetData sheetId="27"/>
      <sheetData sheetId="28" refreshError="1"/>
      <sheetData sheetId="29"/>
      <sheetData sheetId="30"/>
      <sheetData sheetId="31"/>
      <sheetData sheetId="32" refreshError="1"/>
      <sheetData sheetId="33" refreshError="1"/>
      <sheetData sheetId="34"/>
      <sheetData sheetId="35" refreshError="1"/>
      <sheetData sheetId="36" refreshError="1"/>
      <sheetData sheetId="37"/>
      <sheetData sheetId="38"/>
      <sheetData sheetId="39" refreshError="1"/>
      <sheetData sheetId="40" refreshError="1"/>
      <sheetData sheetId="41" refreshError="1"/>
      <sheetData sheetId="42"/>
      <sheetData sheetId="43"/>
      <sheetData sheetId="44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/>
      <sheetData sheetId="60">
        <row r="16">
          <cell r="F16">
            <v>180529</v>
          </cell>
        </row>
      </sheetData>
      <sheetData sheetId="61"/>
      <sheetData sheetId="62"/>
      <sheetData sheetId="63"/>
      <sheetData sheetId="64" refreshError="1"/>
      <sheetData sheetId="65" refreshError="1"/>
      <sheetData sheetId="66" refreshError="1"/>
      <sheetData sheetId="67"/>
      <sheetData sheetId="68" refreshError="1"/>
      <sheetData sheetId="69" refreshError="1"/>
      <sheetData sheetId="70" refreshError="1"/>
      <sheetData sheetId="71"/>
      <sheetData sheetId="72"/>
      <sheetData sheetId="73"/>
      <sheetData sheetId="74" refreshError="1"/>
      <sheetData sheetId="75" refreshError="1"/>
      <sheetData sheetId="76"/>
      <sheetData sheetId="77"/>
      <sheetData sheetId="78"/>
      <sheetData sheetId="79" refreshError="1"/>
      <sheetData sheetId="80"/>
      <sheetData sheetId="81"/>
      <sheetData sheetId="82"/>
      <sheetData sheetId="83"/>
      <sheetData sheetId="84"/>
      <sheetData sheetId="85"/>
      <sheetData sheetId="86" refreshError="1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 refreshError="1"/>
      <sheetData sheetId="116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 refreshError="1"/>
      <sheetData sheetId="125"/>
      <sheetData sheetId="126" refreshError="1"/>
      <sheetData sheetId="127" refreshError="1"/>
      <sheetData sheetId="128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 refreshError="1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 refreshError="1"/>
      <sheetData sheetId="151"/>
      <sheetData sheetId="152"/>
      <sheetData sheetId="153" refreshError="1"/>
      <sheetData sheetId="154" refreshError="1"/>
      <sheetData sheetId="155"/>
      <sheetData sheetId="156"/>
      <sheetData sheetId="157" refreshError="1"/>
      <sheetData sheetId="158" refreshError="1"/>
      <sheetData sheetId="159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 refreshError="1"/>
      <sheetData sheetId="170" refreshError="1"/>
      <sheetData sheetId="171" refreshError="1"/>
      <sheetData sheetId="172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/>
      <sheetData sheetId="216" refreshError="1"/>
      <sheetData sheetId="217" refreshError="1"/>
      <sheetData sheetId="218" refreshError="1"/>
      <sheetData sheetId="219" refreshError="1"/>
      <sheetData sheetId="220"/>
      <sheetData sheetId="221"/>
      <sheetData sheetId="222"/>
      <sheetData sheetId="223"/>
      <sheetData sheetId="224" refreshError="1"/>
      <sheetData sheetId="225"/>
      <sheetData sheetId="226"/>
      <sheetData sheetId="227"/>
      <sheetData sheetId="228"/>
      <sheetData sheetId="229" refreshError="1"/>
      <sheetData sheetId="230"/>
      <sheetData sheetId="231"/>
      <sheetData sheetId="232" refreshError="1"/>
      <sheetData sheetId="233"/>
      <sheetData sheetId="234"/>
      <sheetData sheetId="235"/>
      <sheetData sheetId="236"/>
      <sheetData sheetId="237"/>
      <sheetData sheetId="238"/>
      <sheetData sheetId="239" refreshError="1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/>
      <sheetData sheetId="261"/>
      <sheetData sheetId="262"/>
      <sheetData sheetId="263"/>
      <sheetData sheetId="264"/>
      <sheetData sheetId="265"/>
      <sheetData sheetId="266"/>
      <sheetData sheetId="267" refreshError="1"/>
      <sheetData sheetId="268"/>
      <sheetData sheetId="269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/>
      <sheetData sheetId="285" refreshError="1"/>
      <sheetData sheetId="286"/>
      <sheetData sheetId="287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/>
      <sheetData sheetId="302"/>
      <sheetData sheetId="303"/>
      <sheetData sheetId="304" refreshError="1"/>
      <sheetData sheetId="305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/>
      <sheetData sheetId="319" refreshError="1"/>
      <sheetData sheetId="320"/>
      <sheetData sheetId="321" refreshError="1"/>
      <sheetData sheetId="322" refreshError="1"/>
      <sheetData sheetId="323"/>
      <sheetData sheetId="324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/>
      <sheetData sheetId="362" refreshError="1"/>
      <sheetData sheetId="363" refreshError="1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 refreshError="1"/>
      <sheetData sheetId="374"/>
      <sheetData sheetId="375"/>
      <sheetData sheetId="376"/>
      <sheetData sheetId="377" refreshError="1"/>
      <sheetData sheetId="378" refreshError="1"/>
      <sheetData sheetId="379" refreshError="1"/>
      <sheetData sheetId="380"/>
      <sheetData sheetId="381"/>
      <sheetData sheetId="382"/>
      <sheetData sheetId="383" refreshError="1"/>
      <sheetData sheetId="384" refreshError="1"/>
      <sheetData sheetId="385"/>
      <sheetData sheetId="386" refreshError="1"/>
      <sheetData sheetId="387" refreshError="1"/>
      <sheetData sheetId="388" refreshError="1"/>
      <sheetData sheetId="389"/>
      <sheetData sheetId="390" refreshError="1"/>
      <sheetData sheetId="39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/>
      <sheetData sheetId="398"/>
      <sheetData sheetId="399"/>
      <sheetData sheetId="400" refreshError="1"/>
      <sheetData sheetId="401" refreshError="1"/>
      <sheetData sheetId="402" refreshError="1"/>
      <sheetData sheetId="403" refreshError="1"/>
      <sheetData sheetId="404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/>
      <sheetData sheetId="421"/>
      <sheetData sheetId="422"/>
      <sheetData sheetId="423"/>
      <sheetData sheetId="424"/>
      <sheetData sheetId="425"/>
      <sheetData sheetId="426"/>
      <sheetData sheetId="427" refreshError="1"/>
      <sheetData sheetId="428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/>
      <sheetData sheetId="436"/>
      <sheetData sheetId="437" refreshError="1"/>
      <sheetData sheetId="438"/>
      <sheetData sheetId="439"/>
      <sheetData sheetId="440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/>
      <sheetData sheetId="451" refreshError="1"/>
      <sheetData sheetId="452"/>
      <sheetData sheetId="453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/>
      <sheetData sheetId="478" refreshError="1"/>
      <sheetData sheetId="479"/>
      <sheetData sheetId="480"/>
      <sheetData sheetId="481"/>
      <sheetData sheetId="482"/>
      <sheetData sheetId="483" refreshError="1"/>
      <sheetData sheetId="484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/>
      <sheetData sheetId="495"/>
      <sheetData sheetId="496"/>
      <sheetData sheetId="497" refreshError="1"/>
      <sheetData sheetId="498"/>
      <sheetData sheetId="499"/>
      <sheetData sheetId="500" refreshError="1"/>
      <sheetData sheetId="501" refreshError="1"/>
      <sheetData sheetId="502" refreshError="1"/>
      <sheetData sheetId="503" refreshError="1"/>
      <sheetData sheetId="504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/>
      <sheetData sheetId="521"/>
      <sheetData sheetId="522"/>
      <sheetData sheetId="523"/>
      <sheetData sheetId="524" refreshError="1"/>
      <sheetData sheetId="525"/>
      <sheetData sheetId="526"/>
      <sheetData sheetId="527"/>
      <sheetData sheetId="528" refreshError="1"/>
      <sheetData sheetId="529"/>
      <sheetData sheetId="530"/>
      <sheetData sheetId="531"/>
      <sheetData sheetId="532" refreshError="1"/>
      <sheetData sheetId="533" refreshError="1"/>
      <sheetData sheetId="534" refreshError="1"/>
      <sheetData sheetId="535"/>
      <sheetData sheetId="536" refreshError="1"/>
      <sheetData sheetId="537" refreshError="1"/>
      <sheetData sheetId="538" refreshError="1"/>
      <sheetData sheetId="539"/>
      <sheetData sheetId="540"/>
      <sheetData sheetId="541"/>
      <sheetData sheetId="542"/>
      <sheetData sheetId="543" refreshError="1"/>
      <sheetData sheetId="544" refreshError="1"/>
      <sheetData sheetId="545"/>
      <sheetData sheetId="546"/>
      <sheetData sheetId="547"/>
      <sheetData sheetId="548"/>
      <sheetData sheetId="549"/>
      <sheetData sheetId="550"/>
      <sheetData sheetId="551" refreshError="1"/>
      <sheetData sheetId="552" refreshError="1"/>
      <sheetData sheetId="553"/>
      <sheetData sheetId="554" refreshError="1"/>
      <sheetData sheetId="555" refreshError="1"/>
      <sheetData sheetId="556" refreshError="1"/>
      <sheetData sheetId="557" refreshError="1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 refreshError="1"/>
      <sheetData sheetId="575"/>
      <sheetData sheetId="576"/>
      <sheetData sheetId="577"/>
      <sheetData sheetId="578"/>
      <sheetData sheetId="579" refreshError="1"/>
      <sheetData sheetId="580"/>
      <sheetData sheetId="581" refreshError="1"/>
      <sheetData sheetId="582" refreshError="1"/>
      <sheetData sheetId="583"/>
      <sheetData sheetId="584" refreshError="1"/>
      <sheetData sheetId="585"/>
      <sheetData sheetId="586" refreshError="1"/>
      <sheetData sheetId="587" refreshError="1"/>
      <sheetData sheetId="588" refreshError="1"/>
      <sheetData sheetId="589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/>
      <sheetData sheetId="598"/>
      <sheetData sheetId="599"/>
      <sheetData sheetId="600" refreshError="1"/>
      <sheetData sheetId="601"/>
      <sheetData sheetId="602" refreshError="1"/>
      <sheetData sheetId="603" refreshError="1"/>
      <sheetData sheetId="604"/>
      <sheetData sheetId="605"/>
      <sheetData sheetId="606" refreshError="1"/>
      <sheetData sheetId="607" refreshError="1"/>
      <sheetData sheetId="608" refreshError="1"/>
      <sheetData sheetId="609" refreshError="1"/>
      <sheetData sheetId="610"/>
      <sheetData sheetId="61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/>
      <sheetData sheetId="631"/>
      <sheetData sheetId="632"/>
      <sheetData sheetId="633"/>
      <sheetData sheetId="634"/>
      <sheetData sheetId="635"/>
      <sheetData sheetId="636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/>
      <sheetData sheetId="647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/>
      <sheetData sheetId="659"/>
      <sheetData sheetId="660" refreshError="1"/>
      <sheetData sheetId="661" refreshError="1"/>
      <sheetData sheetId="662" refreshError="1"/>
      <sheetData sheetId="663" refreshError="1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vimientos"/>
      <sheetName val="Análisis Ret Fuente"/>
      <sheetName val="IVA"/>
      <sheetName val="Retención IVA"/>
      <sheetName val="Ice"/>
      <sheetName val="Análisis IVA"/>
      <sheetName val="XREF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v Benef Sociales"/>
      <sheetName val="Calc Prov Benef Sociales"/>
      <sheetName val="Límites"/>
      <sheetName val="Análisis de Sueldos (Final)"/>
      <sheetName val="Análisis de Sueldos (Prelim.)"/>
      <sheetName val="Varios sucres"/>
      <sheetName val="Varios dólares"/>
      <sheetName val="Prov. dólares"/>
      <sheetName val="XREF"/>
      <sheetName val="Tickmarks"/>
      <sheetName val="#REF"/>
      <sheetName val="Otras provisiones"/>
      <sheetName val="CxP Diferidas"/>
      <sheetName val="Asesoría"/>
      <sheetName val="Marcas Estándar"/>
      <sheetName val="Det. Ctas x Liq"/>
      <sheetName val="Det. Imp x Pag"/>
      <sheetName val="Det. Gtos. Acum."/>
      <sheetName val="Det. Otras CxP"/>
      <sheetName val="Plan.IESS"/>
      <sheetName val="Detalle Gtos Acum"/>
      <sheetName val="Mov.Ben.Soc."/>
      <sheetName val="MMA"/>
      <sheetName val="Análisis Gto Publicidad"/>
      <sheetName val="Reserva Publicidad"/>
      <sheetName val="Análisis Remunerativo Final"/>
      <sheetName val="Cálculo Global Sueldo"/>
      <sheetName val="Análisis Gtos.Oper.Final"/>
      <sheetName val="Cálculo gasto ben.soc. IESS"/>
      <sheetName val="Préstamos"/>
      <sheetName val="Detalle IESS"/>
      <sheetName val="Mov. Imp. Rta"/>
      <sheetName val="Cálculo Interes."/>
      <sheetName val="Mov. Ben. Sociales"/>
      <sheetName val="laroux"/>
      <sheetName val="Detalle1"/>
      <sheetName val="Mov Benf Soc"/>
      <sheetName val="C.Global"/>
      <sheetName val="Cálculo de gastos"/>
      <sheetName val="Cálculo de gastos,arriendos"/>
      <sheetName val="PROVPREST"/>
      <sheetName val="Nota"/>
      <sheetName val="Movimiento"/>
      <sheetName val="Calc. Global Benef.(Prel) "/>
      <sheetName val="Calc. Global Benef. (Final)"/>
      <sheetName val="Imp. Munic."/>
      <sheetName val="Calc. Límites"/>
      <sheetName val="Tabla Límites"/>
      <sheetName val="Det.Benef.Socia"/>
      <sheetName val="Chs.Girados y no cob."/>
      <sheetName val="Otras prov."/>
      <sheetName val="Varios acreedo"/>
      <sheetName val="Mov. Benef.Soc."/>
      <sheetName val="Sueldos 2001"/>
      <sheetName val="Cálculo Benef. Sociales"/>
      <sheetName val="Cálculo Benef. Sociales "/>
      <sheetName val="Detalle"/>
      <sheetName val="Mov.Benef.Soc."/>
      <sheetName val="Mov.Prov."/>
      <sheetName val="calcuglobal"/>
      <sheetName val="ANEXOS (Final)"/>
      <sheetName val="Anexo(Prel.)"/>
      <sheetName val="Planilla IESS"/>
      <sheetName val="Prov. Benef.Soc."/>
      <sheetName val="Gasto Benf. Soc."/>
      <sheetName val="IVA"/>
      <sheetName val="Ret. IVA"/>
      <sheetName val="Ret Fuente"/>
      <sheetName val="Mov. 15% e IR"/>
      <sheetName val="Detalle Relacionadas"/>
      <sheetName val="Benf.Soc. PPC"/>
      <sheetName val="CG Benef. Soc."/>
      <sheetName val="Oblig. Partic."/>
      <sheetName val="IVA PPC"/>
      <sheetName val="Hoja 1"/>
      <sheetName val="Nota EEFF"/>
      <sheetName val="CxP varios"/>
      <sheetName val="Plan.IESS-Quito"/>
      <sheetName val="Plan.IESS-Gquil"/>
      <sheetName val="Consolidado"/>
      <sheetName val="Provisiones"/>
      <sheetName val="Aporte IESS"/>
      <sheetName val="Mov. Benef. Soc."/>
      <sheetName val="Calc. Benef. Soc. "/>
      <sheetName val="Sheet1"/>
      <sheetName val="Obligc.(Prel)"/>
      <sheetName val="Obligc. (FinaI)"/>
      <sheetName val="Calc. Global Benef. (Prel)"/>
      <sheetName val="Mov. Benef. Socs."/>
      <sheetName val="Manejo de nómina"/>
      <sheetName val="Prov-jubilac "/>
      <sheetName val="Mov-15% e IR"/>
      <sheetName val="Cálculo Desahucio J. Ruiz"/>
      <sheetName val="Obligc."/>
      <sheetName val="Calc. Global Benef."/>
      <sheetName val="mov-jubilac "/>
      <sheetName val="Beneficios Sociales"/>
      <sheetName val="A. Remunerativo"/>
      <sheetName val="Mov-15% e IR 14"/>
      <sheetName val="Mov. Jub y Desah"/>
      <sheetName val="Oblig.Sociales"/>
      <sheetName val="CxP Varias"/>
      <sheetName val="Retenciones"/>
      <sheetName val="Ctas x Cobrar-Pagar"/>
      <sheetName val="Registros"/>
      <sheetName val="Ctas x Pag Com Dist+Seg"/>
      <sheetName val="Gtos.Adm. Control"/>
      <sheetName val="Gtos.Adm. Antiguos"/>
      <sheetName val="Ctas x P Seg Colonial"/>
      <sheetName val="Imp. Renta y Part. Trab."/>
      <sheetName val="Detalles"/>
      <sheetName val="Calc. Global Benef. (Sep)"/>
      <sheetName val="Aná Sep Rol"/>
      <sheetName val="Antic. Clientes"/>
      <sheetName val="Ticmarks"/>
      <sheetName val="Unidad LiquidacPauwels"/>
      <sheetName val="CuentasPagar"/>
      <sheetName val="Otros Pasivos Ctes"/>
      <sheetName val="Obligac Patron"/>
      <sheetName val="Tildes"/>
      <sheetName val="Movimiento Benef Socl"/>
      <sheetName val="Planillas IESS"/>
      <sheetName val="Límite"/>
      <sheetName val="Análisis Remunerativo"/>
      <sheetName val="Det. Cargas sociales"/>
      <sheetName val="Det. Ret Terceros"/>
      <sheetName val="Det. Prov Varios"/>
      <sheetName val="Det.  Otros "/>
      <sheetName val="Mov. Benf. Soc."/>
      <sheetName val="Mov. I R y PT"/>
      <sheetName val="Mov. Prov. "/>
      <sheetName val="Cal I. R. y Part. Trab."/>
      <sheetName val="Mov.Beneficios Soc."/>
      <sheetName val="IESS"/>
      <sheetName val="Nota a los EEFF"/>
      <sheetName val="Mov. Part Trab."/>
      <sheetName val="Mov. Imp. Rta."/>
      <sheetName val="Otras CxPagar"/>
      <sheetName val="Planillas de IESS"/>
      <sheetName val="Mov. Benef. sociales"/>
      <sheetName val="Mov. Impto. Renta"/>
      <sheetName val="M-BSOC"/>
      <sheetName val="Calc.Global TEC"/>
      <sheetName val="Mov Imp. Renta"/>
      <sheetName val="Mov. Part. Trabajadores"/>
      <sheetName val="C.Global-Benef. Sociales"/>
      <sheetName val="Calc.Global.Benef."/>
      <sheetName val="Mov.Part.Trab.-Impt.Rta."/>
      <sheetName val="Calc. Global Benef. "/>
      <sheetName val="Movimiento Benef.Soc."/>
      <sheetName val="Pagos a Proveedores"/>
      <sheetName val="Mov. ImptoRta y 15%PT"/>
      <sheetName val="Anticipo clientes"/>
      <sheetName val="Detalle Int. Pagar"/>
      <sheetName val="Benef. Socs. y Préstamos Empl"/>
      <sheetName val="Mov Benef Soc"/>
      <sheetName val="Calculo Global"/>
      <sheetName val="Factur. MP Graphycs"/>
      <sheetName val="CG. Beneficios Sociales"/>
      <sheetName val="CG Pers. 8%"/>
      <sheetName val="Análisis de Anticipos"/>
      <sheetName val="Mov. 15% y IR"/>
      <sheetName val="Detalle beneficios"/>
      <sheetName val="Detalle Sueldos"/>
      <sheetName val="Planillas de IESS 2001"/>
      <sheetName val="Cálculo Global Ben. Soc"/>
      <sheetName val="IESS - Benf. Soc."/>
      <sheetName val="Dividendos"/>
      <sheetName val="Otras CxP"/>
      <sheetName val="CxP terceros"/>
      <sheetName val="Préstamos Accionistas"/>
      <sheetName val="Préstamos Accionistas (Final)"/>
      <sheetName val="Detalle Ben. Socs."/>
      <sheetName val="Mov.B.S"/>
      <sheetName val="Mov. Beneficios Sociales"/>
      <sheetName val="liquidaciones"/>
      <sheetName val="resume roles"/>
      <sheetName val="decimos"/>
      <sheetName val="Bonos e incentivos"/>
      <sheetName val="Análisis"/>
      <sheetName val="Bonos"/>
      <sheetName val="contratos"/>
      <sheetName val="Aj.bono.marzo"/>
      <sheetName val="Calc. Bene."/>
      <sheetName val="Indemnización"/>
      <sheetName val="Detalle Fondo"/>
      <sheetName val="Cálculo Benef. Soc"/>
      <sheetName val="Mov. Impto Renta"/>
      <sheetName val="Reten.IVA"/>
      <sheetName val="Ret. IR"/>
      <sheetName val="Ice"/>
      <sheetName val="Cálculo ICE"/>
      <sheetName val="Movimiento Beneficios sociales"/>
      <sheetName val="Det. emp."/>
      <sheetName val="Calc. Benef. Sociales"/>
      <sheetName val="Det.Prov. B.S"/>
      <sheetName val="Imp. x Pagar"/>
      <sheetName val="Det. OCxP"/>
      <sheetName val="Seleccion Pasivos"/>
      <sheetName val="Benefsoci (A-20)"/>
      <sheetName val="Detalle proveedores"/>
      <sheetName val="Detalle imp. x pagar"/>
      <sheetName val="Detalle otras CxP"/>
      <sheetName val="Proveedores"/>
      <sheetName val="Calc.Global.Benef. (2)"/>
      <sheetName val="Detalle CxP DINE"/>
      <sheetName val="Holding DINE"/>
      <sheetName val="Mov.Beneficios"/>
      <sheetName val="Anticipos"/>
      <sheetName val="Detalle Ant.Contrac."/>
      <sheetName val="Detalle Provisiones"/>
      <sheetName val="Impuesto"/>
      <sheetName val="Beneficios"/>
      <sheetName val="PPC"/>
      <sheetName val="Cuentas por pagar diferidas"/>
      <sheetName val="IESS X P"/>
      <sheetName val="Mov. Benef. Soc"/>
      <sheetName val="Movi. Benef."/>
      <sheetName val="Calc global provisiones"/>
      <sheetName val="Detalle de Gastos Acumulados"/>
      <sheetName val="Mov. Rep. Mant. Maq."/>
      <sheetName val="Otras Prov. Locales"/>
      <sheetName val="Movi. Benef. Soc."/>
      <sheetName val="Calc. Global B.S."/>
      <sheetName val="PPC-S5210"/>
      <sheetName val="Prov. Vac."/>
      <sheetName val="Impuestos"/>
      <sheetName val="Movi"/>
      <sheetName val="Particip."/>
      <sheetName val="Varios"/>
      <sheetName val="Pasivos no Registrados"/>
      <sheetName val="IESS Planillas"/>
      <sheetName val="Tickmark"/>
      <sheetName val="Anexo"/>
      <sheetName val="Benf. Sociales"/>
      <sheetName val="Cálculo beneficios"/>
      <sheetName val="Mov. gts. acum."/>
      <sheetName val="detalle gen. accruals"/>
      <sheetName val="Det.Gen.Exp.Acc-Dic"/>
      <sheetName val="detalle gen. expen."/>
      <sheetName val="T. Límite"/>
      <sheetName val="Beneficios Sociales (2)"/>
      <sheetName val="Detalle Ctasxpagar"/>
      <sheetName val="Calc.Int."/>
      <sheetName val="Movimiento BS"/>
      <sheetName val="Acredores Varios"/>
      <sheetName val="Anticipos clientes"/>
      <sheetName val="CGlobal"/>
      <sheetName val="Mov. Benefsoci"/>
      <sheetName val="Movimiento Impto.Rta."/>
      <sheetName val="C.G. Sueldos y Beneficios"/>
      <sheetName val="Servicios"/>
      <sheetName val="Mov Ben Soc"/>
      <sheetName val="Part Trab"/>
      <sheetName val="Dividendos 05"/>
      <sheetName val="Dividendos 04 "/>
      <sheetName val="Verf. pago a dividedos 04"/>
      <sheetName val="Jub. Patron."/>
      <sheetName val="Gratificaciones 04"/>
      <sheetName val="Mov. Beneficios"/>
      <sheetName val="CxP empleados"/>
      <sheetName val="Aportes"/>
      <sheetName val="empleados"/>
      <sheetName val="Mov. Jub y Provisión"/>
      <sheetName val="Calculo Desahucio e Indem."/>
      <sheetName val="ANTICP. CLTS. VEH. (PPC)"/>
      <sheetName val="Verific cartera"/>
      <sheetName val="Resumen Imp"/>
      <sheetName val="Gratificaciones"/>
      <sheetName val="Detalle de Gtos. Acum y OCxP"/>
      <sheetName val="Beneficios Sociales (P)"/>
      <sheetName val="Movimiento BS (P)"/>
      <sheetName val="Otros Acreedores (P)"/>
      <sheetName val="Anticipo Contr. Client (P)"/>
      <sheetName val="Provisiones (P)"/>
      <sheetName val="Resumen Planillas IESS"/>
      <sheetName val="Anticipos contrac."/>
      <sheetName val="Otros acreed."/>
      <sheetName val="Ret. Contractual Subcontratista"/>
      <sheetName val="Prov. Ret. Clientes"/>
      <sheetName val="Benef. soc."/>
      <sheetName val="Mov. Ben. Soc. (PPC)"/>
      <sheetName val="Otros Gastos Acumul."/>
      <sheetName val="Desahucio"/>
      <sheetName val="Prov. Overhold"/>
      <sheetName val="Imp. por pagar"/>
      <sheetName val="Jubilación Pat"/>
      <sheetName val="Mov. Ben. Soc."/>
      <sheetName val="Verf. pago a dividedos"/>
      <sheetName val="Ventas por liquidar"/>
      <sheetName val="Obligaciones bancarias"/>
      <sheetName val="Sheet2"/>
      <sheetName val="Movimiento Benef.Soc. "/>
      <sheetName val="Cuentas por pagar Q"/>
      <sheetName val="Varios acreedores"/>
      <sheetName val="Detail"/>
      <sheetName val="Mov Ind y Bon"/>
      <sheetName val="Otros gastos"/>
      <sheetName val="Varias provisiones"/>
      <sheetName val="Movimiento PT"/>
      <sheetName val="Mov Impto Rta"/>
      <sheetName val="Mov Comisiones"/>
      <sheetName val="Otros Gtos a Dic 03"/>
      <sheetName val="4109"/>
      <sheetName val="5231000"/>
      <sheetName val="Hoja1"/>
      <sheetName val="Proveedores Varios"/>
      <sheetName val="Personal Temps"/>
      <sheetName val="Garantías"/>
      <sheetName val="Otras CxP varias"/>
      <sheetName val="Ingresos Diferidos Prelim"/>
      <sheetName val="Analisis de Provisiones"/>
      <sheetName val="Mov Imp y Part"/>
      <sheetName val="Detalle Benef. Soc."/>
      <sheetName val="Cálculo Global Benef. Socia"/>
      <sheetName val="Honorarios"/>
      <sheetName val="Análisis Anticipos"/>
      <sheetName val="Detalle BSociales"/>
      <sheetName val="Calc. Global Aportes"/>
      <sheetName val="Sueldo x pagar"/>
      <sheetName val="Otras cuentas x pagar"/>
      <sheetName val="Cuentas por pagar"/>
      <sheetName val="Variable"/>
      <sheetName val="Interes por pagar Final"/>
      <sheetName val="Interes por pagar"/>
      <sheetName val="Gasto interés Final"/>
      <sheetName val="Gasto interés"/>
      <sheetName val="Cálculo Global Benef Soc."/>
      <sheetName val="Préstamo accionista Prel."/>
      <sheetName val="Mov. Beneficios social"/>
      <sheetName val="Aporte patronal"/>
      <sheetName val="Anticipo Vehículos"/>
      <sheetName val="Resumen planillas"/>
      <sheetName val="Calc. Beneficios Sociales"/>
      <sheetName val="Detalle Clientes Seguros"/>
      <sheetName val="ANTES"/>
      <sheetName val="Minoristas"/>
      <sheetName val="Ordenes Compra"/>
      <sheetName val="Transitoria"/>
      <sheetName val="Detalle, Benef. Sociales"/>
      <sheetName val="Detalle, Otras"/>
      <sheetName val="Mayores"/>
      <sheetName val="Mov Jubilación"/>
      <sheetName val="Movimiento Ctas Incob Y Inv Obs"/>
      <sheetName val="Mov Imp.Renta y Part. Trab."/>
      <sheetName val="Sueldos"/>
      <sheetName val="Pago de Utilidades"/>
      <sheetName val="Fondo Rotativo"/>
      <sheetName val="Otras cuentas por pagar"/>
      <sheetName val="Mov- I Renta"/>
      <sheetName val="mov garantias"/>
      <sheetName val="Calculo de Interés"/>
      <sheetName val="Otras provisioens"/>
      <sheetName val="Concil. Ret Fuente vs. Libr"/>
      <sheetName val="Concil. Ret. IVA vs. Libros"/>
      <sheetName val="IVA (2)"/>
      <sheetName val="Rol"/>
      <sheetName val="Planillas del IESS"/>
      <sheetName val="Provisión Bonos"/>
      <sheetName val="Otras CxP diferidas"/>
      <sheetName val="Book8"/>
      <sheetName val="Remuneraciones"/>
      <sheetName val="Mov.B.Sociales"/>
      <sheetName val="Otras Retenciones"/>
      <sheetName val="Mov.Impuesto Renta"/>
      <sheetName val="O. Reten."/>
      <sheetName val="O. Reten. (2)"/>
      <sheetName val="Análisis Ret Fuente"/>
      <sheetName val="Retención IVA"/>
      <sheetName val="Mov. OtrasxPagar"/>
      <sheetName val="Análisis APT"/>
      <sheetName val="Límite Prov."/>
      <sheetName val="Límite Gasto"/>
      <sheetName val="Imp. y Part."/>
      <sheetName val="Detalle BSociales y otros"/>
      <sheetName val="Sheet5"/>
      <sheetName val="Sheet6"/>
      <sheetName val="Sheet3"/>
      <sheetName val="Detalle de cuentas por pagar"/>
      <sheetName val="Mov.JubP&amp;D"/>
      <sheetName val="Mov. Impto Rta"/>
      <sheetName val="15% Trabajadores"/>
      <sheetName val="Calc. Global"/>
      <sheetName val="2002"/>
      <sheetName val="Mov. Benef Socia."/>
      <sheetName val="10% Servi."/>
      <sheetName val="Jubilación y Deshaucio"/>
      <sheetName val="Dividendos 06"/>
      <sheetName val="Otros"/>
      <sheetName val="Mov BS"/>
      <sheetName val="CG Beneficios Sociales"/>
      <sheetName val="Personal"/>
      <sheetName val="Intereses"/>
      <sheetName val="Benef Sociales"/>
      <sheetName val="V.Acreedores "/>
      <sheetName val="Mov. Regalías"/>
      <sheetName val="Cálculo Regalías"/>
      <sheetName val="Quito"/>
      <sheetName val="Guayaquil"/>
      <sheetName val="Cuenca"/>
      <sheetName val="Detalle Anticipos"/>
      <sheetName val="Pagos Posteriores"/>
      <sheetName val="Mov. Benef sociales"/>
      <sheetName val="Conces. Mall Andes"/>
      <sheetName val="Anal. Mall Andes"/>
      <sheetName val="Cálc.Global Benef.Soc."/>
      <sheetName val="Prov. Activos Fijos"/>
      <sheetName val="Bonificación Ejecutivo"/>
      <sheetName val="Movimiento Benef sociales"/>
      <sheetName val="Recálculo Bonif. Ejecut"/>
      <sheetName val="Mall Andes"/>
      <sheetName val="H"/>
      <sheetName val="Concesion Mall de los Andes Fin"/>
      <sheetName val="Planillas de Aporte al IESS"/>
      <sheetName val="Pagos de beneficios sociales"/>
      <sheetName val="Cálculo Global Gasto B.S"/>
      <sheetName val="Bonificación"/>
      <sheetName val="Cálculo Bonificación"/>
      <sheetName val="Participación "/>
      <sheetName val="Proveed.Activo Fijo"/>
      <sheetName val="Mantenimiento por Pagar"/>
      <sheetName val="Calc.  Ingreso Mall Andes"/>
      <sheetName val="Contratos Mall Andes"/>
      <sheetName val="Fact. Mall Andes"/>
      <sheetName val="Detalle de gastos Acum. y CxCob"/>
      <sheetName val="Cálculo Benf. Sociales (2)"/>
      <sheetName val="PROVISION SERV-TERCEROS"/>
      <sheetName val="PROVISION OTROS "/>
      <sheetName val="Provisión otros-personal"/>
      <sheetName val="Provisión Gtos-Exp."/>
      <sheetName val="Acreedores Div."/>
      <sheetName val="Prestamo M.P."/>
      <sheetName val="Movimiento Benf. Soc"/>
      <sheetName val="Fondo Reserva y Beneficios"/>
      <sheetName val="Movimiento Benef."/>
      <sheetName val="CalcProv.Benef. "/>
      <sheetName val="Movimiento provisiones"/>
      <sheetName val="Mov. Div. por Pagar"/>
      <sheetName val="Prov. Pagar"/>
      <sheetName val="Mov.Fondos Pool - Club B"/>
      <sheetName val="Beneficios Soc."/>
      <sheetName val="Base"/>
      <sheetName val="Gtos. Acumulados"/>
      <sheetName val="Beneficios contrato"/>
      <sheetName val="IESS2003"/>
      <sheetName val="Garantías ppc"/>
      <sheetName val="Análisis Garantias"/>
      <sheetName val="Descuentos"/>
      <sheetName val="Análisis descuentos"/>
      <sheetName val="Ret. del Imp al Ing. de Nóm E."/>
      <sheetName val="Provisiones Dsctos. (2)"/>
      <sheetName val="Garantias"/>
      <sheetName val="Cálculo Garantías"/>
      <sheetName val="Compensac. Especial."/>
      <sheetName val="Prov"/>
      <sheetName val="Ben Soc"/>
      <sheetName val="Gts Acum"/>
      <sheetName val="2030807"/>
      <sheetName val="Débito Provisiones"/>
      <sheetName val="Registro Prov."/>
      <sheetName val="Comisiones y Bono"/>
      <sheetName val="Mov. Benf Soc"/>
      <sheetName val="Otros Acreedores"/>
      <sheetName val="Mov. Impto - Part"/>
      <sheetName val="Acreedores FINAL"/>
      <sheetName val="Impt. Rta y Part"/>
      <sheetName val="OCP"/>
      <sheetName val="Acreedores"/>
      <sheetName val="Prov. Reten. IR"/>
      <sheetName val="Ret.Contract"/>
      <sheetName val="Mov. Impto Rta y Part. Trab"/>
      <sheetName val="Prov. Varias"/>
      <sheetName val="Acreedores (2)"/>
      <sheetName val="Acreedores Varios"/>
      <sheetName val="Mov.Provisiones"/>
      <sheetName val="Detalle Benef. Socs."/>
      <sheetName val="IMPTOS 04"/>
      <sheetName val="Prov.Comisión Vta"/>
      <sheetName val="Prov.Locutorios"/>
      <sheetName val="Proc.Gtos.Market"/>
      <sheetName val="Prov.NuevosNego"/>
      <sheetName val="Prov.Gtos.Sistemas"/>
      <sheetName val="Prov.Gto.Técnico"/>
      <sheetName val="Prov.Gtos.Finanz"/>
      <sheetName val="ProvGtosRRHH"/>
      <sheetName val="Det.IntxPagar"/>
      <sheetName val="Mov.Int.xPagar"/>
      <sheetName val="Benef.Sociales"/>
      <sheetName val="Derech&amp;Concesion"/>
      <sheetName val="Tarifa C"/>
      <sheetName val="Detalle de Otras CxP"/>
      <sheetName val="Valores por Facturar"/>
      <sheetName val="15%PT-25%IR (2)"/>
      <sheetName val="Detalle de beneficios sociales"/>
      <sheetName val="Calc. Global Benef.(Prel) sept."/>
      <sheetName val="derivados"/>
      <sheetName val="Garantías (ppc)"/>
      <sheetName val="Imptos (Dic04)"/>
      <sheetName val="Imptos (Ago04)"/>
      <sheetName val="Promociones"/>
      <sheetName val="Ctas X P Operac"/>
      <sheetName val="Provisiones Final"/>
      <sheetName val="Sobrantes"/>
      <sheetName val="Provisiones Prelim."/>
      <sheetName val="Otros X P"/>
      <sheetName val="Detalle de Proveedores"/>
      <sheetName val="Provisiones G."/>
      <sheetName val="Imp Rta y Part Trab"/>
      <sheetName val="Jubilación Patronal y Desahucio"/>
      <sheetName val="Prov Dsctos Dic"/>
      <sheetName val="Provisiones Descuentos Oct"/>
      <sheetName val="Miscelaneos"/>
      <sheetName val="Detalle Otras CXP y Gtos Ac"/>
      <sheetName val="CxP Miscelaneos"/>
      <sheetName val="Cias. Relacionadas"/>
      <sheetName val="Comprob.Retención"/>
      <sheetName val="Prov.Gtos.Sistemas(DIC)"/>
      <sheetName val="Prov.Gtos.Sistemas(OCT)"/>
      <sheetName val="Prov. técn dic-04"/>
      <sheetName val="B.S.I. Access"/>
      <sheetName val="MMA Prov."/>
      <sheetName val="Análisis Provisiones"/>
      <sheetName val="PE0238 Dep. Com."/>
      <sheetName val="PE0239 Dep. Ind."/>
      <sheetName val="Imptos (Ago05)"/>
      <sheetName val="Provisiones varias"/>
      <sheetName val="Prov Fletes"/>
      <sheetName val="AUX.PROVEEDORES  (2)"/>
      <sheetName val="AUX.PROVEEDORES "/>
      <sheetName val="Detalle fletes"/>
      <sheetName val="Contratistas"/>
      <sheetName val="Notas EEFF"/>
      <sheetName val="Mov. Benef."/>
      <sheetName val="Límite Jubilacion Patronal"/>
      <sheetName val="Límite Desahucio"/>
      <sheetName val="Notas"/>
      <sheetName val="Cuentas por Liquidar"/>
      <sheetName val=" Clientes"/>
      <sheetName val="Detalle dividendos"/>
      <sheetName val="Detalle otros acreedores"/>
      <sheetName val="Análisis Nómina"/>
      <sheetName val="Provisiones diversas"/>
      <sheetName val="provisiones cesantía"/>
      <sheetName val="Mov Benef. Sociales"/>
      <sheetName val="Ctas. Pag. Clientes"/>
      <sheetName val="Reemb.gtosWS"/>
      <sheetName val="Estado Cta WS"/>
      <sheetName val="Mov. Bonif. Ejecutivos"/>
      <sheetName val="Análisis bonif ejecutivos"/>
      <sheetName val="Tarjetas Prepagao"/>
      <sheetName val="Base T Prepago"/>
      <sheetName val="Provisiones Prel"/>
      <sheetName val="Cálculo Actuarial"/>
      <sheetName val="Cargas Sociales"/>
      <sheetName val="Análisis regalías"/>
      <sheetName val="Regalías"/>
      <sheetName val="Detalle Prov. Varias"/>
      <sheetName val="Mov. Prov. Varias"/>
      <sheetName val="Detalle de provisiones"/>
      <sheetName val="Mantenimiento mayor"/>
      <sheetName val="Relac. Final"/>
      <sheetName val="Relac. Prel."/>
      <sheetName val="Relac.2005"/>
      <sheetName val="Movimientos"/>
      <sheetName val="Cuentas a Pagar"/>
      <sheetName val="Otros Gastos x P"/>
      <sheetName val="Participación y Impuesto"/>
      <sheetName val="Hon. Otros Profe"/>
      <sheetName val="Indugram"/>
      <sheetName val="2352302"/>
      <sheetName val="CUOTA SOST OCTUBRE 2003"/>
      <sheetName val="CUOTA EXTRA OCTUBRE 2003"/>
      <sheetName val="Relacionadas"/>
      <sheetName val="Cálculo actuarial "/>
      <sheetName val="cálculo actuarial final"/>
      <sheetName val="Benef. Socia."/>
      <sheetName val="Caj Ah"/>
      <sheetName val="Nota EF"/>
      <sheetName val="Ana Prov"/>
      <sheetName val="Ant.Vehículos"/>
      <sheetName val="Ant.Repuestos"/>
      <sheetName val="Ant.Taller"/>
      <sheetName val="Int.NoDevengados"/>
      <sheetName val="Prov.Import."/>
      <sheetName val="otras x pag"/>
      <sheetName val="Det.BenSociales"/>
      <sheetName val="Mov.Ben.Sociales"/>
      <sheetName val="OtrasXPagar Emp."/>
      <sheetName val="Det. Oblig. Part."/>
      <sheetName val="Ter Fin"/>
      <sheetName val="Fideic Fin"/>
      <sheetName val="Terc Prel"/>
      <sheetName val="Fideicomiso"/>
      <sheetName val="Movimiento Ing Dif"/>
      <sheetName val="Ing Diferidos"/>
      <sheetName val="Gtos. Acum."/>
      <sheetName val="Ctas. x Liq."/>
      <sheetName val="Proveedores Locales"/>
      <sheetName val="Mov. Provisiones"/>
      <sheetName val="Cálculo Provisión"/>
      <sheetName val="Cálculo Global Benef Soc. Final"/>
      <sheetName val="Catering"/>
      <sheetName val="Mov. Utilidades"/>
      <sheetName val="Descripción"/>
      <sheetName val="Movimiento "/>
      <sheetName val="Impuesto a la renta"/>
      <sheetName val="Provisiones Y descuentos"/>
      <sheetName val="Obligaciones"/>
      <sheetName val="Mov. Anticipos"/>
      <sheetName val="Ingresos diferidos"/>
      <sheetName val="Detalle de Gtos Acumul y Otras "/>
      <sheetName val="Liquidaciones por Pagar"/>
      <sheetName val=" Grupo Mas"/>
      <sheetName val="Préstamos Nacionales"/>
      <sheetName val="Grupo Más"/>
      <sheetName val="Detalle "/>
      <sheetName val="Prov. Dsctos."/>
      <sheetName val="Servicios NQIA"/>
      <sheetName val="Confirmaciones"/>
      <sheetName val="fabrica"/>
      <sheetName val="Int.por pagar Oblig."/>
      <sheetName val="Prés. por pagar terceros"/>
      <sheetName val="Mov. Imptos."/>
      <sheetName val="Autoseguro"/>
      <sheetName val="Det. Prov. Otros. Gtos. Agríc."/>
      <sheetName val="Det. Prov. por otros gtos. xp"/>
      <sheetName val="otras cxp proveedores"/>
      <sheetName val="Otras CXP "/>
      <sheetName val="Prest Accionistas"/>
      <sheetName val="Detalle Prov. Mensuales"/>
      <sheetName val="Detalle Anticipos Clientes"/>
      <sheetName val="Conciliación Bancaria Pacifico"/>
      <sheetName val="Mov. Beneficios S."/>
      <sheetName val="Indirect Operating"/>
      <sheetName val="Prov. Auditoría"/>
      <sheetName val="Mov.Impuesto R."/>
      <sheetName val="Mov.Participación T."/>
      <sheetName val="Goverment"/>
      <sheetName val="Mov. Desahucio"/>
      <sheetName val="Other"/>
      <sheetName val="Direct Operating"/>
      <sheetName val="Prov. Gastos D."/>
      <sheetName val="Accrued Capital"/>
      <sheetName val="Prov. Capex"/>
      <sheetName val="Prov.WO"/>
      <sheetName val="Mov.Part.Trab-Renta"/>
      <sheetName val="Mov.Jub.Des"/>
      <sheetName val="Bonif.a Func"/>
      <sheetName val="Vacaciones"/>
      <sheetName val="MCS Subs"/>
      <sheetName val="ESPP"/>
      <sheetName val="Unearned Rev-services"/>
      <sheetName val="Otas CxP AGD"/>
      <sheetName val="Prov Jub Patronal"/>
      <sheetName val="Mov. Part. Trab."/>
      <sheetName val="Anticipos IR"/>
      <sheetName val="LAC"/>
      <sheetName val="Local"/>
      <sheetName val="SAP"/>
      <sheetName val="Detalle de Anticipos"/>
      <sheetName val="Análisis de Prov. Varias"/>
      <sheetName val="Pasivos registrados"/>
      <sheetName val="Mov IR y Part"/>
      <sheetName val="Anticipos recibidos"/>
      <sheetName val="FND. TERCEROS DIR. MED."/>
      <sheetName val="Nota 13"/>
      <sheetName val="Mov. Prov. Jubilación Patronal"/>
      <sheetName val="No devengado 2010"/>
      <sheetName val="Calculo anticipo contrato compl"/>
      <sheetName val="No devengado"/>
      <sheetName val="Calculo anticipo"/>
      <sheetName val="Miscelan_x0004__x0000__x0011_"/>
      <sheetName val="Fletes x Pagar"/>
      <sheetName val="Impuest y Contr"/>
      <sheetName val="Diversos Gastos"/>
      <sheetName val="Plan Auto"/>
      <sheetName val="Obligaciones Produbanco"/>
      <sheetName val="Anticipos de consultorios"/>
      <sheetName val="informe"/>
      <sheetName val="Mov. Part. Trab.Final"/>
      <sheetName val="Movimiento Imp. Dif."/>
      <sheetName val="Mov. Part. Trab.Preli"/>
      <sheetName val="Clientes Nacional"/>
      <sheetName val="Clientes Exterior"/>
      <sheetName val="Clientes Intercompañias"/>
      <sheetName val="Pruebas Sustantivas"/>
      <sheetName val="Movimientos IR y PT"/>
      <sheetName val="Anticipos Clientes Final"/>
      <sheetName val="NOTAS E.E.F.F."/>
      <sheetName val="Resumen"/>
      <sheetName val="Nota a los EE.FF"/>
      <sheetName val="IR y Part Trabaj"/>
      <sheetName val="Jub Patronal"/>
      <sheetName val="Movimiento IR"/>
      <sheetName val="Detalle Prov Gastos (P)"/>
      <sheetName val="Detalle Prov Gastos (F)"/>
      <sheetName val="Mov. Imp. Ren y Part. trab"/>
      <sheetName val="Mov. Prov. Desp"/>
      <sheetName val="Doble Pago"/>
      <sheetName val="Detalle de Acrrued"/>
      <sheetName val="ISD"/>
      <sheetName val="Análisis de vacaciones"/>
      <sheetName val="(F) Provisiones "/>
      <sheetName val="IR y Particip Laboral"/>
      <sheetName val="Ant client"/>
      <sheetName val="Ant clientes"/>
      <sheetName val="Accruals Final"/>
      <sheetName val="Accruals Preliminar"/>
      <sheetName val="Movim. Imp.Renta y Part.Tr"/>
      <sheetName val="Mov. IR y PT"/>
      <sheetName val="Imp. y Participación"/>
      <sheetName val="Otras ctas por pagar"/>
      <sheetName val="Mov. Part. Trab. e Imp. Rta."/>
      <sheetName val="Detalle gastos causados mes"/>
      <sheetName val="Mant. equipo"/>
      <sheetName val="Expatriados"/>
      <sheetName val="Other Insurance"/>
      <sheetName val="Open PO"/>
      <sheetName val="Socios"/>
      <sheetName val="Prov. Ineterc."/>
      <sheetName val="APT "/>
      <sheetName val="Leasing 2009"/>
      <sheetName val="Prestamo Final "/>
      <sheetName val="Prestamo Preli"/>
      <sheetName val="Beneficios socials"/>
      <sheetName val="Anticipo Transports"/>
      <sheetName val="Análisis Contingencias"/>
      <sheetName val="Contingencias (prelim)"/>
      <sheetName val="Acreedores "/>
      <sheetName val="Mov. Impuestos"/>
      <sheetName val="Sueldos x Pagar"/>
      <sheetName val="Prov.Importaciones"/>
      <sheetName val="Desahucio y Jubilación"/>
      <sheetName val="Análisis Ord. Comp. Abier."/>
      <sheetName val="Cálculos"/>
      <sheetName val="Movim. Part. Trabaj."/>
      <sheetName val="Movim. Benef. Social"/>
      <sheetName val="Form.Accrual"/>
      <sheetName val="Análisis de Prov. proveedores"/>
      <sheetName val="Liquid.Provisi."/>
      <sheetName val="Valores Mov. Invent."/>
      <sheetName val="Ordenes Compra Abiertas"/>
      <sheetName val="MMA Calc. O. C. Abiertas"/>
      <sheetName val="MMA Selec. O. C. Abiertas"/>
      <sheetName val="Detalle Savings Plan"/>
      <sheetName val="Provis.Final"/>
      <sheetName val="Provisión Proveedores"/>
      <sheetName val="MMA Calcul. Prov. Proveed."/>
      <sheetName val="MMA Selec. Prov. Proveed."/>
      <sheetName val="NOTA NIIF"/>
      <sheetName val="IR Y 15%Trab"/>
      <sheetName val="Movimeinto "/>
      <sheetName val="Provisiones Descuentos"/>
      <sheetName val="Mov. Impuesto a la renta "/>
      <sheetName val="Mov. Jubilación P y Desah"/>
      <sheetName val="Proveedores Nac."/>
      <sheetName val="COPIA"/>
      <sheetName val="Detalle Prov Gastos"/>
      <sheetName val="Prov. Gastos"/>
      <sheetName val="Gto. Acumulados"/>
      <sheetName val="Mov.Price Royalty"/>
      <sheetName val="Anticipo Clientes Final"/>
      <sheetName val="Mov. Garantías Comerciales"/>
      <sheetName val="Prov. Bonos"/>
      <sheetName val="Movimiento Publicidad"/>
      <sheetName val="P.1. Detalle"/>
      <sheetName val="P.2. Movimiento IR (P)"/>
      <sheetName val="P.3. Detalle Prov Gastos (P)"/>
      <sheetName val="Movimiento anticipos"/>
      <sheetName val="Movimiento Jubilación patronal"/>
      <sheetName val="Management Fee"/>
      <sheetName val="Procedimiento Gastos Acum"/>
      <sheetName val="Jubilación y Desahucio"/>
      <sheetName val="IR"/>
      <sheetName val="Miscelan_x0004_"/>
      <sheetName val="Ingreso Clasificado"/>
      <sheetName val="Ingreso Suscripciones"/>
      <sheetName val="Mpvimiento de Impuestos Diferid"/>
      <sheetName val="Owned"/>
      <sheetName val="Reexpresado año 2000"/>
      <sheetName val="Anexo 12"/>
      <sheetName val="LPH e INCE"/>
      <sheetName val="Análisis IVA"/>
      <sheetName val="31 Dic 96"/>
      <sheetName val="Datos Genera."/>
      <sheetName val="Determinación del Límite"/>
      <sheetName val="TABLAIPC "/>
      <sheetName val="COLOCACIONES"/>
      <sheetName val="Pagos Anticipados"/>
      <sheetName val="Mov. Impto. Rta. y Part"/>
      <sheetName val="Mov. Impuesto a la renta"/>
      <sheetName val="Movimiento Participación"/>
      <sheetName val="Jub. Patronal - Desahucio"/>
      <sheetName val="ISD 2012"/>
      <sheetName val="ISD 2013"/>
      <sheetName val="Nota 15"/>
      <sheetName val="Varias"/>
      <sheetName val="SUD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  <sheetData sheetId="41"/>
      <sheetData sheetId="42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 refreshError="1"/>
      <sheetData sheetId="98" refreshError="1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/>
      <sheetData sheetId="138" refreshError="1"/>
      <sheetData sheetId="139"/>
      <sheetData sheetId="140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/>
      <sheetData sheetId="183"/>
      <sheetData sheetId="184"/>
      <sheetData sheetId="185"/>
      <sheetData sheetId="186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/>
      <sheetData sheetId="201"/>
      <sheetData sheetId="202" refreshError="1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 refreshError="1"/>
      <sheetData sheetId="231" refreshError="1"/>
      <sheetData sheetId="232" refreshError="1"/>
      <sheetData sheetId="233"/>
      <sheetData sheetId="234" refreshError="1"/>
      <sheetData sheetId="235" refreshError="1"/>
      <sheetData sheetId="236" refreshError="1"/>
      <sheetData sheetId="237"/>
      <sheetData sheetId="238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 refreshError="1"/>
      <sheetData sheetId="247"/>
      <sheetData sheetId="248"/>
      <sheetData sheetId="249" refreshError="1"/>
      <sheetData sheetId="250" refreshError="1"/>
      <sheetData sheetId="251"/>
      <sheetData sheetId="252"/>
      <sheetData sheetId="253" refreshError="1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 refreshError="1"/>
      <sheetData sheetId="263"/>
      <sheetData sheetId="264"/>
      <sheetData sheetId="265" refreshError="1"/>
      <sheetData sheetId="266"/>
      <sheetData sheetId="267"/>
      <sheetData sheetId="268"/>
      <sheetData sheetId="269" refreshError="1"/>
      <sheetData sheetId="270" refreshError="1"/>
      <sheetData sheetId="271"/>
      <sheetData sheetId="272"/>
      <sheetData sheetId="273" refreshError="1"/>
      <sheetData sheetId="274"/>
      <sheetData sheetId="275" refreshError="1"/>
      <sheetData sheetId="276"/>
      <sheetData sheetId="277" refreshError="1"/>
      <sheetData sheetId="278"/>
      <sheetData sheetId="279"/>
      <sheetData sheetId="280"/>
      <sheetData sheetId="28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 refreshError="1"/>
      <sheetData sheetId="293"/>
      <sheetData sheetId="294" refreshError="1"/>
      <sheetData sheetId="295" refreshError="1"/>
      <sheetData sheetId="296" refreshError="1"/>
      <sheetData sheetId="297"/>
      <sheetData sheetId="298"/>
      <sheetData sheetId="299"/>
      <sheetData sheetId="300" refreshError="1"/>
      <sheetData sheetId="301"/>
      <sheetData sheetId="302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/>
      <sheetData sheetId="313" refreshError="1"/>
      <sheetData sheetId="314"/>
      <sheetData sheetId="315"/>
      <sheetData sheetId="316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/>
      <sheetData sheetId="337"/>
      <sheetData sheetId="338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/>
      <sheetData sheetId="370"/>
      <sheetData sheetId="371"/>
      <sheetData sheetId="372" refreshError="1"/>
      <sheetData sheetId="373"/>
      <sheetData sheetId="374"/>
      <sheetData sheetId="375" refreshError="1"/>
      <sheetData sheetId="376" refreshError="1"/>
      <sheetData sheetId="377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/>
      <sheetData sheetId="387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/>
      <sheetData sheetId="395"/>
      <sheetData sheetId="396"/>
      <sheetData sheetId="397" refreshError="1"/>
      <sheetData sheetId="398" refreshError="1"/>
      <sheetData sheetId="399"/>
      <sheetData sheetId="400"/>
      <sheetData sheetId="401" refreshError="1"/>
      <sheetData sheetId="402" refreshError="1"/>
      <sheetData sheetId="403"/>
      <sheetData sheetId="404"/>
      <sheetData sheetId="405" refreshError="1"/>
      <sheetData sheetId="406"/>
      <sheetData sheetId="407"/>
      <sheetData sheetId="408" refreshError="1"/>
      <sheetData sheetId="409"/>
      <sheetData sheetId="410"/>
      <sheetData sheetId="411"/>
      <sheetData sheetId="412"/>
      <sheetData sheetId="413"/>
      <sheetData sheetId="414" refreshError="1"/>
      <sheetData sheetId="415" refreshError="1"/>
      <sheetData sheetId="416"/>
      <sheetData sheetId="417"/>
      <sheetData sheetId="418"/>
      <sheetData sheetId="419"/>
      <sheetData sheetId="420" refreshError="1"/>
      <sheetData sheetId="421"/>
      <sheetData sheetId="422"/>
      <sheetData sheetId="423" refreshError="1"/>
      <sheetData sheetId="424"/>
      <sheetData sheetId="425"/>
      <sheetData sheetId="426"/>
      <sheetData sheetId="427"/>
      <sheetData sheetId="428"/>
      <sheetData sheetId="429" refreshError="1"/>
      <sheetData sheetId="430"/>
      <sheetData sheetId="43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/>
      <sheetData sheetId="475" refreshError="1"/>
      <sheetData sheetId="476"/>
      <sheetData sheetId="477" refreshError="1"/>
      <sheetData sheetId="478"/>
      <sheetData sheetId="479"/>
      <sheetData sheetId="480"/>
      <sheetData sheetId="481" refreshError="1"/>
      <sheetData sheetId="482" refreshError="1"/>
      <sheetData sheetId="483" refreshError="1"/>
      <sheetData sheetId="484"/>
      <sheetData sheetId="485"/>
      <sheetData sheetId="486"/>
      <sheetData sheetId="487"/>
      <sheetData sheetId="488"/>
      <sheetData sheetId="489" refreshError="1"/>
      <sheetData sheetId="490" refreshError="1"/>
      <sheetData sheetId="491" refreshError="1"/>
      <sheetData sheetId="492" refreshError="1"/>
      <sheetData sheetId="493"/>
      <sheetData sheetId="494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/>
      <sheetData sheetId="513"/>
      <sheetData sheetId="514"/>
      <sheetData sheetId="515" refreshError="1"/>
      <sheetData sheetId="516" refreshError="1"/>
      <sheetData sheetId="517" refreshError="1"/>
      <sheetData sheetId="518" refreshError="1"/>
      <sheetData sheetId="519"/>
      <sheetData sheetId="520"/>
      <sheetData sheetId="521"/>
      <sheetData sheetId="522"/>
      <sheetData sheetId="523"/>
      <sheetData sheetId="524" refreshError="1"/>
      <sheetData sheetId="525" refreshError="1"/>
      <sheetData sheetId="526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/>
      <sheetData sheetId="546"/>
      <sheetData sheetId="547"/>
      <sheetData sheetId="548"/>
      <sheetData sheetId="549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/>
      <sheetData sheetId="590"/>
      <sheetData sheetId="591"/>
      <sheetData sheetId="592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/>
      <sheetData sheetId="602"/>
      <sheetData sheetId="603"/>
      <sheetData sheetId="604"/>
      <sheetData sheetId="605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/>
      <sheetData sheetId="625"/>
      <sheetData sheetId="626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/>
      <sheetData sheetId="644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/>
      <sheetData sheetId="677" refreshError="1"/>
      <sheetData sheetId="678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/>
      <sheetData sheetId="686"/>
      <sheetData sheetId="687"/>
      <sheetData sheetId="688" refreshError="1"/>
      <sheetData sheetId="689" refreshError="1"/>
      <sheetData sheetId="690"/>
      <sheetData sheetId="691"/>
      <sheetData sheetId="692"/>
      <sheetData sheetId="693"/>
      <sheetData sheetId="694" refreshError="1"/>
      <sheetData sheetId="695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/>
      <sheetData sheetId="715"/>
      <sheetData sheetId="716"/>
      <sheetData sheetId="717"/>
      <sheetData sheetId="718" refreshError="1"/>
      <sheetData sheetId="719"/>
      <sheetData sheetId="720" refreshError="1"/>
      <sheetData sheetId="721"/>
      <sheetData sheetId="722"/>
      <sheetData sheetId="723"/>
      <sheetData sheetId="724"/>
      <sheetData sheetId="725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/>
      <sheetData sheetId="750"/>
      <sheetData sheetId="751" refreshError="1"/>
      <sheetData sheetId="752" refreshError="1"/>
      <sheetData sheetId="753" refreshError="1"/>
      <sheetData sheetId="754" refreshError="1"/>
      <sheetData sheetId="755"/>
      <sheetData sheetId="756" refreshError="1"/>
      <sheetData sheetId="757" refreshError="1"/>
      <sheetData sheetId="758" refreshError="1"/>
      <sheetData sheetId="759" refreshError="1"/>
      <sheetData sheetId="760"/>
      <sheetData sheetId="761" refreshError="1"/>
      <sheetData sheetId="762" refreshError="1"/>
      <sheetData sheetId="763"/>
      <sheetData sheetId="764" refreshError="1"/>
      <sheetData sheetId="765"/>
      <sheetData sheetId="766"/>
      <sheetData sheetId="767"/>
      <sheetData sheetId="768"/>
      <sheetData sheetId="769"/>
      <sheetData sheetId="770"/>
      <sheetData sheetId="771" refreshError="1"/>
      <sheetData sheetId="772"/>
      <sheetData sheetId="773"/>
      <sheetData sheetId="774"/>
      <sheetData sheetId="775" refreshError="1"/>
      <sheetData sheetId="776" refreshError="1"/>
      <sheetData sheetId="777" refreshError="1"/>
      <sheetData sheetId="778" refreshError="1"/>
      <sheetData sheetId="779"/>
      <sheetData sheetId="780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/>
      <sheetData sheetId="788" refreshError="1"/>
      <sheetData sheetId="789" refreshError="1"/>
      <sheetData sheetId="790"/>
      <sheetData sheetId="791"/>
      <sheetData sheetId="792"/>
      <sheetData sheetId="793"/>
      <sheetData sheetId="794" refreshError="1"/>
      <sheetData sheetId="795"/>
      <sheetData sheetId="796"/>
      <sheetData sheetId="79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Inversiones en acciones"/>
      <sheetName val="XREF"/>
      <sheetName val="Tickmarks"/>
      <sheetName val="Nota"/>
      <sheetName val="Movimiento"/>
      <sheetName val="Amortización"/>
      <sheetName val="Cálculo Global"/>
      <sheetName val="MMA"/>
      <sheetName val="APT"/>
      <sheetName val="Listado"/>
      <sheetName val="Otros cargos dif"/>
      <sheetName val="Otros Activos"/>
      <sheetName val="NQIA Gastos Principales"/>
      <sheetName val="Capital para Proyecto"/>
      <sheetName val="Anticipos CCC"/>
      <sheetName val="Costos Transición"/>
      <sheetName val="Commitment Fee"/>
      <sheetName val="APT Junio"/>
      <sheetName val="COnfirmación Jun"/>
      <sheetName val="Límite"/>
      <sheetName val="Mov_Costo"/>
      <sheetName val="Mov_Amort"/>
      <sheetName val="C.G Amortización"/>
      <sheetName val="Límites"/>
      <sheetName val="Límites Sugeridos"/>
      <sheetName val="Mov. Intangibles"/>
      <sheetName val="Análisis Adiciones Intangibles"/>
      <sheetName val="Mov. Amortización"/>
      <sheetName val="C G Amort"/>
      <sheetName val="Software"/>
      <sheetName val="Mov. Costo"/>
      <sheetName val="Mov. Amortizacion"/>
      <sheetName val="Calculo Amorti"/>
      <sheetName val="Amort."/>
      <sheetName val="Calc. Global. Amort"/>
      <sheetName val="Nota EEFF"/>
      <sheetName val="Mov. GW costo y amort."/>
      <sheetName val="Cáculo global amor"/>
      <sheetName val="Mov. Renta tools costo y depre."/>
      <sheetName val="Cáclulo global depreciación"/>
      <sheetName val="Detalle rental tools Final"/>
      <sheetName val="Detalle rental tools Prel"/>
      <sheetName val="Cálculo del umbral"/>
      <sheetName val="Proyecto Mazar"/>
      <sheetName val="Proyecto Sopladora"/>
      <sheetName val="CxC LP"/>
      <sheetName val="Inv. Acciones"/>
      <sheetName val="Adiciones Acciones"/>
      <sheetName val="VPP"/>
      <sheetName val="Activos Intangibles y Otros"/>
      <sheetName val="Cálculo Global Amort."/>
      <sheetName val="Otros Activos (F)"/>
      <sheetName val="Otros activos (Prel)"/>
      <sheetName val="Gastos Anticipados"/>
      <sheetName val="CMA Calculations adiciones"/>
      <sheetName val="CMA Selections adiciones"/>
      <sheetName val="APT adiciones"/>
      <sheetName val="Inversiones"/>
      <sheetName val="Cálculo amortización"/>
      <sheetName val="Análisis de Adiciones"/>
      <sheetName val="VPP Inversiones"/>
      <sheetName val="Goodwill Humana"/>
      <sheetName val="Goodwill Aesculapius"/>
      <sheetName val="Sheet2"/>
      <sheetName val="Adquisición Aesculapius"/>
      <sheetName val="Acciones"/>
      <sheetName val="Aportes"/>
      <sheetName val="Detalle de acciones adquiridas"/>
      <sheetName val="CMA_Aescapulapius"/>
      <sheetName val="Análisis Aesculapius"/>
      <sheetName val="Análisis de activos"/>
    </sheetNames>
    <sheetDataSet>
      <sheetData sheetId="0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 refreshError="1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A 1"/>
      <sheetName val="A 1 1"/>
      <sheetName val="A C000"/>
      <sheetName val="A_1"/>
      <sheetName val="A_1_1"/>
    </sheetNames>
    <sheetDataSet>
      <sheetData sheetId="0">
        <row r="3">
          <cell r="D3" t="str">
            <v>D´BRAG AUDITORES</v>
          </cell>
        </row>
        <row r="4">
          <cell r="D4" t="str">
            <v>PROGRAMA DE TRABAJO</v>
          </cell>
        </row>
        <row r="7">
          <cell r="C7" t="str">
            <v>CLIENTE                             :</v>
          </cell>
          <cell r="D7" t="str">
            <v>CENTRO DE REHABILITACION DE MANABI</v>
          </cell>
          <cell r="H7" t="str">
            <v>FECHA                    : 20-JUN-02</v>
          </cell>
        </row>
        <row r="8">
          <cell r="C8" t="str">
            <v>TIPO DE EXAMEN               :</v>
          </cell>
          <cell r="D8" t="str">
            <v>CAJA - BANCOS</v>
          </cell>
          <cell r="H8" t="str">
            <v>ELABORADO POR   :  A.C.</v>
          </cell>
        </row>
        <row r="9">
          <cell r="C9" t="str">
            <v>PERIODO EXAMINADO       :</v>
          </cell>
          <cell r="D9" t="str">
            <v>AÑO 2001</v>
          </cell>
          <cell r="H9" t="str">
            <v>CLIENTE                  :</v>
          </cell>
        </row>
        <row r="10">
          <cell r="C10" t="str">
            <v>OBJETIVOS                        :</v>
          </cell>
          <cell r="D10" t="str">
            <v xml:space="preserve">PROPIEDAD, EXACTITUD, TOTALIDAD, CORTE, VALUACION, REVELACION, </v>
          </cell>
          <cell r="H10" t="str">
            <v xml:space="preserve"> </v>
          </cell>
        </row>
        <row r="11">
          <cell r="E11" t="str">
            <v xml:space="preserve"> </v>
          </cell>
        </row>
        <row r="13">
          <cell r="B13" t="str">
            <v>No.</v>
          </cell>
          <cell r="C13" t="str">
            <v>PROCEDIMIENTO</v>
          </cell>
          <cell r="D13" t="str">
            <v>ASEVERACION</v>
          </cell>
          <cell r="E13" t="str">
            <v>HECHO POR:</v>
          </cell>
          <cell r="F13" t="str">
            <v>FECHA</v>
          </cell>
          <cell r="G13" t="str">
            <v>REF.P/T</v>
          </cell>
          <cell r="H13" t="str">
            <v>COMENTARIOS</v>
          </cell>
        </row>
      </sheetData>
      <sheetData sheetId="1"/>
      <sheetData sheetId="2"/>
      <sheetData sheetId="3" refreshError="1"/>
      <sheetData sheetId="4"/>
      <sheetData sheetId="5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5203.535245601852" createdVersion="7" refreshedVersion="7" minRefreshableVersion="3" recordCount="15" xr:uid="{79970E7F-19D2-4CDB-8B10-472F583318C7}">
  <cacheSource type="worksheet">
    <worksheetSource ref="B36:U51" sheet="10.04"/>
  </cacheSource>
  <cacheFields count="20">
    <cacheField name="Código cuenta contable" numFmtId="0">
      <sharedItems containsNonDate="0" containsString="0" containsBlank="1"/>
    </cacheField>
    <cacheField name="Nombre cuenta contable" numFmtId="0">
      <sharedItems containsNonDate="0" containsString="0" containsBlank="1"/>
    </cacheField>
    <cacheField name="Descripción del activo intangible" numFmtId="0">
      <sharedItems containsNonDate="0" containsString="0" containsBlank="1"/>
    </cacheField>
    <cacheField name="Grupo" numFmtId="0">
      <sharedItems containsNonDate="0" containsString="0" containsBlank="1" count="1">
        <m/>
      </sharedItems>
    </cacheField>
    <cacheField name="Años de vida útil" numFmtId="0">
      <sharedItems containsNonDate="0" containsString="0" containsBlank="1"/>
    </cacheField>
    <cacheField name="Fecha de compra" numFmtId="14">
      <sharedItems containsNonDate="0" containsString="0" containsBlank="1"/>
    </cacheField>
    <cacheField name="Costo" numFmtId="43">
      <sharedItems containsSemiMixedTypes="0" containsString="0" containsNumber="1" containsInteger="1" minValue="0" maxValue="0"/>
    </cacheField>
    <cacheField name="Amortización mensual" numFmtId="43">
      <sharedItems containsSemiMixedTypes="0" containsString="0" containsNumber="1" containsInteger="1" minValue="0" maxValue="0"/>
    </cacheField>
    <cacheField name="Amortización acumulada" numFmtId="43">
      <sharedItems containsSemiMixedTypes="0" containsString="0" containsNumber="1" containsInteger="1" minValue="0" maxValue="0"/>
    </cacheField>
    <cacheField name="c" numFmtId="0">
      <sharedItems containsNonDate="0" containsString="0" containsBlank="1"/>
    </cacheField>
    <cacheField name="Activos totalmente amortizados" numFmtId="43">
      <sharedItems containsSemiMixedTypes="0" containsString="0" containsNumber="1" containsInteger="1" minValue="0" maxValue="0" count="1">
        <n v="0"/>
      </sharedItems>
    </cacheField>
    <cacheField name="u" numFmtId="0">
      <sharedItems containsNonDate="0" containsString="0" containsBlank="1"/>
    </cacheField>
    <cacheField name="Amortización anual" numFmtId="43">
      <sharedItems/>
    </cacheField>
    <cacheField name="Gasto del período" numFmtId="43">
      <sharedItems/>
    </cacheField>
    <cacheField name="Amortización mensual2" numFmtId="43">
      <sharedItems/>
    </cacheField>
    <cacheField name="Amortización acumulada2" numFmtId="0">
      <sharedItems/>
    </cacheField>
    <cacheField name="c2" numFmtId="0">
      <sharedItems containsNonDate="0" containsString="0" containsBlank="1"/>
    </cacheField>
    <cacheField name="Vida útil asignada" numFmtId="43">
      <sharedItems containsSemiMixedTypes="0" containsString="0" containsNumber="1" containsInteger="1" minValue="0" maxValue="0"/>
    </cacheField>
    <cacheField name="Cumple con lo establecido en la política contable" numFmtId="0">
      <sharedItems containsNonDate="0" containsString="0" containsBlank="1"/>
    </cacheField>
    <cacheField name="Comentario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m/>
    <m/>
    <m/>
    <x v="0"/>
    <m/>
    <m/>
    <n v="0"/>
    <n v="0"/>
    <n v="0"/>
    <m/>
    <x v="0"/>
    <m/>
    <e v="#DIV/0!"/>
    <e v="#DIV/0!"/>
    <e v="#DIV/0!"/>
    <e v="#VALUE!"/>
    <m/>
    <n v="0"/>
    <m/>
    <m/>
  </r>
  <r>
    <m/>
    <m/>
    <m/>
    <x v="0"/>
    <m/>
    <m/>
    <n v="0"/>
    <n v="0"/>
    <n v="0"/>
    <m/>
    <x v="0"/>
    <m/>
    <e v="#DIV/0!"/>
    <e v="#DIV/0!"/>
    <e v="#DIV/0!"/>
    <e v="#VALUE!"/>
    <m/>
    <n v="0"/>
    <m/>
    <m/>
  </r>
  <r>
    <m/>
    <m/>
    <m/>
    <x v="0"/>
    <m/>
    <m/>
    <n v="0"/>
    <n v="0"/>
    <n v="0"/>
    <m/>
    <x v="0"/>
    <m/>
    <e v="#DIV/0!"/>
    <e v="#DIV/0!"/>
    <e v="#DIV/0!"/>
    <e v="#VALUE!"/>
    <m/>
    <n v="0"/>
    <m/>
    <m/>
  </r>
  <r>
    <m/>
    <m/>
    <m/>
    <x v="0"/>
    <m/>
    <m/>
    <n v="0"/>
    <n v="0"/>
    <n v="0"/>
    <m/>
    <x v="0"/>
    <m/>
    <e v="#DIV/0!"/>
    <e v="#DIV/0!"/>
    <e v="#DIV/0!"/>
    <e v="#VALUE!"/>
    <m/>
    <n v="0"/>
    <m/>
    <m/>
  </r>
  <r>
    <m/>
    <m/>
    <m/>
    <x v="0"/>
    <m/>
    <m/>
    <n v="0"/>
    <n v="0"/>
    <n v="0"/>
    <m/>
    <x v="0"/>
    <m/>
    <e v="#DIV/0!"/>
    <e v="#DIV/0!"/>
    <e v="#DIV/0!"/>
    <e v="#VALUE!"/>
    <m/>
    <n v="0"/>
    <m/>
    <m/>
  </r>
  <r>
    <m/>
    <m/>
    <m/>
    <x v="0"/>
    <m/>
    <m/>
    <n v="0"/>
    <n v="0"/>
    <n v="0"/>
    <m/>
    <x v="0"/>
    <m/>
    <e v="#DIV/0!"/>
    <e v="#DIV/0!"/>
    <e v="#DIV/0!"/>
    <e v="#VALUE!"/>
    <m/>
    <n v="0"/>
    <m/>
    <m/>
  </r>
  <r>
    <m/>
    <m/>
    <m/>
    <x v="0"/>
    <m/>
    <m/>
    <n v="0"/>
    <n v="0"/>
    <n v="0"/>
    <m/>
    <x v="0"/>
    <m/>
    <e v="#DIV/0!"/>
    <e v="#DIV/0!"/>
    <e v="#DIV/0!"/>
    <e v="#VALUE!"/>
    <m/>
    <n v="0"/>
    <m/>
    <m/>
  </r>
  <r>
    <m/>
    <m/>
    <m/>
    <x v="0"/>
    <m/>
    <m/>
    <n v="0"/>
    <n v="0"/>
    <n v="0"/>
    <m/>
    <x v="0"/>
    <m/>
    <e v="#DIV/0!"/>
    <e v="#DIV/0!"/>
    <e v="#DIV/0!"/>
    <e v="#VALUE!"/>
    <m/>
    <n v="0"/>
    <m/>
    <m/>
  </r>
  <r>
    <m/>
    <m/>
    <m/>
    <x v="0"/>
    <m/>
    <m/>
    <n v="0"/>
    <n v="0"/>
    <n v="0"/>
    <m/>
    <x v="0"/>
    <m/>
    <e v="#DIV/0!"/>
    <e v="#DIV/0!"/>
    <e v="#DIV/0!"/>
    <e v="#VALUE!"/>
    <m/>
    <n v="0"/>
    <m/>
    <m/>
  </r>
  <r>
    <m/>
    <m/>
    <m/>
    <x v="0"/>
    <m/>
    <m/>
    <n v="0"/>
    <n v="0"/>
    <n v="0"/>
    <m/>
    <x v="0"/>
    <m/>
    <e v="#DIV/0!"/>
    <e v="#DIV/0!"/>
    <e v="#DIV/0!"/>
    <e v="#VALUE!"/>
    <m/>
    <n v="0"/>
    <m/>
    <m/>
  </r>
  <r>
    <m/>
    <m/>
    <m/>
    <x v="0"/>
    <m/>
    <m/>
    <n v="0"/>
    <n v="0"/>
    <n v="0"/>
    <m/>
    <x v="0"/>
    <m/>
    <e v="#DIV/0!"/>
    <e v="#DIV/0!"/>
    <e v="#DIV/0!"/>
    <e v="#VALUE!"/>
    <m/>
    <n v="0"/>
    <m/>
    <m/>
  </r>
  <r>
    <m/>
    <m/>
    <m/>
    <x v="0"/>
    <m/>
    <m/>
    <n v="0"/>
    <n v="0"/>
    <n v="0"/>
    <m/>
    <x v="0"/>
    <m/>
    <e v="#DIV/0!"/>
    <e v="#DIV/0!"/>
    <e v="#DIV/0!"/>
    <e v="#VALUE!"/>
    <m/>
    <n v="0"/>
    <m/>
    <m/>
  </r>
  <r>
    <m/>
    <m/>
    <m/>
    <x v="0"/>
    <m/>
    <m/>
    <n v="0"/>
    <n v="0"/>
    <n v="0"/>
    <m/>
    <x v="0"/>
    <m/>
    <e v="#DIV/0!"/>
    <e v="#DIV/0!"/>
    <e v="#DIV/0!"/>
    <e v="#VALUE!"/>
    <m/>
    <n v="0"/>
    <m/>
    <m/>
  </r>
  <r>
    <m/>
    <m/>
    <m/>
    <x v="0"/>
    <m/>
    <m/>
    <n v="0"/>
    <n v="0"/>
    <n v="0"/>
    <m/>
    <x v="0"/>
    <m/>
    <e v="#DIV/0!"/>
    <e v="#DIV/0!"/>
    <e v="#DIV/0!"/>
    <e v="#VALUE!"/>
    <m/>
    <n v="0"/>
    <m/>
    <m/>
  </r>
  <r>
    <m/>
    <m/>
    <m/>
    <x v="0"/>
    <m/>
    <m/>
    <n v="0"/>
    <n v="0"/>
    <n v="0"/>
    <m/>
    <x v="0"/>
    <m/>
    <e v="#DIV/0!"/>
    <e v="#DIV/0!"/>
    <e v="#DIV/0!"/>
    <e v="#VALUE!"/>
    <m/>
    <n v="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C11453-EC32-4288-B998-4EFADDEBF031}" name="TablaDinámica1" cacheId="3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  Grupo">
  <location ref="B62:E64" firstHeaderRow="0" firstDataRow="1" firstDataCol="1"/>
  <pivotFields count="20"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dataField="1" numFmtId="43" showAll="0"/>
    <pivotField numFmtId="43" showAll="0"/>
    <pivotField dataField="1" numFmtId="43" showAll="0"/>
    <pivotField showAll="0"/>
    <pivotField dataField="1" numFmtId="43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numFmtId="43" showAll="0"/>
    <pivotField showAll="0"/>
    <pivotField showAll="0"/>
  </pivotFields>
  <rowFields count="1">
    <field x="3"/>
  </rowFields>
  <rowItems count="2">
    <i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Costo" fld="6" baseField="0" baseItem="0"/>
    <dataField name="  Amortización acumulada" fld="8" baseField="0" baseItem="0"/>
    <dataField name="  Activos totalmente amortizados" fld="10" baseField="0" baseItem="0"/>
  </dataFields>
  <formats count="22">
    <format dxfId="21">
      <pivotArea type="all" dataOnly="0" outline="0" fieldPosition="0"/>
    </format>
    <format dxfId="20">
      <pivotArea outline="0" collapsedLevelsAreSubtotals="1" fieldPosition="0"/>
    </format>
    <format dxfId="19">
      <pivotArea field="3" type="button" dataOnly="0" labelOnly="1" outline="0" axis="axisRow" fieldPosition="0"/>
    </format>
    <format dxfId="18">
      <pivotArea dataOnly="0" labelOnly="1" fieldPosition="0">
        <references count="1">
          <reference field="3" count="0"/>
        </references>
      </pivotArea>
    </format>
    <format dxfId="17">
      <pivotArea dataOnly="0" labelOnly="1" grandRow="1" outline="0" fieldPosition="0"/>
    </format>
    <format dxfId="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3" type="button" dataOnly="0" labelOnly="1" outline="0" axis="axisRow" fieldPosition="0"/>
    </format>
    <format dxfId="12">
      <pivotArea dataOnly="0" labelOnly="1" fieldPosition="0">
        <references count="1">
          <reference field="3" count="0"/>
        </references>
      </pivotArea>
    </format>
    <format dxfId="11">
      <pivotArea dataOnly="0" labelOnly="1" grandRow="1" outline="0" fieldPosition="0"/>
    </format>
    <format dxfId="1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field="3" type="button" dataOnly="0" labelOnly="1" outline="0" axis="axisRow" fieldPosition="0"/>
    </format>
    <format dxfId="6">
      <pivotArea dataOnly="0" labelOnly="1" fieldPosition="0">
        <references count="1">
          <reference field="3" count="0"/>
        </references>
      </pivotArea>
    </format>
    <format dxfId="5">
      <pivotArea dataOnly="0" labelOnly="1" grandRow="1" outline="0" fieldPosition="0"/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field="3" type="button" dataOnly="0" labelOnly="1" outline="0" axis="axisRow" fieldPosition="0"/>
    </format>
    <format dxfId="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C6106-D5CE-4889-ACD7-22900A465CCE}">
  <dimension ref="A1:AA152"/>
  <sheetViews>
    <sheetView showGridLines="0" tabSelected="1" zoomScale="80" zoomScaleNormal="80" workbookViewId="0">
      <selection activeCell="G63" sqref="G63"/>
    </sheetView>
  </sheetViews>
  <sheetFormatPr baseColWidth="10" defaultColWidth="11.453125" defaultRowHeight="12.5" x14ac:dyDescent="0.25"/>
  <cols>
    <col min="1" max="1" width="6.1796875" style="1" customWidth="1"/>
    <col min="2" max="2" width="19.90625" style="1" customWidth="1"/>
    <col min="3" max="3" width="12.1796875" style="1" customWidth="1"/>
    <col min="4" max="4" width="25.1796875" style="1" bestFit="1" customWidth="1"/>
    <col min="5" max="5" width="39.7265625" style="1" bestFit="1" customWidth="1"/>
    <col min="6" max="7" width="25.90625" style="1" customWidth="1"/>
    <col min="8" max="8" width="15.453125" style="1" bestFit="1" customWidth="1"/>
    <col min="9" max="9" width="19.1796875" style="1" customWidth="1"/>
    <col min="10" max="10" width="17.453125" style="1" customWidth="1"/>
    <col min="11" max="11" width="3.90625" style="1" customWidth="1"/>
    <col min="12" max="12" width="25.90625" style="1" customWidth="1"/>
    <col min="13" max="13" width="3.6328125" style="1" customWidth="1"/>
    <col min="14" max="17" width="22.7265625" style="1" customWidth="1"/>
    <col min="18" max="18" width="3.6328125" style="1" customWidth="1"/>
    <col min="19" max="19" width="22" style="1" customWidth="1"/>
    <col min="20" max="20" width="32.6328125" style="1" customWidth="1"/>
    <col min="21" max="21" width="27.26953125" style="1" customWidth="1"/>
    <col min="22" max="24" width="11.453125" style="1"/>
    <col min="25" max="25" width="21.81640625" style="1" bestFit="1" customWidth="1"/>
    <col min="26" max="26" width="31.81640625" style="1" customWidth="1"/>
    <col min="27" max="27" width="10.1796875" style="1" bestFit="1" customWidth="1"/>
    <col min="28" max="16384" width="11.453125" style="1"/>
  </cols>
  <sheetData>
    <row r="1" spans="1:23" x14ac:dyDescent="0.25">
      <c r="A1" s="90"/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W1" s="38" t="s">
        <v>78</v>
      </c>
    </row>
    <row r="2" spans="1:23" x14ac:dyDescent="0.25">
      <c r="A2" s="90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W2" s="38" t="s">
        <v>79</v>
      </c>
    </row>
    <row r="3" spans="1:23" x14ac:dyDescent="0.25">
      <c r="A3" s="90"/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S3" s="42" t="s">
        <v>8</v>
      </c>
      <c r="T3" s="42" t="s">
        <v>12</v>
      </c>
      <c r="U3" s="43" t="s">
        <v>13</v>
      </c>
    </row>
    <row r="4" spans="1:23" x14ac:dyDescent="0.25">
      <c r="A4" s="90"/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S4" s="48" t="s">
        <v>14</v>
      </c>
      <c r="T4" s="49" t="s">
        <v>14</v>
      </c>
      <c r="U4" s="44" t="s">
        <v>76</v>
      </c>
    </row>
    <row r="5" spans="1:23" x14ac:dyDescent="0.25">
      <c r="A5" s="90"/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</row>
    <row r="6" spans="1:23" ht="14.5" x14ac:dyDescent="0.35">
      <c r="A6" s="90"/>
      <c r="B6" s="36" t="s">
        <v>9</v>
      </c>
      <c r="C6" s="90"/>
      <c r="D6" s="90"/>
      <c r="E6" s="90"/>
      <c r="F6" s="90"/>
      <c r="G6" s="90"/>
      <c r="H6" s="90"/>
      <c r="I6" s="35"/>
      <c r="J6"/>
      <c r="K6"/>
      <c r="L6"/>
      <c r="M6"/>
    </row>
    <row r="7" spans="1:23" ht="14.5" x14ac:dyDescent="0.35">
      <c r="A7" s="90"/>
      <c r="B7" s="36" t="s">
        <v>67</v>
      </c>
      <c r="C7" s="31"/>
      <c r="D7" s="31"/>
      <c r="E7" s="31"/>
      <c r="F7" s="31"/>
      <c r="G7" s="31"/>
      <c r="H7" s="31"/>
      <c r="I7" s="90"/>
      <c r="J7"/>
      <c r="K7"/>
      <c r="L7"/>
      <c r="M7"/>
      <c r="O7"/>
      <c r="Q7" s="34"/>
    </row>
    <row r="8" spans="1:23" x14ac:dyDescent="0.25">
      <c r="A8" s="90"/>
      <c r="B8" s="41" t="s">
        <v>11</v>
      </c>
      <c r="C8" s="31"/>
      <c r="D8" s="31"/>
      <c r="E8" s="31"/>
      <c r="F8" s="31"/>
      <c r="G8" s="31"/>
      <c r="H8" s="31"/>
      <c r="I8" s="90"/>
      <c r="J8" s="90"/>
      <c r="K8" s="90"/>
      <c r="L8" s="90"/>
      <c r="M8" s="90"/>
      <c r="O8" s="90"/>
      <c r="P8" s="90"/>
      <c r="Q8" s="90"/>
    </row>
    <row r="9" spans="1:23" x14ac:dyDescent="0.25">
      <c r="A9" s="90"/>
      <c r="B9" s="41" t="s">
        <v>33</v>
      </c>
      <c r="C9" s="31"/>
      <c r="D9" s="31"/>
      <c r="E9" s="31"/>
      <c r="F9" s="31"/>
      <c r="G9" s="31"/>
      <c r="H9" s="31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</row>
    <row r="10" spans="1:23" ht="7" customHeight="1" thickBot="1" x14ac:dyDescent="0.3">
      <c r="A10" s="90"/>
      <c r="B10" s="91"/>
      <c r="C10" s="91"/>
      <c r="D10" s="91"/>
      <c r="E10" s="91"/>
      <c r="F10" s="91"/>
      <c r="G10" s="91"/>
      <c r="H10" s="91"/>
      <c r="I10" s="91"/>
      <c r="J10" s="91"/>
      <c r="K10" s="92"/>
      <c r="L10" s="91"/>
      <c r="M10" s="91"/>
      <c r="N10" s="91"/>
      <c r="O10" s="91"/>
      <c r="P10" s="91"/>
      <c r="Q10" s="91"/>
      <c r="R10" s="91"/>
      <c r="S10" s="91"/>
      <c r="T10" s="91"/>
      <c r="U10" s="91"/>
    </row>
    <row r="11" spans="1:23" ht="13" thickTop="1" x14ac:dyDescent="0.25">
      <c r="A11" s="90"/>
      <c r="B11" s="93"/>
      <c r="C11" s="47"/>
      <c r="D11" s="47"/>
      <c r="E11" s="47"/>
      <c r="F11" s="47"/>
      <c r="G11" s="47"/>
      <c r="H11" s="47"/>
      <c r="I11" s="47"/>
      <c r="J11" s="47"/>
      <c r="K11" s="39"/>
      <c r="L11" s="47"/>
      <c r="M11" s="47"/>
      <c r="N11" s="47"/>
      <c r="O11" s="47"/>
      <c r="P11" s="47"/>
      <c r="Q11" s="47"/>
      <c r="R11" s="47"/>
      <c r="S11" s="47"/>
      <c r="T11" s="47"/>
      <c r="U11" s="47"/>
    </row>
    <row r="12" spans="1:23" x14ac:dyDescent="0.25">
      <c r="A12" s="90"/>
      <c r="B12" s="37" t="s">
        <v>7</v>
      </c>
      <c r="C12" s="32"/>
      <c r="D12" s="31"/>
      <c r="E12" s="31"/>
      <c r="F12" s="31"/>
      <c r="G12" s="31"/>
      <c r="H12" s="31"/>
      <c r="I12" s="90"/>
      <c r="J12" s="90"/>
      <c r="K12" s="90"/>
      <c r="L12" s="90"/>
      <c r="M12" s="90"/>
      <c r="N12" s="90"/>
      <c r="O12" s="90"/>
      <c r="P12" s="90"/>
      <c r="Q12" s="90"/>
    </row>
    <row r="13" spans="1:23" ht="7" customHeight="1" x14ac:dyDescent="0.25">
      <c r="A13" s="90"/>
      <c r="B13" s="37"/>
      <c r="C13" s="32"/>
      <c r="D13" s="31"/>
      <c r="E13" s="31"/>
      <c r="F13" s="31"/>
      <c r="G13" s="31"/>
      <c r="H13" s="31"/>
      <c r="I13" s="90"/>
      <c r="J13" s="90"/>
      <c r="K13" s="90"/>
      <c r="L13" s="90"/>
      <c r="M13" s="90"/>
      <c r="N13" s="90"/>
      <c r="O13" s="90"/>
      <c r="P13" s="90"/>
      <c r="Q13" s="90"/>
    </row>
    <row r="14" spans="1:23" ht="12.75" customHeight="1" x14ac:dyDescent="0.25">
      <c r="A14" s="90"/>
      <c r="B14" s="94" t="s">
        <v>68</v>
      </c>
      <c r="C14" s="94"/>
      <c r="D14" s="94"/>
      <c r="E14" s="94"/>
      <c r="F14" s="94"/>
      <c r="G14" s="31"/>
      <c r="H14" s="31"/>
      <c r="I14" s="90"/>
      <c r="J14" s="90"/>
      <c r="K14" s="90"/>
      <c r="L14" s="90"/>
      <c r="M14" s="90"/>
      <c r="N14" s="90"/>
      <c r="O14" s="90"/>
    </row>
    <row r="15" spans="1:23" x14ac:dyDescent="0.25">
      <c r="A15" s="90"/>
      <c r="B15" s="95"/>
      <c r="C15" s="96"/>
      <c r="D15" s="96"/>
      <c r="E15" s="96"/>
      <c r="F15" s="47"/>
      <c r="G15" s="31"/>
      <c r="H15" s="31"/>
      <c r="I15" s="90"/>
      <c r="J15" s="90"/>
      <c r="K15" s="90"/>
      <c r="L15" s="90"/>
      <c r="M15" s="90"/>
      <c r="N15" s="90"/>
      <c r="O15" s="90"/>
    </row>
    <row r="16" spans="1:23" x14ac:dyDescent="0.25">
      <c r="A16" s="39"/>
      <c r="B16" s="40" t="s">
        <v>10</v>
      </c>
      <c r="C16" s="39"/>
      <c r="D16" s="45"/>
      <c r="E16" s="45"/>
      <c r="F16" s="47"/>
      <c r="G16" s="31"/>
      <c r="H16" s="31"/>
      <c r="I16" s="90"/>
      <c r="J16" s="90"/>
      <c r="K16" s="90"/>
      <c r="L16" s="90"/>
      <c r="M16" s="90"/>
      <c r="N16" s="90"/>
      <c r="O16" s="90"/>
    </row>
    <row r="17" spans="1:22" ht="7" customHeight="1" x14ac:dyDescent="0.25">
      <c r="A17" s="39"/>
      <c r="B17" s="40"/>
      <c r="C17" s="39"/>
      <c r="D17" s="45"/>
      <c r="E17" s="45"/>
      <c r="F17" s="47"/>
      <c r="G17" s="31"/>
      <c r="H17" s="31"/>
      <c r="I17" s="90"/>
      <c r="J17" s="90"/>
      <c r="K17" s="90"/>
      <c r="L17" s="90"/>
      <c r="M17" s="90"/>
      <c r="N17" s="90"/>
      <c r="O17" s="90"/>
    </row>
    <row r="18" spans="1:22" x14ac:dyDescent="0.25">
      <c r="A18" s="39"/>
      <c r="B18" s="50" t="s">
        <v>4</v>
      </c>
      <c r="C18" s="51" t="s">
        <v>23</v>
      </c>
      <c r="D18" s="51" t="s">
        <v>24</v>
      </c>
      <c r="E18" s="97"/>
      <c r="F18" s="47"/>
      <c r="G18" s="31"/>
      <c r="H18" s="31"/>
      <c r="I18" s="90"/>
      <c r="J18" s="90"/>
      <c r="K18" s="90"/>
      <c r="L18" s="90"/>
      <c r="M18" s="90"/>
      <c r="N18" s="90"/>
      <c r="O18" s="90"/>
    </row>
    <row r="19" spans="1:22" x14ac:dyDescent="0.25">
      <c r="A19" s="39"/>
      <c r="B19" s="52" t="s">
        <v>15</v>
      </c>
      <c r="C19" s="53" t="s">
        <v>16</v>
      </c>
      <c r="D19" s="53" t="s">
        <v>16</v>
      </c>
      <c r="E19" s="98"/>
      <c r="F19" s="47"/>
      <c r="G19" s="31"/>
      <c r="H19" s="31"/>
      <c r="I19" s="90"/>
      <c r="J19" s="90"/>
      <c r="K19" s="90"/>
      <c r="L19" s="90"/>
      <c r="M19" s="90"/>
      <c r="N19" s="90"/>
      <c r="O19" s="90"/>
    </row>
    <row r="20" spans="1:22" x14ac:dyDescent="0.25">
      <c r="A20" s="39"/>
      <c r="B20" s="52" t="s">
        <v>17</v>
      </c>
      <c r="C20" s="53" t="s">
        <v>16</v>
      </c>
      <c r="D20" s="53" t="s">
        <v>16</v>
      </c>
      <c r="E20" s="98"/>
      <c r="F20" s="47"/>
      <c r="G20" s="31"/>
      <c r="H20" s="31"/>
      <c r="I20" s="90"/>
      <c r="J20" s="90"/>
      <c r="K20" s="90"/>
      <c r="L20" s="90"/>
      <c r="M20" s="90"/>
      <c r="N20" s="90"/>
      <c r="O20" s="90"/>
    </row>
    <row r="21" spans="1:22" x14ac:dyDescent="0.25">
      <c r="A21" s="39"/>
      <c r="B21" s="52" t="s">
        <v>18</v>
      </c>
      <c r="C21" s="53" t="s">
        <v>16</v>
      </c>
      <c r="D21" s="53" t="s">
        <v>16</v>
      </c>
      <c r="E21" s="98"/>
      <c r="F21" s="47"/>
      <c r="G21" s="31"/>
      <c r="H21" s="31"/>
      <c r="I21" s="90"/>
      <c r="J21" s="90"/>
      <c r="K21" s="90"/>
      <c r="L21" s="90"/>
      <c r="M21" s="90"/>
      <c r="N21" s="90"/>
      <c r="O21" s="90"/>
    </row>
    <row r="22" spans="1:22" x14ac:dyDescent="0.25">
      <c r="A22" s="90"/>
      <c r="B22" s="95"/>
      <c r="C22" s="96"/>
      <c r="D22" s="96"/>
      <c r="E22" s="96"/>
      <c r="F22" s="47"/>
      <c r="G22" s="31"/>
      <c r="H22" s="31"/>
      <c r="I22" s="90"/>
      <c r="J22" s="90"/>
      <c r="K22" s="90"/>
      <c r="L22" s="90"/>
      <c r="M22" s="90"/>
      <c r="N22" s="90"/>
      <c r="O22" s="90"/>
    </row>
    <row r="23" spans="1:22" x14ac:dyDescent="0.25">
      <c r="A23" s="90"/>
      <c r="B23" s="33"/>
      <c r="C23" s="32"/>
      <c r="D23" s="31"/>
      <c r="E23" s="31"/>
      <c r="F23" s="31"/>
      <c r="G23" s="31"/>
      <c r="H23" s="31"/>
      <c r="I23" s="90"/>
      <c r="J23" s="90"/>
      <c r="K23" s="90"/>
      <c r="L23" s="90"/>
      <c r="M23" s="90"/>
      <c r="N23" s="90"/>
      <c r="O23" s="90"/>
    </row>
    <row r="24" spans="1:22" x14ac:dyDescent="0.25">
      <c r="A24" s="90"/>
      <c r="B24" s="37" t="s">
        <v>6</v>
      </c>
      <c r="C24" s="32"/>
      <c r="D24" s="31"/>
      <c r="E24" s="31"/>
      <c r="F24" s="31"/>
      <c r="G24" s="31"/>
      <c r="H24" s="31"/>
      <c r="I24" s="90"/>
      <c r="J24" s="90"/>
      <c r="K24" s="90"/>
      <c r="L24" s="90"/>
      <c r="M24" s="90"/>
      <c r="N24" s="90"/>
      <c r="O24" s="90"/>
    </row>
    <row r="25" spans="1:22" ht="7" customHeight="1" x14ac:dyDescent="0.25">
      <c r="A25" s="90"/>
      <c r="B25" s="37"/>
      <c r="C25" s="32"/>
      <c r="D25" s="31"/>
      <c r="E25" s="31"/>
      <c r="F25" s="31"/>
      <c r="G25" s="31"/>
      <c r="H25" s="31"/>
      <c r="I25" s="90"/>
      <c r="J25" s="90"/>
      <c r="K25" s="90"/>
      <c r="L25" s="90"/>
      <c r="M25" s="90"/>
      <c r="N25" s="90"/>
      <c r="O25" s="90"/>
    </row>
    <row r="26" spans="1:22" x14ac:dyDescent="0.25">
      <c r="A26" s="99" t="s">
        <v>34</v>
      </c>
      <c r="B26" s="33" t="s">
        <v>35</v>
      </c>
      <c r="C26" s="32"/>
      <c r="D26" s="31"/>
      <c r="E26" s="31"/>
      <c r="F26" s="31"/>
      <c r="G26" s="31"/>
      <c r="H26" s="31"/>
      <c r="I26" s="90"/>
      <c r="J26" s="90"/>
      <c r="K26" s="90"/>
      <c r="L26" s="90"/>
      <c r="M26" s="90"/>
      <c r="N26" s="100"/>
      <c r="O26" s="100"/>
    </row>
    <row r="27" spans="1:22" x14ac:dyDescent="0.25">
      <c r="A27" s="99" t="s">
        <v>36</v>
      </c>
      <c r="B27" s="33" t="s">
        <v>69</v>
      </c>
      <c r="C27" s="32"/>
      <c r="D27" s="31"/>
      <c r="E27" s="31"/>
      <c r="F27" s="31"/>
      <c r="G27" s="31"/>
      <c r="H27" s="31"/>
      <c r="I27" s="90"/>
      <c r="J27" s="90"/>
      <c r="K27" s="90"/>
      <c r="L27" s="90"/>
      <c r="M27" s="90"/>
      <c r="N27" s="100"/>
      <c r="O27" s="100"/>
    </row>
    <row r="28" spans="1:22" x14ac:dyDescent="0.25">
      <c r="A28" s="99" t="s">
        <v>37</v>
      </c>
      <c r="B28" s="33" t="s">
        <v>83</v>
      </c>
      <c r="C28" s="32"/>
      <c r="D28" s="31"/>
      <c r="E28" s="31"/>
      <c r="F28" s="31"/>
      <c r="G28" s="31"/>
      <c r="H28" s="31"/>
      <c r="I28" s="90"/>
      <c r="J28" s="90"/>
      <c r="K28" s="90"/>
      <c r="L28" s="90"/>
      <c r="M28" s="90"/>
      <c r="N28" s="100"/>
      <c r="O28" s="100"/>
    </row>
    <row r="29" spans="1:22" x14ac:dyDescent="0.25">
      <c r="A29" s="99" t="s">
        <v>38</v>
      </c>
      <c r="B29" s="33" t="s">
        <v>39</v>
      </c>
      <c r="C29" s="32"/>
      <c r="D29" s="31"/>
      <c r="E29" s="31"/>
      <c r="F29" s="31"/>
      <c r="G29" s="31"/>
      <c r="H29" s="31"/>
      <c r="I29" s="90"/>
      <c r="J29" s="90"/>
      <c r="K29" s="90"/>
      <c r="L29" s="90"/>
      <c r="M29" s="90"/>
      <c r="N29" s="90"/>
      <c r="O29" s="90"/>
      <c r="P29" s="21"/>
      <c r="S29" s="138" t="s">
        <v>77</v>
      </c>
      <c r="T29" s="139"/>
      <c r="U29" s="139"/>
      <c r="V29" s="139"/>
    </row>
    <row r="30" spans="1:22" x14ac:dyDescent="0.25">
      <c r="A30" s="99" t="s">
        <v>40</v>
      </c>
      <c r="B30" s="33" t="s">
        <v>41</v>
      </c>
      <c r="C30" s="32"/>
      <c r="D30" s="31"/>
      <c r="E30" s="31"/>
      <c r="F30" s="31"/>
      <c r="G30" s="31"/>
      <c r="H30" s="31"/>
      <c r="I30" s="90"/>
      <c r="J30" s="90"/>
      <c r="K30" s="90"/>
      <c r="L30" s="90"/>
      <c r="M30" s="90"/>
      <c r="N30" s="90"/>
      <c r="O30" s="90"/>
    </row>
    <row r="31" spans="1:22" x14ac:dyDescent="0.25">
      <c r="A31" s="90"/>
      <c r="B31" s="33"/>
      <c r="C31" s="32"/>
      <c r="D31" s="31"/>
      <c r="E31" s="31"/>
      <c r="F31" s="31"/>
      <c r="G31" s="31"/>
      <c r="H31" s="31"/>
      <c r="I31" s="90"/>
      <c r="J31" s="90"/>
      <c r="K31" s="90"/>
      <c r="L31" s="90"/>
      <c r="M31" s="90"/>
      <c r="N31" s="90"/>
      <c r="O31" s="90"/>
    </row>
    <row r="32" spans="1:22" ht="13" x14ac:dyDescent="0.3">
      <c r="A32" s="90"/>
      <c r="B32" s="37" t="s">
        <v>5</v>
      </c>
      <c r="C32" s="32"/>
      <c r="D32" s="31"/>
      <c r="E32" s="31"/>
      <c r="F32" s="31"/>
      <c r="G32" s="31"/>
      <c r="H32" s="31"/>
      <c r="I32" s="90"/>
      <c r="J32" s="90"/>
      <c r="K32" s="90"/>
      <c r="L32" s="90"/>
      <c r="M32" s="90"/>
      <c r="N32" s="12"/>
      <c r="O32" s="12"/>
      <c r="P32" s="12"/>
    </row>
    <row r="33" spans="1:27" ht="7" customHeight="1" x14ac:dyDescent="0.3">
      <c r="A33" s="90"/>
      <c r="B33" s="37"/>
      <c r="C33" s="32"/>
      <c r="D33" s="31"/>
      <c r="E33" s="31"/>
      <c r="F33" s="31"/>
      <c r="G33" s="31"/>
      <c r="H33" s="31"/>
      <c r="I33" s="90"/>
      <c r="J33" s="90"/>
      <c r="K33" s="90"/>
      <c r="L33" s="90"/>
      <c r="M33" s="90"/>
      <c r="N33" s="12"/>
      <c r="O33" s="12"/>
      <c r="P33" s="12"/>
    </row>
    <row r="34" spans="1:27" ht="14.5" x14ac:dyDescent="0.35">
      <c r="A34" s="90"/>
      <c r="B34" s="37"/>
      <c r="C34" s="32"/>
      <c r="D34" s="31"/>
      <c r="E34" s="31"/>
      <c r="F34" s="31"/>
      <c r="G34" s="31"/>
      <c r="H34" s="31"/>
      <c r="I34" s="90"/>
      <c r="J34" s="90"/>
      <c r="K34" s="90"/>
      <c r="L34" s="90"/>
      <c r="M34" s="90"/>
      <c r="N34" s="30" t="s">
        <v>22</v>
      </c>
      <c r="O34" s="12"/>
      <c r="P34" s="12"/>
      <c r="Y34"/>
      <c r="Z34"/>
    </row>
    <row r="35" spans="1:27" ht="13" x14ac:dyDescent="0.3">
      <c r="J35" s="12"/>
      <c r="K35" s="101"/>
      <c r="L35" s="102"/>
      <c r="M35" s="18"/>
      <c r="O35" s="12"/>
      <c r="P35" s="12"/>
      <c r="Q35" s="12"/>
      <c r="S35" s="166" t="s">
        <v>42</v>
      </c>
      <c r="T35" s="167"/>
      <c r="U35" s="168"/>
    </row>
    <row r="36" spans="1:27" ht="37.5" x14ac:dyDescent="0.35">
      <c r="B36" s="54" t="s">
        <v>28</v>
      </c>
      <c r="C36" s="54" t="s">
        <v>43</v>
      </c>
      <c r="D36" s="54" t="s">
        <v>70</v>
      </c>
      <c r="E36" s="54" t="s">
        <v>44</v>
      </c>
      <c r="F36" s="55" t="s">
        <v>45</v>
      </c>
      <c r="G36" s="56" t="s">
        <v>25</v>
      </c>
      <c r="H36" s="57" t="s">
        <v>3</v>
      </c>
      <c r="I36" s="57" t="s">
        <v>26</v>
      </c>
      <c r="J36" s="57" t="s">
        <v>27</v>
      </c>
      <c r="K36" s="103" t="s">
        <v>46</v>
      </c>
      <c r="L36" s="104" t="s">
        <v>71</v>
      </c>
      <c r="M36" s="105" t="s">
        <v>47</v>
      </c>
      <c r="N36" s="57" t="s">
        <v>72</v>
      </c>
      <c r="O36" s="57" t="s">
        <v>48</v>
      </c>
      <c r="P36" s="57" t="s">
        <v>26</v>
      </c>
      <c r="Q36" s="57" t="s">
        <v>27</v>
      </c>
      <c r="R36" s="105" t="s">
        <v>46</v>
      </c>
      <c r="S36" s="106" t="s">
        <v>49</v>
      </c>
      <c r="T36" s="107" t="s">
        <v>50</v>
      </c>
      <c r="U36" s="108" t="s">
        <v>51</v>
      </c>
      <c r="Y36"/>
      <c r="Z36"/>
      <c r="AA36"/>
    </row>
    <row r="37" spans="1:27" ht="14.5" x14ac:dyDescent="0.35">
      <c r="B37" s="58"/>
      <c r="C37" s="59"/>
      <c r="D37" s="59"/>
      <c r="E37" s="59"/>
      <c r="F37" s="59"/>
      <c r="G37" s="151"/>
      <c r="H37" s="60">
        <v>0</v>
      </c>
      <c r="I37" s="60">
        <v>0</v>
      </c>
      <c r="J37" s="60">
        <v>0</v>
      </c>
      <c r="K37" s="109"/>
      <c r="L37" s="110">
        <f>+H37-J37</f>
        <v>0</v>
      </c>
      <c r="N37" s="111" t="e">
        <f>+(H37)/F37</f>
        <v>#DIV/0!</v>
      </c>
      <c r="O37" s="111" t="e">
        <f>+P37*12</f>
        <v>#DIV/0!</v>
      </c>
      <c r="P37" s="111" t="e">
        <f>+N37/12</f>
        <v>#DIV/0!</v>
      </c>
      <c r="Q37" s="112" t="e">
        <f>+(($N$34-G37)/365)*N37</f>
        <v>#VALUE!</v>
      </c>
      <c r="R37" s="113"/>
      <c r="S37" s="60">
        <v>0</v>
      </c>
      <c r="T37" s="58"/>
      <c r="U37" s="59"/>
      <c r="Y37"/>
      <c r="Z37"/>
      <c r="AA37"/>
    </row>
    <row r="38" spans="1:27" ht="14.5" x14ac:dyDescent="0.35">
      <c r="B38" s="58"/>
      <c r="C38" s="59"/>
      <c r="D38" s="59"/>
      <c r="E38" s="59"/>
      <c r="F38" s="59"/>
      <c r="G38" s="151"/>
      <c r="H38" s="60">
        <v>0</v>
      </c>
      <c r="I38" s="60">
        <v>0</v>
      </c>
      <c r="J38" s="60">
        <v>0</v>
      </c>
      <c r="K38" s="109"/>
      <c r="L38" s="110">
        <f t="shared" ref="L38:L51" si="0">+H38-J38</f>
        <v>0</v>
      </c>
      <c r="M38" s="109"/>
      <c r="N38" s="111" t="e">
        <f t="shared" ref="N38:N51" si="1">+(H38)/F38</f>
        <v>#DIV/0!</v>
      </c>
      <c r="O38" s="111" t="e">
        <f t="shared" ref="O38:O51" si="2">+P38*12</f>
        <v>#DIV/0!</v>
      </c>
      <c r="P38" s="111" t="e">
        <f t="shared" ref="P38:P51" si="3">+N38/12</f>
        <v>#DIV/0!</v>
      </c>
      <c r="Q38" s="112" t="e">
        <f t="shared" ref="Q38:Q51" si="4">+(($N$34-G38)/365)*N38</f>
        <v>#VALUE!</v>
      </c>
      <c r="R38" s="113"/>
      <c r="S38" s="60">
        <v>0</v>
      </c>
      <c r="T38" s="58"/>
      <c r="U38" s="59"/>
      <c r="Y38"/>
      <c r="Z38"/>
      <c r="AA38"/>
    </row>
    <row r="39" spans="1:27" ht="14.5" x14ac:dyDescent="0.35">
      <c r="B39" s="58"/>
      <c r="C39" s="59"/>
      <c r="D39" s="59"/>
      <c r="E39" s="59"/>
      <c r="F39" s="59"/>
      <c r="G39" s="151"/>
      <c r="H39" s="60">
        <v>0</v>
      </c>
      <c r="I39" s="60">
        <v>0</v>
      </c>
      <c r="J39" s="60">
        <v>0</v>
      </c>
      <c r="K39" s="109"/>
      <c r="L39" s="110">
        <f t="shared" si="0"/>
        <v>0</v>
      </c>
      <c r="M39" s="109"/>
      <c r="N39" s="111" t="e">
        <f t="shared" si="1"/>
        <v>#DIV/0!</v>
      </c>
      <c r="O39" s="111" t="e">
        <f t="shared" si="2"/>
        <v>#DIV/0!</v>
      </c>
      <c r="P39" s="111" t="e">
        <f t="shared" si="3"/>
        <v>#DIV/0!</v>
      </c>
      <c r="Q39" s="112" t="e">
        <f t="shared" si="4"/>
        <v>#VALUE!</v>
      </c>
      <c r="R39" s="113"/>
      <c r="S39" s="60">
        <v>0</v>
      </c>
      <c r="T39" s="58"/>
      <c r="U39" s="59"/>
      <c r="Y39"/>
      <c r="Z39"/>
      <c r="AA39"/>
    </row>
    <row r="40" spans="1:27" ht="14.5" x14ac:dyDescent="0.35">
      <c r="B40" s="58"/>
      <c r="C40" s="59"/>
      <c r="D40" s="59"/>
      <c r="E40" s="59"/>
      <c r="F40" s="59"/>
      <c r="G40" s="151"/>
      <c r="H40" s="60">
        <v>0</v>
      </c>
      <c r="I40" s="60">
        <v>0</v>
      </c>
      <c r="J40" s="60">
        <v>0</v>
      </c>
      <c r="K40" s="109"/>
      <c r="L40" s="110">
        <f t="shared" si="0"/>
        <v>0</v>
      </c>
      <c r="M40" s="109"/>
      <c r="N40" s="111" t="e">
        <f t="shared" si="1"/>
        <v>#DIV/0!</v>
      </c>
      <c r="O40" s="111" t="e">
        <f t="shared" si="2"/>
        <v>#DIV/0!</v>
      </c>
      <c r="P40" s="111" t="e">
        <f t="shared" si="3"/>
        <v>#DIV/0!</v>
      </c>
      <c r="Q40" s="112" t="e">
        <f t="shared" si="4"/>
        <v>#VALUE!</v>
      </c>
      <c r="R40" s="113"/>
      <c r="S40" s="60">
        <v>0</v>
      </c>
      <c r="T40" s="58"/>
      <c r="U40" s="59"/>
      <c r="Y40"/>
      <c r="Z40"/>
      <c r="AA40"/>
    </row>
    <row r="41" spans="1:27" ht="14.5" x14ac:dyDescent="0.35">
      <c r="B41" s="58"/>
      <c r="C41" s="59"/>
      <c r="D41" s="59"/>
      <c r="E41" s="59"/>
      <c r="F41" s="59"/>
      <c r="G41" s="151"/>
      <c r="H41" s="60">
        <v>0</v>
      </c>
      <c r="I41" s="60">
        <v>0</v>
      </c>
      <c r="J41" s="60">
        <v>0</v>
      </c>
      <c r="K41" s="109"/>
      <c r="L41" s="110">
        <f t="shared" si="0"/>
        <v>0</v>
      </c>
      <c r="M41" s="109"/>
      <c r="N41" s="111" t="e">
        <f t="shared" si="1"/>
        <v>#DIV/0!</v>
      </c>
      <c r="O41" s="111" t="e">
        <f t="shared" si="2"/>
        <v>#DIV/0!</v>
      </c>
      <c r="P41" s="111" t="e">
        <f t="shared" si="3"/>
        <v>#DIV/0!</v>
      </c>
      <c r="Q41" s="112" t="e">
        <f t="shared" si="4"/>
        <v>#VALUE!</v>
      </c>
      <c r="R41" s="113"/>
      <c r="S41" s="60">
        <v>0</v>
      </c>
      <c r="T41" s="58"/>
      <c r="U41" s="59"/>
      <c r="Y41"/>
      <c r="Z41"/>
      <c r="AA41"/>
    </row>
    <row r="42" spans="1:27" ht="14.5" x14ac:dyDescent="0.35">
      <c r="B42" s="61"/>
      <c r="C42" s="62"/>
      <c r="D42" s="63"/>
      <c r="E42" s="63"/>
      <c r="F42" s="64"/>
      <c r="G42" s="151"/>
      <c r="H42" s="60">
        <v>0</v>
      </c>
      <c r="I42" s="60">
        <v>0</v>
      </c>
      <c r="J42" s="60">
        <v>0</v>
      </c>
      <c r="K42" s="114"/>
      <c r="L42" s="110">
        <f t="shared" si="0"/>
        <v>0</v>
      </c>
      <c r="M42" s="29"/>
      <c r="N42" s="111" t="e">
        <f t="shared" si="1"/>
        <v>#DIV/0!</v>
      </c>
      <c r="O42" s="111" t="e">
        <f t="shared" si="2"/>
        <v>#DIV/0!</v>
      </c>
      <c r="P42" s="111" t="e">
        <f t="shared" si="3"/>
        <v>#DIV/0!</v>
      </c>
      <c r="Q42" s="112" t="e">
        <f t="shared" si="4"/>
        <v>#VALUE!</v>
      </c>
      <c r="R42" s="115"/>
      <c r="S42" s="60">
        <v>0</v>
      </c>
      <c r="T42" s="58"/>
      <c r="U42" s="59"/>
      <c r="Y42"/>
      <c r="Z42"/>
      <c r="AA42"/>
    </row>
    <row r="43" spans="1:27" ht="14.5" x14ac:dyDescent="0.35">
      <c r="B43" s="65"/>
      <c r="C43" s="62"/>
      <c r="D43" s="66"/>
      <c r="E43" s="59"/>
      <c r="F43" s="64"/>
      <c r="G43" s="151"/>
      <c r="H43" s="60">
        <v>0</v>
      </c>
      <c r="I43" s="60">
        <v>0</v>
      </c>
      <c r="J43" s="60">
        <v>0</v>
      </c>
      <c r="K43" s="116"/>
      <c r="L43" s="110">
        <f t="shared" si="0"/>
        <v>0</v>
      </c>
      <c r="M43" s="22"/>
      <c r="N43" s="111" t="e">
        <f t="shared" si="1"/>
        <v>#DIV/0!</v>
      </c>
      <c r="O43" s="111" t="e">
        <f t="shared" si="2"/>
        <v>#DIV/0!</v>
      </c>
      <c r="P43" s="111" t="e">
        <f t="shared" si="3"/>
        <v>#DIV/0!</v>
      </c>
      <c r="Q43" s="111" t="e">
        <f t="shared" si="4"/>
        <v>#VALUE!</v>
      </c>
      <c r="R43" s="115"/>
      <c r="S43" s="60">
        <v>0</v>
      </c>
      <c r="T43" s="58"/>
      <c r="U43" s="59"/>
      <c r="Y43"/>
      <c r="Z43"/>
      <c r="AA43"/>
    </row>
    <row r="44" spans="1:27" ht="14.5" x14ac:dyDescent="0.35">
      <c r="B44" s="65"/>
      <c r="C44" s="62"/>
      <c r="D44" s="66"/>
      <c r="E44" s="59"/>
      <c r="F44" s="64"/>
      <c r="G44" s="151"/>
      <c r="H44" s="60">
        <v>0</v>
      </c>
      <c r="I44" s="60">
        <v>0</v>
      </c>
      <c r="J44" s="60">
        <v>0</v>
      </c>
      <c r="K44" s="116"/>
      <c r="L44" s="110">
        <f t="shared" si="0"/>
        <v>0</v>
      </c>
      <c r="M44" s="22"/>
      <c r="N44" s="111" t="e">
        <f t="shared" si="1"/>
        <v>#DIV/0!</v>
      </c>
      <c r="O44" s="111" t="e">
        <f t="shared" si="2"/>
        <v>#DIV/0!</v>
      </c>
      <c r="P44" s="111" t="e">
        <f t="shared" si="3"/>
        <v>#DIV/0!</v>
      </c>
      <c r="Q44" s="111" t="e">
        <f t="shared" si="4"/>
        <v>#VALUE!</v>
      </c>
      <c r="R44" s="115"/>
      <c r="S44" s="60">
        <v>0</v>
      </c>
      <c r="T44" s="58"/>
      <c r="U44" s="59"/>
      <c r="Y44"/>
      <c r="Z44"/>
      <c r="AA44"/>
    </row>
    <row r="45" spans="1:27" ht="14.5" x14ac:dyDescent="0.35">
      <c r="B45" s="65"/>
      <c r="C45" s="62"/>
      <c r="D45" s="66"/>
      <c r="E45" s="59"/>
      <c r="F45" s="64"/>
      <c r="G45" s="151"/>
      <c r="H45" s="60">
        <v>0</v>
      </c>
      <c r="I45" s="60">
        <v>0</v>
      </c>
      <c r="J45" s="60">
        <v>0</v>
      </c>
      <c r="K45" s="116"/>
      <c r="L45" s="110">
        <f t="shared" si="0"/>
        <v>0</v>
      </c>
      <c r="M45" s="22"/>
      <c r="N45" s="111" t="e">
        <f t="shared" si="1"/>
        <v>#DIV/0!</v>
      </c>
      <c r="O45" s="111" t="e">
        <f t="shared" si="2"/>
        <v>#DIV/0!</v>
      </c>
      <c r="P45" s="111" t="e">
        <f t="shared" si="3"/>
        <v>#DIV/0!</v>
      </c>
      <c r="Q45" s="111" t="e">
        <f t="shared" si="4"/>
        <v>#VALUE!</v>
      </c>
      <c r="R45" s="115"/>
      <c r="S45" s="60">
        <v>0</v>
      </c>
      <c r="T45" s="58"/>
      <c r="U45" s="59"/>
      <c r="Y45"/>
      <c r="Z45"/>
      <c r="AA45"/>
    </row>
    <row r="46" spans="1:27" ht="14.5" x14ac:dyDescent="0.35">
      <c r="B46" s="65"/>
      <c r="C46" s="62"/>
      <c r="D46" s="66"/>
      <c r="E46" s="59"/>
      <c r="F46" s="64"/>
      <c r="G46" s="151"/>
      <c r="H46" s="60">
        <v>0</v>
      </c>
      <c r="I46" s="60">
        <v>0</v>
      </c>
      <c r="J46" s="60">
        <v>0</v>
      </c>
      <c r="K46" s="116"/>
      <c r="L46" s="110">
        <f t="shared" si="0"/>
        <v>0</v>
      </c>
      <c r="M46" s="22"/>
      <c r="N46" s="111" t="e">
        <f t="shared" si="1"/>
        <v>#DIV/0!</v>
      </c>
      <c r="O46" s="111" t="e">
        <f t="shared" si="2"/>
        <v>#DIV/0!</v>
      </c>
      <c r="P46" s="111" t="e">
        <f t="shared" si="3"/>
        <v>#DIV/0!</v>
      </c>
      <c r="Q46" s="111" t="e">
        <f t="shared" si="4"/>
        <v>#VALUE!</v>
      </c>
      <c r="R46" s="115"/>
      <c r="S46" s="60">
        <v>0</v>
      </c>
      <c r="T46" s="58"/>
      <c r="U46" s="59"/>
      <c r="Y46"/>
      <c r="Z46"/>
      <c r="AA46"/>
    </row>
    <row r="47" spans="1:27" ht="14.5" x14ac:dyDescent="0.35">
      <c r="B47" s="65"/>
      <c r="C47" s="62"/>
      <c r="D47" s="66"/>
      <c r="E47" s="63"/>
      <c r="F47" s="64"/>
      <c r="G47" s="151"/>
      <c r="H47" s="60">
        <v>0</v>
      </c>
      <c r="I47" s="60">
        <v>0</v>
      </c>
      <c r="J47" s="60">
        <v>0</v>
      </c>
      <c r="K47" s="116"/>
      <c r="L47" s="110">
        <f t="shared" si="0"/>
        <v>0</v>
      </c>
      <c r="M47" s="22"/>
      <c r="N47" s="111" t="e">
        <f t="shared" si="1"/>
        <v>#DIV/0!</v>
      </c>
      <c r="O47" s="111" t="e">
        <f t="shared" si="2"/>
        <v>#DIV/0!</v>
      </c>
      <c r="P47" s="111" t="e">
        <f t="shared" si="3"/>
        <v>#DIV/0!</v>
      </c>
      <c r="Q47" s="111" t="e">
        <f t="shared" si="4"/>
        <v>#VALUE!</v>
      </c>
      <c r="R47" s="115"/>
      <c r="S47" s="60">
        <v>0</v>
      </c>
      <c r="T47" s="58"/>
      <c r="U47" s="59"/>
      <c r="Y47"/>
      <c r="Z47"/>
      <c r="AA47"/>
    </row>
    <row r="48" spans="1:27" ht="14.5" x14ac:dyDescent="0.35">
      <c r="B48" s="65"/>
      <c r="C48" s="62"/>
      <c r="D48" s="66"/>
      <c r="E48" s="63"/>
      <c r="F48" s="64"/>
      <c r="G48" s="151"/>
      <c r="H48" s="60">
        <v>0</v>
      </c>
      <c r="I48" s="60">
        <v>0</v>
      </c>
      <c r="J48" s="60">
        <v>0</v>
      </c>
      <c r="K48" s="117"/>
      <c r="L48" s="110">
        <f t="shared" si="0"/>
        <v>0</v>
      </c>
      <c r="M48" s="118"/>
      <c r="N48" s="111" t="e">
        <f t="shared" si="1"/>
        <v>#DIV/0!</v>
      </c>
      <c r="O48" s="111" t="e">
        <f t="shared" si="2"/>
        <v>#DIV/0!</v>
      </c>
      <c r="P48" s="111" t="e">
        <f t="shared" si="3"/>
        <v>#DIV/0!</v>
      </c>
      <c r="Q48" s="111" t="e">
        <f t="shared" si="4"/>
        <v>#VALUE!</v>
      </c>
      <c r="R48" s="115"/>
      <c r="S48" s="60">
        <v>0</v>
      </c>
      <c r="T48" s="58"/>
      <c r="U48" s="59"/>
      <c r="Y48"/>
      <c r="Z48"/>
      <c r="AA48"/>
    </row>
    <row r="49" spans="2:27" ht="14.5" x14ac:dyDescent="0.35">
      <c r="B49" s="65"/>
      <c r="C49" s="62"/>
      <c r="D49" s="66"/>
      <c r="E49" s="63"/>
      <c r="F49" s="64"/>
      <c r="G49" s="151"/>
      <c r="H49" s="60">
        <v>0</v>
      </c>
      <c r="I49" s="60">
        <v>0</v>
      </c>
      <c r="J49" s="60">
        <v>0</v>
      </c>
      <c r="K49" s="117"/>
      <c r="L49" s="110">
        <f t="shared" si="0"/>
        <v>0</v>
      </c>
      <c r="M49" s="118"/>
      <c r="N49" s="111" t="e">
        <f t="shared" si="1"/>
        <v>#DIV/0!</v>
      </c>
      <c r="O49" s="111" t="e">
        <f t="shared" si="2"/>
        <v>#DIV/0!</v>
      </c>
      <c r="P49" s="111" t="e">
        <f t="shared" si="3"/>
        <v>#DIV/0!</v>
      </c>
      <c r="Q49" s="111" t="e">
        <f t="shared" si="4"/>
        <v>#VALUE!</v>
      </c>
      <c r="R49" s="115"/>
      <c r="S49" s="60">
        <v>0</v>
      </c>
      <c r="T49" s="58"/>
      <c r="U49" s="59"/>
      <c r="Y49"/>
      <c r="Z49"/>
      <c r="AA49"/>
    </row>
    <row r="50" spans="2:27" ht="14.5" x14ac:dyDescent="0.35">
      <c r="B50" s="65"/>
      <c r="C50" s="62"/>
      <c r="D50" s="66"/>
      <c r="E50" s="63"/>
      <c r="F50" s="64"/>
      <c r="G50" s="151"/>
      <c r="H50" s="60">
        <v>0</v>
      </c>
      <c r="I50" s="60">
        <v>0</v>
      </c>
      <c r="J50" s="60">
        <v>0</v>
      </c>
      <c r="K50" s="117"/>
      <c r="L50" s="110">
        <f t="shared" si="0"/>
        <v>0</v>
      </c>
      <c r="M50" s="118"/>
      <c r="N50" s="111" t="e">
        <f t="shared" si="1"/>
        <v>#DIV/0!</v>
      </c>
      <c r="O50" s="111" t="e">
        <f t="shared" si="2"/>
        <v>#DIV/0!</v>
      </c>
      <c r="P50" s="111" t="e">
        <f t="shared" si="3"/>
        <v>#DIV/0!</v>
      </c>
      <c r="Q50" s="111" t="e">
        <f t="shared" si="4"/>
        <v>#VALUE!</v>
      </c>
      <c r="R50" s="115"/>
      <c r="S50" s="60">
        <v>0</v>
      </c>
      <c r="T50" s="58"/>
      <c r="U50" s="59"/>
      <c r="Y50"/>
      <c r="Z50"/>
      <c r="AA50"/>
    </row>
    <row r="51" spans="2:27" ht="14.5" x14ac:dyDescent="0.35">
      <c r="B51" s="65"/>
      <c r="C51" s="62"/>
      <c r="D51" s="66"/>
      <c r="E51" s="66"/>
      <c r="F51" s="64"/>
      <c r="G51" s="151"/>
      <c r="H51" s="60">
        <v>0</v>
      </c>
      <c r="I51" s="60">
        <v>0</v>
      </c>
      <c r="J51" s="60">
        <v>0</v>
      </c>
      <c r="K51" s="117"/>
      <c r="L51" s="110">
        <f t="shared" si="0"/>
        <v>0</v>
      </c>
      <c r="M51" s="118"/>
      <c r="N51" s="111" t="e">
        <f t="shared" si="1"/>
        <v>#DIV/0!</v>
      </c>
      <c r="O51" s="111" t="e">
        <f t="shared" si="2"/>
        <v>#DIV/0!</v>
      </c>
      <c r="P51" s="111" t="e">
        <f t="shared" si="3"/>
        <v>#DIV/0!</v>
      </c>
      <c r="Q51" s="111" t="e">
        <f t="shared" si="4"/>
        <v>#VALUE!</v>
      </c>
      <c r="R51" s="115"/>
      <c r="S51" s="60">
        <v>0</v>
      </c>
      <c r="T51" s="58"/>
      <c r="U51" s="59"/>
      <c r="Y51"/>
      <c r="Z51"/>
      <c r="AA51"/>
    </row>
    <row r="52" spans="2:27" ht="7" customHeight="1" x14ac:dyDescent="0.35">
      <c r="B52" s="27"/>
      <c r="C52" s="26"/>
      <c r="D52" s="25"/>
      <c r="E52" s="25"/>
      <c r="F52" s="24"/>
      <c r="G52" s="23"/>
      <c r="H52" s="70"/>
      <c r="I52" s="116"/>
      <c r="J52" s="22"/>
      <c r="K52" s="117"/>
      <c r="L52" s="118"/>
      <c r="M52" s="119"/>
      <c r="N52" s="67"/>
      <c r="O52" s="67"/>
      <c r="P52" s="67"/>
      <c r="Q52" s="67"/>
      <c r="R52" s="28"/>
      <c r="Y52"/>
      <c r="Z52"/>
      <c r="AA52"/>
    </row>
    <row r="53" spans="2:27" ht="15" thickBot="1" x14ac:dyDescent="0.4">
      <c r="B53" s="27"/>
      <c r="C53" s="26"/>
      <c r="D53" s="154"/>
      <c r="E53" s="154"/>
      <c r="F53" s="24"/>
      <c r="G53" s="23"/>
      <c r="H53" s="68">
        <f>SUM(H37:H51)</f>
        <v>0</v>
      </c>
      <c r="I53" s="68">
        <f>SUM(I37:I51)</f>
        <v>0</v>
      </c>
      <c r="J53" s="68">
        <f>SUM(J37:J51)</f>
        <v>0</v>
      </c>
      <c r="K53" s="116"/>
      <c r="L53" s="68">
        <f>SUM(L37:L51)</f>
        <v>0</v>
      </c>
      <c r="M53" s="22"/>
      <c r="N53" s="67"/>
      <c r="O53" s="69" t="e">
        <f>SUM(O37:O51)</f>
        <v>#DIV/0!</v>
      </c>
      <c r="P53" s="69" t="e">
        <f>SUM(P37:P51)</f>
        <v>#DIV/0!</v>
      </c>
      <c r="Q53" s="69" t="e">
        <f>SUM(Q37:Q51)</f>
        <v>#VALUE!</v>
      </c>
      <c r="R53" s="17"/>
      <c r="Y53"/>
      <c r="Z53"/>
      <c r="AA53"/>
    </row>
    <row r="54" spans="2:27" ht="15" thickTop="1" x14ac:dyDescent="0.35">
      <c r="B54" s="27"/>
      <c r="C54" s="26"/>
      <c r="D54" s="25"/>
      <c r="E54" s="25"/>
      <c r="F54" s="24"/>
      <c r="G54" s="23"/>
      <c r="H54" s="165"/>
      <c r="I54" s="164"/>
      <c r="J54" s="165"/>
      <c r="K54" s="116"/>
      <c r="L54" s="22"/>
      <c r="M54" s="22"/>
      <c r="N54" s="67"/>
      <c r="O54" s="165" t="s">
        <v>89</v>
      </c>
      <c r="P54" s="67"/>
      <c r="Q54" s="67"/>
      <c r="R54" s="17"/>
      <c r="S54" s="90"/>
      <c r="T54" s="90"/>
      <c r="U54" s="90"/>
      <c r="V54" s="90"/>
      <c r="Y54"/>
      <c r="Z54"/>
      <c r="AA54"/>
    </row>
    <row r="55" spans="2:27" ht="14.5" x14ac:dyDescent="0.35">
      <c r="O55" s="71"/>
      <c r="Q55" s="72"/>
      <c r="S55" s="120"/>
      <c r="T55" s="120"/>
      <c r="U55" s="120"/>
      <c r="V55" s="90"/>
      <c r="Y55"/>
      <c r="Z55"/>
      <c r="AA55"/>
    </row>
    <row r="56" spans="2:27" ht="14.5" x14ac:dyDescent="0.35">
      <c r="O56" s="20"/>
      <c r="Q56" s="11"/>
      <c r="S56" s="90"/>
      <c r="T56" s="90"/>
      <c r="U56" s="90"/>
      <c r="V56" s="90"/>
      <c r="Y56"/>
      <c r="Z56"/>
      <c r="AA56"/>
    </row>
    <row r="57" spans="2:27" ht="14.5" x14ac:dyDescent="0.35">
      <c r="O57" s="20"/>
      <c r="Q57" s="11"/>
      <c r="S57" s="90"/>
      <c r="T57" s="90"/>
      <c r="U57" s="90"/>
      <c r="V57" s="90"/>
      <c r="Y57"/>
      <c r="Z57"/>
      <c r="AA57"/>
    </row>
    <row r="58" spans="2:27" ht="14.5" x14ac:dyDescent="0.35">
      <c r="B58" s="121" t="s">
        <v>90</v>
      </c>
      <c r="O58" s="20"/>
      <c r="Q58" s="11"/>
      <c r="S58" s="90"/>
      <c r="T58" s="90"/>
      <c r="U58" s="90"/>
      <c r="V58" s="90"/>
      <c r="Y58"/>
      <c r="Z58"/>
      <c r="AA58"/>
    </row>
    <row r="59" spans="2:27" ht="14.5" x14ac:dyDescent="0.35">
      <c r="B59" s="121"/>
      <c r="O59" s="20"/>
      <c r="Q59" s="11"/>
      <c r="S59" s="90"/>
      <c r="T59" s="90"/>
      <c r="U59" s="90"/>
      <c r="V59" s="90"/>
      <c r="Y59"/>
      <c r="Z59"/>
      <c r="AA59"/>
    </row>
    <row r="60" spans="2:27" ht="7" customHeight="1" x14ac:dyDescent="0.35">
      <c r="B60" s="121"/>
      <c r="O60" s="20"/>
      <c r="Q60" s="11"/>
      <c r="S60" s="90"/>
      <c r="T60" s="90"/>
      <c r="U60" s="90"/>
      <c r="V60" s="90"/>
      <c r="Y60"/>
      <c r="Z60"/>
      <c r="AA60"/>
    </row>
    <row r="61" spans="2:27" ht="14.5" x14ac:dyDescent="0.35">
      <c r="O61" s="20"/>
      <c r="Q61" s="11"/>
      <c r="S61" s="90"/>
      <c r="T61" s="90"/>
      <c r="U61" s="90"/>
      <c r="V61" s="90"/>
      <c r="Y61"/>
      <c r="Z61"/>
      <c r="AA61"/>
    </row>
    <row r="62" spans="2:27" ht="14.5" x14ac:dyDescent="0.35">
      <c r="B62" s="159" t="s">
        <v>86</v>
      </c>
      <c r="C62" s="160" t="s">
        <v>52</v>
      </c>
      <c r="D62" s="160" t="s">
        <v>73</v>
      </c>
      <c r="E62" s="160" t="s">
        <v>87</v>
      </c>
      <c r="O62" s="20"/>
      <c r="Q62" s="11"/>
      <c r="S62" s="90"/>
      <c r="T62" s="90"/>
      <c r="U62" s="90"/>
      <c r="V62" s="90"/>
      <c r="Y62"/>
      <c r="Z62"/>
      <c r="AA62"/>
    </row>
    <row r="63" spans="2:27" ht="14.5" x14ac:dyDescent="0.35">
      <c r="B63" s="155" t="s">
        <v>85</v>
      </c>
      <c r="C63" s="156">
        <v>0</v>
      </c>
      <c r="D63" s="156">
        <v>0</v>
      </c>
      <c r="E63" s="156">
        <v>0</v>
      </c>
      <c r="O63" s="20"/>
      <c r="Q63" s="11"/>
      <c r="S63" s="90"/>
      <c r="T63" s="90"/>
      <c r="U63" s="90"/>
      <c r="V63" s="90"/>
      <c r="Y63"/>
      <c r="Z63"/>
      <c r="AA63"/>
    </row>
    <row r="64" spans="2:27" ht="14.5" x14ac:dyDescent="0.35">
      <c r="B64" s="157" t="s">
        <v>53</v>
      </c>
      <c r="C64" s="158">
        <v>0</v>
      </c>
      <c r="D64" s="158">
        <v>0</v>
      </c>
      <c r="E64" s="158">
        <v>0</v>
      </c>
      <c r="O64" s="20"/>
      <c r="Q64" s="11"/>
      <c r="S64" s="90"/>
      <c r="T64" s="90"/>
      <c r="U64" s="90"/>
      <c r="V64" s="90"/>
      <c r="Y64"/>
      <c r="Z64"/>
      <c r="AA64"/>
    </row>
    <row r="65" spans="2:27" ht="14.5" x14ac:dyDescent="0.35">
      <c r="O65" s="20"/>
      <c r="Q65" s="11"/>
      <c r="S65" s="90"/>
      <c r="T65" s="90"/>
      <c r="U65" s="90"/>
      <c r="V65" s="90"/>
      <c r="Y65"/>
      <c r="Z65"/>
      <c r="AA65"/>
    </row>
    <row r="66" spans="2:27" ht="14.5" x14ac:dyDescent="0.35">
      <c r="B66"/>
      <c r="C66"/>
      <c r="D66"/>
      <c r="E66"/>
      <c r="O66" s="20"/>
      <c r="Q66" s="11"/>
      <c r="S66" s="90"/>
      <c r="T66" s="90"/>
      <c r="U66" s="90"/>
      <c r="V66" s="90"/>
      <c r="Y66"/>
      <c r="Z66"/>
      <c r="AA66"/>
    </row>
    <row r="67" spans="2:27" ht="14.5" x14ac:dyDescent="0.35">
      <c r="O67" s="20"/>
      <c r="Q67" s="11"/>
      <c r="S67" s="90"/>
      <c r="T67" s="90"/>
      <c r="U67" s="90"/>
      <c r="V67" s="90"/>
      <c r="Y67"/>
      <c r="Z67"/>
      <c r="AA67"/>
    </row>
    <row r="68" spans="2:27" ht="14.5" x14ac:dyDescent="0.35">
      <c r="O68" s="20"/>
      <c r="Q68" s="11"/>
      <c r="S68" s="90"/>
      <c r="T68" s="90"/>
      <c r="U68" s="90"/>
      <c r="V68" s="90"/>
      <c r="Y68"/>
      <c r="Z68"/>
      <c r="AA68"/>
    </row>
    <row r="69" spans="2:27" ht="14.5" x14ac:dyDescent="0.35">
      <c r="B69" s="169" t="s">
        <v>54</v>
      </c>
      <c r="C69" s="170"/>
      <c r="D69" s="170"/>
      <c r="E69" s="170"/>
      <c r="F69" s="170"/>
      <c r="G69" s="171"/>
      <c r="O69" s="20"/>
      <c r="Q69" s="11"/>
      <c r="S69" s="90"/>
      <c r="T69" s="90"/>
      <c r="U69" s="90"/>
      <c r="V69" s="90"/>
      <c r="Y69"/>
      <c r="Z69"/>
      <c r="AA69"/>
    </row>
    <row r="70" spans="2:27" s="2" customFormat="1" ht="14.5" x14ac:dyDescent="0.35">
      <c r="B70" s="73"/>
      <c r="C70" s="73"/>
      <c r="D70" s="73"/>
      <c r="E70" s="73"/>
      <c r="K70" s="1"/>
      <c r="O70" s="20"/>
      <c r="Q70" s="74"/>
      <c r="S70" s="122"/>
      <c r="T70" s="122"/>
      <c r="U70" s="122"/>
      <c r="V70" s="122"/>
      <c r="Y70"/>
      <c r="Z70"/>
      <c r="AA70"/>
    </row>
    <row r="71" spans="2:27" s="2" customFormat="1" ht="14.5" x14ac:dyDescent="0.35">
      <c r="B71" s="140" t="s">
        <v>88</v>
      </c>
      <c r="C71" s="78"/>
      <c r="D71" s="73"/>
      <c r="E71" s="73"/>
      <c r="K71" s="1"/>
      <c r="O71" s="20"/>
      <c r="Q71" s="74"/>
      <c r="S71" s="122"/>
      <c r="T71" s="122"/>
      <c r="U71" s="122"/>
      <c r="V71" s="122"/>
      <c r="Y71"/>
      <c r="Z71"/>
      <c r="AA71"/>
    </row>
    <row r="72" spans="2:27" s="2" customFormat="1" ht="14.5" x14ac:dyDescent="0.35">
      <c r="B72" s="73"/>
      <c r="C72" s="73" t="s">
        <v>4</v>
      </c>
      <c r="D72" s="73"/>
      <c r="E72" s="73"/>
      <c r="K72" s="1"/>
      <c r="O72" s="20"/>
      <c r="Q72" s="74"/>
      <c r="S72" s="122"/>
      <c r="T72" s="122"/>
      <c r="U72" s="122"/>
      <c r="V72" s="122"/>
      <c r="Y72"/>
      <c r="Z72"/>
      <c r="AA72"/>
    </row>
    <row r="73" spans="2:27" s="141" customFormat="1" ht="37.5" x14ac:dyDescent="0.35">
      <c r="B73" s="142" t="s">
        <v>28</v>
      </c>
      <c r="C73" s="142" t="s">
        <v>43</v>
      </c>
      <c r="D73" s="142" t="s">
        <v>30</v>
      </c>
      <c r="E73" s="142" t="s">
        <v>31</v>
      </c>
      <c r="F73" s="142" t="s">
        <v>2</v>
      </c>
      <c r="O73" s="143"/>
      <c r="Q73" s="144"/>
      <c r="S73" s="145"/>
      <c r="T73" s="145"/>
      <c r="U73" s="145"/>
      <c r="V73" s="145"/>
      <c r="Y73" s="146"/>
      <c r="Z73" s="146"/>
      <c r="AA73" s="146"/>
    </row>
    <row r="74" spans="2:27" ht="14.5" x14ac:dyDescent="0.35">
      <c r="B74" s="75">
        <v>0</v>
      </c>
      <c r="C74" s="75">
        <v>0</v>
      </c>
      <c r="D74" s="75">
        <f>+J53</f>
        <v>0</v>
      </c>
      <c r="E74" s="137">
        <f>+J53</f>
        <v>0</v>
      </c>
      <c r="F74" s="85">
        <f>+D74-E74</f>
        <v>0</v>
      </c>
      <c r="G74" s="35" t="s">
        <v>80</v>
      </c>
      <c r="O74" s="20"/>
      <c r="Q74" s="11"/>
      <c r="Y74"/>
      <c r="Z74"/>
      <c r="AA74"/>
    </row>
    <row r="75" spans="2:27" ht="14.5" x14ac:dyDescent="0.35">
      <c r="B75" s="75">
        <v>0</v>
      </c>
      <c r="C75" s="75">
        <v>0</v>
      </c>
      <c r="D75" s="75">
        <v>0</v>
      </c>
      <c r="E75" s="75">
        <f>+H53</f>
        <v>0</v>
      </c>
      <c r="F75" s="85">
        <f t="shared" ref="F75" si="5">+D75-E75</f>
        <v>0</v>
      </c>
      <c r="G75" s="35" t="s">
        <v>80</v>
      </c>
      <c r="O75" s="20"/>
      <c r="Q75" s="11"/>
      <c r="Y75"/>
      <c r="Z75"/>
      <c r="AA75"/>
    </row>
    <row r="76" spans="2:27" ht="7" customHeight="1" x14ac:dyDescent="0.35">
      <c r="B76" s="47"/>
      <c r="C76" s="47"/>
      <c r="D76" s="11"/>
      <c r="O76" s="20"/>
      <c r="Q76" s="11"/>
      <c r="Y76"/>
      <c r="Z76"/>
      <c r="AA76"/>
    </row>
    <row r="77" spans="2:27" ht="15" thickBot="1" x14ac:dyDescent="0.4">
      <c r="B77" s="47"/>
      <c r="C77" s="47"/>
      <c r="F77" s="76">
        <f>SUM(F74:F75)</f>
        <v>0</v>
      </c>
      <c r="O77" s="20"/>
      <c r="Q77" s="11"/>
      <c r="Y77"/>
      <c r="Z77"/>
      <c r="AA77"/>
    </row>
    <row r="78" spans="2:27" ht="15" thickTop="1" x14ac:dyDescent="0.35">
      <c r="B78" s="47"/>
      <c r="C78" s="47"/>
      <c r="F78" s="77"/>
      <c r="O78" s="20"/>
      <c r="Q78" s="11"/>
      <c r="Y78"/>
      <c r="Z78"/>
      <c r="AA78"/>
    </row>
    <row r="79" spans="2:27" ht="14.5" x14ac:dyDescent="0.35">
      <c r="B79" s="47"/>
      <c r="C79" s="47"/>
      <c r="G79" s="77"/>
      <c r="O79" s="20"/>
      <c r="Q79" s="11"/>
      <c r="Y79"/>
      <c r="Z79"/>
      <c r="AA79"/>
    </row>
    <row r="80" spans="2:27" ht="14.5" x14ac:dyDescent="0.35">
      <c r="B80" s="123" t="s">
        <v>74</v>
      </c>
      <c r="C80" s="124"/>
      <c r="G80" s="47"/>
      <c r="O80" s="20"/>
      <c r="Q80" s="11"/>
      <c r="Y80"/>
      <c r="Z80"/>
      <c r="AA80"/>
    </row>
    <row r="81" spans="2:17" x14ac:dyDescent="0.25">
      <c r="O81" s="20"/>
      <c r="Q81" s="11"/>
    </row>
    <row r="82" spans="2:17" s="141" customFormat="1" ht="37.5" x14ac:dyDescent="0.35">
      <c r="B82" s="142" t="s">
        <v>28</v>
      </c>
      <c r="C82" s="142" t="s">
        <v>29</v>
      </c>
      <c r="D82" s="142" t="s">
        <v>44</v>
      </c>
      <c r="E82" s="142" t="s">
        <v>30</v>
      </c>
      <c r="F82" s="147"/>
      <c r="G82" s="147"/>
      <c r="O82" s="143"/>
      <c r="Q82" s="144"/>
    </row>
    <row r="83" spans="2:17" s="141" customFormat="1" x14ac:dyDescent="0.35">
      <c r="B83" s="163">
        <v>0</v>
      </c>
      <c r="C83" s="163">
        <v>0</v>
      </c>
      <c r="D83" s="163">
        <v>0</v>
      </c>
      <c r="E83" s="163">
        <v>0</v>
      </c>
      <c r="F83" s="161"/>
      <c r="G83" s="161"/>
      <c r="O83" s="143"/>
      <c r="Q83" s="162"/>
    </row>
    <row r="84" spans="2:17" x14ac:dyDescent="0.25">
      <c r="B84" s="75">
        <v>0</v>
      </c>
      <c r="C84" s="75">
        <v>0</v>
      </c>
      <c r="D84" s="75">
        <v>0</v>
      </c>
      <c r="E84" s="75">
        <v>0</v>
      </c>
      <c r="G84" s="78"/>
      <c r="O84" s="20"/>
      <c r="Q84" s="11"/>
    </row>
    <row r="85" spans="2:17" ht="7" customHeight="1" x14ac:dyDescent="0.25">
      <c r="B85" s="47"/>
      <c r="C85" s="47"/>
      <c r="E85" s="11"/>
      <c r="O85" s="20"/>
      <c r="Q85" s="11"/>
    </row>
    <row r="86" spans="2:17" ht="13" thickBot="1" x14ac:dyDescent="0.3">
      <c r="B86" s="47"/>
      <c r="C86" s="47"/>
      <c r="E86" s="76">
        <f>SUM(E83:E84)</f>
        <v>0</v>
      </c>
      <c r="F86" s="79" t="s">
        <v>20</v>
      </c>
      <c r="G86" s="80"/>
      <c r="O86" s="20"/>
      <c r="Q86" s="11"/>
    </row>
    <row r="87" spans="2:17" ht="13" thickTop="1" x14ac:dyDescent="0.25">
      <c r="C87" s="47"/>
      <c r="E87" s="47"/>
      <c r="O87" s="20"/>
      <c r="Q87" s="11"/>
    </row>
    <row r="88" spans="2:17" x14ac:dyDescent="0.25">
      <c r="D88" s="81" t="s">
        <v>32</v>
      </c>
      <c r="E88" s="82" t="e">
        <f>+O53</f>
        <v>#DIV/0!</v>
      </c>
      <c r="F88" s="164" t="s">
        <v>89</v>
      </c>
      <c r="O88" s="20"/>
      <c r="Q88" s="11"/>
    </row>
    <row r="89" spans="2:17" ht="13" thickBot="1" x14ac:dyDescent="0.3">
      <c r="D89" s="152" t="s">
        <v>2</v>
      </c>
      <c r="E89" s="153" t="e">
        <f>+E86-E88</f>
        <v>#DIV/0!</v>
      </c>
      <c r="O89" s="20"/>
      <c r="Q89" s="11"/>
    </row>
    <row r="90" spans="2:17" ht="13" thickTop="1" x14ac:dyDescent="0.25">
      <c r="O90" s="20"/>
      <c r="Q90" s="11"/>
    </row>
    <row r="91" spans="2:17" x14ac:dyDescent="0.25">
      <c r="O91" s="20"/>
      <c r="Q91" s="11"/>
    </row>
    <row r="92" spans="2:17" x14ac:dyDescent="0.25">
      <c r="O92" s="20"/>
      <c r="Q92" s="11"/>
    </row>
    <row r="93" spans="2:17" x14ac:dyDescent="0.25">
      <c r="O93" s="20"/>
      <c r="Q93" s="11"/>
    </row>
    <row r="94" spans="2:17" x14ac:dyDescent="0.25">
      <c r="B94" s="123" t="s">
        <v>81</v>
      </c>
      <c r="C94" s="73"/>
      <c r="D94" s="78"/>
      <c r="G94" s="2"/>
      <c r="O94" s="20"/>
      <c r="Q94" s="11"/>
    </row>
    <row r="95" spans="2:17" x14ac:dyDescent="0.25">
      <c r="B95" s="123"/>
      <c r="C95" s="73"/>
      <c r="D95" s="148" t="s">
        <v>75</v>
      </c>
      <c r="E95" s="148"/>
      <c r="F95" s="138"/>
      <c r="G95" s="148"/>
      <c r="H95" s="138"/>
      <c r="I95" s="138"/>
      <c r="J95" s="138"/>
      <c r="K95" s="138"/>
      <c r="L95" s="138"/>
      <c r="O95" s="20"/>
      <c r="Q95" s="11"/>
    </row>
    <row r="96" spans="2:17" x14ac:dyDescent="0.25">
      <c r="B96" s="123"/>
      <c r="D96" s="78"/>
      <c r="E96" s="2"/>
      <c r="G96" s="2"/>
      <c r="O96" s="20"/>
      <c r="Q96" s="11"/>
    </row>
    <row r="97" spans="1:18" x14ac:dyDescent="0.25">
      <c r="B97" s="123"/>
      <c r="C97" s="73"/>
      <c r="D97" s="78"/>
      <c r="E97" s="2"/>
      <c r="G97" s="2"/>
      <c r="O97" s="20"/>
      <c r="Q97" s="11"/>
    </row>
    <row r="98" spans="1:18" x14ac:dyDescent="0.25">
      <c r="B98" s="73"/>
      <c r="C98" s="73"/>
      <c r="D98" s="73"/>
      <c r="E98" s="73"/>
      <c r="F98" s="2"/>
      <c r="G98" s="2"/>
      <c r="O98" s="20"/>
      <c r="Q98" s="11"/>
    </row>
    <row r="99" spans="1:18" s="141" customFormat="1" ht="37.5" x14ac:dyDescent="0.35">
      <c r="A99" s="149"/>
      <c r="B99" s="142" t="s">
        <v>28</v>
      </c>
      <c r="C99" s="142" t="s">
        <v>43</v>
      </c>
      <c r="D99" s="142" t="s">
        <v>44</v>
      </c>
      <c r="E99" s="142" t="s">
        <v>30</v>
      </c>
      <c r="F99" s="142" t="s">
        <v>32</v>
      </c>
      <c r="G99" s="142" t="s">
        <v>2</v>
      </c>
      <c r="O99" s="143"/>
      <c r="Q99" s="144"/>
    </row>
    <row r="100" spans="1:18" x14ac:dyDescent="0.25">
      <c r="A100" s="83"/>
      <c r="B100" s="75">
        <v>0</v>
      </c>
      <c r="C100" s="75">
        <v>0</v>
      </c>
      <c r="D100" s="75">
        <v>0</v>
      </c>
      <c r="E100" s="75">
        <v>0</v>
      </c>
      <c r="F100" s="84">
        <v>0</v>
      </c>
      <c r="G100" s="85">
        <f>+E100-F100</f>
        <v>0</v>
      </c>
      <c r="O100" s="20"/>
      <c r="Q100" s="11"/>
    </row>
    <row r="101" spans="1:18" x14ac:dyDescent="0.25">
      <c r="A101" s="83"/>
      <c r="B101" s="75">
        <v>0</v>
      </c>
      <c r="C101" s="75">
        <v>0</v>
      </c>
      <c r="D101" s="75">
        <v>0</v>
      </c>
      <c r="E101" s="75">
        <v>0</v>
      </c>
      <c r="F101" s="84">
        <v>0</v>
      </c>
      <c r="G101" s="85">
        <f t="shared" ref="G101:G106" si="6">+E101-F101</f>
        <v>0</v>
      </c>
      <c r="O101" s="20"/>
      <c r="Q101" s="11"/>
    </row>
    <row r="102" spans="1:18" x14ac:dyDescent="0.25">
      <c r="A102" s="86"/>
      <c r="B102" s="75">
        <v>0</v>
      </c>
      <c r="C102" s="75">
        <v>0</v>
      </c>
      <c r="D102" s="75">
        <v>0</v>
      </c>
      <c r="E102" s="75">
        <v>0</v>
      </c>
      <c r="F102" s="84">
        <v>0</v>
      </c>
      <c r="G102" s="85">
        <f t="shared" si="6"/>
        <v>0</v>
      </c>
      <c r="O102" s="20"/>
      <c r="Q102" s="11"/>
    </row>
    <row r="103" spans="1:18" x14ac:dyDescent="0.25">
      <c r="A103" s="86"/>
      <c r="B103" s="75">
        <v>0</v>
      </c>
      <c r="C103" s="75">
        <v>0</v>
      </c>
      <c r="D103" s="75">
        <v>0</v>
      </c>
      <c r="E103" s="75">
        <v>0</v>
      </c>
      <c r="F103" s="84">
        <v>0</v>
      </c>
      <c r="G103" s="85">
        <f t="shared" si="6"/>
        <v>0</v>
      </c>
      <c r="O103" s="20"/>
      <c r="Q103" s="11"/>
    </row>
    <row r="104" spans="1:18" x14ac:dyDescent="0.25">
      <c r="A104" s="86"/>
      <c r="B104" s="75">
        <v>0</v>
      </c>
      <c r="C104" s="75">
        <v>0</v>
      </c>
      <c r="D104" s="75">
        <v>0</v>
      </c>
      <c r="E104" s="75">
        <v>0</v>
      </c>
      <c r="F104" s="84">
        <v>0</v>
      </c>
      <c r="G104" s="85">
        <f>+E104-F104</f>
        <v>0</v>
      </c>
      <c r="O104" s="20"/>
      <c r="Q104" s="11"/>
    </row>
    <row r="105" spans="1:18" x14ac:dyDescent="0.25">
      <c r="A105" s="86"/>
      <c r="B105" s="75">
        <v>0</v>
      </c>
      <c r="C105" s="75">
        <v>0</v>
      </c>
      <c r="D105" s="75">
        <v>0</v>
      </c>
      <c r="E105" s="75">
        <v>0</v>
      </c>
      <c r="F105" s="84">
        <v>0</v>
      </c>
      <c r="G105" s="85">
        <f t="shared" si="6"/>
        <v>0</v>
      </c>
      <c r="O105" s="20"/>
      <c r="Q105" s="11"/>
    </row>
    <row r="106" spans="1:18" x14ac:dyDescent="0.25">
      <c r="A106" s="86"/>
      <c r="B106" s="75">
        <v>0</v>
      </c>
      <c r="C106" s="75">
        <v>0</v>
      </c>
      <c r="D106" s="75">
        <v>0</v>
      </c>
      <c r="E106" s="75">
        <v>0</v>
      </c>
      <c r="F106" s="84">
        <v>0</v>
      </c>
      <c r="G106" s="85">
        <f t="shared" si="6"/>
        <v>0</v>
      </c>
      <c r="O106" s="20"/>
      <c r="Q106" s="11"/>
    </row>
    <row r="107" spans="1:18" ht="7" customHeight="1" x14ac:dyDescent="0.25">
      <c r="A107" s="46"/>
      <c r="B107" s="87"/>
      <c r="C107" s="87"/>
      <c r="D107" s="88"/>
      <c r="E107" s="88"/>
      <c r="F107" s="19"/>
      <c r="G107" s="89"/>
      <c r="O107" s="20"/>
      <c r="Q107" s="11"/>
    </row>
    <row r="108" spans="1:18" ht="13" thickBot="1" x14ac:dyDescent="0.3">
      <c r="G108" s="76">
        <f>+SUM(G100:G106)</f>
        <v>0</v>
      </c>
      <c r="P108" s="17"/>
      <c r="Q108" s="11"/>
    </row>
    <row r="109" spans="1:18" ht="13" thickTop="1" x14ac:dyDescent="0.25">
      <c r="C109" s="125"/>
      <c r="D109" s="126"/>
      <c r="E109" s="126"/>
      <c r="F109" s="127"/>
      <c r="N109" s="128"/>
      <c r="O109" s="128"/>
      <c r="P109" s="15"/>
      <c r="Q109" s="39"/>
      <c r="R109" s="39"/>
    </row>
    <row r="110" spans="1:18" x14ac:dyDescent="0.25">
      <c r="B110" s="15"/>
      <c r="C110" s="15"/>
      <c r="D110" s="16" t="s">
        <v>4</v>
      </c>
      <c r="E110" s="16"/>
      <c r="Q110" s="11"/>
    </row>
    <row r="111" spans="1:18" ht="13" x14ac:dyDescent="0.3">
      <c r="A111" s="13"/>
      <c r="B111" s="37" t="s">
        <v>19</v>
      </c>
      <c r="C111" s="15"/>
      <c r="D111" s="16"/>
      <c r="E111" s="16"/>
      <c r="Q111" s="11"/>
    </row>
    <row r="112" spans="1:18" ht="7" customHeight="1" x14ac:dyDescent="0.3">
      <c r="A112" s="13"/>
      <c r="B112" s="37"/>
      <c r="C112" s="15"/>
      <c r="D112" s="16"/>
      <c r="E112" s="16"/>
      <c r="Q112" s="11"/>
    </row>
    <row r="113" spans="1:17" x14ac:dyDescent="0.25">
      <c r="A113" s="14"/>
      <c r="B113" s="39" t="s">
        <v>55</v>
      </c>
      <c r="C113" s="15"/>
      <c r="D113" s="16"/>
      <c r="E113" s="16"/>
      <c r="Q113" s="11"/>
    </row>
    <row r="114" spans="1:17" ht="13" x14ac:dyDescent="0.3">
      <c r="A114" s="12"/>
      <c r="B114" s="39" t="s">
        <v>1</v>
      </c>
      <c r="C114" s="15"/>
      <c r="D114" s="16"/>
      <c r="E114" s="16"/>
      <c r="Q114" s="11"/>
    </row>
    <row r="115" spans="1:17" ht="13" x14ac:dyDescent="0.3">
      <c r="A115" s="12"/>
      <c r="B115" s="39" t="s">
        <v>21</v>
      </c>
      <c r="C115" s="15"/>
      <c r="D115" s="16"/>
      <c r="E115" s="16"/>
      <c r="Q115" s="11"/>
    </row>
    <row r="116" spans="1:17" x14ac:dyDescent="0.25">
      <c r="Q116" s="11"/>
    </row>
    <row r="117" spans="1:17" x14ac:dyDescent="0.25">
      <c r="A117" s="129"/>
      <c r="B117" s="130" t="s">
        <v>84</v>
      </c>
      <c r="C117" s="39"/>
      <c r="D117" s="131"/>
      <c r="E117" s="131"/>
      <c r="Q117" s="11"/>
    </row>
    <row r="118" spans="1:17" ht="7" customHeight="1" x14ac:dyDescent="0.25">
      <c r="A118" s="129"/>
      <c r="B118" s="130"/>
      <c r="C118" s="39"/>
      <c r="D118" s="47"/>
      <c r="E118" s="47"/>
      <c r="Q118" s="11"/>
    </row>
    <row r="119" spans="1:17" x14ac:dyDescent="0.25">
      <c r="A119" s="132" t="s">
        <v>56</v>
      </c>
      <c r="B119" s="130"/>
      <c r="C119" s="39"/>
      <c r="D119" s="96"/>
      <c r="E119" s="96"/>
      <c r="Q119" s="11"/>
    </row>
    <row r="120" spans="1:17" x14ac:dyDescent="0.25">
      <c r="A120" s="132" t="s">
        <v>57</v>
      </c>
      <c r="B120" s="130"/>
      <c r="C120" s="39"/>
      <c r="Q120" s="11"/>
    </row>
    <row r="121" spans="1:17" x14ac:dyDescent="0.25">
      <c r="A121" s="132" t="s">
        <v>58</v>
      </c>
      <c r="B121" s="130"/>
      <c r="C121" s="39"/>
      <c r="Q121" s="11"/>
    </row>
    <row r="122" spans="1:17" x14ac:dyDescent="0.25">
      <c r="A122" s="132"/>
      <c r="B122" s="39"/>
      <c r="C122" s="39"/>
      <c r="Q122" s="11"/>
    </row>
    <row r="123" spans="1:17" x14ac:dyDescent="0.25">
      <c r="A123" s="133" t="s">
        <v>4</v>
      </c>
      <c r="B123" s="130" t="s">
        <v>59</v>
      </c>
      <c r="C123" s="39"/>
      <c r="Q123" s="11"/>
    </row>
    <row r="124" spans="1:17" ht="7" customHeight="1" x14ac:dyDescent="0.25">
      <c r="A124" s="133"/>
      <c r="B124" s="130"/>
      <c r="C124" s="39"/>
      <c r="Q124" s="11"/>
    </row>
    <row r="125" spans="1:17" x14ac:dyDescent="0.25">
      <c r="A125" s="132" t="s">
        <v>60</v>
      </c>
      <c r="B125" s="130"/>
      <c r="C125" s="39"/>
      <c r="Q125" s="11"/>
    </row>
    <row r="126" spans="1:17" x14ac:dyDescent="0.25">
      <c r="A126" s="132" t="s">
        <v>61</v>
      </c>
      <c r="B126" s="130"/>
      <c r="C126" s="39"/>
      <c r="Q126" s="11"/>
    </row>
    <row r="127" spans="1:17" x14ac:dyDescent="0.25">
      <c r="A127" s="132" t="s">
        <v>62</v>
      </c>
      <c r="B127" s="130"/>
      <c r="C127" s="39"/>
      <c r="Q127" s="11"/>
    </row>
    <row r="128" spans="1:17" x14ac:dyDescent="0.25">
      <c r="A128" s="132"/>
      <c r="B128" s="39"/>
      <c r="C128" s="39"/>
      <c r="Q128" s="11"/>
    </row>
    <row r="129" spans="1:17" x14ac:dyDescent="0.25">
      <c r="A129" s="39"/>
      <c r="B129" s="130" t="s">
        <v>63</v>
      </c>
      <c r="C129" s="39"/>
      <c r="Q129" s="11"/>
    </row>
    <row r="130" spans="1:17" ht="7" customHeight="1" x14ac:dyDescent="0.25">
      <c r="A130" s="39"/>
      <c r="B130" s="130"/>
      <c r="C130" s="39"/>
      <c r="Q130" s="11"/>
    </row>
    <row r="131" spans="1:17" x14ac:dyDescent="0.25">
      <c r="A131" s="132" t="s">
        <v>64</v>
      </c>
      <c r="B131" s="39"/>
      <c r="C131" s="39"/>
      <c r="Q131" s="11"/>
    </row>
    <row r="132" spans="1:17" x14ac:dyDescent="0.25">
      <c r="A132" s="132" t="s">
        <v>65</v>
      </c>
      <c r="B132" s="39"/>
      <c r="C132" s="39"/>
      <c r="Q132" s="11"/>
    </row>
    <row r="133" spans="1:17" x14ac:dyDescent="0.25">
      <c r="A133" s="132" t="s">
        <v>66</v>
      </c>
      <c r="B133" s="39"/>
      <c r="C133" s="39"/>
      <c r="Q133" s="11"/>
    </row>
    <row r="134" spans="1:17" x14ac:dyDescent="0.25">
      <c r="A134" s="39"/>
      <c r="B134" s="39"/>
      <c r="C134" s="39"/>
      <c r="Q134" s="11"/>
    </row>
    <row r="135" spans="1:17" x14ac:dyDescent="0.25">
      <c r="A135" s="39"/>
      <c r="B135" s="130" t="s">
        <v>0</v>
      </c>
      <c r="C135" s="39"/>
      <c r="Q135" s="11"/>
    </row>
    <row r="136" spans="1:17" x14ac:dyDescent="0.25">
      <c r="A136" s="39"/>
      <c r="B136" s="130"/>
      <c r="C136" s="39"/>
      <c r="Q136" s="11"/>
    </row>
    <row r="137" spans="1:17" x14ac:dyDescent="0.25">
      <c r="A137" s="39"/>
      <c r="B137" s="150" t="s">
        <v>82</v>
      </c>
      <c r="C137" s="39"/>
      <c r="Q137" s="11"/>
    </row>
    <row r="138" spans="1:17" x14ac:dyDescent="0.25">
      <c r="A138" s="39"/>
      <c r="B138" s="39"/>
      <c r="C138" s="39"/>
      <c r="N138" s="47"/>
      <c r="O138" s="47"/>
      <c r="P138" s="10"/>
      <c r="Q138" s="81"/>
    </row>
    <row r="139" spans="1:17" x14ac:dyDescent="0.25">
      <c r="N139" s="9"/>
      <c r="O139" s="9"/>
      <c r="P139" s="47"/>
      <c r="Q139" s="47"/>
    </row>
    <row r="140" spans="1:17" x14ac:dyDescent="0.25">
      <c r="N140" s="8"/>
      <c r="O140" s="8"/>
      <c r="P140" s="47"/>
      <c r="Q140" s="47"/>
    </row>
    <row r="141" spans="1:17" x14ac:dyDescent="0.25">
      <c r="N141" s="7"/>
      <c r="O141" s="7"/>
      <c r="P141" s="7"/>
      <c r="Q141" s="7"/>
    </row>
    <row r="142" spans="1:17" x14ac:dyDescent="0.25">
      <c r="N142" s="5"/>
      <c r="O142" s="5"/>
      <c r="P142" s="134"/>
      <c r="Q142" s="135"/>
    </row>
    <row r="143" spans="1:17" x14ac:dyDescent="0.25">
      <c r="N143" s="5"/>
      <c r="O143" s="5"/>
      <c r="P143" s="134"/>
      <c r="Q143" s="135"/>
    </row>
    <row r="144" spans="1:17" x14ac:dyDescent="0.25">
      <c r="N144" s="5"/>
      <c r="O144" s="5"/>
      <c r="P144" s="134"/>
      <c r="Q144" s="135"/>
    </row>
    <row r="145" spans="6:17" x14ac:dyDescent="0.25">
      <c r="N145" s="5"/>
      <c r="O145" s="5"/>
      <c r="P145" s="134"/>
      <c r="Q145" s="135"/>
    </row>
    <row r="146" spans="6:17" x14ac:dyDescent="0.25">
      <c r="F146" s="131"/>
      <c r="N146" s="5"/>
      <c r="O146" s="5"/>
      <c r="P146" s="134"/>
      <c r="Q146" s="135"/>
    </row>
    <row r="147" spans="6:17" x14ac:dyDescent="0.25">
      <c r="F147" s="6"/>
      <c r="N147" s="5"/>
      <c r="O147" s="5"/>
      <c r="P147" s="134"/>
      <c r="Q147" s="135"/>
    </row>
    <row r="148" spans="6:17" x14ac:dyDescent="0.25">
      <c r="F148" s="47"/>
      <c r="N148" s="5"/>
      <c r="O148" s="5"/>
      <c r="P148" s="134"/>
      <c r="Q148" s="135"/>
    </row>
    <row r="149" spans="6:17" x14ac:dyDescent="0.25">
      <c r="F149" s="47"/>
      <c r="N149" s="5"/>
      <c r="O149" s="5"/>
      <c r="P149" s="81"/>
      <c r="Q149" s="136"/>
    </row>
    <row r="150" spans="6:17" x14ac:dyDescent="0.25">
      <c r="N150" s="47"/>
      <c r="O150" s="47"/>
      <c r="P150" s="81"/>
      <c r="Q150" s="136"/>
    </row>
    <row r="151" spans="6:17" x14ac:dyDescent="0.25">
      <c r="N151" s="47"/>
      <c r="O151" s="47"/>
      <c r="P151" s="4"/>
      <c r="Q151" s="3"/>
    </row>
    <row r="152" spans="6:17" x14ac:dyDescent="0.25">
      <c r="N152" s="2"/>
      <c r="O152" s="2"/>
      <c r="P152" s="2"/>
      <c r="Q152" s="2"/>
    </row>
  </sheetData>
  <autoFilter ref="B36:U51" xr:uid="{BA979782-339B-4C41-A150-9CF945139B17}"/>
  <mergeCells count="2">
    <mergeCell ref="S35:U35"/>
    <mergeCell ref="B69:G69"/>
  </mergeCells>
  <dataValidations count="1">
    <dataValidation type="list" allowBlank="1" showInputMessage="1" showErrorMessage="1" sqref="T37:T51" xr:uid="{A4FF6BEB-23A1-4478-97A8-50FC9F03AC8B}">
      <formula1>$W$1:$W$2</formula1>
    </dataValidation>
  </dataValidations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10.04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Kreston</dc:creator>
  <cp:lastModifiedBy>Admin</cp:lastModifiedBy>
  <dcterms:created xsi:type="dcterms:W3CDTF">2023-01-22T05:04:59Z</dcterms:created>
  <dcterms:modified xsi:type="dcterms:W3CDTF">2026-04-17T01:02:37Z</dcterms:modified>
</cp:coreProperties>
</file>