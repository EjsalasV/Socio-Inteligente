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7. Activos por derecho de uso\"/>
    </mc:Choice>
  </mc:AlternateContent>
  <xr:revisionPtr revIDLastSave="0" documentId="13_ncr:1_{7991BBFB-4E68-4979-87F0-7215960DEF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1.03" sheetId="3" r:id="rId1"/>
    <sheet name="Análisis Imp.Diferido" sheetId="5" state="hidden" r:id="rId2"/>
  </sheets>
  <definedNames>
    <definedName name="_xlnm.Print_Area" localSheetId="0">'11.03'!$B$40:$K$61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7" i="3" l="1"/>
  <c r="D75" i="3"/>
  <c r="D85" i="3"/>
  <c r="D73" i="3"/>
  <c r="N48" i="3"/>
  <c r="N42" i="3"/>
  <c r="N49" i="3" l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43" i="3" l="1"/>
  <c r="D76" i="3" s="1"/>
  <c r="N61" i="3"/>
  <c r="G11" i="5"/>
  <c r="G43" i="5"/>
  <c r="M48" i="3" l="1"/>
  <c r="Q48" i="3"/>
  <c r="Q61" i="3" s="1"/>
  <c r="O48" i="3"/>
  <c r="G36" i="5"/>
  <c r="G37" i="5"/>
  <c r="G38" i="5"/>
  <c r="G39" i="5"/>
  <c r="G40" i="5"/>
  <c r="G41" i="5"/>
  <c r="G42" i="5"/>
  <c r="P48" i="3" l="1"/>
  <c r="M49" i="3" s="1"/>
  <c r="D107" i="3"/>
  <c r="D108" i="3" s="1"/>
  <c r="E95" i="3"/>
  <c r="F95" i="3" s="1"/>
  <c r="D12" i="5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S59" i="3"/>
  <c r="S58" i="3"/>
  <c r="S57" i="3"/>
  <c r="S56" i="3"/>
  <c r="S55" i="3"/>
  <c r="S54" i="3"/>
  <c r="S53" i="3"/>
  <c r="S52" i="3"/>
  <c r="S51" i="3"/>
  <c r="S50" i="3"/>
  <c r="S49" i="3"/>
  <c r="S48" i="3"/>
  <c r="G35" i="5"/>
  <c r="G34" i="5"/>
  <c r="G33" i="5"/>
  <c r="G32" i="5"/>
  <c r="G31" i="5"/>
  <c r="G30" i="5"/>
  <c r="G29" i="5"/>
  <c r="G28" i="5"/>
  <c r="G27" i="5"/>
  <c r="G26" i="5"/>
  <c r="G22" i="5"/>
  <c r="G21" i="5"/>
  <c r="G20" i="5"/>
  <c r="G19" i="5"/>
  <c r="G18" i="5"/>
  <c r="G17" i="5"/>
  <c r="G16" i="5"/>
  <c r="G15" i="5"/>
  <c r="G14" i="5"/>
  <c r="G13" i="5"/>
  <c r="G12" i="5"/>
  <c r="S61" i="3" l="1"/>
  <c r="G45" i="5"/>
  <c r="G47" i="5"/>
  <c r="G24" i="5"/>
  <c r="O49" i="3" l="1"/>
  <c r="Q57" i="3"/>
  <c r="Q51" i="3"/>
  <c r="Q54" i="3"/>
  <c r="Q59" i="3"/>
  <c r="Q58" i="3"/>
  <c r="Q56" i="3"/>
  <c r="Q50" i="3"/>
  <c r="Q49" i="3"/>
  <c r="Q55" i="3"/>
  <c r="Q53" i="3"/>
  <c r="Q52" i="3"/>
  <c r="P49" i="3" l="1"/>
  <c r="M50" i="3" s="1"/>
  <c r="U48" i="3"/>
  <c r="O50" i="3" l="1"/>
  <c r="P50" i="3" s="1"/>
  <c r="M51" i="3" s="1"/>
  <c r="T49" i="3"/>
  <c r="U49" i="3"/>
  <c r="T48" i="3"/>
  <c r="T50" i="3" l="1"/>
  <c r="U50" i="3"/>
  <c r="O51" i="3" l="1"/>
  <c r="P51" i="3" s="1"/>
  <c r="T51" i="3" l="1"/>
  <c r="M52" i="3"/>
  <c r="U51" i="3"/>
  <c r="O52" i="3" l="1"/>
  <c r="P52" i="3" s="1"/>
  <c r="T52" i="3" l="1"/>
  <c r="M53" i="3"/>
  <c r="U52" i="3"/>
  <c r="O53" i="3" l="1"/>
  <c r="P53" i="3" s="1"/>
  <c r="T53" i="3" l="1"/>
  <c r="M54" i="3"/>
  <c r="U53" i="3"/>
  <c r="O54" i="3" l="1"/>
  <c r="P54" i="3" s="1"/>
  <c r="T54" i="3" l="1"/>
  <c r="M55" i="3"/>
  <c r="U54" i="3"/>
  <c r="E17" i="5"/>
  <c r="F17" i="5" s="1"/>
  <c r="H17" i="5" s="1"/>
  <c r="I17" i="5" s="1"/>
  <c r="E12" i="5"/>
  <c r="F12" i="5" s="1"/>
  <c r="H12" i="5" s="1"/>
  <c r="I12" i="5" s="1"/>
  <c r="E19" i="5"/>
  <c r="F19" i="5" s="1"/>
  <c r="H19" i="5" s="1"/>
  <c r="I19" i="5" s="1"/>
  <c r="E15" i="5"/>
  <c r="F15" i="5" s="1"/>
  <c r="H15" i="5" s="1"/>
  <c r="I15" i="5" s="1"/>
  <c r="E28" i="5"/>
  <c r="F28" i="5" s="1"/>
  <c r="H28" i="5" s="1"/>
  <c r="I28" i="5" s="1"/>
  <c r="E30" i="5"/>
  <c r="F30" i="5" s="1"/>
  <c r="H30" i="5" s="1"/>
  <c r="I30" i="5" s="1"/>
  <c r="E27" i="5"/>
  <c r="F27" i="5" s="1"/>
  <c r="H27" i="5" s="1"/>
  <c r="I27" i="5" s="1"/>
  <c r="E14" i="5"/>
  <c r="F14" i="5" s="1"/>
  <c r="H14" i="5" s="1"/>
  <c r="I14" i="5" s="1"/>
  <c r="E11" i="5"/>
  <c r="F11" i="5" s="1"/>
  <c r="E32" i="5"/>
  <c r="F32" i="5" s="1"/>
  <c r="H32" i="5" s="1"/>
  <c r="I32" i="5" s="1"/>
  <c r="E33" i="5"/>
  <c r="F33" i="5" s="1"/>
  <c r="H33" i="5" s="1"/>
  <c r="I33" i="5" s="1"/>
  <c r="E36" i="5"/>
  <c r="F36" i="5" s="1"/>
  <c r="H36" i="5" s="1"/>
  <c r="I36" i="5" s="1"/>
  <c r="E39" i="5"/>
  <c r="F39" i="5" s="1"/>
  <c r="H39" i="5" s="1"/>
  <c r="I39" i="5" s="1"/>
  <c r="E38" i="5"/>
  <c r="F38" i="5" s="1"/>
  <c r="H38" i="5" s="1"/>
  <c r="I38" i="5" s="1"/>
  <c r="E31" i="5"/>
  <c r="F31" i="5" s="1"/>
  <c r="H31" i="5" s="1"/>
  <c r="I31" i="5" s="1"/>
  <c r="E13" i="5"/>
  <c r="F13" i="5" s="1"/>
  <c r="H13" i="5" s="1"/>
  <c r="I13" i="5" s="1"/>
  <c r="E34" i="5"/>
  <c r="F34" i="5" s="1"/>
  <c r="H34" i="5" s="1"/>
  <c r="I34" i="5" s="1"/>
  <c r="E16" i="5"/>
  <c r="F16" i="5" s="1"/>
  <c r="H16" i="5" s="1"/>
  <c r="I16" i="5" s="1"/>
  <c r="E20" i="5"/>
  <c r="F20" i="5" s="1"/>
  <c r="H20" i="5" s="1"/>
  <c r="I20" i="5" s="1"/>
  <c r="E40" i="5"/>
  <c r="F40" i="5" s="1"/>
  <c r="H40" i="5" s="1"/>
  <c r="I40" i="5" s="1"/>
  <c r="E43" i="5"/>
  <c r="F43" i="5" s="1"/>
  <c r="H43" i="5" s="1"/>
  <c r="I43" i="5" s="1"/>
  <c r="E35" i="5"/>
  <c r="F35" i="5" s="1"/>
  <c r="H35" i="5" s="1"/>
  <c r="I35" i="5" s="1"/>
  <c r="E21" i="5"/>
  <c r="F21" i="5" s="1"/>
  <c r="H21" i="5" s="1"/>
  <c r="I21" i="5" s="1"/>
  <c r="E22" i="5"/>
  <c r="F22" i="5" s="1"/>
  <c r="H22" i="5" s="1"/>
  <c r="I22" i="5" s="1"/>
  <c r="E29" i="5"/>
  <c r="F29" i="5" s="1"/>
  <c r="H29" i="5" s="1"/>
  <c r="I29" i="5" s="1"/>
  <c r="E37" i="5"/>
  <c r="F37" i="5" s="1"/>
  <c r="H37" i="5" s="1"/>
  <c r="I37" i="5" s="1"/>
  <c r="E18" i="5"/>
  <c r="F18" i="5" s="1"/>
  <c r="H18" i="5" s="1"/>
  <c r="I18" i="5" s="1"/>
  <c r="E41" i="5"/>
  <c r="F41" i="5" s="1"/>
  <c r="H41" i="5" s="1"/>
  <c r="I41" i="5" s="1"/>
  <c r="E26" i="5"/>
  <c r="F26" i="5" s="1"/>
  <c r="E42" i="5"/>
  <c r="F42" i="5" s="1"/>
  <c r="H42" i="5" s="1"/>
  <c r="I42" i="5" s="1"/>
  <c r="O55" i="3" l="1"/>
  <c r="P55" i="3" s="1"/>
  <c r="H26" i="5"/>
  <c r="F45" i="5"/>
  <c r="H11" i="5"/>
  <c r="F24" i="5"/>
  <c r="F47" i="5"/>
  <c r="T55" i="3" l="1"/>
  <c r="M56" i="3"/>
  <c r="U55" i="3"/>
  <c r="I11" i="5"/>
  <c r="H24" i="5"/>
  <c r="H47" i="5"/>
  <c r="I26" i="5"/>
  <c r="I45" i="5" s="1"/>
  <c r="H45" i="5"/>
  <c r="O56" i="3" l="1"/>
  <c r="P56" i="3" s="1"/>
  <c r="I24" i="5"/>
  <c r="I47" i="5"/>
  <c r="T56" i="3" l="1"/>
  <c r="M57" i="3"/>
  <c r="U56" i="3"/>
  <c r="O57" i="3" l="1"/>
  <c r="U57" i="3" l="1"/>
  <c r="P57" i="3"/>
  <c r="T57" i="3" l="1"/>
  <c r="M58" i="3"/>
  <c r="O58" i="3" s="1"/>
  <c r="P58" i="3" l="1"/>
  <c r="T58" i="3" s="1"/>
  <c r="U58" i="3"/>
  <c r="M59" i="3" l="1"/>
  <c r="O59" i="3" s="1"/>
  <c r="U59" i="3" l="1"/>
  <c r="U61" i="3" s="1"/>
  <c r="O61" i="3"/>
  <c r="P59" i="3"/>
  <c r="T59" i="3" s="1"/>
  <c r="T61" i="3" s="1"/>
  <c r="E94" i="3" l="1"/>
  <c r="F94" i="3" s="1"/>
  <c r="F97" i="3" s="1"/>
  <c r="D88" i="3"/>
</calcChain>
</file>

<file path=xl/sharedStrings.xml><?xml version="1.0" encoding="utf-8"?>
<sst xmlns="http://schemas.openxmlformats.org/spreadsheetml/2006/main" count="140" uniqueCount="107">
  <si>
    <t xml:space="preserve">Período </t>
  </si>
  <si>
    <t>Capital</t>
  </si>
  <si>
    <t>NIIF 16 Arrendamientos</t>
  </si>
  <si>
    <t>Canon</t>
  </si>
  <si>
    <t>Tasa</t>
  </si>
  <si>
    <t>Mes</t>
  </si>
  <si>
    <t>Meses hasta vencimiento</t>
  </si>
  <si>
    <t>Depreciacion</t>
  </si>
  <si>
    <t>Dep+Int</t>
  </si>
  <si>
    <t>Base</t>
  </si>
  <si>
    <t>Financiera</t>
  </si>
  <si>
    <t xml:space="preserve">Base </t>
  </si>
  <si>
    <t>Tributaria</t>
  </si>
  <si>
    <t>V.Fact</t>
  </si>
  <si>
    <t>Dif.Temporal</t>
  </si>
  <si>
    <t>IR. Diferido</t>
  </si>
  <si>
    <t xml:space="preserve">Análisis de Impuesto Diferido </t>
  </si>
  <si>
    <t>MECANOS SACI</t>
  </si>
  <si>
    <t>Total Canon</t>
  </si>
  <si>
    <t>Inicia</t>
  </si>
  <si>
    <t>Termina</t>
  </si>
  <si>
    <t>Inicial</t>
  </si>
  <si>
    <t>Interés</t>
  </si>
  <si>
    <t>Depreciación</t>
  </si>
  <si>
    <t>Cuota</t>
  </si>
  <si>
    <t>Valor presente</t>
  </si>
  <si>
    <t>Preparado por:</t>
  </si>
  <si>
    <t>Revisado por:</t>
  </si>
  <si>
    <t>COMPAÑÍA MODELO S.A.</t>
  </si>
  <si>
    <t>Objetivo:</t>
  </si>
  <si>
    <t>Base de decisión: Materialidad</t>
  </si>
  <si>
    <t>Procedimiento:</t>
  </si>
  <si>
    <t xml:space="preserve">Desarrollo: </t>
  </si>
  <si>
    <t xml:space="preserve">Marcas de auditoría: </t>
  </si>
  <si>
    <t xml:space="preserve">Diferencia cuota </t>
  </si>
  <si>
    <t xml:space="preserve">Diferencia </t>
  </si>
  <si>
    <t xml:space="preserve">Tasa Anual </t>
  </si>
  <si>
    <t xml:space="preserve">Plazo en años </t>
  </si>
  <si>
    <t>Valor canon mensual</t>
  </si>
  <si>
    <t xml:space="preserve">***El formato de esta sección depende de cada cliente   </t>
  </si>
  <si>
    <t>AL 31 DE DICIEMBRE DE 20XX</t>
  </si>
  <si>
    <t>Ref.</t>
  </si>
  <si>
    <t>XX</t>
  </si>
  <si>
    <t>General</t>
  </si>
  <si>
    <t>XXX.XXX</t>
  </si>
  <si>
    <t>Desempeño</t>
  </si>
  <si>
    <t>Errores Triviales</t>
  </si>
  <si>
    <t xml:space="preserve">***El número de filas depende del plazo del contrato </t>
  </si>
  <si>
    <t>***El cliente entregara por cada contrato su análisis respectivo (tabla de amortización)</t>
  </si>
  <si>
    <t>p/t 11</t>
  </si>
  <si>
    <t>[1]</t>
  </si>
  <si>
    <t>[2]</t>
  </si>
  <si>
    <t>[3]</t>
  </si>
  <si>
    <t>[5]</t>
  </si>
  <si>
    <t>[4]=[2]-[3]</t>
  </si>
  <si>
    <t xml:space="preserve">Gasto depreciación </t>
  </si>
  <si>
    <t>ANÁLISIS ACTIVO POR DERECHO DE USO Y PASIVO POR ARRENDAMIENTO</t>
  </si>
  <si>
    <t>11.03</t>
  </si>
  <si>
    <t>Preliminar</t>
  </si>
  <si>
    <t>Final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</si>
  <si>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</si>
  <si>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</si>
  <si>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</si>
  <si>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</si>
  <si>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</si>
  <si>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</si>
  <si>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</si>
  <si>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</si>
  <si>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</si>
  <si>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</si>
  <si>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</si>
  <si>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Conclusión:</t>
  </si>
  <si>
    <t xml:space="preserve">Código cuenta contable </t>
  </si>
  <si>
    <t xml:space="preserve">Nombre cuenta contable </t>
  </si>
  <si>
    <t>Sumatoria</t>
  </si>
  <si>
    <t>xxxxxxxxx</t>
  </si>
  <si>
    <t>Diferencia</t>
  </si>
  <si>
    <t>***(Concluir en base al objetivo)</t>
  </si>
  <si>
    <t>FECHA AL CORTE: _/_/20XX</t>
  </si>
  <si>
    <t>Información proporcionada por el cliente</t>
  </si>
  <si>
    <t>Cálculos de Auditoría</t>
  </si>
  <si>
    <t>1.-</t>
  </si>
  <si>
    <t>2.-</t>
  </si>
  <si>
    <t>3.-</t>
  </si>
  <si>
    <t>4.-</t>
  </si>
  <si>
    <t>5.-</t>
  </si>
  <si>
    <t>Realizar el recálculo de los valores de acuerdo al contrato de arrendamiento.</t>
  </si>
  <si>
    <t>Solicitar a la Compañía los estado financieros al _/ _/ 20xx.</t>
  </si>
  <si>
    <t xml:space="preserve">Solicitar a la Compañía el detalle del cálculo del activo por derecho de Uso. </t>
  </si>
  <si>
    <t>Conciliar el saldo del detalle y del recálculo con estados financieros.</t>
  </si>
  <si>
    <t>Documentar el papel de trabajo y concluir base al objetivo.</t>
  </si>
  <si>
    <t>3) Cruce con gastos vs estado de resultados</t>
  </si>
  <si>
    <t>Verificar la valuación del activo por derecho de uso al _/_/20XX.</t>
  </si>
  <si>
    <t>1) Cruce activo por derecho de uso vs estado de situación financiera</t>
  </si>
  <si>
    <t>Cruce con estados financieros</t>
  </si>
  <si>
    <t>Saldo según EEFF al 31/12/20XX</t>
  </si>
  <si>
    <t>2) Cruce pasivo  (corriente y no corriente) por arrendamiento vs estado de situación financiera</t>
  </si>
  <si>
    <t xml:space="preserve">Saldo según auditoría </t>
  </si>
  <si>
    <t>4) Cruce depreciación acumulada vs estado de situación financiera</t>
  </si>
  <si>
    <t>Saldo según auditoría</t>
  </si>
  <si>
    <t>Saldo inicial</t>
  </si>
  <si>
    <t>Saldo final</t>
  </si>
  <si>
    <t xml:space="preserve">Saldo final </t>
  </si>
  <si>
    <t xml:space="preserve">Diferencia capital </t>
  </si>
  <si>
    <t xml:space="preserve">Diferencia interés </t>
  </si>
  <si>
    <t xml:space="preserve">Gasto Interés </t>
  </si>
  <si>
    <t>Verificaciones: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</si>
</sst>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-* #,##0.00\ _€_-;\-* #,##0.00\ _€_-;_-* &quot;-&quot;??\ _€_-;_-@_-"/>
    <numFmt numFmtId="167" formatCode="_(* #,##0_);_(* \(#,##0\);_(* &quot;-&quot;_);_(@_)"/>
  </numFmts>
  <fonts count="30">
    <font>
      <sz val="11"/>
      <color theme="1"/>
      <name val="Calibri"/>
      <family val="2"/>
      <scheme val="minor"/>
    </font>
    <font>
      <sz val="8"/>
      <color theme="1"/>
      <name val="Arial  "/>
    </font>
    <font>
      <b/>
      <sz val="8"/>
      <color theme="1"/>
      <name val="Arial  "/>
    </font>
    <font>
      <sz val="11"/>
      <color theme="1"/>
      <name val="Calibri"/>
      <family val="2"/>
      <scheme val="minor"/>
    </font>
    <font>
      <sz val="11"/>
      <color theme="1"/>
      <name val="Arial  "/>
    </font>
    <font>
      <b/>
      <u/>
      <sz val="11"/>
      <color theme="1"/>
      <name val="Arial  "/>
    </font>
    <font>
      <b/>
      <sz val="11"/>
      <color theme="1"/>
      <name val="Arial  "/>
    </font>
    <font>
      <b/>
      <sz val="9"/>
      <color theme="1"/>
      <name val="Arial  "/>
    </font>
    <font>
      <sz val="11"/>
      <name val="Arial  "/>
    </font>
    <font>
      <u/>
      <sz val="10"/>
      <color theme="1"/>
      <name val="Tahoma"/>
      <family val="2"/>
    </font>
    <font>
      <sz val="10"/>
      <name val="Arial"/>
      <family val="2"/>
    </font>
    <font>
      <u/>
      <sz val="10"/>
      <name val="Tahoma"/>
      <family val="2"/>
    </font>
    <font>
      <sz val="11"/>
      <color theme="1"/>
      <name val="Calibri"/>
      <family val="2"/>
    </font>
    <font>
      <b/>
      <sz val="10"/>
      <color theme="1"/>
      <name val="Tahoma"/>
      <family val="2"/>
    </font>
    <font>
      <b/>
      <u/>
      <sz val="10"/>
      <color theme="3"/>
      <name val="Tahoma"/>
      <family val="2"/>
    </font>
    <font>
      <b/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u/>
      <sz val="10"/>
      <color theme="8" tint="-0.499984740745262"/>
      <name val="Tahoma"/>
      <family val="2"/>
    </font>
    <font>
      <b/>
      <u/>
      <sz val="10"/>
      <color theme="1"/>
      <name val="Tahoma"/>
      <family val="2"/>
    </font>
    <font>
      <b/>
      <u/>
      <sz val="10"/>
      <color rgb="FF0000FF"/>
      <name val="Tahoma"/>
      <family val="2"/>
    </font>
    <font>
      <u/>
      <sz val="10"/>
      <color rgb="FF000000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sz val="11"/>
      <color indexed="8"/>
      <name val="Calibri"/>
      <family val="2"/>
    </font>
    <font>
      <sz val="10"/>
      <color rgb="FFFF0000"/>
      <name val="Tahoma"/>
      <family val="2"/>
    </font>
    <font>
      <b/>
      <sz val="10"/>
      <color theme="3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Tahoma"/>
      <family val="2"/>
    </font>
    <font>
      <sz val="10"/>
      <color indexed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0" fontId="12" fillId="0" borderId="0"/>
    <xf numFmtId="0" fontId="10" fillId="0" borderId="0"/>
    <xf numFmtId="0" fontId="10" fillId="0" borderId="0"/>
    <xf numFmtId="0" fontId="23" fillId="0" borderId="0"/>
    <xf numFmtId="43" fontId="3" fillId="0" borderId="0" applyFont="0" applyFill="0" applyBorder="0" applyAlignment="0" applyProtection="0"/>
    <xf numFmtId="0" fontId="10" fillId="0" borderId="0"/>
    <xf numFmtId="0" fontId="23" fillId="0" borderId="0"/>
  </cellStyleXfs>
  <cellXfs count="129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/>
    <xf numFmtId="164" fontId="4" fillId="0" borderId="0" xfId="0" applyNumberFormat="1" applyFont="1"/>
    <xf numFmtId="0" fontId="9" fillId="3" borderId="0" xfId="0" applyFont="1" applyFill="1"/>
    <xf numFmtId="0" fontId="11" fillId="3" borderId="0" xfId="3" applyFont="1" applyFill="1"/>
    <xf numFmtId="0" fontId="11" fillId="3" borderId="0" xfId="3" applyFont="1" applyFill="1" applyAlignment="1">
      <alignment horizontal="center" vertical="center"/>
    </xf>
    <xf numFmtId="0" fontId="14" fillId="3" borderId="0" xfId="5" applyFont="1" applyFill="1" applyAlignment="1">
      <alignment vertical="center"/>
    </xf>
    <xf numFmtId="0" fontId="16" fillId="3" borderId="0" xfId="4" applyFont="1" applyFill="1" applyAlignment="1" applyProtection="1">
      <alignment horizontal="left" vertical="center"/>
      <protection hidden="1"/>
    </xf>
    <xf numFmtId="0" fontId="17" fillId="3" borderId="0" xfId="4" applyFont="1" applyFill="1" applyAlignment="1" applyProtection="1">
      <alignment horizontal="left" vertical="center"/>
      <protection hidden="1"/>
    </xf>
    <xf numFmtId="0" fontId="16" fillId="0" borderId="0" xfId="0" applyFont="1" applyAlignment="1">
      <alignment vertical="center"/>
    </xf>
    <xf numFmtId="0" fontId="18" fillId="3" borderId="0" xfId="4" applyFont="1" applyFill="1" applyAlignment="1" applyProtection="1">
      <alignment horizontal="left" vertical="center"/>
      <protection hidden="1"/>
    </xf>
    <xf numFmtId="0" fontId="16" fillId="3" borderId="12" xfId="4" applyFont="1" applyFill="1" applyBorder="1" applyAlignment="1" applyProtection="1">
      <alignment horizontal="left" vertical="center"/>
      <protection hidden="1"/>
    </xf>
    <xf numFmtId="0" fontId="18" fillId="3" borderId="12" xfId="4" applyFont="1" applyFill="1" applyBorder="1" applyAlignment="1" applyProtection="1">
      <alignment horizontal="left" vertical="center"/>
      <protection hidden="1"/>
    </xf>
    <xf numFmtId="0" fontId="19" fillId="0" borderId="0" xfId="0" applyFont="1"/>
    <xf numFmtId="0" fontId="20" fillId="3" borderId="0" xfId="6" applyFont="1" applyFill="1" applyAlignment="1">
      <alignment horizontal="left"/>
    </xf>
    <xf numFmtId="0" fontId="9" fillId="3" borderId="0" xfId="0" applyFont="1" applyFill="1" applyAlignment="1">
      <alignment horizontal="right"/>
    </xf>
    <xf numFmtId="0" fontId="21" fillId="3" borderId="0" xfId="6" applyFont="1" applyFill="1"/>
    <xf numFmtId="0" fontId="20" fillId="3" borderId="0" xfId="6" applyFont="1" applyFill="1"/>
    <xf numFmtId="0" fontId="22" fillId="0" borderId="0" xfId="0" applyFont="1"/>
    <xf numFmtId="0" fontId="22" fillId="3" borderId="0" xfId="6" applyFont="1" applyFill="1"/>
    <xf numFmtId="0" fontId="13" fillId="0" borderId="0" xfId="0" applyFont="1"/>
    <xf numFmtId="43" fontId="22" fillId="0" borderId="0" xfId="1" quotePrefix="1" applyFont="1" applyAlignment="1">
      <alignment wrapText="1"/>
    </xf>
    <xf numFmtId="164" fontId="22" fillId="0" borderId="0" xfId="0" applyNumberFormat="1" applyFont="1" applyAlignment="1">
      <alignment horizontal="center"/>
    </xf>
    <xf numFmtId="10" fontId="22" fillId="0" borderId="0" xfId="2" applyNumberFormat="1" applyFont="1" applyFill="1" applyAlignment="1">
      <alignment horizontal="center"/>
    </xf>
    <xf numFmtId="10" fontId="22" fillId="0" borderId="0" xfId="2" applyNumberFormat="1" applyFont="1"/>
    <xf numFmtId="0" fontId="22" fillId="0" borderId="0" xfId="0" applyFont="1" applyAlignment="1">
      <alignment horizontal="center"/>
    </xf>
    <xf numFmtId="14" fontId="22" fillId="0" borderId="0" xfId="0" applyNumberFormat="1" applyFont="1"/>
    <xf numFmtId="164" fontId="24" fillId="0" borderId="0" xfId="0" applyNumberFormat="1" applyFont="1" applyAlignment="1">
      <alignment horizontal="center"/>
    </xf>
    <xf numFmtId="164" fontId="22" fillId="0" borderId="0" xfId="1" applyNumberFormat="1" applyFont="1" applyAlignment="1">
      <alignment horizontal="center"/>
    </xf>
    <xf numFmtId="164" fontId="22" fillId="0" borderId="0" xfId="0" applyNumberFormat="1" applyFont="1"/>
    <xf numFmtId="10" fontId="22" fillId="0" borderId="0" xfId="2" applyNumberFormat="1" applyFont="1" applyAlignment="1">
      <alignment horizontal="center"/>
    </xf>
    <xf numFmtId="166" fontId="22" fillId="0" borderId="13" xfId="0" applyNumberFormat="1" applyFont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16" fillId="3" borderId="0" xfId="4" applyFont="1" applyFill="1" applyBorder="1" applyAlignment="1" applyProtection="1">
      <alignment horizontal="left" vertical="center"/>
      <protection hidden="1"/>
    </xf>
    <xf numFmtId="0" fontId="18" fillId="3" borderId="0" xfId="4" applyFont="1" applyFill="1" applyBorder="1" applyAlignment="1" applyProtection="1">
      <alignment horizontal="left" vertical="center"/>
      <protection hidden="1"/>
    </xf>
    <xf numFmtId="0" fontId="16" fillId="3" borderId="0" xfId="0" applyFont="1" applyFill="1" applyAlignment="1">
      <alignment horizontal="left" vertical="top"/>
    </xf>
    <xf numFmtId="0" fontId="16" fillId="4" borderId="11" xfId="0" applyFont="1" applyFill="1" applyBorder="1" applyAlignment="1" applyProtection="1">
      <alignment horizontal="center" vertical="center"/>
      <protection hidden="1"/>
    </xf>
    <xf numFmtId="0" fontId="16" fillId="4" borderId="1" xfId="0" applyFont="1" applyFill="1" applyBorder="1" applyAlignment="1" applyProtection="1">
      <alignment horizontal="center" vertical="center"/>
      <protection hidden="1"/>
    </xf>
    <xf numFmtId="0" fontId="15" fillId="3" borderId="1" xfId="0" applyFont="1" applyFill="1" applyBorder="1" applyAlignment="1">
      <alignment horizontal="center" vertical="center" wrapText="1"/>
    </xf>
    <xf numFmtId="0" fontId="25" fillId="3" borderId="0" xfId="5" applyFont="1" applyFill="1" applyAlignment="1">
      <alignment vertical="center"/>
    </xf>
    <xf numFmtId="0" fontId="26" fillId="0" borderId="0" xfId="6" applyFont="1" applyBorder="1" applyAlignment="1">
      <alignment horizontal="center"/>
    </xf>
    <xf numFmtId="0" fontId="16" fillId="0" borderId="0" xfId="0" applyFont="1" applyFill="1" applyBorder="1"/>
    <xf numFmtId="164" fontId="22" fillId="0" borderId="13" xfId="0" applyNumberFormat="1" applyFont="1" applyBorder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13" fillId="3" borderId="0" xfId="6" applyFont="1" applyFill="1" applyBorder="1" applyAlignment="1" applyProtection="1">
      <alignment horizontal="center" vertical="center"/>
      <protection hidden="1"/>
    </xf>
    <xf numFmtId="0" fontId="13" fillId="6" borderId="0" xfId="9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/>
    <xf numFmtId="164" fontId="22" fillId="0" borderId="1" xfId="0" applyNumberFormat="1" applyFont="1" applyFill="1" applyBorder="1" applyAlignment="1">
      <alignment horizontal="center"/>
    </xf>
    <xf numFmtId="164" fontId="22" fillId="0" borderId="1" xfId="0" applyNumberFormat="1" applyFont="1" applyBorder="1" applyAlignment="1">
      <alignment horizontal="center"/>
    </xf>
    <xf numFmtId="164" fontId="22" fillId="0" borderId="1" xfId="1" applyNumberFormat="1" applyFont="1" applyBorder="1" applyAlignment="1">
      <alignment horizontal="left"/>
    </xf>
    <xf numFmtId="164" fontId="24" fillId="0" borderId="1" xfId="0" applyNumberFormat="1" applyFont="1" applyBorder="1" applyAlignment="1">
      <alignment horizontal="center"/>
    </xf>
    <xf numFmtId="164" fontId="22" fillId="0" borderId="1" xfId="1" applyNumberFormat="1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164" fontId="22" fillId="0" borderId="1" xfId="1" applyNumberFormat="1" applyFont="1" applyFill="1" applyBorder="1" applyAlignment="1">
      <alignment horizontal="center"/>
    </xf>
    <xf numFmtId="0" fontId="22" fillId="0" borderId="1" xfId="0" applyFont="1" applyBorder="1"/>
    <xf numFmtId="0" fontId="22" fillId="0" borderId="0" xfId="0" applyFont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164" fontId="22" fillId="0" borderId="0" xfId="0" applyNumberFormat="1" applyFont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4" fontId="22" fillId="0" borderId="1" xfId="0" applyNumberFormat="1" applyFont="1" applyBorder="1" applyAlignment="1">
      <alignment horizontal="center"/>
    </xf>
    <xf numFmtId="43" fontId="15" fillId="6" borderId="0" xfId="1" applyFont="1" applyFill="1" applyBorder="1" applyAlignment="1">
      <alignment horizontal="center"/>
    </xf>
    <xf numFmtId="167" fontId="28" fillId="3" borderId="0" xfId="10" applyNumberFormat="1" applyFont="1" applyFill="1" applyAlignment="1">
      <alignment horizontal="left"/>
    </xf>
    <xf numFmtId="0" fontId="15" fillId="0" borderId="0" xfId="0" applyFont="1"/>
    <xf numFmtId="166" fontId="22" fillId="0" borderId="1" xfId="0" applyNumberFormat="1" applyFont="1" applyBorder="1"/>
    <xf numFmtId="43" fontId="22" fillId="0" borderId="1" xfId="1" applyFont="1" applyBorder="1"/>
    <xf numFmtId="165" fontId="16" fillId="4" borderId="1" xfId="0" applyNumberFormat="1" applyFont="1" applyFill="1" applyBorder="1" applyAlignment="1">
      <alignment horizontal="center" vertical="center" wrapText="1"/>
    </xf>
    <xf numFmtId="164" fontId="22" fillId="0" borderId="1" xfId="0" applyNumberFormat="1" applyFont="1" applyBorder="1"/>
    <xf numFmtId="0" fontId="22" fillId="0" borderId="1" xfId="0" applyNumberFormat="1" applyFont="1" applyBorder="1"/>
    <xf numFmtId="0" fontId="22" fillId="0" borderId="0" xfId="0" applyFont="1" applyBorder="1"/>
    <xf numFmtId="164" fontId="22" fillId="0" borderId="0" xfId="0" applyNumberFormat="1" applyFont="1" applyBorder="1"/>
    <xf numFmtId="0" fontId="22" fillId="0" borderId="0" xfId="0" applyNumberFormat="1" applyFont="1" applyBorder="1"/>
    <xf numFmtId="0" fontId="22" fillId="0" borderId="13" xfId="0" applyFont="1" applyBorder="1"/>
    <xf numFmtId="0" fontId="22" fillId="3" borderId="1" xfId="6" applyFont="1" applyFill="1" applyBorder="1" applyAlignment="1" applyProtection="1">
      <alignment horizontal="center" vertical="center"/>
      <protection hidden="1"/>
    </xf>
    <xf numFmtId="0" fontId="22" fillId="6" borderId="1" xfId="9" applyFont="1" applyFill="1" applyBorder="1" applyAlignment="1">
      <alignment horizontal="center" vertical="center" wrapText="1"/>
    </xf>
    <xf numFmtId="0" fontId="11" fillId="3" borderId="0" xfId="7" applyFont="1" applyFill="1" applyAlignment="1">
      <alignment horizontal="left"/>
    </xf>
    <xf numFmtId="0" fontId="21" fillId="4" borderId="1" xfId="0" applyFont="1" applyFill="1" applyBorder="1" applyAlignment="1">
      <alignment horizontal="center"/>
    </xf>
    <xf numFmtId="0" fontId="21" fillId="4" borderId="11" xfId="0" applyFont="1" applyFill="1" applyBorder="1"/>
    <xf numFmtId="0" fontId="21" fillId="0" borderId="1" xfId="6" applyFont="1" applyBorder="1" applyAlignment="1">
      <alignment horizontal="center"/>
    </xf>
    <xf numFmtId="165" fontId="22" fillId="0" borderId="0" xfId="1" applyNumberFormat="1" applyFont="1"/>
    <xf numFmtId="0" fontId="29" fillId="0" borderId="0" xfId="0" applyFont="1"/>
    <xf numFmtId="0" fontId="21" fillId="0" borderId="0" xfId="0" applyFont="1" applyAlignment="1">
      <alignment horizontal="right"/>
    </xf>
    <xf numFmtId="165" fontId="22" fillId="0" borderId="0" xfId="1" applyNumberFormat="1" applyFont="1" applyBorder="1"/>
    <xf numFmtId="0" fontId="24" fillId="0" borderId="0" xfId="0" applyFont="1" applyAlignment="1">
      <alignment horizontal="left"/>
    </xf>
    <xf numFmtId="164" fontId="22" fillId="0" borderId="0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left"/>
    </xf>
    <xf numFmtId="0" fontId="24" fillId="0" borderId="0" xfId="0" applyFont="1" applyBorder="1"/>
    <xf numFmtId="0" fontId="24" fillId="0" borderId="0" xfId="0" applyFont="1" applyBorder="1" applyAlignment="1">
      <alignment horizontal="left"/>
    </xf>
    <xf numFmtId="0" fontId="22" fillId="3" borderId="0" xfId="0" applyFont="1" applyFill="1" applyAlignment="1">
      <alignment horizontal="right"/>
    </xf>
    <xf numFmtId="0" fontId="29" fillId="0" borderId="0" xfId="0" applyFont="1" applyFill="1"/>
    <xf numFmtId="0" fontId="22" fillId="0" borderId="1" xfId="0" applyFont="1" applyFill="1" applyBorder="1"/>
    <xf numFmtId="164" fontId="22" fillId="0" borderId="0" xfId="0" applyNumberFormat="1" applyFont="1" applyAlignment="1"/>
    <xf numFmtId="43" fontId="21" fillId="0" borderId="13" xfId="0" applyNumberFormat="1" applyFont="1" applyBorder="1" applyAlignment="1">
      <alignment horizontal="center"/>
    </xf>
    <xf numFmtId="164" fontId="24" fillId="0" borderId="13" xfId="0" applyNumberFormat="1" applyFont="1" applyBorder="1" applyAlignment="1">
      <alignment horizontal="center"/>
    </xf>
    <xf numFmtId="43" fontId="21" fillId="0" borderId="0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164" fontId="15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5" fontId="15" fillId="0" borderId="13" xfId="1" applyNumberFormat="1" applyFont="1" applyBorder="1"/>
    <xf numFmtId="166" fontId="15" fillId="0" borderId="13" xfId="0" applyNumberFormat="1" applyFont="1" applyBorder="1"/>
    <xf numFmtId="164" fontId="15" fillId="0" borderId="0" xfId="0" applyNumberFormat="1" applyFont="1" applyAlignment="1">
      <alignment horizontal="center"/>
    </xf>
    <xf numFmtId="0" fontId="16" fillId="5" borderId="11" xfId="0" applyFont="1" applyFill="1" applyBorder="1" applyAlignment="1">
      <alignment horizontal="center"/>
    </xf>
    <xf numFmtId="0" fontId="16" fillId="5" borderId="14" xfId="0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1">
    <cellStyle name="Millares" xfId="1" builtinId="3"/>
    <cellStyle name="Millares 4 2" xfId="8" xr:uid="{338F7354-4E52-4D84-A00D-F8E6F911AE77}"/>
    <cellStyle name="Normal" xfId="0" builtinId="0"/>
    <cellStyle name="Normal 2 10" xfId="6" xr:uid="{F4014F7B-4003-48E0-BC85-17FFF9DCF73A}"/>
    <cellStyle name="Normal 2 2 2 2" xfId="9" xr:uid="{C6FE7466-683B-42AD-88BB-02A61F40A784}"/>
    <cellStyle name="Normal 2 3 2 5" xfId="3" xr:uid="{9E819ACB-772E-4A0D-85FF-F6A95431158C}"/>
    <cellStyle name="Normal 3 2" xfId="5" xr:uid="{5C250253-0452-4D39-A172-EFA48D90B19F}"/>
    <cellStyle name="Normal 7" xfId="4" xr:uid="{72E4231A-9013-4F07-80FE-2219527470DF}"/>
    <cellStyle name="Normal_2102 Sumaria de Efectivo y Equivalentes" xfId="10" xr:uid="{B648A349-E813-401B-A11A-B44B85A2999F}"/>
    <cellStyle name="Normal_2102.1.1 Analisis de Partidas Conciliatorias" xfId="7" xr:uid="{FC503486-42C2-4533-8D7D-0382CBE8AA2A}"/>
    <cellStyle name="Porcentaje" xfId="2" builtinId="5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40</xdr:row>
      <xdr:rowOff>103187</xdr:rowOff>
    </xdr:from>
    <xdr:to>
      <xdr:col>10</xdr:col>
      <xdr:colOff>798499</xdr:colOff>
      <xdr:row>40</xdr:row>
      <xdr:rowOff>103187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59B9DC6-27EE-47A8-9C5F-B151C1C053A0}"/>
            </a:ext>
          </a:extLst>
        </xdr:cNvPr>
        <xdr:cNvCxnSpPr/>
      </xdr:nvCxnSpPr>
      <xdr:spPr>
        <a:xfrm>
          <a:off x="579437" y="5429250"/>
          <a:ext cx="10260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222250</xdr:colOff>
      <xdr:row>40</xdr:row>
      <xdr:rowOff>55563</xdr:rowOff>
    </xdr:from>
    <xdr:to>
      <xdr:col>20</xdr:col>
      <xdr:colOff>958250</xdr:colOff>
      <xdr:row>40</xdr:row>
      <xdr:rowOff>63499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8B362ACE-ABAE-442A-8A34-2C836C309E4E}"/>
            </a:ext>
          </a:extLst>
        </xdr:cNvPr>
        <xdr:cNvCxnSpPr/>
      </xdr:nvCxnSpPr>
      <xdr:spPr>
        <a:xfrm flipV="1">
          <a:off x="11334750" y="5381626"/>
          <a:ext cx="7848000" cy="793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267415</xdr:colOff>
      <xdr:row>39</xdr:row>
      <xdr:rowOff>156289</xdr:rowOff>
    </xdr:from>
    <xdr:to>
      <xdr:col>0</xdr:col>
      <xdr:colOff>478712</xdr:colOff>
      <xdr:row>41</xdr:row>
      <xdr:rowOff>50086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14D1EE0-58AC-4A1A-A597-60E1EB3FB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15" y="5323602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775414</xdr:colOff>
      <xdr:row>39</xdr:row>
      <xdr:rowOff>140414</xdr:rowOff>
    </xdr:from>
    <xdr:to>
      <xdr:col>12</xdr:col>
      <xdr:colOff>212893</xdr:colOff>
      <xdr:row>41</xdr:row>
      <xdr:rowOff>34211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F6ECA4A-71AD-4B31-8062-40049B0B0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8852" y="5450602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17</xdr:col>
      <xdr:colOff>70647</xdr:colOff>
      <xdr:row>59</xdr:row>
      <xdr:rowOff>54769</xdr:rowOff>
    </xdr:from>
    <xdr:ext cx="192088" cy="192088"/>
    <xdr:pic>
      <xdr:nvPicPr>
        <xdr:cNvPr id="8" name="Imagen 7">
          <a:extLst>
            <a:ext uri="{FF2B5EF4-FFF2-40B4-BE49-F238E27FC236}">
              <a16:creationId xmlns:a16="http://schemas.microsoft.com/office/drawing/2014/main" id="{E0D9834D-B452-4864-A7FD-D0F3BEE80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9522" y="8714582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169152</xdr:colOff>
      <xdr:row>113</xdr:row>
      <xdr:rowOff>18336</xdr:rowOff>
    </xdr:from>
    <xdr:to>
      <xdr:col>0</xdr:col>
      <xdr:colOff>343777</xdr:colOff>
      <xdr:row>114</xdr:row>
      <xdr:rowOff>34211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CE94436-120C-41DD-943C-411D2EDA5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52" y="11464211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169152</xdr:colOff>
      <xdr:row>114</xdr:row>
      <xdr:rowOff>18336</xdr:rowOff>
    </xdr:from>
    <xdr:to>
      <xdr:col>0</xdr:col>
      <xdr:colOff>343777</xdr:colOff>
      <xdr:row>115</xdr:row>
      <xdr:rowOff>34211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A932DFE-D43B-4D0E-AF3E-D98908436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52" y="11622961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142874</xdr:colOff>
      <xdr:row>38</xdr:row>
      <xdr:rowOff>87319</xdr:rowOff>
    </xdr:from>
    <xdr:to>
      <xdr:col>10</xdr:col>
      <xdr:colOff>682627</xdr:colOff>
      <xdr:row>39</xdr:row>
      <xdr:rowOff>119062</xdr:rowOff>
    </xdr:to>
    <xdr:sp macro="" textlink="">
      <xdr:nvSpPr>
        <xdr:cNvPr id="7" name="Abrir llave 6">
          <a:extLst>
            <a:ext uri="{FF2B5EF4-FFF2-40B4-BE49-F238E27FC236}">
              <a16:creationId xmlns:a16="http://schemas.microsoft.com/office/drawing/2014/main" id="{98699B69-7F13-4186-BE7B-3DCC94E4835C}"/>
            </a:ext>
          </a:extLst>
        </xdr:cNvPr>
        <xdr:cNvSpPr/>
      </xdr:nvSpPr>
      <xdr:spPr>
        <a:xfrm rot="5400000">
          <a:off x="6084098" y="-91279"/>
          <a:ext cx="190493" cy="11199815"/>
        </a:xfrm>
        <a:prstGeom prst="leftBrace">
          <a:avLst>
            <a:gd name="adj1" fmla="val 8333"/>
            <a:gd name="adj2" fmla="val 50093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4</xdr:col>
      <xdr:colOff>703793</xdr:colOff>
      <xdr:row>95</xdr:row>
      <xdr:rowOff>67911</xdr:rowOff>
    </xdr:from>
    <xdr:ext cx="192088" cy="192088"/>
    <xdr:pic>
      <xdr:nvPicPr>
        <xdr:cNvPr id="11" name="Imagen 10">
          <a:extLst>
            <a:ext uri="{FF2B5EF4-FFF2-40B4-BE49-F238E27FC236}">
              <a16:creationId xmlns:a16="http://schemas.microsoft.com/office/drawing/2014/main" id="{4FDF6FC3-513B-4C87-A3CA-EEA6A1B77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0856" y="13950599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156105</xdr:colOff>
      <xdr:row>115</xdr:row>
      <xdr:rowOff>19401</xdr:rowOff>
    </xdr:from>
    <xdr:ext cx="180000" cy="180000"/>
    <xdr:pic>
      <xdr:nvPicPr>
        <xdr:cNvPr id="12" name="Imagen 11">
          <a:extLst>
            <a:ext uri="{FF2B5EF4-FFF2-40B4-BE49-F238E27FC236}">
              <a16:creationId xmlns:a16="http://schemas.microsoft.com/office/drawing/2014/main" id="{04542CB1-A046-4FBA-8061-EC74892A5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105" y="17561276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1254125</xdr:colOff>
      <xdr:row>72</xdr:row>
      <xdr:rowOff>7938</xdr:rowOff>
    </xdr:from>
    <xdr:ext cx="180000" cy="180000"/>
    <xdr:pic>
      <xdr:nvPicPr>
        <xdr:cNvPr id="13" name="Imagen 12">
          <a:extLst>
            <a:ext uri="{FF2B5EF4-FFF2-40B4-BE49-F238E27FC236}">
              <a16:creationId xmlns:a16="http://schemas.microsoft.com/office/drawing/2014/main" id="{E5816B30-A7EB-4F8F-83B3-F38F56697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9938" y="11239501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1254125</xdr:colOff>
      <xdr:row>84</xdr:row>
      <xdr:rowOff>7938</xdr:rowOff>
    </xdr:from>
    <xdr:ext cx="180000" cy="180000"/>
    <xdr:pic>
      <xdr:nvPicPr>
        <xdr:cNvPr id="14" name="Imagen 13">
          <a:extLst>
            <a:ext uri="{FF2B5EF4-FFF2-40B4-BE49-F238E27FC236}">
              <a16:creationId xmlns:a16="http://schemas.microsoft.com/office/drawing/2014/main" id="{7919EF4E-5248-4820-A3EB-B05D16F73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9938" y="11239501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1254125</xdr:colOff>
      <xdr:row>104</xdr:row>
      <xdr:rowOff>7938</xdr:rowOff>
    </xdr:from>
    <xdr:ext cx="180000" cy="180000"/>
    <xdr:pic>
      <xdr:nvPicPr>
        <xdr:cNvPr id="15" name="Imagen 14">
          <a:extLst>
            <a:ext uri="{FF2B5EF4-FFF2-40B4-BE49-F238E27FC236}">
              <a16:creationId xmlns:a16="http://schemas.microsoft.com/office/drawing/2014/main" id="{CCE4F8D3-977F-4B94-B06D-25E8FDE4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9938" y="13096876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114299</xdr:rowOff>
    </xdr:from>
    <xdr:to>
      <xdr:col>2</xdr:col>
      <xdr:colOff>695324</xdr:colOff>
      <xdr:row>3</xdr:row>
      <xdr:rowOff>142875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14324"/>
          <a:ext cx="971549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8"/>
  <sheetViews>
    <sheetView showGridLines="0" tabSelected="1" zoomScale="80" zoomScaleNormal="80" workbookViewId="0">
      <selection activeCell="C118" sqref="C118"/>
    </sheetView>
  </sheetViews>
  <sheetFormatPr baseColWidth="10" defaultColWidth="11.453125" defaultRowHeight="12.5"/>
  <cols>
    <col min="1" max="1" width="7.81640625" style="24" customWidth="1"/>
    <col min="2" max="4" width="21.54296875" style="24" customWidth="1"/>
    <col min="5" max="6" width="14.36328125" style="24" customWidth="1"/>
    <col min="7" max="7" width="11.81640625" style="24" bestFit="1" customWidth="1"/>
    <col min="8" max="8" width="16.453125" style="24" customWidth="1"/>
    <col min="9" max="9" width="18.1796875" style="24" customWidth="1"/>
    <col min="10" max="10" width="12.81640625" style="24" customWidth="1"/>
    <col min="11" max="11" width="11.81640625" style="24" bestFit="1" customWidth="1"/>
    <col min="12" max="12" width="3.6328125" style="24" customWidth="1"/>
    <col min="13" max="13" width="14.54296875" style="28" customWidth="1"/>
    <col min="14" max="14" width="15.6328125" style="28" bestFit="1" customWidth="1"/>
    <col min="15" max="15" width="11.453125" style="28" customWidth="1"/>
    <col min="16" max="17" width="14.54296875" style="28" customWidth="1"/>
    <col min="18" max="18" width="3.6328125" style="28" customWidth="1"/>
    <col min="19" max="20" width="15.1796875" style="24" customWidth="1"/>
    <col min="21" max="21" width="13.90625" style="24" customWidth="1"/>
    <col min="22" max="22" width="13.1796875" style="24" customWidth="1"/>
    <col min="23" max="16384" width="11.453125" style="24"/>
  </cols>
  <sheetData>
    <row r="1" spans="1:2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21">
      <c r="A2" s="10"/>
      <c r="B2" s="11"/>
      <c r="C2" s="11"/>
      <c r="D2" s="10"/>
      <c r="E2" s="10"/>
      <c r="F2" s="9"/>
      <c r="G2" s="9"/>
      <c r="K2" s="9"/>
      <c r="S2" s="43" t="s">
        <v>26</v>
      </c>
      <c r="T2" s="43" t="s">
        <v>27</v>
      </c>
      <c r="U2" s="44" t="s">
        <v>41</v>
      </c>
    </row>
    <row r="3" spans="1:21">
      <c r="A3" s="10"/>
      <c r="B3" s="12"/>
      <c r="C3" s="12"/>
      <c r="D3" s="10"/>
      <c r="E3" s="10"/>
      <c r="F3" s="9"/>
      <c r="G3" s="9"/>
      <c r="K3" s="9"/>
      <c r="S3" s="82" t="s">
        <v>42</v>
      </c>
      <c r="T3" s="83" t="s">
        <v>42</v>
      </c>
      <c r="U3" s="45" t="s">
        <v>57</v>
      </c>
    </row>
    <row r="4" spans="1:21">
      <c r="A4" s="10"/>
      <c r="B4" s="12"/>
      <c r="C4" s="12"/>
      <c r="D4" s="10"/>
      <c r="E4" s="10"/>
      <c r="F4" s="9"/>
      <c r="G4" s="9"/>
      <c r="K4" s="9"/>
      <c r="P4" s="52"/>
      <c r="Q4" s="53"/>
      <c r="R4" s="54"/>
    </row>
    <row r="5" spans="1:21">
      <c r="A5" s="10"/>
      <c r="B5" s="12"/>
      <c r="C5" s="12"/>
      <c r="D5" s="10"/>
      <c r="E5" s="10"/>
      <c r="F5" s="9"/>
      <c r="G5" s="9"/>
      <c r="K5" s="9"/>
      <c r="P5" s="52"/>
      <c r="Q5" s="53"/>
      <c r="R5" s="54"/>
    </row>
    <row r="6" spans="1:21">
      <c r="A6" s="10"/>
      <c r="B6" s="13" t="s">
        <v>28</v>
      </c>
      <c r="C6" s="14"/>
      <c r="D6" s="14"/>
      <c r="E6" s="14"/>
      <c r="F6" s="14"/>
      <c r="G6" s="14"/>
      <c r="H6" s="14"/>
      <c r="I6" s="14"/>
      <c r="J6" s="14"/>
      <c r="K6" s="9"/>
    </row>
    <row r="7" spans="1:21">
      <c r="A7" s="10"/>
      <c r="B7" s="15" t="s">
        <v>56</v>
      </c>
      <c r="C7" s="16"/>
      <c r="D7" s="14"/>
      <c r="E7" s="14"/>
      <c r="F7" s="14"/>
      <c r="G7" s="14"/>
      <c r="H7" s="14"/>
      <c r="I7" s="14"/>
      <c r="J7" s="14"/>
      <c r="K7" s="9"/>
    </row>
    <row r="8" spans="1:21">
      <c r="A8" s="10"/>
      <c r="B8" s="42" t="s">
        <v>40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</row>
    <row r="9" spans="1:21">
      <c r="A9" s="10"/>
      <c r="B9" s="42" t="s">
        <v>78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</row>
    <row r="10" spans="1:21" ht="6" customHeight="1" thickBot="1">
      <c r="A10" s="10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 ht="13" thickTop="1">
      <c r="A11" s="10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</row>
    <row r="12" spans="1:21">
      <c r="A12" s="9"/>
      <c r="B12" s="19" t="s">
        <v>29</v>
      </c>
      <c r="C12" s="20"/>
      <c r="D12" s="12"/>
      <c r="E12" s="12"/>
      <c r="F12" s="12"/>
      <c r="G12" s="12"/>
      <c r="H12" s="12"/>
      <c r="I12" s="12"/>
      <c r="J12" s="9"/>
      <c r="K12" s="9"/>
    </row>
    <row r="13" spans="1:21" ht="7" customHeight="1">
      <c r="A13" s="9"/>
      <c r="B13" s="19"/>
      <c r="C13" s="20"/>
      <c r="D13" s="12"/>
      <c r="E13" s="12"/>
      <c r="F13" s="12"/>
      <c r="G13" s="12"/>
      <c r="H13" s="12"/>
      <c r="I13" s="12"/>
      <c r="J13" s="9"/>
      <c r="K13" s="9"/>
    </row>
    <row r="14" spans="1:21">
      <c r="A14" s="21"/>
      <c r="B14" s="22" t="s">
        <v>92</v>
      </c>
      <c r="C14" s="23"/>
      <c r="D14" s="12"/>
      <c r="E14" s="12"/>
      <c r="F14" s="12"/>
      <c r="G14" s="12"/>
      <c r="H14" s="12"/>
      <c r="I14" s="12"/>
      <c r="J14" s="9"/>
      <c r="K14" s="9"/>
    </row>
    <row r="15" spans="1:21">
      <c r="A15" s="21"/>
      <c r="B15" s="22"/>
      <c r="C15" s="23"/>
      <c r="D15" s="12"/>
      <c r="E15" s="12"/>
      <c r="F15" s="12"/>
      <c r="G15" s="12"/>
      <c r="H15" s="12"/>
      <c r="I15" s="12"/>
      <c r="J15" s="9"/>
      <c r="K15" s="9"/>
    </row>
    <row r="16" spans="1:21">
      <c r="A16" s="21"/>
      <c r="B16" s="19" t="s">
        <v>30</v>
      </c>
      <c r="D16" s="46"/>
      <c r="E16" s="12"/>
      <c r="F16" s="12"/>
      <c r="G16" s="12"/>
      <c r="H16" s="12"/>
      <c r="I16" s="12"/>
      <c r="J16" s="9"/>
      <c r="K16" s="9"/>
    </row>
    <row r="17" spans="1:11" ht="7" customHeight="1">
      <c r="A17" s="21"/>
      <c r="B17" s="19"/>
      <c r="D17" s="46"/>
      <c r="E17" s="12"/>
      <c r="F17" s="12"/>
      <c r="G17" s="12"/>
      <c r="H17" s="12"/>
      <c r="I17" s="12"/>
      <c r="J17" s="9"/>
      <c r="K17" s="9"/>
    </row>
    <row r="18" spans="1:11">
      <c r="A18" s="21"/>
      <c r="B18" s="19"/>
      <c r="D18" s="46"/>
      <c r="E18" s="12"/>
      <c r="F18" s="12"/>
      <c r="G18" s="12"/>
      <c r="H18" s="12"/>
      <c r="I18" s="12"/>
      <c r="J18" s="9"/>
      <c r="K18" s="9"/>
    </row>
    <row r="19" spans="1:11">
      <c r="A19" s="21"/>
      <c r="B19" s="84"/>
      <c r="C19" s="85" t="s">
        <v>58</v>
      </c>
      <c r="D19" s="85" t="s">
        <v>59</v>
      </c>
      <c r="E19" s="12"/>
      <c r="F19" s="12"/>
      <c r="G19" s="12"/>
      <c r="H19" s="12"/>
      <c r="I19" s="12"/>
      <c r="J19" s="9"/>
      <c r="K19" s="9"/>
    </row>
    <row r="20" spans="1:11">
      <c r="A20" s="21"/>
      <c r="B20" s="86" t="s">
        <v>43</v>
      </c>
      <c r="C20" s="87" t="s">
        <v>44</v>
      </c>
      <c r="D20" s="87" t="s">
        <v>44</v>
      </c>
      <c r="E20" s="12"/>
      <c r="F20" s="12"/>
      <c r="G20" s="12"/>
      <c r="H20" s="12"/>
      <c r="I20" s="12"/>
      <c r="J20" s="9"/>
      <c r="K20" s="9"/>
    </row>
    <row r="21" spans="1:11">
      <c r="A21" s="21"/>
      <c r="B21" s="86" t="s">
        <v>45</v>
      </c>
      <c r="C21" s="87" t="s">
        <v>44</v>
      </c>
      <c r="D21" s="87" t="s">
        <v>44</v>
      </c>
      <c r="E21" s="12"/>
      <c r="F21" s="12"/>
      <c r="G21" s="12"/>
      <c r="H21" s="12"/>
      <c r="I21" s="12"/>
      <c r="J21" s="9"/>
      <c r="K21" s="9"/>
    </row>
    <row r="22" spans="1:11">
      <c r="A22" s="21"/>
      <c r="B22" s="86" t="s">
        <v>46</v>
      </c>
      <c r="C22" s="87" t="s">
        <v>44</v>
      </c>
      <c r="D22" s="87" t="s">
        <v>44</v>
      </c>
      <c r="E22" s="12"/>
      <c r="F22" s="12"/>
      <c r="G22" s="12"/>
      <c r="H22" s="12"/>
      <c r="I22" s="12"/>
      <c r="J22" s="9"/>
      <c r="K22" s="9"/>
    </row>
    <row r="23" spans="1:11">
      <c r="A23" s="21"/>
      <c r="B23" s="48"/>
      <c r="C23" s="47"/>
      <c r="D23" s="47"/>
      <c r="E23" s="12"/>
      <c r="F23" s="12"/>
      <c r="G23" s="12"/>
      <c r="H23" s="12"/>
      <c r="I23" s="12"/>
      <c r="J23" s="9"/>
      <c r="K23" s="9"/>
    </row>
    <row r="24" spans="1:11">
      <c r="A24" s="21"/>
      <c r="B24" s="19" t="s">
        <v>31</v>
      </c>
      <c r="C24" s="20"/>
      <c r="D24" s="12"/>
      <c r="E24" s="12"/>
      <c r="F24" s="12"/>
      <c r="G24" s="12"/>
      <c r="H24" s="12"/>
      <c r="I24" s="12"/>
      <c r="J24" s="9"/>
      <c r="K24" s="9"/>
    </row>
    <row r="25" spans="1:11" ht="7" customHeight="1">
      <c r="A25" s="21"/>
      <c r="B25" s="19"/>
      <c r="C25" s="20"/>
      <c r="D25" s="12"/>
      <c r="E25" s="12"/>
      <c r="F25" s="12"/>
      <c r="G25" s="12"/>
      <c r="H25" s="12"/>
      <c r="I25" s="12"/>
      <c r="J25" s="9"/>
      <c r="K25" s="9"/>
    </row>
    <row r="26" spans="1:11">
      <c r="A26" s="97" t="s">
        <v>81</v>
      </c>
      <c r="B26" s="24" t="s">
        <v>87</v>
      </c>
      <c r="C26" s="20"/>
      <c r="D26" s="12"/>
      <c r="E26" s="12"/>
      <c r="F26" s="12"/>
      <c r="H26" s="12"/>
      <c r="I26" s="12"/>
      <c r="J26" s="9"/>
      <c r="K26" s="9"/>
    </row>
    <row r="27" spans="1:11">
      <c r="A27" s="97" t="s">
        <v>82</v>
      </c>
      <c r="B27" s="25" t="s">
        <v>88</v>
      </c>
      <c r="C27" s="20"/>
      <c r="D27" s="12"/>
      <c r="E27" s="12"/>
      <c r="F27" s="12"/>
      <c r="H27" s="12"/>
      <c r="I27" s="12"/>
      <c r="J27" s="9"/>
      <c r="K27" s="9"/>
    </row>
    <row r="28" spans="1:11">
      <c r="A28" s="97" t="s">
        <v>83</v>
      </c>
      <c r="B28" s="25" t="s">
        <v>86</v>
      </c>
      <c r="C28" s="20"/>
      <c r="D28" s="12"/>
      <c r="E28" s="12"/>
      <c r="F28" s="12"/>
      <c r="H28" s="12"/>
      <c r="I28" s="12"/>
      <c r="J28" s="9"/>
      <c r="K28" s="9"/>
    </row>
    <row r="29" spans="1:11">
      <c r="A29" s="97" t="s">
        <v>84</v>
      </c>
      <c r="B29" s="25" t="s">
        <v>89</v>
      </c>
      <c r="C29" s="20"/>
      <c r="D29" s="12"/>
      <c r="E29" s="12"/>
      <c r="F29" s="12"/>
      <c r="H29" s="12"/>
      <c r="I29" s="12"/>
      <c r="J29" s="9"/>
      <c r="K29" s="9"/>
    </row>
    <row r="30" spans="1:11">
      <c r="A30" s="97" t="s">
        <v>85</v>
      </c>
      <c r="B30" s="25" t="s">
        <v>90</v>
      </c>
    </row>
    <row r="31" spans="1:11">
      <c r="B31" s="25"/>
    </row>
    <row r="33" spans="2:21">
      <c r="B33" s="19" t="s">
        <v>32</v>
      </c>
    </row>
    <row r="34" spans="2:21" ht="7" customHeight="1">
      <c r="B34" s="19"/>
    </row>
    <row r="35" spans="2:21">
      <c r="B35" s="19"/>
    </row>
    <row r="36" spans="2:21">
      <c r="B36" s="19"/>
      <c r="F36" s="95" t="s">
        <v>48</v>
      </c>
      <c r="G36" s="78"/>
      <c r="H36" s="78"/>
      <c r="I36" s="78"/>
      <c r="J36" s="78"/>
    </row>
    <row r="37" spans="2:21">
      <c r="F37" s="96" t="s">
        <v>39</v>
      </c>
      <c r="G37" s="78"/>
      <c r="H37" s="78"/>
      <c r="I37" s="78"/>
      <c r="J37" s="78"/>
    </row>
    <row r="38" spans="2:21">
      <c r="F38" s="96" t="s">
        <v>47</v>
      </c>
      <c r="G38" s="78"/>
      <c r="H38" s="78"/>
      <c r="I38" s="78"/>
      <c r="J38" s="78"/>
    </row>
    <row r="39" spans="2:21">
      <c r="B39" s="38"/>
    </row>
    <row r="41" spans="2:21">
      <c r="B41" s="72"/>
      <c r="C41" s="26"/>
      <c r="D41" s="27"/>
      <c r="E41" s="27"/>
      <c r="M41" s="72"/>
      <c r="N41" s="24"/>
    </row>
    <row r="42" spans="2:21">
      <c r="C42" s="24" t="s">
        <v>37</v>
      </c>
      <c r="D42" s="24" t="s">
        <v>75</v>
      </c>
      <c r="G42" s="24" t="s">
        <v>6</v>
      </c>
      <c r="I42" s="24" t="s">
        <v>75</v>
      </c>
      <c r="M42" s="100" t="s">
        <v>4</v>
      </c>
      <c r="N42" s="36">
        <f>+D45/12</f>
        <v>0</v>
      </c>
      <c r="O42" s="36"/>
    </row>
    <row r="43" spans="2:21">
      <c r="C43" s="24" t="s">
        <v>19</v>
      </c>
      <c r="D43" s="24" t="s">
        <v>75</v>
      </c>
      <c r="G43" s="24" t="s">
        <v>38</v>
      </c>
      <c r="I43" s="88">
        <v>0</v>
      </c>
      <c r="J43" s="28"/>
      <c r="M43" s="100" t="s">
        <v>25</v>
      </c>
      <c r="N43" s="28">
        <f>+NPV(N42,N48:N59)</f>
        <v>0</v>
      </c>
      <c r="O43" s="51" t="s">
        <v>50</v>
      </c>
    </row>
    <row r="44" spans="2:21">
      <c r="C44" s="24" t="s">
        <v>20</v>
      </c>
      <c r="D44" s="24" t="s">
        <v>75</v>
      </c>
      <c r="G44" s="24" t="s">
        <v>18</v>
      </c>
      <c r="I44" s="88">
        <v>0</v>
      </c>
      <c r="J44" s="28"/>
    </row>
    <row r="45" spans="2:21">
      <c r="C45" s="24" t="s">
        <v>36</v>
      </c>
      <c r="D45" s="29">
        <v>0</v>
      </c>
      <c r="E45" s="30"/>
      <c r="J45" s="28"/>
      <c r="M45" s="24"/>
      <c r="N45" s="30"/>
      <c r="O45" s="24"/>
      <c r="P45" s="24"/>
      <c r="Q45" s="24"/>
      <c r="R45" s="24"/>
    </row>
    <row r="46" spans="2:21">
      <c r="C46" s="26"/>
      <c r="D46" s="29"/>
      <c r="E46" s="30"/>
      <c r="G46" s="26"/>
      <c r="J46" s="28"/>
      <c r="M46" s="24"/>
      <c r="N46" s="30"/>
      <c r="O46" s="24"/>
      <c r="P46" s="24"/>
      <c r="Q46" s="24"/>
      <c r="R46" s="24"/>
    </row>
    <row r="47" spans="2:21" s="65" customFormat="1" ht="25">
      <c r="B47" s="66" t="s">
        <v>5</v>
      </c>
      <c r="C47" s="66" t="s">
        <v>0</v>
      </c>
      <c r="D47" s="66" t="s">
        <v>100</v>
      </c>
      <c r="E47" s="66" t="s">
        <v>25</v>
      </c>
      <c r="F47" s="66" t="s">
        <v>0</v>
      </c>
      <c r="G47" s="66" t="s">
        <v>100</v>
      </c>
      <c r="H47" s="66" t="s">
        <v>1</v>
      </c>
      <c r="I47" s="66" t="s">
        <v>22</v>
      </c>
      <c r="J47" s="66" t="s">
        <v>3</v>
      </c>
      <c r="K47" s="66" t="s">
        <v>101</v>
      </c>
      <c r="M47" s="68" t="s">
        <v>21</v>
      </c>
      <c r="N47" s="68" t="s">
        <v>24</v>
      </c>
      <c r="O47" s="68" t="s">
        <v>22</v>
      </c>
      <c r="P47" s="68" t="s">
        <v>102</v>
      </c>
      <c r="Q47" s="68" t="s">
        <v>23</v>
      </c>
      <c r="R47" s="67"/>
      <c r="S47" s="68" t="s">
        <v>34</v>
      </c>
      <c r="T47" s="68" t="s">
        <v>103</v>
      </c>
      <c r="U47" s="68" t="s">
        <v>104</v>
      </c>
    </row>
    <row r="48" spans="2:21">
      <c r="B48" s="55"/>
      <c r="C48" s="56"/>
      <c r="D48" s="57"/>
      <c r="E48" s="58"/>
      <c r="F48" s="55"/>
      <c r="G48" s="59"/>
      <c r="H48" s="58"/>
      <c r="I48" s="60"/>
      <c r="J48" s="58"/>
      <c r="K48" s="58"/>
      <c r="M48" s="58">
        <f>+N43</f>
        <v>0</v>
      </c>
      <c r="N48" s="58">
        <f>+I43</f>
        <v>0</v>
      </c>
      <c r="O48" s="69">
        <f t="shared" ref="O48:O59" si="0">+M48*$N$42</f>
        <v>0</v>
      </c>
      <c r="P48" s="58">
        <f>+M48+O48-N48</f>
        <v>0</v>
      </c>
      <c r="Q48" s="58" t="e">
        <f t="shared" ref="Q48:Q59" si="1">+$M$48/$J$42</f>
        <v>#DIV/0!</v>
      </c>
      <c r="S48" s="73">
        <f>+J48-N48</f>
        <v>0</v>
      </c>
      <c r="T48" s="73">
        <f>+H48-P48</f>
        <v>0</v>
      </c>
      <c r="U48" s="74">
        <f>+I48-O48</f>
        <v>0</v>
      </c>
    </row>
    <row r="49" spans="2:21">
      <c r="B49" s="55"/>
      <c r="C49" s="56"/>
      <c r="D49" s="57"/>
      <c r="E49" s="58"/>
      <c r="F49" s="55"/>
      <c r="G49" s="61"/>
      <c r="H49" s="58"/>
      <c r="I49" s="60"/>
      <c r="J49" s="58"/>
      <c r="K49" s="58"/>
      <c r="M49" s="58">
        <f>+P48</f>
        <v>0</v>
      </c>
      <c r="N49" s="58">
        <f>+N48</f>
        <v>0</v>
      </c>
      <c r="O49" s="69">
        <f t="shared" si="0"/>
        <v>0</v>
      </c>
      <c r="P49" s="58">
        <f t="shared" ref="P49:P59" si="2">+M49+O49-N49</f>
        <v>0</v>
      </c>
      <c r="Q49" s="58" t="e">
        <f t="shared" si="1"/>
        <v>#DIV/0!</v>
      </c>
      <c r="S49" s="73">
        <f t="shared" ref="S49:S59" si="3">+J49-N49</f>
        <v>0</v>
      </c>
      <c r="T49" s="73">
        <f t="shared" ref="T49:T59" si="4">+H49-P49</f>
        <v>0</v>
      </c>
      <c r="U49" s="74">
        <f t="shared" ref="U49:U59" si="5">+I49-O49</f>
        <v>0</v>
      </c>
    </row>
    <row r="50" spans="2:21">
      <c r="B50" s="55"/>
      <c r="C50" s="56"/>
      <c r="D50" s="57"/>
      <c r="E50" s="58"/>
      <c r="F50" s="55"/>
      <c r="G50" s="61"/>
      <c r="H50" s="58"/>
      <c r="I50" s="60"/>
      <c r="J50" s="58"/>
      <c r="K50" s="58"/>
      <c r="M50" s="58">
        <f t="shared" ref="M50:M59" si="6">+P49</f>
        <v>0</v>
      </c>
      <c r="N50" s="58">
        <f t="shared" ref="N50:N59" si="7">+N49</f>
        <v>0</v>
      </c>
      <c r="O50" s="69">
        <f t="shared" si="0"/>
        <v>0</v>
      </c>
      <c r="P50" s="58">
        <f t="shared" si="2"/>
        <v>0</v>
      </c>
      <c r="Q50" s="58" t="e">
        <f t="shared" si="1"/>
        <v>#DIV/0!</v>
      </c>
      <c r="S50" s="73">
        <f t="shared" si="3"/>
        <v>0</v>
      </c>
      <c r="T50" s="73">
        <f t="shared" si="4"/>
        <v>0</v>
      </c>
      <c r="U50" s="74">
        <f t="shared" si="5"/>
        <v>0</v>
      </c>
    </row>
    <row r="51" spans="2:21">
      <c r="B51" s="55"/>
      <c r="C51" s="56"/>
      <c r="D51" s="57"/>
      <c r="E51" s="58"/>
      <c r="F51" s="55"/>
      <c r="G51" s="61"/>
      <c r="H51" s="58"/>
      <c r="I51" s="60"/>
      <c r="J51" s="58"/>
      <c r="K51" s="58"/>
      <c r="M51" s="58">
        <f t="shared" si="6"/>
        <v>0</v>
      </c>
      <c r="N51" s="58">
        <f t="shared" si="7"/>
        <v>0</v>
      </c>
      <c r="O51" s="69">
        <f t="shared" si="0"/>
        <v>0</v>
      </c>
      <c r="P51" s="58">
        <f t="shared" si="2"/>
        <v>0</v>
      </c>
      <c r="Q51" s="58" t="e">
        <f t="shared" si="1"/>
        <v>#DIV/0!</v>
      </c>
      <c r="S51" s="73">
        <f t="shared" si="3"/>
        <v>0</v>
      </c>
      <c r="T51" s="73">
        <f t="shared" si="4"/>
        <v>0</v>
      </c>
      <c r="U51" s="74">
        <f t="shared" si="5"/>
        <v>0</v>
      </c>
    </row>
    <row r="52" spans="2:21">
      <c r="B52" s="55"/>
      <c r="C52" s="56"/>
      <c r="D52" s="57"/>
      <c r="E52" s="58"/>
      <c r="F52" s="55"/>
      <c r="G52" s="61"/>
      <c r="H52" s="58"/>
      <c r="I52" s="60"/>
      <c r="J52" s="58"/>
      <c r="K52" s="58"/>
      <c r="M52" s="58">
        <f t="shared" si="6"/>
        <v>0</v>
      </c>
      <c r="N52" s="58">
        <f t="shared" si="7"/>
        <v>0</v>
      </c>
      <c r="O52" s="69">
        <f t="shared" si="0"/>
        <v>0</v>
      </c>
      <c r="P52" s="58">
        <f t="shared" si="2"/>
        <v>0</v>
      </c>
      <c r="Q52" s="58" t="e">
        <f t="shared" si="1"/>
        <v>#DIV/0!</v>
      </c>
      <c r="S52" s="73">
        <f t="shared" si="3"/>
        <v>0</v>
      </c>
      <c r="T52" s="73">
        <f t="shared" si="4"/>
        <v>0</v>
      </c>
      <c r="U52" s="74">
        <f t="shared" si="5"/>
        <v>0</v>
      </c>
    </row>
    <row r="53" spans="2:21">
      <c r="B53" s="62"/>
      <c r="C53" s="56"/>
      <c r="D53" s="57"/>
      <c r="E53" s="58"/>
      <c r="F53" s="55"/>
      <c r="G53" s="61"/>
      <c r="H53" s="58"/>
      <c r="I53" s="60"/>
      <c r="J53" s="58"/>
      <c r="K53" s="58"/>
      <c r="M53" s="58">
        <f t="shared" si="6"/>
        <v>0</v>
      </c>
      <c r="N53" s="58">
        <f t="shared" si="7"/>
        <v>0</v>
      </c>
      <c r="O53" s="69">
        <f t="shared" si="0"/>
        <v>0</v>
      </c>
      <c r="P53" s="58">
        <f t="shared" si="2"/>
        <v>0</v>
      </c>
      <c r="Q53" s="58" t="e">
        <f t="shared" si="1"/>
        <v>#DIV/0!</v>
      </c>
      <c r="S53" s="73">
        <f t="shared" si="3"/>
        <v>0</v>
      </c>
      <c r="T53" s="73">
        <f t="shared" si="4"/>
        <v>0</v>
      </c>
      <c r="U53" s="74">
        <f t="shared" si="5"/>
        <v>0</v>
      </c>
    </row>
    <row r="54" spans="2:21">
      <c r="B54" s="55"/>
      <c r="C54" s="56"/>
      <c r="D54" s="57"/>
      <c r="E54" s="58"/>
      <c r="F54" s="55"/>
      <c r="G54" s="63"/>
      <c r="H54" s="58"/>
      <c r="I54" s="60"/>
      <c r="J54" s="58"/>
      <c r="K54" s="58"/>
      <c r="M54" s="58">
        <f t="shared" si="6"/>
        <v>0</v>
      </c>
      <c r="N54" s="58">
        <f t="shared" si="7"/>
        <v>0</v>
      </c>
      <c r="O54" s="69">
        <f t="shared" si="0"/>
        <v>0</v>
      </c>
      <c r="P54" s="58">
        <f t="shared" si="2"/>
        <v>0</v>
      </c>
      <c r="Q54" s="58" t="e">
        <f t="shared" si="1"/>
        <v>#DIV/0!</v>
      </c>
      <c r="S54" s="73">
        <f t="shared" si="3"/>
        <v>0</v>
      </c>
      <c r="T54" s="73">
        <f t="shared" si="4"/>
        <v>0</v>
      </c>
      <c r="U54" s="74">
        <f t="shared" si="5"/>
        <v>0</v>
      </c>
    </row>
    <row r="55" spans="2:21">
      <c r="B55" s="55"/>
      <c r="C55" s="56"/>
      <c r="D55" s="57"/>
      <c r="E55" s="58"/>
      <c r="F55" s="55"/>
      <c r="G55" s="63"/>
      <c r="H55" s="58"/>
      <c r="I55" s="60"/>
      <c r="J55" s="58"/>
      <c r="K55" s="58"/>
      <c r="M55" s="58">
        <f t="shared" si="6"/>
        <v>0</v>
      </c>
      <c r="N55" s="58">
        <f t="shared" si="7"/>
        <v>0</v>
      </c>
      <c r="O55" s="69">
        <f t="shared" si="0"/>
        <v>0</v>
      </c>
      <c r="P55" s="58">
        <f t="shared" si="2"/>
        <v>0</v>
      </c>
      <c r="Q55" s="58" t="e">
        <f t="shared" si="1"/>
        <v>#DIV/0!</v>
      </c>
      <c r="S55" s="73">
        <f t="shared" si="3"/>
        <v>0</v>
      </c>
      <c r="T55" s="73">
        <f t="shared" si="4"/>
        <v>0</v>
      </c>
      <c r="U55" s="74">
        <f t="shared" si="5"/>
        <v>0</v>
      </c>
    </row>
    <row r="56" spans="2:21">
      <c r="B56" s="64"/>
      <c r="C56" s="56"/>
      <c r="D56" s="57"/>
      <c r="E56" s="58"/>
      <c r="F56" s="55"/>
      <c r="G56" s="63"/>
      <c r="H56" s="58"/>
      <c r="I56" s="60"/>
      <c r="J56" s="58"/>
      <c r="K56" s="58"/>
      <c r="M56" s="58">
        <f t="shared" si="6"/>
        <v>0</v>
      </c>
      <c r="N56" s="58">
        <f t="shared" si="7"/>
        <v>0</v>
      </c>
      <c r="O56" s="69">
        <f t="shared" si="0"/>
        <v>0</v>
      </c>
      <c r="P56" s="58">
        <f t="shared" si="2"/>
        <v>0</v>
      </c>
      <c r="Q56" s="58" t="e">
        <f t="shared" si="1"/>
        <v>#DIV/0!</v>
      </c>
      <c r="S56" s="73">
        <f t="shared" si="3"/>
        <v>0</v>
      </c>
      <c r="T56" s="73">
        <f t="shared" si="4"/>
        <v>0</v>
      </c>
      <c r="U56" s="74">
        <f t="shared" si="5"/>
        <v>0</v>
      </c>
    </row>
    <row r="57" spans="2:21">
      <c r="B57" s="55"/>
      <c r="C57" s="56"/>
      <c r="D57" s="57"/>
      <c r="E57" s="58"/>
      <c r="F57" s="55"/>
      <c r="G57" s="63"/>
      <c r="H57" s="58"/>
      <c r="I57" s="60"/>
      <c r="J57" s="58"/>
      <c r="K57" s="58"/>
      <c r="M57" s="58">
        <f t="shared" si="6"/>
        <v>0</v>
      </c>
      <c r="N57" s="58">
        <f t="shared" si="7"/>
        <v>0</v>
      </c>
      <c r="O57" s="69">
        <f t="shared" si="0"/>
        <v>0</v>
      </c>
      <c r="P57" s="58">
        <f t="shared" si="2"/>
        <v>0</v>
      </c>
      <c r="Q57" s="58" t="e">
        <f t="shared" si="1"/>
        <v>#DIV/0!</v>
      </c>
      <c r="S57" s="73">
        <f t="shared" si="3"/>
        <v>0</v>
      </c>
      <c r="T57" s="73">
        <f t="shared" si="4"/>
        <v>0</v>
      </c>
      <c r="U57" s="74">
        <f t="shared" si="5"/>
        <v>0</v>
      </c>
    </row>
    <row r="58" spans="2:21">
      <c r="B58" s="55"/>
      <c r="C58" s="56"/>
      <c r="D58" s="58"/>
      <c r="E58" s="58"/>
      <c r="F58" s="55"/>
      <c r="G58" s="63"/>
      <c r="H58" s="58"/>
      <c r="I58" s="58"/>
      <c r="J58" s="58"/>
      <c r="K58" s="58"/>
      <c r="M58" s="58">
        <f t="shared" si="6"/>
        <v>0</v>
      </c>
      <c r="N58" s="58">
        <f t="shared" si="7"/>
        <v>0</v>
      </c>
      <c r="O58" s="69">
        <f t="shared" si="0"/>
        <v>0</v>
      </c>
      <c r="P58" s="58">
        <f t="shared" si="2"/>
        <v>0</v>
      </c>
      <c r="Q58" s="58" t="e">
        <f t="shared" si="1"/>
        <v>#DIV/0!</v>
      </c>
      <c r="S58" s="73">
        <f t="shared" si="3"/>
        <v>0</v>
      </c>
      <c r="T58" s="73">
        <f t="shared" si="4"/>
        <v>0</v>
      </c>
      <c r="U58" s="74">
        <f t="shared" si="5"/>
        <v>0</v>
      </c>
    </row>
    <row r="59" spans="2:21">
      <c r="B59" s="55"/>
      <c r="C59" s="56"/>
      <c r="D59" s="58"/>
      <c r="E59" s="58"/>
      <c r="F59" s="55"/>
      <c r="G59" s="63"/>
      <c r="H59" s="58"/>
      <c r="I59" s="58"/>
      <c r="J59" s="58"/>
      <c r="K59" s="58"/>
      <c r="M59" s="58">
        <f t="shared" si="6"/>
        <v>0</v>
      </c>
      <c r="N59" s="58">
        <f t="shared" si="7"/>
        <v>0</v>
      </c>
      <c r="O59" s="69">
        <f t="shared" si="0"/>
        <v>0</v>
      </c>
      <c r="P59" s="58">
        <f t="shared" si="2"/>
        <v>0</v>
      </c>
      <c r="Q59" s="58" t="e">
        <f t="shared" si="1"/>
        <v>#DIV/0!</v>
      </c>
      <c r="S59" s="73">
        <f t="shared" si="3"/>
        <v>0</v>
      </c>
      <c r="T59" s="73">
        <f t="shared" si="4"/>
        <v>0</v>
      </c>
      <c r="U59" s="74">
        <f t="shared" si="5"/>
        <v>0</v>
      </c>
    </row>
    <row r="60" spans="2:21" ht="4.5" customHeight="1">
      <c r="B60" s="31"/>
      <c r="C60" s="32"/>
      <c r="D60" s="28"/>
      <c r="E60" s="28"/>
      <c r="F60" s="31"/>
      <c r="G60" s="34"/>
      <c r="H60" s="28"/>
      <c r="I60" s="28"/>
      <c r="J60" s="28"/>
      <c r="K60" s="28"/>
    </row>
    <row r="61" spans="2:21" ht="14.25" customHeight="1" thickBot="1">
      <c r="J61" s="35"/>
      <c r="N61" s="49">
        <f>+SUM(N48:N59)</f>
        <v>0</v>
      </c>
      <c r="O61" s="49">
        <f>+SUM(O48:O59)</f>
        <v>0</v>
      </c>
      <c r="Q61" s="49" t="e">
        <f>+SUM(Q48:Q59)</f>
        <v>#DIV/0!</v>
      </c>
      <c r="S61" s="37">
        <f>+SUM(S48:S59)</f>
        <v>0</v>
      </c>
      <c r="T61" s="37">
        <f>+SUM(T48:T59)</f>
        <v>0</v>
      </c>
      <c r="U61" s="37">
        <f>+SUM(U48:U59)</f>
        <v>0</v>
      </c>
    </row>
    <row r="62" spans="2:21" ht="13" thickTop="1">
      <c r="N62" s="50" t="s">
        <v>51</v>
      </c>
      <c r="O62" s="50" t="s">
        <v>52</v>
      </c>
      <c r="Q62" s="50" t="s">
        <v>53</v>
      </c>
    </row>
    <row r="65" spans="2:18">
      <c r="B65" s="110" t="s">
        <v>94</v>
      </c>
      <c r="C65" s="111"/>
      <c r="D65" s="112"/>
    </row>
    <row r="67" spans="2:18">
      <c r="B67" s="98" t="s">
        <v>93</v>
      </c>
      <c r="N67" s="24"/>
      <c r="O67" s="24"/>
      <c r="P67" s="24"/>
      <c r="Q67" s="24"/>
      <c r="R67" s="24"/>
    </row>
    <row r="68" spans="2:18">
      <c r="B68" s="89"/>
      <c r="N68" s="24"/>
      <c r="O68" s="24"/>
      <c r="P68" s="24"/>
      <c r="Q68" s="24"/>
      <c r="R68" s="24"/>
    </row>
    <row r="69" spans="2:18" ht="25">
      <c r="B69" s="75" t="s">
        <v>72</v>
      </c>
      <c r="C69" s="75" t="s">
        <v>73</v>
      </c>
      <c r="D69" s="75" t="s">
        <v>95</v>
      </c>
      <c r="N69" s="24"/>
      <c r="O69" s="24"/>
      <c r="P69" s="24"/>
      <c r="Q69" s="24"/>
      <c r="R69" s="24"/>
    </row>
    <row r="70" spans="2:18">
      <c r="B70" s="64"/>
      <c r="C70" s="64"/>
      <c r="D70" s="74">
        <v>0</v>
      </c>
      <c r="N70" s="24"/>
      <c r="O70" s="24"/>
      <c r="P70" s="24"/>
      <c r="Q70" s="24"/>
      <c r="R70" s="24"/>
    </row>
    <row r="71" spans="2:18">
      <c r="B71" s="64"/>
      <c r="C71" s="64"/>
      <c r="D71" s="74">
        <v>0</v>
      </c>
      <c r="N71" s="24"/>
      <c r="O71" s="24"/>
      <c r="P71" s="24"/>
      <c r="Q71" s="24"/>
      <c r="R71" s="24"/>
    </row>
    <row r="72" spans="2:18" ht="6" customHeight="1">
      <c r="N72" s="24"/>
      <c r="O72" s="24"/>
      <c r="P72" s="24"/>
      <c r="Q72" s="24"/>
      <c r="R72" s="24"/>
    </row>
    <row r="73" spans="2:18" ht="13" thickBot="1">
      <c r="D73" s="101">
        <f>+SUM(D70:D71)</f>
        <v>0</v>
      </c>
      <c r="E73" s="104" t="s">
        <v>49</v>
      </c>
      <c r="N73" s="24"/>
      <c r="O73" s="24"/>
      <c r="P73" s="24"/>
      <c r="Q73" s="24"/>
      <c r="R73" s="24"/>
    </row>
    <row r="74" spans="2:18" ht="13" thickTop="1">
      <c r="D74" s="103"/>
      <c r="E74" s="92"/>
      <c r="N74" s="24"/>
      <c r="O74" s="24"/>
      <c r="P74" s="24"/>
      <c r="Q74" s="24"/>
      <c r="R74" s="24"/>
    </row>
    <row r="75" spans="2:18">
      <c r="C75" s="90" t="s">
        <v>99</v>
      </c>
      <c r="D75" s="91">
        <f>+N43</f>
        <v>0</v>
      </c>
      <c r="E75" s="51" t="s">
        <v>50</v>
      </c>
      <c r="N75" s="24"/>
      <c r="O75" s="24"/>
      <c r="P75" s="24"/>
      <c r="Q75" s="24"/>
      <c r="R75" s="24"/>
    </row>
    <row r="76" spans="2:18" ht="13" thickBot="1">
      <c r="C76" s="106" t="s">
        <v>76</v>
      </c>
      <c r="D76" s="107">
        <f>+D71-D75</f>
        <v>0</v>
      </c>
      <c r="N76" s="24"/>
      <c r="O76" s="24"/>
      <c r="P76" s="24"/>
      <c r="Q76" s="24"/>
      <c r="R76" s="24"/>
    </row>
    <row r="77" spans="2:18" ht="13" thickTop="1">
      <c r="D77" s="39"/>
      <c r="E77" s="50"/>
      <c r="N77" s="24"/>
      <c r="O77" s="24"/>
      <c r="P77" s="24"/>
      <c r="Q77" s="24"/>
      <c r="R77" s="24"/>
    </row>
    <row r="78" spans="2:18">
      <c r="D78" s="39"/>
      <c r="E78" s="50"/>
      <c r="N78" s="24"/>
      <c r="O78" s="24"/>
      <c r="P78" s="24"/>
      <c r="Q78" s="24"/>
      <c r="R78" s="24"/>
    </row>
    <row r="79" spans="2:18">
      <c r="B79" s="98" t="s">
        <v>96</v>
      </c>
      <c r="N79" s="24"/>
      <c r="O79" s="24"/>
      <c r="P79" s="24"/>
      <c r="Q79" s="24"/>
      <c r="R79" s="24"/>
    </row>
    <row r="80" spans="2:18">
      <c r="B80" s="89"/>
      <c r="N80" s="24"/>
      <c r="O80" s="24"/>
      <c r="P80" s="24"/>
      <c r="Q80" s="24"/>
      <c r="R80" s="24"/>
    </row>
    <row r="81" spans="2:7" ht="25">
      <c r="B81" s="75" t="s">
        <v>72</v>
      </c>
      <c r="C81" s="75" t="s">
        <v>73</v>
      </c>
      <c r="D81" s="75" t="s">
        <v>95</v>
      </c>
    </row>
    <row r="82" spans="2:7">
      <c r="B82" s="64"/>
      <c r="C82" s="64"/>
      <c r="D82" s="99"/>
    </row>
    <row r="83" spans="2:7">
      <c r="B83" s="64"/>
      <c r="C83" s="64"/>
      <c r="D83" s="99"/>
    </row>
    <row r="84" spans="2:7" ht="6" customHeight="1"/>
    <row r="85" spans="2:7" ht="13" thickBot="1">
      <c r="D85" s="101">
        <f>+SUM(D82:D83)</f>
        <v>0</v>
      </c>
      <c r="E85" s="104" t="s">
        <v>49</v>
      </c>
    </row>
    <row r="86" spans="2:7" ht="13" thickTop="1">
      <c r="D86" s="103"/>
      <c r="E86" s="92"/>
    </row>
    <row r="87" spans="2:7">
      <c r="C87" s="90" t="s">
        <v>99</v>
      </c>
      <c r="D87" s="79">
        <f>+N61-O61</f>
        <v>0</v>
      </c>
      <c r="E87" s="51" t="s">
        <v>54</v>
      </c>
    </row>
    <row r="88" spans="2:7" ht="13" thickBot="1">
      <c r="C88" s="106" t="s">
        <v>76</v>
      </c>
      <c r="D88" s="108">
        <f>+D82-D87</f>
        <v>0</v>
      </c>
      <c r="E88" s="50"/>
    </row>
    <row r="89" spans="2:7" ht="13" thickTop="1">
      <c r="D89" s="39"/>
      <c r="E89" s="50"/>
    </row>
    <row r="90" spans="2:7">
      <c r="D90" s="39"/>
      <c r="E90" s="50"/>
    </row>
    <row r="91" spans="2:7">
      <c r="B91" s="89" t="s">
        <v>91</v>
      </c>
    </row>
    <row r="92" spans="2:7">
      <c r="B92" s="89"/>
    </row>
    <row r="93" spans="2:7" ht="25">
      <c r="B93" s="75" t="s">
        <v>72</v>
      </c>
      <c r="C93" s="75" t="s">
        <v>73</v>
      </c>
      <c r="D93" s="75" t="s">
        <v>95</v>
      </c>
      <c r="E93" s="75" t="s">
        <v>97</v>
      </c>
      <c r="F93" s="75" t="s">
        <v>35</v>
      </c>
    </row>
    <row r="94" spans="2:7">
      <c r="B94" s="64" t="s">
        <v>105</v>
      </c>
      <c r="C94" s="64"/>
      <c r="D94" s="64"/>
      <c r="E94" s="76">
        <f>+O61</f>
        <v>0</v>
      </c>
      <c r="F94" s="73">
        <f>+D94-E94</f>
        <v>0</v>
      </c>
      <c r="G94" s="51" t="s">
        <v>52</v>
      </c>
    </row>
    <row r="95" spans="2:7">
      <c r="B95" s="64" t="s">
        <v>55</v>
      </c>
      <c r="C95" s="64"/>
      <c r="D95" s="64"/>
      <c r="E95" s="76" t="e">
        <f>+Q61</f>
        <v>#DIV/0!</v>
      </c>
      <c r="F95" s="77" t="e">
        <f>+D95-E95</f>
        <v>#DIV/0!</v>
      </c>
      <c r="G95" s="51" t="s">
        <v>53</v>
      </c>
    </row>
    <row r="96" spans="2:7" ht="6" customHeight="1">
      <c r="B96" s="78"/>
      <c r="C96" s="78"/>
      <c r="D96" s="78"/>
      <c r="E96" s="79"/>
      <c r="F96" s="80"/>
      <c r="G96" s="51"/>
    </row>
    <row r="97" spans="2:6" ht="13" thickBot="1">
      <c r="B97" s="28"/>
      <c r="C97" s="28"/>
      <c r="D97" s="109"/>
      <c r="F97" s="102" t="e">
        <f>+SUM(F94:F95)</f>
        <v>#DIV/0!</v>
      </c>
    </row>
    <row r="98" spans="2:6" ht="13" thickTop="1">
      <c r="B98" s="28"/>
      <c r="C98" s="90"/>
      <c r="D98" s="33"/>
      <c r="F98" s="93"/>
    </row>
    <row r="99" spans="2:6">
      <c r="B99" s="28"/>
      <c r="C99" s="28"/>
      <c r="D99" s="33"/>
    </row>
    <row r="100" spans="2:6">
      <c r="B100" s="98" t="s">
        <v>98</v>
      </c>
    </row>
    <row r="101" spans="2:6">
      <c r="B101" s="89"/>
    </row>
    <row r="102" spans="2:6" ht="25">
      <c r="B102" s="75" t="s">
        <v>72</v>
      </c>
      <c r="C102" s="75" t="s">
        <v>73</v>
      </c>
      <c r="D102" s="75" t="s">
        <v>95</v>
      </c>
    </row>
    <row r="103" spans="2:6">
      <c r="B103" s="64"/>
      <c r="C103" s="64"/>
      <c r="D103" s="64"/>
    </row>
    <row r="104" spans="2:6" ht="6" customHeight="1">
      <c r="B104" s="28"/>
      <c r="C104" s="28"/>
      <c r="F104" s="28"/>
    </row>
    <row r="105" spans="2:6" ht="13" thickBot="1">
      <c r="D105" s="81"/>
      <c r="E105" s="105" t="s">
        <v>49</v>
      </c>
    </row>
    <row r="106" spans="2:6" ht="13" thickTop="1">
      <c r="D106" s="78"/>
      <c r="E106" s="94"/>
    </row>
    <row r="107" spans="2:6">
      <c r="C107" s="90" t="s">
        <v>99</v>
      </c>
      <c r="D107" s="79" t="e">
        <f>+Q61</f>
        <v>#DIV/0!</v>
      </c>
      <c r="E107" s="51" t="s">
        <v>53</v>
      </c>
    </row>
    <row r="108" spans="2:6" ht="13" thickBot="1">
      <c r="C108" s="106" t="s">
        <v>76</v>
      </c>
      <c r="D108" s="108" t="e">
        <f>+D103-D107</f>
        <v>#DIV/0!</v>
      </c>
    </row>
    <row r="109" spans="2:6" ht="13" thickTop="1"/>
    <row r="112" spans="2:6">
      <c r="B112" s="19" t="s">
        <v>33</v>
      </c>
    </row>
    <row r="113" spans="1:2" ht="7" customHeight="1">
      <c r="B113" s="19"/>
    </row>
    <row r="114" spans="1:2">
      <c r="A114" s="72"/>
      <c r="B114" s="24" t="s">
        <v>79</v>
      </c>
    </row>
    <row r="115" spans="1:2">
      <c r="A115" s="72"/>
      <c r="B115" s="24" t="s">
        <v>80</v>
      </c>
    </row>
    <row r="116" spans="1:2">
      <c r="A116" s="72"/>
      <c r="B116" s="24" t="s">
        <v>74</v>
      </c>
    </row>
    <row r="118" spans="1:2">
      <c r="A118" s="70"/>
      <c r="B118" s="19" t="s">
        <v>106</v>
      </c>
    </row>
    <row r="119" spans="1:2" ht="7" customHeight="1">
      <c r="A119" s="70"/>
      <c r="B119" s="19"/>
    </row>
    <row r="120" spans="1:2">
      <c r="A120" s="70" t="s">
        <v>60</v>
      </c>
    </row>
    <row r="121" spans="1:2">
      <c r="A121" s="70" t="s">
        <v>61</v>
      </c>
    </row>
    <row r="122" spans="1:2">
      <c r="A122" s="70" t="s">
        <v>62</v>
      </c>
    </row>
    <row r="123" spans="1:2">
      <c r="A123" s="70"/>
      <c r="B123" s="19"/>
    </row>
    <row r="124" spans="1:2">
      <c r="A124" s="70"/>
      <c r="B124" s="19" t="s">
        <v>63</v>
      </c>
    </row>
    <row r="125" spans="1:2" ht="7" customHeight="1">
      <c r="A125" s="70"/>
      <c r="B125" s="19"/>
    </row>
    <row r="126" spans="1:2">
      <c r="A126" s="70" t="s">
        <v>64</v>
      </c>
    </row>
    <row r="127" spans="1:2">
      <c r="A127" s="70" t="s">
        <v>65</v>
      </c>
    </row>
    <row r="128" spans="1:2">
      <c r="A128" s="70" t="s">
        <v>66</v>
      </c>
    </row>
    <row r="129" spans="1:2">
      <c r="A129" s="70"/>
      <c r="B129" s="71"/>
    </row>
    <row r="130" spans="1:2">
      <c r="A130" s="70"/>
      <c r="B130" s="19" t="s">
        <v>67</v>
      </c>
    </row>
    <row r="131" spans="1:2" ht="7" customHeight="1">
      <c r="A131" s="70"/>
      <c r="B131" s="19"/>
    </row>
    <row r="132" spans="1:2">
      <c r="A132" s="70" t="s">
        <v>68</v>
      </c>
    </row>
    <row r="133" spans="1:2">
      <c r="A133" s="70" t="s">
        <v>69</v>
      </c>
    </row>
    <row r="134" spans="1:2">
      <c r="A134" s="70" t="s">
        <v>70</v>
      </c>
    </row>
    <row r="135" spans="1:2">
      <c r="A135" s="70"/>
      <c r="B135" s="71"/>
    </row>
    <row r="136" spans="1:2">
      <c r="B136" s="19" t="s">
        <v>71</v>
      </c>
    </row>
    <row r="137" spans="1:2" ht="7" customHeight="1">
      <c r="B137" s="19"/>
    </row>
    <row r="138" spans="1:2">
      <c r="B138" s="38" t="s">
        <v>77</v>
      </c>
    </row>
  </sheetData>
  <mergeCells count="1">
    <mergeCell ref="B65:D65"/>
  </mergeCells>
  <pageMargins left="0.33" right="0.18" top="0.74803149606299213" bottom="0.74803149606299213" header="0.31496062992125984" footer="0.31496062992125984"/>
  <pageSetup scale="9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showGridLines="0" zoomScaleNormal="100" workbookViewId="0">
      <selection activeCell="J5" sqref="J5"/>
    </sheetView>
  </sheetViews>
  <sheetFormatPr baseColWidth="10" defaultColWidth="0" defaultRowHeight="14"/>
  <cols>
    <col min="1" max="1" width="2.81640625" style="3" customWidth="1"/>
    <col min="2" max="2" width="4.81640625" style="3" customWidth="1"/>
    <col min="3" max="3" width="11.453125" style="3" customWidth="1"/>
    <col min="4" max="4" width="6.453125" style="3" customWidth="1"/>
    <col min="5" max="9" width="11.453125" style="3" customWidth="1"/>
    <col min="10" max="10" width="4.81640625" style="3" customWidth="1"/>
    <col min="11" max="11" width="6.453125" style="3" customWidth="1"/>
    <col min="12" max="12" width="1.81640625" style="3" customWidth="1"/>
    <col min="13" max="16384" width="11.453125" style="3" hidden="1"/>
  </cols>
  <sheetData>
    <row r="1" spans="2:11" customFormat="1" ht="15" thickBot="1"/>
    <row r="2" spans="2:11" customFormat="1" ht="21.75" customHeight="1">
      <c r="B2" s="113"/>
      <c r="C2" s="114"/>
      <c r="D2" s="119" t="s">
        <v>17</v>
      </c>
      <c r="E2" s="120"/>
      <c r="F2" s="120"/>
      <c r="G2" s="120"/>
      <c r="H2" s="120"/>
      <c r="I2" s="120"/>
      <c r="J2" s="121">
        <v>2019</v>
      </c>
      <c r="K2" s="122"/>
    </row>
    <row r="3" spans="2:11" customFormat="1" ht="21.75" customHeight="1">
      <c r="B3" s="115"/>
      <c r="C3" s="116"/>
      <c r="D3" s="123" t="s">
        <v>2</v>
      </c>
      <c r="E3" s="127"/>
      <c r="F3" s="127"/>
      <c r="G3" s="127"/>
      <c r="H3" s="127"/>
      <c r="I3" s="127"/>
      <c r="J3" s="123"/>
      <c r="K3" s="124"/>
    </row>
    <row r="4" spans="2:11" customFormat="1" ht="21.75" customHeight="1" thickBot="1">
      <c r="B4" s="117"/>
      <c r="C4" s="118"/>
      <c r="D4" s="125" t="s">
        <v>16</v>
      </c>
      <c r="E4" s="128"/>
      <c r="F4" s="128"/>
      <c r="G4" s="128"/>
      <c r="H4" s="128"/>
      <c r="I4" s="128"/>
      <c r="J4" s="125"/>
      <c r="K4" s="126"/>
    </row>
    <row r="5" spans="2:11" customFormat="1" ht="14.5"/>
    <row r="8" spans="2:11">
      <c r="D8" s="2"/>
      <c r="E8" s="2"/>
      <c r="F8" s="6" t="s">
        <v>9</v>
      </c>
      <c r="G8" s="6" t="s">
        <v>11</v>
      </c>
      <c r="H8" s="2"/>
      <c r="I8" s="2"/>
    </row>
    <row r="9" spans="2:11">
      <c r="D9" s="2"/>
      <c r="E9" s="2"/>
      <c r="F9" s="6" t="s">
        <v>10</v>
      </c>
      <c r="G9" s="6" t="s">
        <v>12</v>
      </c>
      <c r="H9" s="2"/>
      <c r="I9" s="2"/>
    </row>
    <row r="10" spans="2:11">
      <c r="D10" s="4" t="s">
        <v>5</v>
      </c>
      <c r="E10" s="4" t="s">
        <v>7</v>
      </c>
      <c r="F10" s="4" t="s">
        <v>8</v>
      </c>
      <c r="G10" s="4" t="s">
        <v>13</v>
      </c>
      <c r="H10" s="4" t="s">
        <v>14</v>
      </c>
      <c r="I10" s="4" t="s">
        <v>15</v>
      </c>
    </row>
    <row r="11" spans="2:11">
      <c r="D11" s="1">
        <v>1</v>
      </c>
      <c r="E11" s="2" t="e">
        <f>+#REF!</f>
        <v>#REF!</v>
      </c>
      <c r="F11" s="2" t="e">
        <f>+E11+'11.03'!I48</f>
        <v>#REF!</v>
      </c>
      <c r="G11" s="2">
        <f>+'11.03'!$J$43</f>
        <v>0</v>
      </c>
      <c r="H11" s="2" t="e">
        <f>+F11-G11</f>
        <v>#REF!</v>
      </c>
      <c r="I11" s="2" t="e">
        <f t="shared" ref="I11:I22" si="0">+H11*25%</f>
        <v>#REF!</v>
      </c>
    </row>
    <row r="12" spans="2:11">
      <c r="D12" s="1">
        <f>+D11+1</f>
        <v>2</v>
      </c>
      <c r="E12" s="2" t="e">
        <f>+#REF!</f>
        <v>#REF!</v>
      </c>
      <c r="F12" s="2" t="e">
        <f>+E12+'11.03'!I49</f>
        <v>#REF!</v>
      </c>
      <c r="G12" s="2">
        <f>+'11.03'!$J$43</f>
        <v>0</v>
      </c>
      <c r="H12" s="2" t="e">
        <f t="shared" ref="H12:H22" si="1">+F12-G12</f>
        <v>#REF!</v>
      </c>
      <c r="I12" s="2" t="e">
        <f t="shared" si="0"/>
        <v>#REF!</v>
      </c>
    </row>
    <row r="13" spans="2:11">
      <c r="D13" s="1">
        <f t="shared" ref="D13:D42" si="2">+D12+1</f>
        <v>3</v>
      </c>
      <c r="E13" s="2" t="e">
        <f>+#REF!</f>
        <v>#REF!</v>
      </c>
      <c r="F13" s="2" t="e">
        <f>+E13+'11.03'!I50</f>
        <v>#REF!</v>
      </c>
      <c r="G13" s="2">
        <f>+'11.03'!$J$43</f>
        <v>0</v>
      </c>
      <c r="H13" s="2" t="e">
        <f t="shared" si="1"/>
        <v>#REF!</v>
      </c>
      <c r="I13" s="2" t="e">
        <f t="shared" si="0"/>
        <v>#REF!</v>
      </c>
    </row>
    <row r="14" spans="2:11">
      <c r="D14" s="1">
        <f t="shared" si="2"/>
        <v>4</v>
      </c>
      <c r="E14" s="2" t="e">
        <f>+#REF!</f>
        <v>#REF!</v>
      </c>
      <c r="F14" s="2" t="e">
        <f>+E14+'11.03'!I51</f>
        <v>#REF!</v>
      </c>
      <c r="G14" s="2">
        <f>+'11.03'!$J$43</f>
        <v>0</v>
      </c>
      <c r="H14" s="2" t="e">
        <f t="shared" si="1"/>
        <v>#REF!</v>
      </c>
      <c r="I14" s="2" t="e">
        <f t="shared" si="0"/>
        <v>#REF!</v>
      </c>
    </row>
    <row r="15" spans="2:11">
      <c r="D15" s="1">
        <f t="shared" si="2"/>
        <v>5</v>
      </c>
      <c r="E15" s="2" t="e">
        <f>+#REF!</f>
        <v>#REF!</v>
      </c>
      <c r="F15" s="2" t="e">
        <f>+E15+'11.03'!I52</f>
        <v>#REF!</v>
      </c>
      <c r="G15" s="2">
        <f>+'11.03'!$J$43</f>
        <v>0</v>
      </c>
      <c r="H15" s="2" t="e">
        <f t="shared" si="1"/>
        <v>#REF!</v>
      </c>
      <c r="I15" s="2" t="e">
        <f t="shared" si="0"/>
        <v>#REF!</v>
      </c>
    </row>
    <row r="16" spans="2:11">
      <c r="D16" s="1">
        <f t="shared" si="2"/>
        <v>6</v>
      </c>
      <c r="E16" s="2" t="e">
        <f>+#REF!</f>
        <v>#REF!</v>
      </c>
      <c r="F16" s="2" t="e">
        <f>+E16+'11.03'!I53</f>
        <v>#REF!</v>
      </c>
      <c r="G16" s="2">
        <f>+'11.03'!$J$43</f>
        <v>0</v>
      </c>
      <c r="H16" s="2" t="e">
        <f t="shared" si="1"/>
        <v>#REF!</v>
      </c>
      <c r="I16" s="2" t="e">
        <f t="shared" si="0"/>
        <v>#REF!</v>
      </c>
    </row>
    <row r="17" spans="4:9">
      <c r="D17" s="1">
        <f t="shared" si="2"/>
        <v>7</v>
      </c>
      <c r="E17" s="2" t="e">
        <f>+#REF!</f>
        <v>#REF!</v>
      </c>
      <c r="F17" s="2" t="e">
        <f>+E17+'11.03'!I54</f>
        <v>#REF!</v>
      </c>
      <c r="G17" s="2">
        <f>+'11.03'!$J$43</f>
        <v>0</v>
      </c>
      <c r="H17" s="2" t="e">
        <f t="shared" si="1"/>
        <v>#REF!</v>
      </c>
      <c r="I17" s="2" t="e">
        <f t="shared" si="0"/>
        <v>#REF!</v>
      </c>
    </row>
    <row r="18" spans="4:9">
      <c r="D18" s="1">
        <f t="shared" si="2"/>
        <v>8</v>
      </c>
      <c r="E18" s="2" t="e">
        <f>+#REF!</f>
        <v>#REF!</v>
      </c>
      <c r="F18" s="2" t="e">
        <f>+E18+'11.03'!I55</f>
        <v>#REF!</v>
      </c>
      <c r="G18" s="2">
        <f>+'11.03'!$J$43</f>
        <v>0</v>
      </c>
      <c r="H18" s="2" t="e">
        <f t="shared" si="1"/>
        <v>#REF!</v>
      </c>
      <c r="I18" s="2" t="e">
        <f t="shared" si="0"/>
        <v>#REF!</v>
      </c>
    </row>
    <row r="19" spans="4:9">
      <c r="D19" s="1">
        <f t="shared" si="2"/>
        <v>9</v>
      </c>
      <c r="E19" s="2" t="e">
        <f>+#REF!</f>
        <v>#REF!</v>
      </c>
      <c r="F19" s="2" t="e">
        <f>+E19+'11.03'!I56</f>
        <v>#REF!</v>
      </c>
      <c r="G19" s="2">
        <f>+'11.03'!$J$43</f>
        <v>0</v>
      </c>
      <c r="H19" s="2" t="e">
        <f t="shared" si="1"/>
        <v>#REF!</v>
      </c>
      <c r="I19" s="2" t="e">
        <f t="shared" si="0"/>
        <v>#REF!</v>
      </c>
    </row>
    <row r="20" spans="4:9">
      <c r="D20" s="1">
        <f t="shared" si="2"/>
        <v>10</v>
      </c>
      <c r="E20" s="2" t="e">
        <f>+#REF!</f>
        <v>#REF!</v>
      </c>
      <c r="F20" s="2" t="e">
        <f>+E20+'11.03'!I57</f>
        <v>#REF!</v>
      </c>
      <c r="G20" s="2">
        <f>+'11.03'!$J$43</f>
        <v>0</v>
      </c>
      <c r="H20" s="2" t="e">
        <f t="shared" si="1"/>
        <v>#REF!</v>
      </c>
      <c r="I20" s="2" t="e">
        <f t="shared" si="0"/>
        <v>#REF!</v>
      </c>
    </row>
    <row r="21" spans="4:9">
      <c r="D21" s="1">
        <f t="shared" si="2"/>
        <v>11</v>
      </c>
      <c r="E21" s="2" t="e">
        <f>+#REF!</f>
        <v>#REF!</v>
      </c>
      <c r="F21" s="2" t="e">
        <f>+E21+'11.03'!I58</f>
        <v>#REF!</v>
      </c>
      <c r="G21" s="2">
        <f>+'11.03'!$J$43</f>
        <v>0</v>
      </c>
      <c r="H21" s="2" t="e">
        <f t="shared" si="1"/>
        <v>#REF!</v>
      </c>
      <c r="I21" s="2" t="e">
        <f t="shared" si="0"/>
        <v>#REF!</v>
      </c>
    </row>
    <row r="22" spans="4:9">
      <c r="D22" s="1">
        <f t="shared" si="2"/>
        <v>12</v>
      </c>
      <c r="E22" s="2" t="e">
        <f>+#REF!</f>
        <v>#REF!</v>
      </c>
      <c r="F22" s="2" t="e">
        <f>+E22+'11.03'!I59</f>
        <v>#REF!</v>
      </c>
      <c r="G22" s="2">
        <f>+'11.03'!$J$43</f>
        <v>0</v>
      </c>
      <c r="H22" s="2" t="e">
        <f t="shared" si="1"/>
        <v>#REF!</v>
      </c>
      <c r="I22" s="2" t="e">
        <f t="shared" si="0"/>
        <v>#REF!</v>
      </c>
    </row>
    <row r="23" spans="4:9">
      <c r="D23" s="1"/>
      <c r="E23" s="2"/>
      <c r="F23" s="2"/>
      <c r="G23" s="2"/>
      <c r="H23" s="2"/>
      <c r="I23" s="2"/>
    </row>
    <row r="24" spans="4:9" ht="14.5" thickBot="1">
      <c r="D24" s="1"/>
      <c r="E24" s="2"/>
      <c r="F24" s="5" t="e">
        <f>SUM(F11:F23)</f>
        <v>#REF!</v>
      </c>
      <c r="G24" s="5">
        <f>SUM(G11:G23)</f>
        <v>0</v>
      </c>
      <c r="H24" s="5" t="e">
        <f>SUM(H11:H22)</f>
        <v>#REF!</v>
      </c>
      <c r="I24" s="5" t="e">
        <f>SUM(I11:I22)</f>
        <v>#REF!</v>
      </c>
    </row>
    <row r="25" spans="4:9">
      <c r="D25" s="1"/>
      <c r="E25" s="2"/>
      <c r="F25" s="2"/>
      <c r="G25" s="2"/>
      <c r="H25" s="2"/>
      <c r="I25" s="2"/>
    </row>
    <row r="26" spans="4:9">
      <c r="D26" s="1">
        <f>+D22+1</f>
        <v>13</v>
      </c>
      <c r="E26" s="2" t="e">
        <f>+#REF!</f>
        <v>#REF!</v>
      </c>
      <c r="F26" s="2" t="e">
        <f>+E26+'11.03'!#REF!</f>
        <v>#REF!</v>
      </c>
      <c r="G26" s="2">
        <f>+'11.03'!$J$43</f>
        <v>0</v>
      </c>
      <c r="H26" s="2" t="e">
        <f t="shared" ref="H26:H37" si="3">+F26-G26</f>
        <v>#REF!</v>
      </c>
      <c r="I26" s="2" t="e">
        <f t="shared" ref="I26:I37" si="4">+H26*25%</f>
        <v>#REF!</v>
      </c>
    </row>
    <row r="27" spans="4:9">
      <c r="D27" s="1">
        <f t="shared" si="2"/>
        <v>14</v>
      </c>
      <c r="E27" s="2" t="e">
        <f>+#REF!</f>
        <v>#REF!</v>
      </c>
      <c r="F27" s="2" t="e">
        <f>+E27+'11.03'!#REF!</f>
        <v>#REF!</v>
      </c>
      <c r="G27" s="2">
        <f>+'11.03'!$J$43</f>
        <v>0</v>
      </c>
      <c r="H27" s="2" t="e">
        <f t="shared" si="3"/>
        <v>#REF!</v>
      </c>
      <c r="I27" s="2" t="e">
        <f t="shared" si="4"/>
        <v>#REF!</v>
      </c>
    </row>
    <row r="28" spans="4:9">
      <c r="D28" s="1">
        <f t="shared" si="2"/>
        <v>15</v>
      </c>
      <c r="E28" s="2" t="e">
        <f>+#REF!</f>
        <v>#REF!</v>
      </c>
      <c r="F28" s="2" t="e">
        <f>+E28+'11.03'!#REF!</f>
        <v>#REF!</v>
      </c>
      <c r="G28" s="2">
        <f>+'11.03'!$J$43</f>
        <v>0</v>
      </c>
      <c r="H28" s="2" t="e">
        <f t="shared" si="3"/>
        <v>#REF!</v>
      </c>
      <c r="I28" s="2" t="e">
        <f t="shared" si="4"/>
        <v>#REF!</v>
      </c>
    </row>
    <row r="29" spans="4:9">
      <c r="D29" s="1">
        <f t="shared" si="2"/>
        <v>16</v>
      </c>
      <c r="E29" s="2" t="e">
        <f>+#REF!</f>
        <v>#REF!</v>
      </c>
      <c r="F29" s="2" t="e">
        <f>+E29+'11.03'!#REF!</f>
        <v>#REF!</v>
      </c>
      <c r="G29" s="2">
        <f>+'11.03'!$J$43</f>
        <v>0</v>
      </c>
      <c r="H29" s="2" t="e">
        <f t="shared" si="3"/>
        <v>#REF!</v>
      </c>
      <c r="I29" s="2" t="e">
        <f t="shared" si="4"/>
        <v>#REF!</v>
      </c>
    </row>
    <row r="30" spans="4:9">
      <c r="D30" s="1">
        <f t="shared" si="2"/>
        <v>17</v>
      </c>
      <c r="E30" s="2" t="e">
        <f>+#REF!</f>
        <v>#REF!</v>
      </c>
      <c r="F30" s="2" t="e">
        <f>+E30+'11.03'!#REF!</f>
        <v>#REF!</v>
      </c>
      <c r="G30" s="2">
        <f>+'11.03'!$J$43</f>
        <v>0</v>
      </c>
      <c r="H30" s="2" t="e">
        <f t="shared" si="3"/>
        <v>#REF!</v>
      </c>
      <c r="I30" s="2" t="e">
        <f t="shared" si="4"/>
        <v>#REF!</v>
      </c>
    </row>
    <row r="31" spans="4:9">
      <c r="D31" s="1">
        <f t="shared" si="2"/>
        <v>18</v>
      </c>
      <c r="E31" s="2" t="e">
        <f>+#REF!</f>
        <v>#REF!</v>
      </c>
      <c r="F31" s="2" t="e">
        <f>+E31+'11.03'!#REF!</f>
        <v>#REF!</v>
      </c>
      <c r="G31" s="2">
        <f>+'11.03'!$J$43</f>
        <v>0</v>
      </c>
      <c r="H31" s="2" t="e">
        <f t="shared" si="3"/>
        <v>#REF!</v>
      </c>
      <c r="I31" s="2" t="e">
        <f t="shared" si="4"/>
        <v>#REF!</v>
      </c>
    </row>
    <row r="32" spans="4:9">
      <c r="D32" s="1">
        <f t="shared" si="2"/>
        <v>19</v>
      </c>
      <c r="E32" s="2" t="e">
        <f>+#REF!</f>
        <v>#REF!</v>
      </c>
      <c r="F32" s="2" t="e">
        <f>+E32+'11.03'!#REF!</f>
        <v>#REF!</v>
      </c>
      <c r="G32" s="2">
        <f>+'11.03'!$J$43</f>
        <v>0</v>
      </c>
      <c r="H32" s="2" t="e">
        <f t="shared" si="3"/>
        <v>#REF!</v>
      </c>
      <c r="I32" s="2" t="e">
        <f t="shared" si="4"/>
        <v>#REF!</v>
      </c>
    </row>
    <row r="33" spans="4:11">
      <c r="D33" s="1">
        <f t="shared" si="2"/>
        <v>20</v>
      </c>
      <c r="E33" s="2" t="e">
        <f>+#REF!</f>
        <v>#REF!</v>
      </c>
      <c r="F33" s="2" t="e">
        <f>+E33+'11.03'!#REF!</f>
        <v>#REF!</v>
      </c>
      <c r="G33" s="2">
        <f>+'11.03'!$J$43</f>
        <v>0</v>
      </c>
      <c r="H33" s="2" t="e">
        <f t="shared" si="3"/>
        <v>#REF!</v>
      </c>
      <c r="I33" s="2" t="e">
        <f t="shared" si="4"/>
        <v>#REF!</v>
      </c>
    </row>
    <row r="34" spans="4:11">
      <c r="D34" s="1">
        <f t="shared" si="2"/>
        <v>21</v>
      </c>
      <c r="E34" s="2" t="e">
        <f>+#REF!</f>
        <v>#REF!</v>
      </c>
      <c r="F34" s="2" t="e">
        <f>+E34+'11.03'!#REF!</f>
        <v>#REF!</v>
      </c>
      <c r="G34" s="2">
        <f>+'11.03'!$J$43</f>
        <v>0</v>
      </c>
      <c r="H34" s="2" t="e">
        <f t="shared" si="3"/>
        <v>#REF!</v>
      </c>
      <c r="I34" s="2" t="e">
        <f t="shared" si="4"/>
        <v>#REF!</v>
      </c>
    </row>
    <row r="35" spans="4:11">
      <c r="D35" s="1">
        <f t="shared" si="2"/>
        <v>22</v>
      </c>
      <c r="E35" s="2" t="e">
        <f>+#REF!</f>
        <v>#REF!</v>
      </c>
      <c r="F35" s="2" t="e">
        <f>+E35+'11.03'!#REF!</f>
        <v>#REF!</v>
      </c>
      <c r="G35" s="2">
        <f>+'11.03'!$J$43</f>
        <v>0</v>
      </c>
      <c r="H35" s="2" t="e">
        <f t="shared" si="3"/>
        <v>#REF!</v>
      </c>
      <c r="I35" s="2" t="e">
        <f t="shared" si="4"/>
        <v>#REF!</v>
      </c>
    </row>
    <row r="36" spans="4:11">
      <c r="D36" s="1">
        <f t="shared" si="2"/>
        <v>23</v>
      </c>
      <c r="E36" s="2" t="e">
        <f>+#REF!</f>
        <v>#REF!</v>
      </c>
      <c r="F36" s="2" t="e">
        <f>+E36+'11.03'!#REF!</f>
        <v>#REF!</v>
      </c>
      <c r="G36" s="2">
        <f>+'11.03'!$J$43</f>
        <v>0</v>
      </c>
      <c r="H36" s="2" t="e">
        <f t="shared" si="3"/>
        <v>#REF!</v>
      </c>
      <c r="I36" s="2" t="e">
        <f t="shared" si="4"/>
        <v>#REF!</v>
      </c>
    </row>
    <row r="37" spans="4:11">
      <c r="D37" s="1">
        <f t="shared" si="2"/>
        <v>24</v>
      </c>
      <c r="E37" s="2" t="e">
        <f>+#REF!</f>
        <v>#REF!</v>
      </c>
      <c r="F37" s="2" t="e">
        <f>+E37+'11.03'!#REF!</f>
        <v>#REF!</v>
      </c>
      <c r="G37" s="2">
        <f>+'11.03'!$J$43</f>
        <v>0</v>
      </c>
      <c r="H37" s="2" t="e">
        <f t="shared" si="3"/>
        <v>#REF!</v>
      </c>
      <c r="I37" s="2" t="e">
        <f t="shared" si="4"/>
        <v>#REF!</v>
      </c>
    </row>
    <row r="38" spans="4:11">
      <c r="D38" s="1">
        <f t="shared" si="2"/>
        <v>25</v>
      </c>
      <c r="E38" s="2" t="e">
        <f>+#REF!</f>
        <v>#REF!</v>
      </c>
      <c r="F38" s="2" t="e">
        <f>+E38+'11.03'!#REF!</f>
        <v>#REF!</v>
      </c>
      <c r="G38" s="2">
        <f>+'11.03'!$J$43</f>
        <v>0</v>
      </c>
      <c r="H38" s="2" t="e">
        <f t="shared" ref="H38:H43" si="5">+F38-G38</f>
        <v>#REF!</v>
      </c>
      <c r="I38" s="2" t="e">
        <f t="shared" ref="I38:I42" si="6">+H38*25%</f>
        <v>#REF!</v>
      </c>
    </row>
    <row r="39" spans="4:11">
      <c r="D39" s="1">
        <f t="shared" si="2"/>
        <v>26</v>
      </c>
      <c r="E39" s="2" t="e">
        <f>+#REF!</f>
        <v>#REF!</v>
      </c>
      <c r="F39" s="2" t="e">
        <f>+E39+'11.03'!#REF!</f>
        <v>#REF!</v>
      </c>
      <c r="G39" s="2">
        <f>+'11.03'!$J$43</f>
        <v>0</v>
      </c>
      <c r="H39" s="2" t="e">
        <f t="shared" si="5"/>
        <v>#REF!</v>
      </c>
      <c r="I39" s="2" t="e">
        <f t="shared" si="6"/>
        <v>#REF!</v>
      </c>
    </row>
    <row r="40" spans="4:11">
      <c r="D40" s="1">
        <f t="shared" si="2"/>
        <v>27</v>
      </c>
      <c r="E40" s="2" t="e">
        <f>+#REF!</f>
        <v>#REF!</v>
      </c>
      <c r="F40" s="2" t="e">
        <f>+E40+'11.03'!#REF!</f>
        <v>#REF!</v>
      </c>
      <c r="G40" s="2">
        <f>+'11.03'!$J$43</f>
        <v>0</v>
      </c>
      <c r="H40" s="2" t="e">
        <f t="shared" si="5"/>
        <v>#REF!</v>
      </c>
      <c r="I40" s="2" t="e">
        <f t="shared" si="6"/>
        <v>#REF!</v>
      </c>
    </row>
    <row r="41" spans="4:11">
      <c r="D41" s="1">
        <f t="shared" si="2"/>
        <v>28</v>
      </c>
      <c r="E41" s="2" t="e">
        <f>+#REF!</f>
        <v>#REF!</v>
      </c>
      <c r="F41" s="2" t="e">
        <f>+E41+'11.03'!#REF!</f>
        <v>#REF!</v>
      </c>
      <c r="G41" s="2">
        <f>+'11.03'!$J$43</f>
        <v>0</v>
      </c>
      <c r="H41" s="2" t="e">
        <f t="shared" si="5"/>
        <v>#REF!</v>
      </c>
      <c r="I41" s="2" t="e">
        <f t="shared" si="6"/>
        <v>#REF!</v>
      </c>
    </row>
    <row r="42" spans="4:11">
      <c r="D42" s="1">
        <f t="shared" si="2"/>
        <v>29</v>
      </c>
      <c r="E42" s="2" t="e">
        <f>+#REF!</f>
        <v>#REF!</v>
      </c>
      <c r="F42" s="2" t="e">
        <f>+E42+'11.03'!#REF!</f>
        <v>#REF!</v>
      </c>
      <c r="G42" s="2">
        <f>+'11.03'!$J$43</f>
        <v>0</v>
      </c>
      <c r="H42" s="2" t="e">
        <f t="shared" si="5"/>
        <v>#REF!</v>
      </c>
      <c r="I42" s="2" t="e">
        <f t="shared" si="6"/>
        <v>#REF!</v>
      </c>
    </row>
    <row r="43" spans="4:11">
      <c r="D43" s="1">
        <v>30</v>
      </c>
      <c r="E43" s="2" t="e">
        <f>+#REF!</f>
        <v>#REF!</v>
      </c>
      <c r="F43" s="2" t="e">
        <f>+E43+'11.03'!#REF!</f>
        <v>#REF!</v>
      </c>
      <c r="G43" s="2">
        <f>+'11.03'!$J$43</f>
        <v>0</v>
      </c>
      <c r="H43" s="2" t="e">
        <f t="shared" si="5"/>
        <v>#REF!</v>
      </c>
      <c r="I43" s="2" t="e">
        <f t="shared" ref="I43" si="7">+H43*25%</f>
        <v>#REF!</v>
      </c>
    </row>
    <row r="44" spans="4:11">
      <c r="D44" s="2"/>
      <c r="E44" s="2"/>
      <c r="H44" s="2"/>
      <c r="I44" s="2"/>
    </row>
    <row r="45" spans="4:11" ht="14.5" thickBot="1">
      <c r="F45" s="5" t="e">
        <f>SUM(F26:F43)</f>
        <v>#REF!</v>
      </c>
      <c r="G45" s="5">
        <f t="shared" ref="G45:I45" si="8">SUM(G26:G43)</f>
        <v>0</v>
      </c>
      <c r="H45" s="5" t="e">
        <f t="shared" si="8"/>
        <v>#REF!</v>
      </c>
      <c r="I45" s="5" t="e">
        <f t="shared" si="8"/>
        <v>#REF!</v>
      </c>
    </row>
    <row r="47" spans="4:11">
      <c r="E47" s="8"/>
      <c r="F47" s="2" t="e">
        <f>+SUM(F11:F22,F26:F43)</f>
        <v>#REF!</v>
      </c>
      <c r="G47" s="2">
        <f t="shared" ref="G47:I47" si="9">+SUM(G11:G22,G26:G43)</f>
        <v>0</v>
      </c>
      <c r="H47" s="2" t="e">
        <f t="shared" si="9"/>
        <v>#REF!</v>
      </c>
      <c r="I47" s="2" t="e">
        <f t="shared" si="9"/>
        <v>#REF!</v>
      </c>
      <c r="J47" s="2"/>
      <c r="K47" s="2"/>
    </row>
    <row r="50" spans="2:10">
      <c r="B50" s="7"/>
      <c r="C50" s="7"/>
      <c r="D50" s="7"/>
      <c r="E50" s="7"/>
      <c r="F50" s="7"/>
      <c r="G50" s="7"/>
      <c r="H50" s="7"/>
      <c r="I50" s="7"/>
      <c r="J50" s="7"/>
    </row>
  </sheetData>
  <mergeCells count="5">
    <mergeCell ref="B2:C4"/>
    <mergeCell ref="D2:I2"/>
    <mergeCell ref="J2:K4"/>
    <mergeCell ref="D3:I3"/>
    <mergeCell ref="D4:I4"/>
  </mergeCells>
  <pageMargins left="0.7" right="0.7" top="0.75" bottom="0.75" header="0.3" footer="0.3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11.03</vt:lpstr>
      <vt:lpstr>Análisis Imp.Diferido</vt:lpstr>
      <vt:lpstr>'11.03'!Área_de_impresión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Plaza Americas</dc:creator>
  <cp:lastModifiedBy>Admin</cp:lastModifiedBy>
  <cp:lastPrinted>2019-03-12T17:25:36Z</cp:lastPrinted>
  <dcterms:created xsi:type="dcterms:W3CDTF">2018-05-11T00:04:59Z</dcterms:created>
  <dcterms:modified xsi:type="dcterms:W3CDTF">2026-04-17T00:59:18Z</dcterms:modified>
</cp:coreProperties>
</file>