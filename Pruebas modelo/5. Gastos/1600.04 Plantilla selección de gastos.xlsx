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5. Gastos\"/>
    </mc:Choice>
  </mc:AlternateContent>
  <xr:revisionPtr revIDLastSave="0" documentId="13_ncr:1_{E5912FC9-191E-4571-8A40-B88E904B4A0F}" xr6:coauthVersionLast="47" xr6:coauthVersionMax="47" xr10:uidLastSave="{00000000-0000-0000-0000-000000000000}"/>
  <bookViews>
    <workbookView xWindow="-110" yWindow="-110" windowWidth="19420" windowHeight="10300" xr2:uid="{40D92938-48FD-477F-8C66-A0286A86918B}"/>
  </bookViews>
  <sheets>
    <sheet name="1600.04.01" sheetId="4" r:id="rId1"/>
    <sheet name="1600.04.02" sheetId="3" r:id="rId2"/>
  </sheets>
  <externalReferences>
    <externalReference r:id="rId3"/>
    <externalReference r:id="rId4"/>
  </externalReferences>
  <definedNames>
    <definedName name="__RSE1">#REF!</definedName>
    <definedName name="__RSE2">#REF!</definedName>
    <definedName name="_RSE1">#REF!</definedName>
    <definedName name="_RSE2">#REF!</definedName>
    <definedName name="_RSE3">'[1]MUS Calculations- Figure 5410.1'!$H$22</definedName>
    <definedName name="AS2DocOpenMode" hidden="1">"AS2DocumentEdit"</definedName>
    <definedName name="Clients_Population_Total">#REF!</definedName>
    <definedName name="Computed_Sample_Population_Total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Interval">#REF!</definedName>
    <definedName name="Materiality">#REF!</definedName>
    <definedName name="Monetary_Precision">#REF!</definedName>
    <definedName name="MP">#REF!</definedName>
    <definedName name="NonTop_Stratum_Value">#REF!</definedName>
    <definedName name="Number_of_Selections">#REF!</definedName>
    <definedName name="Pre_tax_materiality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R_Factor">#REF!</definedName>
    <definedName name="Selection_Remainder">#REF!</definedName>
    <definedName name="Starting_Point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op_Stratum_Number">#REF!</definedName>
    <definedName name="Top_Stratum_Value">#REF!</definedName>
    <definedName name="Tot_knw_Xfoot">#REF!</definedName>
    <definedName name="Tot_lik_Xfoot">#REF!</definedName>
    <definedName name="Total_Amount">#REF!</definedName>
    <definedName name="Total_Number_Selections">#REF!</definedName>
    <definedName name="Total_Population2">'[1]MUS Calculations- Figure 5410.1'!$D$22</definedName>
    <definedName name="wrn.Aging._.and._.Trend._.Analysis." hidden="1">{#N/A,#N/A,FALSE,"Aging Summary";#N/A,#N/A,FALSE,"Ratio Analysis";#N/A,#N/A,FALSE,"Test 120 Day Accts";#N/A,#N/A,FALSE,"Tickmarks"}</definedName>
    <definedName name="XREF_COLUMN_1" hidden="1">[2]CMA_Selections!#REF!</definedName>
    <definedName name="XREF_COLUMN_2" hidden="1">#REF!</definedName>
    <definedName name="XREF_COLUMN_3" hidden="1">#REF!</definedName>
    <definedName name="XRefColumnsCount" hidden="1">3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RangeCount" hidden="1">4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6" hidden="1">#REF!</definedName>
    <definedName name="XRefPasteRangeCount" hidden="1">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7" i="3" l="1"/>
  <c r="Z44" i="3" l="1"/>
  <c r="U44" i="3"/>
  <c r="N44" i="3"/>
  <c r="W44" i="3" s="1"/>
  <c r="F44" i="3"/>
  <c r="P44" i="3" s="1"/>
  <c r="Z43" i="3"/>
  <c r="U43" i="3"/>
  <c r="N43" i="3"/>
  <c r="W43" i="3" s="1"/>
  <c r="F43" i="3"/>
  <c r="P43" i="3" s="1"/>
  <c r="Z42" i="3"/>
  <c r="U42" i="3"/>
  <c r="N42" i="3"/>
  <c r="W42" i="3" s="1"/>
  <c r="F42" i="3"/>
  <c r="P42" i="3" s="1"/>
  <c r="Z41" i="3"/>
  <c r="U41" i="3"/>
  <c r="N41" i="3"/>
  <c r="W41" i="3" s="1"/>
  <c r="F41" i="3"/>
  <c r="P41" i="3" s="1"/>
  <c r="Z40" i="3"/>
  <c r="U40" i="3"/>
  <c r="N40" i="3"/>
  <c r="W40" i="3" s="1"/>
  <c r="F40" i="3"/>
  <c r="P40" i="3" s="1"/>
  <c r="Z39" i="3"/>
  <c r="U39" i="3"/>
  <c r="N39" i="3"/>
  <c r="W39" i="3" s="1"/>
  <c r="F39" i="3"/>
  <c r="P39" i="3" s="1"/>
  <c r="Z38" i="3"/>
  <c r="U38" i="3"/>
  <c r="N38" i="3"/>
  <c r="W38" i="3" s="1"/>
  <c r="F38" i="3"/>
  <c r="P38" i="3" s="1"/>
  <c r="Z37" i="3"/>
  <c r="N37" i="3"/>
  <c r="F37" i="3"/>
  <c r="P37" i="3" s="1"/>
  <c r="Z36" i="3"/>
  <c r="U36" i="3"/>
  <c r="N36" i="3"/>
  <c r="W36" i="3" s="1"/>
  <c r="F36" i="3"/>
  <c r="Y36" i="3" l="1"/>
  <c r="O37" i="3"/>
  <c r="W37" i="3"/>
  <c r="Y40" i="3"/>
  <c r="Y39" i="3"/>
  <c r="Y42" i="3"/>
  <c r="Y38" i="3"/>
  <c r="F46" i="3"/>
  <c r="Y43" i="3"/>
  <c r="O38" i="3"/>
  <c r="AG38" i="3" s="1"/>
  <c r="AH38" i="3" s="1"/>
  <c r="O39" i="3"/>
  <c r="AG39" i="3" s="1"/>
  <c r="AH39" i="3" s="1"/>
  <c r="O42" i="3"/>
  <c r="AG42" i="3" s="1"/>
  <c r="AH42" i="3" s="1"/>
  <c r="Y44" i="3"/>
  <c r="Y41" i="3"/>
  <c r="O41" i="3"/>
  <c r="AG41" i="3" s="1"/>
  <c r="AH41" i="3" s="1"/>
  <c r="O36" i="3"/>
  <c r="AG36" i="3" s="1"/>
  <c r="AH36" i="3" s="1"/>
  <c r="O40" i="3"/>
  <c r="AG40" i="3" s="1"/>
  <c r="AH40" i="3" s="1"/>
  <c r="O44" i="3"/>
  <c r="AG44" i="3" s="1"/>
  <c r="AH44" i="3" s="1"/>
  <c r="P36" i="3"/>
  <c r="O43" i="3"/>
  <c r="AG43" i="3" s="1"/>
  <c r="AH43" i="3" s="1"/>
  <c r="AG37" i="3" l="1"/>
  <c r="AH37" i="3" s="1"/>
  <c r="Y37" i="3"/>
</calcChain>
</file>

<file path=xl/sharedStrings.xml><?xml version="1.0" encoding="utf-8"?>
<sst xmlns="http://schemas.openxmlformats.org/spreadsheetml/2006/main" count="148" uniqueCount="96">
  <si>
    <t>Preparado por:</t>
  </si>
  <si>
    <t>Revisado por:</t>
  </si>
  <si>
    <t>Objetivo:</t>
  </si>
  <si>
    <t>Procedimiento:</t>
  </si>
  <si>
    <t>Desarrollo:</t>
  </si>
  <si>
    <t>Fecha</t>
  </si>
  <si>
    <t>Procedimientos:</t>
  </si>
  <si>
    <t>RUC</t>
  </si>
  <si>
    <t>Subtotal 0%</t>
  </si>
  <si>
    <t>Subtotal 12%</t>
  </si>
  <si>
    <t>% Renta</t>
  </si>
  <si>
    <t>% IVA</t>
  </si>
  <si>
    <t>Valor IVA</t>
  </si>
  <si>
    <t>Diferencia</t>
  </si>
  <si>
    <t>Conclusión:</t>
  </si>
  <si>
    <t xml:space="preserve">COMPAÑÍA MODELO S.A. </t>
  </si>
  <si>
    <t>Base de decisión: Materialidad</t>
  </si>
  <si>
    <t xml:space="preserve">Marcas de Auditoría </t>
  </si>
  <si>
    <t xml:space="preserve">PRUEBA SUSTANTIVA - GASTOS </t>
  </si>
  <si>
    <t>AL 31 DE DICIEMBRE DE 20XX</t>
  </si>
  <si>
    <t>Ref.</t>
  </si>
  <si>
    <t>XX</t>
  </si>
  <si>
    <t xml:space="preserve"> </t>
  </si>
  <si>
    <t>General</t>
  </si>
  <si>
    <t>XXX.XXX</t>
  </si>
  <si>
    <t>Desempeño</t>
  </si>
  <si>
    <t>Errores Triviales</t>
  </si>
  <si>
    <t xml:space="preserve">Factura </t>
  </si>
  <si>
    <t xml:space="preserve">Valor </t>
  </si>
  <si>
    <t xml:space="preserve">Total </t>
  </si>
  <si>
    <t xml:space="preserve">Diferencia </t>
  </si>
  <si>
    <t>1.-</t>
  </si>
  <si>
    <t>2.-</t>
  </si>
  <si>
    <t>3.-</t>
  </si>
  <si>
    <t>4.-</t>
  </si>
  <si>
    <t>Sumatoria</t>
  </si>
  <si>
    <t>Preliminar</t>
  </si>
  <si>
    <t>Final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</si>
  <si>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</si>
  <si>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</si>
  <si>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</si>
  <si>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</si>
  <si>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</si>
  <si>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</si>
  <si>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</si>
  <si>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</si>
  <si>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</si>
  <si>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</si>
  <si>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</si>
  <si>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Muestreo</t>
  </si>
  <si>
    <t>Exactitud</t>
  </si>
  <si>
    <t>Cumplimiento Tributario</t>
  </si>
  <si>
    <t>Bancarización</t>
  </si>
  <si>
    <t xml:space="preserve">Código cuenta contable </t>
  </si>
  <si>
    <t xml:space="preserve">Nombre cuenta contable </t>
  </si>
  <si>
    <t>1600.04.01</t>
  </si>
  <si>
    <t>FECHA DE CORTE: _/_/20XX</t>
  </si>
  <si>
    <t>Documentar el papel de trabajo y concluir en función al objetivo.</t>
  </si>
  <si>
    <t>1600.04.02</t>
  </si>
  <si>
    <t>Forma de pago</t>
  </si>
  <si>
    <t>Existencia</t>
  </si>
  <si>
    <t xml:space="preserve">Nombre del proveedor </t>
  </si>
  <si>
    <t>MUESTRA GASTOS</t>
  </si>
  <si>
    <t>Obtener una muestra de gastos para el análisis de voucheo.</t>
  </si>
  <si>
    <t>Documentar el juicio profesional aplicado para la selección de la muestra.</t>
  </si>
  <si>
    <t>Documentar las partidas seleccionadas.</t>
  </si>
  <si>
    <t>Documentar el papel de trabajo y concluir en base al objetivo.</t>
  </si>
  <si>
    <t>***El auditor dejará documentado cómo seleccionó la muestra.</t>
  </si>
  <si>
    <t xml:space="preserve">Marcas de auditoría: </t>
  </si>
  <si>
    <r>
      <t xml:space="preserve">Solicitar los documentos soporte de la muestra obtenida en </t>
    </r>
    <r>
      <rPr>
        <sz val="10"/>
        <color rgb="FFFF0000"/>
        <rFont val="Tahoma"/>
        <family val="2"/>
      </rPr>
      <t>p/t 1600.04.01</t>
    </r>
  </si>
  <si>
    <t xml:space="preserve">Fecha de contabilización </t>
  </si>
  <si>
    <t xml:space="preserve">Nro. transacción </t>
  </si>
  <si>
    <t>Nro. documento</t>
  </si>
  <si>
    <t>Nro. comprobante</t>
  </si>
  <si>
    <t>Nro. operación</t>
  </si>
  <si>
    <t>Pago según auditoría</t>
  </si>
  <si>
    <t>p/t 1600.04.01</t>
  </si>
  <si>
    <t>***Concluir en función al objetivo</t>
  </si>
  <si>
    <t>Realizar los recálculos respectivos.</t>
  </si>
  <si>
    <t>Revisar la información proporcionada.</t>
  </si>
  <si>
    <t>Mayores contables</t>
  </si>
  <si>
    <t>IVA</t>
  </si>
  <si>
    <t xml:space="preserve">Cálculo de retención </t>
  </si>
  <si>
    <t xml:space="preserve">Según comprobante </t>
  </si>
  <si>
    <t>Valor renta</t>
  </si>
  <si>
    <t>Comprobante de egreso</t>
  </si>
  <si>
    <t>Pago</t>
  </si>
  <si>
    <r>
      <t xml:space="preserve">De la agrupación de gastos realizada en el </t>
    </r>
    <r>
      <rPr>
        <sz val="10"/>
        <color rgb="FFFF0000"/>
        <rFont val="Tahoma"/>
        <family val="2"/>
      </rPr>
      <t xml:space="preserve">p/t 1600.03 </t>
    </r>
    <r>
      <rPr>
        <sz val="10"/>
        <rFont val="Tahoma"/>
        <family val="2"/>
      </rPr>
      <t>seleccionar</t>
    </r>
    <r>
      <rPr>
        <sz val="10"/>
        <color rgb="FFFF0000"/>
        <rFont val="Tahoma"/>
        <family val="2"/>
      </rPr>
      <t xml:space="preserve"> </t>
    </r>
    <r>
      <rPr>
        <sz val="10"/>
        <color theme="1"/>
        <rFont val="Tahoma"/>
        <family val="2"/>
      </rPr>
      <t>las cuentas contables que han sido clasificadas para tipo de prueba voucheo.</t>
    </r>
  </si>
  <si>
    <t>Verificaciones:</t>
  </si>
  <si>
    <t>Días de retraso</t>
  </si>
  <si>
    <t>Tomado de mayores contables al 31/xx/20xx (Año de revisión)</t>
  </si>
  <si>
    <t>Documentación de sustento</t>
  </si>
  <si>
    <t>Cálculos de Auditoría</t>
  </si>
  <si>
    <t xml:space="preserve">  </t>
  </si>
  <si>
    <t>Nro.comprobante</t>
  </si>
  <si>
    <t>Determinar la existencia y exactitud de la cuenta los gastos seleccionados para voucheo al _/ _/ 20XX.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</si>
</sst>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(* #,##0_);_(* \(#,##0\);_(* &quot;-&quot;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color rgb="FF002060"/>
      <name val="Tahoma"/>
      <family val="2"/>
    </font>
    <font>
      <sz val="8"/>
      <color theme="1"/>
      <name val="Futura-Book"/>
      <family val="2"/>
    </font>
    <font>
      <b/>
      <sz val="10"/>
      <color theme="3"/>
      <name val="Tahoma"/>
      <family val="2"/>
    </font>
    <font>
      <b/>
      <sz val="10"/>
      <color theme="8" tint="-0.499984740745262"/>
      <name val="Tahoma"/>
      <family val="2"/>
    </font>
    <font>
      <sz val="10"/>
      <color rgb="FFFF0000"/>
      <name val="Tahoma"/>
      <family val="2"/>
    </font>
    <font>
      <sz val="10"/>
      <color rgb="FF366092"/>
      <name val="Tahoma"/>
      <family val="2"/>
    </font>
    <font>
      <b/>
      <u/>
      <sz val="10"/>
      <color rgb="FF0000FF"/>
      <name val="Tahoma"/>
      <family val="2"/>
    </font>
    <font>
      <sz val="11"/>
      <color theme="1"/>
      <name val="Calibri"/>
      <family val="2"/>
    </font>
    <font>
      <b/>
      <sz val="10"/>
      <color theme="0"/>
      <name val="Tahoma"/>
      <family val="2"/>
    </font>
    <font>
      <b/>
      <sz val="10"/>
      <color rgb="FFFF0000"/>
      <name val="Futura-Book"/>
      <family val="2"/>
    </font>
    <font>
      <b/>
      <sz val="10"/>
      <name val="Tahoma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6" fillId="0" borderId="0"/>
    <xf numFmtId="0" fontId="16" fillId="0" borderId="0"/>
    <xf numFmtId="0" fontId="5" fillId="0" borderId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8" fillId="0" borderId="0" xfId="7" applyFont="1"/>
    <xf numFmtId="0" fontId="2" fillId="2" borderId="0" xfId="0" applyFont="1" applyFill="1"/>
    <xf numFmtId="0" fontId="2" fillId="2" borderId="0" xfId="3" applyFont="1" applyFill="1"/>
    <xf numFmtId="0" fontId="8" fillId="2" borderId="0" xfId="0" applyFont="1" applyFill="1"/>
    <xf numFmtId="0" fontId="8" fillId="2" borderId="0" xfId="4" applyFont="1" applyFill="1" applyAlignment="1">
      <alignment horizontal="center" vertical="center"/>
    </xf>
    <xf numFmtId="0" fontId="8" fillId="2" borderId="0" xfId="4" applyFont="1" applyFill="1"/>
    <xf numFmtId="0" fontId="11" fillId="2" borderId="0" xfId="5" applyFont="1" applyFill="1" applyAlignment="1">
      <alignment vertical="center"/>
    </xf>
    <xf numFmtId="0" fontId="12" fillId="2" borderId="0" xfId="0" applyFont="1" applyFill="1" applyAlignment="1" applyProtection="1">
      <alignment horizontal="left" vertical="center"/>
      <protection hidden="1"/>
    </xf>
    <xf numFmtId="0" fontId="3" fillId="2" borderId="3" xfId="0" applyFont="1" applyFill="1" applyBorder="1" applyAlignment="1" applyProtection="1">
      <alignment horizontal="left" vertical="center"/>
      <protection hidden="1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4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 applyBorder="1"/>
    <xf numFmtId="0" fontId="15" fillId="0" borderId="0" xfId="0" applyFont="1"/>
    <xf numFmtId="0" fontId="4" fillId="0" borderId="1" xfId="9" applyFont="1" applyBorder="1" applyAlignment="1">
      <alignment horizontal="center" vertical="center" wrapText="1"/>
    </xf>
    <xf numFmtId="0" fontId="9" fillId="2" borderId="0" xfId="0" applyFont="1" applyFill="1" applyAlignment="1" applyProtection="1">
      <alignment horizontal="lef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8" fillId="2" borderId="0" xfId="4" applyFont="1" applyFill="1" applyBorder="1"/>
    <xf numFmtId="0" fontId="11" fillId="2" borderId="0" xfId="5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/>
    </xf>
    <xf numFmtId="0" fontId="9" fillId="2" borderId="0" xfId="0" applyFont="1" applyFill="1" applyBorder="1" applyAlignment="1" applyProtection="1">
      <alignment horizontal="left" vertical="center"/>
      <protection hidden="1"/>
    </xf>
    <xf numFmtId="0" fontId="9" fillId="2" borderId="3" xfId="0" applyFont="1" applyFill="1" applyBorder="1" applyAlignment="1" applyProtection="1">
      <alignment horizontal="left" vertical="center"/>
      <protection hidden="1"/>
    </xf>
    <xf numFmtId="0" fontId="11" fillId="2" borderId="0" xfId="5" applyFont="1" applyFill="1" applyBorder="1" applyAlignment="1">
      <alignment vertical="center"/>
    </xf>
    <xf numFmtId="0" fontId="4" fillId="0" borderId="0" xfId="0" applyFont="1"/>
    <xf numFmtId="0" fontId="2" fillId="0" borderId="0" xfId="0" applyFont="1"/>
    <xf numFmtId="0" fontId="9" fillId="0" borderId="0" xfId="12" applyFont="1" applyAlignment="1" applyProtection="1">
      <alignment horizontal="left" vertical="center"/>
      <protection hidden="1"/>
    </xf>
    <xf numFmtId="0" fontId="9" fillId="2" borderId="0" xfId="0" applyFont="1" applyFill="1" applyAlignment="1">
      <alignment horizontal="left" vertical="top"/>
    </xf>
    <xf numFmtId="0" fontId="9" fillId="3" borderId="2" xfId="0" applyFont="1" applyFill="1" applyBorder="1" applyAlignment="1" applyProtection="1">
      <alignment horizontal="center" vertical="center"/>
      <protection hidden="1"/>
    </xf>
    <xf numFmtId="0" fontId="13" fillId="0" borderId="0" xfId="0" applyFont="1"/>
    <xf numFmtId="0" fontId="4" fillId="0" borderId="0" xfId="0" applyFont="1" applyAlignment="1">
      <alignment horizontal="center" vertical="center"/>
    </xf>
    <xf numFmtId="1" fontId="2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  <xf numFmtId="164" fontId="0" fillId="0" borderId="0" xfId="14" applyNumberFormat="1" applyFont="1"/>
    <xf numFmtId="164" fontId="2" fillId="0" borderId="0" xfId="14" applyNumberFormat="1" applyFont="1"/>
    <xf numFmtId="164" fontId="0" fillId="0" borderId="0" xfId="0" applyNumberFormat="1"/>
    <xf numFmtId="10" fontId="2" fillId="0" borderId="0" xfId="0" applyNumberFormat="1" applyFont="1"/>
    <xf numFmtId="9" fontId="2" fillId="0" borderId="0" xfId="0" applyNumberFormat="1" applyFont="1"/>
    <xf numFmtId="164" fontId="2" fillId="0" borderId="4" xfId="14" applyNumberFormat="1" applyFont="1" applyBorder="1"/>
    <xf numFmtId="0" fontId="15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9" fillId="3" borderId="1" xfId="0" applyFont="1" applyFill="1" applyBorder="1" applyAlignment="1">
      <alignment horizontal="center" vertical="center" wrapText="1"/>
    </xf>
    <xf numFmtId="43" fontId="4" fillId="4" borderId="0" xfId="1" applyFont="1" applyFill="1" applyBorder="1" applyAlignment="1">
      <alignment horizontal="center"/>
    </xf>
    <xf numFmtId="166" fontId="7" fillId="2" borderId="0" xfId="6" applyNumberFormat="1" applyFont="1" applyFill="1" applyAlignment="1">
      <alignment horizontal="left"/>
    </xf>
    <xf numFmtId="0" fontId="2" fillId="0" borderId="1" xfId="13" applyFont="1" applyBorder="1" applyAlignment="1">
      <alignment horizontal="center" vertical="center" wrapText="1"/>
    </xf>
    <xf numFmtId="0" fontId="2" fillId="4" borderId="1" xfId="13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15" fontId="9" fillId="3" borderId="1" xfId="0" applyNumberFormat="1" applyFont="1" applyFill="1" applyBorder="1" applyAlignment="1">
      <alignment horizontal="center" vertical="center" wrapText="1"/>
    </xf>
    <xf numFmtId="165" fontId="9" fillId="3" borderId="1" xfId="14" applyNumberFormat="1" applyFont="1" applyFill="1" applyBorder="1" applyAlignment="1">
      <alignment horizontal="center" vertical="center" wrapText="1"/>
    </xf>
    <xf numFmtId="1" fontId="9" fillId="3" borderId="1" xfId="14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/>
    <xf numFmtId="49" fontId="2" fillId="0" borderId="1" xfId="0" applyNumberFormat="1" applyFont="1" applyBorder="1"/>
    <xf numFmtId="14" fontId="2" fillId="0" borderId="1" xfId="0" applyNumberFormat="1" applyFont="1" applyBorder="1"/>
    <xf numFmtId="164" fontId="0" fillId="0" borderId="1" xfId="14" applyNumberFormat="1" applyFont="1" applyBorder="1"/>
    <xf numFmtId="1" fontId="9" fillId="3" borderId="1" xfId="0" applyNumberFormat="1" applyFont="1" applyFill="1" applyBorder="1" applyAlignment="1">
      <alignment horizontal="center" vertical="center" wrapText="1"/>
    </xf>
    <xf numFmtId="43" fontId="9" fillId="3" borderId="1" xfId="14" applyFont="1" applyFill="1" applyBorder="1" applyAlignment="1">
      <alignment horizontal="center" vertical="center" wrapText="1"/>
    </xf>
    <xf numFmtId="164" fontId="2" fillId="0" borderId="1" xfId="14" applyNumberFormat="1" applyFont="1" applyBorder="1"/>
    <xf numFmtId="164" fontId="0" fillId="0" borderId="1" xfId="0" applyNumberFormat="1" applyBorder="1"/>
    <xf numFmtId="0" fontId="0" fillId="0" borderId="1" xfId="0" applyBorder="1"/>
    <xf numFmtId="49" fontId="9" fillId="3" borderId="1" xfId="4" applyNumberFormat="1" applyFont="1" applyFill="1" applyBorder="1" applyAlignment="1">
      <alignment horizontal="center" vertical="center" wrapText="1"/>
    </xf>
    <xf numFmtId="14" fontId="9" fillId="3" borderId="1" xfId="4" applyNumberFormat="1" applyFont="1" applyFill="1" applyBorder="1" applyAlignment="1">
      <alignment horizontal="center" vertical="center" wrapText="1"/>
    </xf>
    <xf numFmtId="10" fontId="9" fillId="3" borderId="1" xfId="2" applyNumberFormat="1" applyFont="1" applyFill="1" applyBorder="1" applyAlignment="1">
      <alignment horizontal="center" vertical="center" wrapText="1"/>
    </xf>
    <xf numFmtId="9" fontId="9" fillId="3" borderId="1" xfId="2" applyFont="1" applyFill="1" applyBorder="1" applyAlignment="1">
      <alignment horizontal="center" vertical="center" wrapText="1"/>
    </xf>
    <xf numFmtId="10" fontId="2" fillId="0" borderId="1" xfId="0" applyNumberFormat="1" applyFont="1" applyBorder="1"/>
    <xf numFmtId="9" fontId="2" fillId="0" borderId="1" xfId="0" applyNumberFormat="1" applyFont="1" applyBorder="1"/>
    <xf numFmtId="1" fontId="9" fillId="3" borderId="1" xfId="4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8" fillId="0" borderId="1" xfId="1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/>
    <xf numFmtId="0" fontId="8" fillId="2" borderId="0" xfId="1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2" fillId="2" borderId="0" xfId="0" applyFont="1" applyFill="1" applyAlignment="1">
      <alignment vertical="center"/>
    </xf>
    <xf numFmtId="0" fontId="8" fillId="2" borderId="0" xfId="7" applyFont="1" applyFill="1"/>
    <xf numFmtId="0" fontId="8" fillId="0" borderId="0" xfId="3" applyFont="1"/>
    <xf numFmtId="14" fontId="2" fillId="2" borderId="0" xfId="3" applyNumberFormat="1" applyFont="1" applyFill="1"/>
    <xf numFmtId="0" fontId="9" fillId="3" borderId="1" xfId="3" applyFont="1" applyFill="1" applyBorder="1" applyAlignment="1" applyProtection="1">
      <alignment horizontal="center" vertical="center"/>
      <protection hidden="1"/>
    </xf>
    <xf numFmtId="0" fontId="3" fillId="2" borderId="0" xfId="3" applyFont="1" applyFill="1" applyAlignment="1" applyProtection="1">
      <alignment horizontal="left" vertical="center"/>
      <protection hidden="1"/>
    </xf>
    <xf numFmtId="14" fontId="3" fillId="2" borderId="0" xfId="3" applyNumberFormat="1" applyFont="1" applyFill="1" applyAlignment="1" applyProtection="1">
      <alignment horizontal="left" vertical="center"/>
      <protection hidden="1"/>
    </xf>
    <xf numFmtId="0" fontId="9" fillId="2" borderId="0" xfId="3" applyFont="1" applyFill="1" applyAlignment="1" applyProtection="1">
      <alignment horizontal="left" vertical="center"/>
      <protection hidden="1"/>
    </xf>
    <xf numFmtId="0" fontId="9" fillId="2" borderId="0" xfId="3" applyFont="1" applyFill="1" applyAlignment="1">
      <alignment horizontal="left" vertical="top"/>
    </xf>
    <xf numFmtId="0" fontId="2" fillId="0" borderId="0" xfId="3" applyFont="1"/>
    <xf numFmtId="0" fontId="7" fillId="0" borderId="0" xfId="3" applyFont="1" applyAlignment="1">
      <alignment vertical="top"/>
    </xf>
    <xf numFmtId="0" fontId="15" fillId="0" borderId="0" xfId="3" applyFont="1"/>
    <xf numFmtId="0" fontId="8" fillId="3" borderId="1" xfId="3" applyFont="1" applyFill="1" applyBorder="1" applyAlignment="1">
      <alignment horizontal="center"/>
    </xf>
    <xf numFmtId="0" fontId="8" fillId="3" borderId="2" xfId="3" applyFont="1" applyFill="1" applyBorder="1"/>
    <xf numFmtId="0" fontId="8" fillId="0" borderId="0" xfId="3" applyFont="1" applyAlignment="1">
      <alignment horizontal="right"/>
    </xf>
    <xf numFmtId="0" fontId="2" fillId="0" borderId="0" xfId="3" applyFont="1" applyAlignment="1">
      <alignment vertical="center"/>
    </xf>
    <xf numFmtId="0" fontId="13" fillId="0" borderId="0" xfId="3" applyFont="1"/>
    <xf numFmtId="10" fontId="8" fillId="0" borderId="0" xfId="16" applyNumberFormat="1" applyFont="1" applyAlignment="1"/>
    <xf numFmtId="14" fontId="8" fillId="0" borderId="0" xfId="3" applyNumberFormat="1" applyFont="1"/>
    <xf numFmtId="0" fontId="13" fillId="0" borderId="0" xfId="3" applyFont="1" applyBorder="1"/>
    <xf numFmtId="0" fontId="3" fillId="0" borderId="0" xfId="0" applyFont="1"/>
    <xf numFmtId="0" fontId="17" fillId="0" borderId="0" xfId="0" applyFont="1" applyAlignment="1">
      <alignment vertical="center"/>
    </xf>
    <xf numFmtId="0" fontId="3" fillId="0" borderId="7" xfId="0" applyFont="1" applyBorder="1" applyAlignment="1">
      <alignment horizontal="left" vertical="top"/>
    </xf>
    <xf numFmtId="0" fontId="19" fillId="2" borderId="0" xfId="7" applyFont="1" applyFill="1" applyAlignment="1">
      <alignment horizontal="left" vertical="center" indent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43" fontId="4" fillId="0" borderId="0" xfId="1" applyFont="1" applyFill="1" applyBorder="1" applyAlignment="1">
      <alignment horizontal="center"/>
    </xf>
    <xf numFmtId="0" fontId="9" fillId="3" borderId="1" xfId="4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49" fontId="9" fillId="6" borderId="1" xfId="4" applyNumberFormat="1" applyFont="1" applyFill="1" applyBorder="1" applyAlignment="1">
      <alignment horizontal="center" vertical="center" wrapText="1"/>
    </xf>
    <xf numFmtId="166" fontId="9" fillId="6" borderId="1" xfId="4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166" fontId="9" fillId="6" borderId="2" xfId="4" applyNumberFormat="1" applyFont="1" applyFill="1" applyBorder="1" applyAlignment="1">
      <alignment horizontal="center" vertical="center"/>
    </xf>
    <xf numFmtId="166" fontId="9" fillId="6" borderId="8" xfId="4" applyNumberFormat="1" applyFont="1" applyFill="1" applyBorder="1" applyAlignment="1">
      <alignment horizontal="center" vertical="center"/>
    </xf>
    <xf numFmtId="166" fontId="9" fillId="6" borderId="9" xfId="4" applyNumberFormat="1" applyFont="1" applyFill="1" applyBorder="1" applyAlignment="1">
      <alignment horizontal="center" vertical="center"/>
    </xf>
  </cellXfs>
  <cellStyles count="17">
    <cellStyle name="Millares" xfId="1" builtinId="3"/>
    <cellStyle name="Millares 2" xfId="15" xr:uid="{AF56E69A-EB6F-4339-999B-C736C513C6E6}"/>
    <cellStyle name="Millares 3" xfId="14" xr:uid="{13870B89-5B69-43D3-AD85-7FFA7773A3D4}"/>
    <cellStyle name="Normal" xfId="0" builtinId="0"/>
    <cellStyle name="Normal 2" xfId="3" xr:uid="{510EC1A5-262D-4664-AE16-3B56401324AB}"/>
    <cellStyle name="Normal 2 10" xfId="10" xr:uid="{9C31BADC-5CDA-4929-9FCC-85ED0BE4D2FD}"/>
    <cellStyle name="Normal 2 2 15" xfId="7" xr:uid="{7AA60D64-FB3F-4756-A7C2-3F5A07D20F23}"/>
    <cellStyle name="Normal 2 2 2 10" xfId="8" xr:uid="{02D019FE-C4E9-4B9D-877C-2C39C8278911}"/>
    <cellStyle name="Normal 2 2 2 2" xfId="13" xr:uid="{5FB46888-EBF2-44EE-8546-85812E89D3FD}"/>
    <cellStyle name="Normal 2 3 2 5" xfId="4" xr:uid="{7A70E713-DE27-4C31-95E8-55C10FBDC6C8}"/>
    <cellStyle name="Normal 3 2" xfId="5" xr:uid="{AAF051B2-D59F-46E0-BDEF-FA40DD180702}"/>
    <cellStyle name="Normal 50" xfId="9" xr:uid="{85053593-05D8-4316-AEEB-808D2D41FE64}"/>
    <cellStyle name="Normal 7" xfId="12" xr:uid="{730BA53F-A6C8-4056-9170-F44AA9A398E7}"/>
    <cellStyle name="Normal_2102 Sumaria de Efectivo y Equivalentes" xfId="6" xr:uid="{04699C09-2BC6-47A2-B420-96B70A3A5CC2}"/>
    <cellStyle name="Normal_2102.1.1 Analisis de Partidas Conciliatorias" xfId="11" xr:uid="{B3090442-FE5A-413A-A0E0-D7DDE3D06460}"/>
    <cellStyle name="Porcentaje" xfId="2" builtinId="5"/>
    <cellStyle name="Porcentaje 2" xfId="16" xr:uid="{92F8F215-9A8C-46E9-A8A7-801A391537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218281</xdr:colOff>
      <xdr:row>33</xdr:row>
      <xdr:rowOff>109141</xdr:rowOff>
    </xdr:from>
    <xdr:to>
      <xdr:col>1</xdr:col>
      <xdr:colOff>49610</xdr:colOff>
      <xdr:row>50</xdr:row>
      <xdr:rowOff>119063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A5F1B437-FA13-46A5-86B3-15C0E412532F}"/>
            </a:ext>
          </a:extLst>
        </xdr:cNvPr>
        <xdr:cNvSpPr/>
      </xdr:nvSpPr>
      <xdr:spPr>
        <a:xfrm>
          <a:off x="218281" y="5080000"/>
          <a:ext cx="357188" cy="2708672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495768</xdr:colOff>
      <xdr:row>45</xdr:row>
      <xdr:rowOff>13432</xdr:rowOff>
    </xdr:from>
    <xdr:ext cx="232427" cy="232427"/>
    <xdr:pic>
      <xdr:nvPicPr>
        <xdr:cNvPr id="9" name="Imagen 8">
          <a:extLst>
            <a:ext uri="{FF2B5EF4-FFF2-40B4-BE49-F238E27FC236}">
              <a16:creationId xmlns:a16="http://schemas.microsoft.com/office/drawing/2014/main" id="{1A4553F0-E335-40E8-862B-5585054C7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3601" y="7485265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136311</xdr:colOff>
      <xdr:row>30</xdr:row>
      <xdr:rowOff>45492</xdr:rowOff>
    </xdr:from>
    <xdr:to>
      <xdr:col>7</xdr:col>
      <xdr:colOff>392769</xdr:colOff>
      <xdr:row>32</xdr:row>
      <xdr:rowOff>9677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5727245-046A-4B80-80DE-7A705B5A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4044" y="4785841"/>
          <a:ext cx="256458" cy="259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828075</xdr:colOff>
      <xdr:row>30</xdr:row>
      <xdr:rowOff>80856</xdr:rowOff>
    </xdr:from>
    <xdr:to>
      <xdr:col>19</xdr:col>
      <xdr:colOff>196173</xdr:colOff>
      <xdr:row>32</xdr:row>
      <xdr:rowOff>20225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1DBF7D6-4C35-4CEA-BACD-FFB76EED5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4282" y="4649936"/>
          <a:ext cx="236661" cy="231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239384</xdr:colOff>
      <xdr:row>31</xdr:row>
      <xdr:rowOff>67515</xdr:rowOff>
    </xdr:from>
    <xdr:to>
      <xdr:col>22</xdr:col>
      <xdr:colOff>704347</xdr:colOff>
      <xdr:row>31</xdr:row>
      <xdr:rowOff>67517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1A1B199-A40E-4A8F-8DE9-8ED58492B79D}"/>
            </a:ext>
          </a:extLst>
        </xdr:cNvPr>
        <xdr:cNvCxnSpPr>
          <a:cxnSpLocks/>
        </xdr:cNvCxnSpPr>
      </xdr:nvCxnSpPr>
      <xdr:spPr>
        <a:xfrm flipV="1">
          <a:off x="17574154" y="4767975"/>
          <a:ext cx="2683814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213856</xdr:colOff>
      <xdr:row>31</xdr:row>
      <xdr:rowOff>48902</xdr:rowOff>
    </xdr:from>
    <xdr:to>
      <xdr:col>26</xdr:col>
      <xdr:colOff>12252</xdr:colOff>
      <xdr:row>31</xdr:row>
      <xdr:rowOff>48903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F58A9B44-06E2-4272-81A9-E1B0AF58E1E9}"/>
            </a:ext>
          </a:extLst>
        </xdr:cNvPr>
        <xdr:cNvCxnSpPr>
          <a:cxnSpLocks/>
        </xdr:cNvCxnSpPr>
      </xdr:nvCxnSpPr>
      <xdr:spPr>
        <a:xfrm flipV="1">
          <a:off x="21373224" y="4749362"/>
          <a:ext cx="1404143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262412</xdr:colOff>
      <xdr:row>30</xdr:row>
      <xdr:rowOff>69021</xdr:rowOff>
    </xdr:from>
    <xdr:to>
      <xdr:col>23</xdr:col>
      <xdr:colOff>493513</xdr:colOff>
      <xdr:row>32</xdr:row>
      <xdr:rowOff>10523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D3227D29-C730-450B-9A56-D72BD655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18906" y="4638101"/>
          <a:ext cx="231101" cy="233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243663</xdr:colOff>
      <xdr:row>30</xdr:row>
      <xdr:rowOff>61489</xdr:rowOff>
    </xdr:from>
    <xdr:to>
      <xdr:col>27</xdr:col>
      <xdr:colOff>247230</xdr:colOff>
      <xdr:row>32</xdr:row>
      <xdr:rowOff>24101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AFB9F2B-596F-4CCF-B02B-2BB0D3470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69303" y="4801838"/>
          <a:ext cx="254613" cy="25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45148</xdr:colOff>
      <xdr:row>30</xdr:row>
      <xdr:rowOff>98036</xdr:rowOff>
    </xdr:from>
    <xdr:to>
      <xdr:col>1</xdr:col>
      <xdr:colOff>289324</xdr:colOff>
      <xdr:row>32</xdr:row>
      <xdr:rowOff>46799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CF8988D3-AB23-415E-8368-451B8883B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625" y="4838385"/>
          <a:ext cx="244176" cy="244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315151</xdr:colOff>
      <xdr:row>30</xdr:row>
      <xdr:rowOff>28512</xdr:rowOff>
    </xdr:from>
    <xdr:to>
      <xdr:col>15</xdr:col>
      <xdr:colOff>586143</xdr:colOff>
      <xdr:row>32</xdr:row>
      <xdr:rowOff>18264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4E1CEE95-17AE-4088-AD35-E9606AB7A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1734" y="4378262"/>
          <a:ext cx="270992" cy="281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216957</xdr:colOff>
      <xdr:row>53</xdr:row>
      <xdr:rowOff>26458</xdr:rowOff>
    </xdr:from>
    <xdr:ext cx="162000" cy="162000"/>
    <xdr:pic>
      <xdr:nvPicPr>
        <xdr:cNvPr id="33" name="Imagen 32">
          <a:extLst>
            <a:ext uri="{FF2B5EF4-FFF2-40B4-BE49-F238E27FC236}">
              <a16:creationId xmlns:a16="http://schemas.microsoft.com/office/drawing/2014/main" id="{28D9D156-FCDB-4231-A525-161A9748E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957" y="9170458"/>
          <a:ext cx="162000" cy="1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195831</xdr:colOff>
      <xdr:row>50</xdr:row>
      <xdr:rowOff>156147</xdr:rowOff>
    </xdr:from>
    <xdr:to>
      <xdr:col>1</xdr:col>
      <xdr:colOff>100444</xdr:colOff>
      <xdr:row>52</xdr:row>
      <xdr:rowOff>30736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AEDD9F7-5967-4C19-A22D-439EE20E3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31" y="8823897"/>
          <a:ext cx="192088" cy="192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211664</xdr:colOff>
      <xdr:row>52</xdr:row>
      <xdr:rowOff>29105</xdr:rowOff>
    </xdr:from>
    <xdr:to>
      <xdr:col>1</xdr:col>
      <xdr:colOff>82939</xdr:colOff>
      <xdr:row>53</xdr:row>
      <xdr:rowOff>29104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6AECF97-42D5-4121-BDA2-C4BFF923E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64" y="9014355"/>
          <a:ext cx="158750" cy="158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208231</xdr:colOff>
      <xdr:row>49</xdr:row>
      <xdr:rowOff>155311</xdr:rowOff>
    </xdr:from>
    <xdr:to>
      <xdr:col>1</xdr:col>
      <xdr:colOff>82757</xdr:colOff>
      <xdr:row>51</xdr:row>
      <xdr:rowOff>7041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8535D5BC-DEC3-41FF-A87A-A44F39A9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231" y="8664311"/>
          <a:ext cx="162001" cy="1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239093</xdr:colOff>
      <xdr:row>31</xdr:row>
      <xdr:rowOff>64730</xdr:rowOff>
    </xdr:from>
    <xdr:to>
      <xdr:col>33</xdr:col>
      <xdr:colOff>942472</xdr:colOff>
      <xdr:row>31</xdr:row>
      <xdr:rowOff>64732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AC02D4C8-8004-46C3-95F4-F3CE6B4FCB65}"/>
            </a:ext>
          </a:extLst>
        </xdr:cNvPr>
        <xdr:cNvCxnSpPr>
          <a:cxnSpLocks/>
        </xdr:cNvCxnSpPr>
      </xdr:nvCxnSpPr>
      <xdr:spPr>
        <a:xfrm flipV="1">
          <a:off x="22515779" y="4937986"/>
          <a:ext cx="7533321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547874</xdr:colOff>
      <xdr:row>31</xdr:row>
      <xdr:rowOff>51685</xdr:rowOff>
    </xdr:from>
    <xdr:to>
      <xdr:col>14</xdr:col>
      <xdr:colOff>669779</xdr:colOff>
      <xdr:row>31</xdr:row>
      <xdr:rowOff>51687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D26B48DD-D8A9-44C1-80DB-21C07FED922B}"/>
            </a:ext>
          </a:extLst>
        </xdr:cNvPr>
        <xdr:cNvCxnSpPr>
          <a:cxnSpLocks/>
        </xdr:cNvCxnSpPr>
      </xdr:nvCxnSpPr>
      <xdr:spPr>
        <a:xfrm flipV="1">
          <a:off x="6565607" y="4924941"/>
          <a:ext cx="6848474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339687</xdr:colOff>
      <xdr:row>31</xdr:row>
      <xdr:rowOff>66453</xdr:rowOff>
    </xdr:from>
    <xdr:to>
      <xdr:col>5</xdr:col>
      <xdr:colOff>705194</xdr:colOff>
      <xdr:row>31</xdr:row>
      <xdr:rowOff>66455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885FEB6F-6CF4-4204-8FF3-7153083BEE1D}"/>
            </a:ext>
          </a:extLst>
        </xdr:cNvPr>
        <xdr:cNvCxnSpPr>
          <a:cxnSpLocks/>
        </xdr:cNvCxnSpPr>
      </xdr:nvCxnSpPr>
      <xdr:spPr>
        <a:xfrm flipV="1">
          <a:off x="849164" y="4939709"/>
          <a:ext cx="4677600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773679</xdr:colOff>
      <xdr:row>30</xdr:row>
      <xdr:rowOff>72988</xdr:rowOff>
    </xdr:from>
    <xdr:to>
      <xdr:col>24</xdr:col>
      <xdr:colOff>207466</xdr:colOff>
      <xdr:row>32</xdr:row>
      <xdr:rowOff>8153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0341E18-78E0-4592-9457-270907A0F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30173" y="4642068"/>
          <a:ext cx="236661" cy="227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30</xdr:row>
      <xdr:rowOff>65689</xdr:rowOff>
    </xdr:from>
    <xdr:to>
      <xdr:col>17</xdr:col>
      <xdr:colOff>250041</xdr:colOff>
      <xdr:row>32</xdr:row>
      <xdr:rowOff>24589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8BA6C2D-7A81-4353-9F45-0C4672B7C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9425" y="4634769"/>
          <a:ext cx="250041" cy="250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277358</xdr:colOff>
      <xdr:row>31</xdr:row>
      <xdr:rowOff>72989</xdr:rowOff>
    </xdr:from>
    <xdr:to>
      <xdr:col>18</xdr:col>
      <xdr:colOff>738197</xdr:colOff>
      <xdr:row>31</xdr:row>
      <xdr:rowOff>72991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587B098E-BF4C-4F13-A1C3-26BF2881DFA1}"/>
            </a:ext>
          </a:extLst>
        </xdr:cNvPr>
        <xdr:cNvCxnSpPr>
          <a:cxnSpLocks/>
        </xdr:cNvCxnSpPr>
      </xdr:nvCxnSpPr>
      <xdr:spPr>
        <a:xfrm flipV="1">
          <a:off x="15356783" y="4773449"/>
          <a:ext cx="1847621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cerda/Desktop/Plantilla%20de%20Selecciones%20Nuevo%20Enfoq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ARELLANO/Documents/Deloitte/Herramientas%20Deloitte/8340%20Selecci&#243;n%20CMA%20para%20APT%20de%20gas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Sample Data"/>
      <sheetName val="Calc"/>
      <sheetName val="MUS Calculations- Figure 5410.1"/>
      <sheetName val="MUS Selections"/>
      <sheetName val="Tickmarks"/>
      <sheetName val="CMA_SampleDesign"/>
      <sheetName val="DialogInsert"/>
      <sheetName val="#REF"/>
    </sheetNames>
    <sheetDataSet>
      <sheetData sheetId="0" refreshError="1"/>
      <sheetData sheetId="1" refreshError="1"/>
      <sheetData sheetId="2" refreshError="1"/>
      <sheetData sheetId="3">
        <row r="22">
          <cell r="D22">
            <v>0</v>
          </cell>
          <cell r="H22" t="e">
            <v>#DIV/0!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XREF"/>
      <sheetName val="Tickmarks"/>
      <sheetName val="CMA_SampleDesign"/>
      <sheetName val="DialogInser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BBD6-B880-4578-95A1-55007D50B2DC}">
  <dimension ref="A1:Q78"/>
  <sheetViews>
    <sheetView showGridLines="0" tabSelected="1" zoomScale="78" zoomScaleNormal="90" workbookViewId="0">
      <selection activeCell="B18" sqref="B18"/>
    </sheetView>
  </sheetViews>
  <sheetFormatPr baseColWidth="10" defaultColWidth="11.453125" defaultRowHeight="12.5"/>
  <cols>
    <col min="1" max="1" width="5.81640625" style="82" customWidth="1"/>
    <col min="2" max="2" width="18.453125" style="82" customWidth="1"/>
    <col min="3" max="4" width="16.81640625" style="82" customWidth="1"/>
    <col min="5" max="5" width="12.453125" style="98" bestFit="1" customWidth="1"/>
    <col min="6" max="6" width="10.54296875" style="82" bestFit="1" customWidth="1"/>
    <col min="7" max="7" width="15" style="82" bestFit="1" customWidth="1"/>
    <col min="8" max="8" width="15.81640625" style="82" customWidth="1"/>
    <col min="9" max="9" width="16.1796875" style="97" customWidth="1"/>
    <col min="10" max="10" width="15.7265625" style="82" customWidth="1"/>
    <col min="11" max="11" width="12.1796875" style="82" bestFit="1" customWidth="1"/>
    <col min="12" max="12" width="11.453125" style="82"/>
    <col min="13" max="13" width="10.81640625" style="82" bestFit="1" customWidth="1"/>
    <col min="14" max="14" width="12.81640625" style="82" bestFit="1" customWidth="1"/>
    <col min="15" max="16" width="17.90625" style="82" customWidth="1"/>
    <col min="17" max="17" width="18" style="82" customWidth="1"/>
    <col min="18" max="255" width="11.453125" style="82"/>
    <col min="256" max="256" width="7.54296875" style="82" customWidth="1"/>
    <col min="257" max="257" width="18.453125" style="82" customWidth="1"/>
    <col min="258" max="259" width="16.81640625" style="82" customWidth="1"/>
    <col min="260" max="260" width="12.453125" style="82" bestFit="1" customWidth="1"/>
    <col min="261" max="261" width="10.54296875" style="82" bestFit="1" customWidth="1"/>
    <col min="262" max="262" width="15" style="82" bestFit="1" customWidth="1"/>
    <col min="263" max="263" width="15.81640625" style="82" customWidth="1"/>
    <col min="264" max="264" width="16.1796875" style="82" customWidth="1"/>
    <col min="265" max="265" width="15.7265625" style="82" customWidth="1"/>
    <col min="266" max="266" width="12.1796875" style="82" bestFit="1" customWidth="1"/>
    <col min="267" max="267" width="11.453125" style="82"/>
    <col min="268" max="268" width="10.81640625" style="82" bestFit="1" customWidth="1"/>
    <col min="269" max="269" width="12.81640625" style="82" bestFit="1" customWidth="1"/>
    <col min="270" max="270" width="12.81640625" style="82" customWidth="1"/>
    <col min="271" max="271" width="17.1796875" style="82" customWidth="1"/>
    <col min="272" max="272" width="26.81640625" style="82" bestFit="1" customWidth="1"/>
    <col min="273" max="511" width="11.453125" style="82"/>
    <col min="512" max="512" width="7.54296875" style="82" customWidth="1"/>
    <col min="513" max="513" width="18.453125" style="82" customWidth="1"/>
    <col min="514" max="515" width="16.81640625" style="82" customWidth="1"/>
    <col min="516" max="516" width="12.453125" style="82" bestFit="1" customWidth="1"/>
    <col min="517" max="517" width="10.54296875" style="82" bestFit="1" customWidth="1"/>
    <col min="518" max="518" width="15" style="82" bestFit="1" customWidth="1"/>
    <col min="519" max="519" width="15.81640625" style="82" customWidth="1"/>
    <col min="520" max="520" width="16.1796875" style="82" customWidth="1"/>
    <col min="521" max="521" width="15.7265625" style="82" customWidth="1"/>
    <col min="522" max="522" width="12.1796875" style="82" bestFit="1" customWidth="1"/>
    <col min="523" max="523" width="11.453125" style="82"/>
    <col min="524" max="524" width="10.81640625" style="82" bestFit="1" customWidth="1"/>
    <col min="525" max="525" width="12.81640625" style="82" bestFit="1" customWidth="1"/>
    <col min="526" max="526" width="12.81640625" style="82" customWidth="1"/>
    <col min="527" max="527" width="17.1796875" style="82" customWidth="1"/>
    <col min="528" max="528" width="26.81640625" style="82" bestFit="1" customWidth="1"/>
    <col min="529" max="767" width="11.453125" style="82"/>
    <col min="768" max="768" width="7.54296875" style="82" customWidth="1"/>
    <col min="769" max="769" width="18.453125" style="82" customWidth="1"/>
    <col min="770" max="771" width="16.81640625" style="82" customWidth="1"/>
    <col min="772" max="772" width="12.453125" style="82" bestFit="1" customWidth="1"/>
    <col min="773" max="773" width="10.54296875" style="82" bestFit="1" customWidth="1"/>
    <col min="774" max="774" width="15" style="82" bestFit="1" customWidth="1"/>
    <col min="775" max="775" width="15.81640625" style="82" customWidth="1"/>
    <col min="776" max="776" width="16.1796875" style="82" customWidth="1"/>
    <col min="777" max="777" width="15.7265625" style="82" customWidth="1"/>
    <col min="778" max="778" width="12.1796875" style="82" bestFit="1" customWidth="1"/>
    <col min="779" max="779" width="11.453125" style="82"/>
    <col min="780" max="780" width="10.81640625" style="82" bestFit="1" customWidth="1"/>
    <col min="781" max="781" width="12.81640625" style="82" bestFit="1" customWidth="1"/>
    <col min="782" max="782" width="12.81640625" style="82" customWidth="1"/>
    <col min="783" max="783" width="17.1796875" style="82" customWidth="1"/>
    <col min="784" max="784" width="26.81640625" style="82" bestFit="1" customWidth="1"/>
    <col min="785" max="1023" width="11.453125" style="82"/>
    <col min="1024" max="1024" width="7.54296875" style="82" customWidth="1"/>
    <col min="1025" max="1025" width="18.453125" style="82" customWidth="1"/>
    <col min="1026" max="1027" width="16.81640625" style="82" customWidth="1"/>
    <col min="1028" max="1028" width="12.453125" style="82" bestFit="1" customWidth="1"/>
    <col min="1029" max="1029" width="10.54296875" style="82" bestFit="1" customWidth="1"/>
    <col min="1030" max="1030" width="15" style="82" bestFit="1" customWidth="1"/>
    <col min="1031" max="1031" width="15.81640625" style="82" customWidth="1"/>
    <col min="1032" max="1032" width="16.1796875" style="82" customWidth="1"/>
    <col min="1033" max="1033" width="15.7265625" style="82" customWidth="1"/>
    <col min="1034" max="1034" width="12.1796875" style="82" bestFit="1" customWidth="1"/>
    <col min="1035" max="1035" width="11.453125" style="82"/>
    <col min="1036" max="1036" width="10.81640625" style="82" bestFit="1" customWidth="1"/>
    <col min="1037" max="1037" width="12.81640625" style="82" bestFit="1" customWidth="1"/>
    <col min="1038" max="1038" width="12.81640625" style="82" customWidth="1"/>
    <col min="1039" max="1039" width="17.1796875" style="82" customWidth="1"/>
    <col min="1040" max="1040" width="26.81640625" style="82" bestFit="1" customWidth="1"/>
    <col min="1041" max="1279" width="11.453125" style="82"/>
    <col min="1280" max="1280" width="7.54296875" style="82" customWidth="1"/>
    <col min="1281" max="1281" width="18.453125" style="82" customWidth="1"/>
    <col min="1282" max="1283" width="16.81640625" style="82" customWidth="1"/>
    <col min="1284" max="1284" width="12.453125" style="82" bestFit="1" customWidth="1"/>
    <col min="1285" max="1285" width="10.54296875" style="82" bestFit="1" customWidth="1"/>
    <col min="1286" max="1286" width="15" style="82" bestFit="1" customWidth="1"/>
    <col min="1287" max="1287" width="15.81640625" style="82" customWidth="1"/>
    <col min="1288" max="1288" width="16.1796875" style="82" customWidth="1"/>
    <col min="1289" max="1289" width="15.7265625" style="82" customWidth="1"/>
    <col min="1290" max="1290" width="12.1796875" style="82" bestFit="1" customWidth="1"/>
    <col min="1291" max="1291" width="11.453125" style="82"/>
    <col min="1292" max="1292" width="10.81640625" style="82" bestFit="1" customWidth="1"/>
    <col min="1293" max="1293" width="12.81640625" style="82" bestFit="1" customWidth="1"/>
    <col min="1294" max="1294" width="12.81640625" style="82" customWidth="1"/>
    <col min="1295" max="1295" width="17.1796875" style="82" customWidth="1"/>
    <col min="1296" max="1296" width="26.81640625" style="82" bestFit="1" customWidth="1"/>
    <col min="1297" max="1535" width="11.453125" style="82"/>
    <col min="1536" max="1536" width="7.54296875" style="82" customWidth="1"/>
    <col min="1537" max="1537" width="18.453125" style="82" customWidth="1"/>
    <col min="1538" max="1539" width="16.81640625" style="82" customWidth="1"/>
    <col min="1540" max="1540" width="12.453125" style="82" bestFit="1" customWidth="1"/>
    <col min="1541" max="1541" width="10.54296875" style="82" bestFit="1" customWidth="1"/>
    <col min="1542" max="1542" width="15" style="82" bestFit="1" customWidth="1"/>
    <col min="1543" max="1543" width="15.81640625" style="82" customWidth="1"/>
    <col min="1544" max="1544" width="16.1796875" style="82" customWidth="1"/>
    <col min="1545" max="1545" width="15.7265625" style="82" customWidth="1"/>
    <col min="1546" max="1546" width="12.1796875" style="82" bestFit="1" customWidth="1"/>
    <col min="1547" max="1547" width="11.453125" style="82"/>
    <col min="1548" max="1548" width="10.81640625" style="82" bestFit="1" customWidth="1"/>
    <col min="1549" max="1549" width="12.81640625" style="82" bestFit="1" customWidth="1"/>
    <col min="1550" max="1550" width="12.81640625" style="82" customWidth="1"/>
    <col min="1551" max="1551" width="17.1796875" style="82" customWidth="1"/>
    <col min="1552" max="1552" width="26.81640625" style="82" bestFit="1" customWidth="1"/>
    <col min="1553" max="1791" width="11.453125" style="82"/>
    <col min="1792" max="1792" width="7.54296875" style="82" customWidth="1"/>
    <col min="1793" max="1793" width="18.453125" style="82" customWidth="1"/>
    <col min="1794" max="1795" width="16.81640625" style="82" customWidth="1"/>
    <col min="1796" max="1796" width="12.453125" style="82" bestFit="1" customWidth="1"/>
    <col min="1797" max="1797" width="10.54296875" style="82" bestFit="1" customWidth="1"/>
    <col min="1798" max="1798" width="15" style="82" bestFit="1" customWidth="1"/>
    <col min="1799" max="1799" width="15.81640625" style="82" customWidth="1"/>
    <col min="1800" max="1800" width="16.1796875" style="82" customWidth="1"/>
    <col min="1801" max="1801" width="15.7265625" style="82" customWidth="1"/>
    <col min="1802" max="1802" width="12.1796875" style="82" bestFit="1" customWidth="1"/>
    <col min="1803" max="1803" width="11.453125" style="82"/>
    <col min="1804" max="1804" width="10.81640625" style="82" bestFit="1" customWidth="1"/>
    <col min="1805" max="1805" width="12.81640625" style="82" bestFit="1" customWidth="1"/>
    <col min="1806" max="1806" width="12.81640625" style="82" customWidth="1"/>
    <col min="1807" max="1807" width="17.1796875" style="82" customWidth="1"/>
    <col min="1808" max="1808" width="26.81640625" style="82" bestFit="1" customWidth="1"/>
    <col min="1809" max="2047" width="11.453125" style="82"/>
    <col min="2048" max="2048" width="7.54296875" style="82" customWidth="1"/>
    <col min="2049" max="2049" width="18.453125" style="82" customWidth="1"/>
    <col min="2050" max="2051" width="16.81640625" style="82" customWidth="1"/>
    <col min="2052" max="2052" width="12.453125" style="82" bestFit="1" customWidth="1"/>
    <col min="2053" max="2053" width="10.54296875" style="82" bestFit="1" customWidth="1"/>
    <col min="2054" max="2054" width="15" style="82" bestFit="1" customWidth="1"/>
    <col min="2055" max="2055" width="15.81640625" style="82" customWidth="1"/>
    <col min="2056" max="2056" width="16.1796875" style="82" customWidth="1"/>
    <col min="2057" max="2057" width="15.7265625" style="82" customWidth="1"/>
    <col min="2058" max="2058" width="12.1796875" style="82" bestFit="1" customWidth="1"/>
    <col min="2059" max="2059" width="11.453125" style="82"/>
    <col min="2060" max="2060" width="10.81640625" style="82" bestFit="1" customWidth="1"/>
    <col min="2061" max="2061" width="12.81640625" style="82" bestFit="1" customWidth="1"/>
    <col min="2062" max="2062" width="12.81640625" style="82" customWidth="1"/>
    <col min="2063" max="2063" width="17.1796875" style="82" customWidth="1"/>
    <col min="2064" max="2064" width="26.81640625" style="82" bestFit="1" customWidth="1"/>
    <col min="2065" max="2303" width="11.453125" style="82"/>
    <col min="2304" max="2304" width="7.54296875" style="82" customWidth="1"/>
    <col min="2305" max="2305" width="18.453125" style="82" customWidth="1"/>
    <col min="2306" max="2307" width="16.81640625" style="82" customWidth="1"/>
    <col min="2308" max="2308" width="12.453125" style="82" bestFit="1" customWidth="1"/>
    <col min="2309" max="2309" width="10.54296875" style="82" bestFit="1" customWidth="1"/>
    <col min="2310" max="2310" width="15" style="82" bestFit="1" customWidth="1"/>
    <col min="2311" max="2311" width="15.81640625" style="82" customWidth="1"/>
    <col min="2312" max="2312" width="16.1796875" style="82" customWidth="1"/>
    <col min="2313" max="2313" width="15.7265625" style="82" customWidth="1"/>
    <col min="2314" max="2314" width="12.1796875" style="82" bestFit="1" customWidth="1"/>
    <col min="2315" max="2315" width="11.453125" style="82"/>
    <col min="2316" max="2316" width="10.81640625" style="82" bestFit="1" customWidth="1"/>
    <col min="2317" max="2317" width="12.81640625" style="82" bestFit="1" customWidth="1"/>
    <col min="2318" max="2318" width="12.81640625" style="82" customWidth="1"/>
    <col min="2319" max="2319" width="17.1796875" style="82" customWidth="1"/>
    <col min="2320" max="2320" width="26.81640625" style="82" bestFit="1" customWidth="1"/>
    <col min="2321" max="2559" width="11.453125" style="82"/>
    <col min="2560" max="2560" width="7.54296875" style="82" customWidth="1"/>
    <col min="2561" max="2561" width="18.453125" style="82" customWidth="1"/>
    <col min="2562" max="2563" width="16.81640625" style="82" customWidth="1"/>
    <col min="2564" max="2564" width="12.453125" style="82" bestFit="1" customWidth="1"/>
    <col min="2565" max="2565" width="10.54296875" style="82" bestFit="1" customWidth="1"/>
    <col min="2566" max="2566" width="15" style="82" bestFit="1" customWidth="1"/>
    <col min="2567" max="2567" width="15.81640625" style="82" customWidth="1"/>
    <col min="2568" max="2568" width="16.1796875" style="82" customWidth="1"/>
    <col min="2569" max="2569" width="15.7265625" style="82" customWidth="1"/>
    <col min="2570" max="2570" width="12.1796875" style="82" bestFit="1" customWidth="1"/>
    <col min="2571" max="2571" width="11.453125" style="82"/>
    <col min="2572" max="2572" width="10.81640625" style="82" bestFit="1" customWidth="1"/>
    <col min="2573" max="2573" width="12.81640625" style="82" bestFit="1" customWidth="1"/>
    <col min="2574" max="2574" width="12.81640625" style="82" customWidth="1"/>
    <col min="2575" max="2575" width="17.1796875" style="82" customWidth="1"/>
    <col min="2576" max="2576" width="26.81640625" style="82" bestFit="1" customWidth="1"/>
    <col min="2577" max="2815" width="11.453125" style="82"/>
    <col min="2816" max="2816" width="7.54296875" style="82" customWidth="1"/>
    <col min="2817" max="2817" width="18.453125" style="82" customWidth="1"/>
    <col min="2818" max="2819" width="16.81640625" style="82" customWidth="1"/>
    <col min="2820" max="2820" width="12.453125" style="82" bestFit="1" customWidth="1"/>
    <col min="2821" max="2821" width="10.54296875" style="82" bestFit="1" customWidth="1"/>
    <col min="2822" max="2822" width="15" style="82" bestFit="1" customWidth="1"/>
    <col min="2823" max="2823" width="15.81640625" style="82" customWidth="1"/>
    <col min="2824" max="2824" width="16.1796875" style="82" customWidth="1"/>
    <col min="2825" max="2825" width="15.7265625" style="82" customWidth="1"/>
    <col min="2826" max="2826" width="12.1796875" style="82" bestFit="1" customWidth="1"/>
    <col min="2827" max="2827" width="11.453125" style="82"/>
    <col min="2828" max="2828" width="10.81640625" style="82" bestFit="1" customWidth="1"/>
    <col min="2829" max="2829" width="12.81640625" style="82" bestFit="1" customWidth="1"/>
    <col min="2830" max="2830" width="12.81640625" style="82" customWidth="1"/>
    <col min="2831" max="2831" width="17.1796875" style="82" customWidth="1"/>
    <col min="2832" max="2832" width="26.81640625" style="82" bestFit="1" customWidth="1"/>
    <col min="2833" max="3071" width="11.453125" style="82"/>
    <col min="3072" max="3072" width="7.54296875" style="82" customWidth="1"/>
    <col min="3073" max="3073" width="18.453125" style="82" customWidth="1"/>
    <col min="3074" max="3075" width="16.81640625" style="82" customWidth="1"/>
    <col min="3076" max="3076" width="12.453125" style="82" bestFit="1" customWidth="1"/>
    <col min="3077" max="3077" width="10.54296875" style="82" bestFit="1" customWidth="1"/>
    <col min="3078" max="3078" width="15" style="82" bestFit="1" customWidth="1"/>
    <col min="3079" max="3079" width="15.81640625" style="82" customWidth="1"/>
    <col min="3080" max="3080" width="16.1796875" style="82" customWidth="1"/>
    <col min="3081" max="3081" width="15.7265625" style="82" customWidth="1"/>
    <col min="3082" max="3082" width="12.1796875" style="82" bestFit="1" customWidth="1"/>
    <col min="3083" max="3083" width="11.453125" style="82"/>
    <col min="3084" max="3084" width="10.81640625" style="82" bestFit="1" customWidth="1"/>
    <col min="3085" max="3085" width="12.81640625" style="82" bestFit="1" customWidth="1"/>
    <col min="3086" max="3086" width="12.81640625" style="82" customWidth="1"/>
    <col min="3087" max="3087" width="17.1796875" style="82" customWidth="1"/>
    <col min="3088" max="3088" width="26.81640625" style="82" bestFit="1" customWidth="1"/>
    <col min="3089" max="3327" width="11.453125" style="82"/>
    <col min="3328" max="3328" width="7.54296875" style="82" customWidth="1"/>
    <col min="3329" max="3329" width="18.453125" style="82" customWidth="1"/>
    <col min="3330" max="3331" width="16.81640625" style="82" customWidth="1"/>
    <col min="3332" max="3332" width="12.453125" style="82" bestFit="1" customWidth="1"/>
    <col min="3333" max="3333" width="10.54296875" style="82" bestFit="1" customWidth="1"/>
    <col min="3334" max="3334" width="15" style="82" bestFit="1" customWidth="1"/>
    <col min="3335" max="3335" width="15.81640625" style="82" customWidth="1"/>
    <col min="3336" max="3336" width="16.1796875" style="82" customWidth="1"/>
    <col min="3337" max="3337" width="15.7265625" style="82" customWidth="1"/>
    <col min="3338" max="3338" width="12.1796875" style="82" bestFit="1" customWidth="1"/>
    <col min="3339" max="3339" width="11.453125" style="82"/>
    <col min="3340" max="3340" width="10.81640625" style="82" bestFit="1" customWidth="1"/>
    <col min="3341" max="3341" width="12.81640625" style="82" bestFit="1" customWidth="1"/>
    <col min="3342" max="3342" width="12.81640625" style="82" customWidth="1"/>
    <col min="3343" max="3343" width="17.1796875" style="82" customWidth="1"/>
    <col min="3344" max="3344" width="26.81640625" style="82" bestFit="1" customWidth="1"/>
    <col min="3345" max="3583" width="11.453125" style="82"/>
    <col min="3584" max="3584" width="7.54296875" style="82" customWidth="1"/>
    <col min="3585" max="3585" width="18.453125" style="82" customWidth="1"/>
    <col min="3586" max="3587" width="16.81640625" style="82" customWidth="1"/>
    <col min="3588" max="3588" width="12.453125" style="82" bestFit="1" customWidth="1"/>
    <col min="3589" max="3589" width="10.54296875" style="82" bestFit="1" customWidth="1"/>
    <col min="3590" max="3590" width="15" style="82" bestFit="1" customWidth="1"/>
    <col min="3591" max="3591" width="15.81640625" style="82" customWidth="1"/>
    <col min="3592" max="3592" width="16.1796875" style="82" customWidth="1"/>
    <col min="3593" max="3593" width="15.7265625" style="82" customWidth="1"/>
    <col min="3594" max="3594" width="12.1796875" style="82" bestFit="1" customWidth="1"/>
    <col min="3595" max="3595" width="11.453125" style="82"/>
    <col min="3596" max="3596" width="10.81640625" style="82" bestFit="1" customWidth="1"/>
    <col min="3597" max="3597" width="12.81640625" style="82" bestFit="1" customWidth="1"/>
    <col min="3598" max="3598" width="12.81640625" style="82" customWidth="1"/>
    <col min="3599" max="3599" width="17.1796875" style="82" customWidth="1"/>
    <col min="3600" max="3600" width="26.81640625" style="82" bestFit="1" customWidth="1"/>
    <col min="3601" max="3839" width="11.453125" style="82"/>
    <col min="3840" max="3840" width="7.54296875" style="82" customWidth="1"/>
    <col min="3841" max="3841" width="18.453125" style="82" customWidth="1"/>
    <col min="3842" max="3843" width="16.81640625" style="82" customWidth="1"/>
    <col min="3844" max="3844" width="12.453125" style="82" bestFit="1" customWidth="1"/>
    <col min="3845" max="3845" width="10.54296875" style="82" bestFit="1" customWidth="1"/>
    <col min="3846" max="3846" width="15" style="82" bestFit="1" customWidth="1"/>
    <col min="3847" max="3847" width="15.81640625" style="82" customWidth="1"/>
    <col min="3848" max="3848" width="16.1796875" style="82" customWidth="1"/>
    <col min="3849" max="3849" width="15.7265625" style="82" customWidth="1"/>
    <col min="3850" max="3850" width="12.1796875" style="82" bestFit="1" customWidth="1"/>
    <col min="3851" max="3851" width="11.453125" style="82"/>
    <col min="3852" max="3852" width="10.81640625" style="82" bestFit="1" customWidth="1"/>
    <col min="3853" max="3853" width="12.81640625" style="82" bestFit="1" customWidth="1"/>
    <col min="3854" max="3854" width="12.81640625" style="82" customWidth="1"/>
    <col min="3855" max="3855" width="17.1796875" style="82" customWidth="1"/>
    <col min="3856" max="3856" width="26.81640625" style="82" bestFit="1" customWidth="1"/>
    <col min="3857" max="4095" width="11.453125" style="82"/>
    <col min="4096" max="4096" width="7.54296875" style="82" customWidth="1"/>
    <col min="4097" max="4097" width="18.453125" style="82" customWidth="1"/>
    <col min="4098" max="4099" width="16.81640625" style="82" customWidth="1"/>
    <col min="4100" max="4100" width="12.453125" style="82" bestFit="1" customWidth="1"/>
    <col min="4101" max="4101" width="10.54296875" style="82" bestFit="1" customWidth="1"/>
    <col min="4102" max="4102" width="15" style="82" bestFit="1" customWidth="1"/>
    <col min="4103" max="4103" width="15.81640625" style="82" customWidth="1"/>
    <col min="4104" max="4104" width="16.1796875" style="82" customWidth="1"/>
    <col min="4105" max="4105" width="15.7265625" style="82" customWidth="1"/>
    <col min="4106" max="4106" width="12.1796875" style="82" bestFit="1" customWidth="1"/>
    <col min="4107" max="4107" width="11.453125" style="82"/>
    <col min="4108" max="4108" width="10.81640625" style="82" bestFit="1" customWidth="1"/>
    <col min="4109" max="4109" width="12.81640625" style="82" bestFit="1" customWidth="1"/>
    <col min="4110" max="4110" width="12.81640625" style="82" customWidth="1"/>
    <col min="4111" max="4111" width="17.1796875" style="82" customWidth="1"/>
    <col min="4112" max="4112" width="26.81640625" style="82" bestFit="1" customWidth="1"/>
    <col min="4113" max="4351" width="11.453125" style="82"/>
    <col min="4352" max="4352" width="7.54296875" style="82" customWidth="1"/>
    <col min="4353" max="4353" width="18.453125" style="82" customWidth="1"/>
    <col min="4354" max="4355" width="16.81640625" style="82" customWidth="1"/>
    <col min="4356" max="4356" width="12.453125" style="82" bestFit="1" customWidth="1"/>
    <col min="4357" max="4357" width="10.54296875" style="82" bestFit="1" customWidth="1"/>
    <col min="4358" max="4358" width="15" style="82" bestFit="1" customWidth="1"/>
    <col min="4359" max="4359" width="15.81640625" style="82" customWidth="1"/>
    <col min="4360" max="4360" width="16.1796875" style="82" customWidth="1"/>
    <col min="4361" max="4361" width="15.7265625" style="82" customWidth="1"/>
    <col min="4362" max="4362" width="12.1796875" style="82" bestFit="1" customWidth="1"/>
    <col min="4363" max="4363" width="11.453125" style="82"/>
    <col min="4364" max="4364" width="10.81640625" style="82" bestFit="1" customWidth="1"/>
    <col min="4365" max="4365" width="12.81640625" style="82" bestFit="1" customWidth="1"/>
    <col min="4366" max="4366" width="12.81640625" style="82" customWidth="1"/>
    <col min="4367" max="4367" width="17.1796875" style="82" customWidth="1"/>
    <col min="4368" max="4368" width="26.81640625" style="82" bestFit="1" customWidth="1"/>
    <col min="4369" max="4607" width="11.453125" style="82"/>
    <col min="4608" max="4608" width="7.54296875" style="82" customWidth="1"/>
    <col min="4609" max="4609" width="18.453125" style="82" customWidth="1"/>
    <col min="4610" max="4611" width="16.81640625" style="82" customWidth="1"/>
    <col min="4612" max="4612" width="12.453125" style="82" bestFit="1" customWidth="1"/>
    <col min="4613" max="4613" width="10.54296875" style="82" bestFit="1" customWidth="1"/>
    <col min="4614" max="4614" width="15" style="82" bestFit="1" customWidth="1"/>
    <col min="4615" max="4615" width="15.81640625" style="82" customWidth="1"/>
    <col min="4616" max="4616" width="16.1796875" style="82" customWidth="1"/>
    <col min="4617" max="4617" width="15.7265625" style="82" customWidth="1"/>
    <col min="4618" max="4618" width="12.1796875" style="82" bestFit="1" customWidth="1"/>
    <col min="4619" max="4619" width="11.453125" style="82"/>
    <col min="4620" max="4620" width="10.81640625" style="82" bestFit="1" customWidth="1"/>
    <col min="4621" max="4621" width="12.81640625" style="82" bestFit="1" customWidth="1"/>
    <col min="4622" max="4622" width="12.81640625" style="82" customWidth="1"/>
    <col min="4623" max="4623" width="17.1796875" style="82" customWidth="1"/>
    <col min="4624" max="4624" width="26.81640625" style="82" bestFit="1" customWidth="1"/>
    <col min="4625" max="4863" width="11.453125" style="82"/>
    <col min="4864" max="4864" width="7.54296875" style="82" customWidth="1"/>
    <col min="4865" max="4865" width="18.453125" style="82" customWidth="1"/>
    <col min="4866" max="4867" width="16.81640625" style="82" customWidth="1"/>
    <col min="4868" max="4868" width="12.453125" style="82" bestFit="1" customWidth="1"/>
    <col min="4869" max="4869" width="10.54296875" style="82" bestFit="1" customWidth="1"/>
    <col min="4870" max="4870" width="15" style="82" bestFit="1" customWidth="1"/>
    <col min="4871" max="4871" width="15.81640625" style="82" customWidth="1"/>
    <col min="4872" max="4872" width="16.1796875" style="82" customWidth="1"/>
    <col min="4873" max="4873" width="15.7265625" style="82" customWidth="1"/>
    <col min="4874" max="4874" width="12.1796875" style="82" bestFit="1" customWidth="1"/>
    <col min="4875" max="4875" width="11.453125" style="82"/>
    <col min="4876" max="4876" width="10.81640625" style="82" bestFit="1" customWidth="1"/>
    <col min="4877" max="4877" width="12.81640625" style="82" bestFit="1" customWidth="1"/>
    <col min="4878" max="4878" width="12.81640625" style="82" customWidth="1"/>
    <col min="4879" max="4879" width="17.1796875" style="82" customWidth="1"/>
    <col min="4880" max="4880" width="26.81640625" style="82" bestFit="1" customWidth="1"/>
    <col min="4881" max="5119" width="11.453125" style="82"/>
    <col min="5120" max="5120" width="7.54296875" style="82" customWidth="1"/>
    <col min="5121" max="5121" width="18.453125" style="82" customWidth="1"/>
    <col min="5122" max="5123" width="16.81640625" style="82" customWidth="1"/>
    <col min="5124" max="5124" width="12.453125" style="82" bestFit="1" customWidth="1"/>
    <col min="5125" max="5125" width="10.54296875" style="82" bestFit="1" customWidth="1"/>
    <col min="5126" max="5126" width="15" style="82" bestFit="1" customWidth="1"/>
    <col min="5127" max="5127" width="15.81640625" style="82" customWidth="1"/>
    <col min="5128" max="5128" width="16.1796875" style="82" customWidth="1"/>
    <col min="5129" max="5129" width="15.7265625" style="82" customWidth="1"/>
    <col min="5130" max="5130" width="12.1796875" style="82" bestFit="1" customWidth="1"/>
    <col min="5131" max="5131" width="11.453125" style="82"/>
    <col min="5132" max="5132" width="10.81640625" style="82" bestFit="1" customWidth="1"/>
    <col min="5133" max="5133" width="12.81640625" style="82" bestFit="1" customWidth="1"/>
    <col min="5134" max="5134" width="12.81640625" style="82" customWidth="1"/>
    <col min="5135" max="5135" width="17.1796875" style="82" customWidth="1"/>
    <col min="5136" max="5136" width="26.81640625" style="82" bestFit="1" customWidth="1"/>
    <col min="5137" max="5375" width="11.453125" style="82"/>
    <col min="5376" max="5376" width="7.54296875" style="82" customWidth="1"/>
    <col min="5377" max="5377" width="18.453125" style="82" customWidth="1"/>
    <col min="5378" max="5379" width="16.81640625" style="82" customWidth="1"/>
    <col min="5380" max="5380" width="12.453125" style="82" bestFit="1" customWidth="1"/>
    <col min="5381" max="5381" width="10.54296875" style="82" bestFit="1" customWidth="1"/>
    <col min="5382" max="5382" width="15" style="82" bestFit="1" customWidth="1"/>
    <col min="5383" max="5383" width="15.81640625" style="82" customWidth="1"/>
    <col min="5384" max="5384" width="16.1796875" style="82" customWidth="1"/>
    <col min="5385" max="5385" width="15.7265625" style="82" customWidth="1"/>
    <col min="5386" max="5386" width="12.1796875" style="82" bestFit="1" customWidth="1"/>
    <col min="5387" max="5387" width="11.453125" style="82"/>
    <col min="5388" max="5388" width="10.81640625" style="82" bestFit="1" customWidth="1"/>
    <col min="5389" max="5389" width="12.81640625" style="82" bestFit="1" customWidth="1"/>
    <col min="5390" max="5390" width="12.81640625" style="82" customWidth="1"/>
    <col min="5391" max="5391" width="17.1796875" style="82" customWidth="1"/>
    <col min="5392" max="5392" width="26.81640625" style="82" bestFit="1" customWidth="1"/>
    <col min="5393" max="5631" width="11.453125" style="82"/>
    <col min="5632" max="5632" width="7.54296875" style="82" customWidth="1"/>
    <col min="5633" max="5633" width="18.453125" style="82" customWidth="1"/>
    <col min="5634" max="5635" width="16.81640625" style="82" customWidth="1"/>
    <col min="5636" max="5636" width="12.453125" style="82" bestFit="1" customWidth="1"/>
    <col min="5637" max="5637" width="10.54296875" style="82" bestFit="1" customWidth="1"/>
    <col min="5638" max="5638" width="15" style="82" bestFit="1" customWidth="1"/>
    <col min="5639" max="5639" width="15.81640625" style="82" customWidth="1"/>
    <col min="5640" max="5640" width="16.1796875" style="82" customWidth="1"/>
    <col min="5641" max="5641" width="15.7265625" style="82" customWidth="1"/>
    <col min="5642" max="5642" width="12.1796875" style="82" bestFit="1" customWidth="1"/>
    <col min="5643" max="5643" width="11.453125" style="82"/>
    <col min="5644" max="5644" width="10.81640625" style="82" bestFit="1" customWidth="1"/>
    <col min="5645" max="5645" width="12.81640625" style="82" bestFit="1" customWidth="1"/>
    <col min="5646" max="5646" width="12.81640625" style="82" customWidth="1"/>
    <col min="5647" max="5647" width="17.1796875" style="82" customWidth="1"/>
    <col min="5648" max="5648" width="26.81640625" style="82" bestFit="1" customWidth="1"/>
    <col min="5649" max="5887" width="11.453125" style="82"/>
    <col min="5888" max="5888" width="7.54296875" style="82" customWidth="1"/>
    <col min="5889" max="5889" width="18.453125" style="82" customWidth="1"/>
    <col min="5890" max="5891" width="16.81640625" style="82" customWidth="1"/>
    <col min="5892" max="5892" width="12.453125" style="82" bestFit="1" customWidth="1"/>
    <col min="5893" max="5893" width="10.54296875" style="82" bestFit="1" customWidth="1"/>
    <col min="5894" max="5894" width="15" style="82" bestFit="1" customWidth="1"/>
    <col min="5895" max="5895" width="15.81640625" style="82" customWidth="1"/>
    <col min="5896" max="5896" width="16.1796875" style="82" customWidth="1"/>
    <col min="5897" max="5897" width="15.7265625" style="82" customWidth="1"/>
    <col min="5898" max="5898" width="12.1796875" style="82" bestFit="1" customWidth="1"/>
    <col min="5899" max="5899" width="11.453125" style="82"/>
    <col min="5900" max="5900" width="10.81640625" style="82" bestFit="1" customWidth="1"/>
    <col min="5901" max="5901" width="12.81640625" style="82" bestFit="1" customWidth="1"/>
    <col min="5902" max="5902" width="12.81640625" style="82" customWidth="1"/>
    <col min="5903" max="5903" width="17.1796875" style="82" customWidth="1"/>
    <col min="5904" max="5904" width="26.81640625" style="82" bestFit="1" customWidth="1"/>
    <col min="5905" max="6143" width="11.453125" style="82"/>
    <col min="6144" max="6144" width="7.54296875" style="82" customWidth="1"/>
    <col min="6145" max="6145" width="18.453125" style="82" customWidth="1"/>
    <col min="6146" max="6147" width="16.81640625" style="82" customWidth="1"/>
    <col min="6148" max="6148" width="12.453125" style="82" bestFit="1" customWidth="1"/>
    <col min="6149" max="6149" width="10.54296875" style="82" bestFit="1" customWidth="1"/>
    <col min="6150" max="6150" width="15" style="82" bestFit="1" customWidth="1"/>
    <col min="6151" max="6151" width="15.81640625" style="82" customWidth="1"/>
    <col min="6152" max="6152" width="16.1796875" style="82" customWidth="1"/>
    <col min="6153" max="6153" width="15.7265625" style="82" customWidth="1"/>
    <col min="6154" max="6154" width="12.1796875" style="82" bestFit="1" customWidth="1"/>
    <col min="6155" max="6155" width="11.453125" style="82"/>
    <col min="6156" max="6156" width="10.81640625" style="82" bestFit="1" customWidth="1"/>
    <col min="6157" max="6157" width="12.81640625" style="82" bestFit="1" customWidth="1"/>
    <col min="6158" max="6158" width="12.81640625" style="82" customWidth="1"/>
    <col min="6159" max="6159" width="17.1796875" style="82" customWidth="1"/>
    <col min="6160" max="6160" width="26.81640625" style="82" bestFit="1" customWidth="1"/>
    <col min="6161" max="6399" width="11.453125" style="82"/>
    <col min="6400" max="6400" width="7.54296875" style="82" customWidth="1"/>
    <col min="6401" max="6401" width="18.453125" style="82" customWidth="1"/>
    <col min="6402" max="6403" width="16.81640625" style="82" customWidth="1"/>
    <col min="6404" max="6404" width="12.453125" style="82" bestFit="1" customWidth="1"/>
    <col min="6405" max="6405" width="10.54296875" style="82" bestFit="1" customWidth="1"/>
    <col min="6406" max="6406" width="15" style="82" bestFit="1" customWidth="1"/>
    <col min="6407" max="6407" width="15.81640625" style="82" customWidth="1"/>
    <col min="6408" max="6408" width="16.1796875" style="82" customWidth="1"/>
    <col min="6409" max="6409" width="15.7265625" style="82" customWidth="1"/>
    <col min="6410" max="6410" width="12.1796875" style="82" bestFit="1" customWidth="1"/>
    <col min="6411" max="6411" width="11.453125" style="82"/>
    <col min="6412" max="6412" width="10.81640625" style="82" bestFit="1" customWidth="1"/>
    <col min="6413" max="6413" width="12.81640625" style="82" bestFit="1" customWidth="1"/>
    <col min="6414" max="6414" width="12.81640625" style="82" customWidth="1"/>
    <col min="6415" max="6415" width="17.1796875" style="82" customWidth="1"/>
    <col min="6416" max="6416" width="26.81640625" style="82" bestFit="1" customWidth="1"/>
    <col min="6417" max="6655" width="11.453125" style="82"/>
    <col min="6656" max="6656" width="7.54296875" style="82" customWidth="1"/>
    <col min="6657" max="6657" width="18.453125" style="82" customWidth="1"/>
    <col min="6658" max="6659" width="16.81640625" style="82" customWidth="1"/>
    <col min="6660" max="6660" width="12.453125" style="82" bestFit="1" customWidth="1"/>
    <col min="6661" max="6661" width="10.54296875" style="82" bestFit="1" customWidth="1"/>
    <col min="6662" max="6662" width="15" style="82" bestFit="1" customWidth="1"/>
    <col min="6663" max="6663" width="15.81640625" style="82" customWidth="1"/>
    <col min="6664" max="6664" width="16.1796875" style="82" customWidth="1"/>
    <col min="6665" max="6665" width="15.7265625" style="82" customWidth="1"/>
    <col min="6666" max="6666" width="12.1796875" style="82" bestFit="1" customWidth="1"/>
    <col min="6667" max="6667" width="11.453125" style="82"/>
    <col min="6668" max="6668" width="10.81640625" style="82" bestFit="1" customWidth="1"/>
    <col min="6669" max="6669" width="12.81640625" style="82" bestFit="1" customWidth="1"/>
    <col min="6670" max="6670" width="12.81640625" style="82" customWidth="1"/>
    <col min="6671" max="6671" width="17.1796875" style="82" customWidth="1"/>
    <col min="6672" max="6672" width="26.81640625" style="82" bestFit="1" customWidth="1"/>
    <col min="6673" max="6911" width="11.453125" style="82"/>
    <col min="6912" max="6912" width="7.54296875" style="82" customWidth="1"/>
    <col min="6913" max="6913" width="18.453125" style="82" customWidth="1"/>
    <col min="6914" max="6915" width="16.81640625" style="82" customWidth="1"/>
    <col min="6916" max="6916" width="12.453125" style="82" bestFit="1" customWidth="1"/>
    <col min="6917" max="6917" width="10.54296875" style="82" bestFit="1" customWidth="1"/>
    <col min="6918" max="6918" width="15" style="82" bestFit="1" customWidth="1"/>
    <col min="6919" max="6919" width="15.81640625" style="82" customWidth="1"/>
    <col min="6920" max="6920" width="16.1796875" style="82" customWidth="1"/>
    <col min="6921" max="6921" width="15.7265625" style="82" customWidth="1"/>
    <col min="6922" max="6922" width="12.1796875" style="82" bestFit="1" customWidth="1"/>
    <col min="6923" max="6923" width="11.453125" style="82"/>
    <col min="6924" max="6924" width="10.81640625" style="82" bestFit="1" customWidth="1"/>
    <col min="6925" max="6925" width="12.81640625" style="82" bestFit="1" customWidth="1"/>
    <col min="6926" max="6926" width="12.81640625" style="82" customWidth="1"/>
    <col min="6927" max="6927" width="17.1796875" style="82" customWidth="1"/>
    <col min="6928" max="6928" width="26.81640625" style="82" bestFit="1" customWidth="1"/>
    <col min="6929" max="7167" width="11.453125" style="82"/>
    <col min="7168" max="7168" width="7.54296875" style="82" customWidth="1"/>
    <col min="7169" max="7169" width="18.453125" style="82" customWidth="1"/>
    <col min="7170" max="7171" width="16.81640625" style="82" customWidth="1"/>
    <col min="7172" max="7172" width="12.453125" style="82" bestFit="1" customWidth="1"/>
    <col min="7173" max="7173" width="10.54296875" style="82" bestFit="1" customWidth="1"/>
    <col min="7174" max="7174" width="15" style="82" bestFit="1" customWidth="1"/>
    <col min="7175" max="7175" width="15.81640625" style="82" customWidth="1"/>
    <col min="7176" max="7176" width="16.1796875" style="82" customWidth="1"/>
    <col min="7177" max="7177" width="15.7265625" style="82" customWidth="1"/>
    <col min="7178" max="7178" width="12.1796875" style="82" bestFit="1" customWidth="1"/>
    <col min="7179" max="7179" width="11.453125" style="82"/>
    <col min="7180" max="7180" width="10.81640625" style="82" bestFit="1" customWidth="1"/>
    <col min="7181" max="7181" width="12.81640625" style="82" bestFit="1" customWidth="1"/>
    <col min="7182" max="7182" width="12.81640625" style="82" customWidth="1"/>
    <col min="7183" max="7183" width="17.1796875" style="82" customWidth="1"/>
    <col min="7184" max="7184" width="26.81640625" style="82" bestFit="1" customWidth="1"/>
    <col min="7185" max="7423" width="11.453125" style="82"/>
    <col min="7424" max="7424" width="7.54296875" style="82" customWidth="1"/>
    <col min="7425" max="7425" width="18.453125" style="82" customWidth="1"/>
    <col min="7426" max="7427" width="16.81640625" style="82" customWidth="1"/>
    <col min="7428" max="7428" width="12.453125" style="82" bestFit="1" customWidth="1"/>
    <col min="7429" max="7429" width="10.54296875" style="82" bestFit="1" customWidth="1"/>
    <col min="7430" max="7430" width="15" style="82" bestFit="1" customWidth="1"/>
    <col min="7431" max="7431" width="15.81640625" style="82" customWidth="1"/>
    <col min="7432" max="7432" width="16.1796875" style="82" customWidth="1"/>
    <col min="7433" max="7433" width="15.7265625" style="82" customWidth="1"/>
    <col min="7434" max="7434" width="12.1796875" style="82" bestFit="1" customWidth="1"/>
    <col min="7435" max="7435" width="11.453125" style="82"/>
    <col min="7436" max="7436" width="10.81640625" style="82" bestFit="1" customWidth="1"/>
    <col min="7437" max="7437" width="12.81640625" style="82" bestFit="1" customWidth="1"/>
    <col min="7438" max="7438" width="12.81640625" style="82" customWidth="1"/>
    <col min="7439" max="7439" width="17.1796875" style="82" customWidth="1"/>
    <col min="7440" max="7440" width="26.81640625" style="82" bestFit="1" customWidth="1"/>
    <col min="7441" max="7679" width="11.453125" style="82"/>
    <col min="7680" max="7680" width="7.54296875" style="82" customWidth="1"/>
    <col min="7681" max="7681" width="18.453125" style="82" customWidth="1"/>
    <col min="7682" max="7683" width="16.81640625" style="82" customWidth="1"/>
    <col min="7684" max="7684" width="12.453125" style="82" bestFit="1" customWidth="1"/>
    <col min="7685" max="7685" width="10.54296875" style="82" bestFit="1" customWidth="1"/>
    <col min="7686" max="7686" width="15" style="82" bestFit="1" customWidth="1"/>
    <col min="7687" max="7687" width="15.81640625" style="82" customWidth="1"/>
    <col min="7688" max="7688" width="16.1796875" style="82" customWidth="1"/>
    <col min="7689" max="7689" width="15.7265625" style="82" customWidth="1"/>
    <col min="7690" max="7690" width="12.1796875" style="82" bestFit="1" customWidth="1"/>
    <col min="7691" max="7691" width="11.453125" style="82"/>
    <col min="7692" max="7692" width="10.81640625" style="82" bestFit="1" customWidth="1"/>
    <col min="7693" max="7693" width="12.81640625" style="82" bestFit="1" customWidth="1"/>
    <col min="7694" max="7694" width="12.81640625" style="82" customWidth="1"/>
    <col min="7695" max="7695" width="17.1796875" style="82" customWidth="1"/>
    <col min="7696" max="7696" width="26.81640625" style="82" bestFit="1" customWidth="1"/>
    <col min="7697" max="7935" width="11.453125" style="82"/>
    <col min="7936" max="7936" width="7.54296875" style="82" customWidth="1"/>
    <col min="7937" max="7937" width="18.453125" style="82" customWidth="1"/>
    <col min="7938" max="7939" width="16.81640625" style="82" customWidth="1"/>
    <col min="7940" max="7940" width="12.453125" style="82" bestFit="1" customWidth="1"/>
    <col min="7941" max="7941" width="10.54296875" style="82" bestFit="1" customWidth="1"/>
    <col min="7942" max="7942" width="15" style="82" bestFit="1" customWidth="1"/>
    <col min="7943" max="7943" width="15.81640625" style="82" customWidth="1"/>
    <col min="7944" max="7944" width="16.1796875" style="82" customWidth="1"/>
    <col min="7945" max="7945" width="15.7265625" style="82" customWidth="1"/>
    <col min="7946" max="7946" width="12.1796875" style="82" bestFit="1" customWidth="1"/>
    <col min="7947" max="7947" width="11.453125" style="82"/>
    <col min="7948" max="7948" width="10.81640625" style="82" bestFit="1" customWidth="1"/>
    <col min="7949" max="7949" width="12.81640625" style="82" bestFit="1" customWidth="1"/>
    <col min="7950" max="7950" width="12.81640625" style="82" customWidth="1"/>
    <col min="7951" max="7951" width="17.1796875" style="82" customWidth="1"/>
    <col min="7952" max="7952" width="26.81640625" style="82" bestFit="1" customWidth="1"/>
    <col min="7953" max="8191" width="11.453125" style="82"/>
    <col min="8192" max="8192" width="7.54296875" style="82" customWidth="1"/>
    <col min="8193" max="8193" width="18.453125" style="82" customWidth="1"/>
    <col min="8194" max="8195" width="16.81640625" style="82" customWidth="1"/>
    <col min="8196" max="8196" width="12.453125" style="82" bestFit="1" customWidth="1"/>
    <col min="8197" max="8197" width="10.54296875" style="82" bestFit="1" customWidth="1"/>
    <col min="8198" max="8198" width="15" style="82" bestFit="1" customWidth="1"/>
    <col min="8199" max="8199" width="15.81640625" style="82" customWidth="1"/>
    <col min="8200" max="8200" width="16.1796875" style="82" customWidth="1"/>
    <col min="8201" max="8201" width="15.7265625" style="82" customWidth="1"/>
    <col min="8202" max="8202" width="12.1796875" style="82" bestFit="1" customWidth="1"/>
    <col min="8203" max="8203" width="11.453125" style="82"/>
    <col min="8204" max="8204" width="10.81640625" style="82" bestFit="1" customWidth="1"/>
    <col min="8205" max="8205" width="12.81640625" style="82" bestFit="1" customWidth="1"/>
    <col min="8206" max="8206" width="12.81640625" style="82" customWidth="1"/>
    <col min="8207" max="8207" width="17.1796875" style="82" customWidth="1"/>
    <col min="8208" max="8208" width="26.81640625" style="82" bestFit="1" customWidth="1"/>
    <col min="8209" max="8447" width="11.453125" style="82"/>
    <col min="8448" max="8448" width="7.54296875" style="82" customWidth="1"/>
    <col min="8449" max="8449" width="18.453125" style="82" customWidth="1"/>
    <col min="8450" max="8451" width="16.81640625" style="82" customWidth="1"/>
    <col min="8452" max="8452" width="12.453125" style="82" bestFit="1" customWidth="1"/>
    <col min="8453" max="8453" width="10.54296875" style="82" bestFit="1" customWidth="1"/>
    <col min="8454" max="8454" width="15" style="82" bestFit="1" customWidth="1"/>
    <col min="8455" max="8455" width="15.81640625" style="82" customWidth="1"/>
    <col min="8456" max="8456" width="16.1796875" style="82" customWidth="1"/>
    <col min="8457" max="8457" width="15.7265625" style="82" customWidth="1"/>
    <col min="8458" max="8458" width="12.1796875" style="82" bestFit="1" customWidth="1"/>
    <col min="8459" max="8459" width="11.453125" style="82"/>
    <col min="8460" max="8460" width="10.81640625" style="82" bestFit="1" customWidth="1"/>
    <col min="8461" max="8461" width="12.81640625" style="82" bestFit="1" customWidth="1"/>
    <col min="8462" max="8462" width="12.81640625" style="82" customWidth="1"/>
    <col min="8463" max="8463" width="17.1796875" style="82" customWidth="1"/>
    <col min="8464" max="8464" width="26.81640625" style="82" bestFit="1" customWidth="1"/>
    <col min="8465" max="8703" width="11.453125" style="82"/>
    <col min="8704" max="8704" width="7.54296875" style="82" customWidth="1"/>
    <col min="8705" max="8705" width="18.453125" style="82" customWidth="1"/>
    <col min="8706" max="8707" width="16.81640625" style="82" customWidth="1"/>
    <col min="8708" max="8708" width="12.453125" style="82" bestFit="1" customWidth="1"/>
    <col min="8709" max="8709" width="10.54296875" style="82" bestFit="1" customWidth="1"/>
    <col min="8710" max="8710" width="15" style="82" bestFit="1" customWidth="1"/>
    <col min="8711" max="8711" width="15.81640625" style="82" customWidth="1"/>
    <col min="8712" max="8712" width="16.1796875" style="82" customWidth="1"/>
    <col min="8713" max="8713" width="15.7265625" style="82" customWidth="1"/>
    <col min="8714" max="8714" width="12.1796875" style="82" bestFit="1" customWidth="1"/>
    <col min="8715" max="8715" width="11.453125" style="82"/>
    <col min="8716" max="8716" width="10.81640625" style="82" bestFit="1" customWidth="1"/>
    <col min="8717" max="8717" width="12.81640625" style="82" bestFit="1" customWidth="1"/>
    <col min="8718" max="8718" width="12.81640625" style="82" customWidth="1"/>
    <col min="8719" max="8719" width="17.1796875" style="82" customWidth="1"/>
    <col min="8720" max="8720" width="26.81640625" style="82" bestFit="1" customWidth="1"/>
    <col min="8721" max="8959" width="11.453125" style="82"/>
    <col min="8960" max="8960" width="7.54296875" style="82" customWidth="1"/>
    <col min="8961" max="8961" width="18.453125" style="82" customWidth="1"/>
    <col min="8962" max="8963" width="16.81640625" style="82" customWidth="1"/>
    <col min="8964" max="8964" width="12.453125" style="82" bestFit="1" customWidth="1"/>
    <col min="8965" max="8965" width="10.54296875" style="82" bestFit="1" customWidth="1"/>
    <col min="8966" max="8966" width="15" style="82" bestFit="1" customWidth="1"/>
    <col min="8967" max="8967" width="15.81640625" style="82" customWidth="1"/>
    <col min="8968" max="8968" width="16.1796875" style="82" customWidth="1"/>
    <col min="8969" max="8969" width="15.7265625" style="82" customWidth="1"/>
    <col min="8970" max="8970" width="12.1796875" style="82" bestFit="1" customWidth="1"/>
    <col min="8971" max="8971" width="11.453125" style="82"/>
    <col min="8972" max="8972" width="10.81640625" style="82" bestFit="1" customWidth="1"/>
    <col min="8973" max="8973" width="12.81640625" style="82" bestFit="1" customWidth="1"/>
    <col min="8974" max="8974" width="12.81640625" style="82" customWidth="1"/>
    <col min="8975" max="8975" width="17.1796875" style="82" customWidth="1"/>
    <col min="8976" max="8976" width="26.81640625" style="82" bestFit="1" customWidth="1"/>
    <col min="8977" max="9215" width="11.453125" style="82"/>
    <col min="9216" max="9216" width="7.54296875" style="82" customWidth="1"/>
    <col min="9217" max="9217" width="18.453125" style="82" customWidth="1"/>
    <col min="9218" max="9219" width="16.81640625" style="82" customWidth="1"/>
    <col min="9220" max="9220" width="12.453125" style="82" bestFit="1" customWidth="1"/>
    <col min="9221" max="9221" width="10.54296875" style="82" bestFit="1" customWidth="1"/>
    <col min="9222" max="9222" width="15" style="82" bestFit="1" customWidth="1"/>
    <col min="9223" max="9223" width="15.81640625" style="82" customWidth="1"/>
    <col min="9224" max="9224" width="16.1796875" style="82" customWidth="1"/>
    <col min="9225" max="9225" width="15.7265625" style="82" customWidth="1"/>
    <col min="9226" max="9226" width="12.1796875" style="82" bestFit="1" customWidth="1"/>
    <col min="9227" max="9227" width="11.453125" style="82"/>
    <col min="9228" max="9228" width="10.81640625" style="82" bestFit="1" customWidth="1"/>
    <col min="9229" max="9229" width="12.81640625" style="82" bestFit="1" customWidth="1"/>
    <col min="9230" max="9230" width="12.81640625" style="82" customWidth="1"/>
    <col min="9231" max="9231" width="17.1796875" style="82" customWidth="1"/>
    <col min="9232" max="9232" width="26.81640625" style="82" bestFit="1" customWidth="1"/>
    <col min="9233" max="9471" width="11.453125" style="82"/>
    <col min="9472" max="9472" width="7.54296875" style="82" customWidth="1"/>
    <col min="9473" max="9473" width="18.453125" style="82" customWidth="1"/>
    <col min="9474" max="9475" width="16.81640625" style="82" customWidth="1"/>
    <col min="9476" max="9476" width="12.453125" style="82" bestFit="1" customWidth="1"/>
    <col min="9477" max="9477" width="10.54296875" style="82" bestFit="1" customWidth="1"/>
    <col min="9478" max="9478" width="15" style="82" bestFit="1" customWidth="1"/>
    <col min="9479" max="9479" width="15.81640625" style="82" customWidth="1"/>
    <col min="9480" max="9480" width="16.1796875" style="82" customWidth="1"/>
    <col min="9481" max="9481" width="15.7265625" style="82" customWidth="1"/>
    <col min="9482" max="9482" width="12.1796875" style="82" bestFit="1" customWidth="1"/>
    <col min="9483" max="9483" width="11.453125" style="82"/>
    <col min="9484" max="9484" width="10.81640625" style="82" bestFit="1" customWidth="1"/>
    <col min="9485" max="9485" width="12.81640625" style="82" bestFit="1" customWidth="1"/>
    <col min="9486" max="9486" width="12.81640625" style="82" customWidth="1"/>
    <col min="9487" max="9487" width="17.1796875" style="82" customWidth="1"/>
    <col min="9488" max="9488" width="26.81640625" style="82" bestFit="1" customWidth="1"/>
    <col min="9489" max="9727" width="11.453125" style="82"/>
    <col min="9728" max="9728" width="7.54296875" style="82" customWidth="1"/>
    <col min="9729" max="9729" width="18.453125" style="82" customWidth="1"/>
    <col min="9730" max="9731" width="16.81640625" style="82" customWidth="1"/>
    <col min="9732" max="9732" width="12.453125" style="82" bestFit="1" customWidth="1"/>
    <col min="9733" max="9733" width="10.54296875" style="82" bestFit="1" customWidth="1"/>
    <col min="9734" max="9734" width="15" style="82" bestFit="1" customWidth="1"/>
    <col min="9735" max="9735" width="15.81640625" style="82" customWidth="1"/>
    <col min="9736" max="9736" width="16.1796875" style="82" customWidth="1"/>
    <col min="9737" max="9737" width="15.7265625" style="82" customWidth="1"/>
    <col min="9738" max="9738" width="12.1796875" style="82" bestFit="1" customWidth="1"/>
    <col min="9739" max="9739" width="11.453125" style="82"/>
    <col min="9740" max="9740" width="10.81640625" style="82" bestFit="1" customWidth="1"/>
    <col min="9741" max="9741" width="12.81640625" style="82" bestFit="1" customWidth="1"/>
    <col min="9742" max="9742" width="12.81640625" style="82" customWidth="1"/>
    <col min="9743" max="9743" width="17.1796875" style="82" customWidth="1"/>
    <col min="9744" max="9744" width="26.81640625" style="82" bestFit="1" customWidth="1"/>
    <col min="9745" max="9983" width="11.453125" style="82"/>
    <col min="9984" max="9984" width="7.54296875" style="82" customWidth="1"/>
    <col min="9985" max="9985" width="18.453125" style="82" customWidth="1"/>
    <col min="9986" max="9987" width="16.81640625" style="82" customWidth="1"/>
    <col min="9988" max="9988" width="12.453125" style="82" bestFit="1" customWidth="1"/>
    <col min="9989" max="9989" width="10.54296875" style="82" bestFit="1" customWidth="1"/>
    <col min="9990" max="9990" width="15" style="82" bestFit="1" customWidth="1"/>
    <col min="9991" max="9991" width="15.81640625" style="82" customWidth="1"/>
    <col min="9992" max="9992" width="16.1796875" style="82" customWidth="1"/>
    <col min="9993" max="9993" width="15.7265625" style="82" customWidth="1"/>
    <col min="9994" max="9994" width="12.1796875" style="82" bestFit="1" customWidth="1"/>
    <col min="9995" max="9995" width="11.453125" style="82"/>
    <col min="9996" max="9996" width="10.81640625" style="82" bestFit="1" customWidth="1"/>
    <col min="9997" max="9997" width="12.81640625" style="82" bestFit="1" customWidth="1"/>
    <col min="9998" max="9998" width="12.81640625" style="82" customWidth="1"/>
    <col min="9999" max="9999" width="17.1796875" style="82" customWidth="1"/>
    <col min="10000" max="10000" width="26.81640625" style="82" bestFit="1" customWidth="1"/>
    <col min="10001" max="10239" width="11.453125" style="82"/>
    <col min="10240" max="10240" width="7.54296875" style="82" customWidth="1"/>
    <col min="10241" max="10241" width="18.453125" style="82" customWidth="1"/>
    <col min="10242" max="10243" width="16.81640625" style="82" customWidth="1"/>
    <col min="10244" max="10244" width="12.453125" style="82" bestFit="1" customWidth="1"/>
    <col min="10245" max="10245" width="10.54296875" style="82" bestFit="1" customWidth="1"/>
    <col min="10246" max="10246" width="15" style="82" bestFit="1" customWidth="1"/>
    <col min="10247" max="10247" width="15.81640625" style="82" customWidth="1"/>
    <col min="10248" max="10248" width="16.1796875" style="82" customWidth="1"/>
    <col min="10249" max="10249" width="15.7265625" style="82" customWidth="1"/>
    <col min="10250" max="10250" width="12.1796875" style="82" bestFit="1" customWidth="1"/>
    <col min="10251" max="10251" width="11.453125" style="82"/>
    <col min="10252" max="10252" width="10.81640625" style="82" bestFit="1" customWidth="1"/>
    <col min="10253" max="10253" width="12.81640625" style="82" bestFit="1" customWidth="1"/>
    <col min="10254" max="10254" width="12.81640625" style="82" customWidth="1"/>
    <col min="10255" max="10255" width="17.1796875" style="82" customWidth="1"/>
    <col min="10256" max="10256" width="26.81640625" style="82" bestFit="1" customWidth="1"/>
    <col min="10257" max="10495" width="11.453125" style="82"/>
    <col min="10496" max="10496" width="7.54296875" style="82" customWidth="1"/>
    <col min="10497" max="10497" width="18.453125" style="82" customWidth="1"/>
    <col min="10498" max="10499" width="16.81640625" style="82" customWidth="1"/>
    <col min="10500" max="10500" width="12.453125" style="82" bestFit="1" customWidth="1"/>
    <col min="10501" max="10501" width="10.54296875" style="82" bestFit="1" customWidth="1"/>
    <col min="10502" max="10502" width="15" style="82" bestFit="1" customWidth="1"/>
    <col min="10503" max="10503" width="15.81640625" style="82" customWidth="1"/>
    <col min="10504" max="10504" width="16.1796875" style="82" customWidth="1"/>
    <col min="10505" max="10505" width="15.7265625" style="82" customWidth="1"/>
    <col min="10506" max="10506" width="12.1796875" style="82" bestFit="1" customWidth="1"/>
    <col min="10507" max="10507" width="11.453125" style="82"/>
    <col min="10508" max="10508" width="10.81640625" style="82" bestFit="1" customWidth="1"/>
    <col min="10509" max="10509" width="12.81640625" style="82" bestFit="1" customWidth="1"/>
    <col min="10510" max="10510" width="12.81640625" style="82" customWidth="1"/>
    <col min="10511" max="10511" width="17.1796875" style="82" customWidth="1"/>
    <col min="10512" max="10512" width="26.81640625" style="82" bestFit="1" customWidth="1"/>
    <col min="10513" max="10751" width="11.453125" style="82"/>
    <col min="10752" max="10752" width="7.54296875" style="82" customWidth="1"/>
    <col min="10753" max="10753" width="18.453125" style="82" customWidth="1"/>
    <col min="10754" max="10755" width="16.81640625" style="82" customWidth="1"/>
    <col min="10756" max="10756" width="12.453125" style="82" bestFit="1" customWidth="1"/>
    <col min="10757" max="10757" width="10.54296875" style="82" bestFit="1" customWidth="1"/>
    <col min="10758" max="10758" width="15" style="82" bestFit="1" customWidth="1"/>
    <col min="10759" max="10759" width="15.81640625" style="82" customWidth="1"/>
    <col min="10760" max="10760" width="16.1796875" style="82" customWidth="1"/>
    <col min="10761" max="10761" width="15.7265625" style="82" customWidth="1"/>
    <col min="10762" max="10762" width="12.1796875" style="82" bestFit="1" customWidth="1"/>
    <col min="10763" max="10763" width="11.453125" style="82"/>
    <col min="10764" max="10764" width="10.81640625" style="82" bestFit="1" customWidth="1"/>
    <col min="10765" max="10765" width="12.81640625" style="82" bestFit="1" customWidth="1"/>
    <col min="10766" max="10766" width="12.81640625" style="82" customWidth="1"/>
    <col min="10767" max="10767" width="17.1796875" style="82" customWidth="1"/>
    <col min="10768" max="10768" width="26.81640625" style="82" bestFit="1" customWidth="1"/>
    <col min="10769" max="11007" width="11.453125" style="82"/>
    <col min="11008" max="11008" width="7.54296875" style="82" customWidth="1"/>
    <col min="11009" max="11009" width="18.453125" style="82" customWidth="1"/>
    <col min="11010" max="11011" width="16.81640625" style="82" customWidth="1"/>
    <col min="11012" max="11012" width="12.453125" style="82" bestFit="1" customWidth="1"/>
    <col min="11013" max="11013" width="10.54296875" style="82" bestFit="1" customWidth="1"/>
    <col min="11014" max="11014" width="15" style="82" bestFit="1" customWidth="1"/>
    <col min="11015" max="11015" width="15.81640625" style="82" customWidth="1"/>
    <col min="11016" max="11016" width="16.1796875" style="82" customWidth="1"/>
    <col min="11017" max="11017" width="15.7265625" style="82" customWidth="1"/>
    <col min="11018" max="11018" width="12.1796875" style="82" bestFit="1" customWidth="1"/>
    <col min="11019" max="11019" width="11.453125" style="82"/>
    <col min="11020" max="11020" width="10.81640625" style="82" bestFit="1" customWidth="1"/>
    <col min="11021" max="11021" width="12.81640625" style="82" bestFit="1" customWidth="1"/>
    <col min="11022" max="11022" width="12.81640625" style="82" customWidth="1"/>
    <col min="11023" max="11023" width="17.1796875" style="82" customWidth="1"/>
    <col min="11024" max="11024" width="26.81640625" style="82" bestFit="1" customWidth="1"/>
    <col min="11025" max="11263" width="11.453125" style="82"/>
    <col min="11264" max="11264" width="7.54296875" style="82" customWidth="1"/>
    <col min="11265" max="11265" width="18.453125" style="82" customWidth="1"/>
    <col min="11266" max="11267" width="16.81640625" style="82" customWidth="1"/>
    <col min="11268" max="11268" width="12.453125" style="82" bestFit="1" customWidth="1"/>
    <col min="11269" max="11269" width="10.54296875" style="82" bestFit="1" customWidth="1"/>
    <col min="11270" max="11270" width="15" style="82" bestFit="1" customWidth="1"/>
    <col min="11271" max="11271" width="15.81640625" style="82" customWidth="1"/>
    <col min="11272" max="11272" width="16.1796875" style="82" customWidth="1"/>
    <col min="11273" max="11273" width="15.7265625" style="82" customWidth="1"/>
    <col min="11274" max="11274" width="12.1796875" style="82" bestFit="1" customWidth="1"/>
    <col min="11275" max="11275" width="11.453125" style="82"/>
    <col min="11276" max="11276" width="10.81640625" style="82" bestFit="1" customWidth="1"/>
    <col min="11277" max="11277" width="12.81640625" style="82" bestFit="1" customWidth="1"/>
    <col min="11278" max="11278" width="12.81640625" style="82" customWidth="1"/>
    <col min="11279" max="11279" width="17.1796875" style="82" customWidth="1"/>
    <col min="11280" max="11280" width="26.81640625" style="82" bestFit="1" customWidth="1"/>
    <col min="11281" max="11519" width="11.453125" style="82"/>
    <col min="11520" max="11520" width="7.54296875" style="82" customWidth="1"/>
    <col min="11521" max="11521" width="18.453125" style="82" customWidth="1"/>
    <col min="11522" max="11523" width="16.81640625" style="82" customWidth="1"/>
    <col min="11524" max="11524" width="12.453125" style="82" bestFit="1" customWidth="1"/>
    <col min="11525" max="11525" width="10.54296875" style="82" bestFit="1" customWidth="1"/>
    <col min="11526" max="11526" width="15" style="82" bestFit="1" customWidth="1"/>
    <col min="11527" max="11527" width="15.81640625" style="82" customWidth="1"/>
    <col min="11528" max="11528" width="16.1796875" style="82" customWidth="1"/>
    <col min="11529" max="11529" width="15.7265625" style="82" customWidth="1"/>
    <col min="11530" max="11530" width="12.1796875" style="82" bestFit="1" customWidth="1"/>
    <col min="11531" max="11531" width="11.453125" style="82"/>
    <col min="11532" max="11532" width="10.81640625" style="82" bestFit="1" customWidth="1"/>
    <col min="11533" max="11533" width="12.81640625" style="82" bestFit="1" customWidth="1"/>
    <col min="11534" max="11534" width="12.81640625" style="82" customWidth="1"/>
    <col min="11535" max="11535" width="17.1796875" style="82" customWidth="1"/>
    <col min="11536" max="11536" width="26.81640625" style="82" bestFit="1" customWidth="1"/>
    <col min="11537" max="11775" width="11.453125" style="82"/>
    <col min="11776" max="11776" width="7.54296875" style="82" customWidth="1"/>
    <col min="11777" max="11777" width="18.453125" style="82" customWidth="1"/>
    <col min="11778" max="11779" width="16.81640625" style="82" customWidth="1"/>
    <col min="11780" max="11780" width="12.453125" style="82" bestFit="1" customWidth="1"/>
    <col min="11781" max="11781" width="10.54296875" style="82" bestFit="1" customWidth="1"/>
    <col min="11782" max="11782" width="15" style="82" bestFit="1" customWidth="1"/>
    <col min="11783" max="11783" width="15.81640625" style="82" customWidth="1"/>
    <col min="11784" max="11784" width="16.1796875" style="82" customWidth="1"/>
    <col min="11785" max="11785" width="15.7265625" style="82" customWidth="1"/>
    <col min="11786" max="11786" width="12.1796875" style="82" bestFit="1" customWidth="1"/>
    <col min="11787" max="11787" width="11.453125" style="82"/>
    <col min="11788" max="11788" width="10.81640625" style="82" bestFit="1" customWidth="1"/>
    <col min="11789" max="11789" width="12.81640625" style="82" bestFit="1" customWidth="1"/>
    <col min="11790" max="11790" width="12.81640625" style="82" customWidth="1"/>
    <col min="11791" max="11791" width="17.1796875" style="82" customWidth="1"/>
    <col min="11792" max="11792" width="26.81640625" style="82" bestFit="1" customWidth="1"/>
    <col min="11793" max="12031" width="11.453125" style="82"/>
    <col min="12032" max="12032" width="7.54296875" style="82" customWidth="1"/>
    <col min="12033" max="12033" width="18.453125" style="82" customWidth="1"/>
    <col min="12034" max="12035" width="16.81640625" style="82" customWidth="1"/>
    <col min="12036" max="12036" width="12.453125" style="82" bestFit="1" customWidth="1"/>
    <col min="12037" max="12037" width="10.54296875" style="82" bestFit="1" customWidth="1"/>
    <col min="12038" max="12038" width="15" style="82" bestFit="1" customWidth="1"/>
    <col min="12039" max="12039" width="15.81640625" style="82" customWidth="1"/>
    <col min="12040" max="12040" width="16.1796875" style="82" customWidth="1"/>
    <col min="12041" max="12041" width="15.7265625" style="82" customWidth="1"/>
    <col min="12042" max="12042" width="12.1796875" style="82" bestFit="1" customWidth="1"/>
    <col min="12043" max="12043" width="11.453125" style="82"/>
    <col min="12044" max="12044" width="10.81640625" style="82" bestFit="1" customWidth="1"/>
    <col min="12045" max="12045" width="12.81640625" style="82" bestFit="1" customWidth="1"/>
    <col min="12046" max="12046" width="12.81640625" style="82" customWidth="1"/>
    <col min="12047" max="12047" width="17.1796875" style="82" customWidth="1"/>
    <col min="12048" max="12048" width="26.81640625" style="82" bestFit="1" customWidth="1"/>
    <col min="12049" max="12287" width="11.453125" style="82"/>
    <col min="12288" max="12288" width="7.54296875" style="82" customWidth="1"/>
    <col min="12289" max="12289" width="18.453125" style="82" customWidth="1"/>
    <col min="12290" max="12291" width="16.81640625" style="82" customWidth="1"/>
    <col min="12292" max="12292" width="12.453125" style="82" bestFit="1" customWidth="1"/>
    <col min="12293" max="12293" width="10.54296875" style="82" bestFit="1" customWidth="1"/>
    <col min="12294" max="12294" width="15" style="82" bestFit="1" customWidth="1"/>
    <col min="12295" max="12295" width="15.81640625" style="82" customWidth="1"/>
    <col min="12296" max="12296" width="16.1796875" style="82" customWidth="1"/>
    <col min="12297" max="12297" width="15.7265625" style="82" customWidth="1"/>
    <col min="12298" max="12298" width="12.1796875" style="82" bestFit="1" customWidth="1"/>
    <col min="12299" max="12299" width="11.453125" style="82"/>
    <col min="12300" max="12300" width="10.81640625" style="82" bestFit="1" customWidth="1"/>
    <col min="12301" max="12301" width="12.81640625" style="82" bestFit="1" customWidth="1"/>
    <col min="12302" max="12302" width="12.81640625" style="82" customWidth="1"/>
    <col min="12303" max="12303" width="17.1796875" style="82" customWidth="1"/>
    <col min="12304" max="12304" width="26.81640625" style="82" bestFit="1" customWidth="1"/>
    <col min="12305" max="12543" width="11.453125" style="82"/>
    <col min="12544" max="12544" width="7.54296875" style="82" customWidth="1"/>
    <col min="12545" max="12545" width="18.453125" style="82" customWidth="1"/>
    <col min="12546" max="12547" width="16.81640625" style="82" customWidth="1"/>
    <col min="12548" max="12548" width="12.453125" style="82" bestFit="1" customWidth="1"/>
    <col min="12549" max="12549" width="10.54296875" style="82" bestFit="1" customWidth="1"/>
    <col min="12550" max="12550" width="15" style="82" bestFit="1" customWidth="1"/>
    <col min="12551" max="12551" width="15.81640625" style="82" customWidth="1"/>
    <col min="12552" max="12552" width="16.1796875" style="82" customWidth="1"/>
    <col min="12553" max="12553" width="15.7265625" style="82" customWidth="1"/>
    <col min="12554" max="12554" width="12.1796875" style="82" bestFit="1" customWidth="1"/>
    <col min="12555" max="12555" width="11.453125" style="82"/>
    <col min="12556" max="12556" width="10.81640625" style="82" bestFit="1" customWidth="1"/>
    <col min="12557" max="12557" width="12.81640625" style="82" bestFit="1" customWidth="1"/>
    <col min="12558" max="12558" width="12.81640625" style="82" customWidth="1"/>
    <col min="12559" max="12559" width="17.1796875" style="82" customWidth="1"/>
    <col min="12560" max="12560" width="26.81640625" style="82" bestFit="1" customWidth="1"/>
    <col min="12561" max="12799" width="11.453125" style="82"/>
    <col min="12800" max="12800" width="7.54296875" style="82" customWidth="1"/>
    <col min="12801" max="12801" width="18.453125" style="82" customWidth="1"/>
    <col min="12802" max="12803" width="16.81640625" style="82" customWidth="1"/>
    <col min="12804" max="12804" width="12.453125" style="82" bestFit="1" customWidth="1"/>
    <col min="12805" max="12805" width="10.54296875" style="82" bestFit="1" customWidth="1"/>
    <col min="12806" max="12806" width="15" style="82" bestFit="1" customWidth="1"/>
    <col min="12807" max="12807" width="15.81640625" style="82" customWidth="1"/>
    <col min="12808" max="12808" width="16.1796875" style="82" customWidth="1"/>
    <col min="12809" max="12809" width="15.7265625" style="82" customWidth="1"/>
    <col min="12810" max="12810" width="12.1796875" style="82" bestFit="1" customWidth="1"/>
    <col min="12811" max="12811" width="11.453125" style="82"/>
    <col min="12812" max="12812" width="10.81640625" style="82" bestFit="1" customWidth="1"/>
    <col min="12813" max="12813" width="12.81640625" style="82" bestFit="1" customWidth="1"/>
    <col min="12814" max="12814" width="12.81640625" style="82" customWidth="1"/>
    <col min="12815" max="12815" width="17.1796875" style="82" customWidth="1"/>
    <col min="12816" max="12816" width="26.81640625" style="82" bestFit="1" customWidth="1"/>
    <col min="12817" max="13055" width="11.453125" style="82"/>
    <col min="13056" max="13056" width="7.54296875" style="82" customWidth="1"/>
    <col min="13057" max="13057" width="18.453125" style="82" customWidth="1"/>
    <col min="13058" max="13059" width="16.81640625" style="82" customWidth="1"/>
    <col min="13060" max="13060" width="12.453125" style="82" bestFit="1" customWidth="1"/>
    <col min="13061" max="13061" width="10.54296875" style="82" bestFit="1" customWidth="1"/>
    <col min="13062" max="13062" width="15" style="82" bestFit="1" customWidth="1"/>
    <col min="13063" max="13063" width="15.81640625" style="82" customWidth="1"/>
    <col min="13064" max="13064" width="16.1796875" style="82" customWidth="1"/>
    <col min="13065" max="13065" width="15.7265625" style="82" customWidth="1"/>
    <col min="13066" max="13066" width="12.1796875" style="82" bestFit="1" customWidth="1"/>
    <col min="13067" max="13067" width="11.453125" style="82"/>
    <col min="13068" max="13068" width="10.81640625" style="82" bestFit="1" customWidth="1"/>
    <col min="13069" max="13069" width="12.81640625" style="82" bestFit="1" customWidth="1"/>
    <col min="13070" max="13070" width="12.81640625" style="82" customWidth="1"/>
    <col min="13071" max="13071" width="17.1796875" style="82" customWidth="1"/>
    <col min="13072" max="13072" width="26.81640625" style="82" bestFit="1" customWidth="1"/>
    <col min="13073" max="13311" width="11.453125" style="82"/>
    <col min="13312" max="13312" width="7.54296875" style="82" customWidth="1"/>
    <col min="13313" max="13313" width="18.453125" style="82" customWidth="1"/>
    <col min="13314" max="13315" width="16.81640625" style="82" customWidth="1"/>
    <col min="13316" max="13316" width="12.453125" style="82" bestFit="1" customWidth="1"/>
    <col min="13317" max="13317" width="10.54296875" style="82" bestFit="1" customWidth="1"/>
    <col min="13318" max="13318" width="15" style="82" bestFit="1" customWidth="1"/>
    <col min="13319" max="13319" width="15.81640625" style="82" customWidth="1"/>
    <col min="13320" max="13320" width="16.1796875" style="82" customWidth="1"/>
    <col min="13321" max="13321" width="15.7265625" style="82" customWidth="1"/>
    <col min="13322" max="13322" width="12.1796875" style="82" bestFit="1" customWidth="1"/>
    <col min="13323" max="13323" width="11.453125" style="82"/>
    <col min="13324" max="13324" width="10.81640625" style="82" bestFit="1" customWidth="1"/>
    <col min="13325" max="13325" width="12.81640625" style="82" bestFit="1" customWidth="1"/>
    <col min="13326" max="13326" width="12.81640625" style="82" customWidth="1"/>
    <col min="13327" max="13327" width="17.1796875" style="82" customWidth="1"/>
    <col min="13328" max="13328" width="26.81640625" style="82" bestFit="1" customWidth="1"/>
    <col min="13329" max="13567" width="11.453125" style="82"/>
    <col min="13568" max="13568" width="7.54296875" style="82" customWidth="1"/>
    <col min="13569" max="13569" width="18.453125" style="82" customWidth="1"/>
    <col min="13570" max="13571" width="16.81640625" style="82" customWidth="1"/>
    <col min="13572" max="13572" width="12.453125" style="82" bestFit="1" customWidth="1"/>
    <col min="13573" max="13573" width="10.54296875" style="82" bestFit="1" customWidth="1"/>
    <col min="13574" max="13574" width="15" style="82" bestFit="1" customWidth="1"/>
    <col min="13575" max="13575" width="15.81640625" style="82" customWidth="1"/>
    <col min="13576" max="13576" width="16.1796875" style="82" customWidth="1"/>
    <col min="13577" max="13577" width="15.7265625" style="82" customWidth="1"/>
    <col min="13578" max="13578" width="12.1796875" style="82" bestFit="1" customWidth="1"/>
    <col min="13579" max="13579" width="11.453125" style="82"/>
    <col min="13580" max="13580" width="10.81640625" style="82" bestFit="1" customWidth="1"/>
    <col min="13581" max="13581" width="12.81640625" style="82" bestFit="1" customWidth="1"/>
    <col min="13582" max="13582" width="12.81640625" style="82" customWidth="1"/>
    <col min="13583" max="13583" width="17.1796875" style="82" customWidth="1"/>
    <col min="13584" max="13584" width="26.81640625" style="82" bestFit="1" customWidth="1"/>
    <col min="13585" max="13823" width="11.453125" style="82"/>
    <col min="13824" max="13824" width="7.54296875" style="82" customWidth="1"/>
    <col min="13825" max="13825" width="18.453125" style="82" customWidth="1"/>
    <col min="13826" max="13827" width="16.81640625" style="82" customWidth="1"/>
    <col min="13828" max="13828" width="12.453125" style="82" bestFit="1" customWidth="1"/>
    <col min="13829" max="13829" width="10.54296875" style="82" bestFit="1" customWidth="1"/>
    <col min="13830" max="13830" width="15" style="82" bestFit="1" customWidth="1"/>
    <col min="13831" max="13831" width="15.81640625" style="82" customWidth="1"/>
    <col min="13832" max="13832" width="16.1796875" style="82" customWidth="1"/>
    <col min="13833" max="13833" width="15.7265625" style="82" customWidth="1"/>
    <col min="13834" max="13834" width="12.1796875" style="82" bestFit="1" customWidth="1"/>
    <col min="13835" max="13835" width="11.453125" style="82"/>
    <col min="13836" max="13836" width="10.81640625" style="82" bestFit="1" customWidth="1"/>
    <col min="13837" max="13837" width="12.81640625" style="82" bestFit="1" customWidth="1"/>
    <col min="13838" max="13838" width="12.81640625" style="82" customWidth="1"/>
    <col min="13839" max="13839" width="17.1796875" style="82" customWidth="1"/>
    <col min="13840" max="13840" width="26.81640625" style="82" bestFit="1" customWidth="1"/>
    <col min="13841" max="14079" width="11.453125" style="82"/>
    <col min="14080" max="14080" width="7.54296875" style="82" customWidth="1"/>
    <col min="14081" max="14081" width="18.453125" style="82" customWidth="1"/>
    <col min="14082" max="14083" width="16.81640625" style="82" customWidth="1"/>
    <col min="14084" max="14084" width="12.453125" style="82" bestFit="1" customWidth="1"/>
    <col min="14085" max="14085" width="10.54296875" style="82" bestFit="1" customWidth="1"/>
    <col min="14086" max="14086" width="15" style="82" bestFit="1" customWidth="1"/>
    <col min="14087" max="14087" width="15.81640625" style="82" customWidth="1"/>
    <col min="14088" max="14088" width="16.1796875" style="82" customWidth="1"/>
    <col min="14089" max="14089" width="15.7265625" style="82" customWidth="1"/>
    <col min="14090" max="14090" width="12.1796875" style="82" bestFit="1" customWidth="1"/>
    <col min="14091" max="14091" width="11.453125" style="82"/>
    <col min="14092" max="14092" width="10.81640625" style="82" bestFit="1" customWidth="1"/>
    <col min="14093" max="14093" width="12.81640625" style="82" bestFit="1" customWidth="1"/>
    <col min="14094" max="14094" width="12.81640625" style="82" customWidth="1"/>
    <col min="14095" max="14095" width="17.1796875" style="82" customWidth="1"/>
    <col min="14096" max="14096" width="26.81640625" style="82" bestFit="1" customWidth="1"/>
    <col min="14097" max="14335" width="11.453125" style="82"/>
    <col min="14336" max="14336" width="7.54296875" style="82" customWidth="1"/>
    <col min="14337" max="14337" width="18.453125" style="82" customWidth="1"/>
    <col min="14338" max="14339" width="16.81640625" style="82" customWidth="1"/>
    <col min="14340" max="14340" width="12.453125" style="82" bestFit="1" customWidth="1"/>
    <col min="14341" max="14341" width="10.54296875" style="82" bestFit="1" customWidth="1"/>
    <col min="14342" max="14342" width="15" style="82" bestFit="1" customWidth="1"/>
    <col min="14343" max="14343" width="15.81640625" style="82" customWidth="1"/>
    <col min="14344" max="14344" width="16.1796875" style="82" customWidth="1"/>
    <col min="14345" max="14345" width="15.7265625" style="82" customWidth="1"/>
    <col min="14346" max="14346" width="12.1796875" style="82" bestFit="1" customWidth="1"/>
    <col min="14347" max="14347" width="11.453125" style="82"/>
    <col min="14348" max="14348" width="10.81640625" style="82" bestFit="1" customWidth="1"/>
    <col min="14349" max="14349" width="12.81640625" style="82" bestFit="1" customWidth="1"/>
    <col min="14350" max="14350" width="12.81640625" style="82" customWidth="1"/>
    <col min="14351" max="14351" width="17.1796875" style="82" customWidth="1"/>
    <col min="14352" max="14352" width="26.81640625" style="82" bestFit="1" customWidth="1"/>
    <col min="14353" max="14591" width="11.453125" style="82"/>
    <col min="14592" max="14592" width="7.54296875" style="82" customWidth="1"/>
    <col min="14593" max="14593" width="18.453125" style="82" customWidth="1"/>
    <col min="14594" max="14595" width="16.81640625" style="82" customWidth="1"/>
    <col min="14596" max="14596" width="12.453125" style="82" bestFit="1" customWidth="1"/>
    <col min="14597" max="14597" width="10.54296875" style="82" bestFit="1" customWidth="1"/>
    <col min="14598" max="14598" width="15" style="82" bestFit="1" customWidth="1"/>
    <col min="14599" max="14599" width="15.81640625" style="82" customWidth="1"/>
    <col min="14600" max="14600" width="16.1796875" style="82" customWidth="1"/>
    <col min="14601" max="14601" width="15.7265625" style="82" customWidth="1"/>
    <col min="14602" max="14602" width="12.1796875" style="82" bestFit="1" customWidth="1"/>
    <col min="14603" max="14603" width="11.453125" style="82"/>
    <col min="14604" max="14604" width="10.81640625" style="82" bestFit="1" customWidth="1"/>
    <col min="14605" max="14605" width="12.81640625" style="82" bestFit="1" customWidth="1"/>
    <col min="14606" max="14606" width="12.81640625" style="82" customWidth="1"/>
    <col min="14607" max="14607" width="17.1796875" style="82" customWidth="1"/>
    <col min="14608" max="14608" width="26.81640625" style="82" bestFit="1" customWidth="1"/>
    <col min="14609" max="14847" width="11.453125" style="82"/>
    <col min="14848" max="14848" width="7.54296875" style="82" customWidth="1"/>
    <col min="14849" max="14849" width="18.453125" style="82" customWidth="1"/>
    <col min="14850" max="14851" width="16.81640625" style="82" customWidth="1"/>
    <col min="14852" max="14852" width="12.453125" style="82" bestFit="1" customWidth="1"/>
    <col min="14853" max="14853" width="10.54296875" style="82" bestFit="1" customWidth="1"/>
    <col min="14854" max="14854" width="15" style="82" bestFit="1" customWidth="1"/>
    <col min="14855" max="14855" width="15.81640625" style="82" customWidth="1"/>
    <col min="14856" max="14856" width="16.1796875" style="82" customWidth="1"/>
    <col min="14857" max="14857" width="15.7265625" style="82" customWidth="1"/>
    <col min="14858" max="14858" width="12.1796875" style="82" bestFit="1" customWidth="1"/>
    <col min="14859" max="14859" width="11.453125" style="82"/>
    <col min="14860" max="14860" width="10.81640625" style="82" bestFit="1" customWidth="1"/>
    <col min="14861" max="14861" width="12.81640625" style="82" bestFit="1" customWidth="1"/>
    <col min="14862" max="14862" width="12.81640625" style="82" customWidth="1"/>
    <col min="14863" max="14863" width="17.1796875" style="82" customWidth="1"/>
    <col min="14864" max="14864" width="26.81640625" style="82" bestFit="1" customWidth="1"/>
    <col min="14865" max="15103" width="11.453125" style="82"/>
    <col min="15104" max="15104" width="7.54296875" style="82" customWidth="1"/>
    <col min="15105" max="15105" width="18.453125" style="82" customWidth="1"/>
    <col min="15106" max="15107" width="16.81640625" style="82" customWidth="1"/>
    <col min="15108" max="15108" width="12.453125" style="82" bestFit="1" customWidth="1"/>
    <col min="15109" max="15109" width="10.54296875" style="82" bestFit="1" customWidth="1"/>
    <col min="15110" max="15110" width="15" style="82" bestFit="1" customWidth="1"/>
    <col min="15111" max="15111" width="15.81640625" style="82" customWidth="1"/>
    <col min="15112" max="15112" width="16.1796875" style="82" customWidth="1"/>
    <col min="15113" max="15113" width="15.7265625" style="82" customWidth="1"/>
    <col min="15114" max="15114" width="12.1796875" style="82" bestFit="1" customWidth="1"/>
    <col min="15115" max="15115" width="11.453125" style="82"/>
    <col min="15116" max="15116" width="10.81640625" style="82" bestFit="1" customWidth="1"/>
    <col min="15117" max="15117" width="12.81640625" style="82" bestFit="1" customWidth="1"/>
    <col min="15118" max="15118" width="12.81640625" style="82" customWidth="1"/>
    <col min="15119" max="15119" width="17.1796875" style="82" customWidth="1"/>
    <col min="15120" max="15120" width="26.81640625" style="82" bestFit="1" customWidth="1"/>
    <col min="15121" max="15359" width="11.453125" style="82"/>
    <col min="15360" max="15360" width="7.54296875" style="82" customWidth="1"/>
    <col min="15361" max="15361" width="18.453125" style="82" customWidth="1"/>
    <col min="15362" max="15363" width="16.81640625" style="82" customWidth="1"/>
    <col min="15364" max="15364" width="12.453125" style="82" bestFit="1" customWidth="1"/>
    <col min="15365" max="15365" width="10.54296875" style="82" bestFit="1" customWidth="1"/>
    <col min="15366" max="15366" width="15" style="82" bestFit="1" customWidth="1"/>
    <col min="15367" max="15367" width="15.81640625" style="82" customWidth="1"/>
    <col min="15368" max="15368" width="16.1796875" style="82" customWidth="1"/>
    <col min="15369" max="15369" width="15.7265625" style="82" customWidth="1"/>
    <col min="15370" max="15370" width="12.1796875" style="82" bestFit="1" customWidth="1"/>
    <col min="15371" max="15371" width="11.453125" style="82"/>
    <col min="15372" max="15372" width="10.81640625" style="82" bestFit="1" customWidth="1"/>
    <col min="15373" max="15373" width="12.81640625" style="82" bestFit="1" customWidth="1"/>
    <col min="15374" max="15374" width="12.81640625" style="82" customWidth="1"/>
    <col min="15375" max="15375" width="17.1796875" style="82" customWidth="1"/>
    <col min="15376" max="15376" width="26.81640625" style="82" bestFit="1" customWidth="1"/>
    <col min="15377" max="15615" width="11.453125" style="82"/>
    <col min="15616" max="15616" width="7.54296875" style="82" customWidth="1"/>
    <col min="15617" max="15617" width="18.453125" style="82" customWidth="1"/>
    <col min="15618" max="15619" width="16.81640625" style="82" customWidth="1"/>
    <col min="15620" max="15620" width="12.453125" style="82" bestFit="1" customWidth="1"/>
    <col min="15621" max="15621" width="10.54296875" style="82" bestFit="1" customWidth="1"/>
    <col min="15622" max="15622" width="15" style="82" bestFit="1" customWidth="1"/>
    <col min="15623" max="15623" width="15.81640625" style="82" customWidth="1"/>
    <col min="15624" max="15624" width="16.1796875" style="82" customWidth="1"/>
    <col min="15625" max="15625" width="15.7265625" style="82" customWidth="1"/>
    <col min="15626" max="15626" width="12.1796875" style="82" bestFit="1" customWidth="1"/>
    <col min="15627" max="15627" width="11.453125" style="82"/>
    <col min="15628" max="15628" width="10.81640625" style="82" bestFit="1" customWidth="1"/>
    <col min="15629" max="15629" width="12.81640625" style="82" bestFit="1" customWidth="1"/>
    <col min="15630" max="15630" width="12.81640625" style="82" customWidth="1"/>
    <col min="15631" max="15631" width="17.1796875" style="82" customWidth="1"/>
    <col min="15632" max="15632" width="26.81640625" style="82" bestFit="1" customWidth="1"/>
    <col min="15633" max="15871" width="11.453125" style="82"/>
    <col min="15872" max="15872" width="7.54296875" style="82" customWidth="1"/>
    <col min="15873" max="15873" width="18.453125" style="82" customWidth="1"/>
    <col min="15874" max="15875" width="16.81640625" style="82" customWidth="1"/>
    <col min="15876" max="15876" width="12.453125" style="82" bestFit="1" customWidth="1"/>
    <col min="15877" max="15877" width="10.54296875" style="82" bestFit="1" customWidth="1"/>
    <col min="15878" max="15878" width="15" style="82" bestFit="1" customWidth="1"/>
    <col min="15879" max="15879" width="15.81640625" style="82" customWidth="1"/>
    <col min="15880" max="15880" width="16.1796875" style="82" customWidth="1"/>
    <col min="15881" max="15881" width="15.7265625" style="82" customWidth="1"/>
    <col min="15882" max="15882" width="12.1796875" style="82" bestFit="1" customWidth="1"/>
    <col min="15883" max="15883" width="11.453125" style="82"/>
    <col min="15884" max="15884" width="10.81640625" style="82" bestFit="1" customWidth="1"/>
    <col min="15885" max="15885" width="12.81640625" style="82" bestFit="1" customWidth="1"/>
    <col min="15886" max="15886" width="12.81640625" style="82" customWidth="1"/>
    <col min="15887" max="15887" width="17.1796875" style="82" customWidth="1"/>
    <col min="15888" max="15888" width="26.81640625" style="82" bestFit="1" customWidth="1"/>
    <col min="15889" max="16127" width="11.453125" style="82"/>
    <col min="16128" max="16128" width="7.54296875" style="82" customWidth="1"/>
    <col min="16129" max="16129" width="18.453125" style="82" customWidth="1"/>
    <col min="16130" max="16131" width="16.81640625" style="82" customWidth="1"/>
    <col min="16132" max="16132" width="12.453125" style="82" bestFit="1" customWidth="1"/>
    <col min="16133" max="16133" width="10.54296875" style="82" bestFit="1" customWidth="1"/>
    <col min="16134" max="16134" width="15" style="82" bestFit="1" customWidth="1"/>
    <col min="16135" max="16135" width="15.81640625" style="82" customWidth="1"/>
    <col min="16136" max="16136" width="16.1796875" style="82" customWidth="1"/>
    <col min="16137" max="16137" width="15.7265625" style="82" customWidth="1"/>
    <col min="16138" max="16138" width="12.1796875" style="82" bestFit="1" customWidth="1"/>
    <col min="16139" max="16139" width="11.453125" style="82"/>
    <col min="16140" max="16140" width="10.81640625" style="82" bestFit="1" customWidth="1"/>
    <col min="16141" max="16141" width="12.81640625" style="82" bestFit="1" customWidth="1"/>
    <col min="16142" max="16142" width="12.81640625" style="82" customWidth="1"/>
    <col min="16143" max="16143" width="17.1796875" style="82" customWidth="1"/>
    <col min="16144" max="16144" width="26.81640625" style="82" bestFit="1" customWidth="1"/>
    <col min="16145" max="16384" width="11.453125" style="82"/>
  </cols>
  <sheetData>
    <row r="1" spans="1:17">
      <c r="B1" s="4"/>
      <c r="C1" s="4"/>
      <c r="D1" s="4"/>
      <c r="E1" s="83"/>
      <c r="F1" s="4"/>
      <c r="G1" s="4"/>
      <c r="H1" s="4"/>
      <c r="I1" s="4"/>
    </row>
    <row r="2" spans="1:17">
      <c r="B2" s="6"/>
      <c r="C2" s="7"/>
      <c r="D2" s="7"/>
      <c r="E2" s="83"/>
      <c r="F2" s="4"/>
      <c r="G2" s="4"/>
      <c r="H2" s="4"/>
      <c r="I2" s="4"/>
      <c r="O2" s="33" t="s">
        <v>0</v>
      </c>
      <c r="P2" s="33" t="s">
        <v>1</v>
      </c>
      <c r="Q2" s="84" t="s">
        <v>20</v>
      </c>
    </row>
    <row r="3" spans="1:17">
      <c r="B3" s="8"/>
      <c r="C3" s="7"/>
      <c r="D3" s="7"/>
      <c r="E3" s="83"/>
      <c r="F3" s="4"/>
      <c r="G3" s="4"/>
      <c r="H3" s="4"/>
      <c r="I3" s="4"/>
      <c r="O3" s="52" t="s">
        <v>21</v>
      </c>
      <c r="P3" s="53" t="s">
        <v>21</v>
      </c>
      <c r="Q3" s="20" t="s">
        <v>55</v>
      </c>
    </row>
    <row r="4" spans="1:17">
      <c r="E4" s="82"/>
      <c r="I4" s="82"/>
    </row>
    <row r="5" spans="1:17">
      <c r="B5" s="85"/>
      <c r="C5" s="85"/>
      <c r="D5" s="85"/>
      <c r="E5" s="86"/>
      <c r="F5" s="85"/>
      <c r="G5" s="85"/>
      <c r="I5" s="82"/>
      <c r="J5" s="85"/>
      <c r="K5" s="85"/>
      <c r="L5" s="85"/>
      <c r="M5" s="85"/>
      <c r="N5" s="85"/>
      <c r="O5" s="85"/>
    </row>
    <row r="6" spans="1:17">
      <c r="B6" s="87" t="s">
        <v>15</v>
      </c>
      <c r="C6" s="85"/>
      <c r="D6" s="85"/>
      <c r="E6" s="86"/>
      <c r="F6" s="85"/>
      <c r="G6" s="85"/>
      <c r="I6" s="82"/>
      <c r="J6" s="85"/>
      <c r="K6" s="85"/>
      <c r="L6" s="85"/>
      <c r="M6" s="85"/>
      <c r="N6" s="85"/>
      <c r="O6" s="85"/>
    </row>
    <row r="7" spans="1:17">
      <c r="B7" s="87" t="s">
        <v>62</v>
      </c>
      <c r="C7" s="85"/>
      <c r="D7" s="85"/>
      <c r="E7" s="86"/>
      <c r="F7" s="85"/>
      <c r="G7" s="85"/>
      <c r="H7" s="85"/>
      <c r="I7" s="85"/>
      <c r="J7" s="85"/>
      <c r="K7" s="85"/>
      <c r="L7" s="85"/>
      <c r="M7" s="85"/>
      <c r="N7" s="85"/>
      <c r="O7" s="85"/>
    </row>
    <row r="8" spans="1:17">
      <c r="B8" s="31" t="s">
        <v>19</v>
      </c>
      <c r="C8" s="85"/>
      <c r="D8" s="85"/>
      <c r="E8" s="86"/>
      <c r="F8" s="85"/>
      <c r="G8" s="85"/>
      <c r="H8" s="85"/>
      <c r="I8" s="85"/>
      <c r="J8" s="85"/>
      <c r="K8" s="85"/>
      <c r="L8" s="85"/>
      <c r="M8" s="85"/>
      <c r="N8" s="85"/>
      <c r="O8" s="85"/>
    </row>
    <row r="9" spans="1:17">
      <c r="B9" s="88" t="s">
        <v>56</v>
      </c>
      <c r="C9" s="85"/>
      <c r="D9" s="85"/>
      <c r="E9" s="86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spans="1:17" s="89" customFormat="1" ht="7" customHeight="1" thickBot="1"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s="89" customFormat="1" ht="13" thickTop="1">
      <c r="A11" s="90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</row>
    <row r="12" spans="1:17">
      <c r="B12" s="91" t="s">
        <v>2</v>
      </c>
      <c r="C12" s="85"/>
      <c r="D12" s="85"/>
      <c r="E12" s="86"/>
      <c r="F12" s="85"/>
      <c r="G12" s="85"/>
      <c r="H12" s="85"/>
      <c r="I12" s="85"/>
      <c r="J12" s="85"/>
      <c r="K12" s="85"/>
      <c r="L12" s="85"/>
      <c r="M12" s="85"/>
      <c r="N12" s="85"/>
      <c r="O12" s="85"/>
    </row>
    <row r="13" spans="1:17" ht="7" customHeight="1">
      <c r="B13" s="91"/>
      <c r="C13" s="85"/>
      <c r="D13" s="85"/>
      <c r="E13" s="86"/>
      <c r="F13" s="85"/>
      <c r="G13" s="85"/>
      <c r="H13" s="85"/>
      <c r="I13" s="85"/>
      <c r="J13" s="85"/>
      <c r="K13" s="85"/>
      <c r="L13" s="85"/>
      <c r="M13" s="85"/>
      <c r="N13" s="85"/>
      <c r="O13" s="85"/>
    </row>
    <row r="14" spans="1:17">
      <c r="B14" s="2" t="s">
        <v>63</v>
      </c>
      <c r="C14" s="85"/>
      <c r="D14" s="85"/>
      <c r="E14" s="86"/>
      <c r="F14" s="85"/>
      <c r="G14" s="85"/>
      <c r="I14" s="85"/>
      <c r="J14" s="85"/>
      <c r="K14" s="85"/>
      <c r="L14" s="85"/>
      <c r="M14" s="85"/>
      <c r="N14" s="85"/>
      <c r="O14" s="85"/>
    </row>
    <row r="15" spans="1:17">
      <c r="B15" s="2"/>
      <c r="C15" s="85"/>
      <c r="D15" s="85"/>
      <c r="E15" s="86"/>
      <c r="F15" s="85"/>
      <c r="G15" s="85"/>
      <c r="I15" s="85"/>
      <c r="J15" s="85"/>
      <c r="K15" s="85"/>
      <c r="L15" s="85"/>
      <c r="M15" s="85"/>
      <c r="N15" s="85"/>
      <c r="O15" s="85"/>
    </row>
    <row r="16" spans="1:17">
      <c r="B16" s="91" t="s">
        <v>16</v>
      </c>
      <c r="C16" s="89"/>
      <c r="D16" s="89"/>
      <c r="E16" s="86"/>
      <c r="F16" s="85"/>
      <c r="G16" s="85"/>
      <c r="I16" s="85"/>
      <c r="J16" s="85"/>
      <c r="K16" s="85"/>
      <c r="L16" s="85"/>
      <c r="M16" s="85"/>
      <c r="N16" s="85"/>
      <c r="O16" s="85"/>
    </row>
    <row r="17" spans="1:15" ht="7" customHeight="1">
      <c r="B17" s="91"/>
      <c r="C17" s="89"/>
      <c r="D17" s="89"/>
      <c r="E17" s="86"/>
      <c r="F17" s="85"/>
      <c r="G17" s="85"/>
      <c r="I17" s="85"/>
      <c r="J17" s="85"/>
      <c r="K17" s="85"/>
      <c r="L17" s="85"/>
      <c r="M17" s="85"/>
      <c r="N17" s="85"/>
      <c r="O17" s="85"/>
    </row>
    <row r="18" spans="1:15">
      <c r="B18" s="91"/>
      <c r="C18" s="89"/>
      <c r="D18" s="89"/>
      <c r="E18" s="86"/>
      <c r="F18" s="85"/>
      <c r="G18" s="85"/>
      <c r="I18" s="85"/>
      <c r="J18" s="85"/>
      <c r="K18" s="85"/>
      <c r="L18" s="85"/>
      <c r="M18" s="85"/>
      <c r="N18" s="85"/>
      <c r="O18" s="85"/>
    </row>
    <row r="19" spans="1:15">
      <c r="B19" s="78" t="s">
        <v>22</v>
      </c>
      <c r="C19" s="92" t="s">
        <v>36</v>
      </c>
      <c r="D19" s="92" t="s">
        <v>37</v>
      </c>
      <c r="E19" s="86"/>
      <c r="F19" s="85"/>
      <c r="G19" s="85"/>
      <c r="I19" s="85"/>
      <c r="J19" s="85"/>
      <c r="K19" s="85"/>
      <c r="L19" s="85"/>
      <c r="M19" s="85"/>
      <c r="N19" s="85"/>
      <c r="O19" s="85"/>
    </row>
    <row r="20" spans="1:15">
      <c r="B20" s="93" t="s">
        <v>23</v>
      </c>
      <c r="C20" s="75" t="s">
        <v>24</v>
      </c>
      <c r="D20" s="75" t="s">
        <v>24</v>
      </c>
      <c r="E20" s="86"/>
      <c r="F20" s="85"/>
      <c r="G20" s="85"/>
      <c r="I20" s="85"/>
      <c r="J20" s="85"/>
      <c r="K20" s="85"/>
      <c r="L20" s="85"/>
      <c r="M20" s="85"/>
      <c r="N20" s="85"/>
      <c r="O20" s="85"/>
    </row>
    <row r="21" spans="1:15">
      <c r="B21" s="93" t="s">
        <v>25</v>
      </c>
      <c r="C21" s="75" t="s">
        <v>24</v>
      </c>
      <c r="D21" s="75" t="s">
        <v>24</v>
      </c>
      <c r="E21" s="86"/>
      <c r="F21" s="85"/>
      <c r="G21" s="85"/>
      <c r="I21" s="85"/>
      <c r="J21" s="85"/>
      <c r="K21" s="85"/>
      <c r="L21" s="85"/>
      <c r="M21" s="85"/>
      <c r="N21" s="85"/>
      <c r="O21" s="85"/>
    </row>
    <row r="22" spans="1:15">
      <c r="B22" s="93" t="s">
        <v>26</v>
      </c>
      <c r="C22" s="75" t="s">
        <v>24</v>
      </c>
      <c r="D22" s="75" t="s">
        <v>24</v>
      </c>
      <c r="E22" s="86"/>
      <c r="F22" s="85"/>
      <c r="G22" s="85"/>
      <c r="I22" s="85"/>
      <c r="J22" s="85"/>
      <c r="K22" s="85"/>
      <c r="L22" s="85"/>
      <c r="M22" s="85"/>
      <c r="N22" s="85"/>
      <c r="O22" s="85"/>
    </row>
    <row r="23" spans="1:15">
      <c r="B23" s="2"/>
      <c r="C23" s="85"/>
      <c r="D23" s="85"/>
      <c r="E23" s="86"/>
      <c r="F23" s="85"/>
      <c r="G23" s="85"/>
      <c r="I23" s="85"/>
      <c r="J23" s="85"/>
      <c r="K23" s="85"/>
      <c r="L23" s="85"/>
      <c r="M23" s="85"/>
      <c r="N23" s="85"/>
      <c r="O23" s="85"/>
    </row>
    <row r="24" spans="1:15">
      <c r="B24" s="4"/>
      <c r="C24" s="85"/>
      <c r="D24" s="85"/>
      <c r="E24" s="86"/>
      <c r="F24" s="85"/>
      <c r="G24" s="85"/>
      <c r="H24" s="85"/>
      <c r="I24" s="85"/>
    </row>
    <row r="25" spans="1:15">
      <c r="B25" s="91" t="s">
        <v>3</v>
      </c>
      <c r="C25" s="4"/>
      <c r="D25" s="4"/>
      <c r="E25" s="83"/>
      <c r="F25" s="4"/>
      <c r="G25" s="4"/>
      <c r="H25" s="4"/>
      <c r="I25" s="4"/>
    </row>
    <row r="26" spans="1:15" ht="7" customHeight="1">
      <c r="B26" s="91"/>
      <c r="C26" s="4"/>
      <c r="D26" s="4"/>
      <c r="E26" s="83"/>
      <c r="F26" s="4"/>
      <c r="G26" s="4"/>
      <c r="H26" s="4"/>
      <c r="I26" s="4"/>
    </row>
    <row r="27" spans="1:15">
      <c r="A27" s="94" t="s">
        <v>31</v>
      </c>
      <c r="B27" s="95" t="s">
        <v>87</v>
      </c>
      <c r="C27" s="4"/>
      <c r="D27" s="4"/>
      <c r="E27" s="83"/>
      <c r="F27" s="4"/>
      <c r="G27" s="4"/>
      <c r="H27" s="4"/>
      <c r="I27" s="4"/>
    </row>
    <row r="28" spans="1:15">
      <c r="A28" s="94" t="s">
        <v>32</v>
      </c>
      <c r="B28" s="95" t="s">
        <v>64</v>
      </c>
      <c r="C28" s="4"/>
      <c r="D28" s="4"/>
      <c r="E28" s="83"/>
      <c r="F28" s="4"/>
      <c r="G28" s="4"/>
      <c r="H28" s="4"/>
      <c r="I28" s="4"/>
    </row>
    <row r="29" spans="1:15">
      <c r="A29" s="94" t="s">
        <v>33</v>
      </c>
      <c r="B29" s="89" t="s">
        <v>65</v>
      </c>
      <c r="C29" s="4"/>
      <c r="D29" s="4"/>
      <c r="E29" s="83"/>
      <c r="F29" s="4"/>
      <c r="G29" s="4"/>
      <c r="H29" s="4"/>
      <c r="I29" s="4"/>
    </row>
    <row r="30" spans="1:15">
      <c r="A30" s="94" t="s">
        <v>34</v>
      </c>
      <c r="B30" s="82" t="s">
        <v>66</v>
      </c>
      <c r="C30" s="4"/>
      <c r="D30" s="4"/>
      <c r="E30" s="83"/>
      <c r="F30" s="4"/>
      <c r="G30" s="4"/>
      <c r="H30" s="4"/>
      <c r="I30" s="4"/>
    </row>
    <row r="31" spans="1:15">
      <c r="C31" s="4"/>
      <c r="D31" s="4"/>
      <c r="E31" s="83"/>
      <c r="F31" s="4"/>
      <c r="G31" s="4"/>
      <c r="H31" s="4"/>
      <c r="I31" s="4"/>
    </row>
    <row r="32" spans="1:15">
      <c r="B32" s="91" t="s">
        <v>4</v>
      </c>
      <c r="C32" s="4"/>
      <c r="D32" s="4"/>
      <c r="E32" s="83"/>
      <c r="F32" s="4"/>
      <c r="G32" s="4"/>
      <c r="H32" s="4"/>
      <c r="I32" s="4"/>
    </row>
    <row r="33" spans="2:9">
      <c r="B33" s="91"/>
      <c r="C33" s="4"/>
      <c r="D33" s="4"/>
      <c r="E33" s="83"/>
      <c r="F33" s="4"/>
      <c r="G33" s="4"/>
      <c r="H33" s="4"/>
      <c r="I33" s="4"/>
    </row>
    <row r="34" spans="2:9">
      <c r="B34" s="91"/>
      <c r="C34" s="4"/>
      <c r="D34" s="4"/>
      <c r="E34" s="83"/>
      <c r="F34" s="4"/>
      <c r="G34" s="4"/>
      <c r="H34" s="4"/>
      <c r="I34" s="4"/>
    </row>
    <row r="35" spans="2:9">
      <c r="B35" s="91"/>
      <c r="C35" s="4"/>
      <c r="D35" s="4"/>
      <c r="E35" s="83"/>
      <c r="F35" s="4"/>
      <c r="G35" s="4"/>
      <c r="H35" s="4"/>
      <c r="I35" s="4"/>
    </row>
    <row r="36" spans="2:9">
      <c r="B36" s="91"/>
      <c r="C36" s="4"/>
      <c r="D36" s="4"/>
      <c r="E36" s="83"/>
      <c r="F36" s="4"/>
      <c r="G36" s="4"/>
      <c r="H36" s="4"/>
      <c r="I36" s="4"/>
    </row>
    <row r="37" spans="2:9">
      <c r="B37" s="91"/>
      <c r="C37" s="4"/>
      <c r="D37" s="4"/>
      <c r="E37" s="83"/>
      <c r="F37" s="4"/>
      <c r="G37" s="4"/>
      <c r="H37" s="4"/>
      <c r="I37" s="4"/>
    </row>
    <row r="38" spans="2:9">
      <c r="B38" s="96" t="s">
        <v>67</v>
      </c>
      <c r="C38" s="4"/>
      <c r="D38" s="4"/>
      <c r="E38" s="83"/>
      <c r="F38" s="4"/>
      <c r="G38" s="4"/>
      <c r="H38" s="4"/>
      <c r="I38" s="4"/>
    </row>
    <row r="39" spans="2:9">
      <c r="B39" s="91"/>
      <c r="C39" s="4"/>
      <c r="D39" s="4"/>
      <c r="E39" s="83"/>
      <c r="F39" s="4"/>
      <c r="G39" s="4"/>
      <c r="H39" s="4"/>
      <c r="I39" s="4"/>
    </row>
    <row r="40" spans="2:9">
      <c r="B40" s="91"/>
      <c r="C40" s="4"/>
      <c r="D40" s="4"/>
      <c r="E40" s="83"/>
      <c r="F40" s="4"/>
      <c r="G40" s="4"/>
      <c r="H40" s="4"/>
      <c r="I40" s="4"/>
    </row>
    <row r="41" spans="2:9">
      <c r="B41" s="91"/>
      <c r="C41" s="4"/>
      <c r="D41" s="4"/>
      <c r="E41" s="83"/>
      <c r="F41" s="4"/>
      <c r="G41" s="4"/>
      <c r="H41" s="4"/>
      <c r="I41" s="4"/>
    </row>
    <row r="42" spans="2:9">
      <c r="B42" s="91"/>
      <c r="C42" s="4"/>
      <c r="D42" s="4"/>
      <c r="E42" s="83"/>
      <c r="F42" s="4"/>
      <c r="G42" s="4"/>
      <c r="H42" s="4"/>
      <c r="I42" s="4"/>
    </row>
    <row r="43" spans="2:9">
      <c r="B43" s="91"/>
      <c r="C43" s="4"/>
      <c r="D43" s="4"/>
      <c r="E43" s="83"/>
      <c r="F43" s="4"/>
      <c r="G43" s="4"/>
      <c r="H43" s="4"/>
      <c r="I43" s="4"/>
    </row>
    <row r="44" spans="2:9">
      <c r="B44" s="91"/>
      <c r="C44" s="4"/>
      <c r="D44" s="4"/>
      <c r="E44" s="83"/>
      <c r="F44" s="4"/>
      <c r="G44" s="4"/>
      <c r="H44" s="4"/>
      <c r="I44" s="4"/>
    </row>
    <row r="45" spans="2:9">
      <c r="B45" s="91"/>
      <c r="C45" s="4"/>
      <c r="D45" s="4"/>
      <c r="E45" s="83"/>
      <c r="F45" s="4"/>
      <c r="G45" s="4"/>
      <c r="H45" s="4"/>
      <c r="I45" s="4"/>
    </row>
    <row r="46" spans="2:9">
      <c r="B46" s="91"/>
      <c r="C46" s="4"/>
      <c r="D46" s="4"/>
      <c r="E46" s="83"/>
      <c r="F46" s="4"/>
      <c r="G46" s="4"/>
      <c r="H46" s="4"/>
      <c r="I46" s="4"/>
    </row>
    <row r="47" spans="2:9">
      <c r="B47" s="91"/>
      <c r="C47" s="4"/>
      <c r="D47" s="4"/>
      <c r="E47" s="83"/>
      <c r="F47" s="4"/>
      <c r="G47" s="4"/>
      <c r="H47" s="4"/>
      <c r="I47" s="4"/>
    </row>
    <row r="48" spans="2:9">
      <c r="B48" s="91"/>
      <c r="C48" s="4"/>
      <c r="D48" s="4"/>
      <c r="E48" s="83"/>
      <c r="F48" s="4"/>
      <c r="G48" s="4"/>
      <c r="H48" s="4"/>
      <c r="I48" s="4"/>
    </row>
    <row r="49" spans="1:9">
      <c r="B49" s="91"/>
      <c r="C49" s="4"/>
      <c r="D49" s="4"/>
      <c r="E49" s="83"/>
      <c r="F49" s="4"/>
      <c r="G49" s="4"/>
      <c r="H49" s="4"/>
      <c r="I49" s="4"/>
    </row>
    <row r="50" spans="1:9">
      <c r="B50" s="91"/>
      <c r="C50" s="4"/>
      <c r="D50" s="4"/>
      <c r="E50" s="83"/>
      <c r="F50" s="4"/>
      <c r="G50" s="4"/>
      <c r="H50" s="4"/>
      <c r="I50" s="4"/>
    </row>
    <row r="51" spans="1:9">
      <c r="B51" s="91"/>
      <c r="C51" s="4"/>
      <c r="D51" s="4"/>
      <c r="E51" s="83"/>
      <c r="F51" s="4"/>
      <c r="G51" s="4"/>
      <c r="H51" s="4"/>
      <c r="I51" s="4"/>
    </row>
    <row r="52" spans="1:9">
      <c r="B52" s="91"/>
      <c r="C52" s="4"/>
      <c r="D52" s="4"/>
      <c r="E52" s="83"/>
      <c r="F52" s="4"/>
      <c r="G52" s="4"/>
      <c r="H52" s="4"/>
      <c r="I52" s="4"/>
    </row>
    <row r="53" spans="1:9">
      <c r="B53" s="91"/>
      <c r="C53" s="4"/>
      <c r="D53" s="4"/>
      <c r="E53" s="83"/>
      <c r="F53" s="4"/>
      <c r="G53" s="4"/>
      <c r="H53" s="4"/>
      <c r="I53" s="4"/>
    </row>
    <row r="54" spans="1:9">
      <c r="A54" s="47"/>
      <c r="B54" s="19" t="s">
        <v>68</v>
      </c>
      <c r="C54" s="4"/>
      <c r="D54" s="4"/>
      <c r="E54" s="83"/>
      <c r="F54" s="4"/>
      <c r="G54" s="4"/>
      <c r="H54" s="4"/>
      <c r="I54" s="4"/>
    </row>
    <row r="55" spans="1:9">
      <c r="A55" s="47"/>
      <c r="B55" s="19"/>
      <c r="C55" s="4"/>
      <c r="D55" s="4"/>
      <c r="E55" s="83"/>
      <c r="F55" s="4"/>
      <c r="G55" s="4"/>
      <c r="H55" s="4"/>
      <c r="I55" s="4"/>
    </row>
    <row r="56" spans="1:9">
      <c r="A56" s="47"/>
      <c r="B56" s="19"/>
      <c r="C56" s="4"/>
      <c r="D56" s="4"/>
      <c r="E56" s="83"/>
      <c r="F56" s="4"/>
      <c r="G56" s="4"/>
      <c r="H56" s="4"/>
      <c r="I56" s="4"/>
    </row>
    <row r="57" spans="1:9">
      <c r="A57" s="47" t="s">
        <v>22</v>
      </c>
      <c r="B57" s="47"/>
      <c r="C57" s="4"/>
      <c r="D57" s="4"/>
      <c r="E57" s="83"/>
      <c r="F57" s="4"/>
      <c r="G57" s="4"/>
      <c r="H57" s="4"/>
      <c r="I57" s="4"/>
    </row>
    <row r="58" spans="1:9">
      <c r="A58" s="50"/>
      <c r="B58" s="19" t="s">
        <v>88</v>
      </c>
      <c r="C58" s="4"/>
      <c r="D58" s="4"/>
      <c r="E58" s="83"/>
      <c r="F58" s="4"/>
      <c r="G58" s="4"/>
      <c r="H58" s="4"/>
      <c r="I58" s="4"/>
    </row>
    <row r="59" spans="1:9" ht="7" customHeight="1">
      <c r="A59" s="105"/>
      <c r="B59" s="19"/>
      <c r="C59" s="4"/>
      <c r="D59" s="4"/>
      <c r="E59" s="83"/>
      <c r="F59" s="4"/>
      <c r="G59" s="4"/>
      <c r="H59" s="4"/>
      <c r="I59" s="4"/>
    </row>
    <row r="60" spans="1:9">
      <c r="A60" s="50" t="s">
        <v>38</v>
      </c>
      <c r="B60" s="19"/>
      <c r="C60" s="4"/>
      <c r="D60" s="4"/>
      <c r="E60" s="83"/>
      <c r="F60" s="4"/>
      <c r="G60" s="4"/>
      <c r="H60" s="4"/>
      <c r="I60" s="4"/>
    </row>
    <row r="61" spans="1:9">
      <c r="A61" s="50" t="s">
        <v>39</v>
      </c>
      <c r="B61" s="19"/>
      <c r="C61" s="4"/>
      <c r="D61" s="4"/>
      <c r="E61" s="83"/>
      <c r="F61" s="4"/>
      <c r="G61" s="4"/>
      <c r="H61" s="4"/>
      <c r="I61" s="4"/>
    </row>
    <row r="62" spans="1:9">
      <c r="A62" s="50" t="s">
        <v>40</v>
      </c>
      <c r="B62" s="19"/>
      <c r="C62" s="4"/>
      <c r="D62" s="4"/>
      <c r="E62" s="83"/>
      <c r="F62" s="4"/>
      <c r="G62" s="4"/>
      <c r="H62" s="4"/>
      <c r="I62" s="4"/>
    </row>
    <row r="63" spans="1:9">
      <c r="A63" s="50"/>
      <c r="B63" s="19"/>
      <c r="C63" s="4"/>
      <c r="D63" s="4"/>
      <c r="E63" s="83"/>
      <c r="F63" s="4"/>
      <c r="G63" s="4"/>
      <c r="H63" s="4"/>
      <c r="I63" s="4"/>
    </row>
    <row r="64" spans="1:9">
      <c r="A64" s="50"/>
      <c r="B64" s="19" t="s">
        <v>41</v>
      </c>
      <c r="C64" s="4"/>
      <c r="D64" s="4"/>
      <c r="E64" s="83"/>
      <c r="F64" s="4"/>
      <c r="G64" s="4"/>
      <c r="H64" s="4"/>
      <c r="I64" s="4"/>
    </row>
    <row r="65" spans="1:9" ht="7" customHeight="1">
      <c r="A65" s="50"/>
      <c r="B65" s="19"/>
      <c r="C65" s="4"/>
      <c r="D65" s="4"/>
      <c r="E65" s="83"/>
      <c r="F65" s="4"/>
      <c r="G65" s="4"/>
      <c r="H65" s="4"/>
      <c r="I65" s="4"/>
    </row>
    <row r="66" spans="1:9">
      <c r="A66" s="50" t="s">
        <v>42</v>
      </c>
      <c r="B66" s="19"/>
      <c r="C66" s="4"/>
      <c r="D66" s="4"/>
      <c r="E66" s="83"/>
      <c r="F66" s="4"/>
      <c r="G66" s="4"/>
      <c r="H66" s="99"/>
      <c r="I66" s="4"/>
    </row>
    <row r="67" spans="1:9">
      <c r="A67" s="50" t="s">
        <v>43</v>
      </c>
      <c r="B67" s="19"/>
      <c r="C67" s="4"/>
      <c r="D67" s="4"/>
      <c r="E67" s="83"/>
      <c r="F67" s="4"/>
      <c r="G67" s="4"/>
      <c r="H67" s="4"/>
      <c r="I67" s="4"/>
    </row>
    <row r="68" spans="1:9">
      <c r="A68" s="50" t="s">
        <v>44</v>
      </c>
      <c r="B68" s="19"/>
      <c r="C68" s="4"/>
      <c r="D68" s="4"/>
      <c r="E68" s="83"/>
      <c r="F68" s="4"/>
      <c r="G68" s="4"/>
      <c r="H68" s="4"/>
      <c r="I68" s="4"/>
    </row>
    <row r="69" spans="1:9">
      <c r="A69" s="50"/>
      <c r="B69" s="51"/>
      <c r="C69" s="4"/>
      <c r="D69" s="4"/>
      <c r="E69" s="83"/>
      <c r="F69" s="4"/>
      <c r="G69" s="4"/>
      <c r="H69" s="4"/>
      <c r="I69" s="4"/>
    </row>
    <row r="70" spans="1:9">
      <c r="A70" s="50"/>
      <c r="B70" s="19" t="s">
        <v>45</v>
      </c>
      <c r="D70" s="98"/>
    </row>
    <row r="71" spans="1:9" ht="7" customHeight="1">
      <c r="A71" s="50"/>
      <c r="B71" s="19"/>
    </row>
    <row r="72" spans="1:9">
      <c r="A72" s="50" t="s">
        <v>46</v>
      </c>
      <c r="B72" s="19"/>
    </row>
    <row r="73" spans="1:9">
      <c r="A73" s="50" t="s">
        <v>47</v>
      </c>
      <c r="B73" s="19"/>
    </row>
    <row r="74" spans="1:9" ht="14.5" customHeight="1">
      <c r="A74" s="50" t="s">
        <v>48</v>
      </c>
      <c r="B74" s="19"/>
    </row>
    <row r="75" spans="1:9">
      <c r="A75" s="50"/>
      <c r="B75" s="51"/>
    </row>
    <row r="76" spans="1:9">
      <c r="A76" s="47"/>
      <c r="B76" s="19" t="s">
        <v>14</v>
      </c>
    </row>
    <row r="77" spans="1:9" ht="7" customHeight="1">
      <c r="A77" s="47" t="s">
        <v>93</v>
      </c>
      <c r="B77" s="19"/>
    </row>
    <row r="78" spans="1:9">
      <c r="A78" s="47"/>
      <c r="B78" s="34" t="s">
        <v>77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97A1-0449-4F9E-AB92-C311AA335ED1}">
  <dimension ref="A1:AH76"/>
  <sheetViews>
    <sheetView showGridLines="0" zoomScale="68" zoomScaleNormal="80" workbookViewId="0">
      <selection activeCell="W39" sqref="W39"/>
    </sheetView>
  </sheetViews>
  <sheetFormatPr baseColWidth="10" defaultColWidth="11.453125" defaultRowHeight="12.5"/>
  <cols>
    <col min="1" max="1" width="4.1796875" style="1" customWidth="1"/>
    <col min="2" max="2" width="15" style="1" customWidth="1"/>
    <col min="3" max="3" width="14.90625" style="1" customWidth="1"/>
    <col min="4" max="4" width="20.36328125" style="1" customWidth="1"/>
    <col min="5" max="5" width="16" style="1" customWidth="1"/>
    <col min="6" max="6" width="11.453125" style="1"/>
    <col min="7" max="7" width="5.7265625" style="1" customWidth="1"/>
    <col min="8" max="8" width="11.08984375" style="1" customWidth="1"/>
    <col min="9" max="9" width="17.453125" style="1" customWidth="1"/>
    <col min="10" max="10" width="11.453125" style="1"/>
    <col min="11" max="11" width="13.26953125" style="1" customWidth="1"/>
    <col min="12" max="12" width="13.08984375" style="1" customWidth="1"/>
    <col min="13" max="13" width="15.6328125" style="1" customWidth="1"/>
    <col min="14" max="14" width="14.26953125" style="1" customWidth="1"/>
    <col min="15" max="15" width="12.81640625" style="1" customWidth="1"/>
    <col min="16" max="16" width="15.453125" style="1" customWidth="1"/>
    <col min="17" max="17" width="3.453125" style="1" customWidth="1"/>
    <col min="18" max="18" width="19.81640625" style="1" customWidth="1"/>
    <col min="19" max="19" width="12.453125" style="1" customWidth="1"/>
    <col min="20" max="20" width="8.7265625" style="1" customWidth="1"/>
    <col min="21" max="26" width="11.453125" style="1"/>
    <col min="27" max="27" width="3.54296875" style="1" customWidth="1"/>
    <col min="28" max="28" width="14.453125" style="1" customWidth="1"/>
    <col min="29" max="29" width="17.54296875" style="1" customWidth="1"/>
    <col min="30" max="30" width="15.81640625" style="1" customWidth="1"/>
    <col min="31" max="32" width="17" style="47" customWidth="1"/>
    <col min="33" max="33" width="17" style="1" customWidth="1"/>
    <col min="34" max="34" width="14.26953125" style="1" customWidth="1"/>
    <col min="35" max="35" width="11.453125" style="1"/>
    <col min="36" max="36" width="13.26953125" style="1" customWidth="1"/>
    <col min="37" max="39" width="11.453125" style="1"/>
    <col min="40" max="40" width="13.7265625" style="1" customWidth="1"/>
    <col min="41" max="16384" width="11.453125" style="1"/>
  </cols>
  <sheetData>
    <row r="1" spans="2:34">
      <c r="B1" s="4"/>
      <c r="C1" s="4"/>
      <c r="D1" s="4"/>
      <c r="E1" s="4"/>
      <c r="F1" s="4"/>
      <c r="G1" s="3"/>
      <c r="H1" s="3"/>
      <c r="I1" s="3"/>
      <c r="J1" s="5"/>
      <c r="K1" s="5"/>
      <c r="L1" s="5"/>
      <c r="M1" s="5"/>
      <c r="N1" s="5"/>
      <c r="O1" s="5"/>
      <c r="P1" s="5"/>
    </row>
    <row r="2" spans="2:34">
      <c r="B2" s="6"/>
      <c r="C2" s="7"/>
      <c r="D2" s="7"/>
      <c r="E2" s="4"/>
      <c r="F2" s="4"/>
      <c r="G2" s="3"/>
      <c r="H2" s="3"/>
      <c r="I2" s="3"/>
      <c r="J2" s="5"/>
      <c r="K2" s="5"/>
      <c r="L2" s="5"/>
      <c r="M2" s="5"/>
      <c r="AF2" s="104" t="s">
        <v>0</v>
      </c>
      <c r="AG2" s="33" t="s">
        <v>1</v>
      </c>
      <c r="AH2" s="84" t="s">
        <v>20</v>
      </c>
    </row>
    <row r="3" spans="2:34" ht="15.5" customHeight="1">
      <c r="B3" s="8"/>
      <c r="C3" s="7"/>
      <c r="D3" s="7"/>
      <c r="E3" s="4"/>
      <c r="F3" s="4"/>
      <c r="G3" s="3"/>
      <c r="H3" s="3"/>
      <c r="I3" s="3"/>
      <c r="J3" s="5"/>
      <c r="K3" s="5"/>
      <c r="L3" s="5"/>
      <c r="M3" s="5"/>
      <c r="AF3" s="52" t="s">
        <v>21</v>
      </c>
      <c r="AG3" s="53" t="s">
        <v>21</v>
      </c>
      <c r="AH3" s="20" t="s">
        <v>58</v>
      </c>
    </row>
    <row r="4" spans="2:34">
      <c r="B4" s="28"/>
      <c r="C4" s="23"/>
      <c r="D4" s="23"/>
      <c r="E4" s="24"/>
      <c r="F4" s="25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2:34" s="47" customFormat="1">
      <c r="B5" s="28"/>
      <c r="C5" s="23"/>
      <c r="D5" s="23"/>
      <c r="E5" s="24"/>
      <c r="F5" s="25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2:34">
      <c r="B6" s="2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2:34">
      <c r="B7" s="21" t="s">
        <v>18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2:34">
      <c r="B8" s="31" t="s">
        <v>19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2:34" s="30" customFormat="1">
      <c r="B9" s="32" t="s">
        <v>56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2:34" ht="7" customHeight="1" thickBot="1">
      <c r="B10" s="27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2:34" ht="13" thickTop="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2:34">
      <c r="B12" s="19" t="s">
        <v>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2:34" s="47" customFormat="1" ht="7" customHeight="1">
      <c r="B13" s="1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2:34">
      <c r="B14" s="81" t="s">
        <v>95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34" s="17" customFormat="1"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AE15" s="47"/>
      <c r="AF15" s="47"/>
    </row>
    <row r="16" spans="2:34" s="17" customFormat="1">
      <c r="B16" s="19" t="s">
        <v>16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AE16" s="47"/>
      <c r="AF16" s="47"/>
    </row>
    <row r="17" spans="1:34" s="47" customFormat="1" ht="7" customHeight="1">
      <c r="B17" s="1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34" s="17" customFormat="1">
      <c r="B18" s="78" t="s">
        <v>22</v>
      </c>
      <c r="C18" s="76" t="s">
        <v>36</v>
      </c>
      <c r="D18" s="76" t="s">
        <v>37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AE18" s="47"/>
      <c r="AF18" s="47"/>
    </row>
    <row r="19" spans="1:34" s="17" customFormat="1">
      <c r="B19" s="77" t="s">
        <v>23</v>
      </c>
      <c r="C19" s="75" t="s">
        <v>24</v>
      </c>
      <c r="D19" s="75" t="s">
        <v>24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AE19" s="47"/>
      <c r="AF19" s="47"/>
    </row>
    <row r="20" spans="1:34" s="17" customFormat="1">
      <c r="B20" s="77" t="s">
        <v>25</v>
      </c>
      <c r="C20" s="75" t="s">
        <v>24</v>
      </c>
      <c r="D20" s="75" t="s">
        <v>24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AE20" s="47"/>
      <c r="AF20" s="47"/>
    </row>
    <row r="21" spans="1:34" s="17" customFormat="1">
      <c r="B21" s="77" t="s">
        <v>26</v>
      </c>
      <c r="C21" s="75" t="s">
        <v>24</v>
      </c>
      <c r="D21" s="7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AE21" s="47"/>
      <c r="AF21" s="47"/>
    </row>
    <row r="22" spans="1:34"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34">
      <c r="B23" s="19" t="s">
        <v>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34" s="47" customFormat="1" ht="7" customHeight="1"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34">
      <c r="A25" s="79" t="s">
        <v>31</v>
      </c>
      <c r="B25" s="80" t="s">
        <v>69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34">
      <c r="A26" s="79" t="s">
        <v>32</v>
      </c>
      <c r="B26" s="1" t="s">
        <v>79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34">
      <c r="A27" s="79" t="s">
        <v>33</v>
      </c>
      <c r="B27" s="3" t="s">
        <v>78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34">
      <c r="A28" s="79" t="s">
        <v>34</v>
      </c>
      <c r="B28" s="11" t="s">
        <v>57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34" s="17" customFormat="1">
      <c r="B29" s="11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AE29" s="47"/>
      <c r="AF29" s="47"/>
    </row>
    <row r="30" spans="1:34" s="17" customFormat="1">
      <c r="B30" s="19" t="s">
        <v>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AE30" s="47"/>
      <c r="AF30" s="47"/>
    </row>
    <row r="31" spans="1:34" ht="10.5" customHeight="1"/>
    <row r="32" spans="1:34">
      <c r="B32" s="11"/>
      <c r="C32" s="11"/>
      <c r="D32" s="11"/>
      <c r="E32" s="11"/>
      <c r="F32" s="1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13"/>
      <c r="AC32" s="30"/>
      <c r="AD32" s="30"/>
      <c r="AG32" s="30"/>
      <c r="AH32" s="30"/>
    </row>
    <row r="33" spans="2:34">
      <c r="B33" s="107" t="s">
        <v>49</v>
      </c>
      <c r="C33" s="107"/>
      <c r="D33" s="107"/>
      <c r="E33" s="107"/>
      <c r="F33" s="107"/>
      <c r="G33" s="30"/>
      <c r="H33" s="107" t="s">
        <v>60</v>
      </c>
      <c r="I33" s="107"/>
      <c r="J33" s="107"/>
      <c r="K33" s="107"/>
      <c r="L33" s="107" t="s">
        <v>50</v>
      </c>
      <c r="M33" s="107"/>
      <c r="N33" s="107"/>
      <c r="O33" s="107"/>
      <c r="P33" s="107"/>
      <c r="Q33" s="29"/>
      <c r="R33" s="107" t="s">
        <v>51</v>
      </c>
      <c r="S33" s="107"/>
      <c r="T33" s="107"/>
      <c r="U33" s="107"/>
      <c r="V33" s="107"/>
      <c r="W33" s="107"/>
      <c r="X33" s="107"/>
      <c r="Y33" s="107"/>
      <c r="Z33" s="107"/>
      <c r="AA33" s="35"/>
      <c r="AB33" s="107" t="s">
        <v>52</v>
      </c>
      <c r="AC33" s="107"/>
      <c r="AD33" s="107"/>
      <c r="AE33" s="107"/>
      <c r="AF33" s="107"/>
      <c r="AG33" s="107"/>
      <c r="AH33" s="107"/>
    </row>
    <row r="34" spans="2:34" s="100" customFormat="1">
      <c r="B34" s="108" t="s">
        <v>80</v>
      </c>
      <c r="C34" s="108"/>
      <c r="D34" s="108"/>
      <c r="E34" s="108"/>
      <c r="F34" s="108"/>
      <c r="H34" s="108" t="s">
        <v>27</v>
      </c>
      <c r="I34" s="108"/>
      <c r="J34" s="108"/>
      <c r="K34" s="108"/>
      <c r="L34" s="108"/>
      <c r="M34" s="108"/>
      <c r="N34" s="108"/>
      <c r="O34" s="108"/>
      <c r="P34" s="111" t="s">
        <v>30</v>
      </c>
      <c r="Q34" s="101"/>
      <c r="R34" s="109" t="s">
        <v>82</v>
      </c>
      <c r="S34" s="109"/>
      <c r="T34" s="109"/>
      <c r="U34" s="109"/>
      <c r="V34" s="109"/>
      <c r="W34" s="109"/>
      <c r="X34" s="110" t="s">
        <v>83</v>
      </c>
      <c r="Y34" s="110"/>
      <c r="Z34" s="110"/>
      <c r="AA34" s="101"/>
      <c r="AB34" s="113" t="s">
        <v>85</v>
      </c>
      <c r="AC34" s="114"/>
      <c r="AD34" s="114"/>
      <c r="AE34" s="114"/>
      <c r="AF34" s="115"/>
      <c r="AG34" s="113"/>
      <c r="AH34" s="115"/>
    </row>
    <row r="35" spans="2:34" ht="37.5">
      <c r="B35" s="55" t="s">
        <v>53</v>
      </c>
      <c r="C35" s="49" t="s">
        <v>54</v>
      </c>
      <c r="D35" s="56" t="s">
        <v>70</v>
      </c>
      <c r="E35" s="56" t="s">
        <v>71</v>
      </c>
      <c r="F35" s="57" t="s">
        <v>28</v>
      </c>
      <c r="G35" s="30"/>
      <c r="H35" s="62" t="s">
        <v>7</v>
      </c>
      <c r="I35" s="49" t="s">
        <v>61</v>
      </c>
      <c r="J35" s="54" t="s">
        <v>5</v>
      </c>
      <c r="K35" s="57" t="s">
        <v>72</v>
      </c>
      <c r="L35" s="63" t="s">
        <v>8</v>
      </c>
      <c r="M35" s="63" t="s">
        <v>9</v>
      </c>
      <c r="N35" s="63" t="s">
        <v>81</v>
      </c>
      <c r="O35" s="63" t="s">
        <v>29</v>
      </c>
      <c r="P35" s="112"/>
      <c r="Q35" s="12"/>
      <c r="R35" s="67" t="s">
        <v>94</v>
      </c>
      <c r="S35" s="68" t="s">
        <v>5</v>
      </c>
      <c r="T35" s="69" t="s">
        <v>10</v>
      </c>
      <c r="U35" s="63" t="s">
        <v>84</v>
      </c>
      <c r="V35" s="70" t="s">
        <v>11</v>
      </c>
      <c r="W35" s="63" t="s">
        <v>12</v>
      </c>
      <c r="X35" s="63" t="s">
        <v>29</v>
      </c>
      <c r="Y35" s="63" t="s">
        <v>13</v>
      </c>
      <c r="Z35" s="106" t="s">
        <v>89</v>
      </c>
      <c r="AA35" s="12"/>
      <c r="AB35" s="73" t="s">
        <v>73</v>
      </c>
      <c r="AC35" s="73" t="s">
        <v>74</v>
      </c>
      <c r="AD35" s="67" t="s">
        <v>59</v>
      </c>
      <c r="AE35" s="68" t="s">
        <v>5</v>
      </c>
      <c r="AF35" s="68" t="s">
        <v>86</v>
      </c>
      <c r="AG35" s="68" t="s">
        <v>75</v>
      </c>
      <c r="AH35" s="63" t="s">
        <v>13</v>
      </c>
    </row>
    <row r="36" spans="2:34" ht="14.5">
      <c r="B36" s="58"/>
      <c r="C36" s="59"/>
      <c r="D36" s="60"/>
      <c r="E36" s="60"/>
      <c r="F36" s="61">
        <f>+E36*0.12</f>
        <v>0</v>
      </c>
      <c r="G36" s="30"/>
      <c r="H36" s="58"/>
      <c r="I36" s="48"/>
      <c r="J36" s="60"/>
      <c r="K36" s="48"/>
      <c r="L36" s="64"/>
      <c r="M36" s="64"/>
      <c r="N36" s="61">
        <f>+M36*0.12</f>
        <v>0</v>
      </c>
      <c r="O36" s="61">
        <f>+M36+N36</f>
        <v>0</v>
      </c>
      <c r="P36" s="65">
        <f t="shared" ref="P36:P44" si="0">+F36-M36</f>
        <v>0</v>
      </c>
      <c r="Q36"/>
      <c r="R36" s="48"/>
      <c r="S36" s="60"/>
      <c r="T36" s="71"/>
      <c r="U36" s="64">
        <f t="shared" ref="U36:U44" si="1">+T36*M36</f>
        <v>0</v>
      </c>
      <c r="V36" s="72"/>
      <c r="W36" s="64">
        <f t="shared" ref="W36:W44" si="2">+V36*N36</f>
        <v>0</v>
      </c>
      <c r="X36" s="64"/>
      <c r="Y36" s="64">
        <f>+U36+W36-X36</f>
        <v>0</v>
      </c>
      <c r="Z36" s="64">
        <f t="shared" ref="Z36:Z44" si="3">+S36-J36</f>
        <v>0</v>
      </c>
      <c r="AA36" s="30"/>
      <c r="AB36" s="48"/>
      <c r="AC36" s="48"/>
      <c r="AD36" s="48"/>
      <c r="AE36" s="60"/>
      <c r="AF36" s="60"/>
      <c r="AG36" s="74">
        <f>O36-U36-W36</f>
        <v>0</v>
      </c>
      <c r="AH36" s="74">
        <f>+AF36-AG36</f>
        <v>0</v>
      </c>
    </row>
    <row r="37" spans="2:34" ht="14.5">
      <c r="B37" s="58"/>
      <c r="C37" s="59"/>
      <c r="D37" s="60"/>
      <c r="E37" s="60"/>
      <c r="F37" s="61">
        <f t="shared" ref="F37:F44" si="4">+E37*0.12</f>
        <v>0</v>
      </c>
      <c r="G37" s="30"/>
      <c r="H37" s="58"/>
      <c r="I37" s="48"/>
      <c r="J37" s="60"/>
      <c r="K37" s="48"/>
      <c r="L37" s="64"/>
      <c r="M37" s="64"/>
      <c r="N37" s="61">
        <f t="shared" ref="N37:N44" si="5">+M37*0.12</f>
        <v>0</v>
      </c>
      <c r="O37" s="61">
        <f t="shared" ref="O37:O44" si="6">+M37+N37</f>
        <v>0</v>
      </c>
      <c r="P37" s="65">
        <f t="shared" si="0"/>
        <v>0</v>
      </c>
      <c r="Q37" s="30"/>
      <c r="R37" s="48"/>
      <c r="S37" s="60"/>
      <c r="T37" s="71"/>
      <c r="U37" s="64">
        <f>+T37*M37</f>
        <v>0</v>
      </c>
      <c r="V37" s="72"/>
      <c r="W37" s="64">
        <f>+V37*N37</f>
        <v>0</v>
      </c>
      <c r="X37" s="64"/>
      <c r="Y37" s="64">
        <f t="shared" ref="Y37:Y44" si="7">+U37+W37-X37</f>
        <v>0</v>
      </c>
      <c r="Z37" s="64">
        <f t="shared" si="3"/>
        <v>0</v>
      </c>
      <c r="AA37" s="30"/>
      <c r="AB37" s="48"/>
      <c r="AC37" s="48"/>
      <c r="AD37" s="48"/>
      <c r="AE37" s="60"/>
      <c r="AF37" s="60"/>
      <c r="AG37" s="74">
        <f t="shared" ref="AG37:AG44" si="8">O37-U37-W37</f>
        <v>0</v>
      </c>
      <c r="AH37" s="74">
        <f t="shared" ref="AH37:AH44" si="9">+AF37-AG37</f>
        <v>0</v>
      </c>
    </row>
    <row r="38" spans="2:34" ht="14.5">
      <c r="B38" s="58"/>
      <c r="C38" s="59"/>
      <c r="D38" s="60"/>
      <c r="E38" s="60"/>
      <c r="F38" s="61">
        <f t="shared" si="4"/>
        <v>0</v>
      </c>
      <c r="G38"/>
      <c r="H38" s="66"/>
      <c r="I38" s="66"/>
      <c r="J38" s="66"/>
      <c r="K38" s="66"/>
      <c r="L38" s="64"/>
      <c r="M38" s="64"/>
      <c r="N38" s="61">
        <f t="shared" si="5"/>
        <v>0</v>
      </c>
      <c r="O38" s="61">
        <f t="shared" si="6"/>
        <v>0</v>
      </c>
      <c r="P38" s="65">
        <f t="shared" si="0"/>
        <v>0</v>
      </c>
      <c r="Q38" s="30"/>
      <c r="R38" s="48"/>
      <c r="S38" s="60"/>
      <c r="T38" s="71"/>
      <c r="U38" s="64">
        <f t="shared" si="1"/>
        <v>0</v>
      </c>
      <c r="V38" s="72"/>
      <c r="W38" s="64">
        <f t="shared" si="2"/>
        <v>0</v>
      </c>
      <c r="X38" s="64"/>
      <c r="Y38" s="64">
        <f t="shared" si="7"/>
        <v>0</v>
      </c>
      <c r="Z38" s="64">
        <f t="shared" si="3"/>
        <v>0</v>
      </c>
      <c r="AA38" s="30"/>
      <c r="AB38" s="48"/>
      <c r="AC38" s="48"/>
      <c r="AD38" s="48"/>
      <c r="AE38" s="60"/>
      <c r="AF38" s="60"/>
      <c r="AG38" s="74">
        <f>O38-U38-W38</f>
        <v>0</v>
      </c>
      <c r="AH38" s="74">
        <f t="shared" si="9"/>
        <v>0</v>
      </c>
    </row>
    <row r="39" spans="2:34" ht="14.5">
      <c r="B39" s="58"/>
      <c r="C39" s="59"/>
      <c r="D39" s="60"/>
      <c r="E39" s="60"/>
      <c r="F39" s="61">
        <f t="shared" si="4"/>
        <v>0</v>
      </c>
      <c r="G39"/>
      <c r="H39" s="66"/>
      <c r="I39" s="66"/>
      <c r="J39" s="66"/>
      <c r="K39" s="66"/>
      <c r="L39" s="64"/>
      <c r="M39" s="64"/>
      <c r="N39" s="61">
        <f t="shared" si="5"/>
        <v>0</v>
      </c>
      <c r="O39" s="61">
        <f t="shared" si="6"/>
        <v>0</v>
      </c>
      <c r="P39" s="65">
        <f t="shared" si="0"/>
        <v>0</v>
      </c>
      <c r="Q39" s="30"/>
      <c r="R39" s="48"/>
      <c r="S39" s="60"/>
      <c r="T39" s="71"/>
      <c r="U39" s="64">
        <f t="shared" si="1"/>
        <v>0</v>
      </c>
      <c r="V39" s="72"/>
      <c r="W39" s="64">
        <f t="shared" si="2"/>
        <v>0</v>
      </c>
      <c r="X39" s="64"/>
      <c r="Y39" s="64">
        <f t="shared" si="7"/>
        <v>0</v>
      </c>
      <c r="Z39" s="64">
        <f t="shared" si="3"/>
        <v>0</v>
      </c>
      <c r="AA39" s="30"/>
      <c r="AB39" s="48"/>
      <c r="AC39" s="48"/>
      <c r="AD39" s="48"/>
      <c r="AE39" s="60"/>
      <c r="AF39" s="60"/>
      <c r="AG39" s="74">
        <f t="shared" si="8"/>
        <v>0</v>
      </c>
      <c r="AH39" s="74">
        <f t="shared" si="9"/>
        <v>0</v>
      </c>
    </row>
    <row r="40" spans="2:34" ht="14.5">
      <c r="B40" s="58"/>
      <c r="C40" s="59"/>
      <c r="D40" s="60"/>
      <c r="E40" s="60"/>
      <c r="F40" s="61">
        <f t="shared" si="4"/>
        <v>0</v>
      </c>
      <c r="G40"/>
      <c r="H40" s="66"/>
      <c r="I40" s="66"/>
      <c r="J40" s="66"/>
      <c r="K40" s="66"/>
      <c r="L40" s="64"/>
      <c r="M40" s="64"/>
      <c r="N40" s="61">
        <f t="shared" si="5"/>
        <v>0</v>
      </c>
      <c r="O40" s="61">
        <f t="shared" si="6"/>
        <v>0</v>
      </c>
      <c r="P40" s="65">
        <f t="shared" si="0"/>
        <v>0</v>
      </c>
      <c r="Q40" s="30"/>
      <c r="R40" s="48"/>
      <c r="S40" s="60"/>
      <c r="T40" s="71"/>
      <c r="U40" s="64">
        <f t="shared" si="1"/>
        <v>0</v>
      </c>
      <c r="V40" s="72"/>
      <c r="W40" s="64">
        <f t="shared" si="2"/>
        <v>0</v>
      </c>
      <c r="X40" s="64"/>
      <c r="Y40" s="64">
        <f t="shared" si="7"/>
        <v>0</v>
      </c>
      <c r="Z40" s="64">
        <f t="shared" si="3"/>
        <v>0</v>
      </c>
      <c r="AA40" s="30"/>
      <c r="AB40" s="48"/>
      <c r="AC40" s="48"/>
      <c r="AD40" s="48"/>
      <c r="AE40" s="60"/>
      <c r="AF40" s="60"/>
      <c r="AG40" s="74">
        <f t="shared" si="8"/>
        <v>0</v>
      </c>
      <c r="AH40" s="74">
        <f t="shared" si="9"/>
        <v>0</v>
      </c>
    </row>
    <row r="41" spans="2:34" ht="14.5">
      <c r="B41" s="58"/>
      <c r="C41" s="59"/>
      <c r="D41" s="60"/>
      <c r="E41" s="60"/>
      <c r="F41" s="61">
        <f t="shared" si="4"/>
        <v>0</v>
      </c>
      <c r="G41"/>
      <c r="H41" s="66"/>
      <c r="I41" s="66"/>
      <c r="J41" s="66"/>
      <c r="K41" s="66"/>
      <c r="L41" s="64"/>
      <c r="M41" s="64"/>
      <c r="N41" s="61">
        <f t="shared" si="5"/>
        <v>0</v>
      </c>
      <c r="O41" s="61">
        <f t="shared" si="6"/>
        <v>0</v>
      </c>
      <c r="P41" s="65">
        <f t="shared" si="0"/>
        <v>0</v>
      </c>
      <c r="Q41" s="30"/>
      <c r="R41" s="48"/>
      <c r="S41" s="60"/>
      <c r="T41" s="71"/>
      <c r="U41" s="64">
        <f t="shared" si="1"/>
        <v>0</v>
      </c>
      <c r="V41" s="72"/>
      <c r="W41" s="64">
        <f t="shared" si="2"/>
        <v>0</v>
      </c>
      <c r="X41" s="64"/>
      <c r="Y41" s="64">
        <f t="shared" si="7"/>
        <v>0</v>
      </c>
      <c r="Z41" s="64">
        <f t="shared" si="3"/>
        <v>0</v>
      </c>
      <c r="AA41" s="30"/>
      <c r="AB41" s="48"/>
      <c r="AC41" s="48"/>
      <c r="AD41" s="48"/>
      <c r="AE41" s="60"/>
      <c r="AF41" s="60"/>
      <c r="AG41" s="74">
        <f t="shared" si="8"/>
        <v>0</v>
      </c>
      <c r="AH41" s="74">
        <f t="shared" si="9"/>
        <v>0</v>
      </c>
    </row>
    <row r="42" spans="2:34" ht="14.5">
      <c r="B42" s="58"/>
      <c r="C42" s="59"/>
      <c r="D42" s="60"/>
      <c r="E42" s="60"/>
      <c r="F42" s="61">
        <f t="shared" si="4"/>
        <v>0</v>
      </c>
      <c r="G42"/>
      <c r="H42" s="66"/>
      <c r="I42" s="66"/>
      <c r="J42" s="66"/>
      <c r="K42" s="66"/>
      <c r="L42" s="64"/>
      <c r="M42" s="64"/>
      <c r="N42" s="61">
        <f t="shared" si="5"/>
        <v>0</v>
      </c>
      <c r="O42" s="61">
        <f t="shared" si="6"/>
        <v>0</v>
      </c>
      <c r="P42" s="65">
        <f t="shared" si="0"/>
        <v>0</v>
      </c>
      <c r="Q42" s="30"/>
      <c r="R42" s="48"/>
      <c r="S42" s="60"/>
      <c r="T42" s="71"/>
      <c r="U42" s="64">
        <f t="shared" si="1"/>
        <v>0</v>
      </c>
      <c r="V42" s="72"/>
      <c r="W42" s="64">
        <f t="shared" si="2"/>
        <v>0</v>
      </c>
      <c r="X42" s="64"/>
      <c r="Y42" s="64">
        <f t="shared" si="7"/>
        <v>0</v>
      </c>
      <c r="Z42" s="64">
        <f t="shared" si="3"/>
        <v>0</v>
      </c>
      <c r="AA42" s="30"/>
      <c r="AB42" s="48"/>
      <c r="AC42" s="48"/>
      <c r="AD42" s="48"/>
      <c r="AE42" s="60"/>
      <c r="AF42" s="60"/>
      <c r="AG42" s="74">
        <f t="shared" si="8"/>
        <v>0</v>
      </c>
      <c r="AH42" s="74">
        <f t="shared" si="9"/>
        <v>0</v>
      </c>
    </row>
    <row r="43" spans="2:34" ht="14.5">
      <c r="B43" s="58"/>
      <c r="C43" s="59"/>
      <c r="D43" s="60"/>
      <c r="E43" s="60"/>
      <c r="F43" s="61">
        <f t="shared" si="4"/>
        <v>0</v>
      </c>
      <c r="G43"/>
      <c r="H43" s="66"/>
      <c r="I43" s="66"/>
      <c r="J43" s="66"/>
      <c r="K43" s="66"/>
      <c r="L43" s="64"/>
      <c r="M43" s="64"/>
      <c r="N43" s="61">
        <f t="shared" si="5"/>
        <v>0</v>
      </c>
      <c r="O43" s="61">
        <f t="shared" si="6"/>
        <v>0</v>
      </c>
      <c r="P43" s="65">
        <f t="shared" si="0"/>
        <v>0</v>
      </c>
      <c r="Q43" s="30"/>
      <c r="R43" s="48"/>
      <c r="S43" s="60"/>
      <c r="T43" s="71"/>
      <c r="U43" s="64">
        <f t="shared" si="1"/>
        <v>0</v>
      </c>
      <c r="V43" s="72"/>
      <c r="W43" s="64">
        <f t="shared" si="2"/>
        <v>0</v>
      </c>
      <c r="X43" s="64"/>
      <c r="Y43" s="64">
        <f t="shared" si="7"/>
        <v>0</v>
      </c>
      <c r="Z43" s="64">
        <f t="shared" si="3"/>
        <v>0</v>
      </c>
      <c r="AA43" s="30"/>
      <c r="AB43" s="48"/>
      <c r="AC43" s="48"/>
      <c r="AD43" s="48"/>
      <c r="AE43" s="60"/>
      <c r="AF43" s="60"/>
      <c r="AG43" s="74">
        <f t="shared" si="8"/>
        <v>0</v>
      </c>
      <c r="AH43" s="74">
        <f t="shared" si="9"/>
        <v>0</v>
      </c>
    </row>
    <row r="44" spans="2:34" ht="14.5">
      <c r="B44" s="58"/>
      <c r="C44" s="59"/>
      <c r="D44" s="60"/>
      <c r="E44" s="60"/>
      <c r="F44" s="61">
        <f t="shared" si="4"/>
        <v>0</v>
      </c>
      <c r="G44"/>
      <c r="H44" s="66"/>
      <c r="I44" s="66"/>
      <c r="J44" s="66"/>
      <c r="K44" s="66"/>
      <c r="L44" s="64"/>
      <c r="M44" s="64"/>
      <c r="N44" s="61">
        <f t="shared" si="5"/>
        <v>0</v>
      </c>
      <c r="O44" s="61">
        <f t="shared" si="6"/>
        <v>0</v>
      </c>
      <c r="P44" s="65">
        <f t="shared" si="0"/>
        <v>0</v>
      </c>
      <c r="Q44" s="30"/>
      <c r="R44" s="48"/>
      <c r="S44" s="60"/>
      <c r="T44" s="71"/>
      <c r="U44" s="64">
        <f t="shared" si="1"/>
        <v>0</v>
      </c>
      <c r="V44" s="72"/>
      <c r="W44" s="64">
        <f t="shared" si="2"/>
        <v>0</v>
      </c>
      <c r="X44" s="64"/>
      <c r="Y44" s="64">
        <f t="shared" si="7"/>
        <v>0</v>
      </c>
      <c r="Z44" s="64">
        <f t="shared" si="3"/>
        <v>0</v>
      </c>
      <c r="AA44" s="30"/>
      <c r="AB44" s="48"/>
      <c r="AC44" s="48"/>
      <c r="AD44" s="48"/>
      <c r="AE44" s="60"/>
      <c r="AF44" s="60"/>
      <c r="AG44" s="74">
        <f t="shared" si="8"/>
        <v>0</v>
      </c>
      <c r="AH44" s="74">
        <f t="shared" si="9"/>
        <v>0</v>
      </c>
    </row>
    <row r="45" spans="2:34" ht="8.5" customHeight="1">
      <c r="B45" s="36"/>
      <c r="C45" s="37"/>
      <c r="D45" s="38"/>
      <c r="E45" s="38"/>
      <c r="F45" s="40"/>
      <c r="G45"/>
      <c r="H45"/>
      <c r="I45"/>
      <c r="J45"/>
      <c r="K45"/>
      <c r="L45" s="40"/>
      <c r="M45" s="40"/>
      <c r="N45" s="40"/>
      <c r="O45" s="39"/>
      <c r="P45" s="41"/>
      <c r="Q45" s="30"/>
      <c r="R45" s="30"/>
      <c r="S45" s="38"/>
      <c r="T45" s="42"/>
      <c r="U45" s="40"/>
      <c r="V45" s="43"/>
      <c r="W45" s="40"/>
      <c r="X45" s="40"/>
      <c r="Y45" s="40"/>
      <c r="Z45" s="40"/>
      <c r="AA45" s="30"/>
      <c r="AB45" s="30"/>
      <c r="AC45" s="30"/>
      <c r="AD45" s="30"/>
      <c r="AE45" s="38"/>
      <c r="AF45" s="38"/>
      <c r="AG45" s="38"/>
      <c r="AH45" s="15"/>
    </row>
    <row r="46" spans="2:34" ht="15" thickBot="1">
      <c r="B46" s="36"/>
      <c r="C46" s="37"/>
      <c r="D46" s="38"/>
      <c r="E46" s="38"/>
      <c r="F46" s="44">
        <f>+SUM(F36:F44)</f>
        <v>0</v>
      </c>
      <c r="G46" s="30"/>
      <c r="H46" s="36"/>
      <c r="I46" s="30"/>
      <c r="J46" s="38"/>
      <c r="K46" s="30"/>
      <c r="L46" s="40"/>
      <c r="M46" s="40"/>
      <c r="N46" s="40"/>
      <c r="O46" s="39"/>
      <c r="P46" s="41"/>
      <c r="Q46" s="30"/>
      <c r="R46" s="30"/>
      <c r="S46" s="38"/>
      <c r="T46" s="42"/>
      <c r="U46" s="40"/>
      <c r="V46" s="43"/>
      <c r="W46" s="40"/>
      <c r="X46" s="40"/>
      <c r="Y46" s="40"/>
      <c r="Z46" s="40"/>
      <c r="AA46" s="30"/>
      <c r="AB46" s="30"/>
      <c r="AC46" s="30"/>
      <c r="AD46" s="30"/>
      <c r="AE46" s="38"/>
      <c r="AF46" s="38"/>
      <c r="AG46" s="38"/>
      <c r="AH46" s="15"/>
    </row>
    <row r="47" spans="2:34" ht="13" thickTop="1">
      <c r="F47" s="29" t="s">
        <v>76</v>
      </c>
    </row>
    <row r="49" spans="1:3">
      <c r="A49" s="30"/>
      <c r="B49" s="45" t="s">
        <v>17</v>
      </c>
      <c r="C49" s="14"/>
    </row>
    <row r="50" spans="1:3" s="47" customFormat="1" ht="7" customHeight="1">
      <c r="B50" s="45"/>
      <c r="C50" s="14"/>
    </row>
    <row r="51" spans="1:3">
      <c r="A51" s="16"/>
      <c r="B51" s="14" t="s">
        <v>90</v>
      </c>
      <c r="C51" s="30"/>
    </row>
    <row r="52" spans="1:3">
      <c r="A52" s="16"/>
      <c r="B52" s="14" t="s">
        <v>91</v>
      </c>
      <c r="C52" s="30"/>
    </row>
    <row r="53" spans="1:3">
      <c r="A53" s="16"/>
      <c r="B53" s="14" t="s">
        <v>92</v>
      </c>
      <c r="C53" s="30"/>
    </row>
    <row r="54" spans="1:3" ht="13">
      <c r="A54" s="46"/>
      <c r="B54" s="30" t="s">
        <v>35</v>
      </c>
      <c r="C54" s="30"/>
    </row>
    <row r="55" spans="1:3" ht="13">
      <c r="A55" s="46"/>
      <c r="B55" s="30"/>
      <c r="C55" s="30"/>
    </row>
    <row r="56" spans="1:3">
      <c r="A56" s="50"/>
      <c r="B56" s="19" t="s">
        <v>88</v>
      </c>
      <c r="C56" s="30"/>
    </row>
    <row r="57" spans="1:3" ht="7" customHeight="1">
      <c r="A57" s="50"/>
      <c r="B57" s="19"/>
      <c r="C57" s="30"/>
    </row>
    <row r="58" spans="1:3">
      <c r="A58" s="50" t="s">
        <v>38</v>
      </c>
      <c r="B58" s="19"/>
    </row>
    <row r="59" spans="1:3">
      <c r="A59" s="50" t="s">
        <v>39</v>
      </c>
      <c r="B59" s="19"/>
    </row>
    <row r="60" spans="1:3">
      <c r="A60" s="50" t="s">
        <v>40</v>
      </c>
      <c r="B60" s="19"/>
    </row>
    <row r="61" spans="1:3">
      <c r="A61" s="50"/>
      <c r="B61" s="19"/>
    </row>
    <row r="62" spans="1:3">
      <c r="A62" s="50"/>
      <c r="B62" s="19" t="s">
        <v>41</v>
      </c>
    </row>
    <row r="63" spans="1:3" ht="7" customHeight="1">
      <c r="A63" s="50"/>
      <c r="B63" s="19"/>
    </row>
    <row r="64" spans="1:3">
      <c r="A64" s="50" t="s">
        <v>42</v>
      </c>
      <c r="B64" s="19"/>
    </row>
    <row r="65" spans="1:2">
      <c r="A65" s="50" t="s">
        <v>43</v>
      </c>
      <c r="B65" s="19"/>
    </row>
    <row r="66" spans="1:2">
      <c r="A66" s="50" t="s">
        <v>44</v>
      </c>
      <c r="B66" s="19"/>
    </row>
    <row r="67" spans="1:2">
      <c r="A67" s="50"/>
      <c r="B67" s="51"/>
    </row>
    <row r="68" spans="1:2">
      <c r="A68" s="50"/>
      <c r="B68" s="19" t="s">
        <v>45</v>
      </c>
    </row>
    <row r="69" spans="1:2" ht="7" customHeight="1">
      <c r="A69" s="50"/>
      <c r="B69" s="19"/>
    </row>
    <row r="70" spans="1:2">
      <c r="A70" s="50" t="s">
        <v>46</v>
      </c>
      <c r="B70" s="19"/>
    </row>
    <row r="71" spans="1:2">
      <c r="A71" s="50" t="s">
        <v>47</v>
      </c>
      <c r="B71" s="19"/>
    </row>
    <row r="72" spans="1:2">
      <c r="A72" s="50" t="s">
        <v>48</v>
      </c>
      <c r="B72" s="19"/>
    </row>
    <row r="73" spans="1:2">
      <c r="A73" s="50"/>
      <c r="B73" s="51"/>
    </row>
    <row r="74" spans="1:2">
      <c r="A74" s="47"/>
      <c r="B74" s="19" t="s">
        <v>14</v>
      </c>
    </row>
    <row r="75" spans="1:2" s="47" customFormat="1" ht="7" customHeight="1">
      <c r="B75" s="19"/>
    </row>
    <row r="76" spans="1:2">
      <c r="B76" s="34" t="s">
        <v>77</v>
      </c>
    </row>
  </sheetData>
  <mergeCells count="12">
    <mergeCell ref="AB33:AH33"/>
    <mergeCell ref="B34:F34"/>
    <mergeCell ref="H34:O34"/>
    <mergeCell ref="R34:W34"/>
    <mergeCell ref="X34:Z34"/>
    <mergeCell ref="B33:F33"/>
    <mergeCell ref="H33:K33"/>
    <mergeCell ref="L33:P33"/>
    <mergeCell ref="R33:Z33"/>
    <mergeCell ref="P34:P35"/>
    <mergeCell ref="AB34:AF34"/>
    <mergeCell ref="AG34:AH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1600.04.01</vt:lpstr>
      <vt:lpstr>1600.04.02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2023-03-08T05:39:14Z</dcterms:created>
  <dcterms:modified xsi:type="dcterms:W3CDTF">2026-04-17T03:50:20Z</dcterms:modified>
</cp:coreProperties>
</file>