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5. Gastos\Nómina\"/>
    </mc:Choice>
  </mc:AlternateContent>
  <xr:revisionPtr revIDLastSave="0" documentId="13_ncr:1_{79CFA9A2-CB9B-42B1-B89B-94FB69946A36}" xr6:coauthVersionLast="47" xr6:coauthVersionMax="47" xr10:uidLastSave="{00000000-0000-0000-0000-000000000000}"/>
  <bookViews>
    <workbookView xWindow="-110" yWindow="-110" windowWidth="19420" windowHeight="10300" xr2:uid="{7C64D4A6-8583-45B5-8F47-8D55DAEC3FA1}"/>
  </bookViews>
  <sheets>
    <sheet name="1600.07" sheetId="1" r:id="rId1"/>
    <sheet name="Planillas IESS" sheetId="2" r:id="rId2"/>
    <sheet name="Roles de pag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1" i="1" l="1"/>
  <c r="AG38" i="1"/>
  <c r="AG49" i="1" l="1"/>
  <c r="AG48" i="1"/>
  <c r="AG47" i="1"/>
  <c r="AG46" i="1"/>
  <c r="AG45" i="1"/>
  <c r="AG44" i="1"/>
  <c r="AG43" i="1"/>
  <c r="AG42" i="1"/>
  <c r="AG41" i="1"/>
  <c r="AG40" i="1"/>
  <c r="AG39" i="1"/>
  <c r="AN38" i="1" l="1"/>
  <c r="AI38" i="1" l="1"/>
  <c r="U49" i="1"/>
  <c r="U48" i="1"/>
  <c r="U47" i="1"/>
  <c r="U46" i="1"/>
  <c r="U45" i="1"/>
  <c r="U44" i="1"/>
  <c r="U43" i="1"/>
  <c r="U42" i="1"/>
  <c r="U41" i="1"/>
  <c r="U40" i="1"/>
  <c r="U39" i="1"/>
  <c r="U38" i="1"/>
  <c r="L38" i="1"/>
  <c r="T51" i="1"/>
  <c r="L49" i="1"/>
  <c r="L48" i="1"/>
  <c r="L47" i="1"/>
  <c r="L46" i="1"/>
  <c r="L45" i="1"/>
  <c r="L44" i="1"/>
  <c r="L43" i="1"/>
  <c r="L42" i="1"/>
  <c r="L41" i="1"/>
  <c r="L40" i="1"/>
  <c r="L39" i="1"/>
  <c r="F74" i="1"/>
  <c r="E74" i="1" s="1"/>
  <c r="AB51" i="1"/>
  <c r="C51" i="1"/>
  <c r="AN49" i="1"/>
  <c r="AN48" i="1"/>
  <c r="AN47" i="1"/>
  <c r="AN46" i="1"/>
  <c r="AN45" i="1"/>
  <c r="AN44" i="1"/>
  <c r="AN43" i="1"/>
  <c r="AN42" i="1"/>
  <c r="AN41" i="1"/>
  <c r="AN40" i="1"/>
  <c r="AN39" i="1"/>
  <c r="AI49" i="1"/>
  <c r="AI48" i="1"/>
  <c r="AI47" i="1"/>
  <c r="AI46" i="1"/>
  <c r="AI45" i="1"/>
  <c r="AI44" i="1"/>
  <c r="AI43" i="1"/>
  <c r="AI42" i="1"/>
  <c r="AI41" i="1"/>
  <c r="AI40" i="1"/>
  <c r="AI39" i="1"/>
  <c r="AG51" i="1"/>
  <c r="AC51" i="1"/>
  <c r="X49" i="1"/>
  <c r="Y49" i="1" s="1"/>
  <c r="AK49" i="1" s="1"/>
  <c r="X48" i="1"/>
  <c r="Z48" i="1" s="1"/>
  <c r="X47" i="1"/>
  <c r="Y47" i="1" s="1"/>
  <c r="AK47" i="1" s="1"/>
  <c r="X46" i="1"/>
  <c r="AJ46" i="1" s="1"/>
  <c r="X45" i="1"/>
  <c r="Y45" i="1" s="1"/>
  <c r="AK45" i="1" s="1"/>
  <c r="X44" i="1"/>
  <c r="Z44" i="1" s="1"/>
  <c r="X43" i="1"/>
  <c r="Y43" i="1" s="1"/>
  <c r="AK43" i="1" s="1"/>
  <c r="X42" i="1"/>
  <c r="AJ42" i="1" s="1"/>
  <c r="X41" i="1"/>
  <c r="Y41" i="1" s="1"/>
  <c r="AK41" i="1" s="1"/>
  <c r="X40" i="1"/>
  <c r="Y40" i="1" s="1"/>
  <c r="AK40" i="1" s="1"/>
  <c r="X39" i="1"/>
  <c r="Z39" i="1" s="1"/>
  <c r="X38" i="1"/>
  <c r="Z38" i="1" s="1"/>
  <c r="P51" i="1"/>
  <c r="Q51" i="1"/>
  <c r="E51" i="1"/>
  <c r="D51" i="1"/>
  <c r="V40" i="1" l="1"/>
  <c r="V44" i="1"/>
  <c r="V48" i="1"/>
  <c r="V42" i="1"/>
  <c r="V46" i="1"/>
  <c r="V39" i="1"/>
  <c r="V43" i="1"/>
  <c r="V47" i="1"/>
  <c r="V38" i="1"/>
  <c r="V41" i="1"/>
  <c r="V45" i="1"/>
  <c r="V49" i="1"/>
  <c r="U51" i="1"/>
  <c r="AJ38" i="1"/>
  <c r="F62" i="1"/>
  <c r="E62" i="1" s="1"/>
  <c r="F72" i="1"/>
  <c r="E72" i="1" s="1"/>
  <c r="AI51" i="1"/>
  <c r="Y44" i="1"/>
  <c r="AK44" i="1" s="1"/>
  <c r="AM44" i="1"/>
  <c r="AP41" i="1"/>
  <c r="AP45" i="1"/>
  <c r="Z49" i="1"/>
  <c r="AM48" i="1"/>
  <c r="AQ48" i="1" s="1"/>
  <c r="AO39" i="1"/>
  <c r="AP49" i="1"/>
  <c r="F73" i="1" s="1"/>
  <c r="E73" i="1" s="1"/>
  <c r="AJ45" i="1"/>
  <c r="AM40" i="1"/>
  <c r="AO43" i="1"/>
  <c r="AO46" i="1"/>
  <c r="Z40" i="1"/>
  <c r="Z45" i="1"/>
  <c r="AJ40" i="1"/>
  <c r="AJ49" i="1"/>
  <c r="AO38" i="1"/>
  <c r="AM41" i="1"/>
  <c r="AQ41" i="1" s="1"/>
  <c r="AM45" i="1"/>
  <c r="AM49" i="1"/>
  <c r="AO47" i="1"/>
  <c r="AO40" i="1"/>
  <c r="AP38" i="1"/>
  <c r="AP42" i="1"/>
  <c r="AP46" i="1"/>
  <c r="Z41" i="1"/>
  <c r="Z47" i="1"/>
  <c r="AM38" i="1"/>
  <c r="AM42" i="1"/>
  <c r="AM46" i="1"/>
  <c r="AQ46" i="1" s="1"/>
  <c r="AO44" i="1"/>
  <c r="AO48" i="1"/>
  <c r="AO41" i="1"/>
  <c r="AP39" i="1"/>
  <c r="AP43" i="1"/>
  <c r="AP47" i="1"/>
  <c r="Z43" i="1"/>
  <c r="Y48" i="1"/>
  <c r="AK48" i="1" s="1"/>
  <c r="AJ41" i="1"/>
  <c r="AM39" i="1"/>
  <c r="AM43" i="1"/>
  <c r="AM47" i="1"/>
  <c r="AQ47" i="1" s="1"/>
  <c r="AO45" i="1"/>
  <c r="AO49" i="1"/>
  <c r="AO42" i="1"/>
  <c r="AP40" i="1"/>
  <c r="AP44" i="1"/>
  <c r="AP48" i="1"/>
  <c r="Y38" i="1"/>
  <c r="AK38" i="1" s="1"/>
  <c r="Y46" i="1"/>
  <c r="AK46" i="1" s="1"/>
  <c r="Y39" i="1"/>
  <c r="AK39" i="1" s="1"/>
  <c r="AJ44" i="1"/>
  <c r="AJ48" i="1"/>
  <c r="Y42" i="1"/>
  <c r="AK42" i="1" s="1"/>
  <c r="Z42" i="1"/>
  <c r="Z46" i="1"/>
  <c r="AJ39" i="1"/>
  <c r="AJ43" i="1"/>
  <c r="AJ47" i="1"/>
  <c r="AQ42" i="1" l="1"/>
  <c r="AQ45" i="1"/>
  <c r="AQ40" i="1"/>
  <c r="AQ44" i="1"/>
  <c r="AQ43" i="1"/>
  <c r="AQ39" i="1"/>
  <c r="AQ38" i="1"/>
  <c r="E71" i="1"/>
  <c r="AQ49" i="1"/>
  <c r="V51" i="1"/>
  <c r="AK51" i="1"/>
  <c r="AJ51" i="1"/>
  <c r="AP51" i="1" l="1"/>
  <c r="F66" i="1" s="1"/>
  <c r="E66" i="1" s="1"/>
  <c r="AM51" i="1"/>
  <c r="F63" i="1" s="1"/>
  <c r="E63" i="1" s="1"/>
  <c r="AO51" i="1"/>
  <c r="F65" i="1" s="1"/>
  <c r="E65" i="1" s="1"/>
  <c r="AN51" i="1"/>
  <c r="F64" i="1" s="1"/>
  <c r="E64" i="1" s="1"/>
  <c r="AQ51" i="1" l="1"/>
  <c r="X51" i="1" l="1"/>
  <c r="Y51" i="1"/>
  <c r="Z51" i="1"/>
</calcChain>
</file>

<file path=xl/sharedStrings.xml><?xml version="1.0" encoding="utf-8"?>
<sst xmlns="http://schemas.openxmlformats.org/spreadsheetml/2006/main" count="132" uniqueCount="109">
  <si>
    <t>Preparado por:</t>
  </si>
  <si>
    <t>Revisado por:</t>
  </si>
  <si>
    <t>Ref.</t>
  </si>
  <si>
    <t>XX</t>
  </si>
  <si>
    <t xml:space="preserve">COMPAÑÍA MODELO S.A. </t>
  </si>
  <si>
    <t>AL 31 DE DICIEMBRE DE 20XX</t>
  </si>
  <si>
    <t>Objetivo:</t>
  </si>
  <si>
    <t>Base de decisión: Materialidad</t>
  </si>
  <si>
    <t>Preliminar</t>
  </si>
  <si>
    <t>General</t>
  </si>
  <si>
    <t>XXX.XXX</t>
  </si>
  <si>
    <t>Desempeño</t>
  </si>
  <si>
    <t>Errores Triviales</t>
  </si>
  <si>
    <t>Procedimientos:</t>
  </si>
  <si>
    <t>1.-</t>
  </si>
  <si>
    <t>2.-</t>
  </si>
  <si>
    <t>3.-</t>
  </si>
  <si>
    <t>4.-</t>
  </si>
  <si>
    <t>5.-</t>
  </si>
  <si>
    <t xml:space="preserve">Final </t>
  </si>
  <si>
    <t xml:space="preserve">Desarrollo: </t>
  </si>
  <si>
    <t>Sueldo</t>
  </si>
  <si>
    <t>Total aportes</t>
  </si>
  <si>
    <t xml:space="preserve">CONCILIACIÓN DE NÓMINA </t>
  </si>
  <si>
    <t xml:space="preserve"> </t>
  </si>
  <si>
    <t>FECHA DE CORTE: _/_/20XX</t>
  </si>
  <si>
    <t xml:space="preserve">Documentar el papel de trabajo y concluir en base al objetivo. </t>
  </si>
  <si>
    <t>Aportes</t>
  </si>
  <si>
    <t>Diferencias</t>
  </si>
  <si>
    <t xml:space="preserve">Cruce con estados financieros </t>
  </si>
  <si>
    <t xml:space="preserve">Código cuenta contable </t>
  </si>
  <si>
    <t xml:space="preserve">Nombre cuenta contable </t>
  </si>
  <si>
    <t>Saldo según EEFF al _/_/20XX</t>
  </si>
  <si>
    <t>[1]</t>
  </si>
  <si>
    <t>Saldo según roles de pago</t>
  </si>
  <si>
    <t>[2]</t>
  </si>
  <si>
    <t>***Incluir las planillas del IESS consolidadas proporcioandas por la Compañía y sobre las que se hicieron los cálculos en p/t 1600.07</t>
  </si>
  <si>
    <t>Marcas de auditoría:</t>
  </si>
  <si>
    <t xml:space="preserve">Sumatoria </t>
  </si>
  <si>
    <t>Información proporcionada por el cliente</t>
  </si>
  <si>
    <t>Cálculos de Auditoría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</si>
  <si>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</si>
  <si>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</si>
  <si>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</si>
  <si>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</si>
  <si>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</si>
  <si>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</si>
  <si>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</si>
  <si>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</si>
  <si>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</si>
  <si>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</si>
  <si>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</si>
  <si>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Conclusión:</t>
  </si>
  <si>
    <t>***Concluir en función al objetivo</t>
  </si>
  <si>
    <t>Mes</t>
  </si>
  <si>
    <t>Verificaciones:</t>
  </si>
  <si>
    <t>Determinar la razonabilidad de los gastos de nómina al _/_/20XX.</t>
  </si>
  <si>
    <t>Solicitar a la Compañía los roles de pago del año 20XX.</t>
  </si>
  <si>
    <t>Solicitar a la Compañía las planillas del IESS consolidadas del año 20XX.</t>
  </si>
  <si>
    <t>Realizar un cruce de roles de pago con estados financieros al _/_/20XX</t>
  </si>
  <si>
    <t>Cruzar roles de pagos con planillas del IESS al _/_/20XX</t>
  </si>
  <si>
    <t>Rol de pagos</t>
  </si>
  <si>
    <t xml:space="preserve">Horas extras </t>
  </si>
  <si>
    <t>Bonos</t>
  </si>
  <si>
    <t>Vacaciones</t>
  </si>
  <si>
    <t>Aumento de sueldo</t>
  </si>
  <si>
    <t>Fondos de reserva</t>
  </si>
  <si>
    <t>Total ingresos</t>
  </si>
  <si>
    <t>Aporte patronal</t>
  </si>
  <si>
    <t>Anticipos</t>
  </si>
  <si>
    <t>Impuesto a la renta</t>
  </si>
  <si>
    <t>Préstamos hipotecarios</t>
  </si>
  <si>
    <t>Préstamos quirografarios</t>
  </si>
  <si>
    <t>Seguro médico</t>
  </si>
  <si>
    <t>Subsidios</t>
  </si>
  <si>
    <t>Base imponible</t>
  </si>
  <si>
    <t>***Los porcentajes de aportación se aplicarán de acuerdo a la relación de trabajo: Código de Trabajo y/o LOSEP</t>
  </si>
  <si>
    <t>Planillas de aportes IESS</t>
  </si>
  <si>
    <t>Aportes según Código de Trabajo 
20,6%</t>
  </si>
  <si>
    <t>Aportes según LOSEP 
22,6%</t>
  </si>
  <si>
    <t>Décimo tercero</t>
  </si>
  <si>
    <t>Décimo cuarto</t>
  </si>
  <si>
    <t>*** El detalle varía de acuerdo al cliente.</t>
  </si>
  <si>
    <t xml:space="preserve">1) Cruce de rol de pagos vs estado de resultados </t>
  </si>
  <si>
    <t>Diferencia</t>
  </si>
  <si>
    <t>[3]</t>
  </si>
  <si>
    <t>[4]</t>
  </si>
  <si>
    <t>[5]</t>
  </si>
  <si>
    <t>[6]</t>
  </si>
  <si>
    <t>Décimo tercer sueldo mensual</t>
  </si>
  <si>
    <t>Décimo cuarto sueldo mensual</t>
  </si>
  <si>
    <t>Fondos de reserva mensual</t>
  </si>
  <si>
    <t>Fondos de reserva acumulados</t>
  </si>
  <si>
    <t xml:space="preserve">2) Cruce de rol de pagos vs estado de situación financiera </t>
  </si>
  <si>
    <t>Recálculo Beneficios</t>
  </si>
  <si>
    <t>Neto a recibir</t>
  </si>
  <si>
    <t>Total egresos</t>
  </si>
  <si>
    <t>***Incluir los roles de pago proporcionados por la Compañía</t>
  </si>
  <si>
    <t>1600.07</t>
  </si>
  <si>
    <t>***En el caso de tener trabajadores en las tres regiones del país, insertar una columna para diferenciar la cantidad de trabajadores de la (Sierra/Amazonía) o (Costa).</t>
  </si>
  <si>
    <t>*** En el caso de tener trabajadores en las tres regiones del país: Costa, Sierra y Amazonía, insertar columnas para el cálculo del décimo cuarto, con el fin de verificar la provisión de manera exacta.</t>
  </si>
  <si>
    <t>Art. 196.- Derecho al fondo de reserva. Todo trabajador que preste servicios por más de un año tiene derecho a que el empleador le abone una suma equivalente a un mes de sueldo o salario por cada año completo posterior al primero de sus servicios. Estas sumas constituirán su fondo de reserva o trabajo capitalizado.</t>
  </si>
  <si>
    <t xml:space="preserve">***Dentro del mismo rol de pagos se insertará una columna con el objetivo de verificar que los empleados que han cumplido un año tienen derecho a fondos de reserva, según lo establece el Art.196 del Código de Trabajo. </t>
  </si>
  <si>
    <t>Base Legal</t>
  </si>
  <si>
    <t>Total</t>
  </si>
  <si>
    <t>Aporte personal</t>
  </si>
  <si>
    <t>Valor CCC</t>
  </si>
  <si>
    <t>Nro. de trabajadores</t>
  </si>
  <si>
    <t>Recálculo aportes IESS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</si>
</sst>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-* #,##0.00_-;\-* #,##0.00_-;_-* &quot;-&quot;??_-;_-@_-"/>
    <numFmt numFmtId="165" formatCode="_(* #,##0_);_(* \(#,##0\);_(* &quot;-&quot;??_);_(@_)"/>
    <numFmt numFmtId="166" formatCode="_(* #,##0_);_(* \(#,##0\);_(* &quot;-&quot;_);_(@_)"/>
    <numFmt numFmtId="167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color rgb="FF002060"/>
      <name val="Tahoma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b/>
      <sz val="10"/>
      <color indexed="50"/>
      <name val="Tahoma"/>
      <family val="2"/>
    </font>
    <font>
      <b/>
      <sz val="10"/>
      <name val="Tahoma"/>
      <family val="2"/>
    </font>
    <font>
      <sz val="11"/>
      <color indexed="8"/>
      <name val="Calibri"/>
      <family val="2"/>
    </font>
    <font>
      <b/>
      <u/>
      <sz val="10"/>
      <color rgb="FF0000FF"/>
      <name val="Tahoma"/>
      <family val="2"/>
    </font>
    <font>
      <b/>
      <u/>
      <sz val="10"/>
      <color theme="8" tint="-0.249977111117893"/>
      <name val="Tahoma"/>
      <family val="2"/>
    </font>
    <font>
      <sz val="10"/>
      <color rgb="FF000000"/>
      <name val="Tahoma"/>
      <family val="2"/>
    </font>
    <font>
      <sz val="10"/>
      <color rgb="FF002060"/>
      <name val="Tahoma"/>
      <family val="2"/>
    </font>
    <font>
      <sz val="10"/>
      <color rgb="FFFF0000"/>
      <name val="Tahoma"/>
      <family val="2"/>
    </font>
    <font>
      <sz val="9"/>
      <color theme="1"/>
      <name val="Trebuchet MS"/>
      <family val="2"/>
    </font>
    <font>
      <b/>
      <u/>
      <sz val="10"/>
      <color theme="1"/>
      <name val="Tahoma"/>
      <family val="2"/>
    </font>
    <font>
      <b/>
      <sz val="10"/>
      <color indexed="8"/>
      <name val="Tahoma"/>
      <family val="2"/>
    </font>
    <font>
      <b/>
      <sz val="10"/>
      <color rgb="FF0000FF"/>
      <name val="Tahoma"/>
      <family val="2"/>
    </font>
    <font>
      <sz val="11"/>
      <color rgb="FFFF0000"/>
      <name val="Tahoma"/>
      <family val="2"/>
    </font>
    <font>
      <b/>
      <sz val="10"/>
      <color theme="0"/>
      <name val="Tahoma"/>
      <family val="2"/>
    </font>
    <font>
      <b/>
      <u/>
      <sz val="1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11" fillId="0" borderId="0"/>
    <xf numFmtId="0" fontId="11" fillId="0" borderId="0"/>
    <xf numFmtId="0" fontId="1" fillId="0" borderId="0"/>
    <xf numFmtId="0" fontId="6" fillId="0" borderId="0"/>
    <xf numFmtId="164" fontId="11" fillId="0" borderId="0" applyFont="0" applyFill="0" applyBorder="0" applyAlignment="0" applyProtection="0"/>
    <xf numFmtId="0" fontId="17" fillId="0" borderId="0"/>
    <xf numFmtId="43" fontId="1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/>
    <xf numFmtId="0" fontId="4" fillId="3" borderId="1" xfId="0" applyFont="1" applyFill="1" applyBorder="1" applyAlignment="1" applyProtection="1">
      <alignment horizontal="center" vertical="center"/>
      <protection hidden="1"/>
    </xf>
    <xf numFmtId="0" fontId="4" fillId="3" borderId="2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>
      <alignment vertical="center"/>
    </xf>
    <xf numFmtId="0" fontId="7" fillId="2" borderId="2" xfId="2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7" fontId="7" fillId="4" borderId="0" xfId="3" quotePrefix="1" applyNumberFormat="1" applyFont="1" applyFill="1" applyAlignment="1">
      <alignment horizontal="left" vertical="center"/>
    </xf>
    <xf numFmtId="0" fontId="4" fillId="2" borderId="0" xfId="0" applyFont="1" applyFill="1" applyAlignment="1" applyProtection="1">
      <alignment horizontal="left" vertical="center"/>
      <protection hidden="1"/>
    </xf>
    <xf numFmtId="15" fontId="7" fillId="5" borderId="0" xfId="3" applyNumberFormat="1" applyFont="1" applyFill="1" applyAlignment="1">
      <alignment horizontal="left" vertical="center"/>
    </xf>
    <xf numFmtId="0" fontId="9" fillId="5" borderId="0" xfId="3" applyFont="1" applyFill="1" applyAlignment="1">
      <alignment horizontal="left" vertical="center"/>
    </xf>
    <xf numFmtId="0" fontId="10" fillId="6" borderId="0" xfId="3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left" vertical="top"/>
    </xf>
    <xf numFmtId="0" fontId="3" fillId="0" borderId="3" xfId="0" applyFont="1" applyBorder="1"/>
    <xf numFmtId="0" fontId="12" fillId="0" borderId="0" xfId="4" applyFont="1"/>
    <xf numFmtId="0" fontId="13" fillId="0" borderId="0" xfId="4" applyFont="1"/>
    <xf numFmtId="0" fontId="12" fillId="4" borderId="0" xfId="4" applyFont="1" applyFill="1"/>
    <xf numFmtId="0" fontId="14" fillId="0" borderId="0" xfId="2" applyFont="1"/>
    <xf numFmtId="0" fontId="15" fillId="0" borderId="0" xfId="0" applyFont="1" applyAlignment="1">
      <alignment horizontal="right"/>
    </xf>
    <xf numFmtId="165" fontId="3" fillId="0" borderId="2" xfId="1" applyNumberFormat="1" applyFont="1" applyBorder="1" applyAlignment="1">
      <alignment vertical="center"/>
    </xf>
    <xf numFmtId="165" fontId="3" fillId="0" borderId="2" xfId="1" applyNumberFormat="1" applyFont="1" applyFill="1" applyBorder="1" applyAlignment="1">
      <alignment vertical="center"/>
    </xf>
    <xf numFmtId="0" fontId="3" fillId="0" borderId="2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2" xfId="6" applyFont="1" applyFill="1" applyBorder="1" applyAlignment="1">
      <alignment horizontal="center" vertical="center" wrapText="1"/>
    </xf>
    <xf numFmtId="164" fontId="3" fillId="0" borderId="4" xfId="1" applyFont="1" applyBorder="1"/>
    <xf numFmtId="164" fontId="3" fillId="0" borderId="0" xfId="1" applyFont="1"/>
    <xf numFmtId="0" fontId="4" fillId="8" borderId="2" xfId="0" applyFont="1" applyFill="1" applyBorder="1" applyAlignment="1">
      <alignment horizontal="center" vertical="center" wrapText="1"/>
    </xf>
    <xf numFmtId="0" fontId="18" fillId="2" borderId="0" xfId="5" applyFont="1" applyFill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0" borderId="2" xfId="2" applyFont="1" applyBorder="1" applyAlignment="1">
      <alignment horizontal="center"/>
    </xf>
    <xf numFmtId="164" fontId="4" fillId="3" borderId="2" xfId="1" applyFont="1" applyFill="1" applyBorder="1" applyAlignment="1">
      <alignment horizontal="center" vertical="center" wrapText="1"/>
    </xf>
    <xf numFmtId="165" fontId="5" fillId="0" borderId="4" xfId="0" applyNumberFormat="1" applyFont="1" applyBorder="1"/>
    <xf numFmtId="165" fontId="3" fillId="0" borderId="2" xfId="0" applyNumberFormat="1" applyFont="1" applyBorder="1" applyAlignment="1">
      <alignment vertical="center"/>
    </xf>
    <xf numFmtId="0" fontId="15" fillId="0" borderId="0" xfId="0" applyFont="1"/>
    <xf numFmtId="0" fontId="5" fillId="0" borderId="0" xfId="0" applyFont="1"/>
    <xf numFmtId="0" fontId="15" fillId="0" borderId="0" xfId="0" applyFont="1" applyAlignment="1">
      <alignment vertical="center"/>
    </xf>
    <xf numFmtId="0" fontId="20" fillId="2" borderId="0" xfId="12" applyFont="1" applyFill="1" applyAlignment="1">
      <alignment horizontal="left"/>
    </xf>
    <xf numFmtId="0" fontId="16" fillId="2" borderId="0" xfId="0" applyFont="1" applyFill="1" applyAlignment="1">
      <alignment horizontal="right" vertical="center" wrapText="1"/>
    </xf>
    <xf numFmtId="0" fontId="19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1" fillId="0" borderId="0" xfId="0" applyFont="1"/>
    <xf numFmtId="0" fontId="12" fillId="2" borderId="0" xfId="12" applyFont="1" applyFill="1"/>
    <xf numFmtId="0" fontId="7" fillId="0" borderId="0" xfId="13" applyFont="1"/>
    <xf numFmtId="0" fontId="12" fillId="0" borderId="0" xfId="0" applyFont="1"/>
    <xf numFmtId="0" fontId="8" fillId="2" borderId="0" xfId="2" applyFont="1" applyFill="1" applyAlignment="1">
      <alignment horizontal="center"/>
    </xf>
    <xf numFmtId="0" fontId="8" fillId="0" borderId="0" xfId="12" applyFont="1" applyAlignment="1">
      <alignment horizontal="center" vertical="center"/>
    </xf>
    <xf numFmtId="0" fontId="8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16" fillId="0" borderId="0" xfId="0" applyFont="1"/>
    <xf numFmtId="166" fontId="19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/>
    <xf numFmtId="0" fontId="20" fillId="2" borderId="5" xfId="12" applyFont="1" applyFill="1" applyBorder="1" applyAlignment="1">
      <alignment horizontal="center"/>
    </xf>
    <xf numFmtId="0" fontId="20" fillId="2" borderId="0" xfId="12" applyFont="1" applyFill="1" applyAlignment="1">
      <alignment horizontal="center"/>
    </xf>
    <xf numFmtId="10" fontId="4" fillId="3" borderId="2" xfId="6" applyNumberFormat="1" applyFont="1" applyFill="1" applyBorder="1" applyAlignment="1">
      <alignment horizontal="center" vertical="center" wrapText="1"/>
    </xf>
    <xf numFmtId="10" fontId="3" fillId="0" borderId="0" xfId="0" applyNumberFormat="1" applyFont="1"/>
    <xf numFmtId="167" fontId="4" fillId="3" borderId="2" xfId="14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22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9" borderId="0" xfId="0" applyFont="1" applyFill="1" applyAlignment="1">
      <alignment horizontal="center" vertical="center" wrapText="1"/>
    </xf>
    <xf numFmtId="165" fontId="3" fillId="2" borderId="0" xfId="1" applyNumberFormat="1" applyFont="1" applyFill="1" applyBorder="1" applyAlignment="1">
      <alignment vertical="center"/>
    </xf>
    <xf numFmtId="164" fontId="3" fillId="2" borderId="0" xfId="1" applyFont="1" applyFill="1" applyBorder="1"/>
    <xf numFmtId="165" fontId="3" fillId="0" borderId="2" xfId="0" applyNumberFormat="1" applyFont="1" applyBorder="1"/>
    <xf numFmtId="0" fontId="20" fillId="0" borderId="0" xfId="0" applyFont="1"/>
    <xf numFmtId="164" fontId="3" fillId="0" borderId="2" xfId="1" applyFont="1" applyBorder="1"/>
    <xf numFmtId="164" fontId="3" fillId="0" borderId="2" xfId="1" applyFont="1" applyBorder="1" applyAlignment="1">
      <alignment vertical="center"/>
    </xf>
    <xf numFmtId="0" fontId="20" fillId="0" borderId="0" xfId="0" applyFont="1" applyAlignment="1">
      <alignment horizontal="center"/>
    </xf>
    <xf numFmtId="164" fontId="3" fillId="2" borderId="2" xfId="1" applyFont="1" applyFill="1" applyBorder="1"/>
    <xf numFmtId="0" fontId="16" fillId="0" borderId="0" xfId="0" applyFont="1" applyAlignment="1">
      <alignment horizontal="left" wrapText="1"/>
    </xf>
    <xf numFmtId="0" fontId="23" fillId="0" borderId="0" xfId="0" applyFont="1" applyAlignment="1">
      <alignment horizontal="left" wrapText="1"/>
    </xf>
    <xf numFmtId="0" fontId="4" fillId="7" borderId="2" xfId="0" applyFont="1" applyFill="1" applyBorder="1" applyAlignment="1">
      <alignment horizontal="center" vertical="center"/>
    </xf>
    <xf numFmtId="0" fontId="20" fillId="2" borderId="5" xfId="12" applyFont="1" applyFill="1" applyBorder="1" applyAlignment="1">
      <alignment horizontal="center"/>
    </xf>
    <xf numFmtId="164" fontId="4" fillId="7" borderId="2" xfId="1" applyFont="1" applyFill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4" fillId="7" borderId="2" xfId="0" applyFont="1" applyFill="1" applyBorder="1" applyAlignment="1">
      <alignment horizontal="center"/>
    </xf>
    <xf numFmtId="0" fontId="16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</cellXfs>
  <cellStyles count="15">
    <cellStyle name="Millares" xfId="1" builtinId="3"/>
    <cellStyle name="Millares 2" xfId="10" xr:uid="{B5BA50FC-566D-4186-861A-8735E3D63B7A}"/>
    <cellStyle name="Millares 2 2" xfId="8" xr:uid="{FB131C02-4D79-41B1-9ADC-016A089FE83D}"/>
    <cellStyle name="Normal" xfId="0" builtinId="0"/>
    <cellStyle name="Normal 17 2" xfId="13" xr:uid="{36F9D18A-B623-4BB6-A075-678CC2769257}"/>
    <cellStyle name="Normal 2 10" xfId="2" xr:uid="{C8D9F213-CE70-49B1-BD02-7D8D605B63B1}"/>
    <cellStyle name="Normal 2 2 2 10" xfId="12" xr:uid="{8F30423D-73ED-4BE8-A027-AE67520CE29A}"/>
    <cellStyle name="Normal 2 2 2 2 2" xfId="7" xr:uid="{F0B1FF89-AA71-4F04-BBDA-6E409E194130}"/>
    <cellStyle name="Normal 2 3 2" xfId="3" xr:uid="{EDD9E272-4C90-489C-9186-CADE7F83032D}"/>
    <cellStyle name="Normal 20" xfId="9" xr:uid="{E617C366-0327-4973-AC6C-FA267F2E610F}"/>
    <cellStyle name="Normal 21" xfId="11" xr:uid="{F4F3611D-EC5C-49FC-9E5E-0F3E75EE651F}"/>
    <cellStyle name="Normal 5" xfId="6" xr:uid="{BA53C2EB-845E-4985-9941-342972AE05D1}"/>
    <cellStyle name="Normal_2102 Sumaria de Efectivo y Equivalentes" xfId="4" xr:uid="{52C74E49-FA65-458D-9F58-25EBBEC59DF3}"/>
    <cellStyle name="Normal_2102.1.1 Analisis de Partidas Conciliatorias" xfId="5" xr:uid="{372BE698-3739-4C49-8A5A-3A4D70CBEEB0}"/>
    <cellStyle name="Porcentaje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913547</xdr:colOff>
      <xdr:row>49</xdr:row>
      <xdr:rowOff>38355</xdr:rowOff>
    </xdr:from>
    <xdr:ext cx="232427" cy="232427"/>
    <xdr:pic>
      <xdr:nvPicPr>
        <xdr:cNvPr id="3" name="Imagen 2">
          <a:extLst>
            <a:ext uri="{FF2B5EF4-FFF2-40B4-BE49-F238E27FC236}">
              <a16:creationId xmlns:a16="http://schemas.microsoft.com/office/drawing/2014/main" id="{33246461-6BD4-4CC3-81B6-2892DD3B6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484" y="7859942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290062</xdr:colOff>
      <xdr:row>33</xdr:row>
      <xdr:rowOff>8190</xdr:rowOff>
    </xdr:from>
    <xdr:to>
      <xdr:col>1</xdr:col>
      <xdr:colOff>542109</xdr:colOff>
      <xdr:row>34</xdr:row>
      <xdr:rowOff>107910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77E566B-D3D0-41E7-8254-6138DFE33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5696" y="4855655"/>
          <a:ext cx="252047" cy="254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291377</xdr:colOff>
      <xdr:row>33</xdr:row>
      <xdr:rowOff>50239</xdr:rowOff>
    </xdr:from>
    <xdr:to>
      <xdr:col>23</xdr:col>
      <xdr:colOff>16444</xdr:colOff>
      <xdr:row>34</xdr:row>
      <xdr:rowOff>104240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B9A0B85-1668-4F9B-9772-90B25817A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2177" y="4588372"/>
          <a:ext cx="207668" cy="212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294058</xdr:colOff>
      <xdr:row>33</xdr:row>
      <xdr:rowOff>31566</xdr:rowOff>
    </xdr:from>
    <xdr:to>
      <xdr:col>27</xdr:col>
      <xdr:colOff>92424</xdr:colOff>
      <xdr:row>34</xdr:row>
      <xdr:rowOff>94479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7B55210-7CCD-4C67-B13F-B41AE814B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02021" y="4500085"/>
          <a:ext cx="211585" cy="21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390111</xdr:colOff>
      <xdr:row>34</xdr:row>
      <xdr:rowOff>94076</xdr:rowOff>
    </xdr:from>
    <xdr:to>
      <xdr:col>36</xdr:col>
      <xdr:colOff>893703</xdr:colOff>
      <xdr:row>34</xdr:row>
      <xdr:rowOff>94185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8AD94796-F51A-4F71-9DA1-0511ACE6DE27}"/>
            </a:ext>
          </a:extLst>
        </xdr:cNvPr>
        <xdr:cNvCxnSpPr/>
      </xdr:nvCxnSpPr>
      <xdr:spPr>
        <a:xfrm flipV="1">
          <a:off x="24761176" y="4650789"/>
          <a:ext cx="2543823" cy="10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309370</xdr:colOff>
      <xdr:row>33</xdr:row>
      <xdr:rowOff>64674</xdr:rowOff>
    </xdr:from>
    <xdr:to>
      <xdr:col>38</xdr:col>
      <xdr:colOff>134223</xdr:colOff>
      <xdr:row>34</xdr:row>
      <xdr:rowOff>120340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A66AEB8-41C9-4843-9D87-6BBF3E528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79046" y="4533193"/>
          <a:ext cx="210792" cy="206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143935</xdr:colOff>
      <xdr:row>79</xdr:row>
      <xdr:rowOff>16934</xdr:rowOff>
    </xdr:from>
    <xdr:ext cx="158750" cy="158750"/>
    <xdr:pic>
      <xdr:nvPicPr>
        <xdr:cNvPr id="36" name="Imagen 35">
          <a:extLst>
            <a:ext uri="{FF2B5EF4-FFF2-40B4-BE49-F238E27FC236}">
              <a16:creationId xmlns:a16="http://schemas.microsoft.com/office/drawing/2014/main" id="{1EE2B893-A84F-4899-8C3F-F21CBCDEB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935" y="16780934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143936</xdr:colOff>
      <xdr:row>80</xdr:row>
      <xdr:rowOff>0</xdr:rowOff>
    </xdr:from>
    <xdr:to>
      <xdr:col>0</xdr:col>
      <xdr:colOff>302686</xdr:colOff>
      <xdr:row>81</xdr:row>
      <xdr:rowOff>727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55FEC3A2-0DC3-436B-863B-96BA09906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936" y="1692275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143671</xdr:colOff>
      <xdr:row>81</xdr:row>
      <xdr:rowOff>8202</xdr:rowOff>
    </xdr:from>
    <xdr:to>
      <xdr:col>0</xdr:col>
      <xdr:colOff>302421</xdr:colOff>
      <xdr:row>82</xdr:row>
      <xdr:rowOff>3666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F600BF21-1BC2-47AB-8C24-38336092C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671" y="17089702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59266</xdr:colOff>
      <xdr:row>33</xdr:row>
      <xdr:rowOff>59266</xdr:rowOff>
    </xdr:from>
    <xdr:to>
      <xdr:col>34</xdr:col>
      <xdr:colOff>266934</xdr:colOff>
      <xdr:row>34</xdr:row>
      <xdr:rowOff>113267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63ABC2CC-205C-4C41-B42C-0B43CA5E0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09399" y="4597399"/>
          <a:ext cx="207668" cy="212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210914</xdr:colOff>
      <xdr:row>34</xdr:row>
      <xdr:rowOff>87725</xdr:rowOff>
    </xdr:from>
    <xdr:to>
      <xdr:col>42</xdr:col>
      <xdr:colOff>719169</xdr:colOff>
      <xdr:row>34</xdr:row>
      <xdr:rowOff>87834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AAACD125-1846-401A-838C-067A0AFE82CB}"/>
            </a:ext>
          </a:extLst>
        </xdr:cNvPr>
        <xdr:cNvCxnSpPr/>
      </xdr:nvCxnSpPr>
      <xdr:spPr>
        <a:xfrm flipV="1">
          <a:off x="27915729" y="4644438"/>
          <a:ext cx="3724412" cy="10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213825</xdr:colOff>
      <xdr:row>34</xdr:row>
      <xdr:rowOff>94076</xdr:rowOff>
    </xdr:from>
    <xdr:to>
      <xdr:col>33</xdr:col>
      <xdr:colOff>13419</xdr:colOff>
      <xdr:row>34</xdr:row>
      <xdr:rowOff>94185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04A9E60C-D8AA-4168-805F-0F5C9BD315FB}"/>
            </a:ext>
          </a:extLst>
        </xdr:cNvPr>
        <xdr:cNvCxnSpPr/>
      </xdr:nvCxnSpPr>
      <xdr:spPr>
        <a:xfrm flipV="1">
          <a:off x="21433408" y="4650789"/>
          <a:ext cx="2798205" cy="10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221500</xdr:colOff>
      <xdr:row>34</xdr:row>
      <xdr:rowOff>83867</xdr:rowOff>
    </xdr:from>
    <xdr:to>
      <xdr:col>26</xdr:col>
      <xdr:colOff>33388</xdr:colOff>
      <xdr:row>34</xdr:row>
      <xdr:rowOff>83976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6C3FAA2D-DC4B-4865-A691-166136BD772A}"/>
            </a:ext>
          </a:extLst>
        </xdr:cNvPr>
        <xdr:cNvCxnSpPr/>
      </xdr:nvCxnSpPr>
      <xdr:spPr>
        <a:xfrm flipV="1">
          <a:off x="17713953" y="4864339"/>
          <a:ext cx="4520473" cy="10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948154</xdr:colOff>
      <xdr:row>34</xdr:row>
      <xdr:rowOff>63670</xdr:rowOff>
    </xdr:from>
    <xdr:to>
      <xdr:col>21</xdr:col>
      <xdr:colOff>499334</xdr:colOff>
      <xdr:row>34</xdr:row>
      <xdr:rowOff>63779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6404C918-941D-42C8-9F6A-81EB8E9D9154}"/>
            </a:ext>
          </a:extLst>
        </xdr:cNvPr>
        <xdr:cNvCxnSpPr/>
      </xdr:nvCxnSpPr>
      <xdr:spPr>
        <a:xfrm flipV="1">
          <a:off x="1323788" y="5000571"/>
          <a:ext cx="20407800" cy="10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862644</xdr:colOff>
      <xdr:row>33</xdr:row>
      <xdr:rowOff>1</xdr:rowOff>
    </xdr:from>
    <xdr:to>
      <xdr:col>2</xdr:col>
      <xdr:colOff>862644</xdr:colOff>
      <xdr:row>34</xdr:row>
      <xdr:rowOff>95850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86A92ABD-DC92-4889-89E5-B393EA50F7EB}"/>
            </a:ext>
          </a:extLst>
        </xdr:cNvPr>
        <xdr:cNvCxnSpPr/>
      </xdr:nvCxnSpPr>
      <xdr:spPr>
        <a:xfrm>
          <a:off x="2480097" y="4852359"/>
          <a:ext cx="0" cy="23962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6B65-1896-4E0C-9448-DD2A6821854B}">
  <dimension ref="A1:AQ105"/>
  <sheetViews>
    <sheetView showGridLines="0" tabSelected="1" zoomScale="79" zoomScaleNormal="55" workbookViewId="0"/>
  </sheetViews>
  <sheetFormatPr baseColWidth="10" defaultColWidth="10.90625" defaultRowHeight="12.5" x14ac:dyDescent="0.25"/>
  <cols>
    <col min="1" max="1" width="5.36328125" style="3" customWidth="1"/>
    <col min="2" max="2" width="17.90625" style="3" customWidth="1"/>
    <col min="3" max="3" width="24.6328125" style="3" customWidth="1"/>
    <col min="4" max="4" width="25.1796875" style="3" customWidth="1"/>
    <col min="5" max="5" width="16.08984375" style="3" customWidth="1"/>
    <col min="6" max="6" width="17.90625" style="3" customWidth="1"/>
    <col min="7" max="7" width="19.1796875" style="3" customWidth="1"/>
    <col min="8" max="8" width="10.90625" style="3"/>
    <col min="9" max="11" width="15.08984375" style="3" customWidth="1"/>
    <col min="12" max="13" width="10.90625" style="3"/>
    <col min="14" max="14" width="13.6328125" style="3" customWidth="1"/>
    <col min="15" max="16" width="10.90625" style="3"/>
    <col min="17" max="18" width="15.7265625" style="3" customWidth="1"/>
    <col min="19" max="22" width="10.90625" style="3"/>
    <col min="23" max="23" width="6.90625" style="3" customWidth="1"/>
    <col min="24" max="24" width="27" style="3" customWidth="1"/>
    <col min="25" max="25" width="32.7265625" style="3" customWidth="1"/>
    <col min="26" max="26" width="26.1796875" style="3" customWidth="1"/>
    <col min="27" max="27" width="5.90625" style="3" customWidth="1"/>
    <col min="28" max="28" width="14" style="3" customWidth="1"/>
    <col min="29" max="32" width="15.26953125" style="3" customWidth="1"/>
    <col min="33" max="33" width="13.7265625" style="3" customWidth="1"/>
    <col min="34" max="34" width="4.7265625" style="65" customWidth="1"/>
    <col min="35" max="35" width="14" style="3" customWidth="1"/>
    <col min="36" max="36" width="15.26953125" style="3" customWidth="1"/>
    <col min="37" max="37" width="13.7265625" style="3" customWidth="1"/>
    <col min="38" max="38" width="5.453125" style="3" customWidth="1"/>
    <col min="39" max="39" width="10.90625" style="3"/>
    <col min="40" max="40" width="24.1796875" style="3" customWidth="1"/>
    <col min="41" max="41" width="15.90625" style="3" customWidth="1"/>
    <col min="42" max="42" width="16.6328125" style="3" customWidth="1"/>
    <col min="43" max="43" width="21.453125" style="3" customWidth="1"/>
    <col min="44" max="16384" width="10.90625" style="3"/>
  </cols>
  <sheetData>
    <row r="1" spans="1:43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4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43" x14ac:dyDescent="0.25">
      <c r="A3" s="2"/>
      <c r="B3" s="2"/>
      <c r="C3" s="2"/>
      <c r="D3" s="2"/>
      <c r="E3" s="2"/>
      <c r="F3" s="2"/>
      <c r="G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X3" s="2"/>
      <c r="Y3" s="2"/>
      <c r="AO3" s="4" t="s">
        <v>0</v>
      </c>
      <c r="AP3" s="4" t="s">
        <v>1</v>
      </c>
      <c r="AQ3" s="5" t="s">
        <v>2</v>
      </c>
    </row>
    <row r="4" spans="1:43" x14ac:dyDescent="0.25">
      <c r="A4" s="2"/>
      <c r="B4" s="2"/>
      <c r="C4" s="2"/>
      <c r="D4" s="2"/>
      <c r="E4" s="2"/>
      <c r="F4" s="2"/>
      <c r="G4" s="2"/>
      <c r="K4" s="2"/>
      <c r="L4" s="2"/>
      <c r="M4" s="2"/>
      <c r="N4" s="2"/>
      <c r="O4" s="2"/>
      <c r="P4" s="6"/>
      <c r="Q4" s="6"/>
      <c r="R4" s="6"/>
      <c r="S4" s="6"/>
      <c r="T4" s="6"/>
      <c r="U4" s="6"/>
      <c r="V4" s="6"/>
      <c r="X4" s="6"/>
      <c r="Y4" s="6"/>
      <c r="AO4" s="7" t="s">
        <v>3</v>
      </c>
      <c r="AP4" s="8" t="s">
        <v>3</v>
      </c>
      <c r="AQ4" s="9" t="s">
        <v>98</v>
      </c>
    </row>
    <row r="5" spans="1:43" x14ac:dyDescent="0.25">
      <c r="A5" s="2"/>
      <c r="B5" s="10" t="s">
        <v>4</v>
      </c>
      <c r="C5" s="2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X5" s="12"/>
      <c r="Y5" s="12"/>
      <c r="Z5" s="12"/>
      <c r="AA5" s="6"/>
      <c r="AB5" s="6"/>
      <c r="AC5" s="13"/>
      <c r="AD5" s="13"/>
      <c r="AE5" s="13"/>
      <c r="AF5" s="13"/>
      <c r="AG5" s="2"/>
      <c r="AH5" s="2"/>
      <c r="AI5" s="6"/>
      <c r="AJ5" s="13"/>
      <c r="AK5" s="2"/>
    </row>
    <row r="6" spans="1:43" x14ac:dyDescent="0.25">
      <c r="A6" s="2"/>
      <c r="B6" s="14" t="s">
        <v>23</v>
      </c>
      <c r="C6" s="15"/>
      <c r="D6" s="15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X6" s="16"/>
      <c r="Y6" s="16"/>
      <c r="Z6" s="16"/>
      <c r="AA6" s="17"/>
      <c r="AB6" s="17"/>
      <c r="AC6" s="12"/>
      <c r="AD6" s="12"/>
      <c r="AE6" s="12"/>
      <c r="AF6" s="12"/>
      <c r="AG6" s="2"/>
      <c r="AH6" s="2"/>
      <c r="AI6" s="17"/>
      <c r="AJ6" s="12"/>
      <c r="AK6" s="2"/>
    </row>
    <row r="7" spans="1:43" x14ac:dyDescent="0.25">
      <c r="A7" s="2"/>
      <c r="B7" s="18" t="s">
        <v>5</v>
      </c>
      <c r="C7" s="15"/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X7" s="16"/>
      <c r="Y7" s="16"/>
      <c r="Z7" s="16"/>
      <c r="AA7" s="17"/>
      <c r="AB7" s="17"/>
      <c r="AC7" s="12"/>
      <c r="AD7" s="12"/>
      <c r="AE7" s="12"/>
      <c r="AF7" s="12"/>
      <c r="AG7" s="2"/>
      <c r="AH7" s="2"/>
      <c r="AI7" s="17"/>
      <c r="AJ7" s="12"/>
      <c r="AK7" s="2"/>
    </row>
    <row r="8" spans="1:43" x14ac:dyDescent="0.25">
      <c r="A8" s="2"/>
      <c r="B8" s="19" t="s">
        <v>25</v>
      </c>
      <c r="C8" s="15"/>
      <c r="D8" s="15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X8" s="16"/>
      <c r="Y8" s="16"/>
      <c r="Z8" s="16"/>
      <c r="AA8" s="17"/>
      <c r="AB8" s="17"/>
      <c r="AC8" s="12"/>
      <c r="AD8" s="12"/>
      <c r="AE8" s="12"/>
      <c r="AF8" s="12"/>
      <c r="AG8" s="2"/>
      <c r="AH8" s="2"/>
      <c r="AI8" s="17"/>
      <c r="AJ8" s="12"/>
      <c r="AK8" s="2"/>
    </row>
    <row r="9" spans="1:43" ht="5.5" customHeight="1" thickBot="1" x14ac:dyDescent="0.3">
      <c r="A9" s="2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</row>
    <row r="10" spans="1:43" ht="13" thickTop="1" x14ac:dyDescent="0.25">
      <c r="A10" s="2"/>
      <c r="AH10" s="3"/>
    </row>
    <row r="11" spans="1:43" x14ac:dyDescent="0.25">
      <c r="A11" s="2"/>
      <c r="B11" s="21" t="s">
        <v>6</v>
      </c>
      <c r="C11" s="22"/>
      <c r="AH11" s="3"/>
    </row>
    <row r="12" spans="1:43" ht="7" customHeight="1" x14ac:dyDescent="0.25">
      <c r="A12" s="2"/>
      <c r="B12" s="21"/>
      <c r="C12" s="22"/>
    </row>
    <row r="13" spans="1:43" x14ac:dyDescent="0.25">
      <c r="A13" s="2"/>
      <c r="B13" s="3" t="s">
        <v>56</v>
      </c>
    </row>
    <row r="14" spans="1:43" x14ac:dyDescent="0.25">
      <c r="A14" s="2"/>
    </row>
    <row r="15" spans="1:43" x14ac:dyDescent="0.25">
      <c r="A15" s="2"/>
      <c r="B15" s="23" t="s">
        <v>7</v>
      </c>
      <c r="C15" s="24"/>
    </row>
    <row r="16" spans="1:43" ht="7" customHeight="1" x14ac:dyDescent="0.25">
      <c r="A16" s="2"/>
      <c r="B16" s="23"/>
      <c r="C16" s="24"/>
    </row>
    <row r="17" spans="1:43" x14ac:dyDescent="0.25">
      <c r="A17" s="2"/>
      <c r="B17" s="34"/>
      <c r="C17" s="35" t="s">
        <v>8</v>
      </c>
      <c r="D17" s="35" t="s">
        <v>19</v>
      </c>
    </row>
    <row r="18" spans="1:43" x14ac:dyDescent="0.25">
      <c r="A18" s="2"/>
      <c r="B18" s="36" t="s">
        <v>9</v>
      </c>
      <c r="C18" s="37" t="s">
        <v>10</v>
      </c>
      <c r="D18" s="37" t="s">
        <v>10</v>
      </c>
    </row>
    <row r="19" spans="1:43" x14ac:dyDescent="0.25">
      <c r="A19" s="2"/>
      <c r="B19" s="36" t="s">
        <v>11</v>
      </c>
      <c r="C19" s="37" t="s">
        <v>10</v>
      </c>
      <c r="D19" s="37" t="s">
        <v>10</v>
      </c>
    </row>
    <row r="20" spans="1:43" x14ac:dyDescent="0.25">
      <c r="A20" s="2"/>
      <c r="B20" s="36" t="s">
        <v>12</v>
      </c>
      <c r="C20" s="37" t="s">
        <v>10</v>
      </c>
      <c r="D20" s="37" t="s">
        <v>10</v>
      </c>
    </row>
    <row r="21" spans="1:43" x14ac:dyDescent="0.25">
      <c r="A21" s="2"/>
    </row>
    <row r="22" spans="1:43" x14ac:dyDescent="0.25">
      <c r="A22" s="2"/>
      <c r="B22" s="21" t="s">
        <v>13</v>
      </c>
      <c r="C22" s="22"/>
    </row>
    <row r="23" spans="1:43" ht="7" customHeight="1" x14ac:dyDescent="0.25">
      <c r="A23" s="2"/>
      <c r="B23" s="21"/>
      <c r="C23" s="22"/>
    </row>
    <row r="24" spans="1:43" x14ac:dyDescent="0.25">
      <c r="A24" s="25" t="s">
        <v>14</v>
      </c>
      <c r="B24" s="3" t="s">
        <v>57</v>
      </c>
      <c r="C24" s="15"/>
    </row>
    <row r="25" spans="1:43" x14ac:dyDescent="0.25">
      <c r="A25" s="25" t="s">
        <v>15</v>
      </c>
      <c r="B25" s="3" t="s">
        <v>58</v>
      </c>
      <c r="C25" s="15"/>
      <c r="Z25" s="63"/>
      <c r="AB25" s="63"/>
      <c r="AI25" s="63"/>
    </row>
    <row r="26" spans="1:43" x14ac:dyDescent="0.25">
      <c r="A26" s="25" t="s">
        <v>16</v>
      </c>
      <c r="B26" s="3" t="s">
        <v>60</v>
      </c>
      <c r="C26" s="15"/>
      <c r="Z26" s="63"/>
      <c r="AB26" s="63"/>
      <c r="AI26" s="63"/>
    </row>
    <row r="27" spans="1:43" x14ac:dyDescent="0.25">
      <c r="A27" s="25" t="s">
        <v>17</v>
      </c>
      <c r="B27" s="3" t="s">
        <v>59</v>
      </c>
      <c r="C27" s="15"/>
    </row>
    <row r="28" spans="1:43" x14ac:dyDescent="0.25">
      <c r="A28" s="25" t="s">
        <v>18</v>
      </c>
      <c r="B28" s="3" t="s">
        <v>26</v>
      </c>
    </row>
    <row r="30" spans="1:43" x14ac:dyDescent="0.25">
      <c r="B30" s="21" t="s">
        <v>20</v>
      </c>
    </row>
    <row r="31" spans="1:43" x14ac:dyDescent="0.25">
      <c r="B31" s="21"/>
    </row>
    <row r="32" spans="1:43" x14ac:dyDescent="0.25">
      <c r="B32" s="21"/>
      <c r="C32" s="56" t="s">
        <v>82</v>
      </c>
      <c r="X32" s="82" t="s">
        <v>76</v>
      </c>
      <c r="Y32" s="82"/>
      <c r="Z32" s="82"/>
      <c r="AM32" s="84" t="s">
        <v>100</v>
      </c>
      <c r="AN32" s="84"/>
      <c r="AO32" s="84"/>
      <c r="AP32" s="84"/>
      <c r="AQ32" s="84"/>
    </row>
    <row r="33" spans="1:43" x14ac:dyDescent="0.25">
      <c r="B33" s="21"/>
      <c r="C33" s="56" t="s">
        <v>99</v>
      </c>
      <c r="X33" s="82"/>
      <c r="Y33" s="82"/>
      <c r="Z33" s="82"/>
      <c r="AM33" s="84"/>
      <c r="AN33" s="84"/>
      <c r="AO33" s="84"/>
      <c r="AP33" s="84"/>
      <c r="AQ33" s="84"/>
    </row>
    <row r="34" spans="1:43" ht="11" customHeight="1" x14ac:dyDescent="0.25">
      <c r="B34" s="21"/>
      <c r="X34" s="82"/>
      <c r="Y34" s="82"/>
      <c r="Z34" s="82"/>
    </row>
    <row r="35" spans="1:43" x14ac:dyDescent="0.25">
      <c r="AH35" s="66"/>
    </row>
    <row r="36" spans="1:43" s="41" customFormat="1" ht="24" customHeight="1" x14ac:dyDescent="0.25">
      <c r="B36" s="81" t="s">
        <v>61</v>
      </c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X36" s="79" t="s">
        <v>108</v>
      </c>
      <c r="Y36" s="79"/>
      <c r="Z36" s="79"/>
      <c r="AB36" s="79" t="s">
        <v>77</v>
      </c>
      <c r="AC36" s="79"/>
      <c r="AD36" s="79"/>
      <c r="AE36" s="79"/>
      <c r="AF36" s="79"/>
      <c r="AG36" s="79"/>
      <c r="AH36" s="67"/>
      <c r="AI36" s="79" t="s">
        <v>28</v>
      </c>
      <c r="AJ36" s="79"/>
      <c r="AK36" s="79"/>
      <c r="AM36" s="79" t="s">
        <v>94</v>
      </c>
      <c r="AN36" s="79"/>
      <c r="AO36" s="79"/>
      <c r="AP36" s="79"/>
      <c r="AQ36" s="79"/>
    </row>
    <row r="37" spans="1:43" s="41" customFormat="1" ht="57.5" customHeight="1" x14ac:dyDescent="0.25">
      <c r="B37" s="29" t="s">
        <v>54</v>
      </c>
      <c r="C37" s="29" t="s">
        <v>107</v>
      </c>
      <c r="D37" s="29" t="s">
        <v>21</v>
      </c>
      <c r="E37" s="29" t="s">
        <v>62</v>
      </c>
      <c r="F37" s="29" t="s">
        <v>63</v>
      </c>
      <c r="G37" s="29" t="s">
        <v>64</v>
      </c>
      <c r="H37" s="29" t="s">
        <v>65</v>
      </c>
      <c r="I37" s="29" t="s">
        <v>89</v>
      </c>
      <c r="J37" s="29" t="s">
        <v>90</v>
      </c>
      <c r="K37" s="29" t="s">
        <v>91</v>
      </c>
      <c r="L37" s="29" t="s">
        <v>67</v>
      </c>
      <c r="M37" s="29" t="s">
        <v>68</v>
      </c>
      <c r="N37" s="29" t="s">
        <v>92</v>
      </c>
      <c r="O37" s="29" t="s">
        <v>69</v>
      </c>
      <c r="P37" s="29" t="s">
        <v>70</v>
      </c>
      <c r="Q37" s="29" t="s">
        <v>71</v>
      </c>
      <c r="R37" s="29" t="s">
        <v>72</v>
      </c>
      <c r="S37" s="29" t="s">
        <v>73</v>
      </c>
      <c r="T37" s="29" t="s">
        <v>74</v>
      </c>
      <c r="U37" s="29" t="s">
        <v>96</v>
      </c>
      <c r="V37" s="29" t="s">
        <v>95</v>
      </c>
      <c r="X37" s="30" t="s">
        <v>75</v>
      </c>
      <c r="Y37" s="62" t="s">
        <v>78</v>
      </c>
      <c r="Z37" s="64" t="s">
        <v>79</v>
      </c>
      <c r="AB37" s="33" t="s">
        <v>107</v>
      </c>
      <c r="AC37" s="33" t="s">
        <v>75</v>
      </c>
      <c r="AD37" s="33" t="s">
        <v>105</v>
      </c>
      <c r="AE37" s="33" t="s">
        <v>68</v>
      </c>
      <c r="AF37" s="33" t="s">
        <v>106</v>
      </c>
      <c r="AG37" s="33" t="s">
        <v>104</v>
      </c>
      <c r="AH37" s="68"/>
      <c r="AI37" s="33" t="s">
        <v>107</v>
      </c>
      <c r="AJ37" s="33" t="s">
        <v>75</v>
      </c>
      <c r="AK37" s="33" t="s">
        <v>27</v>
      </c>
      <c r="AM37" s="30" t="s">
        <v>80</v>
      </c>
      <c r="AN37" s="30" t="s">
        <v>81</v>
      </c>
      <c r="AO37" s="38" t="s">
        <v>64</v>
      </c>
      <c r="AP37" s="30" t="s">
        <v>66</v>
      </c>
      <c r="AQ37" s="30" t="s">
        <v>22</v>
      </c>
    </row>
    <row r="38" spans="1:43" x14ac:dyDescent="0.25">
      <c r="B38" s="28"/>
      <c r="C38" s="73">
        <v>0</v>
      </c>
      <c r="D38" s="73">
        <v>0</v>
      </c>
      <c r="E38" s="73">
        <v>0</v>
      </c>
      <c r="F38" s="73">
        <v>0</v>
      </c>
      <c r="G38" s="73">
        <v>0</v>
      </c>
      <c r="H38" s="73">
        <v>0</v>
      </c>
      <c r="I38" s="73">
        <v>0</v>
      </c>
      <c r="J38" s="73">
        <v>0</v>
      </c>
      <c r="K38" s="73">
        <v>0</v>
      </c>
      <c r="L38" s="76">
        <f>SUM(D38:K38)</f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f>+SUM(O38:T38)</f>
        <v>0</v>
      </c>
      <c r="V38" s="73">
        <f>+L38-U38</f>
        <v>0</v>
      </c>
      <c r="X38" s="26">
        <f t="shared" ref="X38:X49" si="0">SUM(D38:H38)</f>
        <v>0</v>
      </c>
      <c r="Y38" s="27">
        <f>+X38*20.6%</f>
        <v>0</v>
      </c>
      <c r="Z38" s="27">
        <f>+X38*22.6</f>
        <v>0</v>
      </c>
      <c r="AB38" s="74">
        <v>0</v>
      </c>
      <c r="AC38" s="74">
        <v>0</v>
      </c>
      <c r="AD38" s="74">
        <v>0</v>
      </c>
      <c r="AE38" s="74">
        <v>0</v>
      </c>
      <c r="AF38" s="74">
        <v>0</v>
      </c>
      <c r="AG38" s="26">
        <f>SUM(AD38:AE38)</f>
        <v>0</v>
      </c>
      <c r="AH38" s="69"/>
      <c r="AI38" s="74">
        <f>+C38-AB38</f>
        <v>0</v>
      </c>
      <c r="AJ38" s="40">
        <f>+AC38-X38</f>
        <v>0</v>
      </c>
      <c r="AK38" s="26">
        <f>+Y38-AG38</f>
        <v>0</v>
      </c>
      <c r="AM38" s="26">
        <f>+X38/12</f>
        <v>0</v>
      </c>
      <c r="AN38" s="26">
        <f>+(37.5)*C38</f>
        <v>0</v>
      </c>
      <c r="AO38" s="26">
        <f t="shared" ref="AO38:AO43" si="1">+X38/24</f>
        <v>0</v>
      </c>
      <c r="AP38" s="26">
        <f>+X38*8.33%</f>
        <v>0</v>
      </c>
      <c r="AQ38" s="26">
        <f>+SUM(AM38:AP38)</f>
        <v>0</v>
      </c>
    </row>
    <row r="39" spans="1:43" x14ac:dyDescent="0.25">
      <c r="B39" s="28"/>
      <c r="C39" s="73">
        <v>0</v>
      </c>
      <c r="D39" s="73">
        <v>0</v>
      </c>
      <c r="E39" s="73">
        <v>0</v>
      </c>
      <c r="F39" s="73">
        <v>0</v>
      </c>
      <c r="G39" s="73">
        <v>0</v>
      </c>
      <c r="H39" s="73">
        <v>0</v>
      </c>
      <c r="I39" s="73">
        <v>0</v>
      </c>
      <c r="J39" s="73">
        <v>0</v>
      </c>
      <c r="K39" s="73">
        <v>0</v>
      </c>
      <c r="L39" s="76">
        <f t="shared" ref="L39:L49" si="2">SUM(D39:K39)</f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f t="shared" ref="U39:U49" si="3">+SUM(O39:T39)</f>
        <v>0</v>
      </c>
      <c r="V39" s="73">
        <f t="shared" ref="V39:V49" si="4">+L39-U39</f>
        <v>0</v>
      </c>
      <c r="X39" s="26">
        <f t="shared" si="0"/>
        <v>0</v>
      </c>
      <c r="Y39" s="27">
        <f>+X39*20.6%</f>
        <v>0</v>
      </c>
      <c r="Z39" s="27">
        <f t="shared" ref="Z39:Z49" si="5">+X39*22.6</f>
        <v>0</v>
      </c>
      <c r="AB39" s="74">
        <v>0</v>
      </c>
      <c r="AC39" s="74">
        <v>0</v>
      </c>
      <c r="AD39" s="74">
        <v>0</v>
      </c>
      <c r="AE39" s="74">
        <v>0</v>
      </c>
      <c r="AF39" s="74">
        <v>0</v>
      </c>
      <c r="AG39" s="26">
        <f t="shared" ref="AG39:AG49" si="6">SUM(AD39:AE39)</f>
        <v>0</v>
      </c>
      <c r="AH39" s="69"/>
      <c r="AI39" s="74">
        <f t="shared" ref="AI39:AI49" si="7">+C39-AB39</f>
        <v>0</v>
      </c>
      <c r="AJ39" s="40">
        <f t="shared" ref="AJ39:AJ49" si="8">+AC39-X39</f>
        <v>0</v>
      </c>
      <c r="AK39" s="26">
        <f t="shared" ref="AK39:AK49" si="9">+Y39-AG39</f>
        <v>0</v>
      </c>
      <c r="AM39" s="26">
        <f t="shared" ref="AM39:AM49" si="10">+X39/12</f>
        <v>0</v>
      </c>
      <c r="AN39" s="26">
        <f t="shared" ref="AN39:AN49" si="11">+(37.5)*C39</f>
        <v>0</v>
      </c>
      <c r="AO39" s="26">
        <f t="shared" si="1"/>
        <v>0</v>
      </c>
      <c r="AP39" s="26">
        <f t="shared" ref="AP39:AP49" si="12">+X39*8.33%</f>
        <v>0</v>
      </c>
      <c r="AQ39" s="26">
        <f t="shared" ref="AQ39:AQ49" si="13">+SUM(AM39:AO39)</f>
        <v>0</v>
      </c>
    </row>
    <row r="40" spans="1:43" x14ac:dyDescent="0.25">
      <c r="A40" s="3" t="s">
        <v>24</v>
      </c>
      <c r="B40" s="28"/>
      <c r="C40" s="73">
        <v>0</v>
      </c>
      <c r="D40" s="73">
        <v>0</v>
      </c>
      <c r="E40" s="73">
        <v>0</v>
      </c>
      <c r="F40" s="73">
        <v>0</v>
      </c>
      <c r="G40" s="73">
        <v>0</v>
      </c>
      <c r="H40" s="73">
        <v>0</v>
      </c>
      <c r="I40" s="73">
        <v>0</v>
      </c>
      <c r="J40" s="73">
        <v>0</v>
      </c>
      <c r="K40" s="73">
        <v>0</v>
      </c>
      <c r="L40" s="76">
        <f t="shared" si="2"/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f t="shared" si="3"/>
        <v>0</v>
      </c>
      <c r="V40" s="73">
        <f t="shared" si="4"/>
        <v>0</v>
      </c>
      <c r="X40" s="26">
        <f t="shared" si="0"/>
        <v>0</v>
      </c>
      <c r="Y40" s="27">
        <f>+X40*20.6%</f>
        <v>0</v>
      </c>
      <c r="Z40" s="27">
        <f t="shared" si="5"/>
        <v>0</v>
      </c>
      <c r="AB40" s="74">
        <v>0</v>
      </c>
      <c r="AC40" s="74">
        <v>0</v>
      </c>
      <c r="AD40" s="74">
        <v>0</v>
      </c>
      <c r="AE40" s="74">
        <v>0</v>
      </c>
      <c r="AF40" s="74">
        <v>0</v>
      </c>
      <c r="AG40" s="26">
        <f t="shared" si="6"/>
        <v>0</v>
      </c>
      <c r="AH40" s="69"/>
      <c r="AI40" s="74">
        <f t="shared" si="7"/>
        <v>0</v>
      </c>
      <c r="AJ40" s="40">
        <f t="shared" si="8"/>
        <v>0</v>
      </c>
      <c r="AK40" s="26">
        <f t="shared" si="9"/>
        <v>0</v>
      </c>
      <c r="AM40" s="26">
        <f t="shared" si="10"/>
        <v>0</v>
      </c>
      <c r="AN40" s="26">
        <f t="shared" si="11"/>
        <v>0</v>
      </c>
      <c r="AO40" s="26">
        <f t="shared" si="1"/>
        <v>0</v>
      </c>
      <c r="AP40" s="26">
        <f t="shared" si="12"/>
        <v>0</v>
      </c>
      <c r="AQ40" s="26">
        <f t="shared" si="13"/>
        <v>0</v>
      </c>
    </row>
    <row r="41" spans="1:43" x14ac:dyDescent="0.25">
      <c r="B41" s="28"/>
      <c r="C41" s="73">
        <v>0</v>
      </c>
      <c r="D41" s="73">
        <v>0</v>
      </c>
      <c r="E41" s="73">
        <v>0</v>
      </c>
      <c r="F41" s="73">
        <v>0</v>
      </c>
      <c r="G41" s="73">
        <v>0</v>
      </c>
      <c r="H41" s="73">
        <v>0</v>
      </c>
      <c r="I41" s="73">
        <v>0</v>
      </c>
      <c r="J41" s="73">
        <v>0</v>
      </c>
      <c r="K41" s="73">
        <v>0</v>
      </c>
      <c r="L41" s="76">
        <f t="shared" si="2"/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f t="shared" si="3"/>
        <v>0</v>
      </c>
      <c r="V41" s="73">
        <f t="shared" si="4"/>
        <v>0</v>
      </c>
      <c r="X41" s="26">
        <f t="shared" si="0"/>
        <v>0</v>
      </c>
      <c r="Y41" s="27">
        <f>+X41*20.6%</f>
        <v>0</v>
      </c>
      <c r="Z41" s="27">
        <f t="shared" si="5"/>
        <v>0</v>
      </c>
      <c r="AB41" s="74">
        <v>0</v>
      </c>
      <c r="AC41" s="74">
        <v>0</v>
      </c>
      <c r="AD41" s="74">
        <v>0</v>
      </c>
      <c r="AE41" s="74">
        <v>0</v>
      </c>
      <c r="AF41" s="74">
        <v>0</v>
      </c>
      <c r="AG41" s="26">
        <f t="shared" si="6"/>
        <v>0</v>
      </c>
      <c r="AH41" s="69"/>
      <c r="AI41" s="74">
        <f t="shared" si="7"/>
        <v>0</v>
      </c>
      <c r="AJ41" s="40">
        <f t="shared" si="8"/>
        <v>0</v>
      </c>
      <c r="AK41" s="26">
        <f t="shared" si="9"/>
        <v>0</v>
      </c>
      <c r="AM41" s="26">
        <f t="shared" si="10"/>
        <v>0</v>
      </c>
      <c r="AN41" s="26">
        <f t="shared" si="11"/>
        <v>0</v>
      </c>
      <c r="AO41" s="26">
        <f t="shared" si="1"/>
        <v>0</v>
      </c>
      <c r="AP41" s="26">
        <f t="shared" si="12"/>
        <v>0</v>
      </c>
      <c r="AQ41" s="26">
        <f t="shared" si="13"/>
        <v>0</v>
      </c>
    </row>
    <row r="42" spans="1:43" x14ac:dyDescent="0.25">
      <c r="B42" s="28"/>
      <c r="C42" s="73">
        <v>0</v>
      </c>
      <c r="D42" s="73">
        <v>0</v>
      </c>
      <c r="E42" s="73">
        <v>0</v>
      </c>
      <c r="F42" s="73">
        <v>0</v>
      </c>
      <c r="G42" s="73">
        <v>0</v>
      </c>
      <c r="H42" s="73">
        <v>0</v>
      </c>
      <c r="I42" s="73">
        <v>0</v>
      </c>
      <c r="J42" s="73">
        <v>0</v>
      </c>
      <c r="K42" s="73">
        <v>0</v>
      </c>
      <c r="L42" s="76">
        <f t="shared" si="2"/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f t="shared" si="3"/>
        <v>0</v>
      </c>
      <c r="V42" s="73">
        <f t="shared" si="4"/>
        <v>0</v>
      </c>
      <c r="X42" s="26">
        <f t="shared" si="0"/>
        <v>0</v>
      </c>
      <c r="Y42" s="27">
        <f>+X42*20.6%</f>
        <v>0</v>
      </c>
      <c r="Z42" s="27">
        <f t="shared" si="5"/>
        <v>0</v>
      </c>
      <c r="AB42" s="74">
        <v>0</v>
      </c>
      <c r="AC42" s="74">
        <v>0</v>
      </c>
      <c r="AD42" s="74">
        <v>0</v>
      </c>
      <c r="AE42" s="74">
        <v>0</v>
      </c>
      <c r="AF42" s="74">
        <v>0</v>
      </c>
      <c r="AG42" s="26">
        <f t="shared" si="6"/>
        <v>0</v>
      </c>
      <c r="AH42" s="69"/>
      <c r="AI42" s="74">
        <f t="shared" si="7"/>
        <v>0</v>
      </c>
      <c r="AJ42" s="40">
        <f t="shared" si="8"/>
        <v>0</v>
      </c>
      <c r="AK42" s="26">
        <f t="shared" si="9"/>
        <v>0</v>
      </c>
      <c r="AM42" s="26">
        <f t="shared" si="10"/>
        <v>0</v>
      </c>
      <c r="AN42" s="26">
        <f t="shared" si="11"/>
        <v>0</v>
      </c>
      <c r="AO42" s="26">
        <f t="shared" si="1"/>
        <v>0</v>
      </c>
      <c r="AP42" s="26">
        <f t="shared" si="12"/>
        <v>0</v>
      </c>
      <c r="AQ42" s="26">
        <f t="shared" si="13"/>
        <v>0</v>
      </c>
    </row>
    <row r="43" spans="1:43" x14ac:dyDescent="0.25">
      <c r="B43" s="28"/>
      <c r="C43" s="73">
        <v>0</v>
      </c>
      <c r="D43" s="73">
        <v>0</v>
      </c>
      <c r="E43" s="73">
        <v>0</v>
      </c>
      <c r="F43" s="73">
        <v>0</v>
      </c>
      <c r="G43" s="73">
        <v>0</v>
      </c>
      <c r="H43" s="73">
        <v>0</v>
      </c>
      <c r="I43" s="73">
        <v>0</v>
      </c>
      <c r="J43" s="73">
        <v>0</v>
      </c>
      <c r="K43" s="73">
        <v>0</v>
      </c>
      <c r="L43" s="76">
        <f t="shared" si="2"/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f t="shared" si="3"/>
        <v>0</v>
      </c>
      <c r="V43" s="73">
        <f t="shared" si="4"/>
        <v>0</v>
      </c>
      <c r="X43" s="26">
        <f t="shared" si="0"/>
        <v>0</v>
      </c>
      <c r="Y43" s="27">
        <f t="shared" ref="Y43:Y49" si="14">+X43*20.6%</f>
        <v>0</v>
      </c>
      <c r="Z43" s="27">
        <f t="shared" si="5"/>
        <v>0</v>
      </c>
      <c r="AB43" s="74">
        <v>0</v>
      </c>
      <c r="AC43" s="74">
        <v>0</v>
      </c>
      <c r="AD43" s="74">
        <v>0</v>
      </c>
      <c r="AE43" s="74">
        <v>0</v>
      </c>
      <c r="AF43" s="74">
        <v>0</v>
      </c>
      <c r="AG43" s="26">
        <f t="shared" si="6"/>
        <v>0</v>
      </c>
      <c r="AH43" s="69"/>
      <c r="AI43" s="74">
        <f t="shared" si="7"/>
        <v>0</v>
      </c>
      <c r="AJ43" s="40">
        <f t="shared" si="8"/>
        <v>0</v>
      </c>
      <c r="AK43" s="26">
        <f t="shared" si="9"/>
        <v>0</v>
      </c>
      <c r="AM43" s="26">
        <f t="shared" si="10"/>
        <v>0</v>
      </c>
      <c r="AN43" s="26">
        <f t="shared" si="11"/>
        <v>0</v>
      </c>
      <c r="AO43" s="26">
        <f t="shared" si="1"/>
        <v>0</v>
      </c>
      <c r="AP43" s="26">
        <f t="shared" si="12"/>
        <v>0</v>
      </c>
      <c r="AQ43" s="26">
        <f t="shared" si="13"/>
        <v>0</v>
      </c>
    </row>
    <row r="44" spans="1:43" x14ac:dyDescent="0.25">
      <c r="B44" s="28"/>
      <c r="C44" s="73">
        <v>0</v>
      </c>
      <c r="D44" s="73">
        <v>0</v>
      </c>
      <c r="E44" s="73">
        <v>0</v>
      </c>
      <c r="F44" s="73">
        <v>0</v>
      </c>
      <c r="G44" s="73">
        <v>0</v>
      </c>
      <c r="H44" s="73">
        <v>0</v>
      </c>
      <c r="I44" s="73">
        <v>0</v>
      </c>
      <c r="J44" s="73">
        <v>0</v>
      </c>
      <c r="K44" s="73">
        <v>0</v>
      </c>
      <c r="L44" s="76">
        <f t="shared" si="2"/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f t="shared" si="3"/>
        <v>0</v>
      </c>
      <c r="V44" s="73">
        <f t="shared" si="4"/>
        <v>0</v>
      </c>
      <c r="X44" s="26">
        <f t="shared" si="0"/>
        <v>0</v>
      </c>
      <c r="Y44" s="27">
        <f t="shared" si="14"/>
        <v>0</v>
      </c>
      <c r="Z44" s="27">
        <f t="shared" si="5"/>
        <v>0</v>
      </c>
      <c r="AB44" s="74">
        <v>0</v>
      </c>
      <c r="AC44" s="74">
        <v>0</v>
      </c>
      <c r="AD44" s="74">
        <v>0</v>
      </c>
      <c r="AE44" s="74">
        <v>0</v>
      </c>
      <c r="AF44" s="74">
        <v>0</v>
      </c>
      <c r="AG44" s="26">
        <f t="shared" si="6"/>
        <v>0</v>
      </c>
      <c r="AH44" s="69"/>
      <c r="AI44" s="74">
        <f t="shared" si="7"/>
        <v>0</v>
      </c>
      <c r="AJ44" s="40">
        <f t="shared" si="8"/>
        <v>0</v>
      </c>
      <c r="AK44" s="26">
        <f t="shared" si="9"/>
        <v>0</v>
      </c>
      <c r="AM44" s="26">
        <f t="shared" si="10"/>
        <v>0</v>
      </c>
      <c r="AN44" s="26">
        <f t="shared" si="11"/>
        <v>0</v>
      </c>
      <c r="AO44" s="26">
        <f t="shared" ref="AO44:AO49" si="15">+X44/24</f>
        <v>0</v>
      </c>
      <c r="AP44" s="26">
        <f t="shared" si="12"/>
        <v>0</v>
      </c>
      <c r="AQ44" s="26">
        <f t="shared" si="13"/>
        <v>0</v>
      </c>
    </row>
    <row r="45" spans="1:43" x14ac:dyDescent="0.25">
      <c r="B45" s="28"/>
      <c r="C45" s="73">
        <v>0</v>
      </c>
      <c r="D45" s="73">
        <v>0</v>
      </c>
      <c r="E45" s="73">
        <v>0</v>
      </c>
      <c r="F45" s="73">
        <v>0</v>
      </c>
      <c r="G45" s="73">
        <v>0</v>
      </c>
      <c r="H45" s="73">
        <v>0</v>
      </c>
      <c r="I45" s="73">
        <v>0</v>
      </c>
      <c r="J45" s="73">
        <v>0</v>
      </c>
      <c r="K45" s="73">
        <v>0</v>
      </c>
      <c r="L45" s="76">
        <f t="shared" si="2"/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f t="shared" si="3"/>
        <v>0</v>
      </c>
      <c r="V45" s="73">
        <f t="shared" si="4"/>
        <v>0</v>
      </c>
      <c r="X45" s="26">
        <f t="shared" si="0"/>
        <v>0</v>
      </c>
      <c r="Y45" s="27">
        <f t="shared" si="14"/>
        <v>0</v>
      </c>
      <c r="Z45" s="27">
        <f t="shared" si="5"/>
        <v>0</v>
      </c>
      <c r="AB45" s="74">
        <v>0</v>
      </c>
      <c r="AC45" s="74">
        <v>0</v>
      </c>
      <c r="AD45" s="74">
        <v>0</v>
      </c>
      <c r="AE45" s="74">
        <v>0</v>
      </c>
      <c r="AF45" s="74">
        <v>0</v>
      </c>
      <c r="AG45" s="26">
        <f t="shared" si="6"/>
        <v>0</v>
      </c>
      <c r="AH45" s="69"/>
      <c r="AI45" s="74">
        <f t="shared" si="7"/>
        <v>0</v>
      </c>
      <c r="AJ45" s="40">
        <f t="shared" si="8"/>
        <v>0</v>
      </c>
      <c r="AK45" s="26">
        <f t="shared" si="9"/>
        <v>0</v>
      </c>
      <c r="AM45" s="26">
        <f t="shared" si="10"/>
        <v>0</v>
      </c>
      <c r="AN45" s="26">
        <f t="shared" si="11"/>
        <v>0</v>
      </c>
      <c r="AO45" s="26">
        <f t="shared" si="15"/>
        <v>0</v>
      </c>
      <c r="AP45" s="26">
        <f t="shared" si="12"/>
        <v>0</v>
      </c>
      <c r="AQ45" s="26">
        <f t="shared" si="13"/>
        <v>0</v>
      </c>
    </row>
    <row r="46" spans="1:43" x14ac:dyDescent="0.25">
      <c r="B46" s="28"/>
      <c r="C46" s="73">
        <v>0</v>
      </c>
      <c r="D46" s="73">
        <v>0</v>
      </c>
      <c r="E46" s="73">
        <v>0</v>
      </c>
      <c r="F46" s="73">
        <v>0</v>
      </c>
      <c r="G46" s="73">
        <v>0</v>
      </c>
      <c r="H46" s="73">
        <v>0</v>
      </c>
      <c r="I46" s="73">
        <v>0</v>
      </c>
      <c r="J46" s="73">
        <v>0</v>
      </c>
      <c r="K46" s="73">
        <v>0</v>
      </c>
      <c r="L46" s="76">
        <f t="shared" si="2"/>
        <v>0</v>
      </c>
      <c r="M46" s="73">
        <v>0</v>
      </c>
      <c r="N46" s="73">
        <v>0</v>
      </c>
      <c r="O46" s="73">
        <v>0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f t="shared" si="3"/>
        <v>0</v>
      </c>
      <c r="V46" s="73">
        <f t="shared" si="4"/>
        <v>0</v>
      </c>
      <c r="X46" s="26">
        <f t="shared" si="0"/>
        <v>0</v>
      </c>
      <c r="Y46" s="27">
        <f t="shared" si="14"/>
        <v>0</v>
      </c>
      <c r="Z46" s="27">
        <f t="shared" si="5"/>
        <v>0</v>
      </c>
      <c r="AB46" s="74">
        <v>0</v>
      </c>
      <c r="AC46" s="74">
        <v>0</v>
      </c>
      <c r="AD46" s="74">
        <v>0</v>
      </c>
      <c r="AE46" s="74">
        <v>0</v>
      </c>
      <c r="AF46" s="74">
        <v>0</v>
      </c>
      <c r="AG46" s="26">
        <f t="shared" si="6"/>
        <v>0</v>
      </c>
      <c r="AH46" s="69"/>
      <c r="AI46" s="74">
        <f t="shared" si="7"/>
        <v>0</v>
      </c>
      <c r="AJ46" s="40">
        <f t="shared" si="8"/>
        <v>0</v>
      </c>
      <c r="AK46" s="26">
        <f t="shared" si="9"/>
        <v>0</v>
      </c>
      <c r="AM46" s="26">
        <f t="shared" si="10"/>
        <v>0</v>
      </c>
      <c r="AN46" s="26">
        <f t="shared" si="11"/>
        <v>0</v>
      </c>
      <c r="AO46" s="26">
        <f t="shared" si="15"/>
        <v>0</v>
      </c>
      <c r="AP46" s="26">
        <f t="shared" si="12"/>
        <v>0</v>
      </c>
      <c r="AQ46" s="26">
        <f t="shared" si="13"/>
        <v>0</v>
      </c>
    </row>
    <row r="47" spans="1:43" x14ac:dyDescent="0.25">
      <c r="B47" s="28"/>
      <c r="C47" s="73">
        <v>0</v>
      </c>
      <c r="D47" s="73">
        <v>0</v>
      </c>
      <c r="E47" s="73">
        <v>0</v>
      </c>
      <c r="F47" s="73">
        <v>0</v>
      </c>
      <c r="G47" s="73">
        <v>0</v>
      </c>
      <c r="H47" s="73">
        <v>0</v>
      </c>
      <c r="I47" s="73">
        <v>0</v>
      </c>
      <c r="J47" s="73">
        <v>0</v>
      </c>
      <c r="K47" s="73">
        <v>0</v>
      </c>
      <c r="L47" s="76">
        <f t="shared" si="2"/>
        <v>0</v>
      </c>
      <c r="M47" s="73">
        <v>0</v>
      </c>
      <c r="N47" s="73">
        <v>0</v>
      </c>
      <c r="O47" s="73">
        <v>0</v>
      </c>
      <c r="P47" s="73">
        <v>0</v>
      </c>
      <c r="Q47" s="73">
        <v>0</v>
      </c>
      <c r="R47" s="73">
        <v>0</v>
      </c>
      <c r="S47" s="73">
        <v>0</v>
      </c>
      <c r="T47" s="73">
        <v>0</v>
      </c>
      <c r="U47" s="73">
        <f t="shared" si="3"/>
        <v>0</v>
      </c>
      <c r="V47" s="73">
        <f t="shared" si="4"/>
        <v>0</v>
      </c>
      <c r="X47" s="26">
        <f t="shared" si="0"/>
        <v>0</v>
      </c>
      <c r="Y47" s="27">
        <f t="shared" si="14"/>
        <v>0</v>
      </c>
      <c r="Z47" s="27">
        <f t="shared" si="5"/>
        <v>0</v>
      </c>
      <c r="AB47" s="74">
        <v>0</v>
      </c>
      <c r="AC47" s="74">
        <v>0</v>
      </c>
      <c r="AD47" s="74">
        <v>0</v>
      </c>
      <c r="AE47" s="74">
        <v>0</v>
      </c>
      <c r="AF47" s="74">
        <v>0</v>
      </c>
      <c r="AG47" s="26">
        <f t="shared" si="6"/>
        <v>0</v>
      </c>
      <c r="AH47" s="69"/>
      <c r="AI47" s="74">
        <f t="shared" si="7"/>
        <v>0</v>
      </c>
      <c r="AJ47" s="40">
        <f t="shared" si="8"/>
        <v>0</v>
      </c>
      <c r="AK47" s="26">
        <f t="shared" si="9"/>
        <v>0</v>
      </c>
      <c r="AM47" s="26">
        <f t="shared" si="10"/>
        <v>0</v>
      </c>
      <c r="AN47" s="26">
        <f t="shared" si="11"/>
        <v>0</v>
      </c>
      <c r="AO47" s="26">
        <f t="shared" si="15"/>
        <v>0</v>
      </c>
      <c r="AP47" s="26">
        <f t="shared" si="12"/>
        <v>0</v>
      </c>
      <c r="AQ47" s="26">
        <f t="shared" si="13"/>
        <v>0</v>
      </c>
    </row>
    <row r="48" spans="1:43" x14ac:dyDescent="0.25">
      <c r="B48" s="28"/>
      <c r="C48" s="73">
        <v>0</v>
      </c>
      <c r="D48" s="73">
        <v>0</v>
      </c>
      <c r="E48" s="73">
        <v>0</v>
      </c>
      <c r="F48" s="73">
        <v>0</v>
      </c>
      <c r="G48" s="73">
        <v>0</v>
      </c>
      <c r="H48" s="73">
        <v>0</v>
      </c>
      <c r="I48" s="73">
        <v>0</v>
      </c>
      <c r="J48" s="73">
        <v>0</v>
      </c>
      <c r="K48" s="73">
        <v>0</v>
      </c>
      <c r="L48" s="76">
        <f t="shared" si="2"/>
        <v>0</v>
      </c>
      <c r="M48" s="73">
        <v>0</v>
      </c>
      <c r="N48" s="73">
        <v>0</v>
      </c>
      <c r="O48" s="73">
        <v>0</v>
      </c>
      <c r="P48" s="73">
        <v>0</v>
      </c>
      <c r="Q48" s="73">
        <v>0</v>
      </c>
      <c r="R48" s="73">
        <v>0</v>
      </c>
      <c r="S48" s="73">
        <v>0</v>
      </c>
      <c r="T48" s="73">
        <v>0</v>
      </c>
      <c r="U48" s="73">
        <f t="shared" si="3"/>
        <v>0</v>
      </c>
      <c r="V48" s="73">
        <f t="shared" si="4"/>
        <v>0</v>
      </c>
      <c r="X48" s="26">
        <f t="shared" si="0"/>
        <v>0</v>
      </c>
      <c r="Y48" s="27">
        <f t="shared" si="14"/>
        <v>0</v>
      </c>
      <c r="Z48" s="27">
        <f t="shared" si="5"/>
        <v>0</v>
      </c>
      <c r="AB48" s="74">
        <v>0</v>
      </c>
      <c r="AC48" s="74">
        <v>0</v>
      </c>
      <c r="AD48" s="74">
        <v>0</v>
      </c>
      <c r="AE48" s="74">
        <v>0</v>
      </c>
      <c r="AF48" s="74">
        <v>0</v>
      </c>
      <c r="AG48" s="26">
        <f t="shared" si="6"/>
        <v>0</v>
      </c>
      <c r="AH48" s="69"/>
      <c r="AI48" s="74">
        <f t="shared" si="7"/>
        <v>0</v>
      </c>
      <c r="AJ48" s="40">
        <f t="shared" si="8"/>
        <v>0</v>
      </c>
      <c r="AK48" s="26">
        <f t="shared" si="9"/>
        <v>0</v>
      </c>
      <c r="AM48" s="26">
        <f t="shared" si="10"/>
        <v>0</v>
      </c>
      <c r="AN48" s="26">
        <f t="shared" si="11"/>
        <v>0</v>
      </c>
      <c r="AO48" s="26">
        <f t="shared" si="15"/>
        <v>0</v>
      </c>
      <c r="AP48" s="26">
        <f t="shared" si="12"/>
        <v>0</v>
      </c>
      <c r="AQ48" s="26">
        <f t="shared" si="13"/>
        <v>0</v>
      </c>
    </row>
    <row r="49" spans="2:43" x14ac:dyDescent="0.25">
      <c r="B49" s="28"/>
      <c r="C49" s="73">
        <v>0</v>
      </c>
      <c r="D49" s="73">
        <v>0</v>
      </c>
      <c r="E49" s="73">
        <v>0</v>
      </c>
      <c r="F49" s="73">
        <v>0</v>
      </c>
      <c r="G49" s="73">
        <v>0</v>
      </c>
      <c r="H49" s="73">
        <v>0</v>
      </c>
      <c r="I49" s="73">
        <v>0</v>
      </c>
      <c r="J49" s="73">
        <v>0</v>
      </c>
      <c r="K49" s="73">
        <v>0</v>
      </c>
      <c r="L49" s="76">
        <f t="shared" si="2"/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f t="shared" si="3"/>
        <v>0</v>
      </c>
      <c r="V49" s="73">
        <f t="shared" si="4"/>
        <v>0</v>
      </c>
      <c r="X49" s="26">
        <f t="shared" si="0"/>
        <v>0</v>
      </c>
      <c r="Y49" s="27">
        <f t="shared" si="14"/>
        <v>0</v>
      </c>
      <c r="Z49" s="27">
        <f t="shared" si="5"/>
        <v>0</v>
      </c>
      <c r="AB49" s="74">
        <v>0</v>
      </c>
      <c r="AC49" s="74">
        <v>0</v>
      </c>
      <c r="AD49" s="74">
        <v>0</v>
      </c>
      <c r="AE49" s="74">
        <v>0</v>
      </c>
      <c r="AF49" s="74">
        <v>0</v>
      </c>
      <c r="AG49" s="26">
        <f t="shared" si="6"/>
        <v>0</v>
      </c>
      <c r="AH49" s="69"/>
      <c r="AI49" s="74">
        <f t="shared" si="7"/>
        <v>0</v>
      </c>
      <c r="AJ49" s="40">
        <f t="shared" si="8"/>
        <v>0</v>
      </c>
      <c r="AK49" s="26">
        <f t="shared" si="9"/>
        <v>0</v>
      </c>
      <c r="AM49" s="26">
        <f t="shared" si="10"/>
        <v>0</v>
      </c>
      <c r="AN49" s="26">
        <f t="shared" si="11"/>
        <v>0</v>
      </c>
      <c r="AO49" s="26">
        <f t="shared" si="15"/>
        <v>0</v>
      </c>
      <c r="AP49" s="26">
        <f t="shared" si="12"/>
        <v>0</v>
      </c>
      <c r="AQ49" s="26">
        <f t="shared" si="13"/>
        <v>0</v>
      </c>
    </row>
    <row r="50" spans="2:43" ht="5.5" customHeight="1" x14ac:dyDescent="0.25"/>
    <row r="51" spans="2:43" ht="13" thickBot="1" x14ac:dyDescent="0.3">
      <c r="C51" s="31">
        <f>+AVERAGE(C38:C49)</f>
        <v>0</v>
      </c>
      <c r="D51" s="31">
        <f>+SUM(D38:D49)</f>
        <v>0</v>
      </c>
      <c r="E51" s="31">
        <f>+SUM(E38:E49)</f>
        <v>0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>
        <f>+SUM(P38:P49)</f>
        <v>0</v>
      </c>
      <c r="Q51" s="31">
        <f>+SUM(Q38:Q49)</f>
        <v>0</v>
      </c>
      <c r="R51" s="31"/>
      <c r="S51" s="31"/>
      <c r="T51" s="31">
        <f>+SUM(T38:T49)</f>
        <v>0</v>
      </c>
      <c r="U51" s="31">
        <f>+SUM(U38:U49)</f>
        <v>0</v>
      </c>
      <c r="V51" s="31">
        <f>+SUM(V38:V49)</f>
        <v>0</v>
      </c>
      <c r="W51" s="32"/>
      <c r="X51" s="31">
        <f>+SUM(X38:X49)</f>
        <v>0</v>
      </c>
      <c r="Y51" s="31">
        <f>+SUM(Y38:Y49)</f>
        <v>0</v>
      </c>
      <c r="Z51" s="31">
        <f>+SUM(Z38:Z49)</f>
        <v>0</v>
      </c>
      <c r="AB51" s="31">
        <f>+AVERAGE(AB38:AB49)</f>
        <v>0</v>
      </c>
      <c r="AC51" s="31">
        <f>+SUM(AC38:AC49)</f>
        <v>0</v>
      </c>
      <c r="AD51" s="31"/>
      <c r="AE51" s="31"/>
      <c r="AF51" s="31"/>
      <c r="AG51" s="31">
        <f>+SUM(AG38:AG49)</f>
        <v>0</v>
      </c>
      <c r="AH51" s="70"/>
      <c r="AI51" s="31">
        <f>+AVERAGE(AI38:AI49)</f>
        <v>0</v>
      </c>
      <c r="AJ51" s="31">
        <f>+SUM(AJ38:AJ49)</f>
        <v>0</v>
      </c>
      <c r="AK51" s="31">
        <f>+SUM(AK38:AK49)</f>
        <v>0</v>
      </c>
      <c r="AM51" s="39">
        <f>+SUM(AM38:AM49)</f>
        <v>0</v>
      </c>
      <c r="AN51" s="39">
        <f t="shared" ref="AN51:AQ51" si="16">+SUM(AN38:AN49)</f>
        <v>0</v>
      </c>
      <c r="AO51" s="39">
        <f t="shared" si="16"/>
        <v>0</v>
      </c>
      <c r="AP51" s="39">
        <f t="shared" ref="AP51" si="17">+SUM(AP38:AP49)</f>
        <v>0</v>
      </c>
      <c r="AQ51" s="39">
        <f t="shared" si="16"/>
        <v>0</v>
      </c>
    </row>
    <row r="52" spans="2:43" ht="13" thickTop="1" x14ac:dyDescent="0.25">
      <c r="D52" s="80" t="s">
        <v>33</v>
      </c>
      <c r="E52" s="80"/>
      <c r="F52" s="61"/>
      <c r="G52" s="61"/>
      <c r="H52" s="61"/>
      <c r="I52" s="61"/>
      <c r="J52" s="61"/>
      <c r="K52" s="61"/>
      <c r="L52" s="61"/>
      <c r="M52" s="61"/>
      <c r="N52" s="75" t="s">
        <v>88</v>
      </c>
      <c r="O52" s="61"/>
      <c r="AG52" s="60"/>
      <c r="AH52" s="61"/>
      <c r="AK52" s="60"/>
      <c r="AM52" s="60" t="s">
        <v>35</v>
      </c>
      <c r="AN52" s="60" t="s">
        <v>85</v>
      </c>
      <c r="AO52" s="60" t="s">
        <v>86</v>
      </c>
      <c r="AP52" s="60" t="s">
        <v>87</v>
      </c>
    </row>
    <row r="53" spans="2:43" x14ac:dyDescent="0.25">
      <c r="AG53" s="44"/>
      <c r="AH53" s="44"/>
      <c r="AK53" s="44"/>
    </row>
    <row r="57" spans="2:43" x14ac:dyDescent="0.25">
      <c r="B57" s="83" t="s">
        <v>29</v>
      </c>
      <c r="C57" s="83"/>
      <c r="D57" s="83"/>
      <c r="E57" s="83"/>
      <c r="F57" s="83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</row>
    <row r="59" spans="2:43" x14ac:dyDescent="0.25">
      <c r="B59" s="11" t="s">
        <v>83</v>
      </c>
      <c r="C59" s="42"/>
      <c r="D59" s="42"/>
    </row>
    <row r="60" spans="2:43" x14ac:dyDescent="0.25">
      <c r="B60" s="43"/>
      <c r="C60" s="42"/>
      <c r="D60" s="42"/>
    </row>
    <row r="61" spans="2:43" ht="38" customHeight="1" x14ac:dyDescent="0.25">
      <c r="B61" s="29" t="s">
        <v>30</v>
      </c>
      <c r="C61" s="29" t="s">
        <v>31</v>
      </c>
      <c r="D61" s="33" t="s">
        <v>32</v>
      </c>
      <c r="E61" s="33" t="s">
        <v>84</v>
      </c>
      <c r="F61" s="33" t="s">
        <v>34</v>
      </c>
    </row>
    <row r="62" spans="2:43" x14ac:dyDescent="0.25">
      <c r="B62" s="28"/>
      <c r="C62" s="28"/>
      <c r="D62" s="28"/>
      <c r="E62" s="71">
        <f>+D62-F62</f>
        <v>0</v>
      </c>
      <c r="F62" s="71">
        <f>+D51+E51</f>
        <v>0</v>
      </c>
      <c r="G62" s="72" t="s">
        <v>33</v>
      </c>
    </row>
    <row r="63" spans="2:43" x14ac:dyDescent="0.25">
      <c r="B63" s="28"/>
      <c r="C63" s="28"/>
      <c r="D63" s="28"/>
      <c r="E63" s="71">
        <f t="shared" ref="E63:E66" si="18">+D63-F63</f>
        <v>0</v>
      </c>
      <c r="F63" s="71">
        <f>+AM51</f>
        <v>0</v>
      </c>
      <c r="G63" s="72" t="s">
        <v>35</v>
      </c>
    </row>
    <row r="64" spans="2:43" x14ac:dyDescent="0.25">
      <c r="B64" s="28"/>
      <c r="C64" s="28"/>
      <c r="D64" s="28"/>
      <c r="E64" s="71">
        <f t="shared" si="18"/>
        <v>0</v>
      </c>
      <c r="F64" s="71">
        <f>+AN51</f>
        <v>0</v>
      </c>
      <c r="G64" s="72" t="s">
        <v>85</v>
      </c>
    </row>
    <row r="65" spans="1:15" x14ac:dyDescent="0.25">
      <c r="B65" s="28"/>
      <c r="C65" s="28"/>
      <c r="D65" s="28"/>
      <c r="E65" s="71">
        <f t="shared" si="18"/>
        <v>0</v>
      </c>
      <c r="F65" s="71">
        <f>+AO51</f>
        <v>0</v>
      </c>
      <c r="G65" s="72" t="s">
        <v>86</v>
      </c>
    </row>
    <row r="66" spans="1:15" x14ac:dyDescent="0.25">
      <c r="B66" s="28"/>
      <c r="C66" s="28"/>
      <c r="D66" s="28"/>
      <c r="E66" s="71">
        <f t="shared" si="18"/>
        <v>0</v>
      </c>
      <c r="F66" s="71">
        <f>+AP51</f>
        <v>0</v>
      </c>
      <c r="G66" s="72" t="s">
        <v>87</v>
      </c>
    </row>
    <row r="67" spans="1:15" x14ac:dyDescent="0.25">
      <c r="C67" s="45"/>
      <c r="D67" s="57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</row>
    <row r="68" spans="1:15" x14ac:dyDescent="0.25">
      <c r="B68" s="11" t="s">
        <v>93</v>
      </c>
    </row>
    <row r="70" spans="1:15" ht="41" customHeight="1" x14ac:dyDescent="0.25">
      <c r="B70" s="29" t="s">
        <v>30</v>
      </c>
      <c r="C70" s="29" t="s">
        <v>31</v>
      </c>
      <c r="D70" s="33" t="s">
        <v>32</v>
      </c>
      <c r="E70" s="33" t="s">
        <v>84</v>
      </c>
      <c r="F70" s="33" t="s">
        <v>34</v>
      </c>
    </row>
    <row r="71" spans="1:15" x14ac:dyDescent="0.25">
      <c r="B71" s="28"/>
      <c r="C71" s="28"/>
      <c r="D71" s="28"/>
      <c r="E71" s="71">
        <f>+D71-F71</f>
        <v>0</v>
      </c>
      <c r="F71" s="71">
        <f>+AM49</f>
        <v>0</v>
      </c>
    </row>
    <row r="72" spans="1:15" x14ac:dyDescent="0.25">
      <c r="B72" s="28"/>
      <c r="C72" s="28"/>
      <c r="D72" s="28"/>
      <c r="E72" s="71">
        <f t="shared" ref="E72:E74" si="19">+D72-F72</f>
        <v>0</v>
      </c>
      <c r="F72" s="71">
        <f>+SUM(AN45:AN49)</f>
        <v>0</v>
      </c>
    </row>
    <row r="73" spans="1:15" x14ac:dyDescent="0.25">
      <c r="B73" s="28"/>
      <c r="C73" s="28"/>
      <c r="D73" s="28"/>
      <c r="E73" s="71">
        <f t="shared" si="19"/>
        <v>0</v>
      </c>
      <c r="F73" s="71">
        <f>+AP49</f>
        <v>0</v>
      </c>
    </row>
    <row r="74" spans="1:15" x14ac:dyDescent="0.25">
      <c r="B74" s="28"/>
      <c r="C74" s="28"/>
      <c r="D74" s="28"/>
      <c r="E74" s="71">
        <f t="shared" si="19"/>
        <v>0</v>
      </c>
      <c r="F74" s="73">
        <f>+N49</f>
        <v>0</v>
      </c>
      <c r="G74" s="72" t="s">
        <v>88</v>
      </c>
    </row>
    <row r="78" spans="1:15" x14ac:dyDescent="0.25">
      <c r="A78" s="2"/>
      <c r="B78" s="49" t="s">
        <v>37</v>
      </c>
    </row>
    <row r="79" spans="1:15" ht="7" customHeight="1" x14ac:dyDescent="0.25">
      <c r="A79" s="2"/>
      <c r="B79" s="49"/>
    </row>
    <row r="80" spans="1:15" x14ac:dyDescent="0.25">
      <c r="A80" s="58"/>
      <c r="B80" s="3" t="s">
        <v>38</v>
      </c>
    </row>
    <row r="81" spans="1:2" x14ac:dyDescent="0.25">
      <c r="A81" s="58"/>
      <c r="B81" s="50" t="s">
        <v>39</v>
      </c>
    </row>
    <row r="82" spans="1:2" x14ac:dyDescent="0.25">
      <c r="A82" s="58"/>
      <c r="B82" s="3" t="s">
        <v>40</v>
      </c>
    </row>
    <row r="83" spans="1:2" x14ac:dyDescent="0.25">
      <c r="A83" s="2"/>
    </row>
    <row r="84" spans="1:2" x14ac:dyDescent="0.25">
      <c r="A84" s="2"/>
      <c r="B84" s="51" t="s">
        <v>55</v>
      </c>
    </row>
    <row r="85" spans="1:2" ht="7" customHeight="1" x14ac:dyDescent="0.25">
      <c r="A85" s="2"/>
    </row>
    <row r="86" spans="1:2" x14ac:dyDescent="0.25">
      <c r="A86" s="52" t="s">
        <v>41</v>
      </c>
    </row>
    <row r="87" spans="1:2" x14ac:dyDescent="0.25">
      <c r="A87" s="52" t="s">
        <v>42</v>
      </c>
    </row>
    <row r="88" spans="1:2" x14ac:dyDescent="0.25">
      <c r="A88" s="52" t="s">
        <v>43</v>
      </c>
    </row>
    <row r="89" spans="1:2" x14ac:dyDescent="0.25">
      <c r="A89" s="2"/>
    </row>
    <row r="90" spans="1:2" x14ac:dyDescent="0.25">
      <c r="A90" s="53"/>
      <c r="B90" s="51" t="s">
        <v>44</v>
      </c>
    </row>
    <row r="91" spans="1:2" ht="7" customHeight="1" x14ac:dyDescent="0.25">
      <c r="A91" s="53"/>
      <c r="B91" s="51"/>
    </row>
    <row r="92" spans="1:2" x14ac:dyDescent="0.25">
      <c r="A92" s="52" t="s">
        <v>45</v>
      </c>
      <c r="B92" s="51"/>
    </row>
    <row r="93" spans="1:2" x14ac:dyDescent="0.25">
      <c r="A93" s="52" t="s">
        <v>46</v>
      </c>
      <c r="B93" s="51"/>
    </row>
    <row r="94" spans="1:2" x14ac:dyDescent="0.25">
      <c r="A94" s="52" t="s">
        <v>47</v>
      </c>
    </row>
    <row r="95" spans="1:2" x14ac:dyDescent="0.25">
      <c r="A95" s="53"/>
      <c r="B95" s="54"/>
    </row>
    <row r="96" spans="1:2" x14ac:dyDescent="0.25">
      <c r="A96" s="53"/>
      <c r="B96" s="51" t="s">
        <v>48</v>
      </c>
    </row>
    <row r="97" spans="1:2" ht="7" customHeight="1" x14ac:dyDescent="0.25">
      <c r="A97" s="53"/>
      <c r="B97" s="51"/>
    </row>
    <row r="98" spans="1:2" x14ac:dyDescent="0.25">
      <c r="A98" s="52" t="s">
        <v>49</v>
      </c>
      <c r="B98" s="51"/>
    </row>
    <row r="99" spans="1:2" x14ac:dyDescent="0.25">
      <c r="A99" s="52" t="s">
        <v>50</v>
      </c>
    </row>
    <row r="100" spans="1:2" x14ac:dyDescent="0.25">
      <c r="A100" s="52" t="s">
        <v>51</v>
      </c>
      <c r="B100" s="55"/>
    </row>
    <row r="101" spans="1:2" x14ac:dyDescent="0.25">
      <c r="A101" s="52"/>
      <c r="B101" s="55"/>
    </row>
    <row r="102" spans="1:2" x14ac:dyDescent="0.25">
      <c r="A102" s="47"/>
      <c r="B102" s="51" t="s">
        <v>52</v>
      </c>
    </row>
    <row r="103" spans="1:2" ht="7" customHeight="1" x14ac:dyDescent="0.25">
      <c r="A103" s="47"/>
      <c r="B103" s="51"/>
    </row>
    <row r="104" spans="1:2" x14ac:dyDescent="0.25">
      <c r="A104" s="47"/>
      <c r="B104" s="56" t="s">
        <v>53</v>
      </c>
    </row>
    <row r="105" spans="1:2" x14ac:dyDescent="0.25">
      <c r="A105" s="2"/>
    </row>
  </sheetData>
  <mergeCells count="9">
    <mergeCell ref="AM36:AQ36"/>
    <mergeCell ref="D52:E52"/>
    <mergeCell ref="B36:V36"/>
    <mergeCell ref="X32:Z34"/>
    <mergeCell ref="B57:F57"/>
    <mergeCell ref="X36:Z36"/>
    <mergeCell ref="AB36:AG36"/>
    <mergeCell ref="AI36:AK36"/>
    <mergeCell ref="AM32:AQ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10C5-681D-45DA-BB48-1CBE7931DC93}">
  <dimension ref="B3"/>
  <sheetViews>
    <sheetView showGridLines="0" zoomScale="83" workbookViewId="0">
      <selection activeCell="E16" sqref="E16"/>
    </sheetView>
  </sheetViews>
  <sheetFormatPr baseColWidth="10" defaultRowHeight="14.5" x14ac:dyDescent="0.35"/>
  <sheetData>
    <row r="3" spans="2:2" x14ac:dyDescent="0.35">
      <c r="B3" s="48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7CFFC-FDAE-4FC9-AEA7-6DAEF908E9E1}">
  <dimension ref="B3:L10"/>
  <sheetViews>
    <sheetView showGridLines="0" zoomScale="84" workbookViewId="0">
      <selection activeCell="B9" sqref="B9:L10"/>
    </sheetView>
  </sheetViews>
  <sheetFormatPr baseColWidth="10" defaultRowHeight="14.5" x14ac:dyDescent="0.35"/>
  <sheetData>
    <row r="3" spans="2:12" x14ac:dyDescent="0.35">
      <c r="B3" s="48" t="s">
        <v>97</v>
      </c>
    </row>
    <row r="4" spans="2:12" ht="7.5" customHeight="1" x14ac:dyDescent="0.35">
      <c r="B4" s="48"/>
    </row>
    <row r="5" spans="2:12" x14ac:dyDescent="0.35">
      <c r="B5" s="84" t="s">
        <v>102</v>
      </c>
      <c r="C5" s="84"/>
      <c r="D5" s="84"/>
      <c r="E5" s="84"/>
      <c r="F5" s="84"/>
      <c r="G5" s="84"/>
      <c r="H5" s="84"/>
      <c r="I5" s="84"/>
      <c r="J5" s="84"/>
      <c r="K5" s="84"/>
      <c r="L5" s="84"/>
    </row>
    <row r="6" spans="2:12" x14ac:dyDescent="0.35"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</row>
    <row r="7" spans="2:12" x14ac:dyDescent="0.35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</row>
    <row r="8" spans="2:12" x14ac:dyDescent="0.35">
      <c r="B8" s="78" t="s">
        <v>103</v>
      </c>
      <c r="C8" s="77"/>
      <c r="D8" s="77"/>
      <c r="E8" s="77"/>
      <c r="F8" s="77"/>
      <c r="G8" s="77"/>
      <c r="H8" s="77"/>
      <c r="I8" s="77"/>
      <c r="J8" s="77"/>
      <c r="K8" s="77"/>
      <c r="L8" s="77"/>
    </row>
    <row r="9" spans="2:12" ht="22" customHeight="1" x14ac:dyDescent="0.35">
      <c r="B9" s="85" t="s">
        <v>101</v>
      </c>
      <c r="C9" s="85"/>
      <c r="D9" s="85"/>
      <c r="E9" s="85"/>
      <c r="F9" s="85"/>
      <c r="G9" s="85"/>
      <c r="H9" s="85"/>
      <c r="I9" s="85"/>
      <c r="J9" s="85"/>
      <c r="K9" s="85"/>
      <c r="L9" s="85"/>
    </row>
    <row r="10" spans="2:12" ht="22" customHeight="1" x14ac:dyDescent="0.35"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</row>
  </sheetData>
  <mergeCells count="2">
    <mergeCell ref="B5:L6"/>
    <mergeCell ref="B9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1600.07</vt:lpstr>
      <vt:lpstr>Planillas IESS</vt:lpstr>
      <vt:lpstr>Roles de 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2023-09-26T10:48:53Z</dcterms:created>
  <dcterms:modified xsi:type="dcterms:W3CDTF">2026-04-17T03:51:26Z</dcterms:modified>
</cp:coreProperties>
</file>