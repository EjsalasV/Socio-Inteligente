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5. Gastos\Nómina\"/>
    </mc:Choice>
  </mc:AlternateContent>
  <xr:revisionPtr revIDLastSave="0" documentId="13_ncr:1_{EB7148FA-6196-4C61-AE95-C06E4425D214}" xr6:coauthVersionLast="47" xr6:coauthVersionMax="47" xr10:uidLastSave="{00000000-0000-0000-0000-000000000000}"/>
  <bookViews>
    <workbookView xWindow="-110" yWindow="-110" windowWidth="19420" windowHeight="10300" xr2:uid="{EF80CF86-B70C-40B4-A54C-8F09D15B2C68}"/>
  </bookViews>
  <sheets>
    <sheet name="1600.09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</externalReferences>
  <definedNames>
    <definedName name="\0">#REF!</definedName>
    <definedName name="\a">#REF!</definedName>
    <definedName name="\d">#REF!</definedName>
    <definedName name="\m">#REF!</definedName>
    <definedName name="\p">'[1]Bco. Internacional'!#REF!</definedName>
    <definedName name="__">#REF!</definedName>
    <definedName name="___A320000">#REF!</definedName>
    <definedName name="___A66000">#REF!</definedName>
    <definedName name="___A69000">#REF!</definedName>
    <definedName name="___A70000">#REF!</definedName>
    <definedName name="___A99999">#REF!</definedName>
    <definedName name="___M151060">#REF!</definedName>
    <definedName name="___M152040">#REF!</definedName>
    <definedName name="___M152050">'[2]Det. Rec. Prov. Locales {PPC}'!#REF!</definedName>
    <definedName name="___MM11055">#REF!</definedName>
    <definedName name="___MM23616">#REF!</definedName>
    <definedName name="___RSE1">#REF!</definedName>
    <definedName name="___RSE2">#REF!</definedName>
    <definedName name="__A320000">[3]CoberturaSeg!$A$32009</definedName>
    <definedName name="__A66000">[3]CoberturaSeg!$A$65009</definedName>
    <definedName name="__A69000">[3]CoberturaSeg!$A$65009</definedName>
    <definedName name="__A70000">[3]CoberturaSeg!$A$50009</definedName>
    <definedName name="__A99999">[3]CoberturaSeg!$A$32009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M151060">#REF!</definedName>
    <definedName name="__M152040">#REF!</definedName>
    <definedName name="__M152050">'[2]Det. Rec. Prov. Locales {PPC}'!#REF!</definedName>
    <definedName name="__MM11055">#REF!</definedName>
    <definedName name="__MM23616">#REF!</definedName>
    <definedName name="__ND1">#REF!</definedName>
    <definedName name="__ND2" localSheetId="0" hidden="1">{#N/A,#N/A,FALSE,"Aging Summary";#N/A,#N/A,FALSE,"Ratio Analysis";#N/A,#N/A,FALSE,"Test 120 Day Accts";#N/A,#N/A,FALSE,"Tickmarks"}</definedName>
    <definedName name="__ND2" hidden="1">{#N/A,#N/A,FALSE,"Aging Summary";#N/A,#N/A,FALSE,"Ratio Analysis";#N/A,#N/A,FALSE,"Test 120 Day Accts";#N/A,#N/A,FALSE,"Tickmarks"}</definedName>
    <definedName name="__ND3" hidden="1">#REF!</definedName>
    <definedName name="__OB98008">'[4]OBB 31-dic-00'!#REF!</definedName>
    <definedName name="__OB98025">'[4]OBB 31-dic-00'!#REF!</definedName>
    <definedName name="__Pag1">#REF!</definedName>
    <definedName name="__pr1">#REF!</definedName>
    <definedName name="__RSE1">#REF!</definedName>
    <definedName name="__RSE2">#REF!</definedName>
    <definedName name="_02">#REF!</definedName>
    <definedName name="_10">#REF!</definedName>
    <definedName name="_1001">#REF!</definedName>
    <definedName name="_100101">#REF!</definedName>
    <definedName name="_10010101">#REF!</definedName>
    <definedName name="_1001010101">#REF!</definedName>
    <definedName name="_1001010102">#REF!</definedName>
    <definedName name="_10010102">#REF!</definedName>
    <definedName name="_1001010201">#REF!</definedName>
    <definedName name="_1001010202">#REF!</definedName>
    <definedName name="_10010103">#REF!</definedName>
    <definedName name="_1001010301">#REF!</definedName>
    <definedName name="_1001010302">#REF!</definedName>
    <definedName name="_10010104">#REF!</definedName>
    <definedName name="_1001010401">#REF!</definedName>
    <definedName name="_1001010402">#REF!</definedName>
    <definedName name="_100102">#REF!</definedName>
    <definedName name="_100103">#REF!</definedName>
    <definedName name="_100104">#REF!</definedName>
    <definedName name="_10010401">#REF!</definedName>
    <definedName name="_1001040101">#REF!</definedName>
    <definedName name="_1001040102">#REF!</definedName>
    <definedName name="_10010402">#REF!</definedName>
    <definedName name="_100105">#REF!</definedName>
    <definedName name="_100106">#REF!</definedName>
    <definedName name="_100107">#REF!</definedName>
    <definedName name="_100108">#REF!</definedName>
    <definedName name="_100109">#REF!</definedName>
    <definedName name="_10010901">#REF!</definedName>
    <definedName name="_1001090101">#REF!</definedName>
    <definedName name="_10010902">#REF!</definedName>
    <definedName name="_1001090201">#REF!</definedName>
    <definedName name="_1002">#REF!</definedName>
    <definedName name="_100201">#REF!</definedName>
    <definedName name="_10020101">#REF!</definedName>
    <definedName name="_1002010101">#REF!</definedName>
    <definedName name="_1002010102">#REF!</definedName>
    <definedName name="_100202">#REF!</definedName>
    <definedName name="_10020201">#REF!</definedName>
    <definedName name="_1002020101">#REF!</definedName>
    <definedName name="_1002020102">#REF!</definedName>
    <definedName name="_1002020103">#REF!</definedName>
    <definedName name="_1002020104">#REF!</definedName>
    <definedName name="_1002020105">#REF!</definedName>
    <definedName name="_10020202">#REF!</definedName>
    <definedName name="_1002020201">#REF!</definedName>
    <definedName name="_1002020202">#REF!</definedName>
    <definedName name="_1002020203">#REF!</definedName>
    <definedName name="_10020203">#REF!</definedName>
    <definedName name="_1002020301">#REF!</definedName>
    <definedName name="_10020204">#REF!</definedName>
    <definedName name="_1002020401">#REF!</definedName>
    <definedName name="_1002020402">#REF!</definedName>
    <definedName name="_1002020403">#REF!</definedName>
    <definedName name="_1002020404">#REF!</definedName>
    <definedName name="_1002020405">#REF!</definedName>
    <definedName name="_100203">#REF!</definedName>
    <definedName name="_100204">#REF!</definedName>
    <definedName name="_10020401">#REF!</definedName>
    <definedName name="_100205">#REF!</definedName>
    <definedName name="_10020501">#REF!</definedName>
    <definedName name="_1002050101">#REF!</definedName>
    <definedName name="_1002050102">#REF!</definedName>
    <definedName name="_1002050103">#REF!</definedName>
    <definedName name="_1002050104">#REF!</definedName>
    <definedName name="_1002050105">#REF!</definedName>
    <definedName name="_1002050106">#REF!</definedName>
    <definedName name="_10020502">#REF!</definedName>
    <definedName name="_1002050201">#REF!</definedName>
    <definedName name="_1002050202">#REF!</definedName>
    <definedName name="_1002050203">#REF!</definedName>
    <definedName name="_100206">#REF!</definedName>
    <definedName name="_10020601">#REF!</definedName>
    <definedName name="_1002060101">#REF!</definedName>
    <definedName name="_1002060102">#REF!</definedName>
    <definedName name="_1002060103">#REF!</definedName>
    <definedName name="_100207">#REF!</definedName>
    <definedName name="_10020701">#REF!</definedName>
    <definedName name="_1002070101">#REF!</definedName>
    <definedName name="_1002070102">#REF!</definedName>
    <definedName name="_1002070103">#REF!</definedName>
    <definedName name="_1002070104">#REF!</definedName>
    <definedName name="_1002070105">#REF!</definedName>
    <definedName name="_1002070106">#REF!</definedName>
    <definedName name="_10020702">#REF!</definedName>
    <definedName name="_1002070201">#REF!</definedName>
    <definedName name="_100208">#REF!</definedName>
    <definedName name="_15">[5]ER!$P$167</definedName>
    <definedName name="_20">#REF!</definedName>
    <definedName name="_2001">#REF!</definedName>
    <definedName name="_200101">#REF!</definedName>
    <definedName name="_20010101">#REF!</definedName>
    <definedName name="_2001010101">#REF!</definedName>
    <definedName name="_20010102">#REF!</definedName>
    <definedName name="_2001010201">#REF!</definedName>
    <definedName name="_20010103">#REF!</definedName>
    <definedName name="_2001010301">#REF!</definedName>
    <definedName name="_2001010302">#REF!</definedName>
    <definedName name="_200102">#REF!</definedName>
    <definedName name="_20010201">#REF!</definedName>
    <definedName name="_200103">#REF!</definedName>
    <definedName name="_20010301">#REF!</definedName>
    <definedName name="_2001030101">#REF!</definedName>
    <definedName name="_2001030102">#REF!</definedName>
    <definedName name="_200104">#REF!</definedName>
    <definedName name="_2002">#REF!</definedName>
    <definedName name="_200201">#REF!</definedName>
    <definedName name="_2003">#REF!</definedName>
    <definedName name="_200301">#REF!</definedName>
    <definedName name="_2004">#REF!</definedName>
    <definedName name="_200401">#REF!</definedName>
    <definedName name="_25">[5]ER!$P$166</definedName>
    <definedName name="_30">#REF!</definedName>
    <definedName name="_3001">#REF!</definedName>
    <definedName name="_300101">#REF!</definedName>
    <definedName name="_300102">#REF!</definedName>
    <definedName name="_300103">#REF!</definedName>
    <definedName name="_30010301">#REF!</definedName>
    <definedName name="_30010302">#REF!</definedName>
    <definedName name="_300104">#REF!</definedName>
    <definedName name="_300105">#REF!</definedName>
    <definedName name="_300106">#REF!</definedName>
    <definedName name="_3002">#REF!</definedName>
    <definedName name="_300201">#REF!</definedName>
    <definedName name="_30020101">#REF!</definedName>
    <definedName name="_30020102">#REF!</definedName>
    <definedName name="_30020103">#REF!</definedName>
    <definedName name="_3002010301">#REF!</definedName>
    <definedName name="_3002010302">#REF!</definedName>
    <definedName name="_3002010303">#REF!</definedName>
    <definedName name="_30020104">#REF!</definedName>
    <definedName name="_3002010401">#REF!</definedName>
    <definedName name="_30020105">#REF!</definedName>
    <definedName name="_3002010501">#REF!</definedName>
    <definedName name="_3002010502">#REF!</definedName>
    <definedName name="_3002010503">#REF!</definedName>
    <definedName name="_30020106">#REF!</definedName>
    <definedName name="_3002010601">#REF!</definedName>
    <definedName name="_3002010602">#REF!</definedName>
    <definedName name="_3002010603">#REF!</definedName>
    <definedName name="_30020107">#REF!</definedName>
    <definedName name="_3002010701">#REF!</definedName>
    <definedName name="_3002010702">#REF!</definedName>
    <definedName name="_3002010703">#REF!</definedName>
    <definedName name="_3002010704">#REF!</definedName>
    <definedName name="_300202">#REF!</definedName>
    <definedName name="_300203">#REF!</definedName>
    <definedName name="_300204">#REF!</definedName>
    <definedName name="_30020401">#REF!</definedName>
    <definedName name="_3002040101">#REF!</definedName>
    <definedName name="_3002040102">#REF!</definedName>
    <definedName name="_3002040103">#REF!</definedName>
    <definedName name="_3002040104">#REF!</definedName>
    <definedName name="_3002040105">#REF!</definedName>
    <definedName name="_3002040106">#REF!</definedName>
    <definedName name="_3002040107">#REF!</definedName>
    <definedName name="_3002040108">#REF!</definedName>
    <definedName name="_3002040109">#REF!</definedName>
    <definedName name="_3002040110">#REF!</definedName>
    <definedName name="_3002040111">#REF!</definedName>
    <definedName name="_3002040112">#REF!</definedName>
    <definedName name="_3002040113">#REF!</definedName>
    <definedName name="_3002040114">#REF!</definedName>
    <definedName name="_3002040115">#REF!</definedName>
    <definedName name="_3002040116">#REF!</definedName>
    <definedName name="_3002040117">#REF!</definedName>
    <definedName name="_3002040118">#REF!</definedName>
    <definedName name="_3002040119">#REF!</definedName>
    <definedName name="_3002040120">#REF!</definedName>
    <definedName name="_3002040121">#REF!</definedName>
    <definedName name="_3002040122">#REF!</definedName>
    <definedName name="_3002040123">#REF!</definedName>
    <definedName name="_30020402">#REF!</definedName>
    <definedName name="_3002040201">#REF!</definedName>
    <definedName name="_3002040202">#REF!</definedName>
    <definedName name="_3002040203">#REF!</definedName>
    <definedName name="_3002040204">#REF!</definedName>
    <definedName name="_3002040205">#REF!</definedName>
    <definedName name="_3002040206">#REF!</definedName>
    <definedName name="_3002040207">#REF!</definedName>
    <definedName name="_300205">#REF!</definedName>
    <definedName name="_30020501">#REF!</definedName>
    <definedName name="_3002050101">#REF!</definedName>
    <definedName name="_3002050102">#REF!</definedName>
    <definedName name="_3002050103">#REF!</definedName>
    <definedName name="_3002050104">#REF!</definedName>
    <definedName name="_300206">#REF!</definedName>
    <definedName name="_30020601">#REF!</definedName>
    <definedName name="_300207">#REF!</definedName>
    <definedName name="_30020701">#REF!</definedName>
    <definedName name="_3002070101">#REF!</definedName>
    <definedName name="_30020702">#REF!</definedName>
    <definedName name="_3002070201">#REF!</definedName>
    <definedName name="_3002070202">#REF!</definedName>
    <definedName name="_300208">#REF!</definedName>
    <definedName name="_40">[6]ER!$H$9</definedName>
    <definedName name="_4001">[5]ER!$P$9</definedName>
    <definedName name="_400101">#REF!</definedName>
    <definedName name="_40010101">#REF!</definedName>
    <definedName name="_40010102">#REF!</definedName>
    <definedName name="_400102">#REF!</definedName>
    <definedName name="_4002">[6]ER!$H$15</definedName>
    <definedName name="_400201">#REF!</definedName>
    <definedName name="_40020101">#REF!</definedName>
    <definedName name="_400202">#REF!</definedName>
    <definedName name="_40020201">#REF!</definedName>
    <definedName name="_50">[6]ER!$H$20</definedName>
    <definedName name="_5001">#REF!</definedName>
    <definedName name="_500101">#REF!</definedName>
    <definedName name="_50010101">[6]ER!$H$23</definedName>
    <definedName name="_5002">#REF!</definedName>
    <definedName name="_500201">#REF!</definedName>
    <definedName name="_50020101">#REF!</definedName>
    <definedName name="_50020102">#REF!</definedName>
    <definedName name="_50020103">#REF!</definedName>
    <definedName name="_50020104">#REF!</definedName>
    <definedName name="_50020105">#REF!</definedName>
    <definedName name="_50020106">#REF!</definedName>
    <definedName name="_50020107">#REF!</definedName>
    <definedName name="_50020108">#REF!</definedName>
    <definedName name="_50020109">#REF!</definedName>
    <definedName name="_50020110">#REF!</definedName>
    <definedName name="_50020111">#REF!</definedName>
    <definedName name="_5002011101">#REF!</definedName>
    <definedName name="_5002011102">#REF!</definedName>
    <definedName name="_50020112">#REF!</definedName>
    <definedName name="_50020113">#REF!</definedName>
    <definedName name="_50020114">#REF!</definedName>
    <definedName name="_50020115">#REF!</definedName>
    <definedName name="_50020116">#REF!</definedName>
    <definedName name="_50020117">#REF!</definedName>
    <definedName name="_50020118">#REF!</definedName>
    <definedName name="_50020119">#REF!</definedName>
    <definedName name="_50020120">#REF!</definedName>
    <definedName name="_50020121">#REF!</definedName>
    <definedName name="_50020122">#REF!</definedName>
    <definedName name="_50020123">#REF!</definedName>
    <definedName name="_5002012301">#REF!</definedName>
    <definedName name="_50020124">#REF!</definedName>
    <definedName name="_50020125">#REF!</definedName>
    <definedName name="_50020126">#REF!</definedName>
    <definedName name="_50020127">#REF!</definedName>
    <definedName name="_50020128">#REF!</definedName>
    <definedName name="_5002012801">#REF!</definedName>
    <definedName name="_5002012802">#REF!</definedName>
    <definedName name="_5002012803">#REF!</definedName>
    <definedName name="_5002012804">#REF!</definedName>
    <definedName name="_5002012805">#REF!</definedName>
    <definedName name="_5002012806">#REF!</definedName>
    <definedName name="_5002012807">#REF!</definedName>
    <definedName name="_5002012808">#REF!</definedName>
    <definedName name="_5002012809">#REF!</definedName>
    <definedName name="_5002012810">#REF!</definedName>
    <definedName name="_5002012811">#REF!</definedName>
    <definedName name="_5002012812">#REF!</definedName>
    <definedName name="_500202">#REF!</definedName>
    <definedName name="_50020201">#REF!</definedName>
    <definedName name="_50020202">#REF!</definedName>
    <definedName name="_50020203">#REF!</definedName>
    <definedName name="_50020204">#REF!</definedName>
    <definedName name="_50020205">#REF!</definedName>
    <definedName name="_50020206">#REF!</definedName>
    <definedName name="_50020207">#REF!</definedName>
    <definedName name="_50020208">#REF!</definedName>
    <definedName name="_50020209">#REF!</definedName>
    <definedName name="_50020210">#REF!</definedName>
    <definedName name="_5002021001">#REF!</definedName>
    <definedName name="_5002021002">#REF!</definedName>
    <definedName name="_5002021003">#REF!</definedName>
    <definedName name="_5002021004">#REF!</definedName>
    <definedName name="_5002021005">#REF!</definedName>
    <definedName name="_50020211">#REF!</definedName>
    <definedName name="_50020212">#REF!</definedName>
    <definedName name="_50020213">#REF!</definedName>
    <definedName name="_50020214">#REF!</definedName>
    <definedName name="_5002021401">#REF!</definedName>
    <definedName name="_5002021402">#REF!</definedName>
    <definedName name="_50020215">#REF!</definedName>
    <definedName name="_50020216">#REF!</definedName>
    <definedName name="_50020218">#REF!</definedName>
    <definedName name="_50020219">#REF!</definedName>
    <definedName name="_50020220">#REF!</definedName>
    <definedName name="_50020221">#REF!</definedName>
    <definedName name="_50020222">#REF!</definedName>
    <definedName name="_50020223">#REF!</definedName>
    <definedName name="_50020224">#REF!</definedName>
    <definedName name="_50020225">#REF!</definedName>
    <definedName name="_50020226">#REF!</definedName>
    <definedName name="_50020227">#REF!</definedName>
    <definedName name="_5002022701">#REF!</definedName>
    <definedName name="_5002022702">#REF!</definedName>
    <definedName name="_50020228">[5]ER!$P$105</definedName>
    <definedName name="_5002022801">#REF!</definedName>
    <definedName name="_5002022802">#REF!</definedName>
    <definedName name="_50020229">#REF!</definedName>
    <definedName name="_50020230">#REF!</definedName>
    <definedName name="_50020231">#REF!</definedName>
    <definedName name="_50020232">#REF!</definedName>
    <definedName name="_50020233">#REF!</definedName>
    <definedName name="_50020234">#REF!</definedName>
    <definedName name="_50020235">#REF!</definedName>
    <definedName name="_50020236">#REF!</definedName>
    <definedName name="_50020237">#REF!</definedName>
    <definedName name="_50020238">#REF!</definedName>
    <definedName name="_50020239">#REF!</definedName>
    <definedName name="_50020240">#REF!</definedName>
    <definedName name="_50020241">#REF!</definedName>
    <definedName name="_50020242">#REF!</definedName>
    <definedName name="_500203">#REF!</definedName>
    <definedName name="_50020301">#REF!</definedName>
    <definedName name="_50020302">#REF!</definedName>
    <definedName name="_50020303">#REF!</definedName>
    <definedName name="_50020304">#REF!</definedName>
    <definedName name="_50020305">#REF!</definedName>
    <definedName name="_50020306">#REF!</definedName>
    <definedName name="_50020307">#REF!</definedName>
    <definedName name="_50020308">#REF!</definedName>
    <definedName name="_50020309">#REF!</definedName>
    <definedName name="_50020310">#REF!</definedName>
    <definedName name="_5003">#REF!</definedName>
    <definedName name="_500301">#REF!</definedName>
    <definedName name="_50030101">#REF!</definedName>
    <definedName name="_50030102">#REF!</definedName>
    <definedName name="_500302">#REF!</definedName>
    <definedName name="_50030201">#REF!</definedName>
    <definedName name="_50030202">#REF!</definedName>
    <definedName name="_50030203">#REF!</definedName>
    <definedName name="_50030204">#REF!</definedName>
    <definedName name="_50030205">#REF!</definedName>
    <definedName name="_500303">[5]ER!$P$146</definedName>
    <definedName name="_500304">[5]ER!$P$147</definedName>
    <definedName name="_500305">[5]ER!$P$148</definedName>
    <definedName name="_a">#REF!</definedName>
    <definedName name="_a_1">#REF!</definedName>
    <definedName name="_a_12">#REF!</definedName>
    <definedName name="_a_13">#REF!</definedName>
    <definedName name="_a_15">#REF!</definedName>
    <definedName name="_a_16">#REF!</definedName>
    <definedName name="_a_16_1">#REF!</definedName>
    <definedName name="_a_22">#REF!</definedName>
    <definedName name="_a_8">#REF!</definedName>
    <definedName name="_A320000">[3]CoberturaSeg!$A$32009</definedName>
    <definedName name="_A66000">[3]CoberturaSeg!$A$65009</definedName>
    <definedName name="_A69000">[3]CoberturaSeg!$A$65009</definedName>
    <definedName name="_A70000">[3]CoberturaSeg!$A$50009</definedName>
    <definedName name="_A99999">[3]CoberturaSeg!$A$32009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M151060">#REF!</definedName>
    <definedName name="_M152040">#REF!</definedName>
    <definedName name="_M152050">'[2]Det. Rec. Prov. Locales {PPC}'!#REF!</definedName>
    <definedName name="_MM11055">#REF!</definedName>
    <definedName name="_MM23616">#REF!</definedName>
    <definedName name="_ND1">#REF!</definedName>
    <definedName name="_ND2" localSheetId="0" hidden="1">{#N/A,#N/A,FALSE,"Aging Summary";#N/A,#N/A,FALSE,"Ratio Analysis";#N/A,#N/A,FALSE,"Test 120 Day Accts";#N/A,#N/A,FALSE,"Tickmarks"}</definedName>
    <definedName name="_ND2" hidden="1">{#N/A,#N/A,FALSE,"Aging Summary";#N/A,#N/A,FALSE,"Ratio Analysis";#N/A,#N/A,FALSE,"Test 120 Day Accts";#N/A,#N/A,FALSE,"Tickmarks"}</definedName>
    <definedName name="_ND3" hidden="1">#REF!</definedName>
    <definedName name="_OB98008">'[4]OBB 31-dic-00'!#REF!</definedName>
    <definedName name="_OB98025">'[4]OBB 31-dic-00'!#REF!</definedName>
    <definedName name="_Order1" hidden="1">255</definedName>
    <definedName name="_Order2" hidden="1">255</definedName>
    <definedName name="_Pag1">#REF!</definedName>
    <definedName name="_pr1">#REF!</definedName>
    <definedName name="_RAN1">#REF!</definedName>
    <definedName name="_RAN2">#REF!</definedName>
    <definedName name="_RAN3">#REF!</definedName>
    <definedName name="_RAN4">#REF!</definedName>
    <definedName name="_Regression_Int" hidden="1">1</definedName>
    <definedName name="_RSE1">#REF!</definedName>
    <definedName name="_RSE2">#REF!</definedName>
    <definedName name="_RSE3">'[7]CMA Calculations- Figure 5440.1'!$I$201</definedName>
    <definedName name="_Sort" hidden="1">#REF!</definedName>
    <definedName name="a" localSheetId="0" hidden="1">{#N/A,#N/A,FALSE,"Aging Summary";#N/A,#N/A,FALSE,"Ratio Analysis";#N/A,#N/A,FALSE,"Test 120 Day Accts";#N/A,#N/A,FALSE,"Tickmarks"}</definedName>
    <definedName name="a" hidden="1">{#N/A,#N/A,FALSE,"Aging Summary";#N/A,#N/A,FALSE,"Ratio Analysis";#N/A,#N/A,FALSE,"Test 120 Day Accts";#N/A,#N/A,FALSE,"Tickmarks"}</definedName>
    <definedName name="A_impresión_IM">#REF!</definedName>
    <definedName name="A_impresión_IM_16">#REF!</definedName>
    <definedName name="A_impresión_IM_22">#REF!</definedName>
    <definedName name="A_impresión_IM_8">#REF!</definedName>
    <definedName name="A_IMPRESIÝN_IM">#REF!</definedName>
    <definedName name="aa" localSheetId="0" hidden="1">{#N/A,#N/A,FALSE,"Aging Summary";#N/A,#N/A,FALSE,"Ratio Analysis";#N/A,#N/A,FALSE,"Test 120 Day Accts";#N/A,#N/A,FALSE,"Tickmarks"}</definedName>
    <definedName name="aa" hidden="1">{#N/A,#N/A,FALSE,"Aging Summary";#N/A,#N/A,FALSE,"Ratio Analysis";#N/A,#N/A,FALSE,"Test 120 Day Accts";#N/A,#N/A,FALSE,"Tickmarks"}</definedName>
    <definedName name="AB" localSheetId="0" hidden="1">{#N/A,#N/A,FALSE,"Aging Summary";#N/A,#N/A,FALSE,"Ratio Analysis";#N/A,#N/A,FALSE,"Test 120 Day Accts";#N/A,#N/A,FALSE,"Tickmarks"}</definedName>
    <definedName name="AB" hidden="1">{#N/A,#N/A,FALSE,"Aging Summary";#N/A,#N/A,FALSE,"Ratio Analysis";#N/A,#N/A,FALSE,"Test 120 Day Accts";#N/A,#N/A,FALSE,"Tickmarks"}</definedName>
    <definedName name="abei">#REF!</definedName>
    <definedName name="Abr">9100</definedName>
    <definedName name="Account_Balance">#REF!</definedName>
    <definedName name="Activos">#REF!</definedName>
    <definedName name="Acum.Dol.">'[8]LISTADO 09 01'!#REF!</definedName>
    <definedName name="Acum.Suc.">'[8]LISTADO 09 01'!#REF!</definedName>
    <definedName name="ACUMUL">[9]INDICES!$A$1:$AQ$50</definedName>
    <definedName name="ADC">#REF!</definedName>
    <definedName name="ADR">#REF!</definedName>
    <definedName name="afdsafdsa" localSheetId="0" hidden="1">{#N/A,#N/A,FALSE,"Aging Summary";#N/A,#N/A,FALSE,"Ratio Analysis";#N/A,#N/A,FALSE,"Test 120 Day Accts";#N/A,#N/A,FALSE,"Tickmarks"}</definedName>
    <definedName name="afdsafdsa" hidden="1">{#N/A,#N/A,FALSE,"Aging Summary";#N/A,#N/A,FALSE,"Ratio Analysis";#N/A,#N/A,FALSE,"Test 120 Day Accts";#N/A,#N/A,FALSE,"Tickmarks"}</definedName>
    <definedName name="Ago">11000</definedName>
    <definedName name="Ajuste_en_ventas_para_EBTIDA_20">#REF!</definedName>
    <definedName name="ALCANCE">#REF!</definedName>
    <definedName name="alex" hidden="1">[10]XREF!$3:$3</definedName>
    <definedName name="amorper">#REF!</definedName>
    <definedName name="Amortización" localSheetId="0" hidden="1">{#N/A,#N/A,FALSE,"Aging Summary";#N/A,#N/A,FALSE,"Ratio Analysis";#N/A,#N/A,FALSE,"Test 120 Day Accts";#N/A,#N/A,FALSE,"Tickmarks"}</definedName>
    <definedName name="Amortización" hidden="1">{#N/A,#N/A,FALSE,"Aging Summary";#N/A,#N/A,FALSE,"Ratio Analysis";#N/A,#N/A,FALSE,"Test 120 Day Accts";#N/A,#N/A,FALSE,"Tickmarks"}</definedName>
    <definedName name="analadic">#REF!</definedName>
    <definedName name="Analiisis">#REF!</definedName>
    <definedName name="analisis">#REF!</definedName>
    <definedName name="Análisis" hidden="1">#REF!</definedName>
    <definedName name="analisisgastos" hidden="1">#REF!</definedName>
    <definedName name="anexo1">#REF!</definedName>
    <definedName name="anexodos">#REF!</definedName>
    <definedName name="anexos" hidden="1">[11]XREF!#REF!</definedName>
    <definedName name="Año">[5]ER!$N$154</definedName>
    <definedName name="APSUMMARY">#REF!</definedName>
    <definedName name="APT" localSheetId="0" hidden="1">{#N/A,#N/A,FALSE,"Aging Summary";#N/A,#N/A,FALSE,"Ratio Analysis";#N/A,#N/A,FALSE,"Test 120 Day Accts";#N/A,#N/A,FALSE,"Tickmarks"}</definedName>
    <definedName name="APT" hidden="1">{#N/A,#N/A,FALSE,"Aging Summary";#N/A,#N/A,FALSE,"Ratio Analysis";#N/A,#N/A,FALSE,"Test 120 Day Accts";#N/A,#N/A,FALSE,"Tickmarks"}</definedName>
    <definedName name="aptgastos" localSheetId="0" hidden="1">{#N/A,#N/A,FALSE,"Aging Summary";#N/A,#N/A,FALSE,"Ratio Analysis";#N/A,#N/A,FALSE,"Test 120 Day Accts";#N/A,#N/A,FALSE,"Tickmarks"}</definedName>
    <definedName name="aptgastos" hidden="1">{#N/A,#N/A,FALSE,"Aging Summary";#N/A,#N/A,FALSE,"Ratio Analysis";#N/A,#N/A,FALSE,"Test 120 Day Accts";#N/A,#N/A,FALSE,"Tickmarks"}</definedName>
    <definedName name="AR">#REF!</definedName>
    <definedName name="ARA_Threshold">[12]Lead!$P$2</definedName>
    <definedName name="ARA_Threshold_12">#REF!</definedName>
    <definedName name="ARA_Threshold_13">#REF!</definedName>
    <definedName name="ARA_Threshold_15">#REF!</definedName>
    <definedName name="ARA_Threshold_16">#REF!</definedName>
    <definedName name="ARA_Threshold_2">#REF!</definedName>
    <definedName name="ARA_Threshold_8">#REF!</definedName>
    <definedName name="_xlnm.Print_Area" localSheetId="0">'1600.09'!$B$2:$I$97</definedName>
    <definedName name="_xlnm.Print_Area">#REF!</definedName>
    <definedName name="ARP_Threshold">[12]Lead!$O$2</definedName>
    <definedName name="ARP_Threshold_12">#REF!</definedName>
    <definedName name="ARP_Threshold_13">#REF!</definedName>
    <definedName name="ARP_Threshold_15">#REF!</definedName>
    <definedName name="ARP_Threshold_16">#REF!</definedName>
    <definedName name="ARP_Threshold_2">#REF!</definedName>
    <definedName name="ARP_Threshold_8">#REF!</definedName>
    <definedName name="as" hidden="1">12</definedName>
    <definedName name="AS2DocOpenMode" hidden="1">"AS2DocumentEdit"</definedName>
    <definedName name="AS2HasNoAutoHeaderFooter" hidden="1">" "</definedName>
    <definedName name="AS2LinkLS" hidden="1">[13]Links!A1</definedName>
    <definedName name="AS2NamedRange" hidden="1">21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d">'[14]Calc. dep.'!$A$1</definedName>
    <definedName name="asd" localSheetId="0" hidden="1">{#N/A,#N/A,FALSE,"Aging Summary";#N/A,#N/A,FALSE,"Ratio Analysis";#N/A,#N/A,FALSE,"Test 120 Day Accts";#N/A,#N/A,FALSE,"Tickmarks"}</definedName>
    <definedName name="asd" hidden="1">{#N/A,#N/A,FALSE,"Aging Summary";#N/A,#N/A,FALSE,"Ratio Analysis";#N/A,#N/A,FALSE,"Test 120 Day Accts";#N/A,#N/A,FALSE,"Tickmarks"}</definedName>
    <definedName name="ASDF" hidden="1">'[15]Detalle gastos Sep01-Ago02'!#REF!</definedName>
    <definedName name="asdsadsafc" hidden="1">4</definedName>
    <definedName name="axdsd" hidden="1">#REF!</definedName>
    <definedName name="az" hidden="1">7</definedName>
    <definedName name="B">#REF!</definedName>
    <definedName name="BA">[16]BALANCE!$B$3:$D$154</definedName>
    <definedName name="BAL">#N/A</definedName>
    <definedName name="_xlnm.Database">#REF!</definedName>
    <definedName name="basic_level">'[17]Tabla del Límite'!$A$6:$C$11</definedName>
    <definedName name="bb" hidden="1">#REF!</definedName>
    <definedName name="BC">20050</definedName>
    <definedName name="BELL" hidden="1">#REF!</definedName>
    <definedName name="BG_Del" hidden="1">15</definedName>
    <definedName name="BG_Ins" hidden="1">4</definedName>
    <definedName name="BG_Mod" hidden="1">6</definedName>
    <definedName name="BGR_INFRAESTRUCTURA">#REF!</definedName>
    <definedName name="BPM_CAPACITACION">[5]ER!$O$176</definedName>
    <definedName name="BPM_Cuenta_CAPACITACION">[5]ER!$B$176</definedName>
    <definedName name="BPM_Cuenta_VIATICOS_Y_MOV">[5]ER!$B$177</definedName>
    <definedName name="BPM_VIATICOS_Y_MOV">[5]ER!$O$177</definedName>
    <definedName name="BUV">#REF!</definedName>
    <definedName name="C_">#REF!</definedName>
    <definedName name="CALL_CENTER">#REF!</definedName>
    <definedName name="CARLOS">'[18]1134'!#REF!</definedName>
    <definedName name="CASH">#REF!</definedName>
    <definedName name="cc" hidden="1">#REF!</definedName>
    <definedName name="Centro_de_Costos_BPM">[5]ER!$B$178</definedName>
    <definedName name="CFRQ">#REF!</definedName>
    <definedName name="CHE">#REF!</definedName>
    <definedName name="cia">'[19]CON.BANC '!$A$1</definedName>
    <definedName name="Cierre">37590</definedName>
    <definedName name="Cierre_01_03">37652</definedName>
    <definedName name="Cierre_01_04">38017</definedName>
    <definedName name="Cierre_02_03">37680</definedName>
    <definedName name="Cierre_02_04">38046</definedName>
    <definedName name="Cierre_03_03">37711</definedName>
    <definedName name="Cierre_03_04">38077</definedName>
    <definedName name="Cierre_04_03">37741</definedName>
    <definedName name="Cierre_04_04">38107</definedName>
    <definedName name="Cierre_05_03">37772</definedName>
    <definedName name="Cierre_05_04">38138</definedName>
    <definedName name="Cierre_06_03">37802</definedName>
    <definedName name="Cierre_06_04">38168</definedName>
    <definedName name="Cierre_07_03">37833</definedName>
    <definedName name="Cierre_07_04">38199</definedName>
    <definedName name="Cierre_08_03">37864</definedName>
    <definedName name="Cierre_08_04">38230</definedName>
    <definedName name="Cierre_09_03">37894</definedName>
    <definedName name="Cierre_09_04">38260</definedName>
    <definedName name="Cierre_10_03">37925</definedName>
    <definedName name="Cierre_10_04">38291</definedName>
    <definedName name="Cierre_11_03">37955</definedName>
    <definedName name="Cierre_12_01">37256</definedName>
    <definedName name="Cierre_12_02">37621</definedName>
    <definedName name="Cierre_12_03">37986</definedName>
    <definedName name="clave" localSheetId="0">[20]Inicio!#REF!</definedName>
    <definedName name="clave">[20]Inicio!#REF!</definedName>
    <definedName name="cld" hidden="1">#REF!</definedName>
    <definedName name="client">[6]ER!$H$156</definedName>
    <definedName name="CLIENTES">'[21]PGO 1 ABR '!#REF!</definedName>
    <definedName name="Clients_Population_Total">#REF!</definedName>
    <definedName name="Codigo">#REF!</definedName>
    <definedName name="Código">#REF!</definedName>
    <definedName name="Computed_Sample_Population_Total">#REF!</definedName>
    <definedName name="concil.iva" localSheetId="0" hidden="1">{#N/A,#N/A,FALSE,"Aging Summary";#N/A,#N/A,FALSE,"Ratio Analysis";#N/A,#N/A,FALSE,"Test 120 Day Accts";#N/A,#N/A,FALSE,"Tickmarks"}</definedName>
    <definedName name="concil.iva" hidden="1">{#N/A,#N/A,FALSE,"Aging Summary";#N/A,#N/A,FALSE,"Ratio Analysis";#N/A,#N/A,FALSE,"Test 120 Day Accts";#N/A,#N/A,FALSE,"Tickmarks"}</definedName>
    <definedName name="concil.renta" localSheetId="0" hidden="1">{#N/A,#N/A,FALSE,"Aging Summary";#N/A,#N/A,FALSE,"Ratio Analysis";#N/A,#N/A,FALSE,"Test 120 Day Accts";#N/A,#N/A,FALSE,"Tickmarks"}</definedName>
    <definedName name="concil.renta" hidden="1">{#N/A,#N/A,FALSE,"Aging Summary";#N/A,#N/A,FALSE,"Ratio Analysis";#N/A,#N/A,FALSE,"Test 120 Day Accts";#N/A,#N/A,FALSE,"Tickmarks"}</definedName>
    <definedName name="Consulta1">#REF!</definedName>
    <definedName name="Correcion">#REF!</definedName>
    <definedName name="cost_of_sales">[6]ER!$H$149</definedName>
    <definedName name="COSTO_CORREGIDO">'[8]LISTADO 09 01'!#REF!</definedName>
    <definedName name="Costos">#REF!</definedName>
    <definedName name="costoss" localSheetId="0" hidden="1">{#N/A,#N/A,FALSE,"Aging Summary";#N/A,#N/A,FALSE,"Ratio Analysis";#N/A,#N/A,FALSE,"Test 120 Day Accts";#N/A,#N/A,FALSE,"Tickmarks"}</definedName>
    <definedName name="costoss" hidden="1">{#N/A,#N/A,FALSE,"Aging Summary";#N/A,#N/A,FALSE,"Ratio Analysis";#N/A,#N/A,FALSE,"Test 120 Day Accts";#N/A,#N/A,FALSE,"Tickmarks"}</definedName>
    <definedName name="cris">#REF!</definedName>
    <definedName name="cs">#REF!</definedName>
    <definedName name="CT">'[22]CREDITO TRIBUTARIO'!$1:$1048576</definedName>
    <definedName name="CxCVARIOS">#REF!</definedName>
    <definedName name="CY_Accounts_Receivable">[23]Balance!$C$8</definedName>
    <definedName name="CY_Administration">'[23]Estado de Resultados'!$B$11</definedName>
    <definedName name="CY_Cash">[23]Balance!$C$6</definedName>
    <definedName name="CY_Cash_Div_Dec">'[24]Income Statement'!#REF!</definedName>
    <definedName name="CY_CASH_DIVIDENDS_DECLARED__per_common_share">'[24]Income Statement'!#REF!</definedName>
    <definedName name="CY_Common_Equity">[23]Balance!$C$32</definedName>
    <definedName name="CY_Cost_of_Sales">'[23]Estado de Resultados'!$B$7</definedName>
    <definedName name="CY_Current_Liabilities">[23]Balance!$C$24</definedName>
    <definedName name="CY_Depreciation">'[23]Estado de Resultados'!$B$15</definedName>
    <definedName name="CY_Disc._Ops.">'[25]Income Statement'!$C$28</definedName>
    <definedName name="CY_Earnings_per_share">[24]Ratios!#REF!</definedName>
    <definedName name="CY_Extraord.">'[25]Income Statement'!$C$32</definedName>
    <definedName name="CY_Gross_Profit">'[23]Estado de Resultados'!$B$9</definedName>
    <definedName name="CY_INC_AFT_TAX">'[25]Income Statement'!$C$26</definedName>
    <definedName name="CY_INC_BEF_EXTRAORD">'[25]Income Statement'!$C$30</definedName>
    <definedName name="CY_Inc_Bef_Tax">'[23]Estado de Resultados'!$B$22</definedName>
    <definedName name="CY_Intangible_Assets">[23]Balance!$C$18</definedName>
    <definedName name="CY_Interest_Expense">'[23]Estado de Resultados'!$B$19</definedName>
    <definedName name="CY_Inventory">[23]Balance!$C$12</definedName>
    <definedName name="CY_LIABIL_EQUITY">[23]Balance!$C$37</definedName>
    <definedName name="CY_lik_Equity">#REF!</definedName>
    <definedName name="CY_lik_Income">#REF!</definedName>
    <definedName name="CY_lik_Liabs">#REF!</definedName>
    <definedName name="CY_lik_RetEarn_bf">#REF!</definedName>
    <definedName name="CY_Long_term_Debt__excl_Dfd_Taxes">'[25]Balance Sheet'!$C$29</definedName>
    <definedName name="CY_LT_Debt">[23]Balance!$C$25</definedName>
    <definedName name="CY_Market_Value_of_Equity">'[23]Estado de Resultados'!$B$31</definedName>
    <definedName name="CY_Marketable_Sec">[23]Balance!$C$7</definedName>
    <definedName name="CY_NET_INCOME">'[25]Income Statement'!$C$34</definedName>
    <definedName name="CY_NET_PROFIT">'[23]Estado de Resultados'!$B$26</definedName>
    <definedName name="CY_Net_Revenue">'[23]Estado de Resultados'!$B$6</definedName>
    <definedName name="CY_Operating_Income">'[23]Estado de Resultados'!$B$17</definedName>
    <definedName name="CY_Other">'[23]Estado de Resultados'!$B$14</definedName>
    <definedName name="CY_Other_Curr_Assets">[23]Balance!$C$13</definedName>
    <definedName name="CY_Other_LT_Assets">[23]Balance!$C$19</definedName>
    <definedName name="CY_Other_LT_Liabilities">[23]Balance!$C$26</definedName>
    <definedName name="CY_Preferred_Stock">[23]Balance!$C$31</definedName>
    <definedName name="CY_QUICK_ASSETS">[23]Balance!$C$10</definedName>
    <definedName name="CY_Retained_Earnings">[23]Balance!$C$33</definedName>
    <definedName name="CY_Selling">'[23]Estado de Resultados'!$B$12</definedName>
    <definedName name="CY_Tangible_Assets">[23]Balance!$C$17</definedName>
    <definedName name="CY_Tangible_Net_Worth">'[23]Estado de Resultados'!$B$33</definedName>
    <definedName name="CY_Taxes">'[23]Estado de Resultados'!$B$24</definedName>
    <definedName name="CY_TOTAL_ASSETS">[23]Balance!$C$22</definedName>
    <definedName name="CY_TOTAL_CURR_ASSETS">[23]Balance!$C$15</definedName>
    <definedName name="CY_TOTAL_DEBT">[23]Balance!$C$29</definedName>
    <definedName name="CY_TOTAL_EQUITY">[23]Balance!$C$35</definedName>
    <definedName name="CY_Trade_Payables">'[25]Balance Sheet'!$C$27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CY_Weighted_Average">'[24]Income Statement'!#REF!</definedName>
    <definedName name="CY_Working_Capital">'[23]Estado de Resultados'!$B$32</definedName>
    <definedName name="CY_Year_Income_Statement">'[25]Income Statement'!$C$3</definedName>
    <definedName name="D">#REF!</definedName>
    <definedName name="daara" hidden="1">#REF!</definedName>
    <definedName name="Dac">[26]Lead!$K$1:$K$95</definedName>
    <definedName name="dads">[27]CMA_Calculations!$H$10</definedName>
    <definedName name="dasdfdsafsa">[14]Costo!#REF!</definedName>
    <definedName name="Database_MI">#REF!</definedName>
    <definedName name="dc" hidden="1">#REF!</definedName>
    <definedName name="dd" hidden="1">#REF!</definedName>
    <definedName name="dddd">#REF!</definedName>
    <definedName name="ddfdf" localSheetId="0" hidden="1">{#N/A,#N/A,FALSE,"Aging Summary";#N/A,#N/A,FALSE,"Ratio Analysis";#N/A,#N/A,FALSE,"Test 120 Day Accts";#N/A,#N/A,FALSE,"Tickmarks"}</definedName>
    <definedName name="ddfdf" hidden="1">{#N/A,#N/A,FALSE,"Aging Summary";#N/A,#N/A,FALSE,"Ratio Analysis";#N/A,#N/A,FALSE,"Test 120 Day Accts";#N/A,#N/A,FALSE,"Tickmarks"}</definedName>
    <definedName name="deae" hidden="1">#REF!</definedName>
    <definedName name="deg">#REF!</definedName>
    <definedName name="deloi" hidden="1">2</definedName>
    <definedName name="DEP">#REF!</definedName>
    <definedName name="Dep." hidden="1">[28]XREF!$3:$3</definedName>
    <definedName name="Dep.S_.">'[8]LISTADO 09 01'!#REF!</definedName>
    <definedName name="Dep.U_.">'[8]LISTADO 09 01'!#REF!</definedName>
    <definedName name="Depósitos" localSheetId="0">TextRefCopy43</definedName>
    <definedName name="Depósitos">TextRefCopy43</definedName>
    <definedName name="DEPRECIACION_CORREGIDA">'[8]LISTADO 09 01'!#REF!</definedName>
    <definedName name="depreciaciones">[6]ER!$H$157</definedName>
    <definedName name="Descripcion">#REF!</definedName>
    <definedName name="DESDE" hidden="1">#REF!</definedName>
    <definedName name="DESS" hidden="1">#REF!</definedName>
    <definedName name="DEVOL_INFLACIÓN">#REF!</definedName>
    <definedName name="dfd" hidden="1">[29]XREF!$4:$4</definedName>
    <definedName name="dfdfd" hidden="1">3</definedName>
    <definedName name="dfdfdgdg" hidden="1">7</definedName>
    <definedName name="dfdff" hidden="1">[30]Detalle!#REF!</definedName>
    <definedName name="dfdkf" hidden="1">[29]XREF!$3:$3</definedName>
    <definedName name="Día_de_Cierre">#REF!</definedName>
    <definedName name="diana">'[31]Costo+Reexp'!#REF!</definedName>
    <definedName name="Dic">20050</definedName>
    <definedName name="dieg">#REF!</definedName>
    <definedName name="Diego">[26]Lead!$H$1:$H$95</definedName>
    <definedName name="diferences">#REF!</definedName>
    <definedName name="Diferenciaresidual">#REF!</definedName>
    <definedName name="Difference">#REF!</definedName>
    <definedName name="Disaggregations">#REF!</definedName>
    <definedName name="disgregadas">#REF!</definedName>
    <definedName name="djfiefj" hidden="1">2</definedName>
    <definedName name="dkfdk" hidden="1">[29]XREF!$2:$2</definedName>
    <definedName name="dkfie" hidden="1">11</definedName>
    <definedName name="DME_BeforeCloseCompleted" hidden="1">"Falso"</definedName>
    <definedName name="DME_Dirty" hidden="1">"Falso"</definedName>
    <definedName name="DME_DocumentFlags" hidden="1">"1"</definedName>
    <definedName name="DME_DocumentID" hidden="1">"::ODMA\DME-MSE\ECU1-33373"</definedName>
    <definedName name="DME_DocumentOpened" hidden="1">"Verdadero"</definedName>
    <definedName name="DME_DocumentTitle" hidden="1">"ECU1-33373 - Clientes y Deudores agosto-03"</definedName>
    <definedName name="DME_LocalFile" hidden="1">"Verdadero"</definedName>
    <definedName name="DME_NextWindowNumber" hidden="1">"2"</definedName>
    <definedName name="DME_ODMALinks1" hidden="1">"::ODMA\DME-MSE\ECU1-1176=C:\DOCUME~1\ec00065\CONFIG~1\Temp\Dme\ECU1-1176.xls"</definedName>
    <definedName name="DME_ODMALinks2" hidden="1">"::ODMA\DME-MSE\ECU1-4961=C:\WINDOWS\TEMP\Dme\ECU1-4961.xls"</definedName>
    <definedName name="DME_ODMALinks3" hidden="1">"::ODMA\DME-MSE\ECU1-41787=C:\DOCUME~1\ec00007\CONFIG~1\Temp\Dme\ECU1-41787.xls"</definedName>
    <definedName name="DME_ODMALinksCount" hidden="1">"1"</definedName>
    <definedName name="Dolares">'[8]LISTADO 09 01'!#REF!</definedName>
    <definedName name="Dollar_Threshold">[23]Balance!$F$3</definedName>
    <definedName name="dore" hidden="1">3</definedName>
    <definedName name="dsad" hidden="1">'[32]Balance Gral.'!#REF!</definedName>
    <definedName name="DTT">'[24]Income Statement'!#REF!</definedName>
    <definedName name="dvdve">#REF!</definedName>
    <definedName name="e">#REF!</definedName>
    <definedName name="EDYTH">#REF!</definedName>
    <definedName name="ee">#REF!</definedName>
    <definedName name="eere" hidden="1">[33]XREF!$A$2</definedName>
    <definedName name="ef">#REF!</definedName>
    <definedName name="efe">#REF!</definedName>
    <definedName name="efefe">#REF!</definedName>
    <definedName name="efefed" hidden="1">'[33]Seg.Act.Fijos (Prel.)'!#REF!</definedName>
    <definedName name="eggr">#REF!</definedName>
    <definedName name="eifjeifje">#REF!</definedName>
    <definedName name="electricity">[6]ER!$H$158</definedName>
    <definedName name="eli">#REF!</definedName>
    <definedName name="ELY">'[18]1134'!#REF!</definedName>
    <definedName name="Empresa" localSheetId="0">'[34]Datos Iniciales'!$C$12</definedName>
    <definedName name="Empresa">[20]Inicio!#REF!</definedName>
    <definedName name="Ene">25000</definedName>
    <definedName name="Ene00">25000</definedName>
    <definedName name="ENLACES">#REF!</definedName>
    <definedName name="er">'[35]Detalle Gtos.'!$J$60</definedName>
    <definedName name="er5_12" localSheetId="0" hidden="1">{#N/A,#N/A,FALSE,"Aging Summary";#N/A,#N/A,FALSE,"Ratio Analysis";#N/A,#N/A,FALSE,"Test 120 Day Accts";#N/A,#N/A,FALSE,"Tickmarks"}</definedName>
    <definedName name="er5_12" hidden="1">{#N/A,#N/A,FALSE,"Aging Summary";#N/A,#N/A,FALSE,"Ratio Analysis";#N/A,#N/A,FALSE,"Test 120 Day Accts";#N/A,#N/A,FALSE,"Tickmarks"}</definedName>
    <definedName name="erer" hidden="1">5</definedName>
    <definedName name="Excel_BuiltIn__FilterDatabase_12">'[36]Anexo 9'!#REF!</definedName>
    <definedName name="Excel_BuiltIn_Database">#REF!</definedName>
    <definedName name="Excel_BuiltIn_Database_15">#REF!</definedName>
    <definedName name="Excel_BuiltIn_Database_8">#REF!</definedName>
    <definedName name="Excel_BuiltIn_Print_Area">#REF!</definedName>
    <definedName name="Excel_BuiltIn_Print_Area_24">#REF!</definedName>
    <definedName name="Expected_balance">#REF!</definedName>
    <definedName name="FABY">'[18]1134'!#REF!</definedName>
    <definedName name="FactorR">#REF!</definedName>
    <definedName name="FEB">7300</definedName>
    <definedName name="fecha">#REF!</definedName>
    <definedName name="Fecha_Inicial" localSheetId="0">[20]Inicio!#REF!</definedName>
    <definedName name="Fecha_Inicial">[20]Inicio!#REF!</definedName>
    <definedName name="fefe">#REF!</definedName>
    <definedName name="fefef">#REF!</definedName>
    <definedName name="FERDONOSO">'[18]1134'!#REF!</definedName>
    <definedName name="FERMUÑOZ">'[18]1134'!#REF!</definedName>
    <definedName name="ff">[37]Lead!$I$1:$I$371</definedName>
    <definedName name="FINANCIERO_PERU">#REF!</definedName>
    <definedName name="fkefief" hidden="1">[10]XREF!$2:$2</definedName>
    <definedName name="fr" hidden="1">#REF!</definedName>
    <definedName name="fs" hidden="1">18</definedName>
    <definedName name="funa">#REF!</definedName>
    <definedName name="funad">#REF!</definedName>
    <definedName name="fundagro">#REF!</definedName>
    <definedName name="fv" hidden="1">#REF!</definedName>
    <definedName name="fy" hidden="1">1</definedName>
    <definedName name="g">#REF!</definedName>
    <definedName name="Gast._.">'[8]LISTADO 09 01'!#REF!</definedName>
    <definedName name="Gast.S_.">'[8]LISTADO 09 01'!#REF!</definedName>
    <definedName name="GASTO_1995">'[8]LISTADO 09 01'!#REF!</definedName>
    <definedName name="gasto1">'[38]Det. Gastos'!$I$82</definedName>
    <definedName name="Gastos" hidden="1">[39]XREF!#REF!</definedName>
    <definedName name="gb" hidden="1">[40]XREF!#REF!</definedName>
    <definedName name="gbg" hidden="1">[40]XREF!#REF!</definedName>
    <definedName name="ge">#REF!</definedName>
    <definedName name="gfadg">[41]Dep.Consol!$R$11</definedName>
    <definedName name="GFHT">#REF!</definedName>
    <definedName name="gg" hidden="1">[10]XREF!$A$11</definedName>
    <definedName name="gggrr">#REF!</definedName>
    <definedName name="GILBER">'[18]1134'!#REF!</definedName>
    <definedName name="gn" hidden="1">#REF!</definedName>
    <definedName name="goofie">[42]Intercompany!#REF!</definedName>
    <definedName name="_xlnm.Recorder">#REF!</definedName>
    <definedName name="grupo">#REF!</definedName>
    <definedName name="h" hidden="1">17</definedName>
    <definedName name="HERNAN">'[18]1134'!#REF!</definedName>
    <definedName name="hh" hidden="1">5</definedName>
    <definedName name="hm">#REF!</definedName>
    <definedName name="hoja">#REF!</definedName>
    <definedName name="Hola">[26]Lead!$J$1:$J$95</definedName>
    <definedName name="HOLAÑALKW">#REF!</definedName>
    <definedName name="HORAS_DESARROLLO">#REF!</definedName>
    <definedName name="HTML_CodePage" hidden="1">1252</definedName>
    <definedName name="HTML_Control" localSheetId="0" hidden="1">{"'Borrador 30.11.2000'!$A$1:$BB$61"}</definedName>
    <definedName name="HTML_Control" hidden="1">{"'Borrador 30.11.2000'!$A$1:$BB$61"}</definedName>
    <definedName name="HTML_Description" hidden="1">""</definedName>
    <definedName name="HTML_Email" hidden="1">""</definedName>
    <definedName name="HTML_Header" hidden="1">"Borrador 30.11.2000"</definedName>
    <definedName name="HTML_LastUpdate" hidden="1">"05-12-2000"</definedName>
    <definedName name="HTML_LineAfter" hidden="1">FALSE</definedName>
    <definedName name="HTML_LineBefore" hidden="1">FALSE</definedName>
    <definedName name="HTML_Name" hidden="1">"Hernan Avalos"</definedName>
    <definedName name="HTML_OBDlg2" hidden="1">TRUE</definedName>
    <definedName name="HTML_OBDlg4" hidden="1">TRUE</definedName>
    <definedName name="HTML_OS" hidden="1">0</definedName>
    <definedName name="HTML_PathFile" hidden="1">"C:\Datos Hernan\BORRADOR\HTML.htm"</definedName>
    <definedName name="HTML_Title" hidden="1">"ADC_Dic_2000"</definedName>
    <definedName name="i">#REF!</definedName>
    <definedName name="ii">#REF!</definedName>
    <definedName name="iii">#REF!</definedName>
    <definedName name="imp">[6]ER!$H$161</definedName>
    <definedName name="importaciones">#REF!</definedName>
    <definedName name="importraciones" hidden="1">3</definedName>
    <definedName name="imprtacionsa" hidden="1">#REF!</definedName>
    <definedName name="IMPTRANSITO" hidden="1">#REF!</definedName>
    <definedName name="INCOME">#REF!</definedName>
    <definedName name="INCREMENTO_ENLACES">#REF!</definedName>
    <definedName name="Incremento_Sueldos">#REF!</definedName>
    <definedName name="Indice">'[8]LISTADO 09 01'!#REF!</definedName>
    <definedName name="insurance">[6]ER!$H$164</definedName>
    <definedName name="interm_level">'[17]Tabla del Límite'!$D$6:$F$11</definedName>
    <definedName name="Interval">#REF!</definedName>
    <definedName name="INV">[43]A!$H$25</definedName>
    <definedName name="INVENT">#REF!</definedName>
    <definedName name="Inventarios">[44]Selecc.!#REF!</definedName>
    <definedName name="j" localSheetId="0" hidden="1">{#N/A,#N/A,FALSE,"Aging Summary";#N/A,#N/A,FALSE,"Ratio Analysis";#N/A,#N/A,FALSE,"Test 120 Day Accts";#N/A,#N/A,FALSE,"Tickmarks"}</definedName>
    <definedName name="j" hidden="1">{#N/A,#N/A,FALSE,"Aging Summary";#N/A,#N/A,FALSE,"Ratio Analysis";#N/A,#N/A,FALSE,"Test 120 Day Accts";#N/A,#N/A,FALSE,"Tickmarks"}</definedName>
    <definedName name="jaime">#REF!</definedName>
    <definedName name="jfrusa">#REF!</definedName>
    <definedName name="JHONNY">'[18]1134'!#REF!</definedName>
    <definedName name="jj" hidden="1">[10]XREF!$4:$4</definedName>
    <definedName name="jsdhcj" hidden="1">'[38]Det. Gastos'!$J:$J</definedName>
    <definedName name="juan" hidden="1">'[38]Det. Gastos'!$E$70</definedName>
    <definedName name="juju">[42]Intercompany!$J$24</definedName>
    <definedName name="Jul">11800</definedName>
    <definedName name="Jun">9600</definedName>
    <definedName name="jy">[45]Detalle!#REF!</definedName>
    <definedName name="k" localSheetId="0" hidden="1">{#N/A,#N/A,FALSE,"Aging Summary";#N/A,#N/A,FALSE,"Ratio Analysis";#N/A,#N/A,FALSE,"Test 120 Day Accts";#N/A,#N/A,FALSE,"Tickmarks"}</definedName>
    <definedName name="k" hidden="1">{#N/A,#N/A,FALSE,"Aging Summary";#N/A,#N/A,FALSE,"Ratio Analysis";#N/A,#N/A,FALSE,"Test 120 Day Accts";#N/A,#N/A,FALSE,"Tickmarks"}</definedName>
    <definedName name="karla">#REF!</definedName>
    <definedName name="kjhlkhggjhj">#REF!</definedName>
    <definedName name="kk" hidden="1">[10]XREF!$5:$5</definedName>
    <definedName name="kkdf">#REF!</definedName>
    <definedName name="kkkkk" hidden="1">68</definedName>
    <definedName name="kl" hidden="1">3</definedName>
    <definedName name="kmkcd" hidden="1">[40]XREF!#REF!</definedName>
    <definedName name="KOKJ">#REF!</definedName>
    <definedName name="KSFJÑDSKF" localSheetId="0" hidden="1">{#N/A,#N/A,FALSE,"Aging Summary";#N/A,#N/A,FALSE,"Ratio Analysis";#N/A,#N/A,FALSE,"Test 120 Day Accts";#N/A,#N/A,FALSE,"Tickmarks"}</definedName>
    <definedName name="KSFJÑDSKF" hidden="1">{#N/A,#N/A,FALSE,"Aging Summary";#N/A,#N/A,FALSE,"Ratio Analysis";#N/A,#N/A,FALSE,"Test 120 Day Accts";#N/A,#N/A,FALSE,"Tickmarks"}</definedName>
    <definedName name="l">#REF!</definedName>
    <definedName name="L_AcctDes">[13]Links!$E:$E</definedName>
    <definedName name="L_Adjust">[12]Links!$H:$H</definedName>
    <definedName name="L_Adjust_15">NA()</definedName>
    <definedName name="L_Adjust_8">NA()</definedName>
    <definedName name="L_Adjust_GT">[13]Links!$H$19</definedName>
    <definedName name="L_AJE_Tot">[12]Links!$G:$G</definedName>
    <definedName name="L_AJE_Tot_15">NA()</definedName>
    <definedName name="L_AJE_Tot_8">NA()</definedName>
    <definedName name="L_AJE_Tot_GT">[13]Links!$G$19</definedName>
    <definedName name="L_CompNum">[13]Links!$B:$B</definedName>
    <definedName name="L_CY_Beg">[12]Links!$F:$F</definedName>
    <definedName name="L_CY_Beg_15">NA()</definedName>
    <definedName name="L_CY_Beg_8">NA()</definedName>
    <definedName name="L_CY_Beg_GT">[13]Links!$F$19</definedName>
    <definedName name="L_CY_End">[12]Links!$J:$J</definedName>
    <definedName name="L_CY_End_15">NA()</definedName>
    <definedName name="L_CY_End_8">NA()</definedName>
    <definedName name="L_CY_End_GT">[13]Links!$J$19</definedName>
    <definedName name="L_GrpNum">[13]Links!$C:$C</definedName>
    <definedName name="L_Headings">[13]Links!$1:$1</definedName>
    <definedName name="L_KeyValue">[13]Links!$A:$A</definedName>
    <definedName name="L_PY_End">[12]Links!$K:$K</definedName>
    <definedName name="L_PY_End_15">NA()</definedName>
    <definedName name="L_PY_End_8">NA()</definedName>
    <definedName name="L_PY_End_GT">[13]Links!$K$19</definedName>
    <definedName name="L_RJE_Tot">[12]Links!$I:$I</definedName>
    <definedName name="L_RJE_Tot_15">NA()</definedName>
    <definedName name="L_RJE_Tot_8">NA()</definedName>
    <definedName name="L_RJE_Tot_GT">[13]Links!$I$19</definedName>
    <definedName name="L_RowNum">[13]Links!$D:$D</definedName>
    <definedName name="le">[45]Detalle!$E$81</definedName>
    <definedName name="legal">[6]ER!$H$155</definedName>
    <definedName name="lekfeof">'[46]Reex.'!#REF!</definedName>
    <definedName name="limite">#REF!</definedName>
    <definedName name="ll" hidden="1">#REF!</definedName>
    <definedName name="lldoe" hidden="1">[40]XREF!#REF!</definedName>
    <definedName name="LLIOMAR">'[18]1134'!#REF!</definedName>
    <definedName name="lo" hidden="1">10</definedName>
    <definedName name="loja">#REF!</definedName>
    <definedName name="lore" hidden="1">3</definedName>
    <definedName name="lorena">#REF!</definedName>
    <definedName name="LUIS">#REF!</definedName>
    <definedName name="LYN">#REF!</definedName>
    <definedName name="m">'[46]Dep.Costo.'!#REF!</definedName>
    <definedName name="M.Dolares">'[8]LISTADO 09 01'!#REF!</definedName>
    <definedName name="M.Sucres">#REF!</definedName>
    <definedName name="M115105020">#REF!</definedName>
    <definedName name="M115202020">#REF!</definedName>
    <definedName name="M1155010">#REF!</definedName>
    <definedName name="M1189940">#REF!</definedName>
    <definedName name="M1262050">#REF!</definedName>
    <definedName name="M1262060">#REF!</definedName>
    <definedName name="M1262090">#REF!</definedName>
    <definedName name="M2311010">'[2]Det. Rec. Prov. Locales {PPC}'!#REF!</definedName>
    <definedName name="M2311030">'[2]Det. Rec. Prov. Locales {PPC}'!#REF!</definedName>
    <definedName name="M2311050">#REF!</definedName>
    <definedName name="M2312020">#REF!</definedName>
    <definedName name="M2351020">#REF!</definedName>
    <definedName name="M2395020">#REF!</definedName>
    <definedName name="mar">#REF!</definedName>
    <definedName name="MARTHY">'[18]1134'!#REF!</definedName>
    <definedName name="Materiality">#REF!</definedName>
    <definedName name="May">9200</definedName>
    <definedName name="menso" hidden="1">[40]XREF!#REF!</definedName>
    <definedName name="Mes_Final">[5]ER!$N$156</definedName>
    <definedName name="Mes_Inicial">[5]ER!$N$155</definedName>
    <definedName name="metro">#REF!</definedName>
    <definedName name="metrod">#REF!</definedName>
    <definedName name="mio">#REF!</definedName>
    <definedName name="mis">[6]ER!$H$151</definedName>
    <definedName name="mm" hidden="1">[10]XREF!$10:$10</definedName>
    <definedName name="MM1105010">#REF!</definedName>
    <definedName name="MM115202010">'[2]Det. Rec. Prov. Locales {PPC}'!#REF!</definedName>
    <definedName name="MM115202020">#REF!</definedName>
    <definedName name="MM1152050">'[2]Det. Rec. Prov. Locales {PPC}'!#REF!</definedName>
    <definedName name="MM1155010">#REF!</definedName>
    <definedName name="MM1183530">#REF!</definedName>
    <definedName name="MM118993060">'[2]Det. Rec. Prov. Locales {PPC}'!#REF!</definedName>
    <definedName name="MM1263030">#REF!</definedName>
    <definedName name="MMA" localSheetId="0" hidden="1">{#N/A,#N/A,FALSE,"Aging Summary";#N/A,#N/A,FALSE,"Ratio Analysis";#N/A,#N/A,FALSE,"Test 120 Day Accts";#N/A,#N/A,FALSE,"Tickmarks"}</definedName>
    <definedName name="MMA" hidden="1">{#N/A,#N/A,FALSE,"Aging Summary";#N/A,#N/A,FALSE,"Ratio Analysis";#N/A,#N/A,FALSE,"Test 120 Day Accts";#N/A,#N/A,FALSE,"Tickmarks"}</definedName>
    <definedName name="MMAChGiradosDic" localSheetId="0" hidden="1">{#N/A,#N/A,FALSE,"Aging Summary";#N/A,#N/A,FALSE,"Ratio Analysis";#N/A,#N/A,FALSE,"Test 120 Day Accts";#N/A,#N/A,FALSE,"Tickmarks"}</definedName>
    <definedName name="MMAChGiradosDic" hidden="1">{#N/A,#N/A,FALSE,"Aging Summary";#N/A,#N/A,FALSE,"Ratio Analysis";#N/A,#N/A,FALSE,"Test 120 Day Accts";#N/A,#N/A,FALSE,"Tickmarks"}</definedName>
    <definedName name="MMADepósitosDic" localSheetId="0" hidden="1">{#N/A,#N/A,FALSE,"Aging Summary";#N/A,#N/A,FALSE,"Ratio Analysis";#N/A,#N/A,FALSE,"Test 120 Day Accts";#N/A,#N/A,FALSE,"Tickmarks"}</definedName>
    <definedName name="MMADepósitosDic" hidden="1">{#N/A,#N/A,FALSE,"Aging Summary";#N/A,#N/A,FALSE,"Ratio Analysis";#N/A,#N/A,FALSE,"Test 120 Day Accts";#N/A,#N/A,FALSE,"Tickmarks"}</definedName>
    <definedName name="moderate_level">'[47]Threshold Table'!$E$11:$G$23</definedName>
    <definedName name="Monetary_Precision">#REF!</definedName>
    <definedName name="MONTO_CALL_CENTER">#REF!</definedName>
    <definedName name="MONTO_ENLACES">#REF!</definedName>
    <definedName name="MONTO_INCREMENTO">#REF!</definedName>
    <definedName name="motor">[6]ER!$H$159</definedName>
    <definedName name="Mov.Inv.Lecocem2" localSheetId="0" hidden="1">{#N/A,#N/A,FALSE,"Aging Summary";#N/A,#N/A,FALSE,"Ratio Analysis";#N/A,#N/A,FALSE,"Test 120 Day Accts";#N/A,#N/A,FALSE,"Tickmarks"}</definedName>
    <definedName name="Mov.Inv.Lecocem2" hidden="1">{#N/A,#N/A,FALSE,"Aging Summary";#N/A,#N/A,FALSE,"Ratio Analysis";#N/A,#N/A,FALSE,"Test 120 Day Accts";#N/A,#N/A,FALSE,"Tickmarks"}</definedName>
    <definedName name="Movdepr_Edificios" localSheetId="0" hidden="1">{#N/A,#N/A,FALSE,"Aging Summary";#N/A,#N/A,FALSE,"Ratio Analysis";#N/A,#N/A,FALSE,"Test 120 Day Accts";#N/A,#N/A,FALSE,"Tickmarks"}</definedName>
    <definedName name="Movdepr_Edificios" hidden="1">{#N/A,#N/A,FALSE,"Aging Summary";#N/A,#N/A,FALSE,"Ratio Analysis";#N/A,#N/A,FALSE,"Test 120 Day Accts";#N/A,#N/A,FALSE,"Tickmarks"}</definedName>
    <definedName name="MP">#REF!</definedName>
    <definedName name="Murrin">#REF!</definedName>
    <definedName name="myorellana_ñ" localSheetId="0" hidden="1">{#N/A,#N/A,FALSE,"Aging Summary";#N/A,#N/A,FALSE,"Ratio Analysis";#N/A,#N/A,FALSE,"Test 120 Day Accts";#N/A,#N/A,FALSE,"Tickmarks"}</definedName>
    <definedName name="myorellana_ñ" hidden="1">{#N/A,#N/A,FALSE,"Aging Summary";#N/A,#N/A,FALSE,"Ratio Analysis";#N/A,#N/A,FALSE,"Test 120 Day Accts";#N/A,#N/A,FALSE,"Tickmarks"}</definedName>
    <definedName name="MYR_TEC">#REF!</definedName>
    <definedName name="n">#REF!</definedName>
    <definedName name="nada">#REF!</definedName>
    <definedName name="nada2">#REF!</definedName>
    <definedName name="name">[37]Links!$F:$F</definedName>
    <definedName name="ND" localSheetId="0" hidden="1">{#N/A,#N/A,FALSE,"Aging Summary";#N/A,#N/A,FALSE,"Ratio Analysis";#N/A,#N/A,FALSE,"Test 120 Day Accts";#N/A,#N/A,FALSE,"Tickmarks"}</definedName>
    <definedName name="ND" hidden="1">{#N/A,#N/A,FALSE,"Aging Summary";#N/A,#N/A,FALSE,"Ratio Analysis";#N/A,#N/A,FALSE,"Test 120 Day Accts";#N/A,#N/A,FALSE,"Tickmarks"}</definedName>
    <definedName name="new">'[48]Proveed. Loc.'!$D$63</definedName>
    <definedName name="nmm" hidden="1">#REF!</definedName>
    <definedName name="nn" hidden="1">[10]XREF!$9:$9</definedName>
    <definedName name="NNK" hidden="1">34</definedName>
    <definedName name="no" hidden="1">#REF!</definedName>
    <definedName name="NonTop_Stratum_Value">#REF!</definedName>
    <definedName name="Nov">18000</definedName>
    <definedName name="NUEVO">#REF!</definedName>
    <definedName name="NUEVO_VALOR_COSTO">'[8]LISTADO 09 01'!#REF!</definedName>
    <definedName name="Number_of_Selections">#REF!</definedName>
    <definedName name="Numero_del_Activo">#REF!</definedName>
    <definedName name="NvsASD">"V1998-04-30"</definedName>
    <definedName name="NvsAutoDrillOk">"VN"</definedName>
    <definedName name="NvsElapsedTime">0.0000418981508119032</definedName>
    <definedName name="NvsEndTime">35929.4692549769</definedName>
    <definedName name="NvsInstSpec">"%,LREAL_S/,SYTD,FCURRENCY_CD,VECS,FDEPTID,TCENTROS_DE_COSTOS,NCOMERCIAL,FACCOUNT,TNIVELES_DE_CUENTAS,NGASTOS"</definedName>
    <definedName name="NvsLayoutType">"M3"</definedName>
    <definedName name="NvsNplSpec">"%,XZF.ACCOUNT.PSDetail"</definedName>
    <definedName name="NvsPanelEffdt">"V1992-12-10"</definedName>
    <definedName name="NvsPanelSetid">"VNEWGN"</definedName>
    <definedName name="NvsParentRef">[49]INCOME!$E$31</definedName>
    <definedName name="NvsReqBU">"VOTCEL"</definedName>
    <definedName name="NvsReqBUOnly">"VY"</definedName>
    <definedName name="NvsTransLed">"VN"</definedName>
    <definedName name="NvsTreeASD">"V1998-04-30"</definedName>
    <definedName name="NvsValTbl.ACCOUNT">"GL_ACCOUNT_TBL"</definedName>
    <definedName name="NvsValTbl.BUSINESS_UNIT">"BUS_UNIT_TBL_FS"</definedName>
    <definedName name="NvsValTbl.CURRENCY_CD">"CURRENCY_CD_TBL"</definedName>
    <definedName name="NvsValTbl.DEPTID">"DEPARTMENT_TBL"</definedName>
    <definedName name="ñ" hidden="1">#REF!</definedName>
    <definedName name="ññ" hidden="1">[10]XREF!$6:$6</definedName>
    <definedName name="o">#REF!</definedName>
    <definedName name="Oct">16000</definedName>
    <definedName name="office">[6]ER!$H$153</definedName>
    <definedName name="OI">'[50]Payment 02_06_2006'!$A$2:$R$21</definedName>
    <definedName name="ojo" hidden="1">[51]Costo!#REF!</definedName>
    <definedName name="oleoducto">#REF!</definedName>
    <definedName name="oo" hidden="1">22</definedName>
    <definedName name="oper">#REF!</definedName>
    <definedName name="OPER_SUC">#REF!</definedName>
    <definedName name="oper1">#REF!</definedName>
    <definedName name="orellana">#REF!</definedName>
    <definedName name="otros" localSheetId="0" hidden="1">{#N/A,#N/A,FALSE,"Aging Summary";#N/A,#N/A,FALSE,"Ratio Analysis";#N/A,#N/A,FALSE,"Test 120 Day Accts";#N/A,#N/A,FALSE,"Tickmarks"}</definedName>
    <definedName name="otros" hidden="1">{#N/A,#N/A,FALSE,"Aging Summary";#N/A,#N/A,FALSE,"Ratio Analysis";#N/A,#N/A,FALSE,"Test 120 Day Accts";#N/A,#N/A,FALSE,"Tickmarks"}</definedName>
    <definedName name="p">#REF!</definedName>
    <definedName name="Pagos">#REF!</definedName>
    <definedName name="PalAndes">#REF!</definedName>
    <definedName name="PalEcuador">#REF!</definedName>
    <definedName name="passwd" localSheetId="0">[20]Inicio!#REF!</definedName>
    <definedName name="passwd">[20]Inicio!#REF!</definedName>
    <definedName name="Pat" localSheetId="0" hidden="1">{#N/A,#N/A,FALSE,"Aging Summary";#N/A,#N/A,FALSE,"Ratio Analysis";#N/A,#N/A,FALSE,"Test 120 Day Accts";#N/A,#N/A,FALSE,"Tickmarks"}</definedName>
    <definedName name="Pat" hidden="1">{#N/A,#N/A,FALSE,"Aging Summary";#N/A,#N/A,FALSE,"Ratio Analysis";#N/A,#N/A,FALSE,"Test 120 Day Accts";#N/A,#N/A,FALSE,"Tickmarks"}</definedName>
    <definedName name="pato">#REF!</definedName>
    <definedName name="peralta">#REF!</definedName>
    <definedName name="Percent_Threshold">[23]Balance!$E$3</definedName>
    <definedName name="periodo" localSheetId="0">[20]Inicio!#REF!</definedName>
    <definedName name="periodo">[20]Inicio!#REF!</definedName>
    <definedName name="PG" localSheetId="0" hidden="1">{#N/A,#N/A,FALSE,"Aging Summary";#N/A,#N/A,FALSE,"Ratio Analysis";#N/A,#N/A,FALSE,"Test 120 Day Accts";#N/A,#N/A,FALSE,"Tickmarks"}</definedName>
    <definedName name="PG" hidden="1">{#N/A,#N/A,FALSE,"Aging Summary";#N/A,#N/A,FALSE,"Ratio Analysis";#N/A,#N/A,FALSE,"Test 120 Day Accts";#N/A,#N/A,FALSE,"Tickmarks"}</definedName>
    <definedName name="PhasePercentage">[52]MasterTables!$B$2:$B$14</definedName>
    <definedName name="PL_Dollar_Threshold">'[23]Estado de Resultados'!$H$3</definedName>
    <definedName name="PL_Percent_Threshold">'[23]Estado de Resultados'!$G$3</definedName>
    <definedName name="pp" localSheetId="0" hidden="1">{#N/A,#N/A,FALSE,"Aging Summary";#N/A,#N/A,FALSE,"Ratio Analysis";#N/A,#N/A,FALSE,"Test 120 Day Accts";#N/A,#N/A,FALSE,"Tickmarks"}</definedName>
    <definedName name="pp" hidden="1">{#N/A,#N/A,FALSE,"Aging Summary";#N/A,#N/A,FALSE,"Ratio Analysis";#N/A,#N/A,FALSE,"Test 120 Day Accts";#N/A,#N/A,FALSE,"Tickmarks"}</definedName>
    <definedName name="Pre_tax_materiality">#REF!</definedName>
    <definedName name="Precisionmonetaria">#REF!</definedName>
    <definedName name="PRINT_AREA_MI">#REF!</definedName>
    <definedName name="Provis" localSheetId="0" hidden="1">{#N/A,#N/A,FALSE,"Aging Summary";#N/A,#N/A,FALSE,"Ratio Analysis";#N/A,#N/A,FALSE,"Test 120 Day Accts";#N/A,#N/A,FALSE,"Tickmarks"}</definedName>
    <definedName name="Provis" hidden="1">{#N/A,#N/A,FALSE,"Aging Summary";#N/A,#N/A,FALSE,"Ratio Analysis";#N/A,#N/A,FALSE,"Test 120 Day Accts";#N/A,#N/A,FALSE,"Tickmarks"}</definedName>
    <definedName name="PY_Accounts_Receivable">[23]Balance!$D$8</definedName>
    <definedName name="PY_Administration">'[23]Estado de Resultados'!$C$11</definedName>
    <definedName name="PY_all_Equity">#REF!</definedName>
    <definedName name="PY_all_Income">#REF!</definedName>
    <definedName name="PY_all_RetEarn">#REF!</definedName>
    <definedName name="PY_Cash">[23]Balance!$D$6</definedName>
    <definedName name="PY_Cash_Div_Dec">'[24]Income Statement'!#REF!</definedName>
    <definedName name="PY_CASH_DIVIDENDS_DECLARED__per_common_share">'[24]Income Statement'!#REF!</definedName>
    <definedName name="PY_Common_Equity">[23]Balance!$D$32</definedName>
    <definedName name="PY_Cost_of_Sales">'[23]Estado de Resultados'!$C$7</definedName>
    <definedName name="PY_Current_Liabilities">[23]Balance!$D$24</definedName>
    <definedName name="PY_Depreciation">'[23]Estado de Resultados'!$C$15</definedName>
    <definedName name="PY_Disc._Ops.">'[25]Income Statement'!$E$28</definedName>
    <definedName name="PY_Earnings_per_share">[24]Ratios!#REF!</definedName>
    <definedName name="PY_Extraord.">'[25]Income Statement'!$E$32</definedName>
    <definedName name="PY_Gross_Profit">'[23]Estado de Resultados'!$C$9</definedName>
    <definedName name="PY_INC_AFT_TAX">'[25]Income Statement'!$E$26</definedName>
    <definedName name="PY_INC_BEF_EXTRAORD">'[25]Income Statement'!$E$30</definedName>
    <definedName name="PY_Inc_Bef_Tax">'[23]Estado de Resultados'!$C$22</definedName>
    <definedName name="PY_Intangible_Assets">[23]Balance!$D$18</definedName>
    <definedName name="PY_Interest_Expense">'[23]Estado de Resultados'!$C$19</definedName>
    <definedName name="PY_Inventory">[23]Balance!$D$12</definedName>
    <definedName name="PY_knw_Income">#REF!</definedName>
    <definedName name="PY_knw_RetEarn">#REF!</definedName>
    <definedName name="PY_LIABIL_EQUITY">[23]Balance!$D$37</definedName>
    <definedName name="PY_lik_Income">#REF!</definedName>
    <definedName name="PY_lik_RetEarn">#REF!</definedName>
    <definedName name="PY_Long_term_Debt__excl_Dfd_Taxes">'[25]Balance Sheet'!$D$29</definedName>
    <definedName name="PY_LT_Debt">[23]Balance!$D$25</definedName>
    <definedName name="PY_Market_Value_of_Equity">'[23]Estado de Resultados'!$C$31</definedName>
    <definedName name="PY_Marketable_Sec">[23]Balance!$D$7</definedName>
    <definedName name="PY_NET_INCOME">'[25]Income Statement'!$E$34</definedName>
    <definedName name="PY_NET_PROFIT">'[23]Estado de Resultados'!$C$26</definedName>
    <definedName name="PY_Net_Revenue">'[23]Estado de Resultados'!$C$6</definedName>
    <definedName name="PY_Operating_Inc">'[23]Estado de Resultados'!$C$17</definedName>
    <definedName name="PY_Operating_Income">'[23]Estado de Resultados'!$C$17</definedName>
    <definedName name="PY_Other_Curr_Assets">[23]Balance!$D$13</definedName>
    <definedName name="PY_Other_Exp">'[23]Estado de Resultados'!$C$14</definedName>
    <definedName name="PY_Other_LT_Assets">[23]Balance!$D$19</definedName>
    <definedName name="PY_Other_LT_Liabilities">[23]Balance!$D$26</definedName>
    <definedName name="PY_Preferred_Stock">[23]Balance!$D$31</definedName>
    <definedName name="PY_QUICK_ASSETS">[23]Balance!$D$10</definedName>
    <definedName name="PY_Retained_Earnings">[23]Balance!$D$33</definedName>
    <definedName name="PY_Selling">'[23]Estado de Resultados'!$C$12</definedName>
    <definedName name="PY_Tangible_Assets">[23]Balance!$D$17</definedName>
    <definedName name="PY_Tangible_Net_Worth">'[23]Estado de Resultados'!$C$33</definedName>
    <definedName name="PY_Taxes">'[23]Estado de Resultados'!$C$24</definedName>
    <definedName name="PY_tot_knw_Xfoot">#REF!</definedName>
    <definedName name="PY_tot_lik_Xfoot">#REF!</definedName>
    <definedName name="PY_TOTAL_ASSETS">[23]Balance!$D$22</definedName>
    <definedName name="PY_TOTAL_CURR_ASSETS">[23]Balance!$D$15</definedName>
    <definedName name="PY_TOTAL_DEBT">[23]Balance!$D$29</definedName>
    <definedName name="PY_TOTAL_EQUITY">[23]Balance!$D$35</definedName>
    <definedName name="PY_Trade_Payables">'[25]Balance Sheet'!$D$27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PY_Weighted_Average">'[24]Income Statement'!#REF!</definedName>
    <definedName name="PY_Working_Capital">'[23]Estado de Resultados'!$C$32</definedName>
    <definedName name="PY_Year_Income_Statement">'[25]Income Statement'!$E$3</definedName>
    <definedName name="PY2_Accounts_Receivable">[23]Balance!$G$8</definedName>
    <definedName name="PY2_Administration">'[23]Estado de Resultados'!$I$11</definedName>
    <definedName name="PY2_Cash">[23]Balance!$G$6</definedName>
    <definedName name="PY2_Cash_Div_Dec">'[24]Income Statement'!#REF!</definedName>
    <definedName name="PY2_CASH_DIVIDENDS_DECLARED__per_common_share">'[24]Income Statement'!#REF!</definedName>
    <definedName name="PY2_Common_Equity">[23]Balance!$G$32</definedName>
    <definedName name="PY2_Cost_of_Sales">'[23]Estado de Resultados'!$I$7</definedName>
    <definedName name="PY2_Current_Liabilities">[23]Balance!$G$24</definedName>
    <definedName name="PY2_Depreciation">'[23]Estado de Resultados'!$I$15</definedName>
    <definedName name="PY2_Disc._Ops.">'[25]Income Statement'!$L$28</definedName>
    <definedName name="PY2_Earnings_per_share">[24]Ratios!#REF!</definedName>
    <definedName name="PY2_Extraord.">'[25]Income Statement'!$L$32</definedName>
    <definedName name="PY2_Gross_Profit">'[23]Estado de Resultados'!$I$9</definedName>
    <definedName name="PY2_INC_AFT_TAX">'[25]Income Statement'!$L$26</definedName>
    <definedName name="PY2_INC_BEF_EXTRAORD">'[25]Income Statement'!$L$30</definedName>
    <definedName name="PY2_Inc_Bef_Tax">'[23]Estado de Resultados'!$I$22</definedName>
    <definedName name="PY2_Intangible_Assets">[23]Balance!$G$18</definedName>
    <definedName name="PY2_Interest_Expense">'[23]Estado de Resultados'!$I$19</definedName>
    <definedName name="PY2_Inventory">[23]Balance!$G$12</definedName>
    <definedName name="PY2_LIABIL_EQUITY">[23]Balance!$G$37</definedName>
    <definedName name="PY2_Long_term_Debt__excl_Dfd_Taxes">'[25]Balance Sheet'!$J$29</definedName>
    <definedName name="PY2_LT_Debt">[23]Balance!$G$25</definedName>
    <definedName name="PY2_Market_Value_of_Equity">'[24]Income Statement'!#REF!</definedName>
    <definedName name="PY2_Marketable_Sec">[23]Balance!$G$7</definedName>
    <definedName name="PY2_NET_INCOME">'[25]Income Statement'!$L$34</definedName>
    <definedName name="PY2_NET_PROFIT">'[23]Estado de Resultados'!$I$26</definedName>
    <definedName name="PY2_Net_Revenue">'[23]Estado de Resultados'!$I$6</definedName>
    <definedName name="PY2_Operating_Inc">'[23]Estado de Resultados'!$I$17</definedName>
    <definedName name="PY2_Operating_Income">'[23]Estado de Resultados'!$I$17</definedName>
    <definedName name="PY2_Other_Curr_Assets">[23]Balance!$G$13</definedName>
    <definedName name="PY2_Other_Exp.">'[23]Estado de Resultados'!$I$14</definedName>
    <definedName name="PY2_Other_LT_Assets">[23]Balance!$G$19</definedName>
    <definedName name="PY2_Other_LT_Liabilities">[23]Balance!$G$26</definedName>
    <definedName name="PY2_Preferred_Stock">[23]Balance!$G$31</definedName>
    <definedName name="PY2_QUICK_ASSETS">[23]Balance!$G$10</definedName>
    <definedName name="PY2_Retained_Earnings">[23]Balance!$G$33</definedName>
    <definedName name="PY2_Selling">'[23]Estado de Resultados'!$I$12</definedName>
    <definedName name="PY2_Tangible_Assets">[23]Balance!$G$17</definedName>
    <definedName name="PY2_Tangible_Net_Worth">'[23]Estado de Resultados'!$I$33</definedName>
    <definedName name="PY2_Taxes">'[23]Estado de Resultados'!$I$24</definedName>
    <definedName name="PY2_TOTAL_ASSETS">[23]Balance!$G$22</definedName>
    <definedName name="PY2_TOTAL_CURR_ASSETS">[23]Balance!$G$15</definedName>
    <definedName name="PY2_TOTAL_DEBT">[23]Balance!$G$29</definedName>
    <definedName name="PY2_TOTAL_EQUITY">[23]Balance!$G$35</definedName>
    <definedName name="PY2_Trade_Payables">'[25]Balance Sheet'!$J$27</definedName>
    <definedName name="PY2_Weighted_Average">'[24]Income Statement'!#REF!</definedName>
    <definedName name="PY2_Working_Capital">'[23]Estado de Resultados'!$I$32</definedName>
    <definedName name="PY2_Year_Income_Statement">'[25]Income Statement'!$L$3</definedName>
    <definedName name="PY3_Administration">'[25]Income Statement'!$N$13</definedName>
    <definedName name="PY3_Cash">'[25]Balance Sheet'!$K$8</definedName>
    <definedName name="PY3_Common_Equity">'[25]Balance Sheet'!$K$35</definedName>
    <definedName name="PY3_Cost_of_Sales">'[25]Income Statement'!$N$9</definedName>
    <definedName name="PY3_Current_Liabilities">'[25]Balance Sheet'!$K$28</definedName>
    <definedName name="PY3_Depreciation">'[25]Income Statement'!$N$16</definedName>
    <definedName name="PY3_Disc._Ops.">'[25]Income Statement'!$N$28</definedName>
    <definedName name="PY3_Extraord.">'[25]Income Statement'!$N$32</definedName>
    <definedName name="PY3_Gross_Profit">'[25]Income Statement'!$N$11</definedName>
    <definedName name="PY3_INC_AFT_TAX">'[25]Income Statement'!$N$26</definedName>
    <definedName name="PY3_INC_BEF_EXTRAORD">'[25]Income Statement'!$N$30</definedName>
    <definedName name="PY3_Inc_Bef_Tax">'[25]Income Statement'!$N$22</definedName>
    <definedName name="PY3_Interest_Expense">'[25]Income Statement'!$N$20</definedName>
    <definedName name="PY3_LIABIL_EQUITY">'[25]Balance Sheet'!$K$40</definedName>
    <definedName name="PY3_Long_term_Debt__excl_Dfd_Taxes">'[25]Balance Sheet'!$K$29</definedName>
    <definedName name="PY3_NET_INCOME">'[25]Income Statement'!$N$34</definedName>
    <definedName name="PY3_Net_Revenue">'[25]Income Statement'!$N$8</definedName>
    <definedName name="PY3_Operating_Inc">'[25]Income Statement'!$N$18</definedName>
    <definedName name="PY3_Other_Exp.">'[25]Income Statement'!$N$15</definedName>
    <definedName name="PY3_QUICK_ASSETS">'[25]Balance Sheet'!$K$12</definedName>
    <definedName name="PY3_Selling">'[25]Income Statement'!$N$14</definedName>
    <definedName name="PY3_Taxes">'[25]Income Statement'!$N$24</definedName>
    <definedName name="PY3_TOTAL_ASSETS">'[25]Balance Sheet'!$K$25</definedName>
    <definedName name="PY3_TOTAL_CURR_ASSETS">'[25]Balance Sheet'!$K$18</definedName>
    <definedName name="PY3_TOTAL_DEBT">'[25]Balance Sheet'!$K$32</definedName>
    <definedName name="PY3_TOTAL_EQUITY">'[25]Balance Sheet'!$K$38</definedName>
    <definedName name="PY3_Trade_Payables">'[25]Balance Sheet'!$K$27</definedName>
    <definedName name="PY3_Year_Income_Statement">'[25]Income Statement'!$N$3</definedName>
    <definedName name="PY4_Administration">'[25]Income Statement'!#REF!</definedName>
    <definedName name="PY4_Common_Equity">'[25]Balance Sheet'!$L$35</definedName>
    <definedName name="PY4_Cost_of_Sales">'[25]Income Statement'!#REF!</definedName>
    <definedName name="PY4_Depreciation">'[25]Income Statement'!#REF!</definedName>
    <definedName name="PY4_Disc._Ops.">'[25]Income Statement'!#REF!</definedName>
    <definedName name="PY4_Extraord.">'[25]Income Statement'!#REF!</definedName>
    <definedName name="PY4_Gross_Profit">'[25]Income Statement'!#REF!</definedName>
    <definedName name="PY4_INC_AFT_TAX">'[25]Income Statement'!#REF!</definedName>
    <definedName name="PY4_INC_BEF_EXTRAORD">'[25]Income Statement'!#REF!</definedName>
    <definedName name="PY4_Inc_Bef_Tax">'[25]Income Statement'!#REF!</definedName>
    <definedName name="PY4_Interest_Expense">'[25]Income Statement'!#REF!</definedName>
    <definedName name="PY4_LIABIL_EQUITY">'[25]Balance Sheet'!$L$40</definedName>
    <definedName name="PY4_NET_INCOME">'[25]Income Statement'!#REF!</definedName>
    <definedName name="PY4_Net_Revenue">'[25]Income Statement'!#REF!</definedName>
    <definedName name="PY4_Operating_Inc">'[25]Income Statement'!#REF!</definedName>
    <definedName name="PY4_Other_Exp.">'[25]Income Statement'!#REF!</definedName>
    <definedName name="PY4_Selling">'[25]Income Statement'!#REF!</definedName>
    <definedName name="PY4_Taxes">'[25]Income Statement'!#REF!</definedName>
    <definedName name="PY4_TOTAL_ASSETS">'[25]Balance Sheet'!$L$25</definedName>
    <definedName name="PY4_TOTAL_DEBT">'[25]Balance Sheet'!$L$32</definedName>
    <definedName name="PY4_TOTAL_EQUITY">'[25]Balance Sheet'!$L$38</definedName>
    <definedName name="PY4_Year_Income_Statement">'[25]Income Statement'!#REF!</definedName>
    <definedName name="PY5_Accounts_Receivable">'[25]Balance Sheet'!#REF!</definedName>
    <definedName name="PY5_Administration">'[25]Income Statement'!#REF!</definedName>
    <definedName name="PY5_Cash">'[25]Balance Sheet'!#REF!</definedName>
    <definedName name="PY5_Common_Equity">'[25]Balance Sheet'!#REF!</definedName>
    <definedName name="PY5_Cost_of_Sales">'[25]Income Statement'!#REF!</definedName>
    <definedName name="PY5_Current_Liabilities">'[25]Balance Sheet'!#REF!</definedName>
    <definedName name="PY5_Depreciation">'[25]Income Statement'!#REF!</definedName>
    <definedName name="PY5_Disc._Ops.">'[25]Income Statement'!#REF!</definedName>
    <definedName name="PY5_Extraord.">'[25]Income Statement'!#REF!</definedName>
    <definedName name="PY5_Gross_Profit">'[25]Income Statement'!#REF!</definedName>
    <definedName name="PY5_INC_AFT_TAX">'[25]Income Statement'!#REF!</definedName>
    <definedName name="PY5_INC_BEF_EXTRAORD">'[25]Income Statement'!#REF!</definedName>
    <definedName name="PY5_Inc_Bef_Tax">'[25]Income Statement'!#REF!</definedName>
    <definedName name="PY5_Intangible_Assets">'[25]Balance Sheet'!#REF!</definedName>
    <definedName name="PY5_Interest_Expense">'[25]Income Statement'!#REF!</definedName>
    <definedName name="PY5_Inventory">'[25]Balance Sheet'!#REF!</definedName>
    <definedName name="PY5_LIABIL_EQUITY">'[25]Balance Sheet'!#REF!</definedName>
    <definedName name="PY5_Long_term_Debt__excl_Dfd_Taxes">'[25]Balance Sheet'!#REF!</definedName>
    <definedName name="PY5_Marketable_Sec">'[25]Balance Sheet'!#REF!</definedName>
    <definedName name="PY5_NET_INCOME">'[25]Income Statement'!#REF!</definedName>
    <definedName name="PY5_Net_Revenue">'[25]Income Statement'!#REF!</definedName>
    <definedName name="PY5_Operating_Inc">'[25]Income Statement'!#REF!</definedName>
    <definedName name="PY5_Other_Curr_Assets">'[25]Balance Sheet'!#REF!</definedName>
    <definedName name="PY5_Other_Exp.">'[25]Income Statement'!#REF!</definedName>
    <definedName name="PY5_Other_LT_Assets">'[25]Balance Sheet'!#REF!</definedName>
    <definedName name="PY5_Other_LT_Liabilities">'[25]Balance Sheet'!#REF!</definedName>
    <definedName name="PY5_Preferred_Stock">'[25]Balance Sheet'!#REF!</definedName>
    <definedName name="PY5_QUICK_ASSETS">'[25]Balance Sheet'!#REF!</definedName>
    <definedName name="PY5_Retained_Earnings">'[25]Balance Sheet'!#REF!</definedName>
    <definedName name="PY5_Selling">'[25]Income Statement'!#REF!</definedName>
    <definedName name="PY5_Tangible_Assets">'[25]Balance Sheet'!#REF!</definedName>
    <definedName name="PY5_Taxes">'[25]Income Statement'!#REF!</definedName>
    <definedName name="PY5_TOTAL_ASSETS">'[25]Balance Sheet'!#REF!</definedName>
    <definedName name="PY5_TOTAL_CURR_ASSETS">'[25]Balance Sheet'!#REF!</definedName>
    <definedName name="PY5_TOTAL_DEBT">'[25]Balance Sheet'!#REF!</definedName>
    <definedName name="PY5_TOTAL_EQUITY">'[25]Balance Sheet'!#REF!</definedName>
    <definedName name="PY5_Trade_Payables">'[25]Balance Sheet'!#REF!</definedName>
    <definedName name="PY5_Year_Income_Statement">'[25]Income Statement'!#REF!</definedName>
    <definedName name="Q">#REF!</definedName>
    <definedName name="qq">#REF!</definedName>
    <definedName name="R_Factor">#REF!</definedName>
    <definedName name="re">'[53]S4201-AP CO'!$A$2:$A$33</definedName>
    <definedName name="rebe">#REF!</definedName>
    <definedName name="Reemplazos">#REF!</definedName>
    <definedName name="Ref_1">#REF!</definedName>
    <definedName name="Ref_1_16">#REF!</definedName>
    <definedName name="Ref_1_22">#REF!</definedName>
    <definedName name="Ref_1_4">NA()</definedName>
    <definedName name="Ref_1_5">NA()</definedName>
    <definedName name="Ref_1_8">#REF!</definedName>
    <definedName name="Ref_10">'[31]Costo+Reexp'!#REF!</definedName>
    <definedName name="Ref_10_12">NA()</definedName>
    <definedName name="Ref_10_13">NA()</definedName>
    <definedName name="Ref_10_15">NA()</definedName>
    <definedName name="Ref_10_16">NA()</definedName>
    <definedName name="Ref_10_2">NA()</definedName>
    <definedName name="Ref_10_22">#REF!</definedName>
    <definedName name="Ref_100">#REF!</definedName>
    <definedName name="Ref_100_22">#REF!</definedName>
    <definedName name="Ref_101">#REF!</definedName>
    <definedName name="Ref_101_22">#REF!</definedName>
    <definedName name="Ref_102">#REF!</definedName>
    <definedName name="Ref_102_22">#REF!</definedName>
    <definedName name="Ref_103">#REF!</definedName>
    <definedName name="Ref_103_22">#REF!</definedName>
    <definedName name="Ref_104">#REF!</definedName>
    <definedName name="Ref_104_22">#REF!</definedName>
    <definedName name="Ref_105">#REF!</definedName>
    <definedName name="Ref_105_22">#REF!</definedName>
    <definedName name="Ref_106">#REF!</definedName>
    <definedName name="Ref_106_22">#REF!</definedName>
    <definedName name="Ref_107">#REF!</definedName>
    <definedName name="Ref_107_22">#REF!</definedName>
    <definedName name="Ref_108">#REF!</definedName>
    <definedName name="Ref_109">#REF!</definedName>
    <definedName name="Ref_109_22">#REF!</definedName>
    <definedName name="Ref_11">#REF!</definedName>
    <definedName name="Ref_11_16">#REF!</definedName>
    <definedName name="Ref_11_22">#REF!</definedName>
    <definedName name="Ref_11_8">#REF!</definedName>
    <definedName name="Ref_110">#REF!</definedName>
    <definedName name="Ref_111">#REF!</definedName>
    <definedName name="Ref_111_22">#REF!</definedName>
    <definedName name="Ref_112">#REF!</definedName>
    <definedName name="Ref_113">#REF!</definedName>
    <definedName name="Ref_113_22">#REF!</definedName>
    <definedName name="Ref_114">#REF!</definedName>
    <definedName name="Ref_114_22">#REF!</definedName>
    <definedName name="Ref_115">#REF!</definedName>
    <definedName name="Ref_116">#REF!</definedName>
    <definedName name="Ref_116_22">#REF!</definedName>
    <definedName name="Ref_117">#REF!</definedName>
    <definedName name="Ref_117_22">#REF!</definedName>
    <definedName name="Ref_118">#REF!</definedName>
    <definedName name="Ref_118_22">#REF!</definedName>
    <definedName name="Ref_119">#REF!</definedName>
    <definedName name="Ref_12">'[31]Costo+Reexp'!#REF!</definedName>
    <definedName name="Ref_12_12">NA()</definedName>
    <definedName name="Ref_12_13">NA()</definedName>
    <definedName name="Ref_12_15">NA()</definedName>
    <definedName name="Ref_12_16">NA()</definedName>
    <definedName name="Ref_12_2">NA()</definedName>
    <definedName name="Ref_12_22">#REF!</definedName>
    <definedName name="Ref_120">#REF!</definedName>
    <definedName name="Ref_120_22">#REF!</definedName>
    <definedName name="Ref_121">#REF!</definedName>
    <definedName name="Ref_122">#REF!</definedName>
    <definedName name="Ref_122_22">#REF!</definedName>
    <definedName name="Ref_123">#REF!</definedName>
    <definedName name="Ref_123_22">#REF!</definedName>
    <definedName name="Ref_124">#REF!</definedName>
    <definedName name="Ref_124_22">#REF!</definedName>
    <definedName name="Ref_125">#REF!</definedName>
    <definedName name="Ref_125_22">#REF!</definedName>
    <definedName name="Ref_126">#REF!</definedName>
    <definedName name="Ref_126_22">#REF!</definedName>
    <definedName name="Ref_127">#REF!</definedName>
    <definedName name="Ref_127_22">#REF!</definedName>
    <definedName name="Ref_128">#REF!</definedName>
    <definedName name="Ref_128_22">#REF!</definedName>
    <definedName name="Ref_129">#REF!</definedName>
    <definedName name="Ref_129_22">#REF!</definedName>
    <definedName name="Ref_13">#REF!</definedName>
    <definedName name="Ref_13_16">#REF!</definedName>
    <definedName name="Ref_13_22">#REF!</definedName>
    <definedName name="Ref_13_8">#REF!</definedName>
    <definedName name="Ref_130">#REF!</definedName>
    <definedName name="Ref_130_22">#REF!</definedName>
    <definedName name="Ref_131">#REF!</definedName>
    <definedName name="Ref_131_22">#REF!</definedName>
    <definedName name="Ref_132">#REF!</definedName>
    <definedName name="Ref_132_22">#REF!</definedName>
    <definedName name="Ref_133">#REF!</definedName>
    <definedName name="Ref_133_22">#REF!</definedName>
    <definedName name="Ref_134">#REF!</definedName>
    <definedName name="Ref_134_22">#REF!</definedName>
    <definedName name="Ref_135">#REF!</definedName>
    <definedName name="Ref_135_22">#REF!</definedName>
    <definedName name="Ref_136">#REF!</definedName>
    <definedName name="Ref_136_22">#REF!</definedName>
    <definedName name="Ref_137">#REF!</definedName>
    <definedName name="Ref_14">#REF!</definedName>
    <definedName name="Ref_14_16">#REF!</definedName>
    <definedName name="Ref_14_22">#REF!</definedName>
    <definedName name="Ref_14_8">#REF!</definedName>
    <definedName name="Ref_15">#REF!</definedName>
    <definedName name="Ref_15_16">#REF!</definedName>
    <definedName name="Ref_15_22">#REF!</definedName>
    <definedName name="Ref_15_8">#REF!</definedName>
    <definedName name="Ref_150">NA()</definedName>
    <definedName name="Ref_151">NA()</definedName>
    <definedName name="Ref_152">NA()</definedName>
    <definedName name="Ref_153">#REF!</definedName>
    <definedName name="Ref_154">NA()</definedName>
    <definedName name="Ref_155">NA()</definedName>
    <definedName name="Ref_156">#REF!</definedName>
    <definedName name="Ref_157">#REF!</definedName>
    <definedName name="Ref_158">#REF!</definedName>
    <definedName name="Ref_159">#REF!</definedName>
    <definedName name="Ref_16">#REF!</definedName>
    <definedName name="Ref_16_16">#REF!</definedName>
    <definedName name="Ref_16_22">#REF!</definedName>
    <definedName name="Ref_16_8">#REF!</definedName>
    <definedName name="Ref_160">#REF!</definedName>
    <definedName name="Ref_161">#REF!</definedName>
    <definedName name="Ref_162">#REF!</definedName>
    <definedName name="Ref_17">#REF!</definedName>
    <definedName name="Ref_17_16">#REF!</definedName>
    <definedName name="Ref_17_22">#REF!</definedName>
    <definedName name="Ref_17_8">#REF!</definedName>
    <definedName name="Ref_18">'[31]Costo+Reexp'!#REF!</definedName>
    <definedName name="Ref_18_12">NA()</definedName>
    <definedName name="Ref_18_13">NA()</definedName>
    <definedName name="Ref_18_15">NA()</definedName>
    <definedName name="Ref_18_16">NA()</definedName>
    <definedName name="Ref_18_2">NA()</definedName>
    <definedName name="Ref_18_22">#REF!</definedName>
    <definedName name="Ref_19">#REF!</definedName>
    <definedName name="Ref_19_16">#REF!</definedName>
    <definedName name="Ref_19_22">#REF!</definedName>
    <definedName name="Ref_19_8">#REF!</definedName>
    <definedName name="Ref_2">#REF!</definedName>
    <definedName name="Ref_2_16">#REF!</definedName>
    <definedName name="Ref_2_22">#REF!</definedName>
    <definedName name="Ref_2_8">#REF!</definedName>
    <definedName name="Ref_20">#REF!</definedName>
    <definedName name="Ref_20_16">#REF!</definedName>
    <definedName name="Ref_20_8">#REF!</definedName>
    <definedName name="Ref_21">'[31]Costo+Reexp'!#REF!</definedName>
    <definedName name="Ref_21_12">NA()</definedName>
    <definedName name="Ref_21_13">NA()</definedName>
    <definedName name="Ref_21_15">NA()</definedName>
    <definedName name="Ref_21_16">NA()</definedName>
    <definedName name="Ref_21_2">NA()</definedName>
    <definedName name="Ref_22">#REF!</definedName>
    <definedName name="Ref_22_16">#REF!</definedName>
    <definedName name="Ref_22_8">#REF!</definedName>
    <definedName name="Ref_23">#REF!</definedName>
    <definedName name="Ref_23_15">#REF!</definedName>
    <definedName name="Ref_23_8">#REF!</definedName>
    <definedName name="Ref_24">#REF!</definedName>
    <definedName name="Ref_24_16">#REF!</definedName>
    <definedName name="Ref_24_8">#REF!</definedName>
    <definedName name="Ref_25">'[31]Costo+Reexp'!#REF!</definedName>
    <definedName name="Ref_25_12">NA()</definedName>
    <definedName name="Ref_25_13">NA()</definedName>
    <definedName name="Ref_25_15">NA()</definedName>
    <definedName name="Ref_25_16">NA()</definedName>
    <definedName name="Ref_25_2">NA()</definedName>
    <definedName name="Ref_26">#REF!</definedName>
    <definedName name="Ref_26_16">#REF!</definedName>
    <definedName name="Ref_26_8">#REF!</definedName>
    <definedName name="Ref_27">'[31]Costo+Reexp'!#REF!</definedName>
    <definedName name="Ref_27_12">NA()</definedName>
    <definedName name="Ref_27_13">NA()</definedName>
    <definedName name="Ref_27_15">NA()</definedName>
    <definedName name="Ref_27_16">NA()</definedName>
    <definedName name="Ref_27_2">NA()</definedName>
    <definedName name="Ref_28">#REF!</definedName>
    <definedName name="Ref_28_16">#REF!</definedName>
    <definedName name="Ref_28_8">#REF!</definedName>
    <definedName name="Ref_29">#REF!</definedName>
    <definedName name="Ref_29_16">#REF!</definedName>
    <definedName name="Ref_29_8">#REF!</definedName>
    <definedName name="Ref_3">#REF!</definedName>
    <definedName name="Ref_3_15">#REF!</definedName>
    <definedName name="Ref_3_2">#REF!</definedName>
    <definedName name="Ref_3_22">#REF!</definedName>
    <definedName name="Ref_3_3">#REF!</definedName>
    <definedName name="Ref_3_8">#REF!</definedName>
    <definedName name="Ref_30">#REF!</definedName>
    <definedName name="Ref_30_16">#REF!</definedName>
    <definedName name="Ref_30_8">#REF!</definedName>
    <definedName name="Ref_31">#REF!</definedName>
    <definedName name="Ref_31_16">#REF!</definedName>
    <definedName name="Ref_31_8">#REF!</definedName>
    <definedName name="Ref_32">#REF!</definedName>
    <definedName name="Ref_32_16">#REF!</definedName>
    <definedName name="Ref_32_8">#REF!</definedName>
    <definedName name="Ref_33">#REF!</definedName>
    <definedName name="Ref_33_16">#REF!</definedName>
    <definedName name="Ref_33_8">#REF!</definedName>
    <definedName name="Ref_34">#REF!</definedName>
    <definedName name="Ref_34_16">#REF!</definedName>
    <definedName name="Ref_34_8">#REF!</definedName>
    <definedName name="Ref_35">#REF!</definedName>
    <definedName name="Ref_35_16">#REF!</definedName>
    <definedName name="Ref_35_8">#REF!</definedName>
    <definedName name="Ref_36">#REF!</definedName>
    <definedName name="Ref_36_16">#REF!</definedName>
    <definedName name="Ref_36_8">#REF!</definedName>
    <definedName name="Ref_37">'[31]Costo+Reexp'!#REF!</definedName>
    <definedName name="Ref_37_12">NA()</definedName>
    <definedName name="Ref_37_13">NA()</definedName>
    <definedName name="Ref_37_15">NA()</definedName>
    <definedName name="Ref_37_16">NA()</definedName>
    <definedName name="Ref_37_2">NA()</definedName>
    <definedName name="Ref_38">'[54]Dep.Costo.'!#REF!</definedName>
    <definedName name="Ref_38_15">#REF!</definedName>
    <definedName name="Ref_38_8">#REF!</definedName>
    <definedName name="Ref_39">#REF!</definedName>
    <definedName name="Ref_39_16">#REF!</definedName>
    <definedName name="Ref_39_8">#REF!</definedName>
    <definedName name="Ref_4">#REF!</definedName>
    <definedName name="Ref_4_16">#REF!</definedName>
    <definedName name="Ref_4_22">#REF!</definedName>
    <definedName name="Ref_4_8">#REF!</definedName>
    <definedName name="Ref_40">'[31]Costo+Reexp'!#REF!</definedName>
    <definedName name="Ref_40_12">NA()</definedName>
    <definedName name="Ref_40_13">NA()</definedName>
    <definedName name="Ref_40_15">NA()</definedName>
    <definedName name="Ref_40_16">NA()</definedName>
    <definedName name="Ref_40_2">NA()</definedName>
    <definedName name="Ref_41">#REF!</definedName>
    <definedName name="Ref_41_16">#REF!</definedName>
    <definedName name="Ref_41_8">#REF!</definedName>
    <definedName name="Ref_42">#REF!</definedName>
    <definedName name="Ref_42_16">#REF!</definedName>
    <definedName name="Ref_42_8">#REF!</definedName>
    <definedName name="Ref_43">#REF!</definedName>
    <definedName name="Ref_43_16">#REF!</definedName>
    <definedName name="Ref_43_8">#REF!</definedName>
    <definedName name="Ref_44">#REF!</definedName>
    <definedName name="Ref_44_16">#REF!</definedName>
    <definedName name="Ref_44_8">#REF!</definedName>
    <definedName name="Ref_45">#REF!</definedName>
    <definedName name="Ref_45_16">#REF!</definedName>
    <definedName name="Ref_45_8">#REF!</definedName>
    <definedName name="Ref_46">'[31]Costo+Reexp'!#REF!</definedName>
    <definedName name="Ref_46_12">NA()</definedName>
    <definedName name="Ref_46_13">NA()</definedName>
    <definedName name="Ref_46_15">NA()</definedName>
    <definedName name="Ref_46_16">NA()</definedName>
    <definedName name="Ref_46_2">NA()</definedName>
    <definedName name="Ref_47">'[31]Costo+Reexp'!#REF!</definedName>
    <definedName name="Ref_47_12">NA()</definedName>
    <definedName name="Ref_47_13">NA()</definedName>
    <definedName name="Ref_47_15">NA()</definedName>
    <definedName name="Ref_47_16">NA()</definedName>
    <definedName name="Ref_47_2">NA()</definedName>
    <definedName name="Ref_48">'[31]Costo+Reexp'!#REF!</definedName>
    <definedName name="Ref_48_12">NA()</definedName>
    <definedName name="Ref_48_13">NA()</definedName>
    <definedName name="Ref_48_15">NA()</definedName>
    <definedName name="Ref_48_16">NA()</definedName>
    <definedName name="Ref_48_2">NA()</definedName>
    <definedName name="Ref_49">#REF!</definedName>
    <definedName name="Ref_49_16">#REF!</definedName>
    <definedName name="Ref_49_8">#REF!</definedName>
    <definedName name="Ref_5">#REF!</definedName>
    <definedName name="Ref_5_16">#REF!</definedName>
    <definedName name="Ref_5_22">#REF!</definedName>
    <definedName name="Ref_5_8">#REF!</definedName>
    <definedName name="Ref_50">#REF!</definedName>
    <definedName name="Ref_50_16">#REF!</definedName>
    <definedName name="Ref_50_8">#REF!</definedName>
    <definedName name="Ref_51">#REF!</definedName>
    <definedName name="Ref_51_16">#REF!</definedName>
    <definedName name="Ref_51_8">#REF!</definedName>
    <definedName name="Ref_52">#REF!</definedName>
    <definedName name="Ref_52_16">#REF!</definedName>
    <definedName name="Ref_52_8">#REF!</definedName>
    <definedName name="Ref_53">#REF!</definedName>
    <definedName name="Ref_53_16">#REF!</definedName>
    <definedName name="Ref_53_8">#REF!</definedName>
    <definedName name="Ref_54">#REF!</definedName>
    <definedName name="Ref_54_16">#REF!</definedName>
    <definedName name="Ref_54_8">#REF!</definedName>
    <definedName name="Ref_55">#REF!</definedName>
    <definedName name="Ref_55_16">#REF!</definedName>
    <definedName name="Ref_55_8">#REF!</definedName>
    <definedName name="Ref_56">#REF!</definedName>
    <definedName name="Ref_56_16">#REF!</definedName>
    <definedName name="Ref_56_8">#REF!</definedName>
    <definedName name="Ref_57">#REF!</definedName>
    <definedName name="Ref_57_16">#REF!</definedName>
    <definedName name="Ref_57_8">#REF!</definedName>
    <definedName name="Ref_58">#REF!</definedName>
    <definedName name="Ref_58_16">#REF!</definedName>
    <definedName name="Ref_58_8">#REF!</definedName>
    <definedName name="Ref_59">#REF!</definedName>
    <definedName name="Ref_59_16">#REF!</definedName>
    <definedName name="Ref_59_8">#REF!</definedName>
    <definedName name="Ref_6">'[31]Costo+Reexp'!#REF!</definedName>
    <definedName name="Ref_6_12">NA()</definedName>
    <definedName name="Ref_6_13">NA()</definedName>
    <definedName name="Ref_6_15">NA()</definedName>
    <definedName name="Ref_6_16">NA()</definedName>
    <definedName name="Ref_6_2">NA()</definedName>
    <definedName name="Ref_6_22">#REF!</definedName>
    <definedName name="Ref_60">#REF!</definedName>
    <definedName name="Ref_60_16">#REF!</definedName>
    <definedName name="Ref_60_8">#REF!</definedName>
    <definedName name="Ref_61">#REF!</definedName>
    <definedName name="Ref_61_16">#REF!</definedName>
    <definedName name="Ref_61_8">#REF!</definedName>
    <definedName name="Ref_62">'[31]Costo+Reexp'!#REF!</definedName>
    <definedName name="Ref_62_12">NA()</definedName>
    <definedName name="Ref_62_13">NA()</definedName>
    <definedName name="Ref_62_15">NA()</definedName>
    <definedName name="Ref_62_16">NA()</definedName>
    <definedName name="Ref_62_2">NA()</definedName>
    <definedName name="Ref_63">'[31]Costo+Reexp'!#REF!</definedName>
    <definedName name="Ref_63_12">NA()</definedName>
    <definedName name="Ref_63_13">NA()</definedName>
    <definedName name="Ref_63_15">NA()</definedName>
    <definedName name="Ref_63_16">NA()</definedName>
    <definedName name="Ref_63_2">NA()</definedName>
    <definedName name="Ref_64">#REF!</definedName>
    <definedName name="Ref_64_16">#REF!</definedName>
    <definedName name="Ref_64_8">#REF!</definedName>
    <definedName name="Ref_65">#REF!</definedName>
    <definedName name="Ref_65_16">#REF!</definedName>
    <definedName name="Ref_65_8">#REF!</definedName>
    <definedName name="Ref_66">'[31]Costo+Reexp'!#REF!</definedName>
    <definedName name="Ref_66_12">NA()</definedName>
    <definedName name="Ref_66_13">NA()</definedName>
    <definedName name="Ref_66_15">NA()</definedName>
    <definedName name="Ref_66_16">NA()</definedName>
    <definedName name="Ref_66_2">NA()</definedName>
    <definedName name="Ref_67">#REF!</definedName>
    <definedName name="Ref_67_16">#REF!</definedName>
    <definedName name="Ref_67_8">#REF!</definedName>
    <definedName name="Ref_68">#REF!</definedName>
    <definedName name="Ref_68_16">#REF!</definedName>
    <definedName name="Ref_68_8">#REF!</definedName>
    <definedName name="Ref_69">#REF!</definedName>
    <definedName name="Ref_69_16">#REF!</definedName>
    <definedName name="Ref_69_8">#REF!</definedName>
    <definedName name="Ref_7">#REF!</definedName>
    <definedName name="Ref_7_16">#REF!</definedName>
    <definedName name="Ref_7_22">#REF!</definedName>
    <definedName name="Ref_7_8">#REF!</definedName>
    <definedName name="Ref_70">#REF!</definedName>
    <definedName name="Ref_70_16">#REF!</definedName>
    <definedName name="Ref_70_8">#REF!</definedName>
    <definedName name="Ref_71">#REF!</definedName>
    <definedName name="Ref_71_16">#REF!</definedName>
    <definedName name="Ref_71_8">#REF!</definedName>
    <definedName name="Ref_72">#REF!</definedName>
    <definedName name="Ref_72_16">#REF!</definedName>
    <definedName name="Ref_72_8">#REF!</definedName>
    <definedName name="Ref_73">#REF!</definedName>
    <definedName name="Ref_73_16">#REF!</definedName>
    <definedName name="Ref_73_8">#REF!</definedName>
    <definedName name="Ref_74">#REF!</definedName>
    <definedName name="Ref_74_16">#REF!</definedName>
    <definedName name="Ref_74_8">#REF!</definedName>
    <definedName name="Ref_75">#REF!</definedName>
    <definedName name="Ref_75_16">#REF!</definedName>
    <definedName name="Ref_75_8">#REF!</definedName>
    <definedName name="Ref_76">#REF!</definedName>
    <definedName name="Ref_76_16">#REF!</definedName>
    <definedName name="Ref_76_8">#REF!</definedName>
    <definedName name="Ref_77">#REF!</definedName>
    <definedName name="Ref_77_16">#REF!</definedName>
    <definedName name="Ref_77_22">NA()</definedName>
    <definedName name="Ref_77_8">#REF!</definedName>
    <definedName name="Ref_78">#REF!</definedName>
    <definedName name="Ref_78_16">#REF!</definedName>
    <definedName name="Ref_78_8">#REF!</definedName>
    <definedName name="Ref_79">'[31]Costo+Reexp'!#REF!</definedName>
    <definedName name="Ref_79_12">NA()</definedName>
    <definedName name="Ref_79_13">NA()</definedName>
    <definedName name="Ref_79_15">NA()</definedName>
    <definedName name="Ref_79_16">NA()</definedName>
    <definedName name="Ref_79_2">NA()</definedName>
    <definedName name="Ref_8">#REF!</definedName>
    <definedName name="Ref_8_16">#REF!</definedName>
    <definedName name="Ref_8_22">#REF!</definedName>
    <definedName name="Ref_8_8">#REF!</definedName>
    <definedName name="Ref_80">'[31]Costo+Reexp'!#REF!</definedName>
    <definedName name="Ref_80_12">NA()</definedName>
    <definedName name="Ref_80_13">NA()</definedName>
    <definedName name="Ref_80_15">NA()</definedName>
    <definedName name="Ref_80_16">NA()</definedName>
    <definedName name="Ref_80_2">NA()</definedName>
    <definedName name="Ref_81">#REF!</definedName>
    <definedName name="Ref_82">#REF!</definedName>
    <definedName name="Ref_83">#REF!</definedName>
    <definedName name="Ref_84">#REF!</definedName>
    <definedName name="Ref_84_22">#REF!</definedName>
    <definedName name="Ref_85">#REF!</definedName>
    <definedName name="Ref_85_15">#REF!</definedName>
    <definedName name="Ref_85_22">#REF!</definedName>
    <definedName name="Ref_85_8">#REF!</definedName>
    <definedName name="Ref_86">#REF!</definedName>
    <definedName name="Ref_86_15">#REF!</definedName>
    <definedName name="Ref_86_22">#REF!</definedName>
    <definedName name="Ref_86_8">#REF!</definedName>
    <definedName name="Ref_87">#REF!</definedName>
    <definedName name="Ref_87_15">#REF!</definedName>
    <definedName name="Ref_87_22">#REF!</definedName>
    <definedName name="Ref_87_8">#REF!</definedName>
    <definedName name="Ref_88">#REF!</definedName>
    <definedName name="Ref_88_22">#REF!</definedName>
    <definedName name="Ref_89">#REF!</definedName>
    <definedName name="Ref_89_22">#REF!</definedName>
    <definedName name="Ref_9">#REF!</definedName>
    <definedName name="Ref_9_16">#REF!</definedName>
    <definedName name="Ref_9_22">#REF!</definedName>
    <definedName name="Ref_9_8">#REF!</definedName>
    <definedName name="Ref_90">#REF!</definedName>
    <definedName name="Ref_91">#REF!</definedName>
    <definedName name="Ref_92">#REF!</definedName>
    <definedName name="Ref_93">#REF!</definedName>
    <definedName name="Ref_93_22">#REF!</definedName>
    <definedName name="Ref_94">#REF!</definedName>
    <definedName name="Ref_94_22">#REF!</definedName>
    <definedName name="Ref_95">#REF!</definedName>
    <definedName name="Ref_95_22">#REF!</definedName>
    <definedName name="Ref_96">#REF!</definedName>
    <definedName name="Ref_96_22">#REF!</definedName>
    <definedName name="Ref_97">#REF!</definedName>
    <definedName name="Ref_97_22">#REF!</definedName>
    <definedName name="Ref_98">#REF!</definedName>
    <definedName name="Ref_98_22">#REF!</definedName>
    <definedName name="Ref_99">#REF!</definedName>
    <definedName name="Ref_99_22">#REF!</definedName>
    <definedName name="Referencia">#REF!</definedName>
    <definedName name="rent">[6]ER!$H$154</definedName>
    <definedName name="Resid.S_.">'[8]LISTADO 09 01'!#REF!</definedName>
    <definedName name="Resid.U_.">'[8]LISTADO 09 01'!#REF!</definedName>
    <definedName name="Residual_difference">#REF!</definedName>
    <definedName name="resumen">#REF!</definedName>
    <definedName name="Retroactivo_A_MAYO">#REF!</definedName>
    <definedName name="REV._COSTO">'[8]LISTADO 09 01'!#REF!</definedName>
    <definedName name="REV._DEP.">'[8]LISTADO 09 01'!#REF!</definedName>
    <definedName name="RID">#REF!</definedName>
    <definedName name="ROCIO">'[18]1134'!#REF!</definedName>
    <definedName name="rr">#REF!</definedName>
    <definedName name="s">#REF!</definedName>
    <definedName name="S_AcctDes">#REF!</definedName>
    <definedName name="S_AcctDes_16">#REF!</definedName>
    <definedName name="S_AcctDes_8">#REF!</definedName>
    <definedName name="S_AcctNum">#REF!</definedName>
    <definedName name="S_AcctNum_16">#REF!</definedName>
    <definedName name="S_AcctNum_8">#REF!</definedName>
    <definedName name="S_Adjust">'[55]Costos y Gastos - final'!#REF!</definedName>
    <definedName name="S_Adjust_15">#REF!</definedName>
    <definedName name="S_Adjust_8">#REF!</definedName>
    <definedName name="S_Adjust_Data">[12]Lead!$I$1:$I$7</definedName>
    <definedName name="S_Adjust_Data_15">NA()</definedName>
    <definedName name="S_Adjust_Data_8">NA()</definedName>
    <definedName name="S_Adjust_GT">'[55]Costos y Gastos - final'!#REF!</definedName>
    <definedName name="S_Adjust_GT_15">#REF!</definedName>
    <definedName name="S_Adjust_GT_8">#REF!</definedName>
    <definedName name="S_AJE_Tot">'[55]Costos y Gastos - final'!#REF!</definedName>
    <definedName name="S_AJE_Tot_15">#REF!</definedName>
    <definedName name="S_AJE_Tot_8">#REF!</definedName>
    <definedName name="S_AJE_Tot_Data">[12]Lead!$H$1:$H$7</definedName>
    <definedName name="S_AJE_Tot_Data_15">NA()</definedName>
    <definedName name="S_AJE_Tot_Data_8">NA()</definedName>
    <definedName name="S_AJE_Tot_GT">'[55]Costos y Gastos - final'!#REF!</definedName>
    <definedName name="S_AJE_Tot_GT_15">#REF!</definedName>
    <definedName name="S_AJE_Tot_GT_8">#REF!</definedName>
    <definedName name="S_CompNum">'[55]Costos y Gastos - final'!#REF!</definedName>
    <definedName name="S_CompNum_15">#REF!</definedName>
    <definedName name="S_CompNum_8">#REF!</definedName>
    <definedName name="S_CY_Beg">#REF!</definedName>
    <definedName name="S_CY_Beg_16">#REF!</definedName>
    <definedName name="S_CY_Beg_8">#REF!</definedName>
    <definedName name="S_CY_Beg_Data">[12]Lead!$F$1:$F$7</definedName>
    <definedName name="S_CY_Beg_Data_15">NA()</definedName>
    <definedName name="S_CY_Beg_Data_8">NA()</definedName>
    <definedName name="S_CY_Beg_GT">#REF!</definedName>
    <definedName name="S_CY_Beg_GT_15">#REF!</definedName>
    <definedName name="S_CY_Beg_GT_8">#REF!</definedName>
    <definedName name="S_CY_End">#REF!</definedName>
    <definedName name="S_CY_End_12">#REF!</definedName>
    <definedName name="S_CY_End_13">#REF!</definedName>
    <definedName name="S_CY_End_15">#REF!</definedName>
    <definedName name="S_CY_End_16">#REF!</definedName>
    <definedName name="S_CY_End_2">#REF!</definedName>
    <definedName name="S_CY_End_8">#REF!</definedName>
    <definedName name="S_CY_End_Data">[12]Lead!$K$1:$K$7</definedName>
    <definedName name="S_CY_End_Data_15">NA()</definedName>
    <definedName name="S_CY_End_Data_8">NA()</definedName>
    <definedName name="S_CY_End_GT">'[55]Costos y Gastos - final'!#REF!</definedName>
    <definedName name="S_CY_End_GT_15">#REF!</definedName>
    <definedName name="S_CY_End_GT_8">#REF!</definedName>
    <definedName name="S_Diff_Amt">#REF!</definedName>
    <definedName name="S_Diff_Amt_12">#REF!</definedName>
    <definedName name="S_Diff_Amt_13">#REF!</definedName>
    <definedName name="S_Diff_Amt_15">#REF!</definedName>
    <definedName name="S_Diff_Amt_16">#REF!</definedName>
    <definedName name="S_Diff_Amt_2">#REF!</definedName>
    <definedName name="S_Diff_Amt_8">#REF!</definedName>
    <definedName name="S_Diff_Pct">#REF!</definedName>
    <definedName name="S_Diff_Pct_12">#REF!</definedName>
    <definedName name="S_Diff_Pct_13">#REF!</definedName>
    <definedName name="S_Diff_Pct_15">#REF!</definedName>
    <definedName name="S_Diff_Pct_16">#REF!</definedName>
    <definedName name="S_Diff_Pct_2">#REF!</definedName>
    <definedName name="S_Diff_Pct_8">#REF!</definedName>
    <definedName name="S_GrpNum">'[55]Costos y Gastos - final'!#REF!</definedName>
    <definedName name="S_GrpNum_15">#REF!</definedName>
    <definedName name="S_GrpNum_8">#REF!</definedName>
    <definedName name="S_Headings">#REF!</definedName>
    <definedName name="S_Headings_16">#REF!</definedName>
    <definedName name="S_Headings_8">#REF!</definedName>
    <definedName name="S_KeyValue">#REF!</definedName>
    <definedName name="S_KeyValue_15">#REF!</definedName>
    <definedName name="S_KeyValue_8">#REF!</definedName>
    <definedName name="S_LSRange1">#REF!</definedName>
    <definedName name="S_LSRange1_16">#REF!</definedName>
    <definedName name="S_LSRange1_8">#REF!</definedName>
    <definedName name="S_LSRange1Balance">#REF!</definedName>
    <definedName name="S_LSRange1Balance_16">#REF!</definedName>
    <definedName name="S_LSRange1Balance_8">#REF!</definedName>
    <definedName name="S_LSRange1Balance1">#REF!</definedName>
    <definedName name="S_LSRange1Balance1_16">#REF!</definedName>
    <definedName name="S_LSRange1Balance1_8">#REF!</definedName>
    <definedName name="S_LSRange1Balance2">#REF!</definedName>
    <definedName name="S_LSRange1Balance2_12">#REF!</definedName>
    <definedName name="S_LSRange1Balance2_13">#REF!</definedName>
    <definedName name="S_LSRange1Balance2_15">#REF!</definedName>
    <definedName name="S_LSRange1Balance2_16">#REF!</definedName>
    <definedName name="S_LSRange1Balance2_2">#REF!</definedName>
    <definedName name="S_LSRange1Balance2_8">#REF!</definedName>
    <definedName name="S_LSRange1Balance3">#REF!</definedName>
    <definedName name="S_LSRange1Balance3_12">#REF!</definedName>
    <definedName name="S_LSRange1Balance3_13">#REF!</definedName>
    <definedName name="S_LSRange1Balance3_15">#REF!</definedName>
    <definedName name="S_LSRange1Balance3_16">#REF!</definedName>
    <definedName name="S_LSRange1Balance3_2">#REF!</definedName>
    <definedName name="S_LSRange1Balance3_8">#REF!</definedName>
    <definedName name="S_LSRange2">#REF!</definedName>
    <definedName name="S_LSRange2_16">#REF!</definedName>
    <definedName name="S_LSRange2_8">#REF!</definedName>
    <definedName name="S_LSRange2Balance">#REF!</definedName>
    <definedName name="S_LSRange2Balance_16">#REF!</definedName>
    <definedName name="S_LSRange2Balance_8">#REF!</definedName>
    <definedName name="S_LSRange2Balance1">#REF!</definedName>
    <definedName name="S_LSRange2Balance1_16">#REF!</definedName>
    <definedName name="S_LSRange2Balance1_8">#REF!</definedName>
    <definedName name="S_LSRange2Balance2">#REF!</definedName>
    <definedName name="S_LSRange2Balance2_12">#REF!</definedName>
    <definedName name="S_LSRange2Balance2_13">#REF!</definedName>
    <definedName name="S_LSRange2Balance2_15">#REF!</definedName>
    <definedName name="S_LSRange2Balance2_16">#REF!</definedName>
    <definedName name="S_LSRange2Balance2_2">#REF!</definedName>
    <definedName name="S_LSRange2Balance2_8">#REF!</definedName>
    <definedName name="S_LSRange2Balance3">#REF!</definedName>
    <definedName name="S_LSRange2Balance3_12">#REF!</definedName>
    <definedName name="S_LSRange2Balance3_13">#REF!</definedName>
    <definedName name="S_LSRange2Balance3_15">#REF!</definedName>
    <definedName name="S_LSRange2Balance3_16">#REF!</definedName>
    <definedName name="S_LSRange2Balance3_2">#REF!</definedName>
    <definedName name="S_LSRange2Balance3_8">#REF!</definedName>
    <definedName name="S_LSRange3">#REF!</definedName>
    <definedName name="S_LSRange3_16">#REF!</definedName>
    <definedName name="S_LSRange3_8">#REF!</definedName>
    <definedName name="S_LSRange3Balance">#REF!</definedName>
    <definedName name="S_LSRange3Balance_16">#REF!</definedName>
    <definedName name="S_LSRange3Balance_8">#REF!</definedName>
    <definedName name="S_LSRange3Balance1">#REF!</definedName>
    <definedName name="S_LSRange3Balance1_16">#REF!</definedName>
    <definedName name="S_LSRange3Balance1_8">#REF!</definedName>
    <definedName name="S_LSRange3Balance2">#REF!</definedName>
    <definedName name="S_LSRange3Balance2_12">#REF!</definedName>
    <definedName name="S_LSRange3Balance2_13">#REF!</definedName>
    <definedName name="S_LSRange3Balance2_15">#REF!</definedName>
    <definedName name="S_LSRange3Balance2_16">#REF!</definedName>
    <definedName name="S_LSRange3Balance2_2">#REF!</definedName>
    <definedName name="S_LSRange3Balance2_8">#REF!</definedName>
    <definedName name="S_LSRange3Balance3">#REF!</definedName>
    <definedName name="S_LSRange3Balance3_12">#REF!</definedName>
    <definedName name="S_LSRange3Balance3_13">#REF!</definedName>
    <definedName name="S_LSRange3Balance3_15">#REF!</definedName>
    <definedName name="S_LSRange3Balance3_16">#REF!</definedName>
    <definedName name="S_LSRange3Balance3_2">#REF!</definedName>
    <definedName name="S_LSRange3Balance3_8">#REF!</definedName>
    <definedName name="S_LSRange4">#REF!</definedName>
    <definedName name="S_LSRange4_16">#REF!</definedName>
    <definedName name="S_LSRange4_8">#REF!</definedName>
    <definedName name="S_LSRange4Balance">#REF!</definedName>
    <definedName name="S_LSRange4Balance_16">#REF!</definedName>
    <definedName name="S_LSRange4Balance_8">#REF!</definedName>
    <definedName name="S_LSRange4Balance1">#REF!</definedName>
    <definedName name="S_LSRange4Balance1_16">#REF!</definedName>
    <definedName name="S_LSRange4Balance1_8">#REF!</definedName>
    <definedName name="S_LSRange4Balance2">#REF!</definedName>
    <definedName name="S_LSRange4Balance2_12">#REF!</definedName>
    <definedName name="S_LSRange4Balance2_13">#REF!</definedName>
    <definedName name="S_LSRange4Balance2_15">#REF!</definedName>
    <definedName name="S_LSRange4Balance2_16">#REF!</definedName>
    <definedName name="S_LSRange4Balance2_2">#REF!</definedName>
    <definedName name="S_LSRange4Balance2_8">#REF!</definedName>
    <definedName name="S_LSRange4Balance3">#REF!</definedName>
    <definedName name="S_LSRange4Balance3_12">#REF!</definedName>
    <definedName name="S_LSRange4Balance3_13">#REF!</definedName>
    <definedName name="S_LSRange4Balance3_15">#REF!</definedName>
    <definedName name="S_LSRange4Balance3_16">#REF!</definedName>
    <definedName name="S_LSRange4Balance3_2">#REF!</definedName>
    <definedName name="S_LSRange4Balance3_8">#REF!</definedName>
    <definedName name="S_LSRange5">#REF!</definedName>
    <definedName name="S_LSRange5_16">#REF!</definedName>
    <definedName name="S_LSRange5_8">#REF!</definedName>
    <definedName name="S_LSRange5Balance">#REF!</definedName>
    <definedName name="S_LSRange5Balance_16">#REF!</definedName>
    <definedName name="S_LSRange5Balance_8">#REF!</definedName>
    <definedName name="S_LSRange5Balance1">#REF!</definedName>
    <definedName name="S_LSRange5Balance1_16">#REF!</definedName>
    <definedName name="S_LSRange5Balance1_8">#REF!</definedName>
    <definedName name="S_LSRange5Balance2">#REF!</definedName>
    <definedName name="S_LSRange5Balance2_12">#REF!</definedName>
    <definedName name="S_LSRange5Balance2_13">#REF!</definedName>
    <definedName name="S_LSRange5Balance2_15">#REF!</definedName>
    <definedName name="S_LSRange5Balance2_16">#REF!</definedName>
    <definedName name="S_LSRange5Balance2_2">#REF!</definedName>
    <definedName name="S_LSRange5Balance2_8">#REF!</definedName>
    <definedName name="S_LSRange5Balance3">#REF!</definedName>
    <definedName name="S_LSRange5Balance3_12">#REF!</definedName>
    <definedName name="S_LSRange5Balance3_13">#REF!</definedName>
    <definedName name="S_LSRange5Balance3_15">#REF!</definedName>
    <definedName name="S_LSRange5Balance3_16">#REF!</definedName>
    <definedName name="S_LSRange5Balance3_2">#REF!</definedName>
    <definedName name="S_LSRange5Balance3_8">#REF!</definedName>
    <definedName name="S_LSRange6">#REF!</definedName>
    <definedName name="S_LSRange6_16">#REF!</definedName>
    <definedName name="S_LSRange6_8">#REF!</definedName>
    <definedName name="S_LSRange6Balance">#REF!</definedName>
    <definedName name="S_LSRange6Balance_16">#REF!</definedName>
    <definedName name="S_LSRange6Balance_8">#REF!</definedName>
    <definedName name="S_LSRange6Balance1">#REF!</definedName>
    <definedName name="S_LSRange6Balance1_16">#REF!</definedName>
    <definedName name="S_LSRange6Balance1_8">#REF!</definedName>
    <definedName name="S_LSRange6Balance2">#REF!</definedName>
    <definedName name="S_LSRange6Balance2_12">#REF!</definedName>
    <definedName name="S_LSRange6Balance2_13">#REF!</definedName>
    <definedName name="S_LSRange6Balance2_15">#REF!</definedName>
    <definedName name="S_LSRange6Balance2_16">#REF!</definedName>
    <definedName name="S_LSRange6Balance2_2">#REF!</definedName>
    <definedName name="S_LSRange6Balance2_8">#REF!</definedName>
    <definedName name="S_LSRange6Balance3">#REF!</definedName>
    <definedName name="S_LSRange6Balance3_12">#REF!</definedName>
    <definedName name="S_LSRange6Balance3_13">#REF!</definedName>
    <definedName name="S_LSRange6Balance3_15">#REF!</definedName>
    <definedName name="S_LSRange6Balance3_16">#REF!</definedName>
    <definedName name="S_LSRange6Balance3_2">#REF!</definedName>
    <definedName name="S_LSRange6Balance3_8">#REF!</definedName>
    <definedName name="S_LSRange7">#REF!</definedName>
    <definedName name="S_LSRange7_16">#REF!</definedName>
    <definedName name="S_LSRange7_8">#REF!</definedName>
    <definedName name="S_LSRange7Balance">#REF!</definedName>
    <definedName name="S_LSRange7Balance_16">#REF!</definedName>
    <definedName name="S_LSRange7Balance_8">#REF!</definedName>
    <definedName name="S_LSRange7Balance1">#REF!</definedName>
    <definedName name="S_LSRange7Balance1_16">#REF!</definedName>
    <definedName name="S_LSRange7Balance1_8">#REF!</definedName>
    <definedName name="S_LSRange7Balance2">#REF!</definedName>
    <definedName name="S_LSRange7Balance2_12">#REF!</definedName>
    <definedName name="S_LSRange7Balance2_13">#REF!</definedName>
    <definedName name="S_LSRange7Balance2_15">#REF!</definedName>
    <definedName name="S_LSRange7Balance2_16">#REF!</definedName>
    <definedName name="S_LSRange7Balance2_2">#REF!</definedName>
    <definedName name="S_LSRange7Balance2_8">#REF!</definedName>
    <definedName name="S_LSRange7Balance3">#REF!</definedName>
    <definedName name="S_LSRange7Balance3_12">#REF!</definedName>
    <definedName name="S_LSRange7Balance3_13">#REF!</definedName>
    <definedName name="S_LSRange7Balance3_15">#REF!</definedName>
    <definedName name="S_LSRange7Balance3_16">#REF!</definedName>
    <definedName name="S_LSRange7Balance3_2">#REF!</definedName>
    <definedName name="S_LSRange7Balance3_8">#REF!</definedName>
    <definedName name="S_LSRange8">#REF!</definedName>
    <definedName name="S_LSRange8_16">#REF!</definedName>
    <definedName name="S_LSRange8_8">#REF!</definedName>
    <definedName name="S_LSRange8Balance">#REF!</definedName>
    <definedName name="S_LSRange8Balance_16">#REF!</definedName>
    <definedName name="S_LSRange8Balance_8">#REF!</definedName>
    <definedName name="S_LSRange8Balance1">#REF!</definedName>
    <definedName name="S_LSRange8Balance1_16">#REF!</definedName>
    <definedName name="S_LSRange8Balance1_8">#REF!</definedName>
    <definedName name="S_LSRange8Balance2">#REF!</definedName>
    <definedName name="S_LSRange8Balance2_12">#REF!</definedName>
    <definedName name="S_LSRange8Balance2_13">#REF!</definedName>
    <definedName name="S_LSRange8Balance2_15">#REF!</definedName>
    <definedName name="S_LSRange8Balance2_16">#REF!</definedName>
    <definedName name="S_LSRange8Balance2_2">#REF!</definedName>
    <definedName name="S_LSRange8Balance2_8">#REF!</definedName>
    <definedName name="S_LSRange8Balance3">#REF!</definedName>
    <definedName name="S_LSRange8Balance3_12">#REF!</definedName>
    <definedName name="S_LSRange8Balance3_13">#REF!</definedName>
    <definedName name="S_LSRange8Balance3_15">#REF!</definedName>
    <definedName name="S_LSRange8Balance3_16">#REF!</definedName>
    <definedName name="S_LSRange8Balance3_2">#REF!</definedName>
    <definedName name="S_LSRange8Balance3_8">#REF!</definedName>
    <definedName name="S_PY_End">#REF!</definedName>
    <definedName name="S_PY_End_12">#REF!</definedName>
    <definedName name="S_PY_End_13">#REF!</definedName>
    <definedName name="S_PY_End_15">#REF!</definedName>
    <definedName name="S_PY_End_16">#REF!</definedName>
    <definedName name="S_PY_End_2">#REF!</definedName>
    <definedName name="S_PY_End_8">#REF!</definedName>
    <definedName name="S_PY_End_Data">[12]Lead!$N$1:$N$7</definedName>
    <definedName name="S_PY_End_Data_15">NA()</definedName>
    <definedName name="S_PY_End_Data_8">NA()</definedName>
    <definedName name="S_PY_End_GT">'[55]Costos y Gastos - final'!#REF!</definedName>
    <definedName name="S_PY_End_GT_15">#REF!</definedName>
    <definedName name="S_PY_End_GT_8">#REF!</definedName>
    <definedName name="S_RJE_Tot">'[55]Costos y Gastos - final'!#REF!</definedName>
    <definedName name="S_RJE_Tot_15">#REF!</definedName>
    <definedName name="S_RJE_Tot_8">#REF!</definedName>
    <definedName name="S_RJE_Tot_Data">[12]Lead!$J$1:$J$7</definedName>
    <definedName name="S_RJE_Tot_Data_15">NA()</definedName>
    <definedName name="S_RJE_Tot_Data_8">NA()</definedName>
    <definedName name="S_RJE_Tot_GT">'[55]Costos y Gastos - final'!#REF!</definedName>
    <definedName name="S_RJE_Tot_GT_15">#REF!</definedName>
    <definedName name="S_RJE_Tot_GT_8">#REF!</definedName>
    <definedName name="S_RowNum">#REF!</definedName>
    <definedName name="S_RowNum_15">#REF!</definedName>
    <definedName name="S_RowNum_8">#REF!</definedName>
    <definedName name="S_Total">#REF!</definedName>
    <definedName name="S_Total_16">#REF!</definedName>
    <definedName name="S_Total_8">#REF!</definedName>
    <definedName name="S_Total1">#REF!</definedName>
    <definedName name="S_Total1_16">#REF!</definedName>
    <definedName name="S_Total1_8">#REF!</definedName>
    <definedName name="S_Total2">#REF!</definedName>
    <definedName name="S_Total2_12">#REF!</definedName>
    <definedName name="S_Total2_13">#REF!</definedName>
    <definedName name="S_Total2_15">#REF!</definedName>
    <definedName name="S_Total2_16">#REF!</definedName>
    <definedName name="S_Total2_2">#REF!</definedName>
    <definedName name="S_Total2_8">#REF!</definedName>
    <definedName name="S_Total3">#REF!</definedName>
    <definedName name="S_Total3_12">#REF!</definedName>
    <definedName name="S_Total3_13">#REF!</definedName>
    <definedName name="S_Total3_15">#REF!</definedName>
    <definedName name="S_Total3_16">#REF!</definedName>
    <definedName name="S_Total3_2">#REF!</definedName>
    <definedName name="S_Total3_8">#REF!</definedName>
    <definedName name="SA">#REF!</definedName>
    <definedName name="safdsdafasf" localSheetId="0" hidden="1">{#N/A,#N/A,FALSE,"Aging Summary";#N/A,#N/A,FALSE,"Ratio Analysis";#N/A,#N/A,FALSE,"Test 120 Day Accts";#N/A,#N/A,FALSE,"Tickmarks"}</definedName>
    <definedName name="safdsdafasf" hidden="1">{#N/A,#N/A,FALSE,"Aging Summary";#N/A,#N/A,FALSE,"Ratio Analysis";#N/A,#N/A,FALSE,"Test 120 Day Accts";#N/A,#N/A,FALSE,"Tickmarks"}</definedName>
    <definedName name="salaries">[6]ER!$H$150</definedName>
    <definedName name="saldocontable">#REF!</definedName>
    <definedName name="saldoesperado">#REF!</definedName>
    <definedName name="SALESAGU">#REF!</definedName>
    <definedName name="SALESM">#REF!</definedName>
    <definedName name="SANDRY">'[18]1134'!#REF!</definedName>
    <definedName name="sasa" hidden="1">#REF!</definedName>
    <definedName name="sdas">'[56]APT Compras de Inventario'!#REF!</definedName>
    <definedName name="sdf">#REF!</definedName>
    <definedName name="SE">#REF!</definedName>
    <definedName name="SEGUROS">#REF!</definedName>
    <definedName name="Selec.APT.Junio" localSheetId="0" hidden="1">{#N/A,#N/A,FALSE,"Aging Summary";#N/A,#N/A,FALSE,"Ratio Analysis";#N/A,#N/A,FALSE,"Test 120 Day Accts";#N/A,#N/A,FALSE,"Tickmarks"}</definedName>
    <definedName name="Selec.APT.Junio" hidden="1">{#N/A,#N/A,FALSE,"Aging Summary";#N/A,#N/A,FALSE,"Ratio Analysis";#N/A,#N/A,FALSE,"Test 120 Day Accts";#N/A,#N/A,FALSE,"Tickmarks"}</definedName>
    <definedName name="Seleccion_Randomica_Econofarm">#REF!</definedName>
    <definedName name="Selección_Randomica_Farcomed">#REF!</definedName>
    <definedName name="Selected_Materiality">[57]Detalle!#REF!</definedName>
    <definedName name="Selection_Remainder">#REF!</definedName>
    <definedName name="Sep">11400</definedName>
    <definedName name="ser_ban">[6]ER!$H$160</definedName>
    <definedName name="sjav">'[33]Cobertura de Seguros Prel.'!$A$1</definedName>
    <definedName name="spo">'[58]119 - SPO'!#REF!</definedName>
    <definedName name="SS">#REF!</definedName>
    <definedName name="sss">NA()</definedName>
    <definedName name="Starting_Point">#REF!</definedName>
    <definedName name="Sucres">#REF!</definedName>
    <definedName name="Sueldos">#REF!</definedName>
    <definedName name="SUPERAVIT">'[8]LISTADO 09 01'!#REF!</definedName>
    <definedName name="sx" hidden="1">#REF!</definedName>
    <definedName name="sxs" hidden="1">11</definedName>
    <definedName name="t">#REF!</definedName>
    <definedName name="TABLA">'[59]BAL SEPTIEMBRE'!$E$9:$S$469</definedName>
    <definedName name="TableName">"Dummy"</definedName>
    <definedName name="taryn" localSheetId="0" hidden="1">{#N/A,#N/A,FALSE,"Aging Summary";#N/A,#N/A,FALSE,"Ratio Analysis";#N/A,#N/A,FALSE,"Test 120 Day Accts";#N/A,#N/A,FALSE,"Tickmarks"}</definedName>
    <definedName name="taryn" hidden="1">{#N/A,#N/A,FALSE,"Aging Summary";#N/A,#N/A,FALSE,"Ratio Analysis";#N/A,#N/A,FALSE,"Test 120 Day Accts";#N/A,#N/A,FALSE,"Tickmarks"}</definedName>
    <definedName name="tatiana">#REF!</definedName>
    <definedName name="Tax_Effect_Income">#REF!</definedName>
    <definedName name="Tax_Effect_Liabs">#REF!</definedName>
    <definedName name="Tax_Effect_RetEarn">#REF!</definedName>
    <definedName name="Tax_Rate">#REF!</definedName>
    <definedName name="TC">25000</definedName>
    <definedName name="TCS_URUGUAY">#REF!</definedName>
    <definedName name="TEST0">[60]SAP!$A$2:$E$88</definedName>
    <definedName name="TEST1">#REF!</definedName>
    <definedName name="TEST2">#REF!</definedName>
    <definedName name="TEST3">#REF!</definedName>
    <definedName name="TEST4">#REF!</definedName>
    <definedName name="TESTHKEY">#REF!</definedName>
    <definedName name="TESTKEYS">#REF!</definedName>
    <definedName name="TESTVKEY">#REF!</definedName>
    <definedName name="TextRef">[54]Costo!#REF!</definedName>
    <definedName name="TextRefCopy1">#REF!</definedName>
    <definedName name="TextRefCopy1_12">NA()</definedName>
    <definedName name="TextRefCopy1_13">NA()</definedName>
    <definedName name="TextRefCopy1_15">NA()</definedName>
    <definedName name="TextRefCopy1_16">NA()</definedName>
    <definedName name="TextRefCopy1_22">#REF!</definedName>
    <definedName name="TextRefCopy1_4">#REF!</definedName>
    <definedName name="TextRefCopy1_5">#REF!</definedName>
    <definedName name="TextRefCopy10">#REF!</definedName>
    <definedName name="TextRefCopy10_16">#REF!</definedName>
    <definedName name="TextRefCopy10_22">#REF!</definedName>
    <definedName name="TextRefCopy10_25">#REF!</definedName>
    <definedName name="TextRefCopy10_4">#REF!</definedName>
    <definedName name="TextRefCopy10_5">#REF!</definedName>
    <definedName name="TextRefCopy100">#REF!</definedName>
    <definedName name="TextRefCopy101">#REF!</definedName>
    <definedName name="TextRefCopy102">#REF!</definedName>
    <definedName name="TextRefCopy103">#REF!</definedName>
    <definedName name="TextRefCopy104">#REF!</definedName>
    <definedName name="TextRefCopy105">#REF!</definedName>
    <definedName name="TextRefCopy106">#REF!</definedName>
    <definedName name="TextRefCopy107">#REF!</definedName>
    <definedName name="TextRefCopy108">#REF!</definedName>
    <definedName name="TextRefCopy109">#REF!</definedName>
    <definedName name="TextRefCopy11">#REF!</definedName>
    <definedName name="TextRefCopy11_16">#REF!</definedName>
    <definedName name="TextRefCopy11_22">#REF!</definedName>
    <definedName name="TextRefCopy11_4">#REF!</definedName>
    <definedName name="TextRefCopy11_5">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#REF!</definedName>
    <definedName name="TextRefCopy117">#REF!</definedName>
    <definedName name="TextRefCopy118">#REF!</definedName>
    <definedName name="TextRefCopy119">#REF!</definedName>
    <definedName name="TextRefCopy12">'[30]Revisión conc. bancarias'!#REF!</definedName>
    <definedName name="TextRefCopy12_16">#REF!</definedName>
    <definedName name="TextRefCopy12_22">#REF!</definedName>
    <definedName name="TextRefCopy12_4">#REF!</definedName>
    <definedName name="TextRefCopy12_5">#REF!</definedName>
    <definedName name="TextRefCopy120">#REF!</definedName>
    <definedName name="TextRefCopy121">#REF!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>#REF!</definedName>
    <definedName name="TextRefCopy127">#REF!</definedName>
    <definedName name="TextRefCopy128">#REF!</definedName>
    <definedName name="TextRefCopy129">#REF!</definedName>
    <definedName name="TextRefCopy13">#REF!</definedName>
    <definedName name="TextRefCopy13_16">#REF!</definedName>
    <definedName name="TextRefCopy13_22">#REF!</definedName>
    <definedName name="TextRefCopy13_4">#REF!</definedName>
    <definedName name="TextRefCopy13_5">#REF!</definedName>
    <definedName name="TextRefCopy13_8">#REF!</definedName>
    <definedName name="TextRefCopy130">#REF!</definedName>
    <definedName name="TextRefCopy131">#REF!</definedName>
    <definedName name="TextRefCopy132">#REF!</definedName>
    <definedName name="TextRefCopy133">#REF!</definedName>
    <definedName name="TextRefCopy134">#REF!</definedName>
    <definedName name="TextRefCopy135">#REF!</definedName>
    <definedName name="TextRefCopy136">#REF!</definedName>
    <definedName name="TextRefCopy137">#REF!</definedName>
    <definedName name="TextRefCopy138">#REF!</definedName>
    <definedName name="TextRefCopy139">#REF!</definedName>
    <definedName name="TextRefCopy14">#REF!</definedName>
    <definedName name="TextRefCopy14_2">NA()</definedName>
    <definedName name="TextRefCopy14_22">#REF!</definedName>
    <definedName name="TextRefCopy14_3">NA()</definedName>
    <definedName name="TextRefCopy14_8">#REF!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#REF!</definedName>
    <definedName name="TextRefCopy145">#REF!</definedName>
    <definedName name="TextRefCopy146">#REF!</definedName>
    <definedName name="TextRefCopy147">#REF!</definedName>
    <definedName name="TextRefCopy148">#REF!</definedName>
    <definedName name="TextRefCopy149">#REF!</definedName>
    <definedName name="TextRefCopy15">[61]Detalle!$Q$301</definedName>
    <definedName name="TextRefCopy15_12">NA()</definedName>
    <definedName name="TextRefCopy15_13">NA()</definedName>
    <definedName name="TextRefCopy15_16">NA()</definedName>
    <definedName name="TextRefCopy15_2">NA()</definedName>
    <definedName name="TextRefCopy15_22">#REF!</definedName>
    <definedName name="TextRefCopy15_4">#REF!</definedName>
    <definedName name="TextRefCopy15_5">#REF!</definedName>
    <definedName name="TextRefCopy15_8">NA()</definedName>
    <definedName name="TextRefCopy150">#REF!</definedName>
    <definedName name="TextRefCopy151">#REF!</definedName>
    <definedName name="TextRefCopy152">#REF!</definedName>
    <definedName name="TextRefCopy153">#REF!</definedName>
    <definedName name="TextRefCopy154">#REF!</definedName>
    <definedName name="TextRefCopy16">[62]APT!#REF!</definedName>
    <definedName name="TextRefCopy16_13">NA()</definedName>
    <definedName name="TextRefCopy16_15">NA()</definedName>
    <definedName name="TextRefCopy16_16">#REF!</definedName>
    <definedName name="TextRefCopy16_2">NA()</definedName>
    <definedName name="TextRefCopy16_22">#REF!</definedName>
    <definedName name="TextRefCopy166">#REF!</definedName>
    <definedName name="TextRefCopy168">'[63]Detalle G.Ad.Vta'!#REF!</definedName>
    <definedName name="TextRefCopy169">'[63]Detalle G.Ad.Vta'!#REF!</definedName>
    <definedName name="TextRefCopy17">#REF!</definedName>
    <definedName name="TextRefCopy17_12">NA()</definedName>
    <definedName name="TextRefCopy17_13">NA()</definedName>
    <definedName name="TextRefCopy17_16">#REF!</definedName>
    <definedName name="TextRefCopy17_2">NA()</definedName>
    <definedName name="TextRefCopy17_22">#REF!</definedName>
    <definedName name="TextRefCopy170">'[63]Detalle G.Ad.Vta'!#REF!</definedName>
    <definedName name="TextRefCopy171">'[63]Detalle G.Ad.Vta'!#REF!</definedName>
    <definedName name="TextRefCopy18">'[64]Detalle de Costos'!#REF!</definedName>
    <definedName name="TextRefCopy18_12">NA()</definedName>
    <definedName name="TextRefCopy18_13">NA()</definedName>
    <definedName name="TextRefCopy18_15">NA()</definedName>
    <definedName name="TextRefCopy18_16">NA()</definedName>
    <definedName name="TextRefCopy18_2">NA()</definedName>
    <definedName name="TextRefCopy18_22">#REF!</definedName>
    <definedName name="TextRefCopy18_3">NA()</definedName>
    <definedName name="TextRefCopy186">'[65]Cálculo sueldos'!#REF!</definedName>
    <definedName name="TextRefCopy19">#REF!</definedName>
    <definedName name="TextRefCopy19_16">#REF!</definedName>
    <definedName name="TextRefCopy2">#REF!</definedName>
    <definedName name="TextRefCopy2_12">NA()</definedName>
    <definedName name="TextRefCopy2_13">NA()</definedName>
    <definedName name="TextRefCopy2_15">NA()</definedName>
    <definedName name="TextRefCopy2_16">NA()</definedName>
    <definedName name="TextRefCopy2_22">#REF!</definedName>
    <definedName name="TextRefCopy2_4">#REF!</definedName>
    <definedName name="TextRefCopy2_5">#REF!</definedName>
    <definedName name="TextRefCopy20">#REF!</definedName>
    <definedName name="TextRefCopy20_12">NA()</definedName>
    <definedName name="TextRefCopy20_13">NA()</definedName>
    <definedName name="TextRefCopy20_15">NA()</definedName>
    <definedName name="TextRefCopy20_16">#REF!</definedName>
    <definedName name="TextRefCopy20_2">NA()</definedName>
    <definedName name="TextRefCopy20_3">NA()</definedName>
    <definedName name="TextRefCopy200">#REF!</definedName>
    <definedName name="TextRefCopy201">#REF!</definedName>
    <definedName name="TextRefCopy204">'[66]Cálculo sueldos'!#REF!</definedName>
    <definedName name="TextRefCopy205">'[66]Cálculo sueldos'!#REF!</definedName>
    <definedName name="TextRefCopy206">'[66]Cálculo sueldos'!#REF!</definedName>
    <definedName name="TextRefCopy21">[54]Costo!#REF!</definedName>
    <definedName name="TextRefCopy21_12">NA()</definedName>
    <definedName name="TextRefCopy21_13">NA()</definedName>
    <definedName name="TextRefCopy21_15">NA()</definedName>
    <definedName name="TextRefCopy21_16">NA()</definedName>
    <definedName name="TextRefCopy21_2">NA()</definedName>
    <definedName name="TextRefCopy22">#REF!</definedName>
    <definedName name="TextRefCopy22_12">NA()</definedName>
    <definedName name="TextRefCopy22_13">NA()</definedName>
    <definedName name="TextRefCopy22_15">NA()</definedName>
    <definedName name="TextRefCopy22_16">NA()</definedName>
    <definedName name="TextRefCopy22_2">NA()</definedName>
    <definedName name="TextRefCopy22_22">#REF!</definedName>
    <definedName name="TextRefCopy23">'[54]Calc.global deprec'!#REF!</definedName>
    <definedName name="TextRefCopy23_22">#REF!</definedName>
    <definedName name="TextRefCopy233">[67]Detalle!$E$299</definedName>
    <definedName name="TextRefCopy24">#REF!</definedName>
    <definedName name="TextRefCopy24_22">#REF!</definedName>
    <definedName name="TextRefCopy25">#REF!</definedName>
    <definedName name="TextRefCopy25_22">#REF!</definedName>
    <definedName name="TextRefCopy26">#REF!</definedName>
    <definedName name="TextRefCopy26_22">#REF!</definedName>
    <definedName name="TextRefCopy27">#REF!</definedName>
    <definedName name="TextRefCopy27_22">#REF!</definedName>
    <definedName name="TextRefCopy28">#REF!</definedName>
    <definedName name="TextRefCopy28_22">#REF!</definedName>
    <definedName name="TextRefCopy29">#REF!</definedName>
    <definedName name="TextRefCopy29_22">#REF!</definedName>
    <definedName name="TextRefCopy3">#REF!</definedName>
    <definedName name="TextRefCopy3_12">NA()</definedName>
    <definedName name="TextRefCopy3_13">NA()</definedName>
    <definedName name="TextRefCopy3_15">NA()</definedName>
    <definedName name="TextRefCopy3_16">NA()</definedName>
    <definedName name="TextRefCopy3_22">#REF!</definedName>
    <definedName name="TextRefCopy3_4">#REF!</definedName>
    <definedName name="TextRefCopy3_5">#REF!</definedName>
    <definedName name="TextRefCopy30">#REF!</definedName>
    <definedName name="TextRefCopy30_22">#REF!</definedName>
    <definedName name="TextRefCopy31">[68]Detalle!#REF!</definedName>
    <definedName name="TextRefCopy31_22">#REF!</definedName>
    <definedName name="TextRefCopy32">#REF!</definedName>
    <definedName name="TextRefCopy32_12">NA()</definedName>
    <definedName name="TextRefCopy32_13">NA()</definedName>
    <definedName name="TextRefCopy32_15">NA()</definedName>
    <definedName name="TextRefCopy32_16">NA()</definedName>
    <definedName name="TextRefCopy32_2">NA()</definedName>
    <definedName name="TextRefCopy33">#REF!</definedName>
    <definedName name="TextRefCopy34">[68]Detalle!#REF!</definedName>
    <definedName name="TextRefCopy34_22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39_16">#REF!</definedName>
    <definedName name="TextRefCopy39_22">#REF!</definedName>
    <definedName name="TextRefCopy39_8">#REF!</definedName>
    <definedName name="TextRefCopy4">#REF!</definedName>
    <definedName name="TextRefCopy4_12">NA()</definedName>
    <definedName name="TextRefCopy4_13">NA()</definedName>
    <definedName name="TextRefCopy4_15">NA()</definedName>
    <definedName name="TextRefCopy4_16">NA()</definedName>
    <definedName name="TextRefCopy4_2">NA()</definedName>
    <definedName name="TextRefCopy4_22">#REF!</definedName>
    <definedName name="TextRefCopy4_4">#REF!</definedName>
    <definedName name="TextRefCopy4_5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3_15">#REF!</definedName>
    <definedName name="TextRefCopy43_8">#REF!</definedName>
    <definedName name="TextRefCopy44">#REF!</definedName>
    <definedName name="TextRefCopy44___0">NA()</definedName>
    <definedName name="TextRefCopy44_12">#REF!</definedName>
    <definedName name="TextRefCopy44_13">NA()</definedName>
    <definedName name="TextRefCopy44_15">NA()</definedName>
    <definedName name="TextRefCopy44_16">NA()</definedName>
    <definedName name="TextRefCopy44_2">#REF!</definedName>
    <definedName name="TextRefCopy44_22">#REF!</definedName>
    <definedName name="TextRefCopy44_4">#REF!</definedName>
    <definedName name="TextRefCopy44_5">#REF!</definedName>
    <definedName name="TextRefCopy45">#REF!</definedName>
    <definedName name="TextRefCopy45_12">NA()</definedName>
    <definedName name="TextRefCopy45_13">NA()</definedName>
    <definedName name="TextRefCopy45_15">NA()</definedName>
    <definedName name="TextRefCopy45_16">NA()</definedName>
    <definedName name="TextRefCopy45_2">NA()</definedName>
    <definedName name="TextRefCopy45_3">NA()</definedName>
    <definedName name="TextRefCopy45_8">NA()</definedName>
    <definedName name="TextRefCopy46">#REF!</definedName>
    <definedName name="TextRefCopy47">#REF!</definedName>
    <definedName name="TextRefCopy47_16">#REF!</definedName>
    <definedName name="TextRefCopy47_8">#REF!</definedName>
    <definedName name="TextRefCopy48">#REF!</definedName>
    <definedName name="TextRefCopy49">[68]Detalle!$A$1</definedName>
    <definedName name="TextRefCopy49_12">NA()</definedName>
    <definedName name="TextRefCopy49_13">NA()</definedName>
    <definedName name="TextRefCopy49_15">NA()</definedName>
    <definedName name="TextRefCopy49_16">NA()</definedName>
    <definedName name="TextRefCopy49_2">NA()</definedName>
    <definedName name="TextRefCopy49_3">NA()</definedName>
    <definedName name="TextRefCopy49_8">NA()</definedName>
    <definedName name="TextRefCopy5">#REF!</definedName>
    <definedName name="TextRefCopy5_15">#REF!</definedName>
    <definedName name="TextRefCopy5_2">#REF!</definedName>
    <definedName name="TextRefCopy5_22">#REF!</definedName>
    <definedName name="TextRefCopy5_3">#REF!</definedName>
    <definedName name="TextRefCopy50">#REF!</definedName>
    <definedName name="TextRefCopy50_12">NA()</definedName>
    <definedName name="TextRefCopy50_13">NA()</definedName>
    <definedName name="TextRefCopy50_15">NA()</definedName>
    <definedName name="TextRefCopy50_16">NA()</definedName>
    <definedName name="TextRefCopy50_2">NA()</definedName>
    <definedName name="TextRefCopy51">#REF!</definedName>
    <definedName name="TextRefCopy51_16">#REF!</definedName>
    <definedName name="TextRefCopy51_8">#REF!</definedName>
    <definedName name="TextRefCopy52">#REF!</definedName>
    <definedName name="TextRefCopy52_12">NA()</definedName>
    <definedName name="TextRefCopy52_13">NA()</definedName>
    <definedName name="TextRefCopy52_15">NA()</definedName>
    <definedName name="TextRefCopy52_16">NA()</definedName>
    <definedName name="TextRefCopy52_2">NA()</definedName>
    <definedName name="TextRefCopy53">[68]Detalle!#REF!</definedName>
    <definedName name="TextRefCopy53_12">NA()</definedName>
    <definedName name="TextRefCopy53_13">NA()</definedName>
    <definedName name="TextRefCopy53_15">NA()</definedName>
    <definedName name="TextRefCopy53_16">NA()</definedName>
    <definedName name="TextRefCopy53_2">NA()</definedName>
    <definedName name="TextRefCopy54" localSheetId="0">TextRefCopy49</definedName>
    <definedName name="TextRefCopy54">TextRefCopy49</definedName>
    <definedName name="TextRefCopy55">#REF!</definedName>
    <definedName name="TextRefCopy56">#REF!</definedName>
    <definedName name="TextRefCopy56_15">#REF!</definedName>
    <definedName name="TextRefCopy56_8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_16">#REF!</definedName>
    <definedName name="TextRefCopy6_22">#REF!</definedName>
    <definedName name="TextRefCopy6_4">#REF!</definedName>
    <definedName name="TextRefCopy6_5">#REF!</definedName>
    <definedName name="TextRefCopy60">#REF!</definedName>
    <definedName name="TextRefCopy61">#REF!</definedName>
    <definedName name="TextRefCopy62">#REF!</definedName>
    <definedName name="TextRefCopy62_15">#REF!</definedName>
    <definedName name="TextRefCopy62_8">#REF!</definedName>
    <definedName name="TextRefCopy63">#REF!</definedName>
    <definedName name="TextRefCopy64">'[41]Prueba de Corte'!#REF!</definedName>
    <definedName name="TextRefCopy65">#REF!</definedName>
    <definedName name="TextRefCopy66">#REF!</definedName>
    <definedName name="TextRefCopy67">#REF!</definedName>
    <definedName name="TextRefCopy68">'[68]Cálculo Interes Sponsors'!#REF!</definedName>
    <definedName name="TextRefCopy69">#REF!</definedName>
    <definedName name="TextRefCopy7">#REF!</definedName>
    <definedName name="TextRefCopy7_15">#REF!</definedName>
    <definedName name="TextRefCopy7_16">#REF!</definedName>
    <definedName name="TextRefCopy7_2">#REF!</definedName>
    <definedName name="TextRefCopy7_22">#REF!</definedName>
    <definedName name="TextRefCopy7_3">#REF!</definedName>
    <definedName name="TextRefCopy7_4">#REF!</definedName>
    <definedName name="TextRefCopy7_5">#REF!</definedName>
    <definedName name="TextRefCopy70">'[68]Cálculo Interes Sponsors'!#REF!</definedName>
    <definedName name="TextRefCopy71">'[68]Cálculo Interes Sponsors'!#REF!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_12">NA()</definedName>
    <definedName name="TextRefCopy8_13">NA()</definedName>
    <definedName name="TextRefCopy8_15">NA()</definedName>
    <definedName name="TextRefCopy8_16">NA()</definedName>
    <definedName name="TextRefCopy8_2">NA()</definedName>
    <definedName name="TextRefCopy8_22">#REF!</definedName>
    <definedName name="TextRefCopy8_3">NA()</definedName>
    <definedName name="TextRefCopy8_4">#REF!</definedName>
    <definedName name="TextRefCopy8_5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'[69]Detalle G. Adm.'!#REF!</definedName>
    <definedName name="TextRefCopy9">#REF!</definedName>
    <definedName name="TextRefCopy9_16">#REF!</definedName>
    <definedName name="TextRefCopy9_22">#REF!</definedName>
    <definedName name="TextRefCopy9_4">#REF!</definedName>
    <definedName name="TextRefCopy9_5">#REF!</definedName>
    <definedName name="TextRefCopy90">#REF!</definedName>
    <definedName name="TextRefCopy91">#REF!</definedName>
    <definedName name="TextRefCopy92">#REF!</definedName>
    <definedName name="TextRefCopy93">#REF!</definedName>
    <definedName name="TextRefCopy94">#REF!</definedName>
    <definedName name="TextRefCopy95">#REF!</definedName>
    <definedName name="TextRefCopy96">#REF!</definedName>
    <definedName name="TextRefCopy97">#REF!</definedName>
    <definedName name="TextRefCopy98">#REF!</definedName>
    <definedName name="TextRefCopy99">#REF!</definedName>
    <definedName name="TextRefCopyRangeCount" hidden="1">16</definedName>
    <definedName name="Threshold">#REF!</definedName>
    <definedName name="ticmarks" hidden="1">4</definedName>
    <definedName name="TITULOS">#REF!</definedName>
    <definedName name="_xlnm.Print_Titles">#N/A</definedName>
    <definedName name="Títulos_a_imprimir_IM">#REF!</definedName>
    <definedName name="todo">#REF!</definedName>
    <definedName name="Top_Stratum_Number">#REF!</definedName>
    <definedName name="Top_Stratum_Value">#REF!</definedName>
    <definedName name="Tot_knw_Xfoot">#REF!</definedName>
    <definedName name="Tot_lik_Xfoot">#REF!</definedName>
    <definedName name="TOTAL">#REF!</definedName>
    <definedName name="Total_Amount">#REF!</definedName>
    <definedName name="Total_anticipated_uncorrected_misstatements">[57]Detalle!#REF!</definedName>
    <definedName name="Total_Number_Selections">#REF!</definedName>
    <definedName name="Total_Population2">'[7]CMA Calculations- Figure 5440.1'!$D$201</definedName>
    <definedName name="TOTAL2">#REF!</definedName>
    <definedName name="Transito" localSheetId="0" hidden="1">{#N/A,#N/A,FALSE,"Aging Summary";#N/A,#N/A,FALSE,"Ratio Analysis";#N/A,#N/A,FALSE,"Test 120 Day Accts";#N/A,#N/A,FALSE,"Tickmarks"}</definedName>
    <definedName name="Transito" hidden="1">{#N/A,#N/A,FALSE,"Aging Summary";#N/A,#N/A,FALSE,"Ratio Analysis";#N/A,#N/A,FALSE,"Test 120 Day Accts";#N/A,#N/A,FALSE,"Tickmarks"}</definedName>
    <definedName name="trave">[6]ER!$H$152</definedName>
    <definedName name="tt">#REF!</definedName>
    <definedName name="tttttt">'[70]Cálculo Correción Costo Plant'!#REF!</definedName>
    <definedName name="u">#REF!</definedName>
    <definedName name="ummm">'[71]Detalle Ant comp terr'!#REF!</definedName>
    <definedName name="usuario" localSheetId="0">[20]Inicio!#REF!</definedName>
    <definedName name="usuario">[20]Inicio!#REF!</definedName>
    <definedName name="uu">#REF!</definedName>
    <definedName name="v">#REF!</definedName>
    <definedName name="VALOR_RESIDUAL">'[8]LISTADO 09 01'!#REF!</definedName>
    <definedName name="values">'[72]Determinación del Limite'!$B$3,'[72]Determinación del Limite'!$B$4,'[72]Determinación del Limite'!$B$15</definedName>
    <definedName name="verito" hidden="1">2</definedName>
    <definedName name="vero" hidden="1">2</definedName>
    <definedName name="vv" hidden="1">[10]XREF!$8:$8</definedName>
    <definedName name="vvvvv" hidden="1">'[70]Mov.Costo y Reexp Plant.'!$F$46</definedName>
    <definedName name="w">#REF!</definedName>
    <definedName name="war">#REF!</definedName>
    <definedName name="wdasdfsadfas" localSheetId="0" hidden="1">{#N/A,#N/A,FALSE,"Aging Summary";#N/A,#N/A,FALSE,"Ratio Analysis";#N/A,#N/A,FALSE,"Test 120 Day Accts";#N/A,#N/A,FALSE,"Tickmarks"}</definedName>
    <definedName name="wdasdfsadfas" hidden="1">{#N/A,#N/A,FALSE,"Aging Summary";#N/A,#N/A,FALSE,"Ratio Analysis";#N/A,#N/A,FALSE,"Test 120 Day Accts";#N/A,#N/A,FALSE,"Tickmarks"}</definedName>
    <definedName name="we">#REF!</definedName>
    <definedName name="wrn" localSheetId="0" hidden="1">{#N/A,#N/A,FALSE,"Aging Summary";#N/A,#N/A,FALSE,"Ratio Analysis";#N/A,#N/A,FALSE,"Test 120 Day Accts";#N/A,#N/A,FALSE,"Tickmarks"}</definedName>
    <definedName name="wrn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2." localSheetId="0" hidden="1">{#N/A,#N/A,FALSE,"Aging Summary";#N/A,#N/A,FALSE,"Ratio Analysis";#N/A,#N/A,FALSE,"Test 120 Day Accts";#N/A,#N/A,FALSE,"Tickmarks"}</definedName>
    <definedName name="wrn.aging._.and._.Trend._.Analysis2." hidden="1">{#N/A,#N/A,FALSE,"Aging Summary";#N/A,#N/A,FALSE,"Ratio Analysis";#N/A,#N/A,FALSE,"Test 120 Day Accts";#N/A,#N/A,FALSE,"Tickmarks"}</definedName>
    <definedName name="wrn.ANALISIS98." localSheetId="0" hidden="1">{#N/A,#N/A,FALSE,"1998";#N/A,#N/A,FALSE,"1998"}</definedName>
    <definedName name="wrn.ANALISIS98." hidden="1">{#N/A,#N/A,FALSE,"1998";#N/A,#N/A,FALSE,"1998"}</definedName>
    <definedName name="wrn.Datos._.Input." localSheetId="0" hidden="1">{"volúmenes",#N/A,FALSE,"Consolidado";"precios",#N/A,FALSE,"Consolidado";"costo producto",#N/A,FALSE,"Consolidado";"costos fijos",#N/A,FALSE,"Consolidado";"invesiones",#N/A,FALSE,"Consolidado"}</definedName>
    <definedName name="wrn.Datos._.Input." hidden="1">{"volúmenes",#N/A,FALSE,"Consolidado";"precios",#N/A,FALSE,"Consolidado";"costo producto",#N/A,FALSE,"Consolidado";"costos fijos",#N/A,FALSE,"Consolidado";"invesiones",#N/A,FALSE,"Consolidado"}</definedName>
    <definedName name="wrtt3" hidden="1">2</definedName>
    <definedName name="ww">#REF!</definedName>
    <definedName name="x">#REF!</definedName>
    <definedName name="xre" hidden="1">#REF!</definedName>
    <definedName name="Xref">#REF!</definedName>
    <definedName name="XREF_COLUMN_1" hidden="1">#REF!</definedName>
    <definedName name="XREF_COLUMN_10" hidden="1">[30]Detalle!#REF!</definedName>
    <definedName name="XREF_COLUMN_11" hidden="1">[30]Detalle!#REF!</definedName>
    <definedName name="XREF_COLUMN_12" hidden="1">#REF!</definedName>
    <definedName name="XREF_COLUMN_13" hidden="1">[30]Detalle!#REF!</definedName>
    <definedName name="XREF_COLUMN_14" hidden="1">[30]Detalle!#REF!</definedName>
    <definedName name="XREF_COLUMN_15" hidden="1">[30]Detalle!#REF!</definedName>
    <definedName name="XREF_COLUMN_16" hidden="1">[30]Detalle!#REF!</definedName>
    <definedName name="XREF_COLUMN_17" hidden="1">[30]Detalle!#REF!</definedName>
    <definedName name="XREF_COLUMN_18" hidden="1">#REF!</definedName>
    <definedName name="XREF_COLUMN_19" hidden="1">[30]Detalle!#REF!</definedName>
    <definedName name="XREF_COLUMN_2" hidden="1">#REF!</definedName>
    <definedName name="XREF_COLUMN_20" hidden="1">[30]Detalle!#REF!</definedName>
    <definedName name="XREF_COLUMN_21" hidden="1">#REF!</definedName>
    <definedName name="XREF_COLUMN_22" hidden="1">'[73]Mvto. Costo'!#REF!</definedName>
    <definedName name="XREF_COLUMN_23" hidden="1">[74]Detalle!#REF!</definedName>
    <definedName name="XREF_COLUMN_24" hidden="1">#REF!</definedName>
    <definedName name="XREF_COLUMN_25" hidden="1">#REF!</definedName>
    <definedName name="XREF_COLUMN_26" hidden="1">[74]Detalle!#REF!</definedName>
    <definedName name="XREF_COLUMN_27" hidden="1">#REF!</definedName>
    <definedName name="XREF_COLUMN_28" hidden="1">[74]Detalle!#REF!</definedName>
    <definedName name="XREF_COLUMN_29" hidden="1">[74]Detalle!#REF!</definedName>
    <definedName name="XREF_COLUMN_3" hidden="1">#REF!</definedName>
    <definedName name="XREF_COLUMN_30" hidden="1">#REF!</definedName>
    <definedName name="XREF_COLUMN_31" hidden="1">[75]Detalle!#REF!</definedName>
    <definedName name="XREF_COLUMN_32" hidden="1">'[63]Detalle G.Ad.Vta'!#REF!</definedName>
    <definedName name="XREF_COLUMN_33" hidden="1">#REF!</definedName>
    <definedName name="XREF_COLUMN_34" hidden="1">'[76]1000 '!#REF!</definedName>
    <definedName name="XREF_COLUMN_35" hidden="1">#REF!</definedName>
    <definedName name="XREF_COLUMN_36" hidden="1">'[76]1000 '!#REF!</definedName>
    <definedName name="XREF_COLUMN_37" hidden="1">'[76]1000 '!#REF!</definedName>
    <definedName name="XREF_COLUMN_38" hidden="1">'[76]1000 '!#REF!</definedName>
    <definedName name="XREF_COLUMN_39" hidden="1">'[76]1000 '!#REF!</definedName>
    <definedName name="XREF_COLUMN_4" hidden="1">#REF!</definedName>
    <definedName name="XREF_COLUMN_40" hidden="1">'[76]1000 '!#REF!</definedName>
    <definedName name="XREF_COLUMN_41" hidden="1">'[76]1000 '!#REF!</definedName>
    <definedName name="XREF_COLUMN_42" hidden="1">'[76]1000 '!#REF!</definedName>
    <definedName name="XREF_COLUMN_43" hidden="1">'[76]1000 '!#REF!</definedName>
    <definedName name="XREF_COLUMN_44" hidden="1">[77]Detalle!#REF!</definedName>
    <definedName name="XREF_COLUMN_45" hidden="1">[77]Detalle!#REF!</definedName>
    <definedName name="XREF_COLUMN_46" hidden="1">[77]Detalle!#REF!</definedName>
    <definedName name="XREF_COLUMN_47" hidden="1">[77]Detalle!#REF!</definedName>
    <definedName name="XREF_COLUMN_48" hidden="1">'[76]5000'!#REF!</definedName>
    <definedName name="XREF_COLUMN_49" hidden="1">#REF!</definedName>
    <definedName name="XREF_COLUMN_5" hidden="1">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'[76]8000'!#REF!</definedName>
    <definedName name="XREF_COLUMN_54" hidden="1">#REF!</definedName>
    <definedName name="XREF_COLUMN_55" hidden="1">#REF!</definedName>
    <definedName name="XREF_COLUMN_56" hidden="1">#REF!</definedName>
    <definedName name="XREF_COLUMN_57" hidden="1">#REF!</definedName>
    <definedName name="XREF_COLUMN_58" hidden="1">#REF!</definedName>
    <definedName name="XREF_COLUMN_59" hidden="1">#REF!</definedName>
    <definedName name="XREF_COLUMN_6" hidden="1">#REF!</definedName>
    <definedName name="XREF_COLUMN_61" hidden="1">#REF!</definedName>
    <definedName name="XREF_COLUMN_65" hidden="1">#REF!</definedName>
    <definedName name="XREF_COLUMN_66" hidden="1">#REF!</definedName>
    <definedName name="XREF_COLUMN_67" hidden="1">#REF!</definedName>
    <definedName name="XREF_COLUMN_68" hidden="1">#REF!</definedName>
    <definedName name="XREF_COLUMN_69" hidden="1">#REF!</definedName>
    <definedName name="XREF_COLUMN_7" hidden="1">#REF!</definedName>
    <definedName name="XREF_COLUMN_72" hidden="1">'[78]Arriend.Prep.'!#REF!</definedName>
    <definedName name="XREF_COLUMN_73" hidden="1">#REF!</definedName>
    <definedName name="XREF_COLUMN_74" hidden="1">#REF!</definedName>
    <definedName name="XREF_COLUMN_75" hidden="1">#REF!</definedName>
    <definedName name="XREF_COLUMN_78" hidden="1">#REF!</definedName>
    <definedName name="XREF_COLUMN_8" hidden="1">[30]Detalle!#REF!</definedName>
    <definedName name="XREF_COLUMN_9" hidden="1">[30]Detalle!#REF!</definedName>
    <definedName name="XRefActiveRow" hidden="1">#REF!</definedName>
    <definedName name="xrefcolumnscou" hidden="1">2</definedName>
    <definedName name="XRefColumnsCount" hidden="1">7</definedName>
    <definedName name="XREFCOPY" hidden="1">#REF!</definedName>
    <definedName name="XRefCopy1" hidden="1">#REF!</definedName>
    <definedName name="XRefCopy10" hidden="1">[12]Detalle!#REF!</definedName>
    <definedName name="XRefCopy100" hidden="1">#REF!</definedName>
    <definedName name="XRefCopy101" hidden="1">[76]Resumen!#REF!</definedName>
    <definedName name="XRefCopy102" hidden="1">[79]Resultados!#REF!</definedName>
    <definedName name="XRefCopy104" hidden="1">[76]Resumen!#REF!</definedName>
    <definedName name="XRefCopy104Row" hidden="1">[76]XREF!#REF!</definedName>
    <definedName name="XRefCopy105" hidden="1">[66]Detalle!#REF!</definedName>
    <definedName name="XRefCopy106" hidden="1">[66]Detalle!#REF!</definedName>
    <definedName name="XRefCopy107" hidden="1">'[45]Cálculo sueldos'!#REF!</definedName>
    <definedName name="XRefCopy109" hidden="1">#REF!</definedName>
    <definedName name="XRefCopy10Row" hidden="1">#REF!</definedName>
    <definedName name="XRefCopy11" hidden="1">#REF!</definedName>
    <definedName name="XRefCopy110" hidden="1">[66]Detalle!#REF!</definedName>
    <definedName name="XRefCopy111" hidden="1">#REF!</definedName>
    <definedName name="XRefCopy112" hidden="1">[66]Detalle!#REF!</definedName>
    <definedName name="XRefCopy113" hidden="1">[66]Detalle!#REF!</definedName>
    <definedName name="XRefCopy114" hidden="1">#REF!</definedName>
    <definedName name="XRefCopy115" hidden="1">#REF!</definedName>
    <definedName name="XRefCopy116" hidden="1">[66]Detalle!#REF!</definedName>
    <definedName name="XRefCopy117" hidden="1">[66]Detalle!#REF!</definedName>
    <definedName name="XRefCopy118" hidden="1">'[45]Cálculo sueldos'!#REF!</definedName>
    <definedName name="XRefCopy119" hidden="1">[66]Detalle!#REF!</definedName>
    <definedName name="XRefCopy11Row" hidden="1">#REF!</definedName>
    <definedName name="XRefCopy12" hidden="1">[12]Detalle!#REF!</definedName>
    <definedName name="XRefCopy120" hidden="1">[66]Detalle!#REF!</definedName>
    <definedName name="XRefCopy122" hidden="1">[66]Detalle!#REF!</definedName>
    <definedName name="XRefCopy123" hidden="1">[66]Detalle!#REF!</definedName>
    <definedName name="XRefCopy124" hidden="1">[66]Detalle!#REF!</definedName>
    <definedName name="XRefCopy125" hidden="1">#REF!</definedName>
    <definedName name="XRefCopy126" hidden="1">#REF!</definedName>
    <definedName name="XRefCopy128" hidden="1">#REF!</definedName>
    <definedName name="XRefCopy12Row" hidden="1">#REF!</definedName>
    <definedName name="XRefCopy13" hidden="1">[12]Detalle!#REF!</definedName>
    <definedName name="XRefCopy13Row" hidden="1">#REF!</definedName>
    <definedName name="XRefCopy14" hidden="1">[12]Detalle!#REF!</definedName>
    <definedName name="XRefCopy14Row" hidden="1">#REF!</definedName>
    <definedName name="XRefCopy15" hidden="1">[12]Detalle!#REF!</definedName>
    <definedName name="XRefCopy15Row" hidden="1">#REF!</definedName>
    <definedName name="XRefCopy16" hidden="1">[80]Detalle!#REF!</definedName>
    <definedName name="XRefCopy165" hidden="1">#REF!</definedName>
    <definedName name="XRefCopy165Row" hidden="1">#REF!</definedName>
    <definedName name="XRefCopy166" hidden="1">#REF!</definedName>
    <definedName name="XRefCopy166Row" hidden="1">#REF!</definedName>
    <definedName name="XRefCopy167" hidden="1">#REF!</definedName>
    <definedName name="XRefCopy167Row" hidden="1">#REF!</definedName>
    <definedName name="XRefCopy168" hidden="1">#REF!</definedName>
    <definedName name="XRefCopy168Row" hidden="1">#REF!</definedName>
    <definedName name="XRefCopy169" hidden="1">#REF!</definedName>
    <definedName name="XRefCopy169Row" hidden="1">#REF!</definedName>
    <definedName name="XRefCopy16Row" hidden="1">#REF!</definedName>
    <definedName name="XRefCopy17" hidden="1">#REF!</definedName>
    <definedName name="XRefCopy170" hidden="1">#REF!</definedName>
    <definedName name="XRefCopy170Row" hidden="1">#REF!</definedName>
    <definedName name="XRefCopy171" hidden="1">#REF!</definedName>
    <definedName name="XRefCopy171Row" hidden="1">#REF!</definedName>
    <definedName name="XRefCopy172" hidden="1">#REF!</definedName>
    <definedName name="XRefCopy172Row" hidden="1">#REF!</definedName>
    <definedName name="XRefCopy173" hidden="1">#REF!</definedName>
    <definedName name="XRefCopy173Row" hidden="1">#REF!</definedName>
    <definedName name="XRefCopy174" hidden="1">#REF!</definedName>
    <definedName name="XRefCopy174Row" hidden="1">#REF!</definedName>
    <definedName name="XRefCopy175" hidden="1">#REF!</definedName>
    <definedName name="XRefCopy175Row" hidden="1">#REF!</definedName>
    <definedName name="XRefCopy176" hidden="1">#REF!</definedName>
    <definedName name="XRefCopy176Row" hidden="1">#REF!</definedName>
    <definedName name="XRefCopy177" hidden="1">#REF!</definedName>
    <definedName name="XRefCopy177Row" hidden="1">#REF!</definedName>
    <definedName name="XRefCopy178" hidden="1">#REF!</definedName>
    <definedName name="XRefCopy178Row" hidden="1">#REF!</definedName>
    <definedName name="XRefCopy179" hidden="1">#REF!</definedName>
    <definedName name="XRefCopy179Row" hidden="1">#REF!</definedName>
    <definedName name="XRefCopy17Row" hidden="1">#REF!</definedName>
    <definedName name="XRefCopy18" hidden="1">[30]Detalle!#REF!</definedName>
    <definedName name="XRefCopy180" hidden="1">#REF!</definedName>
    <definedName name="XRefCopy180Row" hidden="1">#REF!</definedName>
    <definedName name="XRefCopy181" hidden="1">#REF!</definedName>
    <definedName name="XRefCopy181Row" hidden="1">#REF!</definedName>
    <definedName name="XRefCopy182" hidden="1">#REF!</definedName>
    <definedName name="XRefCopy182Row" hidden="1">#REF!</definedName>
    <definedName name="XRefCopy183Row" hidden="1">#REF!</definedName>
    <definedName name="XRefCopy184Row" hidden="1">#REF!</definedName>
    <definedName name="XRefCopy185Row" hidden="1">#REF!</definedName>
    <definedName name="XRefCopy186Row" hidden="1">#REF!</definedName>
    <definedName name="XRefCopy188" hidden="1">#REF!</definedName>
    <definedName name="XRefCopy189" hidden="1">#REF!</definedName>
    <definedName name="XRefCopy18Row" hidden="1">#REF!</definedName>
    <definedName name="XRefCopy19" hidden="1">#REF!</definedName>
    <definedName name="XRefCopy190" hidden="1">#REF!</definedName>
    <definedName name="XRefCopy191" hidden="1">#REF!</definedName>
    <definedName name="XRefCopy192" hidden="1">#REF!</definedName>
    <definedName name="XRefCopy193" hidden="1">#REF!</definedName>
    <definedName name="XRefCopy194" hidden="1">#REF!</definedName>
    <definedName name="XRefCopy195" hidden="1">#REF!</definedName>
    <definedName name="XRefCopy196" hidden="1">#REF!</definedName>
    <definedName name="XRefCopy197" hidden="1">#REF!</definedName>
    <definedName name="XRefCopy198" hidden="1">#REF!</definedName>
    <definedName name="XRefCopy19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8" hidden="1">#REF!</definedName>
    <definedName name="XRefCopy209" hidden="1">#REF!</definedName>
    <definedName name="XRefCopy20Row" hidden="1">#REF!</definedName>
    <definedName name="XRefCopy21" hidden="1">#REF!</definedName>
    <definedName name="XRefCopy210" hidden="1">[81]Detalle!#REF!</definedName>
    <definedName name="XRefCopy210Row" hidden="1">[82]XREF!#REF!</definedName>
    <definedName name="XRefCopy211" hidden="1">#REF!</definedName>
    <definedName name="XRefCopy211Row" hidden="1">[82]XREF!#REF!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[83]Detalle!#REF!</definedName>
    <definedName name="XRefCopy28Row" hidden="1">#REF!</definedName>
    <definedName name="XRefCopy29" hidden="1">#REF!</definedName>
    <definedName name="XRefCopy29Row" hidden="1">[84]XREF!#REF!</definedName>
    <definedName name="XRefCopy2Row" hidden="1">#REF!</definedName>
    <definedName name="XRefCopy3" hidden="1">#REF!</definedName>
    <definedName name="XRefCopy30" hidden="1">[30]Detalle!#REF!</definedName>
    <definedName name="XRefCopy30Row" hidden="1">#REF!</definedName>
    <definedName name="XRefCopy31" hidden="1">[30]Detalle!#REF!</definedName>
    <definedName name="XRefCopy31Row" hidden="1">#REF!</definedName>
    <definedName name="XRefCopy32" hidden="1">[30]Detalle!#REF!</definedName>
    <definedName name="XRefCopy32Row" hidden="1">#REF!</definedName>
    <definedName name="XRefCopy33" hidden="1">[30]Detalle!#REF!</definedName>
    <definedName name="XRefCopy33Row" hidden="1">#REF!</definedName>
    <definedName name="XRefCopy34" hidden="1">#REF!</definedName>
    <definedName name="XRefCopy34Row" hidden="1">#REF!</definedName>
    <definedName name="XRefCopy35" hidden="1">[68]Detalle!#REF!</definedName>
    <definedName name="XRefCopy35Row" hidden="1">[61]XREF!#REF!</definedName>
    <definedName name="XRefCopy36" hidden="1">[30]Detalle!#REF!</definedName>
    <definedName name="XRefCopy36Row" hidden="1">#REF!</definedName>
    <definedName name="XRefCopy37" hidden="1">[30]Detalle!#REF!</definedName>
    <definedName name="XRefCopy37Row" hidden="1">#REF!</definedName>
    <definedName name="XRefCopy38" hidden="1">[30]Detalle!#REF!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'[85]2130-1 Conciliación Bancaria'!#REF!</definedName>
    <definedName name="XRefCopy4_8">#REF!</definedName>
    <definedName name="XRefCopy40" hidden="1">[30]Detalle!#REF!</definedName>
    <definedName name="XRefCopy40Row" hidden="1">#REF!</definedName>
    <definedName name="XRefCopy41" hidden="1">[30]Detalle!#REF!</definedName>
    <definedName name="XRefCopy41Row" hidden="1">#REF!</definedName>
    <definedName name="XRefCopy42" hidden="1">#REF!</definedName>
    <definedName name="XRefCopy42Row" hidden="1">[86]XREF!#REF!</definedName>
    <definedName name="XRefCopy43" hidden="1">#REF!</definedName>
    <definedName name="XRefCopy43Row" hidden="1">#REF!</definedName>
    <definedName name="XRefCopy44" hidden="1">[68]Detalle!#REF!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[61]XREF!#REF!</definedName>
    <definedName name="XRefCopy51" hidden="1">#REF!</definedName>
    <definedName name="XRefCopy51Row" hidden="1">#REF!</definedName>
    <definedName name="XRefCopy52" hidden="1">[68]Detalle!#REF!</definedName>
    <definedName name="XRefCopy52Row" hidden="1">#REF!</definedName>
    <definedName name="XRefCopy53" hidden="1">[30]Detalle!#REF!</definedName>
    <definedName name="XRefCopy53Row" hidden="1">#REF!</definedName>
    <definedName name="XRefCopy54" hidden="1">[30]Detalle!#REF!</definedName>
    <definedName name="XRefCopy54Row" hidden="1">#REF!</definedName>
    <definedName name="XRefCopy55" hidden="1">[30]Detalle!#REF!</definedName>
    <definedName name="XRefCopy55Row" hidden="1">#REF!</definedName>
    <definedName name="XRefCopy56" hidden="1">[30]Detalle!#REF!</definedName>
    <definedName name="XRefCopy56Row" hidden="1">#REF!</definedName>
    <definedName name="XRefCopy57" hidden="1">[30]Detalle!#REF!</definedName>
    <definedName name="XRefCopy57Row" hidden="1">#REF!</definedName>
    <definedName name="XRefCopy58" hidden="1">[30]Detalle!#REF!</definedName>
    <definedName name="XRefCopy58Row" hidden="1">#REF!</definedName>
    <definedName name="XRefCopy59" hidden="1">[30]Detalle!#REF!</definedName>
    <definedName name="XRefCopy59Row" hidden="1">#REF!</definedName>
    <definedName name="XRefCopy5Row" hidden="1">#REF!</definedName>
    <definedName name="XRefCopy6" hidden="1">#REF!</definedName>
    <definedName name="XRefCopy60" hidden="1">[30]Detalle!#REF!</definedName>
    <definedName name="XRefCopy60Row" hidden="1">#REF!</definedName>
    <definedName name="XRefCopy61" hidden="1">[30]Detalle!#REF!</definedName>
    <definedName name="XRefCopy61Row" hidden="1">#REF!</definedName>
    <definedName name="XRefCopy62" hidden="1">[30]Detalle!#REF!</definedName>
    <definedName name="XRefCopy62Row" hidden="1">#REF!</definedName>
    <definedName name="XRefCopy63" hidden="1">[87]Detalle!#REF!</definedName>
    <definedName name="XRefCopy63Row" hidden="1">#REF!</definedName>
    <definedName name="XRefCopy64" hidden="1">[68]Detalle!#REF!</definedName>
    <definedName name="XRefCopy64Row" hidden="1">#REF!</definedName>
    <definedName name="XRefCopy65" hidden="1">[30]Detalle!#REF!</definedName>
    <definedName name="XRefCopy65Row" hidden="1">#REF!</definedName>
    <definedName name="XRefCopy66" hidden="1">[30]Detalle!#REF!</definedName>
    <definedName name="XRefCopy66Row" hidden="1">#REF!</definedName>
    <definedName name="XRefCopy67" hidden="1">[88]Movdep!#REF!</definedName>
    <definedName name="XRefCopy67Row" hidden="1">[88]XREF!#REF!</definedName>
    <definedName name="XRefCopy68" hidden="1">[30]Detalle!#REF!</definedName>
    <definedName name="XRefCopy68Row" hidden="1">#REF!</definedName>
    <definedName name="XRefCopy69" hidden="1">[30]Detalle!#REF!</definedName>
    <definedName name="XRefCopy69Row" hidden="1">#REF!</definedName>
    <definedName name="XRefCopy6Row" hidden="1">#REF!</definedName>
    <definedName name="XRefCopy7" hidden="1">#REF!</definedName>
    <definedName name="XRefCopy70" hidden="1">[30]Detalle!#REF!</definedName>
    <definedName name="XRefCopy70Row" hidden="1">#REF!</definedName>
    <definedName name="XRefCopy71" hidden="1">#REF!</definedName>
    <definedName name="XRefCopy71Row" hidden="1">[89]XREF!#REF!</definedName>
    <definedName name="XRefCopy72" hidden="1">#REF!</definedName>
    <definedName name="XRefCopy72Row" hidden="1">[67]XREF!#REF!</definedName>
    <definedName name="XRefCopy73" hidden="1">#REF!</definedName>
    <definedName name="XRefCopy73Row" hidden="1">#REF!</definedName>
    <definedName name="XRefCopy74" hidden="1">#REF!</definedName>
    <definedName name="XRefCopy74Row" hidden="1">#REF!</definedName>
    <definedName name="XRefCopy75" hidden="1">#REF!</definedName>
    <definedName name="XRefCopy75Row" hidden="1">[90]XREF!#REF!</definedName>
    <definedName name="XRefCopy76" hidden="1">'[68]Cálculo Interes Sponsors'!#REF!</definedName>
    <definedName name="XRefCopy76Row" hidden="1">#REF!</definedName>
    <definedName name="XRefCopy77" hidden="1">'[68]Cálculo Interes Sponsors'!#REF!</definedName>
    <definedName name="XRefCopy77Row" hidden="1">#REF!</definedName>
    <definedName name="XRefCopy78" hidden="1">#REF!</definedName>
    <definedName name="XRefCopy78Row" hidden="1">#REF!</definedName>
    <definedName name="XRefCopy79" hidden="1">[68]Detalle!#REF!</definedName>
    <definedName name="XRefCopy79Row" hidden="1">#REF!</definedName>
    <definedName name="XRefCopy7Row" hidden="1">#REF!</definedName>
    <definedName name="XRefCopy8" hidden="1">#REF!</definedName>
    <definedName name="XRefCopy80" hidden="1">[68]Detalle!#REF!</definedName>
    <definedName name="XRefCopy80Row" hidden="1">#REF!</definedName>
    <definedName name="XRefCopy81" hidden="1">#REF!</definedName>
    <definedName name="XRefCopy82" hidden="1">#REF!</definedName>
    <definedName name="XRefCopy82Row" hidden="1">[91]XREF!#REF!</definedName>
    <definedName name="XRefCopy83" hidden="1">#REF!</definedName>
    <definedName name="XRefCopy85" hidden="1">'[32]Balance Gral.'!#REF!</definedName>
    <definedName name="XRefCopy86" hidden="1">'[32]Balance Gral.'!#REF!</definedName>
    <definedName name="XRefCopy87" hidden="1">'[32]Balance Gral.'!#REF!</definedName>
    <definedName name="XRefCopy88" hidden="1">'[92]Saldos iniciales'!#REF!</definedName>
    <definedName name="XRefCopy89" hidden="1">'[32]Balance Gral.'!#REF!</definedName>
    <definedName name="XRefCopy8Row" hidden="1">#REF!</definedName>
    <definedName name="XRefCopy9" hidden="1">[30]Detalle!#REF!</definedName>
    <definedName name="XRefCopy90" hidden="1">#REF!</definedName>
    <definedName name="XRefCopy91" hidden="1">'[93]Est. Result.'!#REF!</definedName>
    <definedName name="XRefCopy92" hidden="1">[94]Detalle!#REF!</definedName>
    <definedName name="XRefCopy94" hidden="1">[94]Detalle!#REF!</definedName>
    <definedName name="XRefCopy98" hidden="1">#REF!</definedName>
    <definedName name="XRefCopy99" hidden="1">#REF!</definedName>
    <definedName name="XRefCopy9Row" hidden="1">#REF!</definedName>
    <definedName name="XRefCopy9Row_8">#REF!</definedName>
    <definedName name="XRefCopyRangeCount" hidden="1">8</definedName>
    <definedName name="XRefPaste1" hidden="1">#REF!</definedName>
    <definedName name="XRefPaste10" hidden="1">#REF!</definedName>
    <definedName name="XRefPaste100" hidden="1">'[32]Balance Gral.'!#REF!</definedName>
    <definedName name="XRefPaste101" hidden="1">'[32]Balance Gral.'!#REF!</definedName>
    <definedName name="XRefPaste102" hidden="1">'[32]Balance Gral.'!#REF!</definedName>
    <definedName name="XRefPaste104" hidden="1">'[32]Balance Gral.'!#REF!</definedName>
    <definedName name="XRefPaste108" hidden="1">'[32]Balance Gral.'!#REF!</definedName>
    <definedName name="XRefPaste109" hidden="1">'[32]Balance Gral.'!#REF!</definedName>
    <definedName name="XRefPaste10Row" hidden="1">#REF!</definedName>
    <definedName name="XRefPaste11" hidden="1">[30]Detalle!#REF!</definedName>
    <definedName name="XRefPaste110" hidden="1">'[32]Balance Gral.'!#REF!</definedName>
    <definedName name="XRefPaste111" hidden="1">'[32]Balance Gral.'!#REF!</definedName>
    <definedName name="XRefPaste113" hidden="1">'[32]Balance Gral.'!#REF!</definedName>
    <definedName name="XRefPaste114" hidden="1">'[32]Balance Gral.'!#REF!</definedName>
    <definedName name="XRefPaste115" hidden="1">'[32]Balance Gral.'!#REF!</definedName>
    <definedName name="XRefPaste116" hidden="1">'[32]Balance Gral.'!#REF!</definedName>
    <definedName name="XRefPaste117" hidden="1">'[93]Est. Result.'!#REF!</definedName>
    <definedName name="XRefPaste118" hidden="1">[79]Resultados!#REF!</definedName>
    <definedName name="XRefPaste118Row" hidden="1">#REF!</definedName>
    <definedName name="XRefPaste119" hidden="1">[79]Resultados!#REF!</definedName>
    <definedName name="XRefPaste119Row" hidden="1">#REF!</definedName>
    <definedName name="XRefPaste11Row" hidden="1">#REF!</definedName>
    <definedName name="XRefPaste12" hidden="1">[30]Detalle!#REF!</definedName>
    <definedName name="XRefPaste12Row" hidden="1">#REF!</definedName>
    <definedName name="XRefPaste13" hidden="1">[30]Detalle!#REF!</definedName>
    <definedName name="XRefPaste13Row" hidden="1">#REF!</definedName>
    <definedName name="XRefPaste14" hidden="1">[30]Detalle!#REF!</definedName>
    <definedName name="XRefPaste14Row" hidden="1">#REF!</definedName>
    <definedName name="XRefPaste15" hidden="1">[30]Detalle!#REF!</definedName>
    <definedName name="XRefPaste15Row" hidden="1">#REF!</definedName>
    <definedName name="XRefPaste16" hidden="1">[30]Detalle!#REF!</definedName>
    <definedName name="XRefPaste16Row" hidden="1">#REF!</definedName>
    <definedName name="XRefPaste17" hidden="1">[30]Detalle!#REF!</definedName>
    <definedName name="XRefPaste17Row" hidden="1">#REF!</definedName>
    <definedName name="XRefPaste18" hidden="1">[30]Detalle!#REF!</definedName>
    <definedName name="XRefPaste18Row" hidden="1">#REF!</definedName>
    <definedName name="XRefPaste19" hidden="1">[30]Detalle!#REF!</definedName>
    <definedName name="XRefPaste19Row" hidden="1">#REF!</definedName>
    <definedName name="XRefPaste1Row" hidden="1">#REF!</definedName>
    <definedName name="XRefPaste2" hidden="1">#REF!</definedName>
    <definedName name="XRefPaste20" hidden="1">[30]Detalle!#REF!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2" hidden="1">#REF!</definedName>
    <definedName name="XRefPaste242Row" hidden="1">#REF!</definedName>
    <definedName name="XRefPaste243" hidden="1">#REF!</definedName>
    <definedName name="XRefPaste243Row" hidden="1">#REF!</definedName>
    <definedName name="XRefPaste244" hidden="1">#REF!</definedName>
    <definedName name="XRefPaste244Row" hidden="1">#REF!</definedName>
    <definedName name="XRefPaste245" hidden="1">#REF!</definedName>
    <definedName name="XRefPaste245Row" hidden="1">#REF!</definedName>
    <definedName name="XRefPaste246" hidden="1">#REF!</definedName>
    <definedName name="XRefPaste246Row" hidden="1">#REF!</definedName>
    <definedName name="XRefPaste247" hidden="1">#REF!</definedName>
    <definedName name="XRefPaste247Row" hidden="1">#REF!</definedName>
    <definedName name="XRefPaste248" hidden="1">#REF!</definedName>
    <definedName name="XRefPaste248Row" hidden="1">#REF!</definedName>
    <definedName name="XRefPaste249" hidden="1">#REF!</definedName>
    <definedName name="XRefPaste249Row" hidden="1">#REF!</definedName>
    <definedName name="XRefPaste24Row" hidden="1">#REF!</definedName>
    <definedName name="XRefPaste25" hidden="1">#REF!</definedName>
    <definedName name="XRefPaste250" hidden="1">#REF!</definedName>
    <definedName name="XRefPaste250Row" hidden="1">#REF!</definedName>
    <definedName name="XRefPaste251" hidden="1">#REF!</definedName>
    <definedName name="XRefPaste251Row" hidden="1">#REF!</definedName>
    <definedName name="XRefPaste252" hidden="1">#REF!</definedName>
    <definedName name="XRefPaste252Row" hidden="1">#REF!</definedName>
    <definedName name="XRefPaste253" hidden="1">#REF!</definedName>
    <definedName name="XRefPaste253Row" hidden="1">#REF!</definedName>
    <definedName name="XRefPaste254" hidden="1">#REF!</definedName>
    <definedName name="XRefPaste254Row" hidden="1">#REF!</definedName>
    <definedName name="XRefPaste255" hidden="1">#REF!</definedName>
    <definedName name="XRefPaste255Row" hidden="1">#REF!</definedName>
    <definedName name="XRefPaste256" hidden="1">#REF!</definedName>
    <definedName name="XRefPaste256Row" hidden="1">#REF!</definedName>
    <definedName name="XRefPaste257Row" hidden="1">#REF!</definedName>
    <definedName name="XRefPaste258Row" hidden="1">#REF!</definedName>
    <definedName name="XRefPaste259Row" hidden="1">#REF!</definedName>
    <definedName name="XRefPaste25Row" hidden="1">#REF!</definedName>
    <definedName name="XRefPaste26" hidden="1">[30]Detalle!#REF!</definedName>
    <definedName name="XRefPaste260Row" hidden="1">#REF!</definedName>
    <definedName name="XRefPaste261Row" hidden="1">#REF!</definedName>
    <definedName name="XRefPaste262Row" hidden="1">#REF!</definedName>
    <definedName name="XRefPaste263Row" hidden="1">#REF!</definedName>
    <definedName name="XRefPaste264Row" hidden="1">#REF!</definedName>
    <definedName name="XRefPaste266" hidden="1">#REF!</definedName>
    <definedName name="XRefPaste267" hidden="1">#REF!</definedName>
    <definedName name="XRefPaste268" hidden="1">#REF!</definedName>
    <definedName name="XRefPaste269" hidden="1">#REF!</definedName>
    <definedName name="XRefPaste26Row" hidden="1">#REF!</definedName>
    <definedName name="XRefPaste27" hidden="1">[30]Detalle!#REF!</definedName>
    <definedName name="XRefPaste270" hidden="1">#REF!</definedName>
    <definedName name="XRefPaste271" hidden="1">#REF!</definedName>
    <definedName name="XRefPaste272" hidden="1">#REF!</definedName>
    <definedName name="XRefPaste275" hidden="1">#REF!</definedName>
    <definedName name="XRefPaste276" hidden="1">#REF!</definedName>
    <definedName name="XRefPaste277" hidden="1">#REF!</definedName>
    <definedName name="XRefPaste27Row" hidden="1">#REF!</definedName>
    <definedName name="XRefPaste28" hidden="1">[30]Detalle!#REF!</definedName>
    <definedName name="XRefPaste282" hidden="1">[81]Detalle!#REF!</definedName>
    <definedName name="XRefPaste282Row" hidden="1">[82]XREF!#REF!</definedName>
    <definedName name="XRefPaste283" hidden="1">#REF!</definedName>
    <definedName name="XRefPaste283Row" hidden="1">[82]XREF!#REF!</definedName>
    <definedName name="XRefPaste28Row" hidden="1">#REF!</definedName>
    <definedName name="XRefPaste29" hidden="1">[30]Detalle!#REF!</definedName>
    <definedName name="XRefPaste29Row" hidden="1">#REF!</definedName>
    <definedName name="XRefPaste2Row" hidden="1">#REF!</definedName>
    <definedName name="XRefPaste3" hidden="1">#REF!</definedName>
    <definedName name="XRefPaste30" hidden="1">'[95]Detalle '!#REF!</definedName>
    <definedName name="XRefPaste30Row" hidden="1">#REF!</definedName>
    <definedName name="XRefPaste31" hidden="1">[30]Detalle!#REF!</definedName>
    <definedName name="XRefPaste31Row" hidden="1">#REF!</definedName>
    <definedName name="XRefPaste32" hidden="1">[30]Detalle!#REF!</definedName>
    <definedName name="XRefPaste32Row" hidden="1">#REF!</definedName>
    <definedName name="XRefPaste33" hidden="1">[30]Detalle!#REF!</definedName>
    <definedName name="XRefPaste33Row" hidden="1">#REF!</definedName>
    <definedName name="XRefPaste34" hidden="1">#REF!</definedName>
    <definedName name="XRefPaste34Row" hidden="1">#REF!</definedName>
    <definedName name="XRefPaste35" hidden="1">[30]Detalle!#REF!</definedName>
    <definedName name="XRefPaste35Row" hidden="1">#REF!</definedName>
    <definedName name="XRefPaste36" hidden="1">[30]Detalle!#REF!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[96]Detalle!#REF!</definedName>
    <definedName name="XRefPaste40Row" hidden="1">#REF!</definedName>
    <definedName name="XRefPaste41" hidden="1">#REF!</definedName>
    <definedName name="XRefPaste41_8">#REF!</definedName>
    <definedName name="XRefPaste41Row" hidden="1">#REF!</definedName>
    <definedName name="XRefPaste42" hidden="1">[30]Detalle!#REF!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[30]Detalle!#REF!</definedName>
    <definedName name="XRefPaste45Row" hidden="1">#REF!</definedName>
    <definedName name="XRefPaste46" hidden="1">[30]Detalle!#REF!</definedName>
    <definedName name="XRefPaste46Row" hidden="1">#REF!</definedName>
    <definedName name="XRefPaste47" hidden="1">[30]Detalle!#REF!</definedName>
    <definedName name="XRefPaste47Row" hidden="1">#REF!</definedName>
    <definedName name="XRefPaste48" hidden="1">#REF!</definedName>
    <definedName name="XRefPaste48Row" hidden="1">#REF!</definedName>
    <definedName name="XRefPaste49" hidden="1">[76]Resumen!#REF!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[67]XREF!#REF!</definedName>
    <definedName name="XRefPaste51" hidden="1">#REF!</definedName>
    <definedName name="XRefPaste51Row" hidden="1">[67]XREF!#REF!</definedName>
    <definedName name="XRefPaste52" hidden="1">#REF!</definedName>
    <definedName name="XRefPaste52Row" hidden="1">[67]XREF!#REF!</definedName>
    <definedName name="XRefPaste53" hidden="1">#REF!</definedName>
    <definedName name="XRefPaste53Row" hidden="1">[67]XREF!#REF!</definedName>
    <definedName name="XRefPaste54" hidden="1">#REF!</definedName>
    <definedName name="XRefPaste54Row" hidden="1">[67]XREF!#REF!</definedName>
    <definedName name="XRefPaste55" hidden="1">#REF!</definedName>
    <definedName name="XRefPaste55Row" hidden="1">[67]XREF!#REF!</definedName>
    <definedName name="XRefPaste56" hidden="1">#REF!</definedName>
    <definedName name="XRefPaste56Row" hidden="1">[67]XREF!#REF!</definedName>
    <definedName name="XRefPaste57" hidden="1">#REF!</definedName>
    <definedName name="XRefPaste57Row" hidden="1">[67]XREF!#REF!</definedName>
    <definedName name="XRefPaste58" hidden="1">#REF!</definedName>
    <definedName name="XRefPaste58Row" hidden="1">[67]XREF!#REF!</definedName>
    <definedName name="XRefPaste59" hidden="1">'[95]Detalle '!#REF!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[67]XREF!#REF!</definedName>
    <definedName name="XRefPaste61" hidden="1">'[95]Detalle '!#REF!</definedName>
    <definedName name="XRefPaste61Row" hidden="1">#REF!</definedName>
    <definedName name="XRefPaste62" hidden="1">'[76]1000 '!#REF!</definedName>
    <definedName name="XRefPaste62Row" hidden="1">#REF!</definedName>
    <definedName name="XRefPaste63" hidden="1">'[76]1000 '!#REF!</definedName>
    <definedName name="XRefPaste63Row" hidden="1">#REF!</definedName>
    <definedName name="XRefPaste64" hidden="1">'[76]1000 '!#REF!</definedName>
    <definedName name="XRefPaste64Row" hidden="1">#REF!</definedName>
    <definedName name="XRefPaste65" hidden="1">[97]Detalle!#REF!</definedName>
    <definedName name="XRefPaste65Row" hidden="1">#REF!</definedName>
    <definedName name="XRefPaste66" hidden="1">[97]Detalle!#REF!</definedName>
    <definedName name="XRefPaste66Row" hidden="1">#REF!</definedName>
    <definedName name="XRefPaste67" hidden="1">[98]Detalle!$E$144</definedName>
    <definedName name="XRefPaste67Row" hidden="1">#REF!</definedName>
    <definedName name="XRefPaste68" hidden="1">[98]Detalle!$E$136</definedName>
    <definedName name="XRefPaste68Row" hidden="1">#REF!</definedName>
    <definedName name="XRefPaste69Row" hidden="1">[90]XREF!#REF!</definedName>
    <definedName name="XRefPaste6Row" hidden="1">#REF!</definedName>
    <definedName name="XRefPaste7" hidden="1">#REF!</definedName>
    <definedName name="XRefPaste70" hidden="1">[66]Detalle!#REF!</definedName>
    <definedName name="XRefPaste70Row" hidden="1">[90]XREF!#REF!</definedName>
    <definedName name="XRefPaste71" hidden="1">[66]Detalle!#REF!</definedName>
    <definedName name="XRefPaste71Row" hidden="1">[76]XREF!#REF!</definedName>
    <definedName name="XRefPaste72Row" hidden="1">#REF!</definedName>
    <definedName name="XRefPaste73" hidden="1">#REF!</definedName>
    <definedName name="XRefPaste73Row" hidden="1">#REF!</definedName>
    <definedName name="XRefPaste75" hidden="1">[66]Detalle!#REF!</definedName>
    <definedName name="XRefPaste75Row" hidden="1">[76]XREF!#REF!</definedName>
    <definedName name="XRefPaste76Row" hidden="1">#REF!</definedName>
    <definedName name="XRefPaste77" hidden="1">#REF!</definedName>
    <definedName name="XRefPaste77Row" hidden="1">#REF!</definedName>
    <definedName name="XRefPaste78" hidden="1">#REF!</definedName>
    <definedName name="XRefPaste78Row" hidden="1">#REF!</definedName>
    <definedName name="XRefPaste79" hidden="1">#REF!</definedName>
    <definedName name="XRefPaste79Row" hidden="1">#REF!</definedName>
    <definedName name="XRefPaste7Row" hidden="1">#REF!</definedName>
    <definedName name="XRefPaste8" hidden="1">#REF!</definedName>
    <definedName name="XRefPaste80" hidden="1">[97]Detalle!#REF!</definedName>
    <definedName name="XRefPaste80Row" hidden="1">#REF!</definedName>
    <definedName name="XRefPaste81" hidden="1">#REF!</definedName>
    <definedName name="XRefPaste81Row" hidden="1">#REF!</definedName>
    <definedName name="XRefPaste82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'[32]Balance Gral.'!#REF!</definedName>
    <definedName name="XRefPaste88" hidden="1">[66]Detalle!#REF!</definedName>
    <definedName name="XRefPaste89" hidden="1">#REF!</definedName>
    <definedName name="XRefPaste8Row" hidden="1">#REF!</definedName>
    <definedName name="XRefPaste9" hidden="1">#REF!</definedName>
    <definedName name="XRefPaste90" hidden="1">#REF!</definedName>
    <definedName name="XRefPaste91" hidden="1">#REF!</definedName>
    <definedName name="XRefPaste92" hidden="1">'[93]Est. Result.'!#REF!</definedName>
    <definedName name="XRefPaste93" hidden="1">'[93]Est. Result.'!#REF!</definedName>
    <definedName name="XRefPaste93Row" hidden="1">#REF!</definedName>
    <definedName name="XRefPaste94" hidden="1">'[93]Est. Result.'!#REF!</definedName>
    <definedName name="XRefPaste95" hidden="1">'[93]Est. Result.'!#REF!</definedName>
    <definedName name="XRefPaste95Row" hidden="1">#REF!</definedName>
    <definedName name="XRefPaste96" hidden="1">#REF!</definedName>
    <definedName name="XRefPaste97" hidden="1">'[32]Balance Gral.'!#REF!</definedName>
    <definedName name="XRefPaste99" hidden="1">'[32]Balance Gral.'!#REF!</definedName>
    <definedName name="XRefPaste9Row" hidden="1">#REF!</definedName>
    <definedName name="XRefPasteRangeCount" hidden="1">8</definedName>
    <definedName name="xrevcopy19" hidden="1">#REF!</definedName>
    <definedName name="xs">#REF!</definedName>
    <definedName name="xx" hidden="1">[10]XREF!$7:$7</definedName>
    <definedName name="y" hidden="1">[54]Costo!#REF!</definedName>
    <definedName name="yy">#REF!</definedName>
    <definedName name="z">#REF!</definedName>
    <definedName name="zz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5" i="1" l="1"/>
  <c r="F75" i="1" s="1"/>
  <c r="D55" i="1" l="1"/>
  <c r="F55" i="1" s="1"/>
</calcChain>
</file>

<file path=xl/sharedStrings.xml><?xml version="1.0" encoding="utf-8"?>
<sst xmlns="http://schemas.openxmlformats.org/spreadsheetml/2006/main" count="103" uniqueCount="88">
  <si>
    <t>Preparado por:</t>
  </si>
  <si>
    <t>Revisado por:</t>
  </si>
  <si>
    <t>El artículo 42 numeral 33 del Código del Trabajo determina que el empleador público o privado, que cuente con un número mínimo de veinticinco trabajadores, está obligado a contratar, al menos, a una persona con discapacidad, en labores permanentes que se consideren apropiadas en relación con sus conocimientos, condición física y aptitudes individuales, observándose los principios de equidad de género y diversidad de discapacidad. A partir del año 2009, el porcentaje obligatorio de contratación de personas con discapacidad, es del 4% del total de trabajadores de cada empresa o patrono persona natural.</t>
  </si>
  <si>
    <t xml:space="preserve">COMPAÑÍA MODELO S.A. </t>
  </si>
  <si>
    <t>AL 31 DE DICIEMBRE DE 20XX</t>
  </si>
  <si>
    <t>Ref.</t>
  </si>
  <si>
    <t>XX</t>
  </si>
  <si>
    <t>Objetivo:</t>
  </si>
  <si>
    <t>Base de decisión: Materialidad</t>
  </si>
  <si>
    <t>General</t>
  </si>
  <si>
    <t>XXX.XXX</t>
  </si>
  <si>
    <t>Desempeño</t>
  </si>
  <si>
    <t>Errores Triviales</t>
  </si>
  <si>
    <t xml:space="preserve">Desarrollo: </t>
  </si>
  <si>
    <t>A</t>
  </si>
  <si>
    <t xml:space="preserve">Marcas de auditoría: </t>
  </si>
  <si>
    <t>FECHA DE CORTE: _/_/20XX</t>
  </si>
  <si>
    <t>Preliminar</t>
  </si>
  <si>
    <t xml:space="preserve">Final </t>
  </si>
  <si>
    <t>Procedimientos:</t>
  </si>
  <si>
    <t>1.-</t>
  </si>
  <si>
    <t>Documentar el papel de trabajo y concluir en base al objetivo.</t>
  </si>
  <si>
    <t>Información proporcionada por el cliente</t>
  </si>
  <si>
    <t>***Concluir en función al objetivo</t>
  </si>
  <si>
    <t>2.-</t>
  </si>
  <si>
    <t>3.-</t>
  </si>
  <si>
    <t>Solicitar a la Compañía el detalle de empleados con discapacidad al _/_/20XX.</t>
  </si>
  <si>
    <t>Verificar que la Compañía cumpla con lo estipulado en el Código de trabajo.</t>
  </si>
  <si>
    <t>B</t>
  </si>
  <si>
    <t>Notas aclaratorias:</t>
  </si>
  <si>
    <t>a)</t>
  </si>
  <si>
    <t>b)</t>
  </si>
  <si>
    <t>c)</t>
  </si>
  <si>
    <t>Observaciones:</t>
  </si>
  <si>
    <t>Obs.1</t>
  </si>
  <si>
    <t>Obs.2</t>
  </si>
  <si>
    <t>Obs.3</t>
  </si>
  <si>
    <t>Conclusión:</t>
  </si>
  <si>
    <t>Verificaciones</t>
  </si>
  <si>
    <t>Empleados con discapacidad según Código de trabajo</t>
  </si>
  <si>
    <t xml:space="preserve">Empleados con discapacidad según la Compañía </t>
  </si>
  <si>
    <t xml:space="preserve">Nro. total de trabajadores en la Compañía </t>
  </si>
  <si>
    <t>% de contratación de personas con discapacidad según Código de Trabajo</t>
  </si>
  <si>
    <t>Verificaciones:</t>
  </si>
  <si>
    <t>Validar que la Compañía cumpla con lo establecido en el Código de Trabajo en cuanto a la contratación de personal con discapacidad al _/_/20XX.</t>
  </si>
  <si>
    <t>Cumplimiento</t>
  </si>
  <si>
    <t>Base Legal</t>
  </si>
  <si>
    <t>Porcentaje de discapacidad</t>
  </si>
  <si>
    <t>Sustitutos (familiares con discapacidad)</t>
  </si>
  <si>
    <t>Listado del personal con discapacidad</t>
  </si>
  <si>
    <t>***Empresa privada</t>
  </si>
  <si>
    <t>***Empresa pública</t>
  </si>
  <si>
    <t>Validar que la Compañía cumpla con lo establecido en el Código de Trabajo en cuanto a la contratación de personal con discapacidad y a su vez cumpla con lo mencionado en la LOSEP en cuanto a la contratación de personal con enfermedades catastróficas al _/_/20XX.</t>
  </si>
  <si>
    <r>
      <t xml:space="preserve">Considerar el número de trabajadores de la Compañía, en el papel de trabajo </t>
    </r>
    <r>
      <rPr>
        <sz val="10"/>
        <color rgb="FFFF0000"/>
        <rFont val="Tahoma"/>
        <family val="2"/>
      </rPr>
      <t>p/t 1600.07</t>
    </r>
  </si>
  <si>
    <t>Solicitar a la Compañía los documentos sustentos que respalden el listado del personal con discapacidad al _/_/20XX.</t>
  </si>
  <si>
    <t>4.-</t>
  </si>
  <si>
    <t>5.-</t>
  </si>
  <si>
    <t>Código de Trabajo</t>
  </si>
  <si>
    <t>LOSEP</t>
  </si>
  <si>
    <t>El Art. 64 de la Ley Orgánica del Servidor Público (LOSEP) las instituciones determinadas en el artículo 3 de esta ley que cuenten con más de veinte y cinco servidoras o servidores en total, están en la obligación de contratar o nombrar personas con discapacidad o con enfermedades catastróficas, promoviendo acciones afirmativas para ello, de manera progresiva hasta un 4% del total de servidores o servidoras, bajo el principio de no discriminación, asegurando las condiciones de igualdad de oportunidades en la integración laboral, dotando de los implementos y demás medios necesarios para el ejercicio de las actividades correspondientes.</t>
  </si>
  <si>
    <t>El empleador que incumpla con lo dispuesto en este numeral, será sancionado con una multa mensual equivalente a diez remuneraciones básicas mínimas unificadas del trabajador en general; y, en el caso de las empresas y entidades del Estado, la respectiva autoridad nominadora, será sancionada administrativa y pecuniariamente con un sueldo básico; multa y sanción que serán impuestas por el Director General del Trabajo, hasta que cumpla la obligación.</t>
  </si>
  <si>
    <t>Numero de identificación</t>
  </si>
  <si>
    <t>Nombres completos</t>
  </si>
  <si>
    <t>Tipo de discapacidad</t>
  </si>
  <si>
    <t>***Verificar el personal con enfermedades catastróficas cuando se trate de una Empresa Pública.</t>
  </si>
  <si>
    <t>% de contratación de personas con enfermedades catastróficas según LOSEP</t>
  </si>
  <si>
    <t>Empleados con enfermedades catastróficas según LOSEP</t>
  </si>
  <si>
    <t xml:space="preserve">Empleados con enfermedades catastróficas según la Compañía </t>
  </si>
  <si>
    <t>La Compañía cumple con lo establecido en el Código de Trabajo.</t>
  </si>
  <si>
    <t>La entidad cumple con lo establecido en la LOSEP.</t>
  </si>
  <si>
    <t>Nro. total de trabajadores de la Entidad</t>
  </si>
  <si>
    <t>Verificación de la documentación soporte</t>
  </si>
  <si>
    <t>Listado del personal con enfermedades catastróficas</t>
  </si>
  <si>
    <t>Tipo de enfermedad catastrófica</t>
  </si>
  <si>
    <t>C</t>
  </si>
  <si>
    <t>D</t>
  </si>
  <si>
    <t>E</t>
  </si>
  <si>
    <t>Sí</t>
  </si>
  <si>
    <t>No</t>
  </si>
  <si>
    <t>La discapacidad mencionada en el detalle proporcionado, corresponde a la del carnet de discapacidad.</t>
  </si>
  <si>
    <t>El empleado consta en el rol de pagos a la fecha de revisión.</t>
  </si>
  <si>
    <t>Cálculos de Auditoría</t>
  </si>
  <si>
    <t>Se ha presentado el certificado de la enfermedad catastrófica</t>
  </si>
  <si>
    <t>Cargo o función</t>
  </si>
  <si>
    <t>La Compañía ha proporcionado el carnet de los empleados con discapacidad.</t>
  </si>
  <si>
    <t>El porcentaje de discapacidad mencionado en el detalle proporcionado es el mismo porcentaje que se encuentra en el carnet.</t>
  </si>
  <si>
    <t>PERSONAL CON DISCAPACIDAD Y/O ENFERMEDADES CATASTRÓFICAS</t>
  </si>
  <si>
    <t>1600.09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</si>
</sst>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Futura-Book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b/>
      <sz val="10"/>
      <color rgb="FF002060"/>
      <name val="Tahoma"/>
      <family val="2"/>
    </font>
    <font>
      <sz val="11"/>
      <color theme="1"/>
      <name val="Calibri"/>
      <family val="2"/>
    </font>
    <font>
      <sz val="10"/>
      <name val="Tahoma"/>
      <family val="2"/>
    </font>
    <font>
      <b/>
      <sz val="10"/>
      <color theme="1"/>
      <name val="Tahoma"/>
      <family val="2"/>
    </font>
    <font>
      <b/>
      <sz val="10"/>
      <color rgb="FFFF0000"/>
      <name val="Tahoma"/>
      <family val="2"/>
    </font>
    <font>
      <b/>
      <u/>
      <sz val="10"/>
      <color rgb="FF0000FF"/>
      <name val="Tahoma"/>
      <family val="2"/>
    </font>
    <font>
      <sz val="10"/>
      <color theme="1"/>
      <name val="Tahoma"/>
      <family val="2"/>
    </font>
    <font>
      <sz val="10"/>
      <color rgb="FFFF0000"/>
      <name val="Tahoma"/>
      <family val="2"/>
    </font>
    <font>
      <b/>
      <sz val="10"/>
      <name val="Tahoma"/>
      <family val="2"/>
    </font>
    <font>
      <b/>
      <u/>
      <sz val="10"/>
      <color theme="1"/>
      <name val="Tahoma"/>
      <family val="2"/>
    </font>
    <font>
      <sz val="9"/>
      <color theme="1"/>
      <name val="Tahoma"/>
      <family val="2"/>
    </font>
    <font>
      <b/>
      <sz val="9"/>
      <color theme="1"/>
      <name val="Tahoma"/>
      <family val="2"/>
    </font>
    <font>
      <b/>
      <u/>
      <sz val="10"/>
      <name val="Tahoma"/>
      <family val="2"/>
    </font>
    <font>
      <b/>
      <u/>
      <sz val="9"/>
      <color theme="1"/>
      <name val="Tahoma"/>
      <family val="2"/>
    </font>
    <font>
      <sz val="10"/>
      <color rgb="FF333333"/>
      <name val="Tahoma"/>
      <family val="2"/>
    </font>
    <font>
      <sz val="9"/>
      <color rgb="FF333333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8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7" fillId="0" borderId="0"/>
    <xf numFmtId="0" fontId="2" fillId="0" borderId="0"/>
    <xf numFmtId="0" fontId="4" fillId="0" borderId="0"/>
    <xf numFmtId="0" fontId="2" fillId="0" borderId="0"/>
    <xf numFmtId="0" fontId="2" fillId="0" borderId="0"/>
  </cellStyleXfs>
  <cellXfs count="80">
    <xf numFmtId="0" fontId="0" fillId="0" borderId="0" xfId="0"/>
    <xf numFmtId="0" fontId="6" fillId="3" borderId="0" xfId="0" applyFont="1" applyFill="1" applyAlignment="1" applyProtection="1">
      <alignment horizontal="left" vertical="center"/>
      <protection hidden="1"/>
    </xf>
    <xf numFmtId="0" fontId="6" fillId="0" borderId="0" xfId="7" applyFont="1" applyAlignment="1" applyProtection="1">
      <alignment horizontal="left" vertical="center"/>
      <protection hidden="1"/>
    </xf>
    <xf numFmtId="0" fontId="6" fillId="3" borderId="0" xfId="0" applyFont="1" applyFill="1" applyAlignment="1">
      <alignment horizontal="left" vertical="top"/>
    </xf>
    <xf numFmtId="0" fontId="6" fillId="3" borderId="2" xfId="0" applyFont="1" applyFill="1" applyBorder="1" applyAlignment="1" applyProtection="1">
      <alignment horizontal="left" vertical="center"/>
      <protection hidden="1"/>
    </xf>
    <xf numFmtId="0" fontId="8" fillId="3" borderId="0" xfId="0" applyFont="1" applyFill="1"/>
    <xf numFmtId="0" fontId="6" fillId="4" borderId="3" xfId="0" applyFont="1" applyFill="1" applyBorder="1" applyAlignment="1" applyProtection="1">
      <alignment horizontal="center" vertical="center"/>
      <protection hidden="1"/>
    </xf>
    <xf numFmtId="0" fontId="6" fillId="4" borderId="1" xfId="0" applyFont="1" applyFill="1" applyBorder="1" applyAlignment="1" applyProtection="1">
      <alignment horizontal="center" vertical="center"/>
      <protection hidden="1"/>
    </xf>
    <xf numFmtId="49" fontId="10" fillId="0" borderId="1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/>
    <xf numFmtId="0" fontId="12" fillId="0" borderId="0" xfId="0" applyFont="1"/>
    <xf numFmtId="0" fontId="8" fillId="2" borderId="0" xfId="2" applyFont="1" applyFill="1"/>
    <xf numFmtId="0" fontId="8" fillId="3" borderId="0" xfId="0" applyFont="1" applyFill="1" applyAlignment="1">
      <alignment vertical="center"/>
    </xf>
    <xf numFmtId="2" fontId="8" fillId="3" borderId="0" xfId="4" applyNumberFormat="1" applyFont="1" applyFill="1" applyAlignment="1">
      <alignment horizontal="left" vertical="center" indent="1"/>
    </xf>
    <xf numFmtId="2" fontId="8" fillId="3" borderId="0" xfId="4" applyNumberFormat="1" applyFont="1" applyFill="1" applyAlignment="1">
      <alignment horizontal="left" vertical="center"/>
    </xf>
    <xf numFmtId="0" fontId="9" fillId="3" borderId="0" xfId="3" applyFont="1" applyFill="1" applyAlignment="1">
      <alignment horizontal="left" indent="1"/>
    </xf>
    <xf numFmtId="0" fontId="8" fillId="2" borderId="0" xfId="2" applyFont="1" applyFill="1" applyAlignment="1">
      <alignment wrapText="1"/>
    </xf>
    <xf numFmtId="0" fontId="8" fillId="0" borderId="0" xfId="2" applyFont="1" applyAlignment="1">
      <alignment wrapText="1"/>
    </xf>
    <xf numFmtId="1" fontId="8" fillId="2" borderId="1" xfId="6" applyNumberFormat="1" applyFont="1" applyFill="1" applyBorder="1" applyAlignment="1">
      <alignment horizontal="center" vertical="center"/>
    </xf>
    <xf numFmtId="9" fontId="8" fillId="0" borderId="1" xfId="2" applyNumberFormat="1" applyFont="1" applyBorder="1" applyAlignment="1">
      <alignment horizontal="center" vertical="center" wrapText="1"/>
    </xf>
    <xf numFmtId="165" fontId="8" fillId="0" borderId="1" xfId="1" applyNumberFormat="1" applyFont="1" applyBorder="1" applyAlignment="1">
      <alignment horizontal="center" vertical="center" wrapText="1"/>
    </xf>
    <xf numFmtId="0" fontId="8" fillId="0" borderId="1" xfId="2" applyFont="1" applyBorder="1" applyAlignment="1">
      <alignment wrapText="1"/>
    </xf>
    <xf numFmtId="0" fontId="10" fillId="0" borderId="0" xfId="2" applyFont="1" applyAlignment="1">
      <alignment horizontal="center" wrapText="1"/>
    </xf>
    <xf numFmtId="0" fontId="14" fillId="3" borderId="0" xfId="6" applyFont="1" applyFill="1" applyAlignment="1">
      <alignment vertical="center"/>
    </xf>
    <xf numFmtId="0" fontId="12" fillId="3" borderId="0" xfId="6" applyFont="1" applyFill="1" applyAlignment="1">
      <alignment vertical="center"/>
    </xf>
    <xf numFmtId="0" fontId="8" fillId="3" borderId="0" xfId="6" applyFont="1" applyFill="1" applyAlignment="1">
      <alignment vertical="center"/>
    </xf>
    <xf numFmtId="0" fontId="12" fillId="0" borderId="1" xfId="8" applyFont="1" applyBorder="1" applyAlignment="1">
      <alignment horizontal="center" vertical="center" wrapText="1"/>
    </xf>
    <xf numFmtId="0" fontId="12" fillId="2" borderId="1" xfId="8" applyFont="1" applyFill="1" applyBorder="1" applyAlignment="1">
      <alignment horizontal="center" vertical="center" wrapText="1"/>
    </xf>
    <xf numFmtId="0" fontId="15" fillId="3" borderId="0" xfId="9" applyFont="1" applyFill="1" applyAlignment="1">
      <alignment horizontal="left"/>
    </xf>
    <xf numFmtId="0" fontId="12" fillId="4" borderId="1" xfId="0" applyFont="1" applyFill="1" applyBorder="1" applyAlignment="1">
      <alignment horizontal="center"/>
    </xf>
    <xf numFmtId="0" fontId="12" fillId="4" borderId="1" xfId="0" applyFont="1" applyFill="1" applyBorder="1"/>
    <xf numFmtId="0" fontId="12" fillId="0" borderId="1" xfId="10" applyFont="1" applyBorder="1" applyAlignment="1">
      <alignment horizontal="center"/>
    </xf>
    <xf numFmtId="0" fontId="8" fillId="0" borderId="0" xfId="11" applyFont="1"/>
    <xf numFmtId="0" fontId="8" fillId="0" borderId="0" xfId="2" applyFont="1" applyBorder="1"/>
    <xf numFmtId="0" fontId="13" fillId="0" borderId="0" xfId="0" applyFont="1"/>
    <xf numFmtId="0" fontId="12" fillId="3" borderId="0" xfId="6" applyFont="1" applyFill="1" applyAlignment="1">
      <alignment horizontal="left" vertical="center" wrapText="1"/>
    </xf>
    <xf numFmtId="0" fontId="8" fillId="2" borderId="0" xfId="2" applyFont="1" applyFill="1" applyAlignment="1">
      <alignment horizontal="right"/>
    </xf>
    <xf numFmtId="0" fontId="6" fillId="4" borderId="1" xfId="2" applyFont="1" applyFill="1" applyBorder="1" applyAlignment="1">
      <alignment horizontal="center" vertical="center" wrapText="1"/>
    </xf>
    <xf numFmtId="0" fontId="12" fillId="3" borderId="0" xfId="0" applyFont="1" applyFill="1" applyAlignment="1">
      <alignment vertical="center"/>
    </xf>
    <xf numFmtId="0" fontId="10" fillId="3" borderId="0" xfId="10" applyFont="1" applyFill="1" applyAlignment="1">
      <alignment horizontal="center"/>
    </xf>
    <xf numFmtId="0" fontId="10" fillId="0" borderId="0" xfId="5" applyFont="1" applyAlignment="1">
      <alignment horizontal="center" vertical="center"/>
    </xf>
    <xf numFmtId="0" fontId="10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0" fillId="3" borderId="0" xfId="10" applyFont="1" applyFill="1" applyAlignment="1">
      <alignment horizontal="center" vertical="center"/>
    </xf>
    <xf numFmtId="0" fontId="11" fillId="0" borderId="0" xfId="2" applyFont="1" applyAlignment="1">
      <alignment wrapText="1"/>
    </xf>
    <xf numFmtId="0" fontId="16" fillId="3" borderId="0" xfId="6" applyFont="1" applyFill="1" applyAlignment="1">
      <alignment horizontal="left" vertical="center" wrapText="1"/>
    </xf>
    <xf numFmtId="0" fontId="13" fillId="2" borderId="0" xfId="2" applyFont="1" applyFill="1"/>
    <xf numFmtId="0" fontId="17" fillId="3" borderId="0" xfId="6" applyFont="1" applyFill="1" applyAlignment="1">
      <alignment horizontal="left" vertical="center" wrapText="1"/>
    </xf>
    <xf numFmtId="0" fontId="16" fillId="3" borderId="0" xfId="6" applyFont="1" applyFill="1" applyAlignment="1">
      <alignment vertical="center"/>
    </xf>
    <xf numFmtId="0" fontId="18" fillId="0" borderId="0" xfId="2" applyFont="1" applyAlignment="1">
      <alignment wrapText="1"/>
    </xf>
    <xf numFmtId="0" fontId="19" fillId="3" borderId="0" xfId="6" applyFont="1" applyFill="1" applyAlignment="1">
      <alignment horizontal="left" vertical="center" wrapText="1"/>
    </xf>
    <xf numFmtId="0" fontId="20" fillId="0" borderId="0" xfId="0" applyFont="1" applyAlignment="1">
      <alignment vertical="center"/>
    </xf>
    <xf numFmtId="0" fontId="6" fillId="3" borderId="0" xfId="2" applyFont="1" applyFill="1" applyBorder="1" applyAlignment="1">
      <alignment horizontal="center" vertical="center" wrapText="1"/>
    </xf>
    <xf numFmtId="164" fontId="8" fillId="3" borderId="0" xfId="1" applyFont="1" applyFill="1" applyBorder="1" applyAlignment="1">
      <alignment horizontal="center" vertical="center" wrapText="1"/>
    </xf>
    <xf numFmtId="164" fontId="8" fillId="3" borderId="1" xfId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wrapText="1"/>
    </xf>
    <xf numFmtId="0" fontId="8" fillId="2" borderId="1" xfId="2" applyFont="1" applyFill="1" applyBorder="1"/>
    <xf numFmtId="0" fontId="8" fillId="0" borderId="1" xfId="2" applyFont="1" applyFill="1" applyBorder="1"/>
    <xf numFmtId="0" fontId="10" fillId="0" borderId="1" xfId="2" applyFont="1" applyBorder="1" applyAlignment="1">
      <alignment horizontal="center" wrapText="1"/>
    </xf>
    <xf numFmtId="0" fontId="6" fillId="4" borderId="1" xfId="2" applyFont="1" applyFill="1" applyBorder="1" applyAlignment="1">
      <alignment horizontal="center" vertical="center"/>
    </xf>
    <xf numFmtId="0" fontId="15" fillId="3" borderId="0" xfId="6" applyFont="1" applyFill="1" applyAlignment="1">
      <alignment horizontal="left" vertical="center"/>
    </xf>
    <xf numFmtId="0" fontId="13" fillId="0" borderId="0" xfId="2" applyFont="1" applyAlignment="1"/>
    <xf numFmtId="1" fontId="8" fillId="2" borderId="0" xfId="6" applyNumberFormat="1" applyFont="1" applyFill="1" applyBorder="1" applyAlignment="1">
      <alignment horizontal="center" vertical="center"/>
    </xf>
    <xf numFmtId="9" fontId="8" fillId="0" borderId="0" xfId="2" applyNumberFormat="1" applyFont="1" applyBorder="1" applyAlignment="1">
      <alignment horizontal="center" vertical="center" wrapText="1"/>
    </xf>
    <xf numFmtId="165" fontId="8" fillId="0" borderId="0" xfId="1" applyNumberFormat="1" applyFont="1" applyBorder="1" applyAlignment="1">
      <alignment horizontal="center" vertical="center" wrapText="1"/>
    </xf>
    <xf numFmtId="0" fontId="18" fillId="0" borderId="0" xfId="2" applyFont="1" applyAlignment="1">
      <alignment vertical="center"/>
    </xf>
    <xf numFmtId="0" fontId="8" fillId="0" borderId="0" xfId="2" applyFont="1" applyBorder="1" applyAlignment="1">
      <alignment wrapText="1"/>
    </xf>
    <xf numFmtId="0" fontId="10" fillId="0" borderId="0" xfId="2" applyFont="1" applyBorder="1" applyAlignment="1">
      <alignment horizontal="center" wrapText="1"/>
    </xf>
    <xf numFmtId="0" fontId="6" fillId="3" borderId="0" xfId="2" applyFont="1" applyFill="1" applyBorder="1" applyAlignment="1">
      <alignment vertical="center" wrapText="1"/>
    </xf>
    <xf numFmtId="0" fontId="10" fillId="3" borderId="0" xfId="2" applyFont="1" applyFill="1" applyBorder="1" applyAlignment="1">
      <alignment horizontal="center" wrapText="1"/>
    </xf>
    <xf numFmtId="0" fontId="8" fillId="3" borderId="0" xfId="2" applyFont="1" applyFill="1" applyBorder="1"/>
    <xf numFmtId="0" fontId="8" fillId="3" borderId="0" xfId="2" applyFont="1" applyFill="1" applyBorder="1" applyAlignment="1">
      <alignment wrapText="1"/>
    </xf>
    <xf numFmtId="0" fontId="6" fillId="5" borderId="1" xfId="2" applyFont="1" applyFill="1" applyBorder="1" applyAlignment="1">
      <alignment horizontal="center" vertical="center" wrapText="1"/>
    </xf>
    <xf numFmtId="0" fontId="14" fillId="3" borderId="0" xfId="2" applyFont="1" applyFill="1" applyBorder="1" applyAlignment="1">
      <alignment horizontal="center"/>
    </xf>
    <xf numFmtId="0" fontId="6" fillId="4" borderId="1" xfId="2" applyFont="1" applyFill="1" applyBorder="1" applyAlignment="1">
      <alignment horizontal="center"/>
    </xf>
    <xf numFmtId="0" fontId="6" fillId="5" borderId="1" xfId="2" applyFont="1" applyFill="1" applyBorder="1" applyAlignment="1">
      <alignment horizontal="center" vertical="center" wrapText="1"/>
    </xf>
    <xf numFmtId="0" fontId="16" fillId="3" borderId="0" xfId="6" applyFont="1" applyFill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top" wrapText="1"/>
    </xf>
  </cellXfs>
  <cellStyles count="12">
    <cellStyle name="Millares" xfId="1" builtinId="3"/>
    <cellStyle name="Normal" xfId="0" builtinId="0"/>
    <cellStyle name="Normal 17 2" xfId="2" xr:uid="{87766DDD-8A60-44A9-B768-E6B07EAE26D9}"/>
    <cellStyle name="Normal 2 10" xfId="10" xr:uid="{F83C0E14-E1F4-44BF-83A9-E0EEF92C5D44}"/>
    <cellStyle name="Normal 2 2" xfId="4" xr:uid="{371ADBB3-4CA5-4C52-ACB5-B113155D8BE1}"/>
    <cellStyle name="Normal 2 2 2 10" xfId="5" xr:uid="{F6968E40-4FC0-4E1C-8400-60079184E3C2}"/>
    <cellStyle name="Normal 2 2 2 2" xfId="8" xr:uid="{B497B368-A1D9-4306-BDFF-92F1B90E5741}"/>
    <cellStyle name="Normal 2 3" xfId="6" xr:uid="{D92EB6D5-3A08-4189-B572-EEE5D4A7872E}"/>
    <cellStyle name="Normal 2 3 2 5" xfId="11" xr:uid="{98A68E0E-D017-4249-A898-D17CA771990E}"/>
    <cellStyle name="Normal 50" xfId="3" xr:uid="{8AE8DA99-A66A-483D-8D65-2E22A2CACDF5}"/>
    <cellStyle name="Normal 7" xfId="7" xr:uid="{DB354AE7-5360-4BE8-803E-45DBA95B0616}"/>
    <cellStyle name="Normal_2102.1.1 Analisis de Partidas Conciliatorias" xfId="9" xr:uid="{58954517-F0DD-4A61-9225-F0F5F18A327B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87" Type="http://schemas.openxmlformats.org/officeDocument/2006/relationships/externalLink" Target="externalLinks/externalLink86.xml"/><Relationship Id="rId102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100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103" Type="http://schemas.openxmlformats.org/officeDocument/2006/relationships/calcChain" Target="calcChain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1304724</xdr:colOff>
      <xdr:row>51</xdr:row>
      <xdr:rowOff>139111</xdr:rowOff>
    </xdr:from>
    <xdr:to>
      <xdr:col>3</xdr:col>
      <xdr:colOff>1560394</xdr:colOff>
      <xdr:row>53</xdr:row>
      <xdr:rowOff>31390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E0DE6D4-AC0C-402B-9110-60184D388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3943" y="9148174"/>
          <a:ext cx="255670" cy="249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142388</xdr:colOff>
      <xdr:row>92</xdr:row>
      <xdr:rowOff>2929</xdr:rowOff>
    </xdr:from>
    <xdr:to>
      <xdr:col>0</xdr:col>
      <xdr:colOff>312536</xdr:colOff>
      <xdr:row>93</xdr:row>
      <xdr:rowOff>18803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E8CF4DD-1DDC-4317-804D-B2304466A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388" y="6241804"/>
          <a:ext cx="170148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2054978</xdr:colOff>
      <xdr:row>51</xdr:row>
      <xdr:rowOff>100009</xdr:rowOff>
    </xdr:from>
    <xdr:to>
      <xdr:col>5</xdr:col>
      <xdr:colOff>2336215</xdr:colOff>
      <xdr:row>53</xdr:row>
      <xdr:rowOff>13611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BB9F438-377A-4F25-ABB0-81BFB7E15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22322" y="9109072"/>
          <a:ext cx="281237" cy="2707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1495389</xdr:colOff>
      <xdr:row>51</xdr:row>
      <xdr:rowOff>118108</xdr:rowOff>
    </xdr:from>
    <xdr:to>
      <xdr:col>4</xdr:col>
      <xdr:colOff>1751059</xdr:colOff>
      <xdr:row>53</xdr:row>
      <xdr:rowOff>7093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E0E71C8-3147-4CB1-BF67-B5446148E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561" y="9127171"/>
          <a:ext cx="255670" cy="2461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160117</xdr:colOff>
      <xdr:row>91</xdr:row>
      <xdr:rowOff>5121</xdr:rowOff>
    </xdr:from>
    <xdr:to>
      <xdr:col>0</xdr:col>
      <xdr:colOff>314390</xdr:colOff>
      <xdr:row>92</xdr:row>
      <xdr:rowOff>5502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883D2CA-67C1-4B4A-B5B1-2AA088D65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17" y="6085246"/>
          <a:ext cx="154273" cy="1591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873196</xdr:colOff>
      <xdr:row>51</xdr:row>
      <xdr:rowOff>128307</xdr:rowOff>
    </xdr:from>
    <xdr:to>
      <xdr:col>1</xdr:col>
      <xdr:colOff>1128866</xdr:colOff>
      <xdr:row>53</xdr:row>
      <xdr:rowOff>22613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B915B2E-F2E9-4605-AD73-F01A162F5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0149" y="9137370"/>
          <a:ext cx="255670" cy="2514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1304724</xdr:colOff>
      <xdr:row>71</xdr:row>
      <xdr:rowOff>139111</xdr:rowOff>
    </xdr:from>
    <xdr:ext cx="255670" cy="249467"/>
    <xdr:pic>
      <xdr:nvPicPr>
        <xdr:cNvPr id="13" name="Imagen 12">
          <a:extLst>
            <a:ext uri="{FF2B5EF4-FFF2-40B4-BE49-F238E27FC236}">
              <a16:creationId xmlns:a16="http://schemas.microsoft.com/office/drawing/2014/main" id="{7896AEEE-C68E-40C4-90C7-D6AA41F4E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3943" y="9148174"/>
          <a:ext cx="255670" cy="249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2054978</xdr:colOff>
      <xdr:row>71</xdr:row>
      <xdr:rowOff>100009</xdr:rowOff>
    </xdr:from>
    <xdr:ext cx="281237" cy="270790"/>
    <xdr:pic>
      <xdr:nvPicPr>
        <xdr:cNvPr id="14" name="Imagen 13">
          <a:extLst>
            <a:ext uri="{FF2B5EF4-FFF2-40B4-BE49-F238E27FC236}">
              <a16:creationId xmlns:a16="http://schemas.microsoft.com/office/drawing/2014/main" id="{2B1B2197-0D95-41D5-BA13-D9EB2BAAC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22322" y="9109072"/>
          <a:ext cx="281237" cy="2707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1495389</xdr:colOff>
      <xdr:row>71</xdr:row>
      <xdr:rowOff>118108</xdr:rowOff>
    </xdr:from>
    <xdr:ext cx="255670" cy="246173"/>
    <xdr:pic>
      <xdr:nvPicPr>
        <xdr:cNvPr id="15" name="Imagen 14">
          <a:extLst>
            <a:ext uri="{FF2B5EF4-FFF2-40B4-BE49-F238E27FC236}">
              <a16:creationId xmlns:a16="http://schemas.microsoft.com/office/drawing/2014/main" id="{4B879A7D-822C-45E7-94FB-11CED3106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561" y="9127171"/>
          <a:ext cx="255670" cy="2461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688841</xdr:colOff>
      <xdr:row>71</xdr:row>
      <xdr:rowOff>138548</xdr:rowOff>
    </xdr:from>
    <xdr:ext cx="255670" cy="251494"/>
    <xdr:pic>
      <xdr:nvPicPr>
        <xdr:cNvPr id="16" name="Imagen 15">
          <a:extLst>
            <a:ext uri="{FF2B5EF4-FFF2-40B4-BE49-F238E27FC236}">
              <a16:creationId xmlns:a16="http://schemas.microsoft.com/office/drawing/2014/main" id="{33895FD3-A757-40AB-9F3E-6AD1F4E93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035" y="14794758"/>
          <a:ext cx="255670" cy="2514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289807</xdr:colOff>
      <xdr:row>69</xdr:row>
      <xdr:rowOff>30727</xdr:rowOff>
    </xdr:from>
    <xdr:to>
      <xdr:col>5</xdr:col>
      <xdr:colOff>4066048</xdr:colOff>
      <xdr:row>71</xdr:row>
      <xdr:rowOff>2</xdr:rowOff>
    </xdr:to>
    <xdr:sp macro="" textlink="">
      <xdr:nvSpPr>
        <xdr:cNvPr id="3" name="Abrir llave 2">
          <a:extLst>
            <a:ext uri="{FF2B5EF4-FFF2-40B4-BE49-F238E27FC236}">
              <a16:creationId xmlns:a16="http://schemas.microsoft.com/office/drawing/2014/main" id="{DD5B61D3-E694-43E7-9E3F-D0A875AF1243}"/>
            </a:ext>
          </a:extLst>
        </xdr:cNvPr>
        <xdr:cNvSpPr/>
      </xdr:nvSpPr>
      <xdr:spPr>
        <a:xfrm rot="5400000">
          <a:off x="7877564" y="3637405"/>
          <a:ext cx="378953" cy="15554467"/>
        </a:xfrm>
        <a:prstGeom prst="leftBrac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oneCellAnchor>
    <xdr:from>
      <xdr:col>1</xdr:col>
      <xdr:colOff>486772</xdr:colOff>
      <xdr:row>76</xdr:row>
      <xdr:rowOff>122718</xdr:rowOff>
    </xdr:from>
    <xdr:ext cx="374327" cy="368212"/>
    <xdr:pic>
      <xdr:nvPicPr>
        <xdr:cNvPr id="17" name="Imagen 16">
          <a:extLst>
            <a:ext uri="{FF2B5EF4-FFF2-40B4-BE49-F238E27FC236}">
              <a16:creationId xmlns:a16="http://schemas.microsoft.com/office/drawing/2014/main" id="{E77A464A-DCD3-4DC0-B132-FA67F2A54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472" y="16277118"/>
          <a:ext cx="374327" cy="368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51538</xdr:colOff>
      <xdr:row>57</xdr:row>
      <xdr:rowOff>0</xdr:rowOff>
    </xdr:from>
    <xdr:ext cx="281237" cy="276643"/>
    <xdr:pic>
      <xdr:nvPicPr>
        <xdr:cNvPr id="18" name="Imagen 17">
          <a:extLst>
            <a:ext uri="{FF2B5EF4-FFF2-40B4-BE49-F238E27FC236}">
              <a16:creationId xmlns:a16="http://schemas.microsoft.com/office/drawing/2014/main" id="{C4C9822A-C4B2-4694-87D2-2ABFFD74F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238" y="11226516"/>
          <a:ext cx="281237" cy="276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394664</xdr:colOff>
      <xdr:row>57</xdr:row>
      <xdr:rowOff>163871</xdr:rowOff>
    </xdr:from>
    <xdr:to>
      <xdr:col>5</xdr:col>
      <xdr:colOff>4129799</xdr:colOff>
      <xdr:row>57</xdr:row>
      <xdr:rowOff>163871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6DA0C6BB-638A-4973-9A0B-A9C4109C74AC}"/>
            </a:ext>
          </a:extLst>
        </xdr:cNvPr>
        <xdr:cNvCxnSpPr/>
      </xdr:nvCxnSpPr>
      <xdr:spPr>
        <a:xfrm>
          <a:off x="782720" y="11276371"/>
          <a:ext cx="15118098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1258763</xdr:colOff>
      <xdr:row>78</xdr:row>
      <xdr:rowOff>58795</xdr:rowOff>
    </xdr:from>
    <xdr:to>
      <xdr:col>5</xdr:col>
      <xdr:colOff>4107408</xdr:colOff>
      <xdr:row>78</xdr:row>
      <xdr:rowOff>58795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3123B735-3B98-43C0-BE55-10A882B221C9}"/>
            </a:ext>
          </a:extLst>
        </xdr:cNvPr>
        <xdr:cNvCxnSpPr/>
      </xdr:nvCxnSpPr>
      <xdr:spPr>
        <a:xfrm>
          <a:off x="1652463" y="16543395"/>
          <a:ext cx="14253245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130%20An&#225;lisis%20de%20Caja%20y%20Bancos%202005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30%20An&#225;lisis%20de%20Gatos%20Anticipad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30%20An&#225;lisis%20de%20Gastos%20Anticipado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DTT%20CLIENTES\Omnibus%20BB\Auditor&#237;a%202001\Proyectos%20finales%20OBB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nabad\Escritorio\FINANZAS\RESPALDOS%20CJARA\TCS\Financiero\REPORTES\Proyeccion%20Q2\Ejecuci&#243;n%20y%20Proyecci&#243;n%202nd%20Quarter%2008%20(2)PRUEB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nabad\Escritorio\FINANZAS\Tata%20Balance%20Sheet%20V3%20COMPARATIVO%20JULA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430-1%20Selecci&#243;n%20de%20Gastos%20Bancarios%20y%20Divisa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MENA\My%20Documents\CLIENTES\BJ%20SERVICES\My%20Documents\CLIENTES\BJ%20Services\MOV%20ACTIVOS%20FIJOS%20%2009%2001%20LOCA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VISCAYA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30%20An&#225;lisis%20de%20Activo%20Fijo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430%20An&#225;lisis%20de%20Retenciones%20en%20la%20Fuente%20y%20del%20Impuesto%20al%20Valor%20Agregado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jebeltran\Desktop\inversiones%20bien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130%20An&#225;lisis%20de%20Caja%20y%20Equivalentes%20de%20Caja%202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30%20An&#225;lisis%20de%20activos%20fijos%202000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8230%20An&#225;lisis%20de%20gasto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lientes\Clientes%202014\Champion\Planeaci&#243;n\CHAMPION\CONCILIACIONES%202014\ECUADOR%20CONCILIACIONES%20DE%20CUENTAS%20AGO%20%20%202014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Revisi&#243;n%20Anal&#237;tica%20Sustantiva%20-%20Poblaciones%20Disgregadas%20(07-03)%20%20S%20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Clientes\Baker\AUDITORI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GUPEREZ\My%20Documents\Deloitte\Clientes\2007\Erco\Requerimientos\02%20Requerimiento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lientes\Clientes%202013\1.%20Champion\2.%20Ejecuci&#243;n\Ejecuci&#243;n%20Preliminar\3500%20Provisiones\Documents%20and%20Settings\Administrador\Desktop\mayor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vasquez\A&#241;o%202.004\Documents%20and%20Settings\sgalarraga\Configuraci&#243;n%20local\Archivos%20temporales%20de%20Internet\OLK4\An&#225;lisis%20de%20Abril%20200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MMunoz\Local%20Settings\Temporary%20Internet%20Files\OLK8\IVA%20COMPRAS%20MAYO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1611%20Ejecutar%20Procedimientos%20Anal&#237;ticos%20Preliminare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1611%20Perform%20Preliminary%20Analytical%20Review%20Workbook%20(adjusted%20for%20new%20pack)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1801%20Realizar%20Libro%20de%20Trabajo%20de%20Revisi&#243;n%20Anal&#237;tica%20Preliminar%20May-10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10%20Hoja%20Resumen%20de%20Gastos%20pagados%20por%20anticipado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PLANTILLA%20CMA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830%20An&#225;lisis%20de%20Activos%20Fijos%202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de%20Administraci&#243;n%20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jebeltran\Desktop\inversione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730%20An&#225;lisis%20de%20Plantacione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8410-10%20Parque%20Nacional%20Machalill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30%20An&#225;lisis%20de%20Gastos%20Pagados%20por%20Anticipado%20y%20Otras%20Cuentas%20por%20Cobrar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csjara\Configuraci&#243;n%20local\Archivos%20temporales%20de%20Internet\Content.Outlook\LJTMY58F\Gastos\Estado%20Resultados%20Acumulativo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resultados%20gastos%20textile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FERMALDONADO\Desktop\Empresa%20El&#233;ctrica\Informaci&#243;n%20definitiva%20EEQSA\DELOITTE%202\REQUERIMIENTOS%202009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10%20Hoja%20Resumen%20de%20%20Gastos%20administrativo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000%20An&#225;lisis%20de%20Gastos%20de%20Administraci&#243;n%20y%20Venta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130%20An&#225;lisis%20de%20cuentas%20por%20pagar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B208634D826240ED8FF96B68185292DE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Papel%20de%20trabajo%20Excel%20en%20blanco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330-2%20An&#225;lisis%20de%20cuentas%20por%20cobrar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Formato%20de%20requerimientos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oyota\Worksheet%20in%208230%20APT%20de%20Gasto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de%20Administraci&#243;n%20y%20Venta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30%20An&#225;lisis%20de%20Activo%20Fijo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%20%20Plantilla%20de%20Procedimientos%20Anal&#237;ticos%20Sustantivo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MENA\My%20Documents\CLIENTES\BJ%20SERVICES\cobrospo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is%20documentos\1998\REAL98\abr98\INCOME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N001%20-%2010%20ANOS%20-%20LAAM\2006\Aliadas\718%20-%20Colombia\maria.faria\07_06\Invoices%20paid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dicione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suywt060\my%20documents\DOCUME~1\804120\LOCALS~1\Temp\Temporary%20Directory%201%20for%20FORECAST-TCSBRZ-20080414.zip\FORECAST-TCSBRZ-20080414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JOAQUI~1.PEL\LOCALS~1\Temp\notesE8430C\S4201-OBB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OAA%205630%20An&#225;lisis%20de%20Activo%20Fijo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230%20An&#225;lisis%20del%20Costo%20de%20Venta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4XX%20An&#225;lisis%20de%20Inventario%202006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jebeltran\Desktop\cobros%20posteriores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ILM\Foreign%20Accounts%20Payable\Fin001%20-%203%20anos\2006\Fechamento\04%20-%20Abr%2006\Reconcilia&#231;&#227;o\Aliadas%2012-2005\R1-NOVO%20FORMATO%20DE%20AN&#193;LISE%202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VID\OILTRADER\BAL%20SEPTIEMBRE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LUCIMA~1.SAN\CONFIG~1\Temp\notes175B27\SAP%2031-08-05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30%20An&#225;lisis%20de%20Intangibles%20y%20Otros%20Activo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8430%20An&#225;lisis%20Gastos%20de%20Operaci&#243;n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%20%20An&#225;lisis%20de%20Gastos%20de%20Operacionale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xxxxxx%20An&#225;lisis%20de%20Costo%20de%20Venta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Operacionales%20%20%20Imprenta%20Mariscal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Gastos%20de%20Operaci&#243;n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de%20Operaci&#243;n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6330%20An&#225;lisis%20Pasivos%20a%20Largo%20Plazo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Administrativos%20y%20de%20Venta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30%20An&#225;lisis%20de%20Plantacione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30%20Detalle%20de%20anticipo%20de%20compra%20de%20terreno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%20%20Revisi&#243;n%20Anal&#237;tica%20Sustantiva%20-%20Pobl.%20Disgregada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30%20An&#225;lisis%20de%20Activos%20fijos%20pro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8330%20An&#225;lisis%20de%20Gasto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230%20An&#225;lisis%20de%20Costo%20de%20Ventas%20y%20Gastos%20de%20Operaci&#243;n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Operacionales-a&#241;o%20anterior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8330%20An&#225;lisis%20de%20Gastos%20de%20Operaci&#243;n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530%20An&#225;lisis%20de%20Gastos%20Anticipados%20y%20otras%20cuentas%20por%20cobrar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680-1%20Estados%20Financiero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%20An&#225;lisis%20de%20Gastos%20de%20Operaci&#243;n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jebeltran\Desktop\COLOMBINA\8130%20An&#225;lisis%20Ingresos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130%20An&#225;lisis%20de%20Efectivo%20y%20Equivalentes%20de%20Efectivo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130%20An&#225;lsis%20de%20Efectivo%20y%20Equivalentes%20de%20Efectivo%20Petrosud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130%20An&#225;lsis%20de%20Efectivo%20y%20Equivalentes%20de%20Efectivo%20Palanda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.%20KRESTON%20ECUADOR%20AS\2.%20Ejecuci&#243;n\2100%20-%20Efectivo%20y%20equivalente\2130%20Sumaria%20Efectivo%20y%20Equivalentes%20de%20Efectivo.xlsx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JEBELTRAN\Desktop\Worksheet%20in%205130%20An&#225;lsis%20de%20Efectivo%20y%20Equivalentes%20de%20Efectivo%20Petrosud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931%20Detalle%20y%20An&#225;lisis%20de%20Otros%20Activos%2002%2028%2099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30%20Revisi&#243;n%20de%20activos%20fijo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xxxxx8330%20An&#225;lisis%20de%20Gastos%20de%20Operaci&#243;n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281%20Estados%20Financieros%202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930%20Ejemplo%20Otros%20activo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30-C%20An&#225;lisis%20de%20Activo%20Fijo%20-%20Oleocastillo%20S.A.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410-3.1%20Revisi&#243;n%20visita%20Parque%20Nacional%20Yasun&#237;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operacionale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ansfer\8330%20An&#225;lisis%20de%20Gastos%20Operacionales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330%20An&#225;lisis%20de%20Cuentas%20por%20Cobrar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230%20An&#225;lisis%20de%20Gastos%20Acumulados%20Sep%2010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CRUZ\My%20Documents\Deloitte\P&amp;S\Gastos\Detalle%20de%20gastos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il. Bancar."/>
      <sheetName val="Detalle de Mov 1 al 4 dic"/>
      <sheetName val="Produbanco"/>
      <sheetName val="Bco. Internacional"/>
      <sheetName val="Banco Pichincha"/>
      <sheetName val="Produbanco Ahorros"/>
      <sheetName val="CMA Produbanco (2)"/>
      <sheetName val="CMA Pichincha (2)"/>
      <sheetName val="Pasivos No registrados"/>
      <sheetName val="XREF"/>
      <sheetName val="Tickmarks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. Varias."/>
      <sheetName val="Det.Rec"/>
      <sheetName val="Det. Rec. Prov. Locales {PPC}"/>
      <sheetName val="Det. Rec. Prov. Exterior {PPC}"/>
      <sheetName val="Det.Ant."/>
      <sheetName val="Det. 18-10"/>
      <sheetName val="Det. seguros"/>
      <sheetName val="Seguros Año Ant."/>
      <sheetName val="Calc. Seguros"/>
      <sheetName val="Límites"/>
      <sheetName val="Tickmarks"/>
      <sheetName val="XREF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.O CxC"/>
      <sheetName val="Detalle Anticipos"/>
      <sheetName val="V.G."/>
      <sheetName val="Insum.Ganad."/>
      <sheetName val="Analisis Anticipos"/>
      <sheetName val="CoberturaSeg"/>
      <sheetName val="Tildes"/>
      <sheetName val="XREF"/>
      <sheetName val="#REF"/>
      <sheetName val="Cobertura Seguros"/>
      <sheetName val="Tickmarks"/>
      <sheetName val="Detalle"/>
      <sheetName val="Seguros"/>
      <sheetName val="Ret.Fte."/>
      <sheetName val="imptos. anticipados"/>
      <sheetName val="Otros activos circul"/>
      <sheetName val="gtos pag x antici"/>
      <sheetName val="dctos x cobrar"/>
      <sheetName val="Nota"/>
      <sheetName val="Prést. emplea"/>
      <sheetName val="Otras CxC"/>
      <sheetName val="Gastos Anticipados"/>
      <sheetName val="Var. CxC prel"/>
      <sheetName val="Var. CxC fin"/>
      <sheetName val="Det Val a desc. Rol"/>
      <sheetName val="Det. Dep en Gar"/>
      <sheetName val="Gastos Diferidos"/>
      <sheetName val="Accionistas"/>
      <sheetName val="Garantias"/>
      <sheetName val="Empleados"/>
      <sheetName val="Transitoria"/>
      <sheetName val="Seguros sept"/>
      <sheetName val="Seguros nov"/>
      <sheetName val="Detalle Otr"/>
      <sheetName val="Det. Varias Ctas por Cob"/>
      <sheetName val="Det. Pólizas"/>
      <sheetName val="Det. Varias Ctas por Pag"/>
      <sheetName val="Dep en Gar CP"/>
      <sheetName val="Int x C Bancos y Fin"/>
      <sheetName val="A. Seguros"/>
      <sheetName val="Anticipos"/>
      <sheetName val="Gasto anticipados LP"/>
      <sheetName val="CG Amor. "/>
      <sheetName val="Anticipo Acreedores"/>
      <sheetName val="Detalle cuentas varias"/>
      <sheetName val="Viáticos"/>
      <sheetName val="Anticipos Prov."/>
      <sheetName val="Detalle otros deudores"/>
      <sheetName val="Anal Vh Taxi"/>
      <sheetName val="SEGUROS 3"/>
      <sheetName val="Imptos"/>
      <sheetName val="Cálculo Seguros"/>
      <sheetName val="Análisis de Seguros"/>
      <sheetName val="Sheet1"/>
      <sheetName val="Det. CxC"/>
      <sheetName val="Imptos y Contr"/>
      <sheetName val="Análisis Com"/>
      <sheetName val="Cob. Seguros Prelim"/>
      <sheetName val="Fondo Garantía"/>
      <sheetName val="CXC Empleados"/>
      <sheetName val="CXC Accionistas"/>
      <sheetName val="Ant transpo"/>
      <sheetName val="Otros Gtos antic"/>
      <sheetName val="Tick2002"/>
      <sheetName val="Imp. y Contrib."/>
      <sheetName val="Empleados y Accionist."/>
      <sheetName val="Otros Anticipados"/>
      <sheetName val="Cob. Seguros Final"/>
      <sheetName val="Nota a los EEFF"/>
      <sheetName val="Operación"/>
      <sheetName val="Seguros "/>
      <sheetName val="impuestos"/>
      <sheetName val="anticipos proveedores"/>
      <sheetName val="otras cuentas por cobrar"/>
      <sheetName val="Detalle Ant"/>
      <sheetName val="Detalle Ant.Impues"/>
      <sheetName val="Ant.Gast. Ant."/>
      <sheetName val="Análisis Gtos Antic."/>
      <sheetName val="Reclam proveed"/>
      <sheetName val="Otras ctas x cobrar"/>
      <sheetName val="AnticiposProveedores"/>
      <sheetName val="CxC Varias"/>
      <sheetName val="Prestamos Empleados"/>
      <sheetName val="seguros auditoria 31-dic-2004"/>
      <sheetName val="Seguros (2003)"/>
      <sheetName val="ANTICIPOSEMP"/>
      <sheetName val="CXC Varios"/>
      <sheetName val="Ant.Proveedores"/>
      <sheetName val="Trámites Legales"/>
      <sheetName val="Revision Comp.Ret"/>
      <sheetName val="MMA"/>
      <sheetName val="Seguros prepagados"/>
      <sheetName val="Cálculo del umbral"/>
      <sheetName val="Cobros posteriores"/>
      <sheetName val="Cob.Seguros"/>
      <sheetName val="Seguros vane"/>
      <sheetName val="Cobertura de Seguros"/>
      <sheetName val="Anticipo Emp."/>
      <sheetName val="Préstamo Emp."/>
      <sheetName val="Mrdo. Emp."/>
      <sheetName val="Otras cxc emp."/>
      <sheetName val="Anticipo provee"/>
      <sheetName val="Gts. pag. ant"/>
      <sheetName val="Cxc relacion"/>
      <sheetName val="Marcas"/>
      <sheetName val="Análisis MMA"/>
      <sheetName val="Detalle Gtos Anticipados"/>
      <sheetName val="ASSA"/>
      <sheetName val="Transferencias"/>
      <sheetName val="Análisis de Seguros "/>
      <sheetName val="Empleados y estudiantes"/>
      <sheetName val="Detalle de Seguros"/>
      <sheetName val="Cálculo de Seguros"/>
      <sheetName val="0303-001 Prep. exp. other"/>
      <sheetName val="0420-001 Deposit"/>
      <sheetName val="0490-001 Other Current Assets"/>
      <sheetName val="Prepaid expense Other"/>
      <sheetName val="Other school fees"/>
      <sheetName val="Reimbursable Expenses"/>
      <sheetName val="Employee Loans"/>
      <sheetName val="Retención  garantías"/>
      <sheetName val="Prepiad Expenses"/>
      <sheetName val="Anticipo  Proved.Ext"/>
      <sheetName val="Anticipo Prov. Locales"/>
      <sheetName val="Límite"/>
      <sheetName val="Anticipo  Provee.Locales"/>
      <sheetName val="Anticipo Prov.Ext."/>
      <sheetName val="Detalle Otras CtasxCobrar"/>
      <sheetName val="Seguros Final"/>
      <sheetName val="Detalle Arriedos"/>
      <sheetName val="Otros corrientes"/>
      <sheetName val="Otros por realizarse"/>
      <sheetName val="Petroproducción"/>
      <sheetName val="Detalle Otros"/>
      <sheetName val="Tarjetas de crédito"/>
      <sheetName val="laroux"/>
      <sheetName val="Detalle Varios deudores"/>
      <sheetName val="Cobros Posteriores Telefónicas"/>
      <sheetName val="Mov. Cta Municipal"/>
      <sheetName val="Análsis del IVA"/>
      <sheetName val="Detalle EEQ"/>
      <sheetName val="Anticipos Importaciones"/>
      <sheetName val="Anticipos Empleados "/>
      <sheetName val="Tabla del Limite"/>
      <sheetName val="Ant. Proveedores"/>
      <sheetName val="Ant. Construcc"/>
      <sheetName val="APT Anticipos"/>
      <sheetName val="1"/>
      <sheetName val="Hoja 1"/>
      <sheetName val="Nota EEFF"/>
      <sheetName val="Otras CxC Final"/>
      <sheetName val="Anticip.Empl. Final"/>
      <sheetName val="Refactur.Inter Final"/>
      <sheetName val="Anticip.Empl."/>
      <sheetName val="Refactur.Inter"/>
      <sheetName val="Arriendos"/>
      <sheetName val="Detalle Arriedos "/>
      <sheetName val="Otros corrientes "/>
      <sheetName val="Detalle Imp Retenidos"/>
      <sheetName val="Análisis Impuetos Ret."/>
      <sheetName val="Anticipos_Publicidad"/>
      <sheetName val="DETALLE 1140200000008"/>
      <sheetName val="Detalle de Gastos Anticipados"/>
      <sheetName val="Ant. Prov. Fin."/>
      <sheetName val="Var. Cuent. Liq.Fin."/>
      <sheetName val="Ant. Prov. Prel."/>
      <sheetName val="Ant. Chatarr.Prel."/>
      <sheetName val="Ant. Chat. Sucur.Prel."/>
      <sheetName val="Var. Cuent. Liq.Prel."/>
      <sheetName val="Ctas.x Cobrar FEDEPAL"/>
      <sheetName val="Antic.Nacionales"/>
      <sheetName val="Antipos Proveed."/>
      <sheetName val="CMA_Selections"/>
      <sheetName val="Anti."/>
      <sheetName val="Gastos.Nacionales"/>
      <sheetName val="Ant.chatarra"/>
      <sheetName val="Ctas. por liquidar"/>
      <sheetName val="Anti Sucursal.Chata"/>
      <sheetName val="Antic.Nacionales (2)"/>
      <sheetName val="CxC Ing. Mihail"/>
      <sheetName val="Proveedores"/>
      <sheetName val=" CxC Varios."/>
      <sheetName val="Provisión"/>
      <sheetName val="Ant. Construcciones"/>
      <sheetName val="Ant. Directivos"/>
      <sheetName val="Doc por Cobrar LP"/>
      <sheetName val="MMA "/>
      <sheetName val="MMA sub"/>
      <sheetName val="Anticipos "/>
      <sheetName val="Sobregiros"/>
      <sheetName val="Honorarios"/>
      <sheetName val="Mantenimiento"/>
      <sheetName val="Reclamos"/>
      <sheetName val="Seguros (2)"/>
      <sheetName val="Seguros (3)"/>
      <sheetName val="ETICA-ARRIENDOS-FINAL"/>
      <sheetName val="Inventarios"/>
      <sheetName val="Anticipo empleados"/>
      <sheetName val="Anticipos al 31-mar-06"/>
      <sheetName val="Adiciones"/>
      <sheetName val="Selección Ant. Prov."/>
      <sheetName val="Análisis de anticipos"/>
      <sheetName val="Provisión de ingresos"/>
      <sheetName val="Varias por liquidar"/>
      <sheetName val="Provmetálica"/>
      <sheetName val="Anticipos a proveedores"/>
      <sheetName val="Nota EF"/>
      <sheetName val="Solicitud IVA "/>
      <sheetName val="Dept"/>
      <sheetName val="ReimbExp"/>
      <sheetName val="AntEmple"/>
      <sheetName val="PrepaidExpOth"/>
      <sheetName val="Préstamos Empleados CP"/>
      <sheetName val="Análisis de Seguros FINAL"/>
      <sheetName val="Análisis de Seguros PRELIM"/>
      <sheetName val="Cxc Diversos"/>
      <sheetName val="Anticipo Prov."/>
      <sheetName val="Prestamo Emplead."/>
      <sheetName val="Otros Cargos Diferidos"/>
      <sheetName val="Ant. util. Trab"/>
      <sheetName val="Pre. emple"/>
      <sheetName val="Anticipo Proveedores"/>
      <sheetName val="APT Anticipo Prov"/>
      <sheetName val="Selección Anticipos"/>
      <sheetName val="Anticipo Sueldo"/>
      <sheetName val="Garantías"/>
      <sheetName val="MatrizIntercomp"/>
      <sheetName val="Gen Receivables"/>
      <sheetName val="AR Petroecuador-Final"/>
      <sheetName val="AR Petroecuador"/>
      <sheetName val="Empl. Loans"/>
      <sheetName val="Otros Prepag."/>
      <sheetName val="Movimiento"/>
      <sheetName val="AnticpEntrgFinal"/>
      <sheetName val="DetalAntEntrg"/>
      <sheetName val="GastPagAnticpFin"/>
      <sheetName val="AnticipSueldFin"/>
      <sheetName val="Land"/>
      <sheetName val="Galápagos"/>
      <sheetName val="Anticipos Entregados"/>
      <sheetName val="Arriendo"/>
      <sheetName val="anticipos proveedores (2)"/>
      <sheetName val="MMA Tarjetas de Crédito"/>
      <sheetName val="MMA Anticipos"/>
      <sheetName val="Antic. Sueldo"/>
      <sheetName val="Sobreg. Nómina"/>
      <sheetName val="Notas de Débito"/>
      <sheetName val="Anticip entreg"/>
      <sheetName val="Comisiones Pagadas por A Dic-08"/>
      <sheetName val="Comisiones Pagadas por A Sep-08"/>
      <sheetName val="Comisiones Diferidas y Vistotal"/>
      <sheetName val="Gastos Comp. Licencias"/>
      <sheetName val="Otros"/>
      <sheetName val="Intermediarios de Seguros"/>
      <sheetName val="BMI GEN RE"/>
      <sheetName val="Varios"/>
      <sheetName val="Listado"/>
      <sheetName val="Movmejoras.amort."/>
      <sheetName val="Ant. Prove"/>
      <sheetName val="CxC  Varias"/>
      <sheetName val="Ag. en el exterior"/>
      <sheetName val="Aut.Portuarias"/>
      <sheetName val="Transporte Marítimo"/>
      <sheetName val="Análisis APT"/>
      <sheetName val="Detalle "/>
      <sheetName val="Detalle CxC varias"/>
      <sheetName val="Prést. y Ant. Empleados"/>
      <sheetName val="Gastos Compartidos"/>
      <sheetName val="Seguros Vigentes Final"/>
      <sheetName val="Mov. Impto Rta"/>
      <sheetName val="Ret. Fte. Pagadas"/>
      <sheetName val="Cuenta por Cobrar Varias"/>
      <sheetName val="Detalle varios"/>
      <sheetName val="Otras Lar. plazo"/>
      <sheetName val="Refact. Interc."/>
      <sheetName val="Anal. Segu"/>
      <sheetName val="Ant. Chat. Sucur.Fin"/>
      <sheetName val="Ant. Prov."/>
      <sheetName val="Ant. Chatarr."/>
      <sheetName val="Ant. Chat. Sucur."/>
      <sheetName val="Var. Cuent. Liq."/>
      <sheetName val="Retenciones"/>
      <sheetName val="Cobros posteriores IVA"/>
      <sheetName val="Pagos anticipados"/>
      <sheetName val="Anticipos Empleados 00"/>
      <sheetName val="Mov. Activos Fijos&amp;Intangibles"/>
      <sheetName val="Mejoras"/>
      <sheetName val="Hoja1"/>
      <sheetName val=" Límite Gasto Seguros"/>
      <sheetName val="Analisis Apt"/>
      <sheetName val="Movimiento I.R"/>
      <sheetName val="Empleados final"/>
      <sheetName val="Préstamos final"/>
      <sheetName val="Ant. Utilidades"/>
      <sheetName val="Prést. empl prelim"/>
      <sheetName val="Otras Garantías"/>
      <sheetName val="Varias CxC"/>
      <sheetName val="Fondo Viaje"/>
      <sheetName val="Abonos Clientes"/>
      <sheetName val="Análisis Clientes"/>
      <sheetName val="Depósitos en garantía"/>
      <sheetName val="Anticipo Clientes"/>
      <sheetName val="D. Otras Ctas. por Cobrar"/>
      <sheetName val="Reten"/>
      <sheetName val="Deli soda Husky"/>
      <sheetName val="Tablas de Amortización"/>
      <sheetName val="Segunda opinion"/>
      <sheetName val="Préstamos"/>
      <sheetName val="Anticipos contratistas"/>
      <sheetName val="Análisis Ant. Contratistas"/>
      <sheetName val="Otras CxC Contratistas"/>
      <sheetName val="Anticipos Contratistas Final"/>
      <sheetName val="Otras CxC Cont. Final"/>
      <sheetName val="Análisis Contratistas Final"/>
      <sheetName val="Retencion"/>
      <sheetName val="APT"/>
      <sheetName val="Sheet2"/>
      <sheetName val="Sheet3"/>
      <sheetName val="CMA Calculations- R Factor"/>
      <sheetName val="Garantía Punto Fa"/>
      <sheetName val="Otras Ctas. x Cobrar"/>
      <sheetName val="Anticipos Punto FA"/>
      <sheetName val="Confirmaciones relacionadas"/>
      <sheetName val="Notas EEFF"/>
      <sheetName val="Relacionadas"/>
      <sheetName val="Préstamos Accionistas"/>
      <sheetName val="Préstamos Empleados"/>
      <sheetName val="Detalle de Anticipos Varios"/>
      <sheetName val="APT Anticipos Varios"/>
      <sheetName val="Detalle de Servicios"/>
      <sheetName val="Análisis Amortización Anticipos"/>
      <sheetName val="Mov. Retenciones en la Fte."/>
      <sheetName val="Mov. Imp. Ren"/>
      <sheetName val="Mov. Imp. Renta"/>
      <sheetName val="G.AnticipCMA"/>
      <sheetName val="Límites"/>
      <sheetName val="Anticip Sueldos"/>
      <sheetName val="Anticip. entreg"/>
      <sheetName val="Land Tour"/>
      <sheetName val="Galápagos Operación"/>
      <sheetName val="ArriendFin"/>
      <sheetName val="Segros"/>
      <sheetName val="Sueldos"/>
      <sheetName val="Anticipo Sueldos"/>
      <sheetName val="Sobregiro de Nómina"/>
      <sheetName val="BSP"/>
      <sheetName val="Salmor"/>
      <sheetName val="ND Error Boletos"/>
      <sheetName val="CXC Boletos No FAct"/>
      <sheetName val="Anticipos empleados"/>
      <sheetName val="Deudores Varios"/>
      <sheetName val="CMA Calculations- Figure 5440.1"/>
      <sheetName val="Detalle Provmetalica"/>
      <sheetName val="Detalle Sucursales Chatarra"/>
      <sheetName val="Detalle de Garantías Grales."/>
      <sheetName val="Anticip"/>
      <sheetName val="Detalle (2)"/>
      <sheetName val="Varias cuentas por liquidar"/>
      <sheetName val="Otras Ctas por pagar"/>
      <sheetName val="deuda Mega Ltd"/>
      <sheetName val="Resumen Comisiones"/>
      <sheetName val="IC Advance"/>
      <sheetName val="Coverturas Seguros"/>
      <sheetName val="Detalle de póliza"/>
      <sheetName val="Análisis C. Tributario"/>
      <sheetName val="NC Aduana"/>
      <sheetName val="Ctas x Liquidar"/>
      <sheetName val="Detalle anticipo provedores"/>
      <sheetName val="CMA Calculations- Figure 54 (2)"/>
      <sheetName val="Anticipo Emplead."/>
      <sheetName val="Detalle avances"/>
      <sheetName val="Proveedores Final"/>
      <sheetName val="Notas"/>
      <sheetName val="Gastos APT"/>
      <sheetName val="Detalle Prov."/>
      <sheetName val="GRUFUSA"/>
      <sheetName val="Voucheo"/>
      <sheetName val="analisis prestamos"/>
      <sheetName val="CxC varios UIO"/>
      <sheetName val="Selección para MMA"/>
      <sheetName val="Cías Relacionadas"/>
      <sheetName val="Amortizaciones"/>
      <sheetName val="Cuentas Varias  Quito"/>
      <sheetName val="Análisis capital e intereses"/>
      <sheetName val="Movimiento Colocación Títulos"/>
      <sheetName val="Cálculo de amort. pérdida"/>
      <sheetName val="Funcionarios empleados"/>
      <sheetName val="Anticipo Proveedores(F) "/>
      <sheetName val="Anticipo Proveedores(P)"/>
      <sheetName val="Funcionarios empleados(P)"/>
      <sheetName val="Pólizas 2011 Consorcio (final)"/>
      <sheetName val="Pólizas 2011 Consorcio GLP"/>
      <sheetName val="Anticipos Prov. Final"/>
      <sheetName val="Analisis - APT"/>
      <sheetName val="Anticipos Prov. Prel."/>
      <sheetName val="Anticipos Contratistas Prel."/>
      <sheetName val="Análisis Anticipos Proveedores"/>
      <sheetName val="Análisis Anticipos Contratistas"/>
      <sheetName val="Análisis Gtos. Anticipados Sel."/>
      <sheetName val="Detalle de Préstamos a Empleado"/>
      <sheetName val="Selec"/>
      <sheetName val="Pres. Emp"/>
      <sheetName val="Cheq. Garant."/>
      <sheetName val="Anticipo renta"/>
      <sheetName val="Prest. Empleados Final"/>
      <sheetName val="Prest. Empleados Prel."/>
      <sheetName val="Revisión Prestamos Empleados"/>
      <sheetName val="Tickmarks (2)"/>
      <sheetName val="Anticipo"/>
      <sheetName val="Instalación Prof."/>
      <sheetName val="Membresías"/>
      <sheetName val="Inversión LP"/>
      <sheetName val="Límite buses"/>
      <sheetName val="Seguro"/>
      <sheetName val="Ant proveed"/>
      <sheetName val="Anti proveed"/>
      <sheetName val="Anticipo Construcciones"/>
      <sheetName val="Anticipos Compras especiales"/>
      <sheetName val="Subdetalles"/>
      <sheetName val="Transp. Marítimo"/>
      <sheetName val="Subdetalle"/>
      <sheetName val="Panamax"/>
      <sheetName val="CMA Calculations"/>
      <sheetName val="CMA Selections"/>
      <sheetName val="Movimiento Retenciones"/>
      <sheetName val="anticipo Prov. exterior"/>
      <sheetName val="ver"/>
      <sheetName val="Varios clientes"/>
      <sheetName val="Resumen"/>
      <sheetName val="Mov. Intereses Antic."/>
      <sheetName val="Anticipo a Contratistas"/>
      <sheetName val="Anticipo Prov. Nac. Final"/>
      <sheetName val="Lista"/>
      <sheetName val="Notas a los EEFF"/>
      <sheetName val="Avances proveedores"/>
      <sheetName val="Análisis Otros Diferidos (Prel)"/>
      <sheetName val="Análisis Otros Diferidos (fin)"/>
      <sheetName val="Análisis Otros Diferidos"/>
      <sheetName val="Anticipo Prov. Nac. Prel."/>
      <sheetName val="Seg. prel"/>
      <sheetName val="Seg. final"/>
      <sheetName val="Cuentas seleccionadas"/>
      <sheetName val="P.1. Detalle"/>
      <sheetName val="P.2.Anticipos Varios"/>
      <sheetName val="Anticipo Vs. Proveedores"/>
      <sheetName val="Anticipo Prov. Nacionales"/>
      <sheetName val="Análisis Anticipos Selecc. MMA"/>
      <sheetName val="Detalle anticipo proveedores "/>
      <sheetName val="Rev. Anticipo Proveedores"/>
      <sheetName val="Detalle anticipo sueldos "/>
      <sheetName val="Rev. Anticipo Sueldos"/>
      <sheetName val="Detalle Garantias "/>
      <sheetName val="Antic. Dic"/>
      <sheetName val="Anticipos Comisionistas Dec"/>
      <sheetName val="Anticipos Comisionistas Oct."/>
      <sheetName val="Anticipos Comisionistas"/>
      <sheetName val="CxC Egipto Sep"/>
      <sheetName val="CxC Egipto Jun"/>
      <sheetName val="Ant. Proveedores Sep"/>
      <sheetName val="Ant. IR"/>
      <sheetName val="Arriendos Antic"/>
      <sheetName val="Ant Utilidades"/>
      <sheetName val="Deudores  Varios"/>
      <sheetName val="Anexo"/>
      <sheetName val="Impuesto a la renta"/>
      <sheetName val="Procedimiento"/>
      <sheetName val="Observaciones"/>
      <sheetName val="Análisis de antiguedad"/>
      <sheetName val="CT Imp Retenidos"/>
      <sheetName val="Limites"/>
      <sheetName val="Detalle Otros Imp."/>
      <sheetName val="Detalle de IR"/>
      <sheetName val="General"/>
      <sheetName val="Anticipo Final"/>
      <sheetName val="Anticipo Prel."/>
      <sheetName val="Anticipos Comisionistas CP"/>
      <sheetName val="Préstamos al Personal"/>
      <sheetName val="Anticipo Acreedores Varios"/>
      <sheetName val="Dividendos"/>
      <sheetName val="Sublevante"/>
      <sheetName val="Diferencias"/>
      <sheetName val="Otras Ctas por cobrar"/>
      <sheetName val="Comisiones Final"/>
      <sheetName val="Comi. Prel"/>
      <sheetName val="Notas EF"/>
      <sheetName val="Prést. y Ant. Personal"/>
      <sheetName val="Avances a Proveedores"/>
      <sheetName val="Diferidos"/>
      <sheetName val="Calculo global IR"/>
      <sheetName val="Procedimientos"/>
      <sheetName val="Comentarios"/>
      <sheetName val="Detalle Boletos no factur. Dic."/>
      <sheetName val="Coteja Boletos no fact. 2012"/>
      <sheetName val="Mov. Provi. Boletos no factura."/>
      <sheetName val="Anticipo Proveedores Final"/>
      <sheetName val="Anticipo Proveedores Prel."/>
      <sheetName val="Gastos Antic. APT"/>
      <sheetName val="Gastos Antic. Proveed. Final"/>
      <sheetName val="Gastos Antic. Proveed. Prel."/>
      <sheetName val="ND Errores Boletos Fin."/>
      <sheetName val="ND Errores Boletos Prel."/>
      <sheetName val="Transitoria Cobranzas"/>
      <sheetName val="Anticipo Sueldos Final."/>
      <sheetName val="Anticipo Sueldos Prel."/>
      <sheetName val="Empleados a Noviembre 11"/>
      <sheetName val="Empleados a Diciembre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 refreshError="1"/>
      <sheetData sheetId="236"/>
      <sheetData sheetId="237" refreshError="1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 refreshError="1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/>
      <sheetData sheetId="341" refreshError="1"/>
      <sheetData sheetId="342" refreshError="1"/>
      <sheetData sheetId="343"/>
      <sheetData sheetId="344"/>
      <sheetData sheetId="345"/>
      <sheetData sheetId="346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/>
      <sheetData sheetId="379" refreshError="1"/>
      <sheetData sheetId="380"/>
      <sheetData sheetId="381"/>
      <sheetData sheetId="382"/>
      <sheetData sheetId="383"/>
      <sheetData sheetId="384"/>
      <sheetData sheetId="385" refreshError="1"/>
      <sheetData sheetId="386" refreshError="1"/>
      <sheetData sheetId="387"/>
      <sheetData sheetId="388"/>
      <sheetData sheetId="389"/>
      <sheetData sheetId="390" refreshError="1"/>
      <sheetData sheetId="391" refreshError="1"/>
      <sheetData sheetId="392"/>
      <sheetData sheetId="393"/>
      <sheetData sheetId="394"/>
      <sheetData sheetId="395"/>
      <sheetData sheetId="396" refreshError="1"/>
      <sheetData sheetId="397" refreshError="1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/>
      <sheetData sheetId="413"/>
      <sheetData sheetId="414" refreshError="1"/>
      <sheetData sheetId="415"/>
      <sheetData sheetId="416"/>
      <sheetData sheetId="417"/>
      <sheetData sheetId="418" refreshError="1"/>
      <sheetData sheetId="419" refreshError="1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/>
      <sheetData sheetId="431"/>
      <sheetData sheetId="432" refreshError="1"/>
      <sheetData sheetId="433"/>
      <sheetData sheetId="434"/>
      <sheetData sheetId="435" refreshError="1"/>
      <sheetData sheetId="436" refreshError="1"/>
      <sheetData sheetId="437"/>
      <sheetData sheetId="438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B 31-dic-00"/>
      <sheetName val="OBB"/>
      <sheetName val="RESUMEN OBB"/>
      <sheetName val="CONCILIACION"/>
      <sheetName val="#REF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TD"/>
      <sheetName val="Resumen Inflación"/>
      <sheetName val="INGRESOS"/>
      <sheetName val="FORECAST"/>
      <sheetName val="COS &amp; Expenses"/>
      <sheetName val="ER"/>
      <sheetName val="RESUMEN"/>
      <sheetName val="Hoja1 (2)"/>
      <sheetName val="DETALLE INGRESOS"/>
      <sheetName val="DETALLE GASTOS"/>
      <sheetName val="CC"/>
      <sheetName val="MyR Tec - Inlfación"/>
      <sheetName val="Ingresos Otros"/>
      <sheetName val="Detalle Otros Ingresos"/>
      <sheetName val="Hoja1"/>
      <sheetName val="Seguros"/>
      <sheetName val="DATOS182707"/>
    </sheetNames>
    <sheetDataSet>
      <sheetData sheetId="0"/>
      <sheetData sheetId="1"/>
      <sheetData sheetId="2"/>
      <sheetData sheetId="3"/>
      <sheetData sheetId="4"/>
      <sheetData sheetId="5">
        <row r="9">
          <cell r="P9" t="e">
            <v>#NAME?</v>
          </cell>
        </row>
        <row r="105">
          <cell r="P105" t="e">
            <v>#NAME?</v>
          </cell>
        </row>
        <row r="146">
          <cell r="P146" t="e">
            <v>#NAME?</v>
          </cell>
        </row>
        <row r="147">
          <cell r="P147" t="e">
            <v>#NAME?</v>
          </cell>
        </row>
        <row r="148">
          <cell r="P148" t="e">
            <v>#NAME?</v>
          </cell>
        </row>
        <row r="154">
          <cell r="N154">
            <v>2008</v>
          </cell>
        </row>
        <row r="155">
          <cell r="N155">
            <v>7</v>
          </cell>
        </row>
        <row r="156">
          <cell r="N156">
            <v>7</v>
          </cell>
        </row>
        <row r="166">
          <cell r="P166" t="e">
            <v>#NAME?</v>
          </cell>
        </row>
        <row r="167">
          <cell r="P167" t="e">
            <v>#NAME?</v>
          </cell>
        </row>
        <row r="176">
          <cell r="B176" t="str">
            <v>50020105</v>
          </cell>
          <cell r="O176" t="e">
            <v>#NAME?</v>
          </cell>
        </row>
        <row r="177">
          <cell r="B177" t="str">
            <v>50020125</v>
          </cell>
          <cell r="O177" t="e">
            <v>#NAME?</v>
          </cell>
        </row>
        <row r="178">
          <cell r="B178" t="str">
            <v>543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rativo"/>
      <sheetName val="BG"/>
      <sheetName val="ER"/>
      <sheetName val="Datos Iniciales"/>
    </sheetNames>
    <sheetDataSet>
      <sheetData sheetId="0"/>
      <sheetData sheetId="1"/>
      <sheetData sheetId="2">
        <row r="9">
          <cell r="H9">
            <v>-3248215.24</v>
          </cell>
        </row>
        <row r="15">
          <cell r="H15">
            <v>-5843.53</v>
          </cell>
        </row>
        <row r="20">
          <cell r="H20">
            <v>2876347.0199999996</v>
          </cell>
        </row>
        <row r="23">
          <cell r="H23">
            <v>1225568.6200000001</v>
          </cell>
        </row>
        <row r="149">
          <cell r="H149">
            <v>2310114.2900000005</v>
          </cell>
        </row>
        <row r="150">
          <cell r="H150">
            <v>176313.02999999974</v>
          </cell>
        </row>
        <row r="151">
          <cell r="H151">
            <v>25785.289999999994</v>
          </cell>
        </row>
        <row r="152">
          <cell r="H152">
            <v>14701.310000000001</v>
          </cell>
        </row>
        <row r="153">
          <cell r="H153">
            <v>29322.13</v>
          </cell>
        </row>
        <row r="154">
          <cell r="H154">
            <v>36246.950000000004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75057.58</v>
          </cell>
        </row>
        <row r="158">
          <cell r="H158">
            <v>21285.11</v>
          </cell>
        </row>
        <row r="159">
          <cell r="H159">
            <v>0</v>
          </cell>
        </row>
        <row r="160">
          <cell r="H160">
            <v>486.5</v>
          </cell>
        </row>
        <row r="161">
          <cell r="H161">
            <v>140.5</v>
          </cell>
        </row>
        <row r="164">
          <cell r="H164">
            <v>4629.8600000000006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 "/>
      <sheetName val="Determinación de la muestra"/>
      <sheetName val="CMA Calculations- Figure 5440.1"/>
      <sheetName val="CMA Selections"/>
      <sheetName val="XREF"/>
      <sheetName val="Tickmarks"/>
      <sheetName val="CMA_SampleDesign"/>
      <sheetName val="DialogInsert"/>
      <sheetName val="Selección del Metodo"/>
      <sheetName val="#REF"/>
    </sheetNames>
    <sheetDataSet>
      <sheetData sheetId="0" refreshError="1"/>
      <sheetData sheetId="1" refreshError="1"/>
      <sheetData sheetId="2">
        <row r="201">
          <cell r="D201">
            <v>58745</v>
          </cell>
          <cell r="I201">
            <v>-9994.3799999999974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ILIACION 09 01"/>
      <sheetName val="LISTADO 09 01"/>
      <sheetName val="DEPRECIADOS TOTALMENTE"/>
      <sheetName val="Import Transito"/>
      <sheetName val="DIARIO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A AMORTIZAC."/>
      <sheetName val="INDICES"/>
    </sheetNames>
    <sheetDataSet>
      <sheetData sheetId="0" refreshError="1"/>
      <sheetData sheetId="1">
        <row r="1">
          <cell r="A1" t="str">
            <v>FECHA</v>
          </cell>
          <cell r="C1" t="str">
            <v>INDICE</v>
          </cell>
          <cell r="D1">
            <v>35431</v>
          </cell>
          <cell r="E1">
            <v>35462</v>
          </cell>
          <cell r="F1">
            <v>35490</v>
          </cell>
          <cell r="G1">
            <v>35521</v>
          </cell>
          <cell r="H1">
            <v>35551</v>
          </cell>
          <cell r="I1">
            <v>35582</v>
          </cell>
          <cell r="J1">
            <v>35612</v>
          </cell>
          <cell r="K1">
            <v>35643</v>
          </cell>
          <cell r="L1">
            <v>35674</v>
          </cell>
          <cell r="M1">
            <v>35704</v>
          </cell>
          <cell r="N1">
            <v>35735</v>
          </cell>
          <cell r="O1">
            <v>35765</v>
          </cell>
          <cell r="P1">
            <v>35796</v>
          </cell>
          <cell r="Q1">
            <v>35827</v>
          </cell>
          <cell r="R1">
            <v>35855</v>
          </cell>
          <cell r="S1">
            <v>35886</v>
          </cell>
          <cell r="T1">
            <v>35916</v>
          </cell>
          <cell r="U1">
            <v>35947</v>
          </cell>
          <cell r="V1">
            <v>35977</v>
          </cell>
          <cell r="W1">
            <v>36008</v>
          </cell>
          <cell r="X1">
            <v>36039</v>
          </cell>
          <cell r="Y1">
            <v>36069</v>
          </cell>
          <cell r="Z1">
            <v>36100</v>
          </cell>
          <cell r="AA1">
            <v>36130</v>
          </cell>
          <cell r="AB1">
            <v>36161</v>
          </cell>
          <cell r="AC1">
            <v>36192</v>
          </cell>
          <cell r="AD1">
            <v>36220</v>
          </cell>
          <cell r="AE1">
            <v>36251</v>
          </cell>
          <cell r="AF1">
            <v>36281</v>
          </cell>
          <cell r="AG1">
            <v>36312</v>
          </cell>
          <cell r="AH1">
            <v>36342</v>
          </cell>
          <cell r="AI1">
            <v>36373</v>
          </cell>
          <cell r="AJ1">
            <v>36404</v>
          </cell>
          <cell r="AK1">
            <v>36434</v>
          </cell>
          <cell r="AL1">
            <v>36465</v>
          </cell>
          <cell r="AM1">
            <v>36495</v>
          </cell>
          <cell r="AN1">
            <v>36526</v>
          </cell>
          <cell r="AO1">
            <v>36557</v>
          </cell>
          <cell r="AP1">
            <v>36586</v>
          </cell>
          <cell r="AQ1">
            <v>36617</v>
          </cell>
        </row>
        <row r="2"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</row>
        <row r="3">
          <cell r="A3">
            <v>35431</v>
          </cell>
          <cell r="B3">
            <v>3</v>
          </cell>
          <cell r="C3">
            <v>0.04</v>
          </cell>
          <cell r="D3">
            <v>0.04</v>
          </cell>
        </row>
        <row r="4">
          <cell r="A4">
            <v>35462</v>
          </cell>
          <cell r="B4">
            <v>4</v>
          </cell>
          <cell r="C4">
            <v>0.06</v>
          </cell>
          <cell r="D4">
            <v>0.10240000000000005</v>
          </cell>
          <cell r="E4">
            <v>0.06</v>
          </cell>
        </row>
        <row r="5">
          <cell r="A5">
            <v>35490</v>
          </cell>
          <cell r="B5">
            <v>5</v>
          </cell>
          <cell r="C5">
            <v>3.4700000000000002E-2</v>
          </cell>
          <cell r="D5">
            <v>0.14065327999999999</v>
          </cell>
          <cell r="E5">
            <v>9.6781999999999924E-2</v>
          </cell>
          <cell r="F5">
            <v>3.4700000000000002E-2</v>
          </cell>
        </row>
        <row r="6">
          <cell r="A6">
            <v>35521</v>
          </cell>
          <cell r="B6">
            <v>6</v>
          </cell>
          <cell r="C6">
            <v>1.46E-2</v>
          </cell>
          <cell r="D6">
            <v>0.15730681788799994</v>
          </cell>
          <cell r="E6">
            <v>0.11279501719999985</v>
          </cell>
          <cell r="F6">
            <v>4.9806619999999802E-2</v>
          </cell>
          <cell r="G6">
            <v>1.46E-2</v>
          </cell>
        </row>
        <row r="7">
          <cell r="A7">
            <v>35551</v>
          </cell>
          <cell r="B7">
            <v>7</v>
          </cell>
          <cell r="C7">
            <v>2.0400000000000001E-2</v>
          </cell>
          <cell r="D7">
            <v>0.18091587697291511</v>
          </cell>
          <cell r="E7">
            <v>0.13549603555087986</v>
          </cell>
          <cell r="F7">
            <v>7.1222675047999839E-2</v>
          </cell>
          <cell r="G7">
            <v>3.5297839999999914E-2</v>
          </cell>
          <cell r="H7">
            <v>2.0400000000000001E-2</v>
          </cell>
        </row>
        <row r="8">
          <cell r="A8">
            <v>35582</v>
          </cell>
          <cell r="B8">
            <v>8</v>
          </cell>
          <cell r="C8">
            <v>1.5299999999999999E-2</v>
          </cell>
          <cell r="D8">
            <v>0.1989838898906009</v>
          </cell>
          <cell r="E8">
            <v>0.15286912489480842</v>
          </cell>
          <cell r="F8">
            <v>8.7612381976234444E-2</v>
          </cell>
          <cell r="G8">
            <v>5.1137896951999995E-2</v>
          </cell>
          <cell r="H8">
            <v>3.6012120000000092E-2</v>
          </cell>
          <cell r="I8">
            <v>1.5299999999999999E-2</v>
          </cell>
        </row>
        <row r="9">
          <cell r="A9">
            <v>35612</v>
          </cell>
          <cell r="B9">
            <v>9</v>
          </cell>
          <cell r="C9">
            <v>1.3899999999999999E-2</v>
          </cell>
          <cell r="D9">
            <v>0.21564976596008023</v>
          </cell>
          <cell r="E9">
            <v>0.16889400573084634</v>
          </cell>
          <cell r="F9">
            <v>0.10273019408570416</v>
          </cell>
          <cell r="G9">
            <v>6.5748713719632867E-2</v>
          </cell>
          <cell r="H9">
            <v>5.0412688468000066E-2</v>
          </cell>
          <cell r="I9">
            <v>2.9412670000000141E-2</v>
          </cell>
          <cell r="J9">
            <v>1.3899999999999999E-2</v>
          </cell>
        </row>
        <row r="10">
          <cell r="A10">
            <v>35643</v>
          </cell>
          <cell r="B10">
            <v>10</v>
          </cell>
          <cell r="C10">
            <v>2.06E-2</v>
          </cell>
          <cell r="D10">
            <v>0.24069215113885778</v>
          </cell>
          <cell r="E10">
            <v>0.19297322224890179</v>
          </cell>
          <cell r="F10">
            <v>0.12544643608386963</v>
          </cell>
          <cell r="G10">
            <v>8.7703137222257199E-2</v>
          </cell>
          <cell r="H10">
            <v>7.2051189850440789E-2</v>
          </cell>
          <cell r="I10">
            <v>5.0618571002000179E-2</v>
          </cell>
          <cell r="J10">
            <v>3.4786339999999916E-2</v>
          </cell>
          <cell r="K10">
            <v>2.06E-2</v>
          </cell>
        </row>
        <row r="11">
          <cell r="A11">
            <v>35674</v>
          </cell>
          <cell r="B11">
            <v>11</v>
          </cell>
          <cell r="C11">
            <v>1.2999999999999999E-2</v>
          </cell>
          <cell r="D11">
            <v>0.25682114910366272</v>
          </cell>
          <cell r="E11">
            <v>0.20848187413813735</v>
          </cell>
          <cell r="F11">
            <v>0.14007723975295971</v>
          </cell>
          <cell r="G11">
            <v>0.10184327800614645</v>
          </cell>
          <cell r="H11">
            <v>8.5987855318496509E-2</v>
          </cell>
          <cell r="I11">
            <v>6.4276612425026025E-2</v>
          </cell>
          <cell r="J11">
            <v>4.8238562419999909E-2</v>
          </cell>
          <cell r="K11">
            <v>3.3867799999999892E-2</v>
          </cell>
          <cell r="L11">
            <v>1.2999999999999999E-2</v>
          </cell>
        </row>
        <row r="12">
          <cell r="A12">
            <v>35704</v>
          </cell>
          <cell r="B12">
            <v>12</v>
          </cell>
          <cell r="C12">
            <v>2.3E-2</v>
          </cell>
          <cell r="D12">
            <v>0.28572803553304693</v>
          </cell>
          <cell r="E12">
            <v>0.23627695724331432</v>
          </cell>
          <cell r="F12">
            <v>0.16629901626727772</v>
          </cell>
          <cell r="G12">
            <v>0.12718567340028764</v>
          </cell>
          <cell r="H12">
            <v>0.11096557599082191</v>
          </cell>
          <cell r="I12">
            <v>8.875497451080161E-2</v>
          </cell>
          <cell r="J12">
            <v>7.234804935565986E-2</v>
          </cell>
          <cell r="K12">
            <v>5.7646759399999858E-2</v>
          </cell>
          <cell r="L12">
            <v>3.6298999999999859E-2</v>
          </cell>
          <cell r="M12">
            <v>2.3E-2</v>
          </cell>
        </row>
        <row r="13">
          <cell r="A13">
            <v>35735</v>
          </cell>
          <cell r="B13">
            <v>13</v>
          </cell>
          <cell r="C13">
            <v>1.7999999999999999E-2</v>
          </cell>
          <cell r="D13">
            <v>0.30887114017264183</v>
          </cell>
          <cell r="E13">
            <v>0.25852994247369399</v>
          </cell>
          <cell r="F13">
            <v>0.18729239856008872</v>
          </cell>
          <cell r="G13">
            <v>0.14747501552149278</v>
          </cell>
          <cell r="H13">
            <v>0.13096295635865673</v>
          </cell>
          <cell r="I13">
            <v>0.108352564051996</v>
          </cell>
          <cell r="J13">
            <v>9.165031424406167E-2</v>
          </cell>
          <cell r="K13">
            <v>7.6684401069199826E-2</v>
          </cell>
          <cell r="L13">
            <v>5.4952381999999966E-2</v>
          </cell>
          <cell r="M13">
            <v>4.141399999999984E-2</v>
          </cell>
          <cell r="N13">
            <v>1.7999999999999999E-2</v>
          </cell>
        </row>
        <row r="14">
          <cell r="A14">
            <v>35765</v>
          </cell>
          <cell r="B14">
            <v>14</v>
          </cell>
          <cell r="C14">
            <v>1.4E-2</v>
          </cell>
          <cell r="D14">
            <v>0.3271953361350588</v>
          </cell>
          <cell r="E14">
            <v>0.27614936166832571</v>
          </cell>
          <cell r="F14">
            <v>0.20391449213993007</v>
          </cell>
          <cell r="G14">
            <v>0.16353966573879375</v>
          </cell>
          <cell r="H14">
            <v>0.14679643774767803</v>
          </cell>
          <cell r="I14">
            <v>0.12386949994872398</v>
          </cell>
          <cell r="J14">
            <v>0.1069334186434785</v>
          </cell>
          <cell r="K14">
            <v>9.1757982684168571E-2</v>
          </cell>
          <cell r="L14">
            <v>6.9721715347999869E-2</v>
          </cell>
          <cell r="M14">
            <v>5.5993795999999874E-2</v>
          </cell>
          <cell r="N14">
            <v>3.2251999999999947E-2</v>
          </cell>
          <cell r="O14">
            <v>1.4E-2</v>
          </cell>
        </row>
        <row r="15">
          <cell r="A15">
            <v>35796</v>
          </cell>
          <cell r="B15">
            <v>15</v>
          </cell>
          <cell r="C15">
            <v>1.9E-2</v>
          </cell>
          <cell r="D15">
            <v>0.3524120475216248</v>
          </cell>
          <cell r="E15">
            <v>0.30039619954002372</v>
          </cell>
          <cell r="F15">
            <v>0.22678886749058869</v>
          </cell>
          <cell r="G15">
            <v>0.18564691938783073</v>
          </cell>
          <cell r="H15">
            <v>0.16858557006488373</v>
          </cell>
          <cell r="I15">
            <v>0.1452230204477496</v>
          </cell>
          <cell r="J15">
            <v>0.12796515359770444</v>
          </cell>
          <cell r="K15">
            <v>0.11250138435516766</v>
          </cell>
          <cell r="L15">
            <v>9.0046427939611817E-2</v>
          </cell>
          <cell r="M15">
            <v>7.6057678123999661E-2</v>
          </cell>
          <cell r="N15">
            <v>5.1864787999999828E-2</v>
          </cell>
          <cell r="O15">
            <v>3.3266000000000018E-2</v>
          </cell>
          <cell r="P15">
            <v>1.9E-2</v>
          </cell>
        </row>
        <row r="16">
          <cell r="A16">
            <v>35827</v>
          </cell>
          <cell r="B16">
            <v>16</v>
          </cell>
          <cell r="C16">
            <v>0.04</v>
          </cell>
          <cell r="D16">
            <v>0.40650852942248994</v>
          </cell>
          <cell r="E16">
            <v>0.3524120475216248</v>
          </cell>
          <cell r="F16">
            <v>0.27586042219021234</v>
          </cell>
          <cell r="G16">
            <v>0.23307279616334409</v>
          </cell>
          <cell r="H16">
            <v>0.21532899286747909</v>
          </cell>
          <cell r="I16">
            <v>0.19103194126565959</v>
          </cell>
          <cell r="J16">
            <v>0.17308375974161261</v>
          </cell>
          <cell r="K16">
            <v>0.15700143972937441</v>
          </cell>
          <cell r="L16">
            <v>0.13364828505719628</v>
          </cell>
          <cell r="M16">
            <v>0.11909998524895959</v>
          </cell>
          <cell r="N16">
            <v>9.3939379519999866E-2</v>
          </cell>
          <cell r="O16">
            <v>7.4596639999999992E-2</v>
          </cell>
          <cell r="P16">
            <v>5.9760000000000035E-2</v>
          </cell>
          <cell r="Q16">
            <v>0.04</v>
          </cell>
        </row>
        <row r="17">
          <cell r="A17">
            <v>35855</v>
          </cell>
          <cell r="B17">
            <v>17</v>
          </cell>
          <cell r="C17">
            <v>4.4999999999999998E-2</v>
          </cell>
          <cell r="D17">
            <v>0.46980141324650182</v>
          </cell>
          <cell r="E17">
            <v>0.41327058966009789</v>
          </cell>
          <cell r="F17">
            <v>0.33327414118877186</v>
          </cell>
          <cell r="G17">
            <v>0.28856107199069458</v>
          </cell>
          <cell r="H17">
            <v>0.27001879754651559</v>
          </cell>
          <cell r="I17">
            <v>0.24462837862261422</v>
          </cell>
          <cell r="J17">
            <v>0.22587252892998499</v>
          </cell>
          <cell r="K17">
            <v>0.20906650451719622</v>
          </cell>
          <cell r="L17">
            <v>0.18466245788476998</v>
          </cell>
          <cell r="M17">
            <v>0.16945948458516269</v>
          </cell>
          <cell r="N17">
            <v>0.14316665159839981</v>
          </cell>
          <cell r="O17">
            <v>0.1229534887999999</v>
          </cell>
          <cell r="P17">
            <v>0.10744920000000002</v>
          </cell>
          <cell r="Q17">
            <v>8.6799999999999988E-2</v>
          </cell>
          <cell r="R17">
            <v>4.4999999999999998E-2</v>
          </cell>
        </row>
        <row r="18">
          <cell r="A18">
            <v>35886</v>
          </cell>
          <cell r="B18">
            <v>18</v>
          </cell>
          <cell r="C18">
            <v>2.7E-2</v>
          </cell>
          <cell r="D18">
            <v>0.50948605140415726</v>
          </cell>
          <cell r="E18">
            <v>0.45142889558092048</v>
          </cell>
          <cell r="F18">
            <v>0.36927254300086854</v>
          </cell>
          <cell r="G18">
            <v>0.32335222093444327</v>
          </cell>
          <cell r="H18">
            <v>0.30430930508027143</v>
          </cell>
          <cell r="I18">
            <v>0.27823334484542461</v>
          </cell>
          <cell r="J18">
            <v>0.25897108721109441</v>
          </cell>
          <cell r="K18">
            <v>0.24171130013916042</v>
          </cell>
          <cell r="L18">
            <v>0.21664834424765878</v>
          </cell>
          <cell r="M18">
            <v>0.20103489066896207</v>
          </cell>
          <cell r="N18">
            <v>0.17403215119155657</v>
          </cell>
          <cell r="O18">
            <v>0.15327323299759987</v>
          </cell>
          <cell r="P18">
            <v>0.13735032839999994</v>
          </cell>
          <cell r="Q18">
            <v>0.11614359999999979</v>
          </cell>
          <cell r="R18">
            <v>7.3214999999999808E-2</v>
          </cell>
          <cell r="S18">
            <v>2.7E-2</v>
          </cell>
        </row>
        <row r="19">
          <cell r="A19">
            <v>35916</v>
          </cell>
          <cell r="B19">
            <v>19</v>
          </cell>
          <cell r="C19">
            <v>4.3999999999999997E-2</v>
          </cell>
          <cell r="D19">
            <v>0.57590343766594021</v>
          </cell>
          <cell r="E19">
            <v>0.51529176698648094</v>
          </cell>
          <cell r="F19">
            <v>0.42952053489290676</v>
          </cell>
          <cell r="G19">
            <v>0.38157971865555873</v>
          </cell>
          <cell r="H19">
            <v>0.36169891450380343</v>
          </cell>
          <cell r="I19">
            <v>0.33447561201862341</v>
          </cell>
          <cell r="J19">
            <v>0.31436581504838257</v>
          </cell>
          <cell r="K19">
            <v>0.29634659734528346</v>
          </cell>
          <cell r="L19">
            <v>0.27018087139455571</v>
          </cell>
          <cell r="M19">
            <v>0.25388042585839643</v>
          </cell>
          <cell r="N19">
            <v>0.22568956584398503</v>
          </cell>
          <cell r="O19">
            <v>0.20401725524949432</v>
          </cell>
          <cell r="P19">
            <v>0.18739374284959998</v>
          </cell>
          <cell r="Q19">
            <v>0.16525391839999992</v>
          </cell>
          <cell r="R19">
            <v>0.12043645999999986</v>
          </cell>
          <cell r="S19">
            <v>7.2187999999999919E-2</v>
          </cell>
          <cell r="T19">
            <v>4.3999999999999997E-2</v>
          </cell>
        </row>
        <row r="20">
          <cell r="A20">
            <v>35947</v>
          </cell>
          <cell r="B20">
            <v>20</v>
          </cell>
          <cell r="C20">
            <v>1.7999999999999999E-2</v>
          </cell>
          <cell r="D20">
            <v>0.60426969954392717</v>
          </cell>
          <cell r="E20">
            <v>0.54256701879223757</v>
          </cell>
          <cell r="F20">
            <v>0.45525190452097908</v>
          </cell>
          <cell r="G20">
            <v>0.40644815359135888</v>
          </cell>
          <cell r="H20">
            <v>0.386209494964872</v>
          </cell>
          <cell r="I20">
            <v>0.35849617303495873</v>
          </cell>
          <cell r="J20">
            <v>0.33802439971925358</v>
          </cell>
          <cell r="K20">
            <v>0.31968083609749853</v>
          </cell>
          <cell r="L20">
            <v>0.29304412707965777</v>
          </cell>
          <cell r="M20">
            <v>0.27645027352384766</v>
          </cell>
          <cell r="N20">
            <v>0.24775197802917681</v>
          </cell>
          <cell r="O20">
            <v>0.22568956584398525</v>
          </cell>
          <cell r="P20">
            <v>0.20876683022089271</v>
          </cell>
          <cell r="Q20">
            <v>0.18622848893120003</v>
          </cell>
          <cell r="R20">
            <v>0.14060431627999992</v>
          </cell>
          <cell r="S20">
            <v>9.1487383999999894E-2</v>
          </cell>
          <cell r="T20">
            <v>6.2791999999999959E-2</v>
          </cell>
          <cell r="U20">
            <v>1.8000000000000016E-2</v>
          </cell>
        </row>
        <row r="21">
          <cell r="A21">
            <v>35977</v>
          </cell>
          <cell r="B21">
            <v>21</v>
          </cell>
          <cell r="C21">
            <v>2.9000000000000001E-2</v>
          </cell>
          <cell r="D21">
            <v>0.65079352083070097</v>
          </cell>
          <cell r="E21">
            <v>0.58730146233721237</v>
          </cell>
          <cell r="F21">
            <v>0.49745420975208732</v>
          </cell>
          <cell r="G21">
            <v>0.44723515004550807</v>
          </cell>
          <cell r="H21">
            <v>0.42640957031885307</v>
          </cell>
          <cell r="I21">
            <v>0.39789256205297252</v>
          </cell>
          <cell r="J21">
            <v>0.3768271073111118</v>
          </cell>
          <cell r="K21">
            <v>0.35795158034432584</v>
          </cell>
          <cell r="L21">
            <v>0.33054240676496782</v>
          </cell>
          <cell r="M21">
            <v>0.31346733145603922</v>
          </cell>
          <cell r="N21">
            <v>0.28393678539202294</v>
          </cell>
          <cell r="O21">
            <v>0.26123456325346073</v>
          </cell>
          <cell r="P21">
            <v>0.24382106829729855</v>
          </cell>
          <cell r="Q21">
            <v>0.22062911511020467</v>
          </cell>
          <cell r="R21">
            <v>0.17368184145211973</v>
          </cell>
          <cell r="S21">
            <v>0.12314051813599969</v>
          </cell>
          <cell r="T21">
            <v>9.3612967999999963E-2</v>
          </cell>
          <cell r="U21">
            <v>4.7521999999999842E-2</v>
          </cell>
          <cell r="V21">
            <v>2.8999999999999915E-2</v>
          </cell>
        </row>
        <row r="22">
          <cell r="A22">
            <v>36008</v>
          </cell>
          <cell r="B22">
            <v>22</v>
          </cell>
          <cell r="C22">
            <v>8.0000000000000002E-3</v>
          </cell>
          <cell r="D22">
            <v>0.66399986899734653</v>
          </cell>
          <cell r="E22">
            <v>0.59999987403591004</v>
          </cell>
          <cell r="F22">
            <v>0.50943384343010401</v>
          </cell>
          <cell r="G22">
            <v>0.45881303124587225</v>
          </cell>
          <cell r="H22">
            <v>0.43782084688140399</v>
          </cell>
          <cell r="I22">
            <v>0.40907570254939629</v>
          </cell>
          <cell r="J22">
            <v>0.38784172416960061</v>
          </cell>
          <cell r="K22">
            <v>0.36881519298708043</v>
          </cell>
          <cell r="L22">
            <v>0.34118674601908761</v>
          </cell>
          <cell r="M22">
            <v>0.32397507010768756</v>
          </cell>
          <cell r="N22">
            <v>0.29420827967515906</v>
          </cell>
          <cell r="O22">
            <v>0.2713244397594885</v>
          </cell>
          <cell r="P22">
            <v>0.25377163684367687</v>
          </cell>
          <cell r="Q22">
            <v>0.23039414803108627</v>
          </cell>
          <cell r="R22">
            <v>0.18307129618373663</v>
          </cell>
          <cell r="S22">
            <v>0.1321256422810877</v>
          </cell>
          <cell r="T22">
            <v>0.10236187174400002</v>
          </cell>
          <cell r="U22">
            <v>5.5902175999999804E-2</v>
          </cell>
          <cell r="V22">
            <v>3.7231999999999932E-2</v>
          </cell>
          <cell r="W22">
            <v>8.0000000000000071E-3</v>
          </cell>
        </row>
        <row r="23">
          <cell r="A23">
            <v>36039</v>
          </cell>
          <cell r="B23">
            <v>23</v>
          </cell>
          <cell r="C23">
            <v>1.2999999999999999E-2</v>
          </cell>
          <cell r="D23">
            <v>0.6856318672943118</v>
          </cell>
          <cell r="E23">
            <v>0.62079987239837675</v>
          </cell>
          <cell r="F23">
            <v>0.52905648339469513</v>
          </cell>
          <cell r="G23">
            <v>0.47777760065206842</v>
          </cell>
          <cell r="H23">
            <v>0.456512517890862</v>
          </cell>
          <cell r="I23">
            <v>0.4273936866825383</v>
          </cell>
          <cell r="J23">
            <v>0.40588366658380526</v>
          </cell>
          <cell r="K23">
            <v>0.38660979049591226</v>
          </cell>
          <cell r="L23">
            <v>0.35862217371733562</v>
          </cell>
          <cell r="M23">
            <v>0.34118674601908738</v>
          </cell>
          <cell r="N23">
            <v>0.31103298731093609</v>
          </cell>
          <cell r="O23">
            <v>0.28785165747636166</v>
          </cell>
          <cell r="P23">
            <v>0.27007066812264457</v>
          </cell>
          <cell r="Q23">
            <v>0.24638927195549032</v>
          </cell>
          <cell r="R23">
            <v>0.1984512230341251</v>
          </cell>
          <cell r="S23">
            <v>0.14684327563074162</v>
          </cell>
          <cell r="T23">
            <v>0.11669257607667194</v>
          </cell>
          <cell r="U23">
            <v>6.9628904287999616E-2</v>
          </cell>
          <cell r="V23">
            <v>5.0716015999999753E-2</v>
          </cell>
          <cell r="W23">
            <v>2.1104000000000012E-2</v>
          </cell>
          <cell r="X23">
            <v>1.2999999999999901E-2</v>
          </cell>
        </row>
        <row r="24">
          <cell r="A24">
            <v>36069</v>
          </cell>
          <cell r="B24">
            <v>24</v>
          </cell>
          <cell r="C24">
            <v>5.0999999999999997E-2</v>
          </cell>
          <cell r="D24">
            <v>0.77159909252632164</v>
          </cell>
          <cell r="E24">
            <v>0.70346066589069389</v>
          </cell>
          <cell r="F24">
            <v>0.60703836404782452</v>
          </cell>
          <cell r="G24">
            <v>0.55314425828532388</v>
          </cell>
          <cell r="H24">
            <v>0.53079465630329592</v>
          </cell>
          <cell r="I24">
            <v>0.50019076470334767</v>
          </cell>
          <cell r="J24">
            <v>0.47758373357957917</v>
          </cell>
          <cell r="K24">
            <v>0.45732688981120373</v>
          </cell>
          <cell r="L24">
            <v>0.42791190457691974</v>
          </cell>
          <cell r="M24">
            <v>0.40958727006606077</v>
          </cell>
          <cell r="N24">
            <v>0.37789566966379384</v>
          </cell>
          <cell r="O24">
            <v>0.35353209200765612</v>
          </cell>
          <cell r="P24">
            <v>0.33484427219689938</v>
          </cell>
          <cell r="Q24">
            <v>0.30995512482522014</v>
          </cell>
          <cell r="R24">
            <v>0.25957223540886543</v>
          </cell>
          <cell r="S24">
            <v>0.20533228268790937</v>
          </cell>
          <cell r="T24">
            <v>0.17364389745658215</v>
          </cell>
          <cell r="U24">
            <v>0.12417997840668749</v>
          </cell>
          <cell r="V24">
            <v>0.10430253281599966</v>
          </cell>
          <cell r="W24">
            <v>7.3180303999999863E-2</v>
          </cell>
          <cell r="X24">
            <v>6.4662999999999915E-2</v>
          </cell>
          <cell r="Y24">
            <v>5.0999999999999934E-2</v>
          </cell>
        </row>
        <row r="25">
          <cell r="A25">
            <v>36100</v>
          </cell>
          <cell r="B25">
            <v>25</v>
          </cell>
          <cell r="C25">
            <v>6.5000000000000002E-2</v>
          </cell>
          <cell r="D25">
            <v>0.88675303354053248</v>
          </cell>
          <cell r="E25">
            <v>0.81418560917358884</v>
          </cell>
          <cell r="F25">
            <v>0.71149585771093293</v>
          </cell>
          <cell r="G25">
            <v>0.65409863507386978</v>
          </cell>
          <cell r="H25">
            <v>0.63029630896301003</v>
          </cell>
          <cell r="I25">
            <v>0.59770316440906512</v>
          </cell>
          <cell r="J25">
            <v>0.57362667626225172</v>
          </cell>
          <cell r="K25">
            <v>0.55205313764893194</v>
          </cell>
          <cell r="L25">
            <v>0.52072617837441948</v>
          </cell>
          <cell r="M25">
            <v>0.50121044262035475</v>
          </cell>
          <cell r="N25">
            <v>0.46745888819194037</v>
          </cell>
          <cell r="O25">
            <v>0.44151167798815361</v>
          </cell>
          <cell r="P25">
            <v>0.42160914988969767</v>
          </cell>
          <cell r="Q25">
            <v>0.39510220793885931</v>
          </cell>
          <cell r="R25">
            <v>0.34144443071044162</v>
          </cell>
          <cell r="S25">
            <v>0.2836788810626234</v>
          </cell>
          <cell r="T25">
            <v>0.24993075079126004</v>
          </cell>
          <cell r="U25">
            <v>0.19725167700312207</v>
          </cell>
          <cell r="V25">
            <v>0.17608219744903963</v>
          </cell>
          <cell r="W25">
            <v>0.14293702375999984</v>
          </cell>
          <cell r="X25">
            <v>0.13386609499999991</v>
          </cell>
          <cell r="Y25">
            <v>0.11931499999999984</v>
          </cell>
          <cell r="Z25">
            <v>6.4999999999999947E-2</v>
          </cell>
        </row>
        <row r="26">
          <cell r="A26">
            <v>36130</v>
          </cell>
          <cell r="B26">
            <v>26</v>
          </cell>
          <cell r="C26">
            <v>2.1000000000000001E-2</v>
          </cell>
          <cell r="D26">
            <v>0.92637484724488339</v>
          </cell>
          <cell r="E26">
            <v>0.85228350696623401</v>
          </cell>
          <cell r="F26">
            <v>0.74743727072286226</v>
          </cell>
          <cell r="G26">
            <v>0.68883470641042099</v>
          </cell>
          <cell r="H26">
            <v>0.66453253145123314</v>
          </cell>
          <cell r="I26">
            <v>0.63125493086165529</v>
          </cell>
          <cell r="J26">
            <v>0.6066728364637588</v>
          </cell>
          <cell r="K26">
            <v>0.58464625353955935</v>
          </cell>
          <cell r="L26">
            <v>0.55266142812028218</v>
          </cell>
          <cell r="M26">
            <v>0.53273586191538214</v>
          </cell>
          <cell r="N26">
            <v>0.49827552484397097</v>
          </cell>
          <cell r="O26">
            <v>0.47178342322590461</v>
          </cell>
          <cell r="P26">
            <v>0.45146294203738124</v>
          </cell>
          <cell r="Q26">
            <v>0.42439935430557529</v>
          </cell>
          <cell r="R26">
            <v>0.36961476375536084</v>
          </cell>
          <cell r="S26">
            <v>0.31063613756493846</v>
          </cell>
          <cell r="T26">
            <v>0.27617929655787643</v>
          </cell>
          <cell r="U26">
            <v>0.22239396222018759</v>
          </cell>
          <cell r="V26">
            <v>0.20077992359546926</v>
          </cell>
          <cell r="W26">
            <v>0.16693870125895982</v>
          </cell>
          <cell r="X26">
            <v>0.15767728299499972</v>
          </cell>
          <cell r="Y26">
            <v>0.14282061499999976</v>
          </cell>
          <cell r="Z26">
            <v>8.7364999999999915E-2</v>
          </cell>
          <cell r="AA26">
            <v>2.0999999999999908E-2</v>
          </cell>
        </row>
        <row r="27">
          <cell r="A27">
            <v>36161</v>
          </cell>
          <cell r="B27">
            <v>27</v>
          </cell>
          <cell r="C27">
            <v>8.0000000000000002E-3</v>
          </cell>
          <cell r="D27">
            <v>0.94178584602284254</v>
          </cell>
          <cell r="E27">
            <v>0.86710177502196384</v>
          </cell>
          <cell r="F27">
            <v>0.76141676888864507</v>
          </cell>
          <cell r="G27">
            <v>0.70234538406170444</v>
          </cell>
          <cell r="H27">
            <v>0.67784879170284307</v>
          </cell>
          <cell r="I27">
            <v>0.64430497030854861</v>
          </cell>
          <cell r="J27">
            <v>0.6195262191554689</v>
          </cell>
          <cell r="K27">
            <v>0.59732342356787593</v>
          </cell>
          <cell r="L27">
            <v>0.56508271954524436</v>
          </cell>
          <cell r="M27">
            <v>0.54499774881070517</v>
          </cell>
          <cell r="N27">
            <v>0.51026172904272271</v>
          </cell>
          <cell r="O27">
            <v>0.48355769061171183</v>
          </cell>
          <cell r="P27">
            <v>0.46307464557368028</v>
          </cell>
          <cell r="Q27">
            <v>0.43579454914001992</v>
          </cell>
          <cell r="R27">
            <v>0.38057168186540369</v>
          </cell>
          <cell r="S27">
            <v>0.32112122666545795</v>
          </cell>
          <cell r="T27">
            <v>0.28638873093033945</v>
          </cell>
          <cell r="U27">
            <v>0.23217311391794904</v>
          </cell>
          <cell r="V27">
            <v>0.21038616298423296</v>
          </cell>
          <cell r="W27">
            <v>0.17627421086903161</v>
          </cell>
          <cell r="X27">
            <v>0.16693870125895982</v>
          </cell>
          <cell r="Y27">
            <v>0.15196317991999986</v>
          </cell>
          <cell r="Z27">
            <v>9.6063919999999969E-2</v>
          </cell>
          <cell r="AA27">
            <v>2.9167999999999861E-2</v>
          </cell>
          <cell r="AB27">
            <v>8.0000000000000071E-3</v>
          </cell>
        </row>
        <row r="28">
          <cell r="A28">
            <v>36192</v>
          </cell>
          <cell r="B28">
            <v>28</v>
          </cell>
          <cell r="C28">
            <v>3.2000000000000001E-2</v>
          </cell>
          <cell r="D28">
            <v>1.0039229930955735</v>
          </cell>
          <cell r="E28">
            <v>0.92684903182266676</v>
          </cell>
          <cell r="F28">
            <v>0.81778210549308183</v>
          </cell>
          <cell r="G28">
            <v>0.75682043635167906</v>
          </cell>
          <cell r="H28">
            <v>0.7315399530373341</v>
          </cell>
          <cell r="I28">
            <v>0.69692272935842214</v>
          </cell>
          <cell r="J28">
            <v>0.67135105816844387</v>
          </cell>
          <cell r="K28">
            <v>0.64843777312204809</v>
          </cell>
          <cell r="L28">
            <v>0.61516536657069221</v>
          </cell>
          <cell r="M28">
            <v>0.59443767677264781</v>
          </cell>
          <cell r="N28">
            <v>0.55859010437208978</v>
          </cell>
          <cell r="O28">
            <v>0.53103153671128656</v>
          </cell>
          <cell r="P28">
            <v>0.50989303423203802</v>
          </cell>
          <cell r="Q28">
            <v>0.48173997471250063</v>
          </cell>
          <cell r="R28">
            <v>0.42474997568509654</v>
          </cell>
          <cell r="S28">
            <v>0.36339710591875263</v>
          </cell>
          <cell r="T28">
            <v>0.32755317032011044</v>
          </cell>
          <cell r="U28">
            <v>0.27160265356332336</v>
          </cell>
          <cell r="V28">
            <v>0.24911852019972835</v>
          </cell>
          <cell r="W28">
            <v>0.21391498561684075</v>
          </cell>
          <cell r="X28">
            <v>0.20428073969924654</v>
          </cell>
          <cell r="Y28">
            <v>0.1888260016774399</v>
          </cell>
          <cell r="Z28">
            <v>0.13113796544</v>
          </cell>
          <cell r="AA28">
            <v>6.2101375999999986E-2</v>
          </cell>
          <cell r="AB28">
            <v>4.025600000000007E-2</v>
          </cell>
          <cell r="AC28">
            <v>3.2000000000000028E-2</v>
          </cell>
        </row>
        <row r="29">
          <cell r="A29">
            <v>36220</v>
          </cell>
          <cell r="B29">
            <v>29</v>
          </cell>
          <cell r="C29">
            <v>2.7E-2</v>
          </cell>
          <cell r="D29">
            <v>1.0580289139091539</v>
          </cell>
          <cell r="E29">
            <v>0.97887395568187863</v>
          </cell>
          <cell r="F29">
            <v>0.86686222234139487</v>
          </cell>
          <cell r="G29">
            <v>0.80425458813317419</v>
          </cell>
          <cell r="H29">
            <v>0.77829153176934196</v>
          </cell>
          <cell r="I29">
            <v>0.7427396430510993</v>
          </cell>
          <cell r="J29">
            <v>0.71647753673899173</v>
          </cell>
          <cell r="K29">
            <v>0.69294559299634328</v>
          </cell>
          <cell r="L29">
            <v>0.65877483146810079</v>
          </cell>
          <cell r="M29">
            <v>0.63748749404550908</v>
          </cell>
          <cell r="N29">
            <v>0.60067203719013618</v>
          </cell>
          <cell r="O29">
            <v>0.57236938820249117</v>
          </cell>
          <cell r="P29">
            <v>0.55066014615630299</v>
          </cell>
          <cell r="Q29">
            <v>0.52174695402973792</v>
          </cell>
          <cell r="R29">
            <v>0.46321822502859411</v>
          </cell>
          <cell r="S29">
            <v>0.40020882777855893</v>
          </cell>
          <cell r="T29">
            <v>0.36339710591875329</v>
          </cell>
          <cell r="U29">
            <v>0.30593592520953306</v>
          </cell>
          <cell r="V29">
            <v>0.28284472024512097</v>
          </cell>
          <cell r="W29">
            <v>0.24669069022849532</v>
          </cell>
          <cell r="X29">
            <v>0.23679631967112602</v>
          </cell>
          <cell r="Y29">
            <v>0.22092430372273064</v>
          </cell>
          <cell r="Z29">
            <v>0.16167869050687989</v>
          </cell>
          <cell r="AA29">
            <v>9.0778113151999795E-2</v>
          </cell>
          <cell r="AB29">
            <v>6.8342912000000089E-2</v>
          </cell>
          <cell r="AC29">
            <v>5.9863999999999917E-2</v>
          </cell>
          <cell r="AD29">
            <v>2.6999999999999913E-2</v>
          </cell>
        </row>
        <row r="30">
          <cell r="A30">
            <v>36251</v>
          </cell>
          <cell r="B30">
            <v>30</v>
          </cell>
          <cell r="C30">
            <v>0.13500000000000001</v>
          </cell>
          <cell r="D30">
            <v>1.3358628172868898</v>
          </cell>
          <cell r="E30">
            <v>1.2460219396989323</v>
          </cell>
          <cell r="F30">
            <v>1.118888622357483</v>
          </cell>
          <cell r="G30">
            <v>1.0478289575311526</v>
          </cell>
          <cell r="H30">
            <v>1.0183608885582029</v>
          </cell>
          <cell r="I30">
            <v>0.97800949486299782</v>
          </cell>
          <cell r="J30">
            <v>0.94820200419875555</v>
          </cell>
          <cell r="K30">
            <v>0.92149324805084953</v>
          </cell>
          <cell r="L30">
            <v>0.8827094337162944</v>
          </cell>
          <cell r="M30">
            <v>0.85854830574165275</v>
          </cell>
          <cell r="N30">
            <v>0.81676276221080468</v>
          </cell>
          <cell r="O30">
            <v>0.78463925560982739</v>
          </cell>
          <cell r="P30">
            <v>0.75999926588740396</v>
          </cell>
          <cell r="Q30">
            <v>0.72718279282375264</v>
          </cell>
          <cell r="R30">
            <v>0.66075268540745435</v>
          </cell>
          <cell r="S30">
            <v>0.58923701952866447</v>
          </cell>
          <cell r="T30">
            <v>0.54745571521778502</v>
          </cell>
          <cell r="U30">
            <v>0.48223727511282011</v>
          </cell>
          <cell r="V30">
            <v>0.45602875747821225</v>
          </cell>
          <cell r="W30">
            <v>0.41499393340934221</v>
          </cell>
          <cell r="X30">
            <v>0.40376382282672796</v>
          </cell>
          <cell r="Y30">
            <v>0.38574908472529934</v>
          </cell>
          <cell r="Z30">
            <v>0.31850531372530866</v>
          </cell>
          <cell r="AA30">
            <v>0.23803315842751971</v>
          </cell>
          <cell r="AB30">
            <v>0.2125692051200001</v>
          </cell>
          <cell r="AC30">
            <v>0.20294563999999982</v>
          </cell>
          <cell r="AD30">
            <v>0.16564499999999982</v>
          </cell>
          <cell r="AE30">
            <v>0.13500000000000001</v>
          </cell>
        </row>
        <row r="31">
          <cell r="A31">
            <v>36281</v>
          </cell>
          <cell r="B31">
            <v>31</v>
          </cell>
          <cell r="C31">
            <v>5.5E-2</v>
          </cell>
          <cell r="D31">
            <v>1.4643352722376686</v>
          </cell>
          <cell r="E31">
            <v>1.3695531463823736</v>
          </cell>
          <cell r="F31">
            <v>1.2354274965871443</v>
          </cell>
          <cell r="G31">
            <v>1.1604595501953656</v>
          </cell>
          <cell r="H31">
            <v>1.1293707374289039</v>
          </cell>
          <cell r="I31">
            <v>1.0868000170804626</v>
          </cell>
          <cell r="J31">
            <v>1.0553531144296868</v>
          </cell>
          <cell r="K31">
            <v>1.0271753766936462</v>
          </cell>
          <cell r="L31">
            <v>0.98625845257069056</v>
          </cell>
          <cell r="M31">
            <v>0.96076846255744353</v>
          </cell>
          <cell r="N31">
            <v>0.91668471413239883</v>
          </cell>
          <cell r="O31">
            <v>0.88279441466836772</v>
          </cell>
          <cell r="P31">
            <v>0.85679922551121113</v>
          </cell>
          <cell r="Q31">
            <v>0.822177846429059</v>
          </cell>
          <cell r="R31">
            <v>0.75209408310486414</v>
          </cell>
          <cell r="S31">
            <v>0.67664505560274102</v>
          </cell>
          <cell r="T31">
            <v>0.63256577955476301</v>
          </cell>
          <cell r="U31">
            <v>0.56376032524402508</v>
          </cell>
          <cell r="V31">
            <v>0.53611033913951389</v>
          </cell>
          <cell r="W31">
            <v>0.49281859974685593</v>
          </cell>
          <cell r="X31">
            <v>0.48097083308219801</v>
          </cell>
          <cell r="Y31">
            <v>0.46196528438519069</v>
          </cell>
          <cell r="Z31">
            <v>0.39102310598020051</v>
          </cell>
          <cell r="AA31">
            <v>0.30612498214103323</v>
          </cell>
          <cell r="AB31">
            <v>0.27926051140160002</v>
          </cell>
          <cell r="AC31">
            <v>0.26910765019999983</v>
          </cell>
          <cell r="AD31">
            <v>0.22975547499999971</v>
          </cell>
          <cell r="AE31">
            <v>0.19742499999999996</v>
          </cell>
          <cell r="AF31">
            <v>5.4999999999999938E-2</v>
          </cell>
        </row>
        <row r="32">
          <cell r="A32">
            <v>36312</v>
          </cell>
          <cell r="B32">
            <v>32</v>
          </cell>
          <cell r="C32">
            <v>8.9999999999999993E-3</v>
          </cell>
          <cell r="D32">
            <v>1.4865142896878072</v>
          </cell>
          <cell r="E32">
            <v>1.3908791246998149</v>
          </cell>
          <cell r="F32">
            <v>1.2555463440564285</v>
          </cell>
          <cell r="G32">
            <v>1.1799036861471235</v>
          </cell>
          <cell r="H32">
            <v>1.1485350740657641</v>
          </cell>
          <cell r="I32">
            <v>1.1055812172341866</v>
          </cell>
          <cell r="J32">
            <v>1.0738512924595538</v>
          </cell>
          <cell r="K32">
            <v>1.0454199550838887</v>
          </cell>
          <cell r="L32">
            <v>1.0041347786438264</v>
          </cell>
          <cell r="M32">
            <v>0.97841537872046036</v>
          </cell>
          <cell r="N32">
            <v>0.93393487655959029</v>
          </cell>
          <cell r="O32">
            <v>0.89973956440038294</v>
          </cell>
          <cell r="P32">
            <v>0.87351041854081179</v>
          </cell>
          <cell r="Q32">
            <v>0.83857744704692028</v>
          </cell>
          <cell r="R32">
            <v>0.76786292985280769</v>
          </cell>
          <cell r="S32">
            <v>0.69173486110316551</v>
          </cell>
          <cell r="T32">
            <v>0.64725887157075568</v>
          </cell>
          <cell r="U32">
            <v>0.57783416817122113</v>
          </cell>
          <cell r="V32">
            <v>0.54993533219176927</v>
          </cell>
          <cell r="W32">
            <v>0.50625396714457738</v>
          </cell>
          <cell r="X32">
            <v>0.49429957057993756</v>
          </cell>
          <cell r="Y32">
            <v>0.47512297194465725</v>
          </cell>
          <cell r="Z32">
            <v>0.40354231393402218</v>
          </cell>
          <cell r="AA32">
            <v>0.31788010698030233</v>
          </cell>
          <cell r="AB32">
            <v>0.29077385600421435</v>
          </cell>
          <cell r="AC32">
            <v>0.28052961905179963</v>
          </cell>
          <cell r="AD32">
            <v>0.24082327427499961</v>
          </cell>
          <cell r="AE32">
            <v>0.20820182499999973</v>
          </cell>
          <cell r="AF32">
            <v>6.4494999999999747E-2</v>
          </cell>
          <cell r="AG32">
            <v>8.999999999999897E-3</v>
          </cell>
        </row>
        <row r="33">
          <cell r="A33">
            <v>36342</v>
          </cell>
          <cell r="B33">
            <v>33</v>
          </cell>
          <cell r="C33">
            <v>1.7999999999999999E-2</v>
          </cell>
          <cell r="D33">
            <v>1.5312715469021878</v>
          </cell>
          <cell r="E33">
            <v>1.4339149489444116</v>
          </cell>
          <cell r="F33">
            <v>1.2961461782494443</v>
          </cell>
          <cell r="G33">
            <v>1.2191419524977718</v>
          </cell>
          <cell r="H33">
            <v>1.1872087053989477</v>
          </cell>
          <cell r="I33">
            <v>1.143481679144402</v>
          </cell>
          <cell r="J33">
            <v>1.1111806157238258</v>
          </cell>
          <cell r="K33">
            <v>1.0822375142753988</v>
          </cell>
          <cell r="L33">
            <v>1.0402092046594151</v>
          </cell>
          <cell r="M33">
            <v>1.0140268555374288</v>
          </cell>
          <cell r="N33">
            <v>0.96874570433766305</v>
          </cell>
          <cell r="O33">
            <v>0.93393487655958984</v>
          </cell>
          <cell r="P33">
            <v>0.90723360607454651</v>
          </cell>
          <cell r="Q33">
            <v>0.87167184109376494</v>
          </cell>
          <cell r="R33">
            <v>0.79968446259015824</v>
          </cell>
          <cell r="S33">
            <v>0.72218608860302247</v>
          </cell>
          <cell r="T33">
            <v>0.67690953125902942</v>
          </cell>
          <cell r="U33">
            <v>0.60623518319830305</v>
          </cell>
          <cell r="V33">
            <v>0.57783416817122113</v>
          </cell>
          <cell r="W33">
            <v>0.53336653855317984</v>
          </cell>
          <cell r="X33">
            <v>0.52119696285037653</v>
          </cell>
          <cell r="Y33">
            <v>0.50167518543966105</v>
          </cell>
          <cell r="Z33">
            <v>0.42880607558483463</v>
          </cell>
          <cell r="AA33">
            <v>0.34160194890594786</v>
          </cell>
          <cell r="AB33">
            <v>0.31400778541229024</v>
          </cell>
          <cell r="AC33">
            <v>0.30357915219473197</v>
          </cell>
          <cell r="AD33">
            <v>0.26315809321194972</v>
          </cell>
          <cell r="AE33">
            <v>0.22994945784999965</v>
          </cell>
          <cell r="AF33">
            <v>8.3655909999999833E-2</v>
          </cell>
          <cell r="AG33">
            <v>2.7161999999999908E-2</v>
          </cell>
          <cell r="AH33">
            <v>1.8000000000000016E-2</v>
          </cell>
        </row>
        <row r="34">
          <cell r="A34">
            <v>36373</v>
          </cell>
          <cell r="B34">
            <v>34</v>
          </cell>
          <cell r="C34">
            <v>3.1E-2</v>
          </cell>
          <cell r="D34">
            <v>1.6097409648561554</v>
          </cell>
          <cell r="E34">
            <v>1.5093663123616881</v>
          </cell>
          <cell r="F34">
            <v>1.3673267097751771</v>
          </cell>
          <cell r="G34">
            <v>1.2879353530252025</v>
          </cell>
          <cell r="H34">
            <v>1.255012175266315</v>
          </cell>
          <cell r="I34">
            <v>1.2099296111978783</v>
          </cell>
          <cell r="J34">
            <v>1.1766272148112642</v>
          </cell>
          <cell r="K34">
            <v>1.1467868772179362</v>
          </cell>
          <cell r="L34">
            <v>1.103455690003857</v>
          </cell>
          <cell r="M34">
            <v>1.0764616880590889</v>
          </cell>
          <cell r="N34">
            <v>1.0297768211721303</v>
          </cell>
          <cell r="O34">
            <v>0.99388685773293695</v>
          </cell>
          <cell r="P34">
            <v>0.96635784786285739</v>
          </cell>
          <cell r="Q34">
            <v>0.92969366816767152</v>
          </cell>
          <cell r="R34">
            <v>0.85547468093045298</v>
          </cell>
          <cell r="S34">
            <v>0.77557385734971596</v>
          </cell>
          <cell r="T34">
            <v>0.7288937267280593</v>
          </cell>
          <cell r="U34">
            <v>0.65602847387745022</v>
          </cell>
          <cell r="V34">
            <v>0.62674702738452881</v>
          </cell>
          <cell r="W34">
            <v>0.58090090124832838</v>
          </cell>
          <cell r="X34">
            <v>0.56835406869873806</v>
          </cell>
          <cell r="Y34">
            <v>0.54822711618829034</v>
          </cell>
          <cell r="Z34">
            <v>0.47309906392796441</v>
          </cell>
          <cell r="AA34">
            <v>0.38319160932203222</v>
          </cell>
          <cell r="AB34">
            <v>0.35474202676007116</v>
          </cell>
          <cell r="AC34">
            <v>0.34399010591276857</v>
          </cell>
          <cell r="AD34">
            <v>0.3023159941015201</v>
          </cell>
          <cell r="AE34">
            <v>0.26807789104334945</v>
          </cell>
          <cell r="AF34">
            <v>0.11724924320999963</v>
          </cell>
          <cell r="AG34">
            <v>5.9004021999999878E-2</v>
          </cell>
          <cell r="AH34">
            <v>4.9557999999999991E-2</v>
          </cell>
          <cell r="AI34">
            <v>3.0999999999999917E-2</v>
          </cell>
        </row>
        <row r="35">
          <cell r="A35">
            <v>36404</v>
          </cell>
          <cell r="B35">
            <v>35</v>
          </cell>
          <cell r="C35">
            <v>5.0000000000000001E-3</v>
          </cell>
          <cell r="D35">
            <v>1.622789669680436</v>
          </cell>
          <cell r="E35">
            <v>1.5219131439234963</v>
          </cell>
          <cell r="F35">
            <v>1.3791633433240529</v>
          </cell>
          <cell r="G35">
            <v>1.2993750297903284</v>
          </cell>
          <cell r="H35">
            <v>1.2662872361426465</v>
          </cell>
          <cell r="I35">
            <v>1.2209792592538675</v>
          </cell>
          <cell r="J35">
            <v>1.1875103508853204</v>
          </cell>
          <cell r="K35">
            <v>1.1575208116040256</v>
          </cell>
          <cell r="L35">
            <v>1.1139729684538762</v>
          </cell>
          <cell r="M35">
            <v>1.0868439964993843</v>
          </cell>
          <cell r="N35">
            <v>1.0399257052779909</v>
          </cell>
          <cell r="O35">
            <v>1.0038562920216014</v>
          </cell>
          <cell r="P35">
            <v>0.97618963710217144</v>
          </cell>
          <cell r="Q35">
            <v>0.93934213650850973</v>
          </cell>
          <cell r="R35">
            <v>0.86475205433510505</v>
          </cell>
          <cell r="S35">
            <v>0.78445172663646434</v>
          </cell>
          <cell r="T35">
            <v>0.73753819536169951</v>
          </cell>
          <cell r="U35">
            <v>0.66430861624683724</v>
          </cell>
          <cell r="V35">
            <v>0.6348807625214512</v>
          </cell>
          <cell r="W35">
            <v>0.58880540575456997</v>
          </cell>
          <cell r="X35">
            <v>0.57619583904223148</v>
          </cell>
          <cell r="Y35">
            <v>0.5559682517692317</v>
          </cell>
          <cell r="Z35">
            <v>0.48046455924760401</v>
          </cell>
          <cell r="AA35">
            <v>0.39010756736864227</v>
          </cell>
          <cell r="AB35">
            <v>0.36151573689387129</v>
          </cell>
          <cell r="AC35">
            <v>0.35071005644233222</v>
          </cell>
          <cell r="AD35">
            <v>0.30882757407202766</v>
          </cell>
          <cell r="AE35">
            <v>0.27441828049856598</v>
          </cell>
          <cell r="AF35">
            <v>0.12283548942604949</v>
          </cell>
          <cell r="AG35">
            <v>6.4299042109999816E-2</v>
          </cell>
          <cell r="AH35">
            <v>5.4805789999999854E-2</v>
          </cell>
          <cell r="AI35">
            <v>3.6154999999999715E-2</v>
          </cell>
          <cell r="AJ35">
            <v>4.9999999999998934E-3</v>
          </cell>
        </row>
        <row r="36">
          <cell r="A36">
            <v>36434</v>
          </cell>
          <cell r="B36">
            <v>36</v>
          </cell>
          <cell r="C36">
            <v>1.7999999999999999E-2</v>
          </cell>
          <cell r="D36">
            <v>1.6699998837346839</v>
          </cell>
          <cell r="E36">
            <v>1.5673075805141194</v>
          </cell>
          <cell r="F36">
            <v>1.421988283503886</v>
          </cell>
          <cell r="G36">
            <v>1.3407637803265544</v>
          </cell>
          <cell r="H36">
            <v>1.3070804063932142</v>
          </cell>
          <cell r="I36">
            <v>1.2609568859204372</v>
          </cell>
          <cell r="J36">
            <v>1.2268855372012561</v>
          </cell>
          <cell r="K36">
            <v>1.1963561862128982</v>
          </cell>
          <cell r="L36">
            <v>1.1520244818860461</v>
          </cell>
          <cell r="M36">
            <v>1.1244071884363733</v>
          </cell>
          <cell r="N36">
            <v>1.0766443679729947</v>
          </cell>
          <cell r="O36">
            <v>1.0399257052779904</v>
          </cell>
          <cell r="P36">
            <v>1.0117610505700108</v>
          </cell>
          <cell r="Q36">
            <v>0.97425029496566284</v>
          </cell>
          <cell r="R36">
            <v>0.89831759131313693</v>
          </cell>
          <cell r="S36">
            <v>0.81657185771592067</v>
          </cell>
          <cell r="T36">
            <v>0.76881388287821006</v>
          </cell>
          <cell r="U36">
            <v>0.69426617133928037</v>
          </cell>
          <cell r="V36">
            <v>0.66430861624683746</v>
          </cell>
          <cell r="W36">
            <v>0.61740390305815218</v>
          </cell>
          <cell r="X36">
            <v>0.60456736414499157</v>
          </cell>
          <cell r="Y36">
            <v>0.58397568030107783</v>
          </cell>
          <cell r="Z36">
            <v>0.50711292131406083</v>
          </cell>
          <cell r="AA36">
            <v>0.41512950358127787</v>
          </cell>
          <cell r="AB36">
            <v>0.38602302015796108</v>
          </cell>
          <cell r="AC36">
            <v>0.37502283745829423</v>
          </cell>
          <cell r="AD36">
            <v>0.3323864704053241</v>
          </cell>
          <cell r="AE36">
            <v>0.29735780954754021</v>
          </cell>
          <cell r="AF36">
            <v>0.14304652823571851</v>
          </cell>
          <cell r="AG36">
            <v>8.3456424867979884E-2</v>
          </cell>
          <cell r="AH36">
            <v>7.3792294219999777E-2</v>
          </cell>
          <cell r="AI36">
            <v>5.4805789999999632E-2</v>
          </cell>
          <cell r="AJ36">
            <v>2.3089999999999833E-2</v>
          </cell>
          <cell r="AK36">
            <v>1.8000000000000016E-2</v>
          </cell>
        </row>
        <row r="37">
          <cell r="A37">
            <v>36465</v>
          </cell>
          <cell r="B37">
            <v>37</v>
          </cell>
          <cell r="C37">
            <v>4.2000000000000003E-2</v>
          </cell>
          <cell r="D37">
            <v>1.7821398788515408</v>
          </cell>
          <cell r="E37">
            <v>1.6751344988957126</v>
          </cell>
          <cell r="F37">
            <v>1.5237117914110492</v>
          </cell>
          <cell r="G37">
            <v>1.4390758591002699</v>
          </cell>
          <cell r="H37">
            <v>1.4039777834617291</v>
          </cell>
          <cell r="I37">
            <v>1.3559170751290957</v>
          </cell>
          <cell r="J37">
            <v>1.320414729763709</v>
          </cell>
          <cell r="K37">
            <v>1.2886031460338399</v>
          </cell>
          <cell r="L37">
            <v>1.2424095101252601</v>
          </cell>
          <cell r="M37">
            <v>1.2136322903507013</v>
          </cell>
          <cell r="N37">
            <v>1.1638634314278606</v>
          </cell>
          <cell r="O37">
            <v>1.1256025848996662</v>
          </cell>
          <cell r="P37">
            <v>1.0962550146939511</v>
          </cell>
          <cell r="Q37">
            <v>1.0571688073542207</v>
          </cell>
          <cell r="R37">
            <v>0.97804693014828881</v>
          </cell>
          <cell r="S37">
            <v>0.89286787573998949</v>
          </cell>
          <cell r="T37">
            <v>0.84310406595909493</v>
          </cell>
          <cell r="U37">
            <v>0.76542535053553018</v>
          </cell>
          <cell r="V37">
            <v>0.73420957812920462</v>
          </cell>
          <cell r="W37">
            <v>0.68533486698659463</v>
          </cell>
          <cell r="X37">
            <v>0.67195919343908117</v>
          </cell>
          <cell r="Y37">
            <v>0.65050265887372305</v>
          </cell>
          <cell r="Z37">
            <v>0.57041166400925136</v>
          </cell>
          <cell r="AA37">
            <v>0.47456494273169159</v>
          </cell>
          <cell r="AB37">
            <v>0.44423598700459555</v>
          </cell>
          <cell r="AC37">
            <v>0.43277379663154258</v>
          </cell>
          <cell r="AD37">
            <v>0.38834670216234768</v>
          </cell>
          <cell r="AE37">
            <v>0.35184683754853685</v>
          </cell>
          <cell r="AF37">
            <v>0.19105448242161871</v>
          </cell>
          <cell r="AG37">
            <v>0.12896159471243518</v>
          </cell>
          <cell r="AH37">
            <v>0.11889157057723976</v>
          </cell>
          <cell r="AI37">
            <v>9.9107633179999599E-2</v>
          </cell>
          <cell r="AJ37">
            <v>6.605977999999979E-2</v>
          </cell>
          <cell r="AK37">
            <v>6.0756000000000032E-2</v>
          </cell>
          <cell r="AL37">
            <v>4.2000000000000037E-2</v>
          </cell>
        </row>
        <row r="38">
          <cell r="A38">
            <v>36495</v>
          </cell>
          <cell r="B38">
            <v>38</v>
          </cell>
          <cell r="C38">
            <v>6.4000000000000001E-2</v>
          </cell>
          <cell r="D38">
            <v>1.9601968310980395</v>
          </cell>
          <cell r="E38">
            <v>1.8463431068250382</v>
          </cell>
          <cell r="F38">
            <v>1.6852293460613565</v>
          </cell>
          <cell r="G38">
            <v>1.5951767140826871</v>
          </cell>
          <cell r="H38">
            <v>1.5578323616032801</v>
          </cell>
          <cell r="I38">
            <v>1.5066957679373578</v>
          </cell>
          <cell r="J38">
            <v>1.4689212724685863</v>
          </cell>
          <cell r="K38">
            <v>1.4350737473800059</v>
          </cell>
          <cell r="L38">
            <v>1.3859237187732769</v>
          </cell>
          <cell r="M38">
            <v>1.3553047569331462</v>
          </cell>
          <cell r="N38">
            <v>1.3023506910392437</v>
          </cell>
          <cell r="O38">
            <v>1.261641150333245</v>
          </cell>
          <cell r="P38">
            <v>1.2304153356343641</v>
          </cell>
          <cell r="Q38">
            <v>1.188827611024891</v>
          </cell>
          <cell r="R38">
            <v>1.1046419336777795</v>
          </cell>
          <cell r="S38">
            <v>1.0140114197873489</v>
          </cell>
          <cell r="T38">
            <v>0.96106272618047717</v>
          </cell>
          <cell r="U38">
            <v>0.87841257296980424</v>
          </cell>
          <cell r="V38">
            <v>0.84519899112947372</v>
          </cell>
          <cell r="W38">
            <v>0.79319629847373685</v>
          </cell>
          <cell r="X38">
            <v>0.77896458181918238</v>
          </cell>
          <cell r="Y38">
            <v>0.75613482904164142</v>
          </cell>
          <cell r="Z38">
            <v>0.67091801050584343</v>
          </cell>
          <cell r="AA38">
            <v>0.5689370990665199</v>
          </cell>
          <cell r="AB38">
            <v>0.53666709017288983</v>
          </cell>
          <cell r="AC38">
            <v>0.52447131961596138</v>
          </cell>
          <cell r="AD38">
            <v>0.47720089110073793</v>
          </cell>
          <cell r="AE38">
            <v>0.43836503515164327</v>
          </cell>
          <cell r="AF38">
            <v>0.26728196929660242</v>
          </cell>
          <cell r="AG38">
            <v>0.20121513677403113</v>
          </cell>
          <cell r="AH38">
            <v>0.19050063109418325</v>
          </cell>
          <cell r="AI38">
            <v>0.1694505217035196</v>
          </cell>
          <cell r="AJ38">
            <v>0.13428760591999978</v>
          </cell>
          <cell r="AK38">
            <v>0.128644384</v>
          </cell>
          <cell r="AL38">
            <v>0.10868800000000012</v>
          </cell>
          <cell r="AM38">
            <v>6.4000000000000057E-2</v>
          </cell>
        </row>
        <row r="39">
          <cell r="A39">
            <v>36526</v>
          </cell>
          <cell r="B39">
            <v>39</v>
          </cell>
          <cell r="C39">
            <v>5.6000000000000001E-2</v>
          </cell>
          <cell r="D39">
            <v>2.1259678536395299</v>
          </cell>
          <cell r="E39">
            <v>2.0057383208072403</v>
          </cell>
          <cell r="F39">
            <v>1.8356021894407926</v>
          </cell>
          <cell r="G39">
            <v>1.7405066100713178</v>
          </cell>
          <cell r="H39">
            <v>1.7010709738530641</v>
          </cell>
          <cell r="I39">
            <v>1.64707073094185</v>
          </cell>
          <cell r="J39">
            <v>1.6071808637268274</v>
          </cell>
          <cell r="K39">
            <v>1.5714378772332864</v>
          </cell>
          <cell r="L39">
            <v>1.5195354470245803</v>
          </cell>
          <cell r="M39">
            <v>1.4872018233214024</v>
          </cell>
          <cell r="N39">
            <v>1.4312823297374413</v>
          </cell>
          <cell r="O39">
            <v>1.388293054751907</v>
          </cell>
          <cell r="P39">
            <v>1.3553185944298884</v>
          </cell>
          <cell r="Q39">
            <v>1.311401957242285</v>
          </cell>
          <cell r="R39">
            <v>1.2225018819637352</v>
          </cell>
          <cell r="S39">
            <v>1.1267960592954407</v>
          </cell>
          <cell r="T39">
            <v>1.070882238846584</v>
          </cell>
          <cell r="U39">
            <v>0.9836036770561134</v>
          </cell>
          <cell r="V39">
            <v>0.9485301346327244</v>
          </cell>
          <cell r="W39">
            <v>0.89361529118826621</v>
          </cell>
          <cell r="X39">
            <v>0.87858659840105657</v>
          </cell>
          <cell r="Y39">
            <v>0.85447837946797334</v>
          </cell>
          <cell r="Z39">
            <v>0.76448941909417067</v>
          </cell>
          <cell r="AA39">
            <v>0.65679757661424509</v>
          </cell>
          <cell r="AB39">
            <v>0.6227204472225718</v>
          </cell>
          <cell r="AC39">
            <v>0.60984171351445537</v>
          </cell>
          <cell r="AD39">
            <v>0.55992414100237942</v>
          </cell>
          <cell r="AE39">
            <v>0.51891347712013536</v>
          </cell>
          <cell r="AF39">
            <v>0.33824975957721226</v>
          </cell>
          <cell r="AG39">
            <v>0.26848318443337704</v>
          </cell>
          <cell r="AH39">
            <v>0.25716866643545755</v>
          </cell>
          <cell r="AI39">
            <v>0.23493975091891683</v>
          </cell>
          <cell r="AJ39">
            <v>0.1978077118515198</v>
          </cell>
          <cell r="AK39">
            <v>0.19184846950400014</v>
          </cell>
          <cell r="AL39">
            <v>0.17077452800000015</v>
          </cell>
          <cell r="AM39">
            <v>0.12358400000000014</v>
          </cell>
          <cell r="AN39">
            <v>5.600000000000005E-2</v>
          </cell>
        </row>
        <row r="40">
          <cell r="A40">
            <v>36557</v>
          </cell>
          <cell r="B40">
            <v>40</v>
          </cell>
          <cell r="C40">
            <v>0</v>
          </cell>
          <cell r="D40">
            <v>2.1259678536395299</v>
          </cell>
          <cell r="E40">
            <v>2.0057383208072403</v>
          </cell>
          <cell r="F40">
            <v>1.8356021894407926</v>
          </cell>
          <cell r="G40">
            <v>1.7405066100713178</v>
          </cell>
          <cell r="H40">
            <v>1.7010709738530641</v>
          </cell>
          <cell r="I40">
            <v>1.64707073094185</v>
          </cell>
          <cell r="J40">
            <v>1.6071808637268274</v>
          </cell>
          <cell r="K40">
            <v>1.5714378772332864</v>
          </cell>
          <cell r="L40">
            <v>1.5195354470245803</v>
          </cell>
          <cell r="M40">
            <v>1.4872018233214024</v>
          </cell>
          <cell r="N40">
            <v>1.4312823297374413</v>
          </cell>
          <cell r="O40">
            <v>1.388293054751907</v>
          </cell>
          <cell r="P40">
            <v>1.3553185944298884</v>
          </cell>
          <cell r="Q40">
            <v>1.311401957242285</v>
          </cell>
          <cell r="R40">
            <v>1.2225018819637352</v>
          </cell>
          <cell r="S40">
            <v>1.1267960592954407</v>
          </cell>
          <cell r="T40">
            <v>1.070882238846584</v>
          </cell>
          <cell r="U40">
            <v>0.9836036770561134</v>
          </cell>
          <cell r="V40">
            <v>0.9485301346327244</v>
          </cell>
          <cell r="W40">
            <v>0.89361529118826621</v>
          </cell>
          <cell r="X40">
            <v>0.87858659840105657</v>
          </cell>
          <cell r="Y40">
            <v>0.85447837946797334</v>
          </cell>
          <cell r="Z40">
            <v>0.76448941909417067</v>
          </cell>
          <cell r="AA40">
            <v>0.65679757661424509</v>
          </cell>
          <cell r="AB40">
            <v>0.6227204472225718</v>
          </cell>
          <cell r="AC40">
            <v>0.60984171351445537</v>
          </cell>
          <cell r="AD40">
            <v>0.55992414100237942</v>
          </cell>
          <cell r="AE40">
            <v>0.51891347712013536</v>
          </cell>
          <cell r="AF40">
            <v>0.33824975957721226</v>
          </cell>
          <cell r="AG40">
            <v>0.26848318443337704</v>
          </cell>
          <cell r="AH40">
            <v>0.25716866643545755</v>
          </cell>
          <cell r="AI40">
            <v>0.23493975091891683</v>
          </cell>
          <cell r="AJ40">
            <v>0.1978077118515198</v>
          </cell>
          <cell r="AK40">
            <v>0.19184846950400014</v>
          </cell>
          <cell r="AL40">
            <v>0.17077452800000015</v>
          </cell>
          <cell r="AM40">
            <v>0.12358400000000014</v>
          </cell>
          <cell r="AN40">
            <v>5.600000000000005E-2</v>
          </cell>
          <cell r="AO40">
            <v>0</v>
          </cell>
        </row>
        <row r="41">
          <cell r="A41">
            <v>36586</v>
          </cell>
          <cell r="B41">
            <v>41</v>
          </cell>
          <cell r="C41">
            <v>0</v>
          </cell>
          <cell r="D41">
            <v>2.1259678536395299</v>
          </cell>
          <cell r="E41">
            <v>2.0057383208072403</v>
          </cell>
          <cell r="F41">
            <v>1.8356021894407926</v>
          </cell>
          <cell r="G41">
            <v>1.7405066100713178</v>
          </cell>
          <cell r="H41">
            <v>1.7010709738530641</v>
          </cell>
          <cell r="I41">
            <v>1.64707073094185</v>
          </cell>
          <cell r="J41">
            <v>1.6071808637268274</v>
          </cell>
          <cell r="K41">
            <v>1.5714378772332864</v>
          </cell>
          <cell r="L41">
            <v>1.5195354470245803</v>
          </cell>
          <cell r="M41">
            <v>1.4872018233214024</v>
          </cell>
          <cell r="N41">
            <v>1.4312823297374413</v>
          </cell>
          <cell r="O41">
            <v>1.388293054751907</v>
          </cell>
          <cell r="P41">
            <v>1.3553185944298884</v>
          </cell>
          <cell r="Q41">
            <v>1.311401957242285</v>
          </cell>
          <cell r="R41">
            <v>1.2225018819637352</v>
          </cell>
          <cell r="S41">
            <v>1.1267960592954407</v>
          </cell>
          <cell r="T41">
            <v>1.070882238846584</v>
          </cell>
          <cell r="U41">
            <v>0.9836036770561134</v>
          </cell>
          <cell r="V41">
            <v>0.9485301346327244</v>
          </cell>
          <cell r="W41">
            <v>0.89361529118826621</v>
          </cell>
          <cell r="X41">
            <v>0.87858659840105657</v>
          </cell>
          <cell r="Y41">
            <v>0.85447837946797334</v>
          </cell>
          <cell r="Z41">
            <v>0.76448941909417067</v>
          </cell>
          <cell r="AA41">
            <v>0.65679757661424509</v>
          </cell>
          <cell r="AB41">
            <v>0.6227204472225718</v>
          </cell>
          <cell r="AC41">
            <v>0.60984171351445537</v>
          </cell>
          <cell r="AD41">
            <v>0.55992414100237942</v>
          </cell>
          <cell r="AE41">
            <v>0.51891347712013536</v>
          </cell>
          <cell r="AF41">
            <v>0.33824975957721226</v>
          </cell>
          <cell r="AG41">
            <v>0.26848318443337704</v>
          </cell>
          <cell r="AH41">
            <v>0.25716866643545755</v>
          </cell>
          <cell r="AI41">
            <v>0.23493975091891683</v>
          </cell>
          <cell r="AJ41">
            <v>0.1978077118515198</v>
          </cell>
          <cell r="AK41">
            <v>0.19184846950400014</v>
          </cell>
          <cell r="AL41">
            <v>0.17077452800000015</v>
          </cell>
          <cell r="AM41">
            <v>0.12358400000000014</v>
          </cell>
          <cell r="AN41">
            <v>5.600000000000005E-2</v>
          </cell>
          <cell r="AO41">
            <v>0</v>
          </cell>
          <cell r="AP41">
            <v>0</v>
          </cell>
        </row>
        <row r="42">
          <cell r="A42">
            <v>36617</v>
          </cell>
          <cell r="B42">
            <v>42</v>
          </cell>
          <cell r="C42">
            <v>0</v>
          </cell>
          <cell r="D42">
            <v>2.1259678536395299</v>
          </cell>
          <cell r="E42">
            <v>2.0057383208072403</v>
          </cell>
          <cell r="F42">
            <v>1.8356021894407926</v>
          </cell>
          <cell r="G42">
            <v>1.7405066100713178</v>
          </cell>
          <cell r="H42">
            <v>1.7010709738530641</v>
          </cell>
          <cell r="I42">
            <v>1.64707073094185</v>
          </cell>
          <cell r="J42">
            <v>1.6071808637268274</v>
          </cell>
          <cell r="K42">
            <v>1.5714378772332864</v>
          </cell>
          <cell r="L42">
            <v>1.5195354470245803</v>
          </cell>
          <cell r="M42">
            <v>1.4872018233214024</v>
          </cell>
          <cell r="N42">
            <v>1.4312823297374413</v>
          </cell>
          <cell r="O42">
            <v>1.388293054751907</v>
          </cell>
          <cell r="P42">
            <v>1.3553185944298884</v>
          </cell>
          <cell r="Q42">
            <v>1.311401957242285</v>
          </cell>
          <cell r="R42">
            <v>1.2225018819637352</v>
          </cell>
          <cell r="S42">
            <v>1.1267960592954407</v>
          </cell>
          <cell r="T42">
            <v>1.070882238846584</v>
          </cell>
          <cell r="U42">
            <v>0.9836036770561134</v>
          </cell>
          <cell r="V42">
            <v>0.9485301346327244</v>
          </cell>
          <cell r="W42">
            <v>0.89361529118826621</v>
          </cell>
          <cell r="X42">
            <v>0.87858659840105657</v>
          </cell>
          <cell r="Y42">
            <v>0.85447837946797334</v>
          </cell>
          <cell r="Z42">
            <v>0.76448941909417067</v>
          </cell>
          <cell r="AA42">
            <v>0.65679757661424509</v>
          </cell>
          <cell r="AB42">
            <v>0.6227204472225718</v>
          </cell>
          <cell r="AC42">
            <v>0.60984171351445537</v>
          </cell>
          <cell r="AD42">
            <v>0.55992414100237942</v>
          </cell>
          <cell r="AE42">
            <v>0.51891347712013536</v>
          </cell>
          <cell r="AF42">
            <v>0.33824975957721226</v>
          </cell>
          <cell r="AG42">
            <v>0.26848318443337704</v>
          </cell>
          <cell r="AH42">
            <v>0.25716866643545755</v>
          </cell>
          <cell r="AI42">
            <v>0.23493975091891683</v>
          </cell>
          <cell r="AJ42">
            <v>0.1978077118515198</v>
          </cell>
          <cell r="AK42">
            <v>0.19184846950400014</v>
          </cell>
          <cell r="AL42">
            <v>0.17077452800000015</v>
          </cell>
          <cell r="AM42">
            <v>0.12358400000000014</v>
          </cell>
          <cell r="AN42">
            <v>5.600000000000005E-2</v>
          </cell>
          <cell r="AO42">
            <v>0</v>
          </cell>
          <cell r="AP42">
            <v>0</v>
          </cell>
          <cell r="AQ42">
            <v>0</v>
          </cell>
        </row>
        <row r="43">
          <cell r="A43">
            <v>36647</v>
          </cell>
          <cell r="B43">
            <v>42</v>
          </cell>
          <cell r="C43">
            <v>0</v>
          </cell>
        </row>
        <row r="44">
          <cell r="A44">
            <v>36678</v>
          </cell>
          <cell r="B44">
            <v>42</v>
          </cell>
          <cell r="C44">
            <v>0</v>
          </cell>
        </row>
        <row r="45">
          <cell r="A45">
            <v>36708</v>
          </cell>
          <cell r="B45">
            <v>42</v>
          </cell>
          <cell r="C45">
            <v>0</v>
          </cell>
        </row>
        <row r="46">
          <cell r="A46">
            <v>36739</v>
          </cell>
          <cell r="B46">
            <v>42</v>
          </cell>
          <cell r="C46">
            <v>0</v>
          </cell>
        </row>
        <row r="47">
          <cell r="A47">
            <v>36770</v>
          </cell>
          <cell r="B47">
            <v>42</v>
          </cell>
          <cell r="C47">
            <v>0</v>
          </cell>
        </row>
        <row r="48">
          <cell r="A48">
            <v>36800</v>
          </cell>
          <cell r="B48">
            <v>42</v>
          </cell>
          <cell r="C48">
            <v>0</v>
          </cell>
        </row>
        <row r="49">
          <cell r="A49">
            <v>36831</v>
          </cell>
          <cell r="B49">
            <v>42</v>
          </cell>
          <cell r="C49">
            <v>0</v>
          </cell>
        </row>
        <row r="50">
          <cell r="A50">
            <v>36861</v>
          </cell>
          <cell r="B50">
            <v>42</v>
          </cell>
          <cell r="C50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EEFF"/>
      <sheetName val="Costo"/>
      <sheetName val="Dep.Costo."/>
      <sheetName val="CG Depreciación"/>
      <sheetName val="Adiciones"/>
      <sheetName val="XREF"/>
      <sheetName val="Tickmarks"/>
      <sheetName val="Relac DEP-COSTO"/>
      <sheetName val="Nota"/>
      <sheetName val="Mov.Costo"/>
      <sheetName val="Mov.Dep.Costo"/>
      <sheetName val="Calc.Global Deprec"/>
      <sheetName val="NEC 17"/>
      <sheetName val="Anál. S.I. Act. Fijos"/>
      <sheetName val="NotaEEFF"/>
      <sheetName val="Mov.ActFijo"/>
      <sheetName val="Mov.Deprec"/>
      <sheetName val="Cálculo depre"/>
      <sheetName val="AdicionesAF(Prel)"/>
      <sheetName val="RetirosAF"/>
      <sheetName val="Dep. ATD."/>
      <sheetName val="Límite"/>
      <sheetName val="T. Límite"/>
      <sheetName val="Detalle"/>
      <sheetName val="Conciliación Anticipos"/>
      <sheetName val="Movimiento de Activos Fijos"/>
      <sheetName val="Movimiento de Depreciación"/>
      <sheetName val="C. Global Deprec."/>
      <sheetName val="APT Adiciones"/>
      <sheetName val="Límites"/>
      <sheetName val="#REF"/>
      <sheetName val="Notas EEFF"/>
      <sheetName val="Pruebas Sustantivas"/>
      <sheetName val="Mov. Costo"/>
      <sheetName val="Depreciación"/>
      <sheetName val="Cálculo global"/>
      <sheetName val="Listado de Activos Fijos"/>
      <sheetName val="Analisis Adiciones"/>
      <sheetName val="Bajas de Activos Fijos"/>
      <sheetName val="Mov. Depre"/>
      <sheetName val="Cálc. Depre"/>
      <sheetName val="Bajas"/>
      <sheetName val="Sheet1"/>
      <sheetName val="Movimiento del Costo"/>
      <sheetName val="Movimiento Depreciación"/>
      <sheetName val="Cálculo Global Dep."/>
      <sheetName val="MMA Adiciones"/>
      <sheetName val="Procedimientos Activo Fijo"/>
      <sheetName val="Mov. Costo Sicontac"/>
      <sheetName val="Mov. Depre Sicontac"/>
      <sheetName val="Mov. Costo Sicobra"/>
      <sheetName val="Mov. Depre Sicobra"/>
      <sheetName val="Detalle de adiciones y bajas"/>
      <sheetName val="Calc. Glob"/>
      <sheetName val="An. Adiciones"/>
      <sheetName val="An. Ventas - Bajas"/>
      <sheetName val="Cálculo Global Depreciaciones"/>
      <sheetName val="Mov. Depreciación"/>
      <sheetName val="Cálculo Deprec"/>
      <sheetName val="Programa"/>
      <sheetName val="Movto Dep"/>
      <sheetName val="Adiciones (p)"/>
      <sheetName val="Análisis adiciones (p)"/>
      <sheetName val="Listado de activos fijos (p)"/>
      <sheetName val="Análisis adiciones"/>
      <sheetName val="Movimiento Neto"/>
      <sheetName val="Mov. Costo Final"/>
      <sheetName val="Mov. Dep. Final"/>
      <sheetName val="Adiciones Final"/>
      <sheetName val="Detalle Reclasif."/>
      <sheetName val="Mov. Act. Fijo Preliminar"/>
      <sheetName val="Adiciones Preliminar"/>
      <sheetName val="APT Preliminar"/>
      <sheetName val="Mov. Deprec."/>
      <sheetName val="List. Adic - Bajas"/>
      <sheetName val="Análisis Ventas"/>
      <sheetName val="Adiciones y Bajas AF"/>
      <sheetName val="Bajas Activos Fijos"/>
      <sheetName val="Movimiento Costo"/>
      <sheetName val="Movimiento de la depreciación"/>
      <sheetName val="Cálculo Global_Final"/>
      <sheetName val="Mov. Costo_Software"/>
      <sheetName val="Ana. Adiciones"/>
      <sheetName val="Mov. Depreciación_prelim.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>
            <v>76936</v>
          </cell>
          <cell r="B2">
            <v>76936</v>
          </cell>
          <cell r="D2" t="str">
            <v>Resumen de Otros Gastos</v>
          </cell>
          <cell r="E2" t="str">
            <v>!</v>
          </cell>
        </row>
        <row r="3">
          <cell r="A3">
            <v>103318</v>
          </cell>
          <cell r="B3">
            <v>103318</v>
          </cell>
          <cell r="D3" t="str">
            <v>Resumen de Otros Gastos</v>
          </cell>
          <cell r="E3" t="str">
            <v>!</v>
          </cell>
        </row>
        <row r="4">
          <cell r="A4">
            <v>886907.89000000013</v>
          </cell>
          <cell r="B4">
            <v>886907.89</v>
          </cell>
          <cell r="D4" t="str">
            <v>Resumen de Activo Fijo</v>
          </cell>
          <cell r="E4" t="str">
            <v>!</v>
          </cell>
        </row>
        <row r="5">
          <cell r="A5">
            <v>31105207</v>
          </cell>
          <cell r="B5">
            <v>31105207</v>
          </cell>
          <cell r="D5" t="str">
            <v>Hoja Resumen Activo Fijo</v>
          </cell>
          <cell r="E5" t="str">
            <v>!</v>
          </cell>
        </row>
        <row r="6">
          <cell r="A6">
            <v>989663</v>
          </cell>
          <cell r="B6">
            <v>989663</v>
          </cell>
          <cell r="D6" t="str">
            <v>Selección MMA Adiciones de Activos fijos</v>
          </cell>
          <cell r="E6" t="str">
            <v>!</v>
          </cell>
        </row>
        <row r="7">
          <cell r="A7">
            <v>31105207</v>
          </cell>
          <cell r="B7">
            <v>31105207</v>
          </cell>
          <cell r="D7" t="str">
            <v>Hoja Resumen Activo Fijo</v>
          </cell>
          <cell r="E7" t="str">
            <v>!</v>
          </cell>
        </row>
        <row r="8">
          <cell r="A8">
            <v>5672</v>
          </cell>
          <cell r="B8">
            <v>5672</v>
          </cell>
          <cell r="D8" t="str">
            <v>Hoja Resumen de Activo Fijo</v>
          </cell>
          <cell r="E8" t="str">
            <v>!</v>
          </cell>
        </row>
        <row r="9">
          <cell r="A9">
            <v>1238</v>
          </cell>
          <cell r="B9">
            <v>1238</v>
          </cell>
          <cell r="D9" t="str">
            <v>Análisis de Gastos Operacionales</v>
          </cell>
          <cell r="E9" t="str">
            <v>!</v>
          </cell>
        </row>
        <row r="10">
          <cell r="A10">
            <v>2706</v>
          </cell>
          <cell r="B10">
            <v>2706</v>
          </cell>
          <cell r="D10" t="str">
            <v>Listado de Activos Fijos al 31-Dic-11</v>
          </cell>
          <cell r="E10" t="str">
            <v>!</v>
          </cell>
        </row>
        <row r="11">
          <cell r="A11">
            <v>1941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>
        <row r="2">
          <cell r="A2">
            <v>76936</v>
          </cell>
        </row>
      </sheetData>
      <sheetData sheetId="75" refreshError="1"/>
      <sheetData sheetId="76" refreshError="1"/>
      <sheetData sheetId="77" refreshError="1"/>
      <sheetData sheetId="78"/>
      <sheetData sheetId="79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álisis IVA"/>
      <sheetName val="Análisis Ret Fuente"/>
      <sheetName val="Tickmarks"/>
      <sheetName val="XREF"/>
      <sheetName val="AnálisisIVA"/>
      <sheetName val="Detalle de Gastos"/>
      <sheetName val="Tax Working"/>
      <sheetName val="INSTRUCTIONS"/>
      <sheetName val="Varios dólares"/>
      <sheetName val="SSO"/>
      <sheetName val="Reexpresado año 2000"/>
      <sheetName val="Owned"/>
      <sheetName val="VALORES PUBLICOS"/>
      <sheetName val="CONSTANTES"/>
      <sheetName val="LPH INCE"/>
      <sheetName val="F-1.0 Balance Gral"/>
      <sheetName val="IPC"/>
      <sheetName val="Prueba de Diferencial Cambi (2)"/>
      <sheetName val="sapactivexlhiddensheet"/>
      <sheetName val="Matríz Dic 04"/>
      <sheetName val="31 Dic 96"/>
      <sheetName val="Detalle"/>
      <sheetName val="Detalle Cuentas por Cobrar"/>
      <sheetName val="Sheet1"/>
      <sheetName val="ROLCOBOS"/>
      <sheetName val="Imp_Noviembre"/>
      <sheetName val="Hoja4"/>
      <sheetName val="Hoja3"/>
      <sheetName val="Cuadre"/>
      <sheetName val="Reembolsos"/>
      <sheetName val="CT"/>
      <sheetName val="AUT "/>
      <sheetName val="Partes  relacionadas"/>
      <sheetName val="ATS"/>
      <sheetName val="PARTES RELACIONADAS"/>
      <sheetName val="Hoja1"/>
      <sheetName val="Hoja2"/>
      <sheetName val="ORG"/>
      <sheetName val="Namelist"/>
      <sheetName val="SetUp"/>
      <sheetName val="Balance General"/>
      <sheetName val="Sheet6"/>
      <sheetName val="Adiciones e intereses"/>
      <sheetName val="Utilidades"/>
      <sheetName val="Prest. Soc."/>
      <sheetName val="TABLAIPC "/>
      <sheetName val="Hoja5"/>
      <sheetName val="Abr-03"/>
      <sheetName val="DB"/>
      <sheetName val="LPH e INCE"/>
      <sheetName val="Movimiento"/>
      <sheetName val="Prov Activo Fijo Jun-2002"/>
      <sheetName val="Anexo 12"/>
      <sheetName val="BM PPR Act"/>
      <sheetName val="Prueba global - Pasivo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Inversiones temporales"/>
      <sheetName val="Lead"/>
      <sheetName val="Links"/>
      <sheetName val="XREF"/>
      <sheetName val="Tickmarks"/>
    </sheetNames>
    <sheetDataSet>
      <sheetData sheetId="0"/>
      <sheetData sheetId="1"/>
      <sheetData sheetId="2">
        <row r="2">
          <cell r="F2" t="str">
            <v>31.Dic.12</v>
          </cell>
          <cell r="H2" t="str">
            <v>AJE</v>
          </cell>
          <cell r="I2" t="str">
            <v>Ajustado</v>
          </cell>
          <cell r="J2" t="str">
            <v>RJE</v>
          </cell>
          <cell r="K2" t="str">
            <v>Final</v>
          </cell>
          <cell r="N2" t="str">
            <v>31.Dic.11</v>
          </cell>
          <cell r="O2">
            <v>0</v>
          </cell>
          <cell r="P2">
            <v>0</v>
          </cell>
        </row>
        <row r="4">
          <cell r="F4">
            <v>400000</v>
          </cell>
          <cell r="H4">
            <v>0</v>
          </cell>
          <cell r="I4">
            <v>400000</v>
          </cell>
          <cell r="J4">
            <v>0</v>
          </cell>
          <cell r="K4">
            <v>400000</v>
          </cell>
          <cell r="N4">
            <v>0</v>
          </cell>
        </row>
        <row r="5">
          <cell r="F5">
            <v>158</v>
          </cell>
          <cell r="H5">
            <v>0</v>
          </cell>
          <cell r="I5">
            <v>158</v>
          </cell>
          <cell r="J5">
            <v>0</v>
          </cell>
          <cell r="K5">
            <v>158</v>
          </cell>
          <cell r="N5">
            <v>0</v>
          </cell>
        </row>
        <row r="6">
          <cell r="F6">
            <v>400158</v>
          </cell>
          <cell r="H6">
            <v>0</v>
          </cell>
          <cell r="I6">
            <v>400158</v>
          </cell>
          <cell r="J6">
            <v>0</v>
          </cell>
          <cell r="K6">
            <v>400158</v>
          </cell>
          <cell r="N6">
            <v>0</v>
          </cell>
        </row>
        <row r="7">
          <cell r="F7">
            <v>400158</v>
          </cell>
          <cell r="H7">
            <v>0</v>
          </cell>
          <cell r="I7">
            <v>400158</v>
          </cell>
          <cell r="J7">
            <v>0</v>
          </cell>
          <cell r="K7">
            <v>400158</v>
          </cell>
          <cell r="N7">
            <v>0</v>
          </cell>
        </row>
      </sheetData>
      <sheetData sheetId="3">
        <row r="1">
          <cell r="F1" t="str">
            <v>31.Dic.12</v>
          </cell>
          <cell r="G1" t="str">
            <v>AJE</v>
          </cell>
          <cell r="H1" t="str">
            <v>Ajustado</v>
          </cell>
          <cell r="I1" t="str">
            <v>RJE</v>
          </cell>
          <cell r="J1" t="str">
            <v>Final</v>
          </cell>
          <cell r="K1" t="str">
            <v>31.Dic.11</v>
          </cell>
        </row>
        <row r="3">
          <cell r="F3">
            <v>400000</v>
          </cell>
          <cell r="G3">
            <v>0</v>
          </cell>
          <cell r="H3">
            <v>400000</v>
          </cell>
          <cell r="I3">
            <v>0</v>
          </cell>
          <cell r="J3">
            <v>400000</v>
          </cell>
          <cell r="K3">
            <v>0</v>
          </cell>
        </row>
        <row r="4">
          <cell r="F4">
            <v>158</v>
          </cell>
          <cell r="G4">
            <v>0</v>
          </cell>
          <cell r="H4">
            <v>158</v>
          </cell>
          <cell r="I4">
            <v>0</v>
          </cell>
          <cell r="J4">
            <v>158</v>
          </cell>
          <cell r="K4">
            <v>0</v>
          </cell>
        </row>
        <row r="5">
          <cell r="F5">
            <v>400158</v>
          </cell>
          <cell r="G5">
            <v>0</v>
          </cell>
          <cell r="H5">
            <v>400158</v>
          </cell>
          <cell r="I5">
            <v>0</v>
          </cell>
          <cell r="J5">
            <v>400158</v>
          </cell>
          <cell r="K5">
            <v>0</v>
          </cell>
        </row>
        <row r="6">
          <cell r="F6">
            <v>400158</v>
          </cell>
          <cell r="G6">
            <v>0</v>
          </cell>
          <cell r="H6">
            <v>400158</v>
          </cell>
          <cell r="I6">
            <v>0</v>
          </cell>
          <cell r="J6">
            <v>400158</v>
          </cell>
          <cell r="K6">
            <v>0</v>
          </cell>
        </row>
      </sheetData>
      <sheetData sheetId="4"/>
      <sheetData sheetId="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 Bancos"/>
      <sheetName val="Conc.Dic"/>
      <sheetName val="Conc. Nov"/>
      <sheetName val="Seleccion bancos"/>
      <sheetName val="Conc Oct"/>
      <sheetName val="Selección partidas"/>
      <sheetName val="Partidas Ajustadas"/>
      <sheetName val="Revisión Analítica"/>
      <sheetName val="XREF"/>
      <sheetName val="Tickmarks"/>
      <sheetName val="Final"/>
      <sheetName val="MMA Final"/>
      <sheetName val="Preliminar"/>
      <sheetName val="MMA"/>
      <sheetName val="Cheq. girados."/>
      <sheetName val="ND no contab."/>
      <sheetName val="Depósitos no contab."/>
      <sheetName val="Depósitos en tránsito"/>
      <sheetName val="Detalle"/>
      <sheetName val="Links"/>
      <sheetName val="Conciliaciones Fin"/>
      <sheetName val="Ch.Girados y No Cob. Fin"/>
      <sheetName val="Depó.en Trán. Fin"/>
      <sheetName val="ND-NC Fin"/>
      <sheetName val="Conciliaciones"/>
      <sheetName val="Ch.Girados y No Cob."/>
      <sheetName val="Depó.en Trán."/>
      <sheetName val="ND-NC"/>
      <sheetName val="PNR."/>
      <sheetName val="NOTA EF"/>
      <sheetName val="Res Conc Dic"/>
      <sheetName val="Cheq"/>
      <sheetName val="Dep"/>
      <sheetName val="NC"/>
      <sheetName val="Sheet1"/>
      <sheetName val="bancoPacificoenero-abril2008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">
          <cell r="A3">
            <v>1138503</v>
          </cell>
        </row>
      </sheetData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/>
      <sheetData sheetId="19">
        <row r="1">
          <cell r="A1" t="str">
            <v>(reserved)</v>
          </cell>
          <cell r="B1" t="str">
            <v>Company</v>
          </cell>
          <cell r="C1" t="str">
            <v>Target Grouping</v>
          </cell>
          <cell r="D1" t="str">
            <v>#</v>
          </cell>
          <cell r="E1" t="str">
            <v>Nombre</v>
          </cell>
          <cell r="F1">
            <v>39386</v>
          </cell>
          <cell r="G1" t="str">
            <v>AJE</v>
          </cell>
          <cell r="H1" t="str">
            <v>Saldos Ajustados</v>
          </cell>
          <cell r="I1" t="str">
            <v>RJE</v>
          </cell>
          <cell r="J1" t="str">
            <v>Final</v>
          </cell>
          <cell r="K1" t="str">
            <v>31-Dic-06</v>
          </cell>
        </row>
        <row r="2">
          <cell r="A2" t="str">
            <v/>
          </cell>
          <cell r="C2" t="str">
            <v>67</v>
          </cell>
        </row>
        <row r="3">
          <cell r="A3" t="str">
            <v>_/_67_/_6711000</v>
          </cell>
          <cell r="B3" t="str">
            <v/>
          </cell>
          <cell r="C3" t="str">
            <v>67</v>
          </cell>
          <cell r="D3" t="str">
            <v>6711000</v>
          </cell>
          <cell r="E3" t="str">
            <v>Caja Chica Moneda Nacional</v>
          </cell>
        </row>
        <row r="4">
          <cell r="A4" t="str">
            <v>_/_67_/_6711010</v>
          </cell>
          <cell r="B4" t="str">
            <v/>
          </cell>
          <cell r="C4" t="str">
            <v>67</v>
          </cell>
          <cell r="D4" t="str">
            <v>6711010</v>
          </cell>
          <cell r="E4" t="str">
            <v>Caja Chica Dólares</v>
          </cell>
        </row>
        <row r="5">
          <cell r="A5" t="str">
            <v>_/_67_/_6711020</v>
          </cell>
          <cell r="B5" t="str">
            <v/>
          </cell>
          <cell r="C5" t="str">
            <v>67</v>
          </cell>
          <cell r="D5" t="str">
            <v>6711020</v>
          </cell>
          <cell r="E5" t="str">
            <v>Efectivo en Caja</v>
          </cell>
        </row>
        <row r="6">
          <cell r="A6" t="str">
            <v>_/_67_/_6722110</v>
          </cell>
          <cell r="B6" t="str">
            <v/>
          </cell>
          <cell r="C6" t="str">
            <v>67</v>
          </cell>
          <cell r="D6" t="str">
            <v>6722110</v>
          </cell>
          <cell r="E6" t="str">
            <v>Lloyds/Banistmo  USD</v>
          </cell>
        </row>
        <row r="7">
          <cell r="A7" t="str">
            <v>_/_67_/_6722113</v>
          </cell>
          <cell r="B7" t="str">
            <v/>
          </cell>
          <cell r="C7" t="str">
            <v>67</v>
          </cell>
          <cell r="D7" t="str">
            <v>6722113</v>
          </cell>
          <cell r="E7" t="str">
            <v>Lloyds/Banismo  Trans. In USD</v>
          </cell>
        </row>
        <row r="8">
          <cell r="A8" t="str">
            <v>_/_67_/_6722114</v>
          </cell>
          <cell r="B8" t="str">
            <v/>
          </cell>
          <cell r="C8" t="str">
            <v>67</v>
          </cell>
          <cell r="D8" t="str">
            <v>6722114</v>
          </cell>
          <cell r="E8" t="str">
            <v>Lloyds/Banistmo Trans. Out USD</v>
          </cell>
        </row>
        <row r="9">
          <cell r="A9" t="str">
            <v>_/_67_/_6734120</v>
          </cell>
          <cell r="B9" t="str">
            <v/>
          </cell>
          <cell r="C9" t="str">
            <v>67</v>
          </cell>
          <cell r="D9" t="str">
            <v>6734120</v>
          </cell>
          <cell r="E9" t="str">
            <v>Citibank -USD</v>
          </cell>
        </row>
        <row r="10">
          <cell r="A10" t="str">
            <v>_/_67_/_6734123</v>
          </cell>
          <cell r="B10" t="str">
            <v/>
          </cell>
          <cell r="C10" t="str">
            <v>67</v>
          </cell>
          <cell r="D10" t="str">
            <v>6734123</v>
          </cell>
          <cell r="E10" t="str">
            <v>Transfer In Citibank USD</v>
          </cell>
        </row>
        <row r="11">
          <cell r="A11" t="str">
            <v>_/_67_/_6734124</v>
          </cell>
          <cell r="B11" t="str">
            <v/>
          </cell>
          <cell r="C11" t="str">
            <v>67</v>
          </cell>
          <cell r="D11" t="str">
            <v>6734124</v>
          </cell>
          <cell r="E11" t="str">
            <v>Transfer Out Citibank USD</v>
          </cell>
        </row>
        <row r="12">
          <cell r="A12" t="str">
            <v>_/_67_/_6738110</v>
          </cell>
          <cell r="B12" t="str">
            <v/>
          </cell>
          <cell r="C12" t="str">
            <v>67</v>
          </cell>
          <cell r="D12" t="str">
            <v>6738110</v>
          </cell>
          <cell r="E12" t="str">
            <v>Pichincha  Bank DOL</v>
          </cell>
        </row>
        <row r="13">
          <cell r="A13" t="str">
            <v>_/_67_/_6738113</v>
          </cell>
          <cell r="B13" t="str">
            <v/>
          </cell>
          <cell r="C13" t="str">
            <v>67</v>
          </cell>
          <cell r="D13" t="str">
            <v>6738113</v>
          </cell>
          <cell r="E13" t="str">
            <v>Pichincha Bank In DOL</v>
          </cell>
        </row>
        <row r="14">
          <cell r="A14" t="str">
            <v>_/_67_/_6738114</v>
          </cell>
          <cell r="B14" t="str">
            <v/>
          </cell>
          <cell r="C14" t="str">
            <v>67</v>
          </cell>
          <cell r="D14" t="str">
            <v>6738114</v>
          </cell>
          <cell r="E14" t="str">
            <v>Pichincha Bank Out DOL</v>
          </cell>
        </row>
        <row r="15">
          <cell r="A15" t="str">
            <v>_/_67_/_6739110</v>
          </cell>
          <cell r="B15" t="str">
            <v/>
          </cell>
          <cell r="C15" t="str">
            <v>67</v>
          </cell>
          <cell r="D15" t="str">
            <v>6739110</v>
          </cell>
          <cell r="E15" t="str">
            <v>Bco. La Producción DOL</v>
          </cell>
        </row>
        <row r="16">
          <cell r="A16" t="str">
            <v>_/_67_/_6739113</v>
          </cell>
          <cell r="B16" t="str">
            <v/>
          </cell>
          <cell r="C16" t="str">
            <v>67</v>
          </cell>
          <cell r="D16" t="str">
            <v>6739113</v>
          </cell>
          <cell r="E16" t="str">
            <v>Produbco ttria Entr</v>
          </cell>
        </row>
        <row r="17">
          <cell r="A17" t="str">
            <v>_/_67_/_6739114</v>
          </cell>
          <cell r="B17" t="str">
            <v/>
          </cell>
          <cell r="C17" t="str">
            <v>67</v>
          </cell>
          <cell r="D17" t="str">
            <v>6739114</v>
          </cell>
          <cell r="E17" t="str">
            <v>Produbco ttria Sali</v>
          </cell>
        </row>
        <row r="18">
          <cell r="A18" t="str">
            <v>_/_67_/_</v>
          </cell>
          <cell r="C18" t="str">
            <v>67</v>
          </cell>
          <cell r="E18" t="str">
            <v>TB Total - Efectivo y Bancos</v>
          </cell>
        </row>
        <row r="19">
          <cell r="A19" t="str">
            <v>_/_GrandTotal_/_</v>
          </cell>
          <cell r="C19" t="str">
            <v>Grand Total</v>
          </cell>
          <cell r="F19">
            <v>424856</v>
          </cell>
          <cell r="G19">
            <v>0</v>
          </cell>
          <cell r="H19">
            <v>424856</v>
          </cell>
          <cell r="I19">
            <v>0</v>
          </cell>
          <cell r="J19">
            <v>424856</v>
          </cell>
          <cell r="K19">
            <v>254774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Estados Financieros (2)"/>
      <sheetName val="Costo"/>
      <sheetName val="Dep.Costo"/>
      <sheetName val="Calc. dep."/>
      <sheetName val="Análisis de Adiciones"/>
      <sheetName val="Detalle de ventas"/>
      <sheetName val="Marcas Estándar"/>
      <sheetName val="XREF"/>
    </sheetNames>
    <sheetDataSet>
      <sheetData sheetId="0" refreshError="1"/>
      <sheetData sheetId="1"/>
      <sheetData sheetId="2"/>
      <sheetData sheetId="3">
        <row r="1">
          <cell r="A1" t="str">
            <v>Cálculo Global de Depreciación</v>
          </cell>
        </row>
      </sheetData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 Gastos Dic"/>
      <sheetName val="Detalle Gastos Ene-Ago 03"/>
      <sheetName val="Cuota Afiliación (2)"/>
      <sheetName val="Detalle Gastos Ene02-Dic02"/>
      <sheetName val="Detalle gastos Sep01-Ago02"/>
      <sheetName val="Cálculo G. Sueldos Ene-Dic02"/>
      <sheetName val="Cálculo Sueldos Sep02-Ago03"/>
      <sheetName val="Cuota Afiliación"/>
      <sheetName val="MMA"/>
      <sheetName val="Análisis de gastos"/>
      <sheetName val="XREF"/>
      <sheetName val="Tickmarks"/>
      <sheetName val="Tick2002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  <sheetData sheetId="7"/>
      <sheetData sheetId="8"/>
      <sheetData sheetId="9"/>
      <sheetData sheetId="10"/>
      <sheetData sheetId="11" refreshError="1"/>
      <sheetData sheetId="1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111000"/>
      <sheetName val="Citi-Pagos Sueldos 113033"/>
      <sheetName val="Produbanco 113110-11-12"/>
      <sheetName val=" Bco CITI 113120-21-22"/>
      <sheetName val="113121"/>
      <sheetName val="113122"/>
      <sheetName val="12100-121005"/>
      <sheetName val="Detalle 121000"/>
      <sheetName val="121080"/>
      <sheetName val="123000"/>
      <sheetName val="124000"/>
      <sheetName val="131000 "/>
      <sheetName val="134000 "/>
      <sheetName val="134010"/>
      <sheetName val="135010"/>
      <sheetName val="135400"/>
      <sheetName val=" 135510"/>
      <sheetName val=" 135600"/>
      <sheetName val="151280"/>
      <sheetName val="151290"/>
      <sheetName val="151430"/>
      <sheetName val="152070"/>
      <sheetName val="152100-152200"/>
      <sheetName val="Masterdata"/>
      <sheetName val="BASE 152100-152200-211000"/>
      <sheetName val="MASTER 211000"/>
      <sheetName val="160020-170070 "/>
      <sheetName val="196000"/>
      <sheetName val="211000"/>
      <sheetName val="211005 "/>
      <sheetName val="211010-15"/>
      <sheetName val="211050"/>
      <sheetName val="211200"/>
      <sheetName val="Sheet5"/>
      <sheetName val="211210"/>
      <sheetName val="213040"/>
      <sheetName val="213095"/>
      <sheetName val="213340"/>
      <sheetName val="213360"/>
      <sheetName val="213380"/>
      <sheetName val="213665"/>
      <sheetName val="214120"/>
      <sheetName val="214160"/>
      <sheetName val="216011-216040"/>
      <sheetName val="216140"/>
      <sheetName val="217030"/>
      <sheetName val="217200"/>
    </sheetNames>
    <sheetDataSet>
      <sheetData sheetId="0">
        <row r="3">
          <cell r="B3">
            <v>111000</v>
          </cell>
          <cell r="C3" t="str">
            <v>Caja Chica</v>
          </cell>
          <cell r="D3">
            <v>200</v>
          </cell>
        </row>
        <row r="4">
          <cell r="B4">
            <v>113033</v>
          </cell>
          <cell r="C4" t="str">
            <v>Citi-Pagos Sueldos</v>
          </cell>
          <cell r="D4">
            <v>3153.71</v>
          </cell>
        </row>
        <row r="5">
          <cell r="B5">
            <v>113110</v>
          </cell>
          <cell r="C5" t="str">
            <v>B.Produbanco C.Ppal</v>
          </cell>
          <cell r="D5">
            <v>13147.34</v>
          </cell>
        </row>
        <row r="6">
          <cell r="B6">
            <v>113111</v>
          </cell>
          <cell r="C6" t="str">
            <v>B.Produbanco Depos</v>
          </cell>
          <cell r="D6">
            <v>2558813.66</v>
          </cell>
        </row>
        <row r="7">
          <cell r="B7">
            <v>113112</v>
          </cell>
          <cell r="C7" t="str">
            <v>B.Produbanco Cheques</v>
          </cell>
          <cell r="D7">
            <v>-2481710.7599999998</v>
          </cell>
        </row>
        <row r="8">
          <cell r="B8">
            <v>113120</v>
          </cell>
          <cell r="C8" t="str">
            <v>Citibank -  EC Cuent</v>
          </cell>
          <cell r="D8">
            <v>86325.51</v>
          </cell>
        </row>
        <row r="9">
          <cell r="B9">
            <v>113121</v>
          </cell>
          <cell r="C9" t="str">
            <v>Citibank -  EC Depós</v>
          </cell>
          <cell r="D9">
            <v>17716.82</v>
          </cell>
        </row>
        <row r="10">
          <cell r="B10">
            <v>113122</v>
          </cell>
          <cell r="C10" t="str">
            <v>Citibank -  EC Chequ</v>
          </cell>
          <cell r="D10">
            <v>-31489.63</v>
          </cell>
        </row>
        <row r="11">
          <cell r="B11">
            <v>121000</v>
          </cell>
          <cell r="C11" t="str">
            <v>Tr Rcvbls - Domestic</v>
          </cell>
          <cell r="D11">
            <v>1246742.31</v>
          </cell>
        </row>
        <row r="12">
          <cell r="B12">
            <v>121005</v>
          </cell>
          <cell r="C12" t="str">
            <v>I/C Trade Receiv.</v>
          </cell>
          <cell r="D12">
            <v>46659.360000000001</v>
          </cell>
        </row>
        <row r="13">
          <cell r="B13">
            <v>121040</v>
          </cell>
          <cell r="C13" t="str">
            <v>Ctas.X Cobrar</v>
          </cell>
          <cell r="D13">
            <v>1800</v>
          </cell>
        </row>
        <row r="14">
          <cell r="B14">
            <v>121100</v>
          </cell>
          <cell r="C14" t="str">
            <v>Ctas.X C Inter</v>
          </cell>
          <cell r="D14">
            <v>0</v>
          </cell>
        </row>
        <row r="15">
          <cell r="B15">
            <v>123000</v>
          </cell>
          <cell r="C15" t="str">
            <v>Ctas.X Cobrar</v>
          </cell>
          <cell r="D15">
            <v>2066874.74</v>
          </cell>
        </row>
        <row r="16">
          <cell r="B16">
            <v>124000</v>
          </cell>
          <cell r="C16" t="str">
            <v>Provisión por</v>
          </cell>
          <cell r="D16">
            <v>-6000</v>
          </cell>
        </row>
        <row r="17">
          <cell r="B17">
            <v>131000</v>
          </cell>
          <cell r="C17" t="str">
            <v>Inv - Materia Prima</v>
          </cell>
          <cell r="D17">
            <v>144661.81</v>
          </cell>
        </row>
        <row r="18">
          <cell r="B18">
            <v>134000</v>
          </cell>
          <cell r="C18" t="str">
            <v>Invt - Finished Gds</v>
          </cell>
          <cell r="D18">
            <v>2930963.61</v>
          </cell>
        </row>
        <row r="19">
          <cell r="B19">
            <v>134010</v>
          </cell>
          <cell r="C19" t="str">
            <v>Inventario En Tr</v>
          </cell>
          <cell r="D19">
            <v>114797.31</v>
          </cell>
        </row>
        <row r="20">
          <cell r="B20">
            <v>135010</v>
          </cell>
          <cell r="C20" t="str">
            <v>Inv - Materiales Var</v>
          </cell>
          <cell r="D20">
            <v>0</v>
          </cell>
        </row>
        <row r="21">
          <cell r="B21">
            <v>135400</v>
          </cell>
          <cell r="C21" t="str">
            <v>Inventory-Reserve</v>
          </cell>
          <cell r="D21">
            <v>-15285.95</v>
          </cell>
        </row>
        <row r="22">
          <cell r="B22">
            <v>135510</v>
          </cell>
          <cell r="C22" t="str">
            <v>Inventario AS400</v>
          </cell>
          <cell r="D22">
            <v>-1083.25</v>
          </cell>
        </row>
        <row r="23">
          <cell r="B23">
            <v>135600</v>
          </cell>
          <cell r="C23" t="str">
            <v>Invent.Ajustes</v>
          </cell>
          <cell r="D23">
            <v>0</v>
          </cell>
        </row>
        <row r="24">
          <cell r="B24">
            <v>151280</v>
          </cell>
          <cell r="C24" t="str">
            <v>Imp. PrepOtros</v>
          </cell>
          <cell r="D24">
            <v>218936.01</v>
          </cell>
        </row>
        <row r="25">
          <cell r="B25">
            <v>151290</v>
          </cell>
          <cell r="C25" t="str">
            <v>IVA Credito Fiscal</v>
          </cell>
          <cell r="D25">
            <v>149580.16</v>
          </cell>
        </row>
        <row r="26">
          <cell r="B26">
            <v>151430</v>
          </cell>
          <cell r="C26" t="str">
            <v>GAN Ret Sufr</v>
          </cell>
          <cell r="D26">
            <v>270983.74</v>
          </cell>
        </row>
        <row r="27">
          <cell r="B27">
            <v>152070</v>
          </cell>
          <cell r="C27" t="str">
            <v>Otros Gastos Pre</v>
          </cell>
          <cell r="D27">
            <v>13661.19</v>
          </cell>
        </row>
        <row r="28">
          <cell r="B28">
            <v>152100</v>
          </cell>
          <cell r="C28" t="str">
            <v>Gastos Viaje Prep.</v>
          </cell>
          <cell r="D28">
            <v>1650</v>
          </cell>
        </row>
        <row r="29">
          <cell r="B29">
            <v>152200</v>
          </cell>
          <cell r="C29" t="str">
            <v>Vendor Prepayments</v>
          </cell>
          <cell r="D29">
            <v>32441.17</v>
          </cell>
        </row>
        <row r="30">
          <cell r="B30">
            <v>160020</v>
          </cell>
          <cell r="C30" t="str">
            <v>Equipos y Maquinaria</v>
          </cell>
          <cell r="D30">
            <v>268842.40000000002</v>
          </cell>
        </row>
        <row r="31">
          <cell r="B31">
            <v>160026</v>
          </cell>
          <cell r="C31" t="str">
            <v>Equipo de Laboratori</v>
          </cell>
          <cell r="D31">
            <v>84872.73</v>
          </cell>
        </row>
        <row r="32">
          <cell r="B32">
            <v>160030</v>
          </cell>
          <cell r="C32" t="str">
            <v>Mejor.prop.rentada</v>
          </cell>
          <cell r="D32">
            <v>30560</v>
          </cell>
        </row>
        <row r="33">
          <cell r="B33">
            <v>160040</v>
          </cell>
          <cell r="C33" t="str">
            <v>Rodados - Automovile</v>
          </cell>
          <cell r="D33">
            <v>287444.34000000003</v>
          </cell>
        </row>
        <row r="34">
          <cell r="B34">
            <v>160060</v>
          </cell>
          <cell r="C34" t="str">
            <v>Muebles y Utiles</v>
          </cell>
          <cell r="D34">
            <v>13294.86</v>
          </cell>
        </row>
        <row r="35">
          <cell r="B35">
            <v>160070</v>
          </cell>
          <cell r="C35" t="str">
            <v>Equipos de Computaci</v>
          </cell>
          <cell r="D35">
            <v>75578.25</v>
          </cell>
        </row>
        <row r="36">
          <cell r="B36">
            <v>170020</v>
          </cell>
          <cell r="C36" t="str">
            <v>De.Acum.Maqui.</v>
          </cell>
          <cell r="D36">
            <v>-94325.46</v>
          </cell>
        </row>
        <row r="37">
          <cell r="B37">
            <v>170026</v>
          </cell>
          <cell r="C37" t="str">
            <v>De.Acum.Equi/Lab</v>
          </cell>
          <cell r="D37">
            <v>-25846.89</v>
          </cell>
        </row>
        <row r="38">
          <cell r="B38">
            <v>170030</v>
          </cell>
          <cell r="C38" t="str">
            <v>De.Acum.Mejoras</v>
          </cell>
          <cell r="D38">
            <v>-19504.560000000001</v>
          </cell>
        </row>
        <row r="39">
          <cell r="B39">
            <v>170040</v>
          </cell>
          <cell r="C39" t="str">
            <v>De.Acum.Vehicu</v>
          </cell>
          <cell r="D39">
            <v>-175990.14</v>
          </cell>
        </row>
        <row r="40">
          <cell r="B40">
            <v>170060</v>
          </cell>
          <cell r="C40" t="str">
            <v>De.Acum.Muebles</v>
          </cell>
          <cell r="D40">
            <v>-3009.2</v>
          </cell>
        </row>
        <row r="41">
          <cell r="B41">
            <v>170070</v>
          </cell>
          <cell r="C41" t="str">
            <v>Accum Dpr - Hardware</v>
          </cell>
          <cell r="D41">
            <v>-62224.68</v>
          </cell>
        </row>
        <row r="42">
          <cell r="B42">
            <v>196000</v>
          </cell>
          <cell r="C42" t="str">
            <v>Depositos</v>
          </cell>
          <cell r="D42">
            <v>23120</v>
          </cell>
        </row>
        <row r="43">
          <cell r="B43">
            <v>211000</v>
          </cell>
          <cell r="C43" t="str">
            <v>Cuentas por Pagar -</v>
          </cell>
          <cell r="D43">
            <v>-468662.87</v>
          </cell>
        </row>
        <row r="44">
          <cell r="B44">
            <v>211005</v>
          </cell>
          <cell r="C44" t="str">
            <v>Cuentas por Pagar IC</v>
          </cell>
          <cell r="D44">
            <v>-2192077.5699999998</v>
          </cell>
        </row>
        <row r="45">
          <cell r="B45">
            <v>211010</v>
          </cell>
          <cell r="C45" t="str">
            <v>Intercompany A/P-Man</v>
          </cell>
          <cell r="D45">
            <v>-222987.1</v>
          </cell>
        </row>
        <row r="46">
          <cell r="B46">
            <v>211015</v>
          </cell>
          <cell r="C46" t="str">
            <v>Intercompany A/P-Roy</v>
          </cell>
          <cell r="D46">
            <v>-449264.38</v>
          </cell>
        </row>
        <row r="47">
          <cell r="B47">
            <v>211030</v>
          </cell>
          <cell r="C47" t="str">
            <v>Ctas.X P. Inter</v>
          </cell>
          <cell r="D47">
            <v>-30495.4</v>
          </cell>
        </row>
        <row r="48">
          <cell r="B48">
            <v>211100</v>
          </cell>
          <cell r="C48" t="str">
            <v>Bien.reci/fact.reci.</v>
          </cell>
          <cell r="D48">
            <v>0</v>
          </cell>
        </row>
        <row r="49">
          <cell r="B49">
            <v>211200</v>
          </cell>
          <cell r="C49" t="str">
            <v>Prov/Frac recibir</v>
          </cell>
          <cell r="D49">
            <v>-24876.92</v>
          </cell>
        </row>
        <row r="50">
          <cell r="B50">
            <v>211210</v>
          </cell>
          <cell r="C50" t="str">
            <v>Otras Prov/Cost.Inv</v>
          </cell>
          <cell r="D50">
            <v>1028.51</v>
          </cell>
        </row>
        <row r="51">
          <cell r="B51">
            <v>211220</v>
          </cell>
          <cell r="C51" t="str">
            <v>Prov/Frac recibir</v>
          </cell>
          <cell r="D51">
            <v>0</v>
          </cell>
        </row>
        <row r="52">
          <cell r="B52">
            <v>213040</v>
          </cell>
          <cell r="C52" t="str">
            <v>Prov.Bonos.Empleados</v>
          </cell>
          <cell r="D52">
            <v>-38224.99</v>
          </cell>
        </row>
        <row r="53">
          <cell r="B53">
            <v>213095</v>
          </cell>
          <cell r="C53" t="str">
            <v>Prov Benefi.Labor.</v>
          </cell>
          <cell r="D53">
            <v>-158270.31</v>
          </cell>
        </row>
        <row r="54">
          <cell r="B54">
            <v>213340</v>
          </cell>
          <cell r="C54" t="str">
            <v>Otras Provisiones</v>
          </cell>
          <cell r="D54">
            <v>-28370</v>
          </cell>
        </row>
        <row r="55">
          <cell r="B55">
            <v>213360</v>
          </cell>
          <cell r="C55" t="str">
            <v>Prov de Nomina</v>
          </cell>
          <cell r="D55">
            <v>-69678.42</v>
          </cell>
        </row>
        <row r="56">
          <cell r="B56">
            <v>213380</v>
          </cell>
          <cell r="C56" t="str">
            <v>Prov Imp.de Nomina</v>
          </cell>
          <cell r="D56">
            <v>-37939.660000000003</v>
          </cell>
        </row>
        <row r="57">
          <cell r="B57">
            <v>213665</v>
          </cell>
          <cell r="C57" t="str">
            <v>15% Profit Partic. E</v>
          </cell>
          <cell r="D57">
            <v>0</v>
          </cell>
        </row>
        <row r="58">
          <cell r="B58">
            <v>214120</v>
          </cell>
          <cell r="C58" t="str">
            <v>Accrd Severance-S/T</v>
          </cell>
          <cell r="D58">
            <v>-20725.150000000001</v>
          </cell>
        </row>
        <row r="59">
          <cell r="B59">
            <v>214160</v>
          </cell>
          <cell r="C59" t="str">
            <v>Prov.Vacaciones</v>
          </cell>
          <cell r="D59">
            <v>-112211.71</v>
          </cell>
        </row>
        <row r="60">
          <cell r="B60">
            <v>216011</v>
          </cell>
          <cell r="C60" t="str">
            <v>WH-tax code 01- 03</v>
          </cell>
          <cell r="D60">
            <v>0</v>
          </cell>
        </row>
        <row r="61">
          <cell r="B61">
            <v>216012</v>
          </cell>
          <cell r="C61" t="str">
            <v>WH-tax code 01- 04</v>
          </cell>
          <cell r="D61">
            <v>-379.07</v>
          </cell>
        </row>
        <row r="62">
          <cell r="B62">
            <v>216013</v>
          </cell>
          <cell r="C62" t="str">
            <v>WH-tax code 01- 05</v>
          </cell>
          <cell r="D62">
            <v>-605.25</v>
          </cell>
        </row>
        <row r="63">
          <cell r="B63">
            <v>216014</v>
          </cell>
          <cell r="C63" t="str">
            <v>WH-tax code 01- 06</v>
          </cell>
          <cell r="D63">
            <v>0</v>
          </cell>
        </row>
        <row r="64">
          <cell r="B64">
            <v>216015</v>
          </cell>
          <cell r="C64" t="str">
            <v>Ret.Imp cod 01/0A-01</v>
          </cell>
          <cell r="D64">
            <v>-4631.8100000000004</v>
          </cell>
        </row>
        <row r="65">
          <cell r="B65">
            <v>216024</v>
          </cell>
          <cell r="C65" t="str">
            <v>Ret.Imp cod 0/A-02</v>
          </cell>
          <cell r="D65">
            <v>0</v>
          </cell>
        </row>
        <row r="66">
          <cell r="B66">
            <v>216030</v>
          </cell>
          <cell r="C66" t="str">
            <v>Ret.De Impuestos</v>
          </cell>
          <cell r="D66">
            <v>-4258.21</v>
          </cell>
        </row>
        <row r="67">
          <cell r="B67">
            <v>216040</v>
          </cell>
          <cell r="C67" t="str">
            <v>WH-tax code 01- 02</v>
          </cell>
          <cell r="D67">
            <v>-6393.01</v>
          </cell>
        </row>
        <row r="68">
          <cell r="B68">
            <v>216140</v>
          </cell>
          <cell r="C68" t="str">
            <v>IVA Debito Fiscal</v>
          </cell>
          <cell r="D68">
            <v>-128010</v>
          </cell>
        </row>
        <row r="69">
          <cell r="B69">
            <v>217030</v>
          </cell>
          <cell r="C69" t="str">
            <v>Impuesto/Renta</v>
          </cell>
          <cell r="D69">
            <v>0</v>
          </cell>
        </row>
        <row r="70">
          <cell r="B70">
            <v>224000</v>
          </cell>
          <cell r="C70" t="str">
            <v>Imp.a Gananc.Diferi</v>
          </cell>
          <cell r="D70">
            <v>18334</v>
          </cell>
        </row>
        <row r="71">
          <cell r="B71">
            <v>269000</v>
          </cell>
          <cell r="C71" t="str">
            <v>Area Funcional</v>
          </cell>
          <cell r="D71">
            <v>0</v>
          </cell>
        </row>
        <row r="72">
          <cell r="B72">
            <v>310000</v>
          </cell>
          <cell r="C72" t="str">
            <v>A.Comunes Valor</v>
          </cell>
          <cell r="D72">
            <v>-312440</v>
          </cell>
        </row>
        <row r="73">
          <cell r="B73">
            <v>320000</v>
          </cell>
          <cell r="C73" t="str">
            <v>APIC</v>
          </cell>
          <cell r="D73">
            <v>-18334</v>
          </cell>
        </row>
        <row r="74">
          <cell r="B74">
            <v>330000</v>
          </cell>
          <cell r="C74" t="str">
            <v>Utilidades Ret</v>
          </cell>
          <cell r="D74">
            <v>-2680685.59</v>
          </cell>
        </row>
        <row r="75">
          <cell r="B75">
            <v>330004</v>
          </cell>
          <cell r="C75" t="str">
            <v>Adjust R/E</v>
          </cell>
          <cell r="D75">
            <v>-88396</v>
          </cell>
        </row>
        <row r="76">
          <cell r="B76">
            <v>399990</v>
          </cell>
          <cell r="C76" t="str">
            <v>Contra-Partida</v>
          </cell>
          <cell r="D76">
            <v>0</v>
          </cell>
        </row>
        <row r="77">
          <cell r="B77">
            <v>410000</v>
          </cell>
          <cell r="C77" t="str">
            <v>Ingr.Ventas Dom.</v>
          </cell>
          <cell r="D77">
            <v>-10750814.449999999</v>
          </cell>
        </row>
        <row r="78">
          <cell r="B78">
            <v>410040</v>
          </cell>
          <cell r="C78" t="str">
            <v>Ingr Contenedores</v>
          </cell>
          <cell r="D78">
            <v>0</v>
          </cell>
        </row>
        <row r="79">
          <cell r="B79">
            <v>500000</v>
          </cell>
          <cell r="C79" t="str">
            <v>Costo de Ventas</v>
          </cell>
          <cell r="D79">
            <v>5440918.0199999996</v>
          </cell>
        </row>
        <row r="80">
          <cell r="B80">
            <v>500005</v>
          </cell>
          <cell r="C80" t="str">
            <v>Costo/Ventas Aj</v>
          </cell>
          <cell r="D80">
            <v>126930.53</v>
          </cell>
        </row>
        <row r="81">
          <cell r="B81">
            <v>500810</v>
          </cell>
          <cell r="C81" t="str">
            <v>Fletes - Saliendo</v>
          </cell>
          <cell r="D81">
            <v>0</v>
          </cell>
        </row>
        <row r="82">
          <cell r="B82">
            <v>510000</v>
          </cell>
          <cell r="C82" t="str">
            <v>Cons.Mat.primas</v>
          </cell>
          <cell r="D82">
            <v>1692716.5</v>
          </cell>
        </row>
        <row r="83">
          <cell r="B83">
            <v>510020</v>
          </cell>
          <cell r="C83" t="str">
            <v>Cons.Prod.Termin</v>
          </cell>
          <cell r="D83">
            <v>8639027.5800000001</v>
          </cell>
        </row>
        <row r="84">
          <cell r="B84">
            <v>510060</v>
          </cell>
          <cell r="C84" t="str">
            <v>Cons.Otros cost.Inv</v>
          </cell>
          <cell r="D84">
            <v>5609.01</v>
          </cell>
        </row>
        <row r="85">
          <cell r="B85">
            <v>520000</v>
          </cell>
          <cell r="C85" t="str">
            <v>G/P Valuaci.De mat.</v>
          </cell>
          <cell r="D85">
            <v>-37.270000000000003</v>
          </cell>
        </row>
        <row r="86">
          <cell r="B86">
            <v>520010</v>
          </cell>
          <cell r="C86" t="str">
            <v>Ganancia/Per Inv.</v>
          </cell>
          <cell r="D86">
            <v>24670.38</v>
          </cell>
        </row>
        <row r="87">
          <cell r="B87">
            <v>520100</v>
          </cell>
          <cell r="C87" t="str">
            <v>Ord.Prod.Comp.Stand</v>
          </cell>
          <cell r="D87">
            <v>-10004830.02</v>
          </cell>
        </row>
        <row r="88">
          <cell r="B88">
            <v>520110</v>
          </cell>
          <cell r="C88" t="str">
            <v>Ord.Prod.Comp.Variac</v>
          </cell>
          <cell r="D88">
            <v>-335258.32</v>
          </cell>
        </row>
        <row r="89">
          <cell r="B89">
            <v>530000</v>
          </cell>
          <cell r="C89" t="str">
            <v>G/P Var.en Precio</v>
          </cell>
          <cell r="D89">
            <v>-1231.51</v>
          </cell>
        </row>
        <row r="90">
          <cell r="B90">
            <v>530020</v>
          </cell>
          <cell r="C90" t="str">
            <v>IC Mark up on Purch</v>
          </cell>
          <cell r="D90">
            <v>645245.97</v>
          </cell>
        </row>
        <row r="91">
          <cell r="B91">
            <v>530050</v>
          </cell>
          <cell r="C91" t="str">
            <v>T/P Var.en producc</v>
          </cell>
          <cell r="D91">
            <v>43620.04</v>
          </cell>
        </row>
        <row r="92">
          <cell r="B92">
            <v>600060</v>
          </cell>
          <cell r="C92" t="str">
            <v>Public.Pag.Amarill.</v>
          </cell>
          <cell r="D92">
            <v>371.54</v>
          </cell>
        </row>
        <row r="93">
          <cell r="B93">
            <v>600200</v>
          </cell>
          <cell r="C93" t="str">
            <v>Honor/Auditoria</v>
          </cell>
          <cell r="D93">
            <v>8</v>
          </cell>
        </row>
        <row r="94">
          <cell r="B94">
            <v>600220</v>
          </cell>
          <cell r="C94" t="str">
            <v>Auto Combustible</v>
          </cell>
          <cell r="D94">
            <v>1027.79</v>
          </cell>
        </row>
        <row r="95">
          <cell r="B95">
            <v>600230</v>
          </cell>
          <cell r="C95" t="str">
            <v>Auto Reparaciones</v>
          </cell>
          <cell r="D95">
            <v>4765.42</v>
          </cell>
        </row>
        <row r="96">
          <cell r="B96">
            <v>600250</v>
          </cell>
          <cell r="C96" t="str">
            <v>Auto Licencias/Tit</v>
          </cell>
          <cell r="D96">
            <v>7235.09</v>
          </cell>
        </row>
        <row r="97">
          <cell r="B97">
            <v>600290</v>
          </cell>
          <cell r="C97" t="str">
            <v>Manten Edificio</v>
          </cell>
          <cell r="D97">
            <v>10515.47</v>
          </cell>
        </row>
        <row r="98">
          <cell r="B98">
            <v>600310</v>
          </cell>
          <cell r="C98" t="str">
            <v>Telefono Celular</v>
          </cell>
          <cell r="D98">
            <v>14008.61</v>
          </cell>
        </row>
        <row r="99">
          <cell r="B99">
            <v>600370</v>
          </cell>
          <cell r="C99" t="str">
            <v>Regalos compañia</v>
          </cell>
          <cell r="D99">
            <v>1400</v>
          </cell>
        </row>
        <row r="100">
          <cell r="B100">
            <v>600410</v>
          </cell>
          <cell r="C100" t="str">
            <v>Trabajos Contr</v>
          </cell>
          <cell r="D100">
            <v>32885.599999999999</v>
          </cell>
        </row>
        <row r="101">
          <cell r="B101">
            <v>600420</v>
          </cell>
          <cell r="C101" t="str">
            <v>Contrib/Donac</v>
          </cell>
          <cell r="D101">
            <v>12157.09</v>
          </cell>
        </row>
        <row r="102">
          <cell r="B102">
            <v>600470</v>
          </cell>
          <cell r="C102" t="str">
            <v>Correo/Entregas</v>
          </cell>
          <cell r="D102">
            <v>1470.22</v>
          </cell>
        </row>
        <row r="103">
          <cell r="B103">
            <v>600630</v>
          </cell>
          <cell r="C103" t="str">
            <v>Gtos.Exam.pre.empleo</v>
          </cell>
          <cell r="D103">
            <v>5315.73</v>
          </cell>
        </row>
        <row r="104">
          <cell r="B104">
            <v>600650</v>
          </cell>
          <cell r="C104" t="str">
            <v>Subscripciones</v>
          </cell>
          <cell r="D104">
            <v>1675.71</v>
          </cell>
        </row>
        <row r="105">
          <cell r="B105">
            <v>600700</v>
          </cell>
          <cell r="C105" t="str">
            <v>Entretenimiento</v>
          </cell>
          <cell r="D105">
            <v>4032.77</v>
          </cell>
        </row>
        <row r="106">
          <cell r="B106">
            <v>600810</v>
          </cell>
          <cell r="C106" t="str">
            <v>Freight-out</v>
          </cell>
          <cell r="D106">
            <v>312466.40000000002</v>
          </cell>
        </row>
        <row r="107">
          <cell r="B107">
            <v>600820</v>
          </cell>
          <cell r="C107" t="str">
            <v>General/Administr.</v>
          </cell>
          <cell r="D107">
            <v>0</v>
          </cell>
        </row>
        <row r="108">
          <cell r="B108">
            <v>600870</v>
          </cell>
          <cell r="C108" t="str">
            <v>Seguro General</v>
          </cell>
          <cell r="D108">
            <v>59855.25</v>
          </cell>
        </row>
        <row r="109">
          <cell r="B109">
            <v>600880</v>
          </cell>
          <cell r="C109" t="str">
            <v>Seguro Salud</v>
          </cell>
          <cell r="D109">
            <v>52535.8</v>
          </cell>
        </row>
        <row r="110">
          <cell r="B110">
            <v>600900</v>
          </cell>
          <cell r="C110" t="str">
            <v>Seguro Vida</v>
          </cell>
          <cell r="D110">
            <v>7628.18</v>
          </cell>
        </row>
        <row r="111">
          <cell r="B111">
            <v>600990</v>
          </cell>
          <cell r="C111" t="str">
            <v>Analisis Laboratorio</v>
          </cell>
          <cell r="D111">
            <v>150</v>
          </cell>
        </row>
        <row r="112">
          <cell r="B112">
            <v>601000</v>
          </cell>
          <cell r="C112" t="str">
            <v>Acces/lab.planta</v>
          </cell>
          <cell r="D112">
            <v>49714.81</v>
          </cell>
        </row>
        <row r="113">
          <cell r="B113">
            <v>601010</v>
          </cell>
          <cell r="C113" t="str">
            <v>Honorarios Legales</v>
          </cell>
          <cell r="D113">
            <v>10313.370000000001</v>
          </cell>
        </row>
        <row r="114">
          <cell r="B114">
            <v>601030</v>
          </cell>
          <cell r="C114" t="str">
            <v>Meeting Expenses</v>
          </cell>
          <cell r="D114">
            <v>1129.04</v>
          </cell>
        </row>
        <row r="115">
          <cell r="B115">
            <v>601060</v>
          </cell>
          <cell r="C115" t="str">
            <v>Gastos Traslado</v>
          </cell>
          <cell r="D115">
            <v>11918.41</v>
          </cell>
        </row>
        <row r="116">
          <cell r="B116">
            <v>601080</v>
          </cell>
          <cell r="C116" t="str">
            <v>Other Acctg Services</v>
          </cell>
          <cell r="D116">
            <v>20380</v>
          </cell>
        </row>
        <row r="117">
          <cell r="B117">
            <v>601200</v>
          </cell>
          <cell r="C117" t="str">
            <v>Gastos impresion</v>
          </cell>
          <cell r="D117">
            <v>1286</v>
          </cell>
        </row>
        <row r="118">
          <cell r="B118">
            <v>601260</v>
          </cell>
          <cell r="C118" t="str">
            <v>Reclutamiento</v>
          </cell>
          <cell r="D118">
            <v>1800</v>
          </cell>
        </row>
        <row r="119">
          <cell r="B119">
            <v>601280</v>
          </cell>
          <cell r="C119" t="str">
            <v>Gasto Alquiler</v>
          </cell>
          <cell r="D119">
            <v>36448.730000000003</v>
          </cell>
        </row>
        <row r="120">
          <cell r="B120">
            <v>601290</v>
          </cell>
          <cell r="C120" t="str">
            <v>Gastos/Repar</v>
          </cell>
          <cell r="D120">
            <v>990</v>
          </cell>
        </row>
        <row r="121">
          <cell r="B121">
            <v>601310</v>
          </cell>
          <cell r="C121" t="str">
            <v>Equip.Plant rep/mant</v>
          </cell>
          <cell r="D121">
            <v>10232.18</v>
          </cell>
        </row>
        <row r="122">
          <cell r="B122">
            <v>601330</v>
          </cell>
          <cell r="C122" t="str">
            <v>Gastos Seguridad</v>
          </cell>
          <cell r="D122">
            <v>40684.769999999997</v>
          </cell>
        </row>
        <row r="123">
          <cell r="B123">
            <v>601350</v>
          </cell>
          <cell r="C123" t="str">
            <v>Gastos Vigilancia</v>
          </cell>
          <cell r="D123">
            <v>22323.64</v>
          </cell>
        </row>
        <row r="124">
          <cell r="B124">
            <v>601360</v>
          </cell>
          <cell r="C124" t="str">
            <v>Contr.Serv.Y Mant.</v>
          </cell>
          <cell r="D124">
            <v>10886.52</v>
          </cell>
        </row>
        <row r="125">
          <cell r="B125">
            <v>601455</v>
          </cell>
          <cell r="C125" t="str">
            <v>Impuestos/propiedad</v>
          </cell>
          <cell r="D125">
            <v>83600.13</v>
          </cell>
        </row>
        <row r="126">
          <cell r="B126">
            <v>601480</v>
          </cell>
          <cell r="C126" t="str">
            <v>Gastos/telef/Int</v>
          </cell>
          <cell r="D126">
            <v>3222.2</v>
          </cell>
        </row>
        <row r="127">
          <cell r="B127">
            <v>601490</v>
          </cell>
          <cell r="C127" t="str">
            <v>Gastos/telef local</v>
          </cell>
          <cell r="D127">
            <v>1537.6</v>
          </cell>
        </row>
        <row r="128">
          <cell r="B128">
            <v>601520</v>
          </cell>
          <cell r="C128" t="str">
            <v>Trade Show Expense</v>
          </cell>
          <cell r="D128">
            <v>0</v>
          </cell>
        </row>
        <row r="129">
          <cell r="B129">
            <v>601540</v>
          </cell>
          <cell r="C129" t="str">
            <v>Gastos entren</v>
          </cell>
          <cell r="D129">
            <v>25335.55</v>
          </cell>
        </row>
        <row r="130">
          <cell r="B130">
            <v>601610</v>
          </cell>
          <cell r="C130" t="str">
            <v>Combus camiones</v>
          </cell>
          <cell r="D130">
            <v>12405.96</v>
          </cell>
        </row>
        <row r="131">
          <cell r="B131">
            <v>601620</v>
          </cell>
          <cell r="C131" t="str">
            <v>Alquiler Vehiculo</v>
          </cell>
          <cell r="D131">
            <v>256543.65</v>
          </cell>
        </row>
        <row r="132">
          <cell r="B132">
            <v>601630</v>
          </cell>
          <cell r="C132" t="str">
            <v>Repar Mant.</v>
          </cell>
          <cell r="D132">
            <v>32326.91</v>
          </cell>
        </row>
        <row r="133">
          <cell r="B133">
            <v>601665</v>
          </cell>
          <cell r="C133" t="str">
            <v>Uniforms</v>
          </cell>
          <cell r="D133">
            <v>120</v>
          </cell>
        </row>
        <row r="134">
          <cell r="B134">
            <v>601670</v>
          </cell>
          <cell r="C134" t="str">
            <v>Gastos/electricidad</v>
          </cell>
          <cell r="D134">
            <v>2892.21</v>
          </cell>
        </row>
        <row r="135">
          <cell r="B135">
            <v>601690</v>
          </cell>
          <cell r="C135" t="str">
            <v>Utilities - Water</v>
          </cell>
          <cell r="D135">
            <v>2946.92</v>
          </cell>
        </row>
        <row r="136">
          <cell r="B136">
            <v>601700</v>
          </cell>
          <cell r="C136" t="str">
            <v>Gas/desper.(toxico)</v>
          </cell>
          <cell r="D136">
            <v>3767.5</v>
          </cell>
        </row>
        <row r="137">
          <cell r="B137">
            <v>610030</v>
          </cell>
          <cell r="C137" t="str">
            <v>Gastos/viaje Hotel</v>
          </cell>
          <cell r="D137">
            <v>210097.38</v>
          </cell>
        </row>
        <row r="138">
          <cell r="B138">
            <v>610070</v>
          </cell>
          <cell r="C138" t="str">
            <v>TE - Air, Rail, Mile</v>
          </cell>
          <cell r="D138">
            <v>110128.16</v>
          </cell>
        </row>
        <row r="139">
          <cell r="B139">
            <v>610520</v>
          </cell>
          <cell r="C139" t="str">
            <v>Gastos/nom Bonos</v>
          </cell>
          <cell r="D139">
            <v>25974</v>
          </cell>
        </row>
        <row r="140">
          <cell r="B140">
            <v>610540</v>
          </cell>
          <cell r="C140" t="str">
            <v>Payroll Exp-Vacation</v>
          </cell>
          <cell r="D140">
            <v>33467.99</v>
          </cell>
        </row>
        <row r="141">
          <cell r="B141">
            <v>610600</v>
          </cell>
          <cell r="C141" t="str">
            <v>Payroll - Pensions</v>
          </cell>
          <cell r="D141">
            <v>20963.259999999998</v>
          </cell>
        </row>
        <row r="142">
          <cell r="B142">
            <v>610610</v>
          </cell>
          <cell r="C142" t="str">
            <v>Payroll - Empl. Ben.</v>
          </cell>
          <cell r="D142">
            <v>138736.10999999999</v>
          </cell>
        </row>
        <row r="143">
          <cell r="B143">
            <v>610620</v>
          </cell>
          <cell r="C143" t="str">
            <v>Gastos/nom Comp.</v>
          </cell>
          <cell r="D143">
            <v>5881.2</v>
          </cell>
        </row>
        <row r="144">
          <cell r="B144">
            <v>611000</v>
          </cell>
          <cell r="C144" t="str">
            <v>Gastos/nom Salario</v>
          </cell>
          <cell r="D144">
            <v>712347.29</v>
          </cell>
        </row>
        <row r="145">
          <cell r="B145">
            <v>611010</v>
          </cell>
          <cell r="C145" t="str">
            <v>Payroll Exp-OT Wages</v>
          </cell>
          <cell r="D145">
            <v>123012.14</v>
          </cell>
        </row>
        <row r="146">
          <cell r="B146">
            <v>612000</v>
          </cell>
          <cell r="C146" t="str">
            <v>Gastos/nom Imp.</v>
          </cell>
          <cell r="D146">
            <v>104270.96</v>
          </cell>
        </row>
        <row r="147">
          <cell r="B147">
            <v>640010</v>
          </cell>
          <cell r="C147" t="str">
            <v>Dep. Edific Gasto</v>
          </cell>
          <cell r="D147">
            <v>4014.48</v>
          </cell>
        </row>
        <row r="148">
          <cell r="B148">
            <v>640020</v>
          </cell>
          <cell r="C148" t="str">
            <v>Dep. Maqui Gasto</v>
          </cell>
          <cell r="D148">
            <v>8766.52</v>
          </cell>
        </row>
        <row r="149">
          <cell r="B149">
            <v>640026</v>
          </cell>
          <cell r="C149" t="str">
            <v>Dep. Eq lab.Gasto</v>
          </cell>
          <cell r="D149">
            <v>4976.4799999999996</v>
          </cell>
        </row>
        <row r="150">
          <cell r="B150">
            <v>640040</v>
          </cell>
          <cell r="C150" t="str">
            <v>Dep. Vehic Gasto</v>
          </cell>
          <cell r="D150">
            <v>23423.360000000001</v>
          </cell>
        </row>
        <row r="151">
          <cell r="B151">
            <v>640050</v>
          </cell>
          <cell r="C151" t="str">
            <v>Dep. Eq/Ofi. Gasto</v>
          </cell>
          <cell r="D151">
            <v>8509.86</v>
          </cell>
        </row>
        <row r="152">
          <cell r="B152">
            <v>640060</v>
          </cell>
          <cell r="C152" t="str">
            <v>Dep. Mueb Gasto</v>
          </cell>
          <cell r="D152">
            <v>763.07</v>
          </cell>
        </row>
        <row r="153">
          <cell r="B153">
            <v>640070</v>
          </cell>
          <cell r="C153" t="str">
            <v>Depr Exp - Hardware</v>
          </cell>
          <cell r="D153">
            <v>7113.74</v>
          </cell>
        </row>
        <row r="154">
          <cell r="B154">
            <v>650085</v>
          </cell>
          <cell r="C154" t="str">
            <v>Ser. sub-contr</v>
          </cell>
          <cell r="D154">
            <v>30125.16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erminación del Límite"/>
      <sheetName val="Hoja de Datos"/>
      <sheetName val="Tabla del Límite"/>
      <sheetName val="Tickmarks"/>
      <sheetName val="Module1"/>
      <sheetName val=" Límite"/>
    </sheetNames>
    <sheetDataSet>
      <sheetData sheetId="0" refreshError="1"/>
      <sheetData sheetId="1" refreshError="1"/>
      <sheetData sheetId="2" refreshError="1">
        <row r="6">
          <cell r="A6">
            <v>1</v>
          </cell>
          <cell r="B6">
            <v>0.9</v>
          </cell>
          <cell r="C6">
            <v>4.5</v>
          </cell>
          <cell r="D6">
            <v>1</v>
          </cell>
          <cell r="E6">
            <v>0.45</v>
          </cell>
          <cell r="F6">
            <v>3</v>
          </cell>
        </row>
        <row r="7">
          <cell r="A7">
            <v>2</v>
          </cell>
          <cell r="B7">
            <v>0.85</v>
          </cell>
          <cell r="C7">
            <v>4.25</v>
          </cell>
          <cell r="D7">
            <v>2</v>
          </cell>
          <cell r="E7">
            <v>0.4</v>
          </cell>
          <cell r="F7">
            <v>2.67</v>
          </cell>
        </row>
        <row r="8">
          <cell r="A8">
            <v>4</v>
          </cell>
          <cell r="B8">
            <v>0.75</v>
          </cell>
          <cell r="C8">
            <v>3.75</v>
          </cell>
          <cell r="D8">
            <v>4</v>
          </cell>
          <cell r="E8">
            <v>0.35</v>
          </cell>
          <cell r="F8">
            <v>2.33</v>
          </cell>
        </row>
        <row r="9">
          <cell r="A9">
            <v>6</v>
          </cell>
          <cell r="B9">
            <v>0.65</v>
          </cell>
          <cell r="C9">
            <v>3.25</v>
          </cell>
          <cell r="D9">
            <v>6</v>
          </cell>
          <cell r="E9">
            <v>0.3</v>
          </cell>
          <cell r="F9">
            <v>2</v>
          </cell>
        </row>
        <row r="10">
          <cell r="A10">
            <v>12</v>
          </cell>
          <cell r="B10">
            <v>0.5</v>
          </cell>
          <cell r="C10">
            <v>2.5</v>
          </cell>
          <cell r="D10">
            <v>12</v>
          </cell>
          <cell r="E10">
            <v>0.25</v>
          </cell>
          <cell r="F10">
            <v>1.67</v>
          </cell>
        </row>
        <row r="11">
          <cell r="A11">
            <v>13</v>
          </cell>
          <cell r="B11">
            <v>0.4</v>
          </cell>
          <cell r="C11">
            <v>2</v>
          </cell>
          <cell r="D11">
            <v>13</v>
          </cell>
          <cell r="E11">
            <v>0.2</v>
          </cell>
          <cell r="F11">
            <v>1.33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x cobrar"/>
      <sheetName val="Clientes"/>
      <sheetName val="MAYAUX"/>
      <sheetName val="1134"/>
      <sheetName val="1137"/>
      <sheetName val="2132"/>
      <sheetName val="2149"/>
      <sheetName val="Invent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.BANC "/>
      <sheetName val="INVTEMP"/>
      <sheetName val="ANTCARCL"/>
      <sheetName val="PROV.INCOB"/>
      <sheetName val="MOV INV (1)"/>
      <sheetName val="MOV INV (2)"/>
      <sheetName val="MOV INV (3)"/>
      <sheetName val="IMP TRANSITO"/>
      <sheetName val="Prov Obsolecencia"/>
      <sheetName val="SEGUROS"/>
      <sheetName val="MOVAFIJO"/>
      <sheetName val="MOVAFI (2)"/>
      <sheetName val="DETALLE VTA. A.FIJO"/>
      <sheetName val="CONCIL.ACT"/>
      <sheetName val="Inv. Acc. Anex"/>
      <sheetName val="OBLG"/>
      <sheetName val="GARANTIA"/>
      <sheetName val="PROVEE"/>
      <sheetName val="RELAC"/>
      <sheetName val="MOV.BENEF"/>
      <sheetName val="JUB. PATRO Y DESHA"/>
      <sheetName val="PATRIM"/>
      <sheetName val="Contingentes"/>
      <sheetName val="Otros"/>
    </sheetNames>
    <sheetDataSet>
      <sheetData sheetId="0" refreshError="1">
        <row r="1">
          <cell r="A1" t="str">
            <v>COMPAÑÍA ECUATORIANA DEL CAUCHO S.A.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0000"/>
      <sheetName val="0000000"/>
      <sheetName val="Inicio"/>
      <sheetName val="Reporte"/>
      <sheetName val="Hoja2"/>
      <sheetName val="Hoja1"/>
      <sheetName val="diciembre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GO 29 ABR 04"/>
      <sheetName val="PGO 21 ABR"/>
      <sheetName val="PGO 15 ABR"/>
      <sheetName val="PGO 8 ABR"/>
      <sheetName val="PGO 1 ABR "/>
      <sheetName val="2130201  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Q1"/>
      <sheetName val="CREDITO TRIBUTARIO"/>
    </sheetNames>
    <sheetDataSet>
      <sheetData sheetId="0" refreshError="1"/>
      <sheetData sheetId="1">
        <row r="1">
          <cell r="B1" t="str">
            <v>M-I OVERSEAS LIMITED</v>
          </cell>
        </row>
        <row r="2">
          <cell r="B2" t="str">
            <v>DETALLE DE IVA RETENIDO</v>
          </cell>
        </row>
        <row r="3">
          <cell r="B3" t="str">
            <v>MAYO - 2004</v>
          </cell>
        </row>
        <row r="5">
          <cell r="A5" t="str">
            <v>Description</v>
          </cell>
          <cell r="B5" t="str">
            <v>Proveedor</v>
          </cell>
          <cell r="C5" t="str">
            <v>Accnt Name</v>
          </cell>
          <cell r="D5" t="str">
            <v>Tax Code</v>
          </cell>
          <cell r="E5" t="str">
            <v>Reference</v>
          </cell>
          <cell r="F5" t="str">
            <v>Trans Date</v>
          </cell>
          <cell r="G5" t="str">
            <v>Factura Amount</v>
          </cell>
          <cell r="H5" t="str">
            <v>IVA Amount</v>
          </cell>
          <cell r="I5" t="str">
            <v>IVA Retencion</v>
          </cell>
          <cell r="J5" t="str">
            <v>Description</v>
          </cell>
          <cell r="K5" t="str">
            <v>Anal T8</v>
          </cell>
          <cell r="L5" t="str">
            <v>Anal A7</v>
          </cell>
          <cell r="M5" t="str">
            <v>Egreso</v>
          </cell>
          <cell r="N5" t="str">
            <v>RUC</v>
          </cell>
        </row>
        <row r="6">
          <cell r="A6" t="str">
            <v>MISO004019</v>
          </cell>
          <cell r="B6" t="str">
            <v>210VCACS</v>
          </cell>
          <cell r="C6" t="str">
            <v>Castillo Carlos</v>
          </cell>
          <cell r="D6" t="str">
            <v>1714316773</v>
          </cell>
          <cell r="E6" t="str">
            <v>236</v>
          </cell>
          <cell r="F6" t="str">
            <v>03/05/2004</v>
          </cell>
          <cell r="G6">
            <v>750</v>
          </cell>
          <cell r="H6">
            <v>90</v>
          </cell>
          <cell r="I6">
            <v>90</v>
          </cell>
          <cell r="J6" t="str">
            <v>MISO004019</v>
          </cell>
          <cell r="K6" t="str">
            <v>VA1</v>
          </cell>
          <cell r="L6" t="str">
            <v>ARRIENDO</v>
          </cell>
          <cell r="M6" t="str">
            <v>0000010803</v>
          </cell>
          <cell r="N6">
            <v>1</v>
          </cell>
        </row>
        <row r="7">
          <cell r="A7" t="str">
            <v>MISO004260</v>
          </cell>
          <cell r="B7" t="str">
            <v>210VHAL2</v>
          </cell>
          <cell r="C7" t="str">
            <v>Halliburton</v>
          </cell>
          <cell r="D7" t="str">
            <v>1790528782001</v>
          </cell>
          <cell r="E7" t="str">
            <v>846</v>
          </cell>
          <cell r="G7">
            <v>5000</v>
          </cell>
          <cell r="H7">
            <v>600</v>
          </cell>
          <cell r="J7" t="str">
            <v>MISO004260</v>
          </cell>
          <cell r="K7" t="str">
            <v>RA1</v>
          </cell>
          <cell r="L7" t="str">
            <v>ARRIENDO</v>
          </cell>
          <cell r="N7">
            <v>9</v>
          </cell>
          <cell r="Q7" t="str">
            <v>ARRIENDO</v>
          </cell>
        </row>
        <row r="8">
          <cell r="A8" t="str">
            <v>MIIV003064</v>
          </cell>
          <cell r="B8" t="str">
            <v>210VHERL</v>
          </cell>
          <cell r="C8" t="str">
            <v>Herrera Semeria Ligia Magdalen</v>
          </cell>
          <cell r="D8" t="str">
            <v>1705384806001</v>
          </cell>
          <cell r="E8" t="str">
            <v>3</v>
          </cell>
          <cell r="G8">
            <v>1600</v>
          </cell>
          <cell r="H8">
            <v>128</v>
          </cell>
          <cell r="J8" t="str">
            <v>MIIV003064</v>
          </cell>
          <cell r="K8" t="str">
            <v>RA8</v>
          </cell>
          <cell r="L8" t="str">
            <v>ARRIENDO</v>
          </cell>
          <cell r="M8" t="str">
            <v>0000010654</v>
          </cell>
          <cell r="N8">
            <v>0</v>
          </cell>
          <cell r="Q8" t="str">
            <v>VHERL</v>
          </cell>
        </row>
        <row r="9">
          <cell r="A9" t="str">
            <v>MIIV003062</v>
          </cell>
          <cell r="B9" t="str">
            <v>210VHIPA</v>
          </cell>
          <cell r="C9" t="str">
            <v>Hipatia Coral</v>
          </cell>
          <cell r="D9" t="str">
            <v>1701068114001</v>
          </cell>
          <cell r="E9" t="str">
            <v>356</v>
          </cell>
          <cell r="F9" t="str">
            <v>03/05/2004</v>
          </cell>
          <cell r="G9">
            <v>50</v>
          </cell>
          <cell r="H9">
            <v>6</v>
          </cell>
          <cell r="I9">
            <v>6</v>
          </cell>
          <cell r="J9" t="str">
            <v>MIIV003062</v>
          </cell>
          <cell r="K9" t="str">
            <v>VA1</v>
          </cell>
          <cell r="L9" t="str">
            <v>ARRIENDO</v>
          </cell>
          <cell r="M9" t="str">
            <v>0000010652</v>
          </cell>
          <cell r="N9">
            <v>0</v>
          </cell>
        </row>
        <row r="10">
          <cell r="A10" t="str">
            <v>MIIV003063</v>
          </cell>
          <cell r="B10" t="str">
            <v>210VINMO</v>
          </cell>
          <cell r="C10" t="str">
            <v>Inmobiliaria Juniesa S.A</v>
          </cell>
          <cell r="D10" t="str">
            <v>1791000250001</v>
          </cell>
          <cell r="E10" t="str">
            <v>9496</v>
          </cell>
          <cell r="F10" t="str">
            <v>31/05/2004</v>
          </cell>
          <cell r="G10">
            <v>1700</v>
          </cell>
          <cell r="H10">
            <v>204</v>
          </cell>
          <cell r="I10">
            <v>142.80000000000001</v>
          </cell>
          <cell r="J10" t="str">
            <v>MIIV003063</v>
          </cell>
          <cell r="K10" t="str">
            <v>VA1</v>
          </cell>
          <cell r="L10" t="str">
            <v>SOCIEDAD</v>
          </cell>
          <cell r="M10" t="str">
            <v>0000010653</v>
          </cell>
          <cell r="N10">
            <v>9</v>
          </cell>
        </row>
        <row r="11">
          <cell r="A11" t="str">
            <v>MIIV003055</v>
          </cell>
          <cell r="B11" t="str">
            <v>210VVINE</v>
          </cell>
          <cell r="C11" t="str">
            <v>Juan Vinelli</v>
          </cell>
          <cell r="D11" t="str">
            <v>0101001170</v>
          </cell>
          <cell r="E11" t="str">
            <v>212</v>
          </cell>
          <cell r="F11" t="str">
            <v>01/05/2004</v>
          </cell>
          <cell r="G11">
            <v>2087</v>
          </cell>
          <cell r="H11">
            <v>250.44</v>
          </cell>
          <cell r="I11">
            <v>250.44</v>
          </cell>
          <cell r="J11" t="str">
            <v>MIIV003055</v>
          </cell>
          <cell r="K11" t="str">
            <v>VH1</v>
          </cell>
          <cell r="L11" t="str">
            <v>HONORARIO</v>
          </cell>
          <cell r="M11" t="str">
            <v>0000010644</v>
          </cell>
          <cell r="N11">
            <v>0</v>
          </cell>
        </row>
        <row r="12">
          <cell r="A12" t="str">
            <v>MIIV003073</v>
          </cell>
          <cell r="B12" t="str">
            <v>210VLOPC</v>
          </cell>
          <cell r="C12" t="str">
            <v>LOPEZ CARLOS</v>
          </cell>
          <cell r="D12" t="str">
            <v>1703516409001</v>
          </cell>
          <cell r="E12" t="str">
            <v>206</v>
          </cell>
          <cell r="F12" t="str">
            <v>03/05/2004</v>
          </cell>
          <cell r="G12">
            <v>2096</v>
          </cell>
          <cell r="H12">
            <v>251.51999999999998</v>
          </cell>
          <cell r="I12">
            <v>251.52</v>
          </cell>
          <cell r="J12" t="str">
            <v>MIIV003073</v>
          </cell>
          <cell r="K12" t="str">
            <v>VA1</v>
          </cell>
          <cell r="L12" t="str">
            <v>ARRIENDO</v>
          </cell>
          <cell r="M12" t="str">
            <v>0001352004</v>
          </cell>
          <cell r="N12">
            <v>0</v>
          </cell>
        </row>
        <row r="13">
          <cell r="A13" t="str">
            <v>MIIV003059</v>
          </cell>
          <cell r="B13" t="str">
            <v>210VMESI</v>
          </cell>
          <cell r="C13" t="str">
            <v>Mesias Cortes Mario</v>
          </cell>
          <cell r="D13" t="str">
            <v>1705071718001</v>
          </cell>
          <cell r="E13" t="str">
            <v>17</v>
          </cell>
          <cell r="G13">
            <v>1400</v>
          </cell>
          <cell r="H13">
            <v>112</v>
          </cell>
          <cell r="J13" t="str">
            <v>MIIV003059</v>
          </cell>
          <cell r="K13" t="str">
            <v>RA8</v>
          </cell>
          <cell r="L13" t="str">
            <v>ARRIENDO</v>
          </cell>
          <cell r="M13" t="str">
            <v>0000010653</v>
          </cell>
          <cell r="N13">
            <v>0</v>
          </cell>
          <cell r="Q13" t="str">
            <v>ARRIENDO</v>
          </cell>
        </row>
        <row r="14">
          <cell r="A14" t="str">
            <v>MISO004267</v>
          </cell>
          <cell r="B14" t="str">
            <v>210VTNAT</v>
          </cell>
          <cell r="C14" t="str">
            <v>NATRANSCOM</v>
          </cell>
          <cell r="D14" t="str">
            <v>1791773241001</v>
          </cell>
          <cell r="E14" t="str">
            <v>9878</v>
          </cell>
          <cell r="F14" t="str">
            <v>11/05/2004</v>
          </cell>
          <cell r="G14">
            <v>150</v>
          </cell>
          <cell r="H14">
            <v>18</v>
          </cell>
          <cell r="I14">
            <v>12.6</v>
          </cell>
          <cell r="J14" t="str">
            <v>MISO004267</v>
          </cell>
          <cell r="K14" t="str">
            <v>VA7</v>
          </cell>
          <cell r="L14" t="str">
            <v>SOCIEDAD</v>
          </cell>
          <cell r="N14">
            <v>9</v>
          </cell>
        </row>
        <row r="15">
          <cell r="A15" t="str">
            <v>MIIV003056</v>
          </cell>
          <cell r="B15" t="str">
            <v>210VEGAS</v>
          </cell>
          <cell r="C15" t="str">
            <v>Oswaldo Egas</v>
          </cell>
          <cell r="D15" t="str">
            <v>1703865608001</v>
          </cell>
          <cell r="E15" t="str">
            <v>182</v>
          </cell>
          <cell r="F15" t="str">
            <v>03/05/2004</v>
          </cell>
          <cell r="G15">
            <v>1191.44</v>
          </cell>
          <cell r="H15">
            <v>142.97</v>
          </cell>
          <cell r="I15">
            <v>142.97</v>
          </cell>
          <cell r="J15" t="str">
            <v>MIIV003056</v>
          </cell>
          <cell r="K15" t="str">
            <v>VA1</v>
          </cell>
          <cell r="L15" t="str">
            <v>ARRIENDO</v>
          </cell>
          <cell r="M15" t="str">
            <v>0000010645</v>
          </cell>
          <cell r="N15">
            <v>0</v>
          </cell>
        </row>
        <row r="16">
          <cell r="A16" t="str">
            <v>MIIV003066</v>
          </cell>
          <cell r="B16" t="str">
            <v>210VPLAC</v>
          </cell>
          <cell r="C16" t="str">
            <v>Placencia Francisco</v>
          </cell>
          <cell r="D16" t="str">
            <v>1702023233001</v>
          </cell>
          <cell r="E16" t="str">
            <v>156</v>
          </cell>
          <cell r="G16">
            <v>1452</v>
          </cell>
          <cell r="H16">
            <v>116.16</v>
          </cell>
          <cell r="J16" t="str">
            <v>MIIV003066</v>
          </cell>
          <cell r="K16" t="str">
            <v>RA8</v>
          </cell>
          <cell r="L16" t="str">
            <v>ARRIENDO</v>
          </cell>
          <cell r="M16" t="str">
            <v>0000010658</v>
          </cell>
          <cell r="N16">
            <v>0</v>
          </cell>
          <cell r="Q16" t="str">
            <v>VPLAC</v>
          </cell>
        </row>
        <row r="17">
          <cell r="A17" t="str">
            <v>MIIV003060</v>
          </cell>
          <cell r="B17" t="str">
            <v>210VTORR</v>
          </cell>
          <cell r="C17" t="str">
            <v>Raul De La Torre</v>
          </cell>
          <cell r="D17" t="str">
            <v>0905895181001</v>
          </cell>
          <cell r="E17" t="str">
            <v>108</v>
          </cell>
          <cell r="F17" t="str">
            <v>02/05/2004</v>
          </cell>
          <cell r="G17">
            <v>2100</v>
          </cell>
          <cell r="H17">
            <v>252</v>
          </cell>
          <cell r="I17">
            <v>252</v>
          </cell>
          <cell r="J17" t="str">
            <v>MIIV003060</v>
          </cell>
          <cell r="K17" t="str">
            <v>VH1</v>
          </cell>
          <cell r="L17" t="str">
            <v>HONORARIO</v>
          </cell>
          <cell r="M17" t="str">
            <v>0000010649</v>
          </cell>
          <cell r="N17">
            <v>0</v>
          </cell>
        </row>
        <row r="18">
          <cell r="G18">
            <v>17476.440000000002</v>
          </cell>
          <cell r="H18">
            <v>1919.0900000000001</v>
          </cell>
          <cell r="I18">
            <v>896.33</v>
          </cell>
        </row>
        <row r="19">
          <cell r="A19" t="str">
            <v>HONORARIOS ANDRE</v>
          </cell>
          <cell r="B19" t="str">
            <v>210VFIGU</v>
          </cell>
          <cell r="C19" t="str">
            <v>ANDRE FIGUEREIDO</v>
          </cell>
          <cell r="D19" t="str">
            <v>1791821971001</v>
          </cell>
          <cell r="E19" t="str">
            <v>9490</v>
          </cell>
          <cell r="F19" t="str">
            <v>28/05/2004</v>
          </cell>
          <cell r="G19">
            <v>8913.0400000000009</v>
          </cell>
          <cell r="H19">
            <v>1069.5648000000001</v>
          </cell>
          <cell r="I19">
            <v>1069.56</v>
          </cell>
          <cell r="J19" t="str">
            <v>HONORARIOS ANDRE</v>
          </cell>
          <cell r="K19" t="str">
            <v>VH1</v>
          </cell>
          <cell r="L19" t="str">
            <v>HONORARIO</v>
          </cell>
          <cell r="N19">
            <v>9</v>
          </cell>
        </row>
        <row r="20">
          <cell r="A20" t="str">
            <v>MISO004155</v>
          </cell>
          <cell r="B20" t="str">
            <v>210VPAZM</v>
          </cell>
          <cell r="C20" t="str">
            <v>Bayron Pazmi¤o</v>
          </cell>
          <cell r="D20" t="str">
            <v>1705278180001</v>
          </cell>
          <cell r="E20" t="str">
            <v>662</v>
          </cell>
          <cell r="F20" t="str">
            <v>17/05/2004</v>
          </cell>
          <cell r="G20">
            <v>450</v>
          </cell>
          <cell r="H20">
            <v>54</v>
          </cell>
          <cell r="I20">
            <v>54</v>
          </cell>
          <cell r="J20" t="str">
            <v>MISO004155</v>
          </cell>
          <cell r="K20" t="str">
            <v>VH1</v>
          </cell>
          <cell r="L20" t="str">
            <v>HONORARIO</v>
          </cell>
          <cell r="M20" t="str">
            <v>0001412004</v>
          </cell>
          <cell r="N20">
            <v>0</v>
          </cell>
        </row>
        <row r="21">
          <cell r="A21" t="str">
            <v>MISO004314</v>
          </cell>
          <cell r="B21" t="str">
            <v>210VPAZM</v>
          </cell>
          <cell r="C21" t="str">
            <v>Bayron Pazmi¤o</v>
          </cell>
          <cell r="D21" t="str">
            <v>1705278180001</v>
          </cell>
          <cell r="E21" t="str">
            <v>662</v>
          </cell>
          <cell r="F21" t="str">
            <v>17/05/2004</v>
          </cell>
          <cell r="G21">
            <v>675</v>
          </cell>
          <cell r="H21">
            <v>81</v>
          </cell>
          <cell r="I21">
            <v>81</v>
          </cell>
          <cell r="J21" t="str">
            <v>MISO004314</v>
          </cell>
          <cell r="K21" t="str">
            <v>VH1</v>
          </cell>
          <cell r="L21" t="str">
            <v>HONORARIO</v>
          </cell>
          <cell r="M21" t="str">
            <v>0001412004</v>
          </cell>
          <cell r="N21">
            <v>0</v>
          </cell>
        </row>
        <row r="22">
          <cell r="A22" t="str">
            <v>MIIV003010</v>
          </cell>
          <cell r="B22" t="str">
            <v>210VBETA</v>
          </cell>
          <cell r="C22" t="str">
            <v>BETANCOURT REINALDO</v>
          </cell>
          <cell r="D22" t="str">
            <v>1791874218001</v>
          </cell>
          <cell r="E22" t="str">
            <v>52</v>
          </cell>
          <cell r="F22" t="str">
            <v>13/05/2004</v>
          </cell>
          <cell r="G22">
            <v>2782.58</v>
          </cell>
          <cell r="H22">
            <v>333.90959999999995</v>
          </cell>
          <cell r="I22">
            <v>333.91</v>
          </cell>
          <cell r="J22" t="str">
            <v>MIIV003010</v>
          </cell>
          <cell r="K22" t="str">
            <v>VH1</v>
          </cell>
          <cell r="L22" t="str">
            <v>HONORARIO</v>
          </cell>
          <cell r="M22" t="str">
            <v>0000010696</v>
          </cell>
          <cell r="N22">
            <v>9</v>
          </cell>
        </row>
        <row r="23">
          <cell r="A23" t="str">
            <v>MISO004161</v>
          </cell>
          <cell r="B23" t="str">
            <v>210VBETA</v>
          </cell>
          <cell r="C23" t="str">
            <v>BETANCOURT REINALDO</v>
          </cell>
          <cell r="D23" t="str">
            <v>1791874218001</v>
          </cell>
          <cell r="E23" t="str">
            <v>51</v>
          </cell>
          <cell r="F23" t="str">
            <v>13/05/2004</v>
          </cell>
          <cell r="G23">
            <v>2399.42</v>
          </cell>
          <cell r="H23">
            <v>287.93400000000003</v>
          </cell>
          <cell r="I23">
            <v>287.93</v>
          </cell>
          <cell r="J23" t="str">
            <v>MISO004161</v>
          </cell>
          <cell r="K23" t="str">
            <v>VH1</v>
          </cell>
          <cell r="L23" t="str">
            <v>HONORARIO</v>
          </cell>
          <cell r="M23" t="str">
            <v>0001412004</v>
          </cell>
          <cell r="N23">
            <v>9</v>
          </cell>
        </row>
        <row r="24">
          <cell r="A24" t="str">
            <v>MISO004291</v>
          </cell>
          <cell r="B24" t="str">
            <v>210VBETA</v>
          </cell>
          <cell r="C24" t="str">
            <v>BETANCOURT REINALDO</v>
          </cell>
          <cell r="D24" t="str">
            <v>1791874218001</v>
          </cell>
          <cell r="E24" t="str">
            <v>51</v>
          </cell>
          <cell r="F24" t="str">
            <v>13/05/2004</v>
          </cell>
          <cell r="G24">
            <v>1667.17</v>
          </cell>
          <cell r="H24">
            <v>200.06399999999999</v>
          </cell>
          <cell r="I24">
            <v>200.06</v>
          </cell>
          <cell r="J24" t="str">
            <v>MISO004291</v>
          </cell>
          <cell r="K24" t="str">
            <v>VH1</v>
          </cell>
          <cell r="L24" t="str">
            <v>HONORARIO</v>
          </cell>
          <cell r="M24" t="str">
            <v>0001412004</v>
          </cell>
          <cell r="N24">
            <v>9</v>
          </cell>
        </row>
        <row r="25">
          <cell r="A25" t="str">
            <v>HONORARIO BRUCE WADE MAYO</v>
          </cell>
          <cell r="B25" t="str">
            <v>210VWADE</v>
          </cell>
          <cell r="C25" t="str">
            <v>Bruce Wade</v>
          </cell>
          <cell r="D25" t="str">
            <v>1791853814001</v>
          </cell>
          <cell r="E25" t="str">
            <v>9472</v>
          </cell>
          <cell r="F25" t="str">
            <v>20/05/2004</v>
          </cell>
          <cell r="G25">
            <v>8586.9599999999991</v>
          </cell>
          <cell r="H25">
            <v>1030.4351999999999</v>
          </cell>
          <cell r="I25">
            <v>1030.44</v>
          </cell>
          <cell r="J25" t="str">
            <v>HONORARIO BRUCE WADE MAYO</v>
          </cell>
          <cell r="K25" t="str">
            <v>VH1</v>
          </cell>
          <cell r="L25" t="str">
            <v>HONORARIO</v>
          </cell>
          <cell r="N25">
            <v>9</v>
          </cell>
        </row>
        <row r="26">
          <cell r="A26" t="str">
            <v>MIIV003031</v>
          </cell>
          <cell r="B26" t="str">
            <v>210VCIRO</v>
          </cell>
          <cell r="C26" t="str">
            <v>CIRO ROMERO</v>
          </cell>
          <cell r="D26" t="str">
            <v>1791926536001</v>
          </cell>
          <cell r="E26" t="str">
            <v>2</v>
          </cell>
          <cell r="F26" t="str">
            <v>30/04/2004</v>
          </cell>
          <cell r="G26">
            <v>5166.75</v>
          </cell>
          <cell r="H26">
            <v>620.01</v>
          </cell>
          <cell r="I26">
            <v>620.01</v>
          </cell>
          <cell r="J26" t="str">
            <v>MIIV003031</v>
          </cell>
          <cell r="K26" t="str">
            <v>VH1</v>
          </cell>
          <cell r="L26" t="str">
            <v>HONORARIO</v>
          </cell>
          <cell r="M26" t="str">
            <v>0001412004</v>
          </cell>
          <cell r="N26">
            <v>9</v>
          </cell>
        </row>
        <row r="27">
          <cell r="A27" t="str">
            <v>MISO004296</v>
          </cell>
          <cell r="B27" t="str">
            <v>210VCRUA</v>
          </cell>
          <cell r="C27" t="str">
            <v>CRUZ JORGE</v>
          </cell>
          <cell r="D27" t="str">
            <v>1791872843001</v>
          </cell>
          <cell r="E27" t="str">
            <v>12</v>
          </cell>
          <cell r="F27" t="str">
            <v>24/05/2004</v>
          </cell>
          <cell r="G27">
            <v>9166.5</v>
          </cell>
          <cell r="H27">
            <v>1099.98</v>
          </cell>
          <cell r="I27">
            <v>1099.98</v>
          </cell>
          <cell r="J27" t="str">
            <v>MISO004296</v>
          </cell>
          <cell r="K27" t="str">
            <v>VH1</v>
          </cell>
          <cell r="L27" t="str">
            <v>HONORARIO</v>
          </cell>
          <cell r="N27">
            <v>9</v>
          </cell>
        </row>
        <row r="28">
          <cell r="A28" t="str">
            <v>HONORARIOS DEREK CHRISTIE</v>
          </cell>
          <cell r="B28" t="str">
            <v>210VCHRI</v>
          </cell>
          <cell r="C28" t="str">
            <v>Derek Christie</v>
          </cell>
          <cell r="D28" t="str">
            <v>1791892771001</v>
          </cell>
          <cell r="E28" t="str">
            <v>9471</v>
          </cell>
          <cell r="F28" t="str">
            <v>20/05/2004</v>
          </cell>
          <cell r="G28">
            <v>15380.44</v>
          </cell>
          <cell r="H28">
            <v>1845.6528000000001</v>
          </cell>
          <cell r="I28">
            <v>1845.65</v>
          </cell>
          <cell r="J28" t="str">
            <v>HONORARIOS DEREK CHRISTIE</v>
          </cell>
          <cell r="K28" t="str">
            <v>VH1</v>
          </cell>
          <cell r="L28" t="str">
            <v>HONORARIO</v>
          </cell>
          <cell r="N28">
            <v>9</v>
          </cell>
        </row>
        <row r="29">
          <cell r="A29" t="str">
            <v>VACATION DEREK AJUSTE</v>
          </cell>
          <cell r="B29" t="str">
            <v>210VCHRI</v>
          </cell>
          <cell r="C29" t="str">
            <v>Derek Christie</v>
          </cell>
          <cell r="D29" t="str">
            <v>1791892771001</v>
          </cell>
          <cell r="E29" t="str">
            <v>9491</v>
          </cell>
          <cell r="F29" t="str">
            <v>28/05/2004</v>
          </cell>
          <cell r="G29">
            <v>2738.62</v>
          </cell>
          <cell r="H29">
            <v>328.63439999999997</v>
          </cell>
          <cell r="I29">
            <v>328.63</v>
          </cell>
          <cell r="J29" t="str">
            <v>VACATION DEREK AJUSTE</v>
          </cell>
          <cell r="K29" t="str">
            <v>VH1</v>
          </cell>
          <cell r="L29" t="str">
            <v>HONORARIO</v>
          </cell>
          <cell r="M29" t="str">
            <v>0000010651</v>
          </cell>
          <cell r="N29">
            <v>9</v>
          </cell>
        </row>
        <row r="30">
          <cell r="A30" t="str">
            <v>MISO004159</v>
          </cell>
          <cell r="B30" t="str">
            <v>210VBAST</v>
          </cell>
          <cell r="C30" t="str">
            <v>Freddy Bastidas</v>
          </cell>
          <cell r="D30" t="str">
            <v>1708713779001</v>
          </cell>
          <cell r="E30" t="str">
            <v>310</v>
          </cell>
          <cell r="F30" t="str">
            <v>29/04/2004</v>
          </cell>
          <cell r="G30">
            <v>5750</v>
          </cell>
          <cell r="H30">
            <v>690</v>
          </cell>
          <cell r="I30">
            <v>690</v>
          </cell>
          <cell r="J30" t="str">
            <v>MISO004159</v>
          </cell>
          <cell r="K30" t="str">
            <v>VH1</v>
          </cell>
          <cell r="L30" t="str">
            <v>HONORARIO</v>
          </cell>
          <cell r="M30" t="str">
            <v>0001352004</v>
          </cell>
          <cell r="N30">
            <v>0</v>
          </cell>
        </row>
        <row r="31">
          <cell r="A31" t="str">
            <v>MIIV003074</v>
          </cell>
          <cell r="B31" t="str">
            <v>210VBAST</v>
          </cell>
          <cell r="C31" t="str">
            <v>Freddy Bastidas</v>
          </cell>
          <cell r="D31" t="str">
            <v>1708713779001</v>
          </cell>
          <cell r="E31" t="str">
            <v>312</v>
          </cell>
          <cell r="F31" t="str">
            <v>29/04/2004</v>
          </cell>
          <cell r="G31">
            <v>1599.92</v>
          </cell>
          <cell r="H31">
            <v>191.99039999999999</v>
          </cell>
          <cell r="I31">
            <v>191.99</v>
          </cell>
          <cell r="J31" t="str">
            <v>MIIV003074</v>
          </cell>
          <cell r="K31" t="str">
            <v>VH1</v>
          </cell>
          <cell r="L31" t="str">
            <v>HONORARIO</v>
          </cell>
          <cell r="M31" t="str">
            <v>0001352004</v>
          </cell>
          <cell r="N31">
            <v>0</v>
          </cell>
        </row>
        <row r="32">
          <cell r="A32" t="str">
            <v>MISO004182</v>
          </cell>
          <cell r="B32" t="str">
            <v>210VESGA</v>
          </cell>
          <cell r="C32" t="str">
            <v>Galo Estevez Varela</v>
          </cell>
          <cell r="D32" t="str">
            <v>1713092003001</v>
          </cell>
          <cell r="E32" t="str">
            <v>1057-58</v>
          </cell>
          <cell r="F32" t="str">
            <v>10/04/2004</v>
          </cell>
          <cell r="G32">
            <v>130</v>
          </cell>
          <cell r="H32">
            <v>15.6</v>
          </cell>
          <cell r="I32">
            <v>15.6</v>
          </cell>
          <cell r="J32" t="str">
            <v>MISO004182</v>
          </cell>
          <cell r="K32" t="str">
            <v>VH1</v>
          </cell>
          <cell r="L32" t="str">
            <v>HONORARIO</v>
          </cell>
          <cell r="M32" t="str">
            <v>0000010865</v>
          </cell>
          <cell r="N32">
            <v>1</v>
          </cell>
        </row>
        <row r="33">
          <cell r="A33" t="str">
            <v>HONORARIOS LUCIANO</v>
          </cell>
          <cell r="B33" t="str">
            <v>210VGARL</v>
          </cell>
          <cell r="C33" t="str">
            <v>GARCIA LUCIANO</v>
          </cell>
          <cell r="D33" t="str">
            <v>1791870344001</v>
          </cell>
          <cell r="E33" t="str">
            <v>9489</v>
          </cell>
          <cell r="F33" t="str">
            <v>28/05/2004</v>
          </cell>
          <cell r="G33">
            <v>6795.63</v>
          </cell>
          <cell r="H33">
            <v>815.47559999999999</v>
          </cell>
          <cell r="I33">
            <v>815.48</v>
          </cell>
          <cell r="J33" t="str">
            <v>HONORARIOS LUCIANO</v>
          </cell>
          <cell r="K33" t="str">
            <v>VH1</v>
          </cell>
          <cell r="L33" t="str">
            <v>HONORARIO</v>
          </cell>
          <cell r="N33">
            <v>9</v>
          </cell>
        </row>
        <row r="34">
          <cell r="A34" t="str">
            <v>AJUSTE LUCIANO</v>
          </cell>
          <cell r="B34" t="str">
            <v>210VGARL</v>
          </cell>
          <cell r="C34" t="str">
            <v>GARCIA LUCIANO</v>
          </cell>
          <cell r="D34" t="str">
            <v>1791870344001</v>
          </cell>
          <cell r="E34" t="str">
            <v>9489</v>
          </cell>
          <cell r="F34" t="str">
            <v>28/05/2004</v>
          </cell>
          <cell r="G34">
            <v>195.63</v>
          </cell>
          <cell r="H34">
            <v>23.4756</v>
          </cell>
          <cell r="I34">
            <v>23.48</v>
          </cell>
          <cell r="J34" t="str">
            <v>AJUSTE LUCIANO</v>
          </cell>
          <cell r="K34" t="str">
            <v>VH1</v>
          </cell>
          <cell r="L34" t="str">
            <v>HONORARIO</v>
          </cell>
          <cell r="N34">
            <v>9</v>
          </cell>
        </row>
        <row r="35">
          <cell r="A35" t="str">
            <v>VACACIONES LUCIANO</v>
          </cell>
          <cell r="B35" t="str">
            <v>210VGARL</v>
          </cell>
          <cell r="C35" t="str">
            <v>GARCIA LUCIANO</v>
          </cell>
          <cell r="D35" t="str">
            <v>1791870344001</v>
          </cell>
          <cell r="E35" t="str">
            <v>9489</v>
          </cell>
          <cell r="F35" t="str">
            <v>28/05/2004</v>
          </cell>
          <cell r="G35">
            <v>2684.38</v>
          </cell>
          <cell r="H35">
            <v>322.12560000000002</v>
          </cell>
          <cell r="I35">
            <v>322.13</v>
          </cell>
          <cell r="J35" t="str">
            <v>VACACIONES LUCIANO</v>
          </cell>
          <cell r="K35" t="str">
            <v>VH1</v>
          </cell>
          <cell r="L35" t="str">
            <v>HONORARIO</v>
          </cell>
          <cell r="N35">
            <v>9</v>
          </cell>
        </row>
        <row r="36">
          <cell r="A36" t="str">
            <v>MISO004351</v>
          </cell>
          <cell r="B36" t="str">
            <v>210VGUAR</v>
          </cell>
          <cell r="C36" t="str">
            <v>Guama Roberto Fabian</v>
          </cell>
          <cell r="D36" t="str">
            <v>0400901146001</v>
          </cell>
          <cell r="E36" t="str">
            <v>29</v>
          </cell>
          <cell r="F36" t="str">
            <v>21/05/2004</v>
          </cell>
          <cell r="G36">
            <v>775</v>
          </cell>
          <cell r="H36">
            <v>93</v>
          </cell>
          <cell r="I36">
            <v>93</v>
          </cell>
          <cell r="J36" t="str">
            <v>MISO004351</v>
          </cell>
          <cell r="K36" t="str">
            <v>VH1</v>
          </cell>
          <cell r="L36" t="str">
            <v>HONORARIO</v>
          </cell>
          <cell r="M36" t="str">
            <v>0001342004</v>
          </cell>
          <cell r="N36">
            <v>0</v>
          </cell>
        </row>
        <row r="37">
          <cell r="A37" t="str">
            <v>MISO004128</v>
          </cell>
          <cell r="B37" t="str">
            <v>210VGUAM</v>
          </cell>
          <cell r="C37" t="str">
            <v>Guamani Jorge Anibal</v>
          </cell>
          <cell r="D37" t="str">
            <v>1710918598001</v>
          </cell>
          <cell r="E37" t="str">
            <v>25</v>
          </cell>
          <cell r="F37" t="str">
            <v>06/05/2004</v>
          </cell>
          <cell r="G37">
            <v>500</v>
          </cell>
          <cell r="H37">
            <v>60</v>
          </cell>
          <cell r="I37">
            <v>60</v>
          </cell>
          <cell r="J37" t="str">
            <v>MISO004128</v>
          </cell>
          <cell r="K37" t="str">
            <v>VH1</v>
          </cell>
          <cell r="L37" t="str">
            <v>HONORARIO</v>
          </cell>
          <cell r="M37" t="str">
            <v>0001402004</v>
          </cell>
          <cell r="N37">
            <v>1</v>
          </cell>
        </row>
        <row r="38">
          <cell r="A38" t="str">
            <v>MISO004237</v>
          </cell>
          <cell r="B38" t="str">
            <v>210VGUAM</v>
          </cell>
          <cell r="C38" t="str">
            <v>Guamani Jorge Anibal</v>
          </cell>
          <cell r="D38" t="str">
            <v>1710918598001</v>
          </cell>
          <cell r="E38" t="str">
            <v>25</v>
          </cell>
          <cell r="F38" t="str">
            <v>06/05/2004</v>
          </cell>
          <cell r="G38">
            <v>275</v>
          </cell>
          <cell r="H38">
            <v>33</v>
          </cell>
          <cell r="I38">
            <v>33</v>
          </cell>
          <cell r="J38" t="str">
            <v>MISO004237</v>
          </cell>
          <cell r="K38" t="str">
            <v>VH1</v>
          </cell>
          <cell r="L38" t="str">
            <v>HONORARIO</v>
          </cell>
          <cell r="M38" t="str">
            <v>0001402004</v>
          </cell>
          <cell r="N38">
            <v>1</v>
          </cell>
        </row>
        <row r="39">
          <cell r="A39" t="str">
            <v>MISO004164</v>
          </cell>
          <cell r="B39" t="str">
            <v>210VVILL</v>
          </cell>
          <cell r="C39" t="str">
            <v>Jorge E. Villacis</v>
          </cell>
          <cell r="D39" t="str">
            <v>1700035809001</v>
          </cell>
          <cell r="E39" t="str">
            <v>303</v>
          </cell>
          <cell r="F39" t="str">
            <v>04/05/2004</v>
          </cell>
          <cell r="G39">
            <v>1900</v>
          </cell>
          <cell r="H39">
            <v>228</v>
          </cell>
          <cell r="I39">
            <v>228</v>
          </cell>
          <cell r="J39" t="str">
            <v>MISO004164</v>
          </cell>
          <cell r="K39" t="str">
            <v>VH1</v>
          </cell>
          <cell r="L39" t="str">
            <v>HONORARIO</v>
          </cell>
          <cell r="M39" t="str">
            <v>0001402004</v>
          </cell>
          <cell r="N39">
            <v>0</v>
          </cell>
        </row>
        <row r="40">
          <cell r="A40" t="str">
            <v>MISO004234</v>
          </cell>
          <cell r="B40" t="str">
            <v>210VVILL</v>
          </cell>
          <cell r="C40" t="str">
            <v>Jorge E. Villacis</v>
          </cell>
          <cell r="D40" t="str">
            <v>1700035809001</v>
          </cell>
          <cell r="E40" t="str">
            <v>303</v>
          </cell>
          <cell r="F40" t="str">
            <v>04/05/2004</v>
          </cell>
          <cell r="G40">
            <v>300</v>
          </cell>
          <cell r="H40">
            <v>36</v>
          </cell>
          <cell r="I40">
            <v>36</v>
          </cell>
          <cell r="J40" t="str">
            <v>MISO004234</v>
          </cell>
          <cell r="K40" t="str">
            <v>VH1</v>
          </cell>
          <cell r="L40" t="str">
            <v>HONORARIO</v>
          </cell>
          <cell r="M40" t="str">
            <v>0001402004</v>
          </cell>
          <cell r="N40">
            <v>0</v>
          </cell>
        </row>
        <row r="41">
          <cell r="A41" t="str">
            <v>HONORARIO JOR. ZURITA MAY</v>
          </cell>
          <cell r="B41" t="str">
            <v>210VZURI</v>
          </cell>
          <cell r="C41" t="str">
            <v>Jorge Zurita</v>
          </cell>
          <cell r="D41" t="str">
            <v>1791821998001</v>
          </cell>
          <cell r="E41" t="str">
            <v>9472</v>
          </cell>
          <cell r="F41" t="str">
            <v>20/05/2004</v>
          </cell>
          <cell r="G41">
            <v>8473.91</v>
          </cell>
          <cell r="H41">
            <v>1016.8692</v>
          </cell>
          <cell r="I41">
            <v>1016.87</v>
          </cell>
          <cell r="J41" t="str">
            <v>HONORARIO JOR. ZURITA MAY</v>
          </cell>
          <cell r="K41" t="str">
            <v>VH1</v>
          </cell>
          <cell r="L41" t="str">
            <v>HONORARIO</v>
          </cell>
          <cell r="N41">
            <v>9</v>
          </cell>
        </row>
        <row r="42">
          <cell r="A42" t="str">
            <v>MISO004340</v>
          </cell>
          <cell r="B42" t="str">
            <v>210VLOPZ</v>
          </cell>
          <cell r="C42" t="str">
            <v>Julieta Lopez</v>
          </cell>
          <cell r="D42" t="str">
            <v>1001037223001</v>
          </cell>
          <cell r="E42" t="str">
            <v>501-502</v>
          </cell>
          <cell r="F42" t="str">
            <v>18/05/2004</v>
          </cell>
          <cell r="G42">
            <v>400</v>
          </cell>
          <cell r="H42">
            <v>48</v>
          </cell>
          <cell r="I42">
            <v>48</v>
          </cell>
          <cell r="J42" t="str">
            <v>MISO004340</v>
          </cell>
          <cell r="K42" t="str">
            <v>VH1</v>
          </cell>
          <cell r="L42" t="str">
            <v>HONORARIO</v>
          </cell>
          <cell r="N42">
            <v>0</v>
          </cell>
        </row>
        <row r="43">
          <cell r="A43" t="str">
            <v>MIIV003029</v>
          </cell>
          <cell r="B43" t="str">
            <v>210VCHIM</v>
          </cell>
          <cell r="C43" t="str">
            <v>Luis Enrique Chimbo</v>
          </cell>
          <cell r="D43" t="str">
            <v>0200372761001</v>
          </cell>
          <cell r="E43" t="str">
            <v>147</v>
          </cell>
          <cell r="F43" t="str">
            <v>14/05/2004</v>
          </cell>
          <cell r="G43">
            <v>3500</v>
          </cell>
          <cell r="H43">
            <v>420</v>
          </cell>
          <cell r="I43">
            <v>420</v>
          </cell>
          <cell r="J43" t="str">
            <v>MIIV003029</v>
          </cell>
          <cell r="K43" t="str">
            <v>VH1</v>
          </cell>
          <cell r="L43" t="str">
            <v>HONORARIO</v>
          </cell>
          <cell r="N43">
            <v>0</v>
          </cell>
        </row>
        <row r="44">
          <cell r="A44" t="str">
            <v>MISO004317</v>
          </cell>
          <cell r="B44" t="str">
            <v>210VCHIM</v>
          </cell>
          <cell r="C44" t="str">
            <v>Luis Enrique Chimbo</v>
          </cell>
          <cell r="D44" t="str">
            <v>0200372761001</v>
          </cell>
          <cell r="E44" t="str">
            <v>148</v>
          </cell>
          <cell r="F44" t="str">
            <v>17/05/2004</v>
          </cell>
          <cell r="G44">
            <v>500</v>
          </cell>
          <cell r="H44">
            <v>60</v>
          </cell>
          <cell r="I44">
            <v>60</v>
          </cell>
          <cell r="J44" t="str">
            <v>MISO004317</v>
          </cell>
          <cell r="K44" t="str">
            <v>VH1</v>
          </cell>
          <cell r="L44" t="str">
            <v>HONORARIO</v>
          </cell>
          <cell r="N44">
            <v>0</v>
          </cell>
        </row>
        <row r="45">
          <cell r="A45" t="str">
            <v>MISO004335</v>
          </cell>
          <cell r="B45" t="str">
            <v>210VESTE</v>
          </cell>
          <cell r="C45" t="str">
            <v>Marcelo Estevez</v>
          </cell>
          <cell r="D45" t="str">
            <v>1705640611001</v>
          </cell>
          <cell r="E45" t="str">
            <v>408</v>
          </cell>
          <cell r="F45" t="str">
            <v>25/04/2004</v>
          </cell>
          <cell r="G45">
            <v>510</v>
          </cell>
          <cell r="H45">
            <v>61.199999999999996</v>
          </cell>
          <cell r="I45">
            <v>61.2</v>
          </cell>
          <cell r="J45" t="str">
            <v>MISO004335</v>
          </cell>
          <cell r="K45" t="str">
            <v>VH1</v>
          </cell>
          <cell r="L45" t="str">
            <v>HONORARIO</v>
          </cell>
          <cell r="M45" t="str">
            <v>0001352004</v>
          </cell>
          <cell r="N45">
            <v>0</v>
          </cell>
        </row>
        <row r="46">
          <cell r="A46" t="str">
            <v>MIIV003050</v>
          </cell>
          <cell r="B46" t="str">
            <v>210VESTE</v>
          </cell>
          <cell r="C46" t="str">
            <v>Marcelo Estevez</v>
          </cell>
          <cell r="D46" t="str">
            <v>1705640611001</v>
          </cell>
          <cell r="E46" t="str">
            <v>409</v>
          </cell>
          <cell r="F46" t="str">
            <v>25/05/2004</v>
          </cell>
          <cell r="G46">
            <v>379.084</v>
          </cell>
          <cell r="H46">
            <v>45.490079999999999</v>
          </cell>
          <cell r="I46">
            <v>45.49</v>
          </cell>
          <cell r="J46" t="str">
            <v>MIIV003050</v>
          </cell>
          <cell r="K46" t="str">
            <v>VH1</v>
          </cell>
          <cell r="L46" t="str">
            <v>HONORARIO</v>
          </cell>
          <cell r="M46" t="str">
            <v>0001352004</v>
          </cell>
          <cell r="N46">
            <v>0</v>
          </cell>
        </row>
        <row r="47">
          <cell r="A47" t="str">
            <v>MISO004151</v>
          </cell>
          <cell r="B47" t="str">
            <v>210VESTE</v>
          </cell>
          <cell r="C47" t="str">
            <v>Marcelo Estevez</v>
          </cell>
          <cell r="D47" t="str">
            <v>1705640611001</v>
          </cell>
          <cell r="E47" t="str">
            <v>403</v>
          </cell>
          <cell r="F47" t="str">
            <v>28/04/2004</v>
          </cell>
          <cell r="G47">
            <v>930</v>
          </cell>
          <cell r="H47">
            <v>111.6</v>
          </cell>
          <cell r="I47">
            <v>111.6</v>
          </cell>
          <cell r="J47" t="str">
            <v>MISO004151</v>
          </cell>
          <cell r="K47" t="str">
            <v>VH1</v>
          </cell>
          <cell r="L47" t="str">
            <v>HONORARIO</v>
          </cell>
          <cell r="M47" t="str">
            <v>0001352004</v>
          </cell>
          <cell r="N47">
            <v>0</v>
          </cell>
        </row>
        <row r="48">
          <cell r="A48" t="str">
            <v>MISO004153</v>
          </cell>
          <cell r="B48" t="str">
            <v>210VZUNI</v>
          </cell>
          <cell r="C48" t="str">
            <v>Marcia Zu¤iga</v>
          </cell>
          <cell r="D48" t="str">
            <v>1711791614001</v>
          </cell>
          <cell r="E48" t="str">
            <v>85</v>
          </cell>
          <cell r="F48" t="str">
            <v>10/05/2004</v>
          </cell>
          <cell r="G48">
            <v>540</v>
          </cell>
          <cell r="H48">
            <v>64.8</v>
          </cell>
          <cell r="I48">
            <v>64.8</v>
          </cell>
          <cell r="J48" t="str">
            <v>MISO004153</v>
          </cell>
          <cell r="K48" t="str">
            <v>VH1</v>
          </cell>
          <cell r="L48" t="str">
            <v>HONORARIO</v>
          </cell>
          <cell r="M48" t="str">
            <v>0001402004</v>
          </cell>
          <cell r="N48">
            <v>1</v>
          </cell>
        </row>
        <row r="49">
          <cell r="A49" t="str">
            <v>MISO004240</v>
          </cell>
          <cell r="B49" t="str">
            <v>210VZUNI</v>
          </cell>
          <cell r="C49" t="str">
            <v>Marcia Zu¤iga</v>
          </cell>
          <cell r="D49" t="str">
            <v>1711791614001</v>
          </cell>
          <cell r="E49" t="str">
            <v>85</v>
          </cell>
          <cell r="F49" t="str">
            <v>10/05/2004</v>
          </cell>
          <cell r="G49">
            <v>930</v>
          </cell>
          <cell r="H49">
            <v>111.6</v>
          </cell>
          <cell r="I49">
            <v>111.6</v>
          </cell>
          <cell r="J49" t="str">
            <v>MISO004240</v>
          </cell>
          <cell r="K49" t="str">
            <v>VH1</v>
          </cell>
          <cell r="L49" t="str">
            <v>HONORARIO</v>
          </cell>
          <cell r="M49" t="str">
            <v>0001402004</v>
          </cell>
          <cell r="N49">
            <v>1</v>
          </cell>
        </row>
        <row r="50">
          <cell r="A50" t="str">
            <v>HONORARIOS NESTOR</v>
          </cell>
          <cell r="B50" t="str">
            <v>210VROMR</v>
          </cell>
          <cell r="C50" t="str">
            <v>NESTOR ROMERO</v>
          </cell>
          <cell r="D50" t="str">
            <v>1710265339001</v>
          </cell>
          <cell r="E50" t="str">
            <v>9490</v>
          </cell>
          <cell r="F50" t="str">
            <v>28/05/2004</v>
          </cell>
          <cell r="G50">
            <v>10869.57</v>
          </cell>
          <cell r="H50">
            <v>1304.3483999999999</v>
          </cell>
          <cell r="I50">
            <v>1304.3499999999999</v>
          </cell>
          <cell r="J50" t="str">
            <v>HONORARIOS NESTOR</v>
          </cell>
          <cell r="K50" t="str">
            <v>VH1</v>
          </cell>
          <cell r="L50" t="str">
            <v>HONORARIO</v>
          </cell>
          <cell r="N50">
            <v>1</v>
          </cell>
        </row>
        <row r="51">
          <cell r="A51" t="str">
            <v>MISO003947</v>
          </cell>
          <cell r="B51" t="str">
            <v>210VCERP</v>
          </cell>
          <cell r="C51" t="str">
            <v>Polo Ceron</v>
          </cell>
          <cell r="D51" t="str">
            <v>0400704532001</v>
          </cell>
          <cell r="E51" t="str">
            <v>71</v>
          </cell>
          <cell r="F51" t="str">
            <v>30/04/2004</v>
          </cell>
          <cell r="G51">
            <v>930</v>
          </cell>
          <cell r="H51">
            <v>111.6</v>
          </cell>
          <cell r="I51">
            <v>111.6</v>
          </cell>
          <cell r="J51" t="str">
            <v>MISO003947</v>
          </cell>
          <cell r="K51" t="str">
            <v>VH1</v>
          </cell>
          <cell r="L51" t="str">
            <v>HONORARIO</v>
          </cell>
          <cell r="M51" t="str">
            <v>0001352004</v>
          </cell>
          <cell r="N51">
            <v>0</v>
          </cell>
        </row>
        <row r="52">
          <cell r="A52" t="str">
            <v>MISO004179</v>
          </cell>
          <cell r="B52" t="str">
            <v>210VCALD</v>
          </cell>
          <cell r="C52" t="str">
            <v>Richard Estrella Calderon</v>
          </cell>
          <cell r="D52" t="str">
            <v>1710219807001</v>
          </cell>
          <cell r="E52" t="str">
            <v>1168-69</v>
          </cell>
          <cell r="F52" t="str">
            <v>10/05/2004</v>
          </cell>
          <cell r="G52">
            <v>120</v>
          </cell>
          <cell r="H52">
            <v>14.4</v>
          </cell>
          <cell r="I52">
            <v>14.4</v>
          </cell>
          <cell r="J52" t="str">
            <v>MISO004179</v>
          </cell>
          <cell r="K52" t="str">
            <v>VH1</v>
          </cell>
          <cell r="L52" t="str">
            <v>HONORARIO</v>
          </cell>
          <cell r="M52" t="str">
            <v>0000010860</v>
          </cell>
          <cell r="N52">
            <v>1</v>
          </cell>
        </row>
        <row r="53">
          <cell r="A53" t="str">
            <v>MISO004178</v>
          </cell>
          <cell r="B53" t="str">
            <v>210VCALD</v>
          </cell>
          <cell r="C53" t="str">
            <v>Richard Estrella Calderon</v>
          </cell>
          <cell r="D53" t="str">
            <v>1710219807001</v>
          </cell>
          <cell r="E53" t="str">
            <v>1170-71</v>
          </cell>
          <cell r="F53" t="str">
            <v>10/05/2004</v>
          </cell>
          <cell r="G53">
            <v>120</v>
          </cell>
          <cell r="H53">
            <v>14.4</v>
          </cell>
          <cell r="I53">
            <v>14.4</v>
          </cell>
          <cell r="J53" t="str">
            <v>MISO004178</v>
          </cell>
          <cell r="K53" t="str">
            <v>VH1</v>
          </cell>
          <cell r="L53" t="str">
            <v>HONORARIO</v>
          </cell>
          <cell r="M53" t="str">
            <v>0000010860</v>
          </cell>
          <cell r="N53">
            <v>1</v>
          </cell>
        </row>
        <row r="54">
          <cell r="A54" t="str">
            <v>MISO004176</v>
          </cell>
          <cell r="B54" t="str">
            <v>210VCALD</v>
          </cell>
          <cell r="C54" t="str">
            <v>Richard Estrella Calderon</v>
          </cell>
          <cell r="D54" t="str">
            <v>1710219807001</v>
          </cell>
          <cell r="E54" t="str">
            <v>1172-73</v>
          </cell>
          <cell r="F54" t="str">
            <v>10/05/2004</v>
          </cell>
          <cell r="G54">
            <v>120</v>
          </cell>
          <cell r="H54">
            <v>14.4</v>
          </cell>
          <cell r="I54">
            <v>14.4</v>
          </cell>
          <cell r="J54" t="str">
            <v>MISO004176</v>
          </cell>
          <cell r="K54" t="str">
            <v>VH1</v>
          </cell>
          <cell r="L54" t="str">
            <v>HONORARIO</v>
          </cell>
          <cell r="M54" t="str">
            <v>0000010860</v>
          </cell>
          <cell r="N54">
            <v>1</v>
          </cell>
        </row>
        <row r="55">
          <cell r="A55" t="str">
            <v>MISO004175</v>
          </cell>
          <cell r="B55" t="str">
            <v>210VCALD</v>
          </cell>
          <cell r="C55" t="str">
            <v>Richard Estrella Calderon</v>
          </cell>
          <cell r="D55" t="str">
            <v>1710219807001</v>
          </cell>
          <cell r="E55" t="str">
            <v>1164-65</v>
          </cell>
          <cell r="F55" t="str">
            <v>10/05/2004</v>
          </cell>
          <cell r="G55">
            <v>120</v>
          </cell>
          <cell r="H55">
            <v>14.4</v>
          </cell>
          <cell r="I55">
            <v>14.4</v>
          </cell>
          <cell r="J55" t="str">
            <v>MISO004175</v>
          </cell>
          <cell r="K55" t="str">
            <v>VH1</v>
          </cell>
          <cell r="L55" t="str">
            <v>HONORARIO</v>
          </cell>
          <cell r="M55" t="str">
            <v>0000010860</v>
          </cell>
          <cell r="N55">
            <v>1</v>
          </cell>
        </row>
        <row r="56">
          <cell r="A56" t="str">
            <v>MISO004177</v>
          </cell>
          <cell r="B56" t="str">
            <v>210VCALD</v>
          </cell>
          <cell r="C56" t="str">
            <v>Richard Estrella Calderon</v>
          </cell>
          <cell r="D56" t="str">
            <v>1710219807001</v>
          </cell>
          <cell r="E56" t="str">
            <v>1166-67</v>
          </cell>
          <cell r="F56" t="str">
            <v>10/05/2004</v>
          </cell>
          <cell r="G56">
            <v>120</v>
          </cell>
          <cell r="H56">
            <v>14.4</v>
          </cell>
          <cell r="I56">
            <v>14.4</v>
          </cell>
          <cell r="J56" t="str">
            <v>MISO004177</v>
          </cell>
          <cell r="K56" t="str">
            <v>VH1</v>
          </cell>
          <cell r="L56" t="str">
            <v>HONORARIO</v>
          </cell>
          <cell r="M56" t="str">
            <v>0000010860</v>
          </cell>
          <cell r="N56">
            <v>1</v>
          </cell>
        </row>
        <row r="57">
          <cell r="A57" t="str">
            <v>MISO004140</v>
          </cell>
          <cell r="B57" t="str">
            <v>210VCALD</v>
          </cell>
          <cell r="C57" t="str">
            <v>Richard Estrella Calderon</v>
          </cell>
          <cell r="D57" t="str">
            <v>1710219807001</v>
          </cell>
          <cell r="E57" t="str">
            <v>1176</v>
          </cell>
          <cell r="F57" t="str">
            <v>10/05/2004</v>
          </cell>
          <cell r="G57">
            <v>40</v>
          </cell>
          <cell r="H57">
            <v>4.8</v>
          </cell>
          <cell r="I57">
            <v>4.8</v>
          </cell>
          <cell r="J57" t="str">
            <v>MISO004140</v>
          </cell>
          <cell r="K57" t="str">
            <v>VH1</v>
          </cell>
          <cell r="L57" t="str">
            <v>HONORARIO</v>
          </cell>
          <cell r="M57" t="str">
            <v>0000010860</v>
          </cell>
          <cell r="N57">
            <v>1</v>
          </cell>
        </row>
        <row r="58">
          <cell r="A58" t="str">
            <v>MISO004180</v>
          </cell>
          <cell r="B58" t="str">
            <v>210VCALD</v>
          </cell>
          <cell r="C58" t="str">
            <v>Richard Estrella Calderon</v>
          </cell>
          <cell r="D58" t="str">
            <v>1710219807001</v>
          </cell>
          <cell r="E58" t="str">
            <v>1161</v>
          </cell>
          <cell r="F58" t="str">
            <v>10/05/2004</v>
          </cell>
          <cell r="G58">
            <v>60</v>
          </cell>
          <cell r="H58">
            <v>7.2</v>
          </cell>
          <cell r="I58">
            <v>7.2</v>
          </cell>
          <cell r="J58" t="str">
            <v>MISO004180</v>
          </cell>
          <cell r="K58" t="str">
            <v>VH1</v>
          </cell>
          <cell r="L58" t="str">
            <v>HONORARIO</v>
          </cell>
          <cell r="M58" t="str">
            <v>0000010860</v>
          </cell>
          <cell r="N58">
            <v>1</v>
          </cell>
        </row>
        <row r="59">
          <cell r="A59" t="str">
            <v>MISO004157</v>
          </cell>
          <cell r="B59" t="str">
            <v>210VCALD</v>
          </cell>
          <cell r="C59" t="str">
            <v>Richard Estrella Calderon</v>
          </cell>
          <cell r="D59" t="str">
            <v>1710219807001</v>
          </cell>
          <cell r="E59" t="str">
            <v>1175</v>
          </cell>
          <cell r="F59" t="str">
            <v>10/05/2004</v>
          </cell>
          <cell r="G59">
            <v>40</v>
          </cell>
          <cell r="H59">
            <v>4.8</v>
          </cell>
          <cell r="I59">
            <v>4.8</v>
          </cell>
          <cell r="J59" t="str">
            <v>MISO004157</v>
          </cell>
          <cell r="K59" t="str">
            <v>VH1</v>
          </cell>
          <cell r="L59" t="str">
            <v>HONORARIO</v>
          </cell>
          <cell r="M59" t="str">
            <v>0000010860</v>
          </cell>
          <cell r="N59">
            <v>1</v>
          </cell>
        </row>
        <row r="60">
          <cell r="A60" t="str">
            <v>MISO004172</v>
          </cell>
          <cell r="B60" t="str">
            <v>210VCALD</v>
          </cell>
          <cell r="C60" t="str">
            <v>Richard Estrella Calderon</v>
          </cell>
          <cell r="D60" t="str">
            <v>1710219807001</v>
          </cell>
          <cell r="E60" t="str">
            <v>1174</v>
          </cell>
          <cell r="F60" t="str">
            <v>10/05/2004</v>
          </cell>
          <cell r="G60">
            <v>740</v>
          </cell>
          <cell r="H60">
            <v>88.8</v>
          </cell>
          <cell r="I60">
            <v>88.8</v>
          </cell>
          <cell r="J60" t="str">
            <v>MISO004172</v>
          </cell>
          <cell r="K60" t="str">
            <v>VH1</v>
          </cell>
          <cell r="L60" t="str">
            <v>HONORARIO</v>
          </cell>
          <cell r="M60" t="str">
            <v>0000010860</v>
          </cell>
          <cell r="N60">
            <v>1</v>
          </cell>
        </row>
        <row r="61">
          <cell r="A61" t="str">
            <v>MISO004011</v>
          </cell>
          <cell r="B61" t="str">
            <v>210VCALD</v>
          </cell>
          <cell r="C61" t="str">
            <v>Richard Estrella Calderon</v>
          </cell>
          <cell r="D61" t="str">
            <v>1710219807001</v>
          </cell>
          <cell r="E61" t="str">
            <v>1162</v>
          </cell>
          <cell r="F61" t="str">
            <v>10/05/2004</v>
          </cell>
          <cell r="G61">
            <v>160</v>
          </cell>
          <cell r="H61">
            <v>19.2</v>
          </cell>
          <cell r="I61">
            <v>19.2</v>
          </cell>
          <cell r="J61" t="str">
            <v>MISO004011</v>
          </cell>
          <cell r="K61" t="str">
            <v>VH1</v>
          </cell>
          <cell r="L61" t="str">
            <v>HONORARIO</v>
          </cell>
          <cell r="M61" t="str">
            <v>0000010860</v>
          </cell>
          <cell r="N61">
            <v>1</v>
          </cell>
        </row>
        <row r="62">
          <cell r="A62" t="str">
            <v>MISO004303</v>
          </cell>
          <cell r="B62" t="str">
            <v>210VCALD</v>
          </cell>
          <cell r="C62" t="str">
            <v>Richard Estrella Calderon</v>
          </cell>
          <cell r="D62" t="str">
            <v>1710219807001</v>
          </cell>
          <cell r="E62" t="str">
            <v>1188-89</v>
          </cell>
          <cell r="F62" t="str">
            <v>25/05/2004</v>
          </cell>
          <cell r="G62">
            <v>680</v>
          </cell>
          <cell r="H62">
            <v>81.599999999999994</v>
          </cell>
          <cell r="I62">
            <v>81.599999999999994</v>
          </cell>
          <cell r="J62" t="str">
            <v>MISO004303</v>
          </cell>
          <cell r="K62" t="str">
            <v>VH1</v>
          </cell>
          <cell r="L62" t="str">
            <v>HONORARIO</v>
          </cell>
          <cell r="N62">
            <v>1</v>
          </cell>
        </row>
        <row r="63">
          <cell r="A63" t="str">
            <v>MISO004302</v>
          </cell>
          <cell r="B63" t="str">
            <v>210VCALD</v>
          </cell>
          <cell r="C63" t="str">
            <v>Richard Estrella Calderon</v>
          </cell>
          <cell r="D63" t="str">
            <v>1710219807001</v>
          </cell>
          <cell r="E63" t="str">
            <v>1186-87</v>
          </cell>
          <cell r="F63" t="str">
            <v>25/05/2004</v>
          </cell>
          <cell r="G63">
            <v>680</v>
          </cell>
          <cell r="H63">
            <v>81.599999999999994</v>
          </cell>
          <cell r="I63">
            <v>81.599999999999994</v>
          </cell>
          <cell r="J63" t="str">
            <v>MISO004302</v>
          </cell>
          <cell r="K63" t="str">
            <v>VH1</v>
          </cell>
          <cell r="L63" t="str">
            <v>HONORARIO</v>
          </cell>
          <cell r="N63">
            <v>1</v>
          </cell>
        </row>
        <row r="64">
          <cell r="A64" t="str">
            <v>MISO004323</v>
          </cell>
          <cell r="B64" t="str">
            <v>210VCALD</v>
          </cell>
          <cell r="C64" t="str">
            <v>Richard Estrella Calderon</v>
          </cell>
          <cell r="D64" t="str">
            <v>1710219807001</v>
          </cell>
          <cell r="E64" t="str">
            <v>1196-97</v>
          </cell>
          <cell r="F64" t="str">
            <v>25/05/2004</v>
          </cell>
          <cell r="G64">
            <v>120</v>
          </cell>
          <cell r="H64">
            <v>14.399999999999999</v>
          </cell>
          <cell r="I64">
            <v>14.4</v>
          </cell>
          <cell r="J64" t="str">
            <v>MISO004323</v>
          </cell>
          <cell r="K64" t="str">
            <v>VH1</v>
          </cell>
          <cell r="L64" t="str">
            <v>HONORARIO</v>
          </cell>
          <cell r="N64">
            <v>1</v>
          </cell>
        </row>
        <row r="65">
          <cell r="A65" t="str">
            <v>MISO004325</v>
          </cell>
          <cell r="B65" t="str">
            <v>210VCALD</v>
          </cell>
          <cell r="C65" t="str">
            <v>Richard Estrella Calderon</v>
          </cell>
          <cell r="D65" t="str">
            <v>1710219807001</v>
          </cell>
          <cell r="E65" t="str">
            <v>1190-91</v>
          </cell>
          <cell r="F65" t="str">
            <v>25/05/2004</v>
          </cell>
          <cell r="G65">
            <v>120</v>
          </cell>
          <cell r="H65">
            <v>14.399999999999999</v>
          </cell>
          <cell r="I65">
            <v>14.4</v>
          </cell>
          <cell r="J65" t="str">
            <v>MISO004325</v>
          </cell>
          <cell r="K65" t="str">
            <v>VH1</v>
          </cell>
          <cell r="L65" t="str">
            <v>HONORARIO</v>
          </cell>
          <cell r="N65">
            <v>1</v>
          </cell>
        </row>
        <row r="66">
          <cell r="A66" t="str">
            <v>MISO004326</v>
          </cell>
          <cell r="B66" t="str">
            <v>210VCALD</v>
          </cell>
          <cell r="C66" t="str">
            <v>Richard Estrella Calderon</v>
          </cell>
          <cell r="D66" t="str">
            <v>1710219807001</v>
          </cell>
          <cell r="E66" t="str">
            <v>1192-93</v>
          </cell>
          <cell r="F66" t="str">
            <v>25/05/2004</v>
          </cell>
          <cell r="G66">
            <v>120</v>
          </cell>
          <cell r="H66">
            <v>14.399999999999999</v>
          </cell>
          <cell r="I66">
            <v>14.4</v>
          </cell>
          <cell r="J66" t="str">
            <v>MISO004326</v>
          </cell>
          <cell r="K66" t="str">
            <v>VH1</v>
          </cell>
          <cell r="L66" t="str">
            <v>HONORARIO</v>
          </cell>
          <cell r="N66">
            <v>1</v>
          </cell>
        </row>
        <row r="67">
          <cell r="A67" t="str">
            <v>MISO004324</v>
          </cell>
          <cell r="B67" t="str">
            <v>210VCALD</v>
          </cell>
          <cell r="C67" t="str">
            <v>Richard Estrella Calderon</v>
          </cell>
          <cell r="D67" t="str">
            <v>1710219807001</v>
          </cell>
          <cell r="E67" t="str">
            <v>1194-95</v>
          </cell>
          <cell r="F67" t="str">
            <v>25/05/2004</v>
          </cell>
          <cell r="G67">
            <v>120</v>
          </cell>
          <cell r="H67">
            <v>14.399999999999999</v>
          </cell>
          <cell r="I67">
            <v>14.4</v>
          </cell>
          <cell r="J67" t="str">
            <v>MISO004324</v>
          </cell>
          <cell r="K67" t="str">
            <v>VH1</v>
          </cell>
          <cell r="L67" t="str">
            <v>HONORARIO</v>
          </cell>
          <cell r="N67">
            <v>1</v>
          </cell>
        </row>
        <row r="68">
          <cell r="A68" t="str">
            <v>MISO004154</v>
          </cell>
          <cell r="B68" t="str">
            <v>210VSAMA</v>
          </cell>
          <cell r="C68" t="str">
            <v>SANTACRUZ MARGARITA</v>
          </cell>
          <cell r="D68" t="str">
            <v>1711005932001</v>
          </cell>
          <cell r="E68" t="str">
            <v>378</v>
          </cell>
          <cell r="F68" t="str">
            <v>07/05/2004</v>
          </cell>
          <cell r="G68">
            <v>540</v>
          </cell>
          <cell r="H68">
            <v>64.8</v>
          </cell>
          <cell r="I68">
            <v>64.8</v>
          </cell>
          <cell r="J68" t="str">
            <v>MISO004154</v>
          </cell>
          <cell r="K68" t="str">
            <v>VH1</v>
          </cell>
          <cell r="L68" t="str">
            <v>HONORARIO</v>
          </cell>
          <cell r="M68" t="str">
            <v>0001402004</v>
          </cell>
          <cell r="N68">
            <v>1</v>
          </cell>
        </row>
        <row r="69">
          <cell r="A69" t="str">
            <v>MISO004236</v>
          </cell>
          <cell r="B69" t="str">
            <v>210VSAMA</v>
          </cell>
          <cell r="C69" t="str">
            <v>SANTACRUZ MARGARITA</v>
          </cell>
          <cell r="D69" t="str">
            <v>1711005932001</v>
          </cell>
          <cell r="E69" t="str">
            <v>378</v>
          </cell>
          <cell r="F69" t="str">
            <v>07/05/2004</v>
          </cell>
          <cell r="G69">
            <v>390</v>
          </cell>
          <cell r="H69">
            <v>46.8</v>
          </cell>
          <cell r="I69">
            <v>46.8</v>
          </cell>
          <cell r="J69" t="str">
            <v>MISO004236</v>
          </cell>
          <cell r="K69" t="str">
            <v>VH1</v>
          </cell>
          <cell r="L69" t="str">
            <v>HONORARIO</v>
          </cell>
          <cell r="M69" t="str">
            <v>0001402004</v>
          </cell>
          <cell r="N69">
            <v>1</v>
          </cell>
        </row>
        <row r="70">
          <cell r="A70" t="str">
            <v>MISO004162</v>
          </cell>
          <cell r="B70" t="str">
            <v>210VSECA</v>
          </cell>
          <cell r="C70" t="str">
            <v>SERRATO CARLOS</v>
          </cell>
          <cell r="D70" t="str">
            <v>1791890817001</v>
          </cell>
          <cell r="E70" t="str">
            <v>7</v>
          </cell>
          <cell r="F70" t="str">
            <v>17/05/2004</v>
          </cell>
          <cell r="G70">
            <v>2399.92</v>
          </cell>
          <cell r="H70">
            <v>287.99040000000002</v>
          </cell>
          <cell r="I70">
            <v>287.99</v>
          </cell>
          <cell r="J70" t="str">
            <v>MISO004162</v>
          </cell>
          <cell r="K70" t="str">
            <v>VH1</v>
          </cell>
          <cell r="L70" t="str">
            <v>HONORARIO</v>
          </cell>
          <cell r="M70" t="str">
            <v>0001412004</v>
          </cell>
          <cell r="N70">
            <v>9</v>
          </cell>
        </row>
        <row r="71">
          <cell r="A71" t="str">
            <v>MISO004292</v>
          </cell>
          <cell r="B71" t="str">
            <v>210VSECA</v>
          </cell>
          <cell r="C71" t="str">
            <v>SERRATO CARLOS</v>
          </cell>
          <cell r="D71" t="str">
            <v>1791890817001</v>
          </cell>
          <cell r="E71" t="str">
            <v>7</v>
          </cell>
          <cell r="F71" t="str">
            <v>17/05/2004</v>
          </cell>
          <cell r="G71">
            <v>2199.92</v>
          </cell>
          <cell r="H71">
            <v>263.99040000000002</v>
          </cell>
          <cell r="I71">
            <v>263.99</v>
          </cell>
          <cell r="J71" t="str">
            <v>MISO004292</v>
          </cell>
          <cell r="K71" t="str">
            <v>VH1</v>
          </cell>
          <cell r="L71" t="str">
            <v>HONORARIO</v>
          </cell>
          <cell r="M71" t="str">
            <v>0001412004</v>
          </cell>
          <cell r="N71">
            <v>9</v>
          </cell>
        </row>
        <row r="72">
          <cell r="A72" t="str">
            <v>MIIV003039</v>
          </cell>
          <cell r="B72" t="str">
            <v>210VSECA</v>
          </cell>
          <cell r="C72" t="str">
            <v>SERRATO CARLOS</v>
          </cell>
          <cell r="D72" t="str">
            <v>1791890817001</v>
          </cell>
          <cell r="E72" t="str">
            <v>5</v>
          </cell>
          <cell r="F72" t="str">
            <v>17/05/2004</v>
          </cell>
          <cell r="G72">
            <v>535.66999999999996</v>
          </cell>
          <cell r="H72">
            <v>64.280399999999986</v>
          </cell>
          <cell r="I72">
            <v>64.28</v>
          </cell>
          <cell r="J72" t="str">
            <v>MIIV003039</v>
          </cell>
          <cell r="K72" t="str">
            <v>VH1</v>
          </cell>
          <cell r="L72" t="str">
            <v>HONORARIO</v>
          </cell>
          <cell r="M72" t="str">
            <v>0001412004</v>
          </cell>
          <cell r="N72">
            <v>9</v>
          </cell>
        </row>
        <row r="73">
          <cell r="A73" t="str">
            <v>MISO004356</v>
          </cell>
          <cell r="B73" t="str">
            <v>210VSVTC</v>
          </cell>
          <cell r="C73" t="str">
            <v>SERVITECNICOMPANY</v>
          </cell>
          <cell r="D73" t="str">
            <v>0992300930001</v>
          </cell>
          <cell r="E73" t="str">
            <v>12</v>
          </cell>
          <cell r="F73" t="str">
            <v>17/05/2004</v>
          </cell>
          <cell r="G73">
            <v>5511</v>
          </cell>
          <cell r="H73">
            <v>661.31999999999994</v>
          </cell>
          <cell r="I73">
            <v>661.32</v>
          </cell>
          <cell r="J73" t="str">
            <v>MISO004356</v>
          </cell>
          <cell r="K73" t="str">
            <v>VH1</v>
          </cell>
          <cell r="L73" t="str">
            <v>HONORARIO</v>
          </cell>
          <cell r="M73" t="str">
            <v>0001442004</v>
          </cell>
          <cell r="N73">
            <v>9</v>
          </cell>
        </row>
        <row r="74">
          <cell r="A74" t="str">
            <v>MISO004149</v>
          </cell>
          <cell r="B74" t="str">
            <v>210VSVTC</v>
          </cell>
          <cell r="C74" t="str">
            <v>SERVITECNICOMPANY</v>
          </cell>
          <cell r="D74" t="str">
            <v>0992300930001</v>
          </cell>
          <cell r="E74" t="str">
            <v>12</v>
          </cell>
          <cell r="F74" t="str">
            <v>17/05/2004</v>
          </cell>
          <cell r="G74">
            <v>5344</v>
          </cell>
          <cell r="H74">
            <v>641.28</v>
          </cell>
          <cell r="I74">
            <v>641.28</v>
          </cell>
          <cell r="J74" t="str">
            <v>MISO004149</v>
          </cell>
          <cell r="K74" t="str">
            <v>VH1</v>
          </cell>
          <cell r="L74" t="str">
            <v>HONORARIO</v>
          </cell>
          <cell r="M74" t="str">
            <v>0001442004</v>
          </cell>
          <cell r="N74">
            <v>9</v>
          </cell>
        </row>
        <row r="75">
          <cell r="A75" t="str">
            <v>MISO004357</v>
          </cell>
          <cell r="B75" t="str">
            <v>210VSAEN</v>
          </cell>
          <cell r="C75" t="str">
            <v>Victor Saenz</v>
          </cell>
          <cell r="D75" t="str">
            <v>1702519552001</v>
          </cell>
          <cell r="E75" t="str">
            <v>60</v>
          </cell>
          <cell r="F75" t="str">
            <v>25/05/2004</v>
          </cell>
          <cell r="G75">
            <v>2200</v>
          </cell>
          <cell r="H75">
            <v>264</v>
          </cell>
          <cell r="I75">
            <v>264</v>
          </cell>
          <cell r="J75" t="str">
            <v>MISO004357</v>
          </cell>
          <cell r="K75" t="str">
            <v>VH1</v>
          </cell>
          <cell r="L75" t="str">
            <v>HONORARIO</v>
          </cell>
          <cell r="M75" t="str">
            <v>0000010789</v>
          </cell>
          <cell r="N75">
            <v>0</v>
          </cell>
        </row>
        <row r="76">
          <cell r="A76" t="str">
            <v>HONORARIO VICK MAYO-04</v>
          </cell>
          <cell r="B76" t="str">
            <v>210VBATH</v>
          </cell>
          <cell r="C76" t="str">
            <v>Vikram Bath</v>
          </cell>
          <cell r="D76" t="str">
            <v>1791788087001</v>
          </cell>
          <cell r="E76" t="str">
            <v>9473</v>
          </cell>
          <cell r="F76" t="str">
            <v>20/05/2004</v>
          </cell>
          <cell r="G76">
            <v>9891.32</v>
          </cell>
          <cell r="H76">
            <v>1186.9584</v>
          </cell>
          <cell r="I76">
            <v>1186.96</v>
          </cell>
          <cell r="J76" t="str">
            <v>HONORARIO VICK MAYO-04</v>
          </cell>
          <cell r="K76" t="str">
            <v>VH1</v>
          </cell>
          <cell r="L76" t="str">
            <v>HONORARIO</v>
          </cell>
          <cell r="N76">
            <v>9</v>
          </cell>
        </row>
        <row r="77">
          <cell r="G77">
            <v>139286.43400000001</v>
          </cell>
          <cell r="H77">
            <v>16714.379279999997</v>
          </cell>
          <cell r="I77">
            <v>16714.379999999997</v>
          </cell>
        </row>
        <row r="78">
          <cell r="A78" t="str">
            <v>MIPC001217</v>
          </cell>
          <cell r="B78" t="str">
            <v>210VABAR</v>
          </cell>
          <cell r="C78" t="str">
            <v>Abarrotes Su Despensa</v>
          </cell>
          <cell r="D78" t="str">
            <v>0101110047001</v>
          </cell>
          <cell r="E78" t="str">
            <v>14866</v>
          </cell>
          <cell r="F78" t="str">
            <v>17/05/2004</v>
          </cell>
          <cell r="G78">
            <v>64.319999999999993</v>
          </cell>
          <cell r="H78">
            <v>7.7149999999999999</v>
          </cell>
          <cell r="I78">
            <v>2.3199999999999998</v>
          </cell>
          <cell r="J78" t="str">
            <v>MIPC001217</v>
          </cell>
          <cell r="K78" t="str">
            <v>VC3</v>
          </cell>
          <cell r="L78" t="str">
            <v>P. NATURAL</v>
          </cell>
          <cell r="M78" t="str">
            <v>0000010857</v>
          </cell>
          <cell r="N78">
            <v>0</v>
          </cell>
        </row>
        <row r="79">
          <cell r="A79" t="str">
            <v>MIPC001259</v>
          </cell>
          <cell r="B79" t="str">
            <v>210VABAR</v>
          </cell>
          <cell r="C79" t="str">
            <v>Abarrotes Su Despensa</v>
          </cell>
          <cell r="D79" t="str">
            <v>0101110047001</v>
          </cell>
          <cell r="E79" t="str">
            <v>14868</v>
          </cell>
          <cell r="F79" t="str">
            <v>17/05/2004</v>
          </cell>
          <cell r="G79">
            <v>36.380000000000003</v>
          </cell>
          <cell r="H79">
            <v>4.3650000000000002</v>
          </cell>
          <cell r="I79">
            <v>1.31</v>
          </cell>
          <cell r="J79" t="str">
            <v>MIPC001259</v>
          </cell>
          <cell r="K79" t="str">
            <v>VC3</v>
          </cell>
          <cell r="L79" t="str">
            <v>P. NATURAL</v>
          </cell>
          <cell r="N79">
            <v>0</v>
          </cell>
        </row>
        <row r="80">
          <cell r="A80" t="str">
            <v>MIPC001235</v>
          </cell>
          <cell r="B80">
            <v>8</v>
          </cell>
          <cell r="C80" t="str">
            <v>Aga S. A.</v>
          </cell>
          <cell r="D80" t="str">
            <v>0990021007001</v>
          </cell>
          <cell r="E80" t="str">
            <v>11780</v>
          </cell>
          <cell r="G80">
            <v>465.33</v>
          </cell>
          <cell r="H80">
            <v>55.839599999999997</v>
          </cell>
          <cell r="J80" t="str">
            <v>MIPC001235</v>
          </cell>
          <cell r="K80" t="str">
            <v>RC1</v>
          </cell>
          <cell r="L80" t="str">
            <v>SOCIEDAD</v>
          </cell>
          <cell r="M80" t="str">
            <v>0000010796</v>
          </cell>
          <cell r="N80">
            <v>9</v>
          </cell>
          <cell r="Q80" t="str">
            <v>VAGA</v>
          </cell>
        </row>
        <row r="81">
          <cell r="A81" t="str">
            <v>MIPC001239</v>
          </cell>
          <cell r="B81" t="str">
            <v>210VAGA</v>
          </cell>
          <cell r="C81" t="str">
            <v>Aga S. A.</v>
          </cell>
          <cell r="D81" t="str">
            <v>0990021007001</v>
          </cell>
          <cell r="E81" t="str">
            <v>11993</v>
          </cell>
          <cell r="G81">
            <v>129.83000000000001</v>
          </cell>
          <cell r="H81">
            <v>15.579600000000001</v>
          </cell>
          <cell r="J81" t="str">
            <v>MIPC001239</v>
          </cell>
          <cell r="K81" t="str">
            <v>RC1</v>
          </cell>
          <cell r="L81" t="str">
            <v>SOCIEDAD</v>
          </cell>
          <cell r="N81">
            <v>9</v>
          </cell>
          <cell r="Q81" t="str">
            <v>VAGA</v>
          </cell>
        </row>
        <row r="82">
          <cell r="A82" t="str">
            <v>MIPC001268</v>
          </cell>
          <cell r="B82" t="str">
            <v>210VAGA</v>
          </cell>
          <cell r="C82" t="str">
            <v>Aga S. A.</v>
          </cell>
          <cell r="D82" t="str">
            <v>0990021007001</v>
          </cell>
          <cell r="E82" t="str">
            <v>11994</v>
          </cell>
          <cell r="G82">
            <v>642.58000000000004</v>
          </cell>
          <cell r="H82">
            <v>77.1096</v>
          </cell>
          <cell r="J82" t="str">
            <v>MIPC001268</v>
          </cell>
          <cell r="K82" t="str">
            <v>RC1</v>
          </cell>
          <cell r="L82" t="str">
            <v>SOCIEDAD</v>
          </cell>
          <cell r="N82">
            <v>9</v>
          </cell>
          <cell r="Q82" t="str">
            <v>VAGA</v>
          </cell>
        </row>
        <row r="83">
          <cell r="A83" t="str">
            <v>MIPC001274</v>
          </cell>
          <cell r="B83" t="str">
            <v>210VAGA</v>
          </cell>
          <cell r="C83" t="str">
            <v>Aga S. A.</v>
          </cell>
          <cell r="D83" t="str">
            <v>0990021007001</v>
          </cell>
          <cell r="E83" t="str">
            <v>11995</v>
          </cell>
          <cell r="G83">
            <v>60.67</v>
          </cell>
          <cell r="H83">
            <v>7.2804000000000002</v>
          </cell>
          <cell r="J83" t="str">
            <v>MIPC001274</v>
          </cell>
          <cell r="K83" t="str">
            <v>RC1</v>
          </cell>
          <cell r="L83" t="str">
            <v>SOCIEDAD</v>
          </cell>
          <cell r="N83">
            <v>9</v>
          </cell>
          <cell r="Q83" t="str">
            <v>VAGA</v>
          </cell>
        </row>
        <row r="84">
          <cell r="A84" t="str">
            <v>MIPO002874</v>
          </cell>
          <cell r="B84" t="str">
            <v>210VAXIO</v>
          </cell>
          <cell r="C84" t="str">
            <v>AXIOMA</v>
          </cell>
          <cell r="D84" t="str">
            <v>1791770412001</v>
          </cell>
          <cell r="E84" t="str">
            <v>1283</v>
          </cell>
          <cell r="F84" t="str">
            <v>10/05/2004</v>
          </cell>
          <cell r="G84">
            <v>1010.5</v>
          </cell>
          <cell r="H84">
            <v>121.26</v>
          </cell>
          <cell r="I84">
            <v>36.380000000000003</v>
          </cell>
          <cell r="J84" t="str">
            <v>MIPO002874</v>
          </cell>
          <cell r="K84" t="str">
            <v>VC3</v>
          </cell>
          <cell r="L84" t="str">
            <v>SOCIEDAD</v>
          </cell>
          <cell r="N84">
            <v>9</v>
          </cell>
        </row>
        <row r="85">
          <cell r="A85" t="str">
            <v>MIPO002878</v>
          </cell>
          <cell r="B85" t="str">
            <v>210VAXIO</v>
          </cell>
          <cell r="C85" t="str">
            <v>AXIOMA</v>
          </cell>
          <cell r="D85" t="str">
            <v>1791770412001</v>
          </cell>
          <cell r="E85" t="str">
            <v>1283</v>
          </cell>
          <cell r="F85" t="str">
            <v>10/05/2004</v>
          </cell>
          <cell r="G85">
            <v>346.5</v>
          </cell>
          <cell r="H85">
            <v>41.58</v>
          </cell>
          <cell r="I85">
            <v>12.47</v>
          </cell>
          <cell r="J85" t="str">
            <v>MIPO002878</v>
          </cell>
          <cell r="K85" t="str">
            <v>VC3</v>
          </cell>
          <cell r="L85" t="str">
            <v>SOCIEDAD</v>
          </cell>
          <cell r="N85">
            <v>9</v>
          </cell>
        </row>
        <row r="86">
          <cell r="A86" t="str">
            <v>MIPO002781</v>
          </cell>
          <cell r="B86" t="str">
            <v>210VBENB</v>
          </cell>
          <cell r="C86" t="str">
            <v>Benbarec S.A.</v>
          </cell>
          <cell r="D86" t="str">
            <v>1791738934001</v>
          </cell>
          <cell r="E86" t="str">
            <v>467</v>
          </cell>
          <cell r="F86" t="str">
            <v>10/05/2004</v>
          </cell>
          <cell r="G86">
            <v>43092</v>
          </cell>
          <cell r="H86">
            <v>5171.04</v>
          </cell>
          <cell r="I86">
            <v>1551.31</v>
          </cell>
          <cell r="J86" t="str">
            <v>MIPO002781</v>
          </cell>
          <cell r="K86" t="str">
            <v>VC3</v>
          </cell>
          <cell r="L86" t="str">
            <v>SOCIEDAD</v>
          </cell>
          <cell r="N86">
            <v>9</v>
          </cell>
        </row>
        <row r="87">
          <cell r="A87" t="str">
            <v>MIPO002869</v>
          </cell>
          <cell r="B87" t="str">
            <v>210VBENB</v>
          </cell>
          <cell r="C87" t="str">
            <v>Benbarec S.A.</v>
          </cell>
          <cell r="D87" t="str">
            <v>1791738934001</v>
          </cell>
          <cell r="E87" t="str">
            <v>469</v>
          </cell>
          <cell r="F87" t="str">
            <v>17/05/2004</v>
          </cell>
          <cell r="G87">
            <v>2538</v>
          </cell>
          <cell r="H87">
            <v>304.56</v>
          </cell>
          <cell r="I87">
            <v>91.37</v>
          </cell>
          <cell r="J87" t="str">
            <v>MIPO002869</v>
          </cell>
          <cell r="K87" t="str">
            <v>VC3</v>
          </cell>
          <cell r="L87" t="str">
            <v>SOCIEDAD</v>
          </cell>
          <cell r="N87">
            <v>9</v>
          </cell>
        </row>
        <row r="88">
          <cell r="A88" t="str">
            <v>MIPO002726</v>
          </cell>
          <cell r="B88" t="str">
            <v>210VBENB</v>
          </cell>
          <cell r="C88" t="str">
            <v>Benbarec S.A.</v>
          </cell>
          <cell r="D88" t="str">
            <v>1791738934001</v>
          </cell>
          <cell r="E88" t="str">
            <v>470</v>
          </cell>
          <cell r="F88" t="str">
            <v>17/05/2004</v>
          </cell>
          <cell r="G88">
            <v>39345</v>
          </cell>
          <cell r="H88">
            <v>4721.3999999999996</v>
          </cell>
          <cell r="I88">
            <v>1416.42</v>
          </cell>
          <cell r="J88" t="str">
            <v>MIPO002726</v>
          </cell>
          <cell r="K88" t="str">
            <v>VC3</v>
          </cell>
          <cell r="L88" t="str">
            <v>SOCIEDAD</v>
          </cell>
          <cell r="N88">
            <v>9</v>
          </cell>
        </row>
        <row r="89">
          <cell r="A89" t="str">
            <v>MIPO002889</v>
          </cell>
          <cell r="B89" t="str">
            <v>210VBENB</v>
          </cell>
          <cell r="C89" t="str">
            <v>Benbarec S.A.</v>
          </cell>
          <cell r="D89" t="str">
            <v>1791738934001</v>
          </cell>
          <cell r="E89" t="str">
            <v>472</v>
          </cell>
          <cell r="F89" t="str">
            <v>25/05/2004</v>
          </cell>
          <cell r="G89">
            <v>43092</v>
          </cell>
          <cell r="H89">
            <v>5171.04</v>
          </cell>
          <cell r="I89">
            <v>1551.31</v>
          </cell>
          <cell r="J89" t="str">
            <v>MIPO002889</v>
          </cell>
          <cell r="K89" t="str">
            <v>VC3</v>
          </cell>
          <cell r="L89" t="str">
            <v>SOCIEDAD</v>
          </cell>
          <cell r="N89">
            <v>9</v>
          </cell>
        </row>
        <row r="90">
          <cell r="A90" t="str">
            <v>MIPO002767</v>
          </cell>
          <cell r="B90" t="str">
            <v>210VBIS</v>
          </cell>
          <cell r="C90" t="str">
            <v>Bis S.A.</v>
          </cell>
          <cell r="D90" t="str">
            <v>1791743164001</v>
          </cell>
          <cell r="E90" t="str">
            <v>1981</v>
          </cell>
          <cell r="F90" t="str">
            <v>03/05/2004</v>
          </cell>
          <cell r="G90">
            <v>159</v>
          </cell>
          <cell r="H90">
            <v>19.079999999999998</v>
          </cell>
          <cell r="I90">
            <v>5.72</v>
          </cell>
          <cell r="J90" t="str">
            <v>MIPO002767</v>
          </cell>
          <cell r="K90" t="str">
            <v>VC3</v>
          </cell>
          <cell r="L90" t="str">
            <v>SOCIEDAD</v>
          </cell>
          <cell r="M90" t="str">
            <v>0000010800</v>
          </cell>
          <cell r="N90">
            <v>9</v>
          </cell>
        </row>
        <row r="91">
          <cell r="A91" t="str">
            <v>MIPO002680</v>
          </cell>
          <cell r="B91" t="str">
            <v>210VBIS</v>
          </cell>
          <cell r="C91" t="str">
            <v>Bis S.A.</v>
          </cell>
          <cell r="D91" t="str">
            <v>1791743164001</v>
          </cell>
          <cell r="E91" t="str">
            <v>1989</v>
          </cell>
          <cell r="F91" t="str">
            <v>03/05/2004</v>
          </cell>
          <cell r="G91">
            <v>159</v>
          </cell>
          <cell r="H91">
            <v>19.079999999999998</v>
          </cell>
          <cell r="I91">
            <v>5.72</v>
          </cell>
          <cell r="J91" t="str">
            <v>MIPO002680</v>
          </cell>
          <cell r="K91" t="str">
            <v>VC3</v>
          </cell>
          <cell r="L91" t="str">
            <v>SOCIEDAD</v>
          </cell>
          <cell r="M91" t="str">
            <v>0000010800</v>
          </cell>
          <cell r="N91">
            <v>9</v>
          </cell>
        </row>
        <row r="92">
          <cell r="A92" t="str">
            <v>MIPO002901</v>
          </cell>
          <cell r="B92" t="str">
            <v>210VBREN</v>
          </cell>
          <cell r="C92" t="str">
            <v>Brenntag Ecuador S.A</v>
          </cell>
          <cell r="D92" t="str">
            <v>0990005087001</v>
          </cell>
          <cell r="E92" t="str">
            <v>878</v>
          </cell>
          <cell r="G92">
            <v>1800</v>
          </cell>
          <cell r="H92">
            <v>216</v>
          </cell>
          <cell r="J92" t="str">
            <v>MIPO002901</v>
          </cell>
          <cell r="K92" t="str">
            <v>RC1</v>
          </cell>
          <cell r="L92" t="str">
            <v>SOCIEDAD</v>
          </cell>
          <cell r="N92">
            <v>9</v>
          </cell>
          <cell r="Q92" t="str">
            <v>VBREN</v>
          </cell>
        </row>
        <row r="93">
          <cell r="A93" t="str">
            <v>MIPO002879</v>
          </cell>
          <cell r="B93" t="str">
            <v>210VPROA</v>
          </cell>
          <cell r="C93" t="str">
            <v>Carlos Ramiro Proaño T.</v>
          </cell>
          <cell r="D93" t="str">
            <v>1707777213001</v>
          </cell>
          <cell r="E93" t="str">
            <v>23072</v>
          </cell>
          <cell r="F93" t="str">
            <v>11/05/2004</v>
          </cell>
          <cell r="G93">
            <v>62</v>
          </cell>
          <cell r="H93">
            <v>7.4399999999999995</v>
          </cell>
          <cell r="I93">
            <v>2.23</v>
          </cell>
          <cell r="J93" t="str">
            <v>MIPO002879</v>
          </cell>
          <cell r="K93" t="str">
            <v>VC3</v>
          </cell>
          <cell r="L93" t="str">
            <v>P. NATURAL</v>
          </cell>
          <cell r="N93">
            <v>0</v>
          </cell>
        </row>
        <row r="94">
          <cell r="A94" t="str">
            <v>MIPO002840</v>
          </cell>
          <cell r="B94" t="str">
            <v>210VCEME</v>
          </cell>
          <cell r="C94" t="str">
            <v>Cemepro</v>
          </cell>
          <cell r="D94" t="str">
            <v>1708360803001</v>
          </cell>
          <cell r="E94" t="str">
            <v>3502</v>
          </cell>
          <cell r="F94" t="str">
            <v>03/05/2004</v>
          </cell>
          <cell r="G94">
            <v>1362.83</v>
          </cell>
          <cell r="H94">
            <v>163.53959999999998</v>
          </cell>
          <cell r="I94">
            <v>49.06</v>
          </cell>
          <cell r="J94" t="str">
            <v>MIPO002840</v>
          </cell>
          <cell r="K94" t="str">
            <v>VC3</v>
          </cell>
          <cell r="L94" t="str">
            <v>P. NATURAL</v>
          </cell>
          <cell r="M94" t="str">
            <v>0000010804</v>
          </cell>
          <cell r="N94">
            <v>0</v>
          </cell>
        </row>
        <row r="95">
          <cell r="A95" t="str">
            <v>MIPO002810</v>
          </cell>
          <cell r="B95" t="str">
            <v>210VCEME</v>
          </cell>
          <cell r="C95" t="str">
            <v>Cemepro</v>
          </cell>
          <cell r="D95" t="str">
            <v>1708360803001</v>
          </cell>
          <cell r="E95" t="str">
            <v>3497</v>
          </cell>
          <cell r="F95" t="str">
            <v>03/05/2004</v>
          </cell>
          <cell r="G95">
            <v>554.25</v>
          </cell>
          <cell r="H95">
            <v>66.509999999999991</v>
          </cell>
          <cell r="I95">
            <v>19.95</v>
          </cell>
          <cell r="J95" t="str">
            <v>MIPO002810</v>
          </cell>
          <cell r="K95" t="str">
            <v>VC3</v>
          </cell>
          <cell r="L95" t="str">
            <v>P. NATURAL</v>
          </cell>
          <cell r="M95" t="str">
            <v>0000010804</v>
          </cell>
          <cell r="N95">
            <v>0</v>
          </cell>
        </row>
        <row r="96">
          <cell r="A96" t="str">
            <v>MIPO002837</v>
          </cell>
          <cell r="B96" t="str">
            <v>210VCEME</v>
          </cell>
          <cell r="C96" t="str">
            <v>Cemepro</v>
          </cell>
          <cell r="D96" t="str">
            <v>1708360803001</v>
          </cell>
          <cell r="E96" t="str">
            <v>3501</v>
          </cell>
          <cell r="F96" t="str">
            <v>03/05/2004</v>
          </cell>
          <cell r="G96">
            <v>50</v>
          </cell>
          <cell r="H96">
            <v>6</v>
          </cell>
          <cell r="I96">
            <v>1.8</v>
          </cell>
          <cell r="J96" t="str">
            <v>MIPO002837</v>
          </cell>
          <cell r="K96" t="str">
            <v>VC3</v>
          </cell>
          <cell r="L96" t="str">
            <v>P. NATURAL</v>
          </cell>
          <cell r="N96">
            <v>0</v>
          </cell>
        </row>
        <row r="97">
          <cell r="A97" t="str">
            <v>MIPO002844</v>
          </cell>
          <cell r="B97" t="str">
            <v>210VCEME</v>
          </cell>
          <cell r="C97" t="str">
            <v>Cemepro</v>
          </cell>
          <cell r="D97" t="str">
            <v>1708360803001</v>
          </cell>
          <cell r="E97" t="str">
            <v>3501</v>
          </cell>
          <cell r="F97" t="str">
            <v>03/05/2004</v>
          </cell>
          <cell r="G97">
            <v>636</v>
          </cell>
          <cell r="H97">
            <v>76.319999999999993</v>
          </cell>
          <cell r="I97">
            <v>22.9</v>
          </cell>
          <cell r="J97" t="str">
            <v>MIPO002844</v>
          </cell>
          <cell r="K97" t="str">
            <v>VC3</v>
          </cell>
          <cell r="L97" t="str">
            <v>P. NATURAL</v>
          </cell>
          <cell r="N97">
            <v>0</v>
          </cell>
        </row>
        <row r="98">
          <cell r="A98" t="str">
            <v>MIPO002848</v>
          </cell>
          <cell r="B98" t="str">
            <v>210VCEME</v>
          </cell>
          <cell r="C98" t="str">
            <v>Cemepro</v>
          </cell>
          <cell r="D98" t="str">
            <v>1708360803001</v>
          </cell>
          <cell r="E98" t="str">
            <v>3519</v>
          </cell>
          <cell r="F98" t="str">
            <v>10/05/2004</v>
          </cell>
          <cell r="G98">
            <v>2350.92</v>
          </cell>
          <cell r="H98">
            <v>282.11039999999997</v>
          </cell>
          <cell r="I98">
            <v>84.63</v>
          </cell>
          <cell r="J98" t="str">
            <v>MIPO002848</v>
          </cell>
          <cell r="K98" t="str">
            <v>VC3</v>
          </cell>
          <cell r="L98" t="str">
            <v>P. NATURAL</v>
          </cell>
          <cell r="N98">
            <v>0</v>
          </cell>
        </row>
        <row r="99">
          <cell r="A99" t="str">
            <v>MIPO002886</v>
          </cell>
          <cell r="B99" t="str">
            <v>210VCEME</v>
          </cell>
          <cell r="C99" t="str">
            <v>Cemepro</v>
          </cell>
          <cell r="D99" t="str">
            <v>1708360803001</v>
          </cell>
          <cell r="E99" t="str">
            <v>3518</v>
          </cell>
          <cell r="F99" t="str">
            <v>10/05/2004</v>
          </cell>
          <cell r="G99">
            <v>1364.25</v>
          </cell>
          <cell r="H99">
            <v>163.71</v>
          </cell>
          <cell r="I99">
            <v>49.11</v>
          </cell>
          <cell r="J99" t="str">
            <v>MIPO002886</v>
          </cell>
          <cell r="K99" t="str">
            <v>VC3</v>
          </cell>
          <cell r="L99" t="str">
            <v>P. NATURAL</v>
          </cell>
          <cell r="N99">
            <v>0</v>
          </cell>
        </row>
        <row r="100">
          <cell r="A100" t="str">
            <v>MIPO002911</v>
          </cell>
          <cell r="B100" t="str">
            <v>210VCEME</v>
          </cell>
          <cell r="C100" t="str">
            <v>Cemepro</v>
          </cell>
          <cell r="D100" t="str">
            <v>1708360803001</v>
          </cell>
          <cell r="E100" t="str">
            <v>3534</v>
          </cell>
          <cell r="F100" t="str">
            <v>17/05/2004</v>
          </cell>
          <cell r="G100">
            <v>545.54999999999995</v>
          </cell>
          <cell r="H100">
            <v>65.47</v>
          </cell>
          <cell r="I100">
            <v>19.64</v>
          </cell>
          <cell r="J100" t="str">
            <v>MIPO002911</v>
          </cell>
          <cell r="K100" t="str">
            <v>VC3</v>
          </cell>
          <cell r="L100" t="str">
            <v>P. NATURAL</v>
          </cell>
          <cell r="N100">
            <v>0</v>
          </cell>
        </row>
        <row r="101">
          <cell r="A101" t="str">
            <v>MIPO002907</v>
          </cell>
          <cell r="B101" t="str">
            <v>210VCEME</v>
          </cell>
          <cell r="C101" t="str">
            <v>Cemepro</v>
          </cell>
          <cell r="D101" t="str">
            <v>1708360803001</v>
          </cell>
          <cell r="E101" t="str">
            <v>3535</v>
          </cell>
          <cell r="F101" t="str">
            <v>17/05/2004</v>
          </cell>
          <cell r="G101">
            <v>45</v>
          </cell>
          <cell r="H101">
            <v>5.4</v>
          </cell>
          <cell r="I101">
            <v>1.62</v>
          </cell>
          <cell r="J101" t="str">
            <v>MIPO002907</v>
          </cell>
          <cell r="K101" t="str">
            <v>VC3</v>
          </cell>
          <cell r="L101" t="str">
            <v>P. NATURAL</v>
          </cell>
          <cell r="N101">
            <v>0</v>
          </cell>
        </row>
        <row r="102">
          <cell r="A102" t="str">
            <v>MIPO002929</v>
          </cell>
          <cell r="B102" t="str">
            <v>210VCEME</v>
          </cell>
          <cell r="C102" t="str">
            <v>Cemepro</v>
          </cell>
          <cell r="D102" t="str">
            <v>1708360803001</v>
          </cell>
          <cell r="E102" t="str">
            <v>3550</v>
          </cell>
          <cell r="F102" t="str">
            <v>25/05/2004</v>
          </cell>
          <cell r="G102">
            <v>570</v>
          </cell>
          <cell r="H102">
            <v>68.400000000000006</v>
          </cell>
          <cell r="I102">
            <v>20.52</v>
          </cell>
          <cell r="J102" t="str">
            <v>MIPO002929</v>
          </cell>
          <cell r="K102" t="str">
            <v>VC3</v>
          </cell>
          <cell r="L102" t="str">
            <v>P. NATURAL</v>
          </cell>
          <cell r="N102">
            <v>0</v>
          </cell>
        </row>
        <row r="103">
          <cell r="A103" t="str">
            <v>MIPO002918</v>
          </cell>
          <cell r="B103" t="str">
            <v>210VCERO</v>
          </cell>
          <cell r="C103" t="str">
            <v>Ceron Importadores</v>
          </cell>
          <cell r="D103" t="str">
            <v>1703833200001</v>
          </cell>
          <cell r="E103" t="str">
            <v>3423</v>
          </cell>
          <cell r="F103" t="str">
            <v>17/05/2004</v>
          </cell>
          <cell r="G103">
            <v>448</v>
          </cell>
          <cell r="H103">
            <v>53.76</v>
          </cell>
          <cell r="I103">
            <v>16.13</v>
          </cell>
          <cell r="J103" t="str">
            <v>MIPO002918</v>
          </cell>
          <cell r="K103" t="str">
            <v>VC3</v>
          </cell>
          <cell r="L103" t="str">
            <v>P. NATURAL</v>
          </cell>
          <cell r="N103">
            <v>0</v>
          </cell>
        </row>
        <row r="104">
          <cell r="A104" t="str">
            <v>MIPO002850</v>
          </cell>
          <cell r="B104" t="str">
            <v>210VCETG</v>
          </cell>
          <cell r="C104" t="str">
            <v>CETAGUA</v>
          </cell>
          <cell r="D104" t="str">
            <v>0991461337001</v>
          </cell>
          <cell r="E104" t="str">
            <v>747</v>
          </cell>
          <cell r="F104" t="str">
            <v>03/05/2004</v>
          </cell>
          <cell r="G104">
            <v>1743.58</v>
          </cell>
          <cell r="H104">
            <v>209.23</v>
          </cell>
          <cell r="I104">
            <v>62.77</v>
          </cell>
          <cell r="J104" t="str">
            <v>MIPO002850</v>
          </cell>
          <cell r="K104" t="str">
            <v>VC3</v>
          </cell>
          <cell r="L104" t="str">
            <v>SOCIEDAD</v>
          </cell>
          <cell r="N104">
            <v>9</v>
          </cell>
        </row>
        <row r="105">
          <cell r="A105" t="str">
            <v>MIPO002885</v>
          </cell>
          <cell r="B105" t="str">
            <v>210VCETG</v>
          </cell>
          <cell r="C105" t="str">
            <v>CETAGUA</v>
          </cell>
          <cell r="D105" t="str">
            <v>0991461337001</v>
          </cell>
          <cell r="E105" t="str">
            <v>764</v>
          </cell>
          <cell r="F105" t="str">
            <v>17/05/2004</v>
          </cell>
          <cell r="G105">
            <v>1159.25</v>
          </cell>
          <cell r="H105">
            <v>139.11000000000001</v>
          </cell>
          <cell r="I105">
            <v>41.73</v>
          </cell>
          <cell r="J105" t="str">
            <v>MIPO002885</v>
          </cell>
          <cell r="K105" t="str">
            <v>VC3</v>
          </cell>
          <cell r="L105" t="str">
            <v>SOCIEDAD</v>
          </cell>
          <cell r="N105">
            <v>9</v>
          </cell>
        </row>
        <row r="106">
          <cell r="A106" t="str">
            <v>MIPO002916</v>
          </cell>
          <cell r="B106" t="str">
            <v>210VCETG</v>
          </cell>
          <cell r="C106" t="str">
            <v>CETAGUA</v>
          </cell>
          <cell r="D106" t="str">
            <v>0991461337001</v>
          </cell>
          <cell r="E106" t="str">
            <v>767</v>
          </cell>
          <cell r="F106" t="str">
            <v>17/05/2004</v>
          </cell>
          <cell r="G106">
            <v>1530</v>
          </cell>
          <cell r="H106">
            <v>183.6</v>
          </cell>
          <cell r="I106">
            <v>55.08</v>
          </cell>
          <cell r="J106" t="str">
            <v>MIPO002916</v>
          </cell>
          <cell r="K106" t="str">
            <v>VC3</v>
          </cell>
          <cell r="L106" t="str">
            <v>SOCIEDAD</v>
          </cell>
          <cell r="N106">
            <v>9</v>
          </cell>
        </row>
        <row r="107">
          <cell r="A107" t="str">
            <v>MIPO002905</v>
          </cell>
          <cell r="B107" t="str">
            <v>210VCETG</v>
          </cell>
          <cell r="C107" t="str">
            <v>CETAGUA</v>
          </cell>
          <cell r="D107" t="str">
            <v>0991461337001</v>
          </cell>
          <cell r="E107" t="str">
            <v>765</v>
          </cell>
          <cell r="F107" t="str">
            <v>17/05/2004</v>
          </cell>
          <cell r="G107">
            <v>218.67</v>
          </cell>
          <cell r="H107">
            <v>26.24</v>
          </cell>
          <cell r="I107">
            <v>7.87</v>
          </cell>
          <cell r="J107" t="str">
            <v>MIPO002905</v>
          </cell>
          <cell r="K107" t="str">
            <v>VC3</v>
          </cell>
          <cell r="L107" t="str">
            <v>SOCIEDAD</v>
          </cell>
          <cell r="N107">
            <v>9</v>
          </cell>
        </row>
        <row r="108">
          <cell r="A108" t="str">
            <v>MIPO002899</v>
          </cell>
          <cell r="B108" t="str">
            <v>210VCODE</v>
          </cell>
          <cell r="C108" t="str">
            <v>Codemel</v>
          </cell>
          <cell r="D108" t="str">
            <v>1201201652001</v>
          </cell>
          <cell r="E108" t="str">
            <v>7318</v>
          </cell>
          <cell r="F108" t="str">
            <v>17/05/2004</v>
          </cell>
          <cell r="G108">
            <v>129.66999999999999</v>
          </cell>
          <cell r="H108">
            <v>15.560399999999998</v>
          </cell>
          <cell r="I108">
            <v>4.67</v>
          </cell>
          <cell r="J108" t="str">
            <v>MIPO002899</v>
          </cell>
          <cell r="K108" t="str">
            <v>VC3</v>
          </cell>
          <cell r="L108" t="str">
            <v>P. NATURAL</v>
          </cell>
          <cell r="N108">
            <v>0</v>
          </cell>
        </row>
        <row r="109">
          <cell r="A109" t="str">
            <v>MIPC001270</v>
          </cell>
          <cell r="B109" t="str">
            <v>210VCOLO</v>
          </cell>
          <cell r="C109" t="str">
            <v>COLORARTE</v>
          </cell>
          <cell r="D109" t="str">
            <v>0600704472001</v>
          </cell>
          <cell r="E109" t="str">
            <v>205</v>
          </cell>
          <cell r="F109" t="str">
            <v>24/05/2004</v>
          </cell>
          <cell r="G109">
            <v>394.83</v>
          </cell>
          <cell r="H109">
            <v>47.379599999999996</v>
          </cell>
          <cell r="I109">
            <v>14.21</v>
          </cell>
          <cell r="J109" t="str">
            <v>MIPC001270</v>
          </cell>
          <cell r="K109" t="str">
            <v>VC3</v>
          </cell>
          <cell r="L109" t="str">
            <v>P. NATURAL</v>
          </cell>
          <cell r="N109">
            <v>0</v>
          </cell>
        </row>
        <row r="110">
          <cell r="A110" t="str">
            <v>MIPC001244</v>
          </cell>
          <cell r="B110" t="str">
            <v>210VCORO</v>
          </cell>
          <cell r="C110" t="str">
            <v>Comercial Rocio</v>
          </cell>
          <cell r="D110" t="str">
            <v>0600309397001</v>
          </cell>
          <cell r="E110" t="str">
            <v>11724</v>
          </cell>
          <cell r="F110" t="str">
            <v>03/05/2004</v>
          </cell>
          <cell r="G110">
            <v>45.75</v>
          </cell>
          <cell r="H110">
            <v>5.49</v>
          </cell>
          <cell r="I110">
            <v>1.65</v>
          </cell>
          <cell r="J110" t="str">
            <v>MIPC001244</v>
          </cell>
          <cell r="K110" t="str">
            <v>VC3</v>
          </cell>
          <cell r="L110" t="str">
            <v>P. NATURAL</v>
          </cell>
          <cell r="M110" t="str">
            <v>0000010806</v>
          </cell>
          <cell r="N110">
            <v>0</v>
          </cell>
        </row>
        <row r="111">
          <cell r="A111" t="str">
            <v>MIPC001260</v>
          </cell>
          <cell r="B111" t="str">
            <v>210VCORO</v>
          </cell>
          <cell r="C111" t="str">
            <v>Comercial Rocio</v>
          </cell>
          <cell r="D111" t="str">
            <v>0600309397001</v>
          </cell>
          <cell r="E111" t="str">
            <v>11876</v>
          </cell>
          <cell r="F111" t="str">
            <v>17/05/2004</v>
          </cell>
          <cell r="G111">
            <v>405.08</v>
          </cell>
          <cell r="H111">
            <v>48.609599999999993</v>
          </cell>
          <cell r="I111">
            <v>14.58</v>
          </cell>
          <cell r="J111" t="str">
            <v>MIPC001260</v>
          </cell>
          <cell r="K111" t="str">
            <v>VC3</v>
          </cell>
          <cell r="L111" t="str">
            <v>P. NATURAL</v>
          </cell>
          <cell r="N111">
            <v>0</v>
          </cell>
        </row>
        <row r="112">
          <cell r="A112" t="str">
            <v>MIPO002763</v>
          </cell>
          <cell r="B112" t="str">
            <v>210VCOMC</v>
          </cell>
          <cell r="C112" t="str">
            <v>CompuCal</v>
          </cell>
          <cell r="D112" t="str">
            <v>0102517558001</v>
          </cell>
          <cell r="E112" t="str">
            <v>14306</v>
          </cell>
          <cell r="F112" t="str">
            <v>17/05/2004</v>
          </cell>
          <cell r="G112">
            <v>96</v>
          </cell>
          <cell r="H112">
            <v>11.52</v>
          </cell>
          <cell r="I112">
            <v>3.46</v>
          </cell>
          <cell r="J112" t="str">
            <v>MIPO002763</v>
          </cell>
          <cell r="K112" t="str">
            <v>VC3</v>
          </cell>
          <cell r="L112" t="str">
            <v>P. NATURAL</v>
          </cell>
          <cell r="M112" t="str">
            <v>0000010859</v>
          </cell>
          <cell r="N112">
            <v>0</v>
          </cell>
        </row>
        <row r="113">
          <cell r="A113" t="str">
            <v>MIPO002880</v>
          </cell>
          <cell r="B113" t="str">
            <v>210VCOMC</v>
          </cell>
          <cell r="C113" t="str">
            <v>CompuCal</v>
          </cell>
          <cell r="D113" t="str">
            <v>0102517558001</v>
          </cell>
          <cell r="E113" t="str">
            <v>14186</v>
          </cell>
          <cell r="F113" t="str">
            <v>10/05/2004</v>
          </cell>
          <cell r="G113">
            <v>524.41999999999996</v>
          </cell>
          <cell r="H113">
            <v>62.930399999999992</v>
          </cell>
          <cell r="I113">
            <v>18.88</v>
          </cell>
          <cell r="J113" t="str">
            <v>MIPO002880</v>
          </cell>
          <cell r="K113" t="str">
            <v>VC3</v>
          </cell>
          <cell r="L113" t="str">
            <v>P. NATURAL</v>
          </cell>
          <cell r="N113">
            <v>0</v>
          </cell>
        </row>
        <row r="114">
          <cell r="A114" t="str">
            <v>MIPO002782</v>
          </cell>
          <cell r="B114" t="str">
            <v>210VOTRO</v>
          </cell>
          <cell r="C114" t="str">
            <v>CONFORT LINE</v>
          </cell>
          <cell r="D114" t="str">
            <v>1708464761001</v>
          </cell>
          <cell r="E114" t="str">
            <v>724</v>
          </cell>
          <cell r="F114" t="str">
            <v>03/05/2004</v>
          </cell>
          <cell r="G114">
            <v>1500</v>
          </cell>
          <cell r="H114">
            <v>180</v>
          </cell>
          <cell r="I114">
            <v>54</v>
          </cell>
          <cell r="J114" t="str">
            <v>MIPO002782</v>
          </cell>
          <cell r="K114" t="str">
            <v>VC3</v>
          </cell>
          <cell r="L114" t="str">
            <v>P. NATURAL</v>
          </cell>
          <cell r="M114" t="str">
            <v>0000010693</v>
          </cell>
          <cell r="N114">
            <v>0</v>
          </cell>
        </row>
        <row r="115">
          <cell r="A115" t="str">
            <v>MIPO002851</v>
          </cell>
          <cell r="B115" t="str">
            <v>210VCUCA</v>
          </cell>
          <cell r="C115" t="str">
            <v>Cucasa</v>
          </cell>
          <cell r="D115" t="str">
            <v>1790294609001</v>
          </cell>
          <cell r="E115" t="str">
            <v>94788</v>
          </cell>
          <cell r="G115">
            <v>2278.5</v>
          </cell>
          <cell r="H115">
            <v>273.42</v>
          </cell>
          <cell r="J115" t="str">
            <v>MIPO002851</v>
          </cell>
          <cell r="K115" t="str">
            <v>RC1</v>
          </cell>
          <cell r="L115" t="str">
            <v>SOCIEDAD</v>
          </cell>
          <cell r="M115" t="str">
            <v>0000010807</v>
          </cell>
          <cell r="N115">
            <v>9</v>
          </cell>
          <cell r="Q115" t="str">
            <v>VCUCA</v>
          </cell>
        </row>
        <row r="116">
          <cell r="A116" t="str">
            <v>MIPO002884</v>
          </cell>
          <cell r="B116" t="str">
            <v>210VCUCA</v>
          </cell>
          <cell r="C116" t="str">
            <v>Cucasa</v>
          </cell>
          <cell r="D116" t="str">
            <v>1790294609001</v>
          </cell>
          <cell r="E116" t="str">
            <v>95248</v>
          </cell>
          <cell r="G116">
            <v>253.58</v>
          </cell>
          <cell r="H116">
            <v>30.429600000000001</v>
          </cell>
          <cell r="J116" t="str">
            <v>MIPO002884</v>
          </cell>
          <cell r="K116" t="str">
            <v>RC1</v>
          </cell>
          <cell r="L116" t="str">
            <v>SOCIEDAD</v>
          </cell>
          <cell r="M116" t="str">
            <v>0000010807</v>
          </cell>
          <cell r="N116">
            <v>9</v>
          </cell>
          <cell r="Q116" t="str">
            <v>VCUCA</v>
          </cell>
        </row>
        <row r="117">
          <cell r="A117" t="str">
            <v>MIPO002910</v>
          </cell>
          <cell r="B117" t="str">
            <v>210VCUCA</v>
          </cell>
          <cell r="C117" t="str">
            <v>Cucasa</v>
          </cell>
          <cell r="D117" t="str">
            <v>1790294609001</v>
          </cell>
          <cell r="E117" t="str">
            <v>96366</v>
          </cell>
          <cell r="G117">
            <v>1971.33</v>
          </cell>
          <cell r="H117">
            <v>236.55959999999999</v>
          </cell>
          <cell r="J117" t="str">
            <v>MIPO002910</v>
          </cell>
          <cell r="K117" t="str">
            <v>RC1</v>
          </cell>
          <cell r="L117" t="str">
            <v>SOCIEDAD</v>
          </cell>
          <cell r="N117">
            <v>9</v>
          </cell>
          <cell r="Q117" t="str">
            <v>VCUCA</v>
          </cell>
        </row>
        <row r="118">
          <cell r="A118" t="str">
            <v>MIPO002897</v>
          </cell>
          <cell r="B118" t="str">
            <v>210VGCS</v>
          </cell>
          <cell r="C118" t="str">
            <v>Distribuidora GCS</v>
          </cell>
          <cell r="D118" t="str">
            <v>1701164566001</v>
          </cell>
          <cell r="E118" t="str">
            <v>1239</v>
          </cell>
          <cell r="F118" t="str">
            <v>10/05/2004</v>
          </cell>
          <cell r="G118">
            <v>524.33000000000004</v>
          </cell>
          <cell r="H118">
            <v>62.92</v>
          </cell>
          <cell r="I118">
            <v>18.88</v>
          </cell>
          <cell r="J118" t="str">
            <v>MIPO002897</v>
          </cell>
          <cell r="K118" t="str">
            <v>VC3</v>
          </cell>
          <cell r="L118" t="str">
            <v>P. NATURAL</v>
          </cell>
          <cell r="M118" t="str">
            <v>0000010864</v>
          </cell>
          <cell r="N118">
            <v>0</v>
          </cell>
        </row>
        <row r="119">
          <cell r="A119" t="str">
            <v>MIPC001257</v>
          </cell>
          <cell r="B119" t="str">
            <v>210VSOLG</v>
          </cell>
          <cell r="C119" t="str">
            <v>EQUISOLGAS</v>
          </cell>
          <cell r="D119" t="str">
            <v>1713320446001</v>
          </cell>
          <cell r="E119" t="str">
            <v>215</v>
          </cell>
          <cell r="F119" t="str">
            <v>10/05/2004</v>
          </cell>
          <cell r="G119">
            <v>590</v>
          </cell>
          <cell r="H119">
            <v>70.8</v>
          </cell>
          <cell r="I119">
            <v>21.24</v>
          </cell>
          <cell r="J119" t="str">
            <v>MIPC001257</v>
          </cell>
          <cell r="K119" t="str">
            <v>VC3</v>
          </cell>
          <cell r="L119" t="str">
            <v>P. NATURAL</v>
          </cell>
          <cell r="M119" t="str">
            <v>0000010862</v>
          </cell>
          <cell r="N119">
            <v>1</v>
          </cell>
        </row>
        <row r="120">
          <cell r="A120" t="str">
            <v>MIPC001243</v>
          </cell>
          <cell r="B120" t="str">
            <v>210VFERS</v>
          </cell>
          <cell r="C120" t="str">
            <v>FERRETERIA SCHLUMBER</v>
          </cell>
          <cell r="D120" t="str">
            <v>1308371408001</v>
          </cell>
          <cell r="E120" t="str">
            <v>731</v>
          </cell>
          <cell r="F120" t="str">
            <v>26/04/2004</v>
          </cell>
          <cell r="G120">
            <v>78.33</v>
          </cell>
          <cell r="H120">
            <v>9.4</v>
          </cell>
          <cell r="I120">
            <v>2.82</v>
          </cell>
          <cell r="J120" t="str">
            <v>MIPC001243</v>
          </cell>
          <cell r="K120" t="str">
            <v>VC3</v>
          </cell>
          <cell r="L120" t="str">
            <v>P. NATURAL</v>
          </cell>
          <cell r="M120" t="str">
            <v>0000010813</v>
          </cell>
          <cell r="N120">
            <v>0</v>
          </cell>
        </row>
        <row r="121">
          <cell r="A121" t="str">
            <v>MIPC001246</v>
          </cell>
          <cell r="B121" t="str">
            <v>210VFERS</v>
          </cell>
          <cell r="C121" t="str">
            <v>FERRETERIA SCHLUMBER</v>
          </cell>
          <cell r="D121" t="str">
            <v>1308371408001</v>
          </cell>
          <cell r="E121" t="str">
            <v>739</v>
          </cell>
          <cell r="F121" t="str">
            <v>03/05/2004</v>
          </cell>
          <cell r="G121">
            <v>29</v>
          </cell>
          <cell r="H121">
            <v>3.48</v>
          </cell>
          <cell r="I121">
            <v>1.04</v>
          </cell>
          <cell r="J121" t="str">
            <v>MIPC001246</v>
          </cell>
          <cell r="K121" t="str">
            <v>VC3</v>
          </cell>
          <cell r="L121" t="str">
            <v>P. NATURAL</v>
          </cell>
          <cell r="M121" t="str">
            <v>0000010813</v>
          </cell>
          <cell r="N121">
            <v>0</v>
          </cell>
        </row>
        <row r="122">
          <cell r="A122" t="str">
            <v>MIPC001254</v>
          </cell>
          <cell r="B122" t="str">
            <v>210VFERS</v>
          </cell>
          <cell r="C122" t="str">
            <v>FERRETERIA SCHLUMBER</v>
          </cell>
          <cell r="D122" t="str">
            <v>1308371408001</v>
          </cell>
          <cell r="E122" t="str">
            <v>759</v>
          </cell>
          <cell r="F122" t="str">
            <v>10/05/2004</v>
          </cell>
          <cell r="G122">
            <v>85</v>
          </cell>
          <cell r="H122">
            <v>10.199999999999999</v>
          </cell>
          <cell r="I122">
            <v>3.06</v>
          </cell>
          <cell r="J122" t="str">
            <v>MIPC001254</v>
          </cell>
          <cell r="K122" t="str">
            <v>VC3</v>
          </cell>
          <cell r="L122" t="str">
            <v>P. NATURAL</v>
          </cell>
          <cell r="M122" t="str">
            <v>0000010813</v>
          </cell>
          <cell r="N122">
            <v>0</v>
          </cell>
        </row>
        <row r="123">
          <cell r="A123" t="str">
            <v>MIPC001271</v>
          </cell>
          <cell r="B123" t="str">
            <v>210VFERS</v>
          </cell>
          <cell r="C123" t="str">
            <v>FERRETERIA SCHLUMBER</v>
          </cell>
          <cell r="D123" t="str">
            <v>1308371408001</v>
          </cell>
          <cell r="E123" t="str">
            <v>769</v>
          </cell>
          <cell r="F123" t="str">
            <v>24/05/2004</v>
          </cell>
          <cell r="G123">
            <v>47.58</v>
          </cell>
          <cell r="H123">
            <v>5.7089999999999996</v>
          </cell>
          <cell r="I123">
            <v>1.71</v>
          </cell>
          <cell r="J123" t="str">
            <v>MIPC001271</v>
          </cell>
          <cell r="K123" t="str">
            <v>VC3</v>
          </cell>
          <cell r="L123" t="str">
            <v>P. NATURAL</v>
          </cell>
          <cell r="N123">
            <v>0</v>
          </cell>
        </row>
        <row r="124">
          <cell r="A124" t="str">
            <v>MIPC001276</v>
          </cell>
          <cell r="B124" t="str">
            <v>210VFERS</v>
          </cell>
          <cell r="C124" t="str">
            <v>FERRETERIA SCHLUMBER</v>
          </cell>
          <cell r="D124" t="str">
            <v>1308371408001</v>
          </cell>
          <cell r="E124" t="str">
            <v>772</v>
          </cell>
          <cell r="F124" t="str">
            <v>25/05/2004</v>
          </cell>
          <cell r="G124">
            <v>24</v>
          </cell>
          <cell r="H124">
            <v>2.88</v>
          </cell>
          <cell r="I124">
            <v>0.86</v>
          </cell>
          <cell r="J124" t="str">
            <v>MIPC001276</v>
          </cell>
          <cell r="K124" t="str">
            <v>VC3</v>
          </cell>
          <cell r="L124" t="str">
            <v>P. NATURAL</v>
          </cell>
          <cell r="N124">
            <v>0</v>
          </cell>
        </row>
        <row r="125">
          <cell r="A125" t="str">
            <v>MIPC001253</v>
          </cell>
          <cell r="B125" t="str">
            <v>210VFER1</v>
          </cell>
          <cell r="C125" t="str">
            <v>Ferrocolor</v>
          </cell>
          <cell r="D125" t="str">
            <v>1707336341001</v>
          </cell>
          <cell r="E125" t="str">
            <v>5232</v>
          </cell>
          <cell r="F125" t="str">
            <v>03/05/2004</v>
          </cell>
          <cell r="G125">
            <v>246.5</v>
          </cell>
          <cell r="H125">
            <v>29.58</v>
          </cell>
          <cell r="I125">
            <v>8.8699999999999992</v>
          </cell>
          <cell r="J125" t="str">
            <v>MIPC001253</v>
          </cell>
          <cell r="K125" t="str">
            <v>VC3</v>
          </cell>
          <cell r="L125" t="str">
            <v>P. NATURAL</v>
          </cell>
          <cell r="M125" t="str">
            <v>0000010812</v>
          </cell>
          <cell r="N125">
            <v>0</v>
          </cell>
        </row>
        <row r="126">
          <cell r="A126" t="str">
            <v>MIPC001245</v>
          </cell>
          <cell r="B126" t="str">
            <v>210VFER1</v>
          </cell>
          <cell r="C126" t="str">
            <v>Ferrocolor</v>
          </cell>
          <cell r="D126" t="str">
            <v>1707336341001</v>
          </cell>
          <cell r="E126" t="str">
            <v>5206</v>
          </cell>
          <cell r="F126" t="str">
            <v>03/05/2004</v>
          </cell>
          <cell r="G126">
            <v>96</v>
          </cell>
          <cell r="H126">
            <v>11.52</v>
          </cell>
          <cell r="I126">
            <v>3.46</v>
          </cell>
          <cell r="J126" t="str">
            <v>MIPC001245</v>
          </cell>
          <cell r="K126" t="str">
            <v>VC3</v>
          </cell>
          <cell r="L126" t="str">
            <v>P. NATURAL</v>
          </cell>
          <cell r="M126" t="str">
            <v>0000010812</v>
          </cell>
          <cell r="N126">
            <v>0</v>
          </cell>
        </row>
        <row r="127">
          <cell r="A127" t="str">
            <v>MIPC001252</v>
          </cell>
          <cell r="B127" t="str">
            <v>210VFER1</v>
          </cell>
          <cell r="C127" t="str">
            <v>Ferrocolor</v>
          </cell>
          <cell r="D127" t="str">
            <v>1707336341001</v>
          </cell>
          <cell r="E127" t="str">
            <v>5219</v>
          </cell>
          <cell r="F127" t="str">
            <v>03/05/2004</v>
          </cell>
          <cell r="G127">
            <v>403.16</v>
          </cell>
          <cell r="H127">
            <v>48.38</v>
          </cell>
          <cell r="I127">
            <v>14.51</v>
          </cell>
          <cell r="J127" t="str">
            <v>MIPC001252</v>
          </cell>
          <cell r="K127" t="str">
            <v>VC3</v>
          </cell>
          <cell r="L127" t="str">
            <v>P. NATURAL</v>
          </cell>
          <cell r="M127" t="str">
            <v>0000010812</v>
          </cell>
          <cell r="N127">
            <v>0</v>
          </cell>
        </row>
        <row r="128">
          <cell r="A128" t="str">
            <v>MIPC001264</v>
          </cell>
          <cell r="B128" t="str">
            <v>210VFER1</v>
          </cell>
          <cell r="C128" t="str">
            <v>Ferrocolor</v>
          </cell>
          <cell r="D128" t="str">
            <v>1707336341001</v>
          </cell>
          <cell r="E128" t="str">
            <v>5291</v>
          </cell>
          <cell r="F128" t="str">
            <v>17/05/2004</v>
          </cell>
          <cell r="G128">
            <v>205.33</v>
          </cell>
          <cell r="H128">
            <v>24.64</v>
          </cell>
          <cell r="I128">
            <v>7.39</v>
          </cell>
          <cell r="J128" t="str">
            <v>MIPC001264</v>
          </cell>
          <cell r="K128" t="str">
            <v>VC3</v>
          </cell>
          <cell r="L128" t="str">
            <v>P. NATURAL</v>
          </cell>
          <cell r="N128">
            <v>0</v>
          </cell>
        </row>
        <row r="129">
          <cell r="A129" t="str">
            <v>MIPC001262</v>
          </cell>
          <cell r="B129" t="str">
            <v>210VFER1</v>
          </cell>
          <cell r="C129" t="str">
            <v>Ferrocolor</v>
          </cell>
          <cell r="D129" t="str">
            <v>1707336341001</v>
          </cell>
          <cell r="E129" t="str">
            <v>5294</v>
          </cell>
          <cell r="F129" t="str">
            <v>24/05/2004</v>
          </cell>
          <cell r="G129">
            <v>244.75</v>
          </cell>
          <cell r="H129">
            <v>29.37</v>
          </cell>
          <cell r="I129">
            <v>8.81</v>
          </cell>
          <cell r="J129" t="str">
            <v>MIPC001262</v>
          </cell>
          <cell r="K129" t="str">
            <v>VC3</v>
          </cell>
          <cell r="L129" t="str">
            <v>P. NATURAL</v>
          </cell>
          <cell r="N129">
            <v>0</v>
          </cell>
        </row>
        <row r="130">
          <cell r="A130" t="str">
            <v>MIPC001266</v>
          </cell>
          <cell r="B130" t="str">
            <v>210VFER1</v>
          </cell>
          <cell r="C130" t="str">
            <v>Ferrocolor</v>
          </cell>
          <cell r="D130" t="str">
            <v>1707336341001</v>
          </cell>
          <cell r="E130" t="str">
            <v>5295</v>
          </cell>
          <cell r="F130" t="str">
            <v>24/05/2004</v>
          </cell>
          <cell r="G130">
            <v>39.159999999999997</v>
          </cell>
          <cell r="H130">
            <v>4.6950000000000003</v>
          </cell>
          <cell r="I130">
            <v>1.41</v>
          </cell>
          <cell r="J130" t="str">
            <v>MIPC001266</v>
          </cell>
          <cell r="K130" t="str">
            <v>VC3</v>
          </cell>
          <cell r="L130" t="str">
            <v>P. NATURAL</v>
          </cell>
          <cell r="N130">
            <v>0</v>
          </cell>
        </row>
        <row r="131">
          <cell r="A131" t="str">
            <v>MIPC001272</v>
          </cell>
          <cell r="B131" t="str">
            <v>210VFER1</v>
          </cell>
          <cell r="C131" t="str">
            <v>Ferrocolor</v>
          </cell>
          <cell r="D131" t="str">
            <v>1707336341001</v>
          </cell>
          <cell r="E131" t="str">
            <v>5306</v>
          </cell>
          <cell r="F131" t="str">
            <v>25/05/2004</v>
          </cell>
          <cell r="G131">
            <v>173</v>
          </cell>
          <cell r="H131">
            <v>20.76</v>
          </cell>
          <cell r="I131">
            <v>6.23</v>
          </cell>
          <cell r="J131" t="str">
            <v>MIPC001272</v>
          </cell>
          <cell r="K131" t="str">
            <v>VC3</v>
          </cell>
          <cell r="L131" t="str">
            <v>P. NATURAL</v>
          </cell>
          <cell r="N131">
            <v>0</v>
          </cell>
        </row>
        <row r="132">
          <cell r="A132" t="str">
            <v>MIPO002904</v>
          </cell>
          <cell r="B132" t="str">
            <v>210VOTRO</v>
          </cell>
          <cell r="C132" t="str">
            <v>Foto Uno Service Bureau S.A.</v>
          </cell>
          <cell r="D132" t="str">
            <v>1791877446001</v>
          </cell>
          <cell r="E132" t="str">
            <v>2048</v>
          </cell>
          <cell r="F132" t="str">
            <v>17/05/2004</v>
          </cell>
          <cell r="G132">
            <v>81.5</v>
          </cell>
          <cell r="H132">
            <v>9.7799999999999994</v>
          </cell>
          <cell r="I132">
            <v>2.93</v>
          </cell>
          <cell r="J132" t="str">
            <v>MIPO002904</v>
          </cell>
          <cell r="K132" t="str">
            <v>VC3</v>
          </cell>
          <cell r="L132" t="str">
            <v>SOCIEDAD</v>
          </cell>
          <cell r="N132">
            <v>9</v>
          </cell>
        </row>
        <row r="133">
          <cell r="A133" t="str">
            <v>MIPO002924</v>
          </cell>
          <cell r="B133" t="str">
            <v>210VOTRO</v>
          </cell>
          <cell r="C133" t="str">
            <v>Foto Uno Service Bureau S.A.</v>
          </cell>
          <cell r="D133" t="str">
            <v>1791877446001</v>
          </cell>
          <cell r="E133" t="str">
            <v>2138</v>
          </cell>
          <cell r="F133" t="str">
            <v>25/05/2004</v>
          </cell>
          <cell r="G133">
            <v>370</v>
          </cell>
          <cell r="H133">
            <v>44.4</v>
          </cell>
          <cell r="I133">
            <v>13.32</v>
          </cell>
          <cell r="J133" t="str">
            <v>MIPO002924</v>
          </cell>
          <cell r="K133" t="str">
            <v>VC3</v>
          </cell>
          <cell r="L133" t="str">
            <v>SOCIEDAD</v>
          </cell>
          <cell r="N133">
            <v>9</v>
          </cell>
        </row>
        <row r="134">
          <cell r="A134" t="str">
            <v>MIPO002868</v>
          </cell>
          <cell r="B134" t="str">
            <v>210VSCHW</v>
          </cell>
          <cell r="C134" t="str">
            <v>FROILAN SCHWEITZER</v>
          </cell>
          <cell r="D134" t="str">
            <v>1705577433001</v>
          </cell>
          <cell r="E134" t="str">
            <v>151</v>
          </cell>
          <cell r="F134" t="str">
            <v>25/05/2004</v>
          </cell>
          <cell r="G134">
            <v>5760</v>
          </cell>
          <cell r="H134">
            <v>691.2</v>
          </cell>
          <cell r="I134">
            <v>207.36</v>
          </cell>
          <cell r="J134" t="str">
            <v>MIPO002868</v>
          </cell>
          <cell r="K134" t="str">
            <v>VC3</v>
          </cell>
          <cell r="L134" t="str">
            <v>P. NATURAL</v>
          </cell>
          <cell r="N134">
            <v>0</v>
          </cell>
        </row>
        <row r="135">
          <cell r="A135" t="str">
            <v>MIPO002895</v>
          </cell>
          <cell r="B135" t="str">
            <v>210VGAMA</v>
          </cell>
          <cell r="C135" t="str">
            <v>Gama Cia.Ltda.</v>
          </cell>
          <cell r="D135" t="str">
            <v>1790004643001</v>
          </cell>
          <cell r="E135" t="str">
            <v>21551</v>
          </cell>
          <cell r="F135" t="str">
            <v>10/05/2004</v>
          </cell>
          <cell r="G135">
            <v>119.42</v>
          </cell>
          <cell r="H135">
            <v>14.33</v>
          </cell>
          <cell r="I135">
            <v>4.3</v>
          </cell>
          <cell r="J135" t="str">
            <v>MIPO002895</v>
          </cell>
          <cell r="K135" t="str">
            <v>VC3</v>
          </cell>
          <cell r="L135" t="str">
            <v>SOCIEDAD</v>
          </cell>
          <cell r="M135" t="str">
            <v>0000010866</v>
          </cell>
          <cell r="N135">
            <v>9</v>
          </cell>
        </row>
        <row r="136">
          <cell r="A136" t="str">
            <v>MIPO002896</v>
          </cell>
          <cell r="B136" t="str">
            <v>210VGAMA</v>
          </cell>
          <cell r="C136" t="str">
            <v>Gama Cia.Ltda.</v>
          </cell>
          <cell r="D136" t="str">
            <v>1790004643001</v>
          </cell>
          <cell r="E136" t="str">
            <v>21552</v>
          </cell>
          <cell r="F136" t="str">
            <v>10/05/2004</v>
          </cell>
          <cell r="G136">
            <v>42.67</v>
          </cell>
          <cell r="H136">
            <v>5.12</v>
          </cell>
          <cell r="I136">
            <v>1.54</v>
          </cell>
          <cell r="J136" t="str">
            <v>MIPO002896</v>
          </cell>
          <cell r="K136" t="str">
            <v>VC3</v>
          </cell>
          <cell r="L136" t="str">
            <v>SOCIEDAD</v>
          </cell>
          <cell r="M136" t="str">
            <v>0000010866</v>
          </cell>
          <cell r="N136">
            <v>9</v>
          </cell>
        </row>
        <row r="137">
          <cell r="A137" t="str">
            <v>MIPO002858</v>
          </cell>
          <cell r="B137" t="str">
            <v>210VULLG</v>
          </cell>
          <cell r="C137" t="str">
            <v>GENOVEVA ULLOA</v>
          </cell>
          <cell r="D137" t="str">
            <v>1712993771001</v>
          </cell>
          <cell r="E137" t="str">
            <v>234</v>
          </cell>
          <cell r="F137" t="str">
            <v>10/05/2004</v>
          </cell>
          <cell r="G137">
            <v>51</v>
          </cell>
          <cell r="H137">
            <v>6.12</v>
          </cell>
          <cell r="I137">
            <v>1.84</v>
          </cell>
          <cell r="J137" t="str">
            <v>MIPO002858</v>
          </cell>
          <cell r="K137" t="str">
            <v>VC3</v>
          </cell>
          <cell r="L137" t="str">
            <v>P. NATURAL</v>
          </cell>
          <cell r="M137" t="str">
            <v>0000010874</v>
          </cell>
          <cell r="N137">
            <v>1</v>
          </cell>
        </row>
        <row r="138">
          <cell r="A138" t="str">
            <v>MIPO002867</v>
          </cell>
          <cell r="B138" t="str">
            <v>210VGLOQ</v>
          </cell>
          <cell r="C138" t="str">
            <v>GLOBAL QUIMICOS</v>
          </cell>
          <cell r="D138" t="str">
            <v>1791827317001</v>
          </cell>
          <cell r="E138" t="str">
            <v>3089</v>
          </cell>
          <cell r="F138" t="str">
            <v>25/05/2004</v>
          </cell>
          <cell r="G138">
            <v>3836</v>
          </cell>
          <cell r="H138">
            <v>460.32</v>
          </cell>
          <cell r="I138">
            <v>138.1</v>
          </cell>
          <cell r="J138" t="str">
            <v>MIPO002867</v>
          </cell>
          <cell r="K138" t="str">
            <v>VC3</v>
          </cell>
          <cell r="L138" t="str">
            <v>SOCIEDAD</v>
          </cell>
          <cell r="N138">
            <v>9</v>
          </cell>
        </row>
        <row r="139">
          <cell r="A139" t="str">
            <v>MIPO002842</v>
          </cell>
          <cell r="B139" t="str">
            <v>210VHDM</v>
          </cell>
          <cell r="C139" t="str">
            <v>Hdm</v>
          </cell>
          <cell r="D139" t="str">
            <v>1790990842001</v>
          </cell>
          <cell r="E139" t="str">
            <v>4393</v>
          </cell>
          <cell r="F139" t="str">
            <v>03/05/2004</v>
          </cell>
          <cell r="G139">
            <v>238.25</v>
          </cell>
          <cell r="H139">
            <v>28.59</v>
          </cell>
          <cell r="I139">
            <v>8.58</v>
          </cell>
          <cell r="J139" t="str">
            <v>MIPO002842</v>
          </cell>
          <cell r="K139" t="str">
            <v>VC3</v>
          </cell>
          <cell r="L139" t="str">
            <v>SOCIEDAD</v>
          </cell>
          <cell r="M139" t="str">
            <v>0000010788</v>
          </cell>
          <cell r="N139">
            <v>9</v>
          </cell>
        </row>
        <row r="140">
          <cell r="A140" t="str">
            <v>MIPO002865</v>
          </cell>
          <cell r="B140" t="str">
            <v>210VILCH</v>
          </cell>
          <cell r="C140" t="str">
            <v>ILCH</v>
          </cell>
          <cell r="D140" t="str">
            <v>1705323952001</v>
          </cell>
          <cell r="E140" t="str">
            <v>2948</v>
          </cell>
          <cell r="F140" t="str">
            <v>10/05/2004</v>
          </cell>
          <cell r="G140">
            <v>250.08</v>
          </cell>
          <cell r="H140">
            <v>30.01</v>
          </cell>
          <cell r="I140">
            <v>9</v>
          </cell>
          <cell r="J140" t="str">
            <v>MIPO002865</v>
          </cell>
          <cell r="K140" t="str">
            <v>VC3</v>
          </cell>
          <cell r="L140" t="str">
            <v>P. NATURAL</v>
          </cell>
          <cell r="N140">
            <v>0</v>
          </cell>
        </row>
        <row r="141">
          <cell r="A141" t="str">
            <v>MIPO002917</v>
          </cell>
          <cell r="B141" t="str">
            <v>210VILCH</v>
          </cell>
          <cell r="C141" t="str">
            <v>ILCH</v>
          </cell>
          <cell r="D141" t="str">
            <v>1705323952001</v>
          </cell>
          <cell r="E141" t="str">
            <v>2968</v>
          </cell>
          <cell r="F141" t="str">
            <v>17/05/2004</v>
          </cell>
          <cell r="G141">
            <v>218</v>
          </cell>
          <cell r="H141">
            <v>26.16</v>
          </cell>
          <cell r="I141">
            <v>7.85</v>
          </cell>
          <cell r="J141" t="str">
            <v>MIPO002917</v>
          </cell>
          <cell r="K141" t="str">
            <v>VC3</v>
          </cell>
          <cell r="L141" t="str">
            <v>P. NATURAL</v>
          </cell>
          <cell r="N141">
            <v>0</v>
          </cell>
        </row>
        <row r="142">
          <cell r="A142" t="str">
            <v>MIPO002909</v>
          </cell>
          <cell r="B142" t="str">
            <v>210VILCH</v>
          </cell>
          <cell r="C142" t="str">
            <v>ILCH</v>
          </cell>
          <cell r="D142" t="str">
            <v>1705323952001</v>
          </cell>
          <cell r="E142" t="str">
            <v>2967</v>
          </cell>
          <cell r="F142" t="str">
            <v>17/05/2004</v>
          </cell>
          <cell r="G142">
            <v>101.416</v>
          </cell>
          <cell r="H142">
            <v>12.17</v>
          </cell>
          <cell r="I142">
            <v>3.65</v>
          </cell>
          <cell r="J142" t="str">
            <v>MIPO002909</v>
          </cell>
          <cell r="K142" t="str">
            <v>VC3</v>
          </cell>
          <cell r="L142" t="str">
            <v>P. NATURAL</v>
          </cell>
          <cell r="N142">
            <v>0</v>
          </cell>
        </row>
        <row r="143">
          <cell r="A143" t="str">
            <v>MIPC001240</v>
          </cell>
          <cell r="B143" t="str">
            <v>210VINDM</v>
          </cell>
          <cell r="C143" t="str">
            <v>Industrial Marco</v>
          </cell>
          <cell r="D143" t="str">
            <v>1712039237001</v>
          </cell>
          <cell r="E143" t="str">
            <v>1720</v>
          </cell>
          <cell r="F143" t="str">
            <v>26/04/2004</v>
          </cell>
          <cell r="G143">
            <v>350</v>
          </cell>
          <cell r="H143">
            <v>42</v>
          </cell>
          <cell r="I143">
            <v>12.6</v>
          </cell>
          <cell r="J143" t="str">
            <v>MIPC001240</v>
          </cell>
          <cell r="K143" t="str">
            <v>VC3</v>
          </cell>
          <cell r="L143" t="str">
            <v>P. NATURAL</v>
          </cell>
          <cell r="M143" t="str">
            <v>0000010819</v>
          </cell>
          <cell r="N143">
            <v>1</v>
          </cell>
        </row>
        <row r="144">
          <cell r="A144" t="str">
            <v>MIPC001242</v>
          </cell>
          <cell r="B144" t="str">
            <v>210VINDM</v>
          </cell>
          <cell r="C144" t="str">
            <v>Industrial Marco</v>
          </cell>
          <cell r="D144" t="str">
            <v>1712039237001</v>
          </cell>
          <cell r="E144" t="str">
            <v>1721</v>
          </cell>
          <cell r="F144" t="str">
            <v>26/04/2004</v>
          </cell>
          <cell r="G144">
            <v>26</v>
          </cell>
          <cell r="H144">
            <v>3.12</v>
          </cell>
          <cell r="I144">
            <v>0.94</v>
          </cell>
          <cell r="J144" t="str">
            <v>MIPC001242</v>
          </cell>
          <cell r="K144" t="str">
            <v>VC3</v>
          </cell>
          <cell r="L144" t="str">
            <v>P. NATURAL</v>
          </cell>
          <cell r="M144" t="str">
            <v>0000010819</v>
          </cell>
          <cell r="N144">
            <v>1</v>
          </cell>
        </row>
        <row r="145">
          <cell r="A145" t="str">
            <v>MIPC001255</v>
          </cell>
          <cell r="B145" t="str">
            <v>210VINDM</v>
          </cell>
          <cell r="C145" t="str">
            <v>Industrial Marco</v>
          </cell>
          <cell r="D145" t="str">
            <v>1712039237001</v>
          </cell>
          <cell r="E145" t="str">
            <v>1740</v>
          </cell>
          <cell r="F145" t="str">
            <v>10/05/2004</v>
          </cell>
          <cell r="G145">
            <v>199</v>
          </cell>
          <cell r="H145">
            <v>23.88</v>
          </cell>
          <cell r="I145">
            <v>7.16</v>
          </cell>
          <cell r="J145" t="str">
            <v>MIPC001255</v>
          </cell>
          <cell r="K145" t="str">
            <v>VC3</v>
          </cell>
          <cell r="L145" t="str">
            <v>P. NATURAL</v>
          </cell>
          <cell r="M145" t="str">
            <v>0000010819</v>
          </cell>
          <cell r="N145">
            <v>1</v>
          </cell>
        </row>
        <row r="146">
          <cell r="A146" t="str">
            <v>MIPO002921</v>
          </cell>
          <cell r="B146" t="str">
            <v>210VINDM</v>
          </cell>
          <cell r="C146" t="str">
            <v>Industrial Marco</v>
          </cell>
          <cell r="D146" t="str">
            <v>1712039237001</v>
          </cell>
          <cell r="E146" t="str">
            <v>1730</v>
          </cell>
          <cell r="F146" t="str">
            <v>14/05/2004</v>
          </cell>
          <cell r="G146">
            <v>799.16600000000005</v>
          </cell>
          <cell r="H146">
            <v>95.9</v>
          </cell>
          <cell r="I146">
            <v>28.77</v>
          </cell>
          <cell r="J146" t="str">
            <v>MIPO002921</v>
          </cell>
          <cell r="K146" t="str">
            <v>VC3</v>
          </cell>
          <cell r="L146" t="str">
            <v>P. NATURAL</v>
          </cell>
          <cell r="M146" t="str">
            <v>0000010819</v>
          </cell>
          <cell r="N146">
            <v>1</v>
          </cell>
        </row>
        <row r="147">
          <cell r="A147" t="str">
            <v>MIPC001263</v>
          </cell>
          <cell r="B147" t="str">
            <v>210VINDM</v>
          </cell>
          <cell r="C147" t="str">
            <v>Industrial Marco</v>
          </cell>
          <cell r="D147" t="str">
            <v>1712039237001</v>
          </cell>
          <cell r="E147" t="str">
            <v>1746</v>
          </cell>
          <cell r="F147" t="str">
            <v>24/05/2004</v>
          </cell>
          <cell r="G147">
            <v>96</v>
          </cell>
          <cell r="H147">
            <v>11.52</v>
          </cell>
          <cell r="I147">
            <v>3.46</v>
          </cell>
          <cell r="J147" t="str">
            <v>MIPC001263</v>
          </cell>
          <cell r="K147" t="str">
            <v>VC3</v>
          </cell>
          <cell r="L147" t="str">
            <v>P. NATURAL</v>
          </cell>
          <cell r="N147">
            <v>1</v>
          </cell>
        </row>
        <row r="148">
          <cell r="A148" t="str">
            <v>MIPC001269</v>
          </cell>
          <cell r="B148" t="str">
            <v>210VINDM</v>
          </cell>
          <cell r="C148" t="str">
            <v>Industrial Marco</v>
          </cell>
          <cell r="D148" t="str">
            <v>1712039237001</v>
          </cell>
          <cell r="E148" t="str">
            <v>1747</v>
          </cell>
          <cell r="F148" t="str">
            <v>24/05/2004</v>
          </cell>
          <cell r="G148">
            <v>263</v>
          </cell>
          <cell r="H148">
            <v>31.56</v>
          </cell>
          <cell r="I148">
            <v>9.4700000000000006</v>
          </cell>
          <cell r="J148" t="str">
            <v>MIPC001269</v>
          </cell>
          <cell r="K148" t="str">
            <v>VC3</v>
          </cell>
          <cell r="L148" t="str">
            <v>P. NATURAL</v>
          </cell>
          <cell r="N148">
            <v>1</v>
          </cell>
        </row>
        <row r="149">
          <cell r="A149" t="str">
            <v>MIPC001275</v>
          </cell>
          <cell r="B149" t="str">
            <v>210VINDM</v>
          </cell>
          <cell r="C149" t="str">
            <v>Industrial Marco</v>
          </cell>
          <cell r="D149" t="str">
            <v>1712039237001</v>
          </cell>
          <cell r="E149" t="str">
            <v>1749</v>
          </cell>
          <cell r="F149" t="str">
            <v>25/05/2004</v>
          </cell>
          <cell r="G149">
            <v>360</v>
          </cell>
          <cell r="H149">
            <v>43.2</v>
          </cell>
          <cell r="I149">
            <v>12.96</v>
          </cell>
          <cell r="J149" t="str">
            <v>MIPC001275</v>
          </cell>
          <cell r="K149" t="str">
            <v>VC3</v>
          </cell>
          <cell r="L149" t="str">
            <v>P. NATURAL</v>
          </cell>
          <cell r="N149">
            <v>1</v>
          </cell>
        </row>
        <row r="150">
          <cell r="A150" t="str">
            <v>MIPC001237</v>
          </cell>
          <cell r="B150" t="str">
            <v>210VMAIF</v>
          </cell>
          <cell r="C150" t="str">
            <v>Mainfg S.A</v>
          </cell>
          <cell r="D150" t="str">
            <v>0991399682001</v>
          </cell>
          <cell r="E150" t="str">
            <v>1415</v>
          </cell>
          <cell r="F150" t="str">
            <v>03/05/2004</v>
          </cell>
          <cell r="G150">
            <v>449</v>
          </cell>
          <cell r="H150">
            <v>53.88</v>
          </cell>
          <cell r="I150">
            <v>16.16</v>
          </cell>
          <cell r="J150" t="str">
            <v>MIPC001237</v>
          </cell>
          <cell r="K150" t="str">
            <v>VC3</v>
          </cell>
          <cell r="L150" t="str">
            <v>SOCIEDAD</v>
          </cell>
          <cell r="M150" t="str">
            <v>0000010825</v>
          </cell>
          <cell r="N150">
            <v>9</v>
          </cell>
        </row>
        <row r="151">
          <cell r="A151" t="str">
            <v>SOCIEDAD</v>
          </cell>
          <cell r="B151" t="str">
            <v>210VESBA</v>
          </cell>
          <cell r="C151" t="str">
            <v>ESBAL SA</v>
          </cell>
          <cell r="D151" t="str">
            <v>0991474226001</v>
          </cell>
          <cell r="E151" t="str">
            <v>227</v>
          </cell>
          <cell r="F151">
            <v>13600</v>
          </cell>
          <cell r="G151">
            <v>136</v>
          </cell>
          <cell r="H151" t="str">
            <v>MIPO002856</v>
          </cell>
          <cell r="I151" t="str">
            <v>RC1</v>
          </cell>
          <cell r="J151" t="str">
            <v>SOCIEDAD</v>
          </cell>
          <cell r="K151" t="str">
            <v>0000010863</v>
          </cell>
          <cell r="L151">
            <v>9</v>
          </cell>
          <cell r="O151" t="str">
            <v>VESBA</v>
          </cell>
        </row>
        <row r="152">
          <cell r="A152" t="str">
            <v>MIPO002860</v>
          </cell>
          <cell r="B152" t="str">
            <v>210VMARQ</v>
          </cell>
          <cell r="C152" t="str">
            <v>MARQUIM FLOWERS CA</v>
          </cell>
          <cell r="D152" t="str">
            <v>1791730356001</v>
          </cell>
          <cell r="E152" t="str">
            <v>4858</v>
          </cell>
          <cell r="G152">
            <v>1830</v>
          </cell>
          <cell r="H152">
            <v>18.3</v>
          </cell>
          <cell r="J152" t="str">
            <v>MIPO002860</v>
          </cell>
          <cell r="K152" t="str">
            <v>RC1</v>
          </cell>
          <cell r="L152" t="str">
            <v>SOCIEDAD</v>
          </cell>
          <cell r="M152" t="str">
            <v>0000010827</v>
          </cell>
          <cell r="N152">
            <v>9</v>
          </cell>
          <cell r="Q152" t="str">
            <v>VMARQ</v>
          </cell>
        </row>
        <row r="153">
          <cell r="A153" t="str">
            <v>MIPC001265</v>
          </cell>
          <cell r="B153" t="str">
            <v>210VMARA</v>
          </cell>
          <cell r="C153" t="str">
            <v>Martinez Alfredo</v>
          </cell>
          <cell r="D153" t="str">
            <v>1600099988001</v>
          </cell>
          <cell r="E153" t="str">
            <v>259</v>
          </cell>
          <cell r="F153" t="str">
            <v>17/05/2004</v>
          </cell>
          <cell r="G153">
            <v>150</v>
          </cell>
          <cell r="H153">
            <v>18</v>
          </cell>
          <cell r="I153">
            <v>5.4</v>
          </cell>
          <cell r="J153" t="str">
            <v>MIPC001265</v>
          </cell>
          <cell r="K153" t="str">
            <v>VC3</v>
          </cell>
          <cell r="L153" t="str">
            <v>P. NATURAL</v>
          </cell>
          <cell r="N153">
            <v>0</v>
          </cell>
        </row>
        <row r="154">
          <cell r="A154" t="str">
            <v>MIPC001212</v>
          </cell>
          <cell r="B154" t="str">
            <v>210VMASS</v>
          </cell>
          <cell r="C154" t="str">
            <v>Masson Abdon Gonzalo</v>
          </cell>
          <cell r="D154" t="str">
            <v>1600117855</v>
          </cell>
          <cell r="E154" t="str">
            <v>926</v>
          </cell>
          <cell r="F154" t="str">
            <v>03/05/2004</v>
          </cell>
          <cell r="G154">
            <v>200</v>
          </cell>
          <cell r="H154">
            <v>24</v>
          </cell>
          <cell r="I154">
            <v>7.2</v>
          </cell>
          <cell r="J154" t="str">
            <v>MIPC001212</v>
          </cell>
          <cell r="K154" t="str">
            <v>VC3</v>
          </cell>
          <cell r="L154" t="str">
            <v>P. NATURAL</v>
          </cell>
          <cell r="M154" t="str">
            <v>0000010826</v>
          </cell>
          <cell r="N154">
            <v>0</v>
          </cell>
        </row>
        <row r="155">
          <cell r="A155" t="str">
            <v>MIPO002790</v>
          </cell>
          <cell r="B155" t="str">
            <v>210VOTRO</v>
          </cell>
          <cell r="C155" t="str">
            <v>MASTER FORMAS</v>
          </cell>
          <cell r="D155" t="str">
            <v xml:space="preserve"> </v>
          </cell>
          <cell r="E155" t="str">
            <v>2076</v>
          </cell>
          <cell r="F155" t="str">
            <v>10/05/2004</v>
          </cell>
          <cell r="G155">
            <v>115</v>
          </cell>
          <cell r="H155">
            <v>13.8</v>
          </cell>
          <cell r="I155">
            <v>4.1399999999999997</v>
          </cell>
          <cell r="J155" t="str">
            <v>MIPO002790</v>
          </cell>
          <cell r="K155" t="str">
            <v>VC3</v>
          </cell>
          <cell r="L155" t="str">
            <v>P. NATURAL</v>
          </cell>
          <cell r="M155" t="str">
            <v>0000010828</v>
          </cell>
        </row>
        <row r="156">
          <cell r="A156" t="str">
            <v>MIPO002800</v>
          </cell>
          <cell r="B156" t="str">
            <v>210VMATR</v>
          </cell>
          <cell r="C156" t="str">
            <v>Matrin</v>
          </cell>
          <cell r="D156" t="str">
            <v>1790631214001</v>
          </cell>
          <cell r="E156" t="str">
            <v>712</v>
          </cell>
          <cell r="F156" t="str">
            <v>10/05/2004</v>
          </cell>
          <cell r="G156">
            <v>520</v>
          </cell>
          <cell r="H156">
            <v>62.4</v>
          </cell>
          <cell r="I156">
            <v>18.72</v>
          </cell>
          <cell r="J156" t="str">
            <v>MIPO002800</v>
          </cell>
          <cell r="K156" t="str">
            <v>VC3</v>
          </cell>
          <cell r="L156" t="str">
            <v>SOCIEDAD</v>
          </cell>
          <cell r="M156" t="str">
            <v>0000010867</v>
          </cell>
          <cell r="N156">
            <v>9</v>
          </cell>
        </row>
        <row r="157">
          <cell r="A157" t="str">
            <v>MIPO002765</v>
          </cell>
          <cell r="B157" t="str">
            <v>210VMICR</v>
          </cell>
          <cell r="C157" t="str">
            <v>MICROSIPSH</v>
          </cell>
          <cell r="D157" t="str">
            <v>1709769390001</v>
          </cell>
          <cell r="E157" t="str">
            <v>314</v>
          </cell>
          <cell r="F157" t="str">
            <v>05/05/2004</v>
          </cell>
          <cell r="G157">
            <v>45.5</v>
          </cell>
          <cell r="H157">
            <v>5.46</v>
          </cell>
          <cell r="I157">
            <v>1.64</v>
          </cell>
          <cell r="J157" t="str">
            <v>MIPO002765</v>
          </cell>
          <cell r="K157" t="str">
            <v>VC3</v>
          </cell>
          <cell r="L157" t="str">
            <v>P. NATURAL</v>
          </cell>
          <cell r="M157" t="str">
            <v>0000010869</v>
          </cell>
          <cell r="N157">
            <v>0</v>
          </cell>
        </row>
        <row r="158">
          <cell r="A158" t="str">
            <v>MIPO002808</v>
          </cell>
          <cell r="B158" t="str">
            <v>210VMICR</v>
          </cell>
          <cell r="C158" t="str">
            <v>MICROSIPSH</v>
          </cell>
          <cell r="D158" t="str">
            <v>1709769390001</v>
          </cell>
          <cell r="E158" t="str">
            <v>315</v>
          </cell>
          <cell r="F158" t="str">
            <v>05/05/2004</v>
          </cell>
          <cell r="G158">
            <v>77</v>
          </cell>
          <cell r="H158">
            <v>9.24</v>
          </cell>
          <cell r="I158">
            <v>2.77</v>
          </cell>
          <cell r="J158" t="str">
            <v>MIPO002808</v>
          </cell>
          <cell r="K158" t="str">
            <v>VC3</v>
          </cell>
          <cell r="L158" t="str">
            <v>P. NATURAL</v>
          </cell>
          <cell r="M158" t="str">
            <v>0000010869</v>
          </cell>
          <cell r="N158">
            <v>0</v>
          </cell>
        </row>
        <row r="159">
          <cell r="A159" t="str">
            <v>MIPO002859</v>
          </cell>
          <cell r="B159" t="str">
            <v>210VMICR</v>
          </cell>
          <cell r="C159" t="str">
            <v>MICROSIPSH</v>
          </cell>
          <cell r="D159" t="str">
            <v>1709769390001</v>
          </cell>
          <cell r="E159" t="str">
            <v>313</v>
          </cell>
          <cell r="F159" t="str">
            <v>05/05/2004</v>
          </cell>
          <cell r="G159">
            <v>88.5</v>
          </cell>
          <cell r="H159">
            <v>10.62</v>
          </cell>
          <cell r="I159">
            <v>3.19</v>
          </cell>
          <cell r="J159" t="str">
            <v>MIPO002859</v>
          </cell>
          <cell r="K159" t="str">
            <v>VC3</v>
          </cell>
          <cell r="L159" t="str">
            <v>P. NATURAL</v>
          </cell>
          <cell r="M159" t="str">
            <v>0000010869</v>
          </cell>
          <cell r="N159">
            <v>0</v>
          </cell>
        </row>
        <row r="160">
          <cell r="A160" t="str">
            <v>MIPO002827</v>
          </cell>
          <cell r="B160" t="str">
            <v>210VMODU</v>
          </cell>
          <cell r="C160" t="str">
            <v>Modulos</v>
          </cell>
          <cell r="D160" t="str">
            <v>1790476472001</v>
          </cell>
          <cell r="E160" t="str">
            <v>1671</v>
          </cell>
          <cell r="F160" t="str">
            <v>03/05/2004</v>
          </cell>
          <cell r="G160">
            <v>130.41</v>
          </cell>
          <cell r="H160">
            <v>15.65</v>
          </cell>
          <cell r="I160">
            <v>4.7</v>
          </cell>
          <cell r="J160" t="str">
            <v>MIPO002827</v>
          </cell>
          <cell r="K160" t="str">
            <v>VC3</v>
          </cell>
          <cell r="L160" t="str">
            <v>SOCIEDAD</v>
          </cell>
          <cell r="M160" t="str">
            <v>0000010789</v>
          </cell>
          <cell r="N160">
            <v>9</v>
          </cell>
        </row>
        <row r="161">
          <cell r="A161" t="str">
            <v>MIPO002849</v>
          </cell>
          <cell r="B161" t="str">
            <v>210VPECE</v>
          </cell>
          <cell r="C161" t="str">
            <v>PE. CE.</v>
          </cell>
          <cell r="D161" t="str">
            <v>1712704772001</v>
          </cell>
          <cell r="E161" t="str">
            <v>1692</v>
          </cell>
          <cell r="F161" t="str">
            <v>03/05/2004</v>
          </cell>
          <cell r="G161">
            <v>828.17</v>
          </cell>
          <cell r="H161">
            <v>99.38</v>
          </cell>
          <cell r="I161">
            <v>29.81</v>
          </cell>
          <cell r="J161" t="str">
            <v>MIPO002849</v>
          </cell>
          <cell r="K161" t="str">
            <v>VC3</v>
          </cell>
          <cell r="L161" t="str">
            <v>P. NATURAL</v>
          </cell>
          <cell r="N161">
            <v>1</v>
          </cell>
        </row>
        <row r="162">
          <cell r="A162" t="str">
            <v>MIPO002855</v>
          </cell>
          <cell r="B162" t="str">
            <v>210VPECE</v>
          </cell>
          <cell r="C162" t="str">
            <v>PE. CE.</v>
          </cell>
          <cell r="D162" t="str">
            <v>1712704772001</v>
          </cell>
          <cell r="E162" t="str">
            <v>1693</v>
          </cell>
          <cell r="F162" t="str">
            <v>03/05/2004</v>
          </cell>
          <cell r="G162">
            <v>441.66</v>
          </cell>
          <cell r="H162">
            <v>53</v>
          </cell>
          <cell r="I162">
            <v>15.9</v>
          </cell>
          <cell r="J162" t="str">
            <v>MIPO002855</v>
          </cell>
          <cell r="K162" t="str">
            <v>VC3</v>
          </cell>
          <cell r="L162" t="str">
            <v>P. NATURAL</v>
          </cell>
          <cell r="N162">
            <v>1</v>
          </cell>
        </row>
        <row r="163">
          <cell r="A163" t="str">
            <v>MIPO002875</v>
          </cell>
          <cell r="B163" t="str">
            <v>210VPECE</v>
          </cell>
          <cell r="C163" t="str">
            <v>PE. CE.</v>
          </cell>
          <cell r="D163" t="str">
            <v>1712704772001</v>
          </cell>
          <cell r="E163" t="str">
            <v>1706</v>
          </cell>
          <cell r="F163" t="str">
            <v>05/05/2004</v>
          </cell>
          <cell r="G163">
            <v>264.75</v>
          </cell>
          <cell r="H163">
            <v>31.77</v>
          </cell>
          <cell r="I163">
            <v>9.5299999999999994</v>
          </cell>
          <cell r="J163" t="str">
            <v>MIPO002875</v>
          </cell>
          <cell r="K163" t="str">
            <v>VC3</v>
          </cell>
          <cell r="L163" t="str">
            <v>P. NATURAL</v>
          </cell>
          <cell r="N163">
            <v>1</v>
          </cell>
        </row>
        <row r="164">
          <cell r="A164" t="str">
            <v>MIPO002876</v>
          </cell>
          <cell r="B164" t="str">
            <v>210VPECE</v>
          </cell>
          <cell r="C164" t="str">
            <v>PE. CE.</v>
          </cell>
          <cell r="D164" t="str">
            <v>1712704772001</v>
          </cell>
          <cell r="E164" t="str">
            <v>1706</v>
          </cell>
          <cell r="F164" t="str">
            <v>05/05/2004</v>
          </cell>
          <cell r="G164">
            <v>30.75</v>
          </cell>
          <cell r="H164">
            <v>3.69</v>
          </cell>
          <cell r="I164">
            <v>1.1100000000000001</v>
          </cell>
          <cell r="J164" t="str">
            <v>MIPO002876</v>
          </cell>
          <cell r="K164" t="str">
            <v>VC3</v>
          </cell>
          <cell r="L164" t="str">
            <v>P. NATURAL</v>
          </cell>
          <cell r="N164">
            <v>1</v>
          </cell>
        </row>
        <row r="165">
          <cell r="A165" t="str">
            <v>MIPO002883</v>
          </cell>
          <cell r="B165" t="str">
            <v>210VPECE</v>
          </cell>
          <cell r="C165" t="str">
            <v>PE. CE.</v>
          </cell>
          <cell r="D165" t="str">
            <v>1712704772001</v>
          </cell>
          <cell r="E165" t="str">
            <v>1707</v>
          </cell>
          <cell r="F165" t="str">
            <v>10/05/2004</v>
          </cell>
          <cell r="G165">
            <v>929.58</v>
          </cell>
          <cell r="H165">
            <v>111.5496</v>
          </cell>
          <cell r="I165">
            <v>33.47</v>
          </cell>
          <cell r="J165" t="str">
            <v>MIPO002883</v>
          </cell>
          <cell r="K165" t="str">
            <v>VC3</v>
          </cell>
          <cell r="L165" t="str">
            <v>P. NATURAL</v>
          </cell>
          <cell r="N165">
            <v>1</v>
          </cell>
        </row>
        <row r="166">
          <cell r="A166" t="str">
            <v>MIPO002906</v>
          </cell>
          <cell r="B166" t="str">
            <v>210VPECE</v>
          </cell>
          <cell r="C166" t="str">
            <v>PE. CE.</v>
          </cell>
          <cell r="D166" t="str">
            <v>1712704772001</v>
          </cell>
          <cell r="E166" t="str">
            <v>1729</v>
          </cell>
          <cell r="F166" t="str">
            <v>14/05/2004</v>
          </cell>
          <cell r="G166">
            <v>59.83</v>
          </cell>
          <cell r="H166">
            <v>7.18</v>
          </cell>
          <cell r="I166">
            <v>2.15</v>
          </cell>
          <cell r="J166" t="str">
            <v>MIPO002906</v>
          </cell>
          <cell r="K166" t="str">
            <v>VC3</v>
          </cell>
          <cell r="L166" t="str">
            <v>P. NATURAL</v>
          </cell>
          <cell r="N166">
            <v>1</v>
          </cell>
        </row>
        <row r="167">
          <cell r="A167" t="str">
            <v>MIPO002888</v>
          </cell>
          <cell r="B167" t="str">
            <v>210VPRO1</v>
          </cell>
          <cell r="C167" t="str">
            <v>Promigpart Cia.Ltda.</v>
          </cell>
          <cell r="D167" t="str">
            <v>1791754271001</v>
          </cell>
          <cell r="E167" t="str">
            <v>2797</v>
          </cell>
          <cell r="F167" t="str">
            <v>17/05/2004</v>
          </cell>
          <cell r="G167">
            <v>864</v>
          </cell>
          <cell r="H167">
            <v>103.68</v>
          </cell>
          <cell r="I167">
            <v>31.1</v>
          </cell>
          <cell r="J167" t="str">
            <v>MIPO002888</v>
          </cell>
          <cell r="K167" t="str">
            <v>VC3</v>
          </cell>
          <cell r="L167" t="str">
            <v>SOCIEDAD</v>
          </cell>
          <cell r="N167">
            <v>9</v>
          </cell>
        </row>
        <row r="168">
          <cell r="A168" t="str">
            <v>MIPO002877</v>
          </cell>
          <cell r="B168" t="str">
            <v>210VPROS</v>
          </cell>
          <cell r="C168" t="str">
            <v>Prosein Cia.Ltda.</v>
          </cell>
          <cell r="D168" t="str">
            <v>1791065093001</v>
          </cell>
          <cell r="E168" t="str">
            <v>31727</v>
          </cell>
          <cell r="F168" t="str">
            <v>10/05/2004</v>
          </cell>
          <cell r="G168">
            <v>1059</v>
          </cell>
          <cell r="H168">
            <v>127.08</v>
          </cell>
          <cell r="I168">
            <v>38.119999999999997</v>
          </cell>
          <cell r="J168" t="str">
            <v>MIPO002877</v>
          </cell>
          <cell r="K168" t="str">
            <v>VC3</v>
          </cell>
          <cell r="L168" t="str">
            <v>SOCIEDAD</v>
          </cell>
          <cell r="N168">
            <v>9</v>
          </cell>
        </row>
        <row r="169">
          <cell r="A169" t="str">
            <v>MIPO002857</v>
          </cell>
          <cell r="B169" t="str">
            <v>210VRESM</v>
          </cell>
          <cell r="C169" t="str">
            <v>RESIMON SA</v>
          </cell>
          <cell r="D169" t="str">
            <v>0992232099001</v>
          </cell>
          <cell r="E169" t="str">
            <v>6500</v>
          </cell>
          <cell r="G169">
            <v>44800</v>
          </cell>
          <cell r="H169">
            <v>448</v>
          </cell>
          <cell r="J169" t="str">
            <v>MIPO002857</v>
          </cell>
          <cell r="K169" t="str">
            <v>RC1</v>
          </cell>
          <cell r="L169" t="str">
            <v>SOCIEDAD</v>
          </cell>
          <cell r="M169" t="str">
            <v>0000010839</v>
          </cell>
          <cell r="N169">
            <v>9</v>
          </cell>
          <cell r="Q169" t="str">
            <v>VRESM</v>
          </cell>
        </row>
        <row r="170">
          <cell r="A170" t="str">
            <v>MIPO002920</v>
          </cell>
          <cell r="B170" t="str">
            <v>210VRESM</v>
          </cell>
          <cell r="C170" t="str">
            <v>RESIMON SA</v>
          </cell>
          <cell r="D170" t="str">
            <v>0992232099001</v>
          </cell>
          <cell r="E170" t="str">
            <v>811</v>
          </cell>
          <cell r="F170" t="str">
            <v>14/05/2004</v>
          </cell>
          <cell r="G170">
            <v>5900</v>
          </cell>
          <cell r="H170">
            <v>708</v>
          </cell>
          <cell r="I170">
            <v>212.4</v>
          </cell>
          <cell r="J170" t="str">
            <v>MIPO002920</v>
          </cell>
          <cell r="K170" t="str">
            <v>VC3</v>
          </cell>
          <cell r="L170" t="str">
            <v>SOCIEDAD</v>
          </cell>
          <cell r="M170" t="str">
            <v>0000010839</v>
          </cell>
          <cell r="N170">
            <v>9</v>
          </cell>
        </row>
        <row r="171">
          <cell r="A171" t="str">
            <v>MIPO002914</v>
          </cell>
          <cell r="B171" t="str">
            <v>210VRUSA</v>
          </cell>
          <cell r="C171" t="str">
            <v>RULIMANES SALVATIERRA</v>
          </cell>
          <cell r="D171" t="str">
            <v>0990005818004</v>
          </cell>
          <cell r="E171" t="str">
            <v>31596</v>
          </cell>
          <cell r="G171">
            <v>451.92</v>
          </cell>
          <cell r="H171">
            <v>54.230400000000003</v>
          </cell>
          <cell r="J171" t="str">
            <v>MIPO002914</v>
          </cell>
          <cell r="K171" t="str">
            <v>RC1</v>
          </cell>
          <cell r="L171" t="str">
            <v>SOCIEDAD</v>
          </cell>
          <cell r="N171">
            <v>9</v>
          </cell>
          <cell r="Q171" t="str">
            <v>VRUSA</v>
          </cell>
        </row>
        <row r="172">
          <cell r="A172" t="str">
            <v>MIPO002730</v>
          </cell>
          <cell r="B172" t="str">
            <v>210VRUSA</v>
          </cell>
          <cell r="C172" t="str">
            <v>RULIMANES SALVATIERRA</v>
          </cell>
          <cell r="D172" t="str">
            <v>0990005818004</v>
          </cell>
          <cell r="E172" t="str">
            <v>31597</v>
          </cell>
          <cell r="G172">
            <v>536.08000000000004</v>
          </cell>
          <cell r="H172">
            <v>64.329599999999999</v>
          </cell>
          <cell r="J172" t="str">
            <v>MIPO002730</v>
          </cell>
          <cell r="K172" t="str">
            <v>RC1</v>
          </cell>
          <cell r="L172" t="str">
            <v>SOCIEDAD</v>
          </cell>
          <cell r="N172">
            <v>9</v>
          </cell>
          <cell r="Q172" t="str">
            <v>VRUSA</v>
          </cell>
        </row>
        <row r="173">
          <cell r="A173" t="str">
            <v>MIPO002854</v>
          </cell>
          <cell r="B173" t="str">
            <v>210VSANV</v>
          </cell>
          <cell r="C173" t="str">
            <v>SANCEV ELECTRICA INDUSTRIAL</v>
          </cell>
          <cell r="D173" t="str">
            <v>1791313747001</v>
          </cell>
          <cell r="E173" t="str">
            <v>6456</v>
          </cell>
          <cell r="F173" t="str">
            <v>03/05/2004</v>
          </cell>
          <cell r="G173">
            <v>39.17</v>
          </cell>
          <cell r="H173">
            <v>4.7</v>
          </cell>
          <cell r="I173">
            <v>1.41</v>
          </cell>
          <cell r="J173" t="str">
            <v>MIPO002854</v>
          </cell>
          <cell r="K173" t="str">
            <v>VC3</v>
          </cell>
          <cell r="L173" t="str">
            <v>SOCIEDAD</v>
          </cell>
          <cell r="M173" t="str">
            <v>0000010840</v>
          </cell>
          <cell r="N173">
            <v>9</v>
          </cell>
        </row>
        <row r="174">
          <cell r="A174" t="str">
            <v>MIPO002903</v>
          </cell>
          <cell r="B174" t="str">
            <v>210VSANV</v>
          </cell>
          <cell r="C174" t="str">
            <v>SANCEV ELECTRICA INDUSTRIAL</v>
          </cell>
          <cell r="D174" t="str">
            <v>1791313747001</v>
          </cell>
          <cell r="E174" t="str">
            <v>6511</v>
          </cell>
          <cell r="F174" t="str">
            <v>17/05/2004</v>
          </cell>
          <cell r="G174">
            <v>223.42</v>
          </cell>
          <cell r="H174">
            <v>26.81</v>
          </cell>
          <cell r="I174">
            <v>8.0399999999999991</v>
          </cell>
          <cell r="J174" t="str">
            <v>MIPO002903</v>
          </cell>
          <cell r="K174" t="str">
            <v>VC3</v>
          </cell>
          <cell r="L174" t="str">
            <v>SOCIEDAD</v>
          </cell>
          <cell r="N174">
            <v>9</v>
          </cell>
        </row>
        <row r="175">
          <cell r="A175" t="str">
            <v>MIPO002841</v>
          </cell>
          <cell r="B175" t="str">
            <v>210VSIQU</v>
          </cell>
          <cell r="C175" t="str">
            <v>SIQUEM</v>
          </cell>
          <cell r="D175" t="str">
            <v>0602047797001</v>
          </cell>
          <cell r="E175" t="str">
            <v>360</v>
          </cell>
          <cell r="F175" t="str">
            <v>03/05/2004</v>
          </cell>
          <cell r="G175">
            <v>168</v>
          </cell>
          <cell r="H175">
            <v>20.16</v>
          </cell>
          <cell r="I175">
            <v>6.05</v>
          </cell>
          <cell r="J175" t="str">
            <v>MIPO002841</v>
          </cell>
          <cell r="K175" t="str">
            <v>VC3</v>
          </cell>
          <cell r="L175" t="str">
            <v>P. NATURAL</v>
          </cell>
          <cell r="M175" t="str">
            <v>0000010842</v>
          </cell>
          <cell r="N175">
            <v>0</v>
          </cell>
        </row>
        <row r="176">
          <cell r="A176" t="str">
            <v>MIPC001241</v>
          </cell>
          <cell r="B176" t="str">
            <v>210VSIXM</v>
          </cell>
          <cell r="C176" t="str">
            <v>Six Motors</v>
          </cell>
          <cell r="D176" t="str">
            <v>1500350978002</v>
          </cell>
          <cell r="E176" t="str">
            <v>8283</v>
          </cell>
          <cell r="F176" t="str">
            <v>26/04/2004</v>
          </cell>
          <cell r="G176">
            <v>25</v>
          </cell>
          <cell r="H176">
            <v>3</v>
          </cell>
          <cell r="I176">
            <v>0.9</v>
          </cell>
          <cell r="J176" t="str">
            <v>MIPC001241</v>
          </cell>
          <cell r="K176" t="str">
            <v>VC3</v>
          </cell>
          <cell r="L176" t="str">
            <v>P. NATURAL</v>
          </cell>
          <cell r="M176" t="str">
            <v>0000010843</v>
          </cell>
          <cell r="N176">
            <v>0</v>
          </cell>
        </row>
        <row r="177">
          <cell r="A177" t="str">
            <v>MISO004199</v>
          </cell>
          <cell r="B177" t="str">
            <v>210VSUPF</v>
          </cell>
          <cell r="C177" t="str">
            <v>Supermercados La Favorita</v>
          </cell>
          <cell r="D177" t="str">
            <v>1790016919001</v>
          </cell>
          <cell r="E177" t="str">
            <v>264402-361</v>
          </cell>
          <cell r="G177">
            <v>242</v>
          </cell>
          <cell r="H177">
            <v>29.04</v>
          </cell>
          <cell r="J177" t="str">
            <v>MISO004199</v>
          </cell>
          <cell r="K177" t="str">
            <v>RC1</v>
          </cell>
          <cell r="L177" t="str">
            <v>SOCIEDAD</v>
          </cell>
          <cell r="M177" t="str">
            <v>0000010774</v>
          </cell>
          <cell r="N177">
            <v>9</v>
          </cell>
          <cell r="Q177" t="str">
            <v>VSUPF</v>
          </cell>
        </row>
        <row r="178">
          <cell r="A178" t="str">
            <v>MIPO002700</v>
          </cell>
          <cell r="B178" t="str">
            <v>210VTACC</v>
          </cell>
          <cell r="C178" t="str">
            <v>Tacc Cia. Ltda.</v>
          </cell>
          <cell r="D178" t="str">
            <v>1790943437001</v>
          </cell>
          <cell r="E178" t="str">
            <v>4596</v>
          </cell>
          <cell r="F178" t="str">
            <v>10/05/2004</v>
          </cell>
          <cell r="G178">
            <v>1020</v>
          </cell>
          <cell r="H178">
            <v>122.4</v>
          </cell>
          <cell r="I178">
            <v>36.72</v>
          </cell>
          <cell r="J178" t="str">
            <v>MIPO002700</v>
          </cell>
          <cell r="K178" t="str">
            <v>VC3</v>
          </cell>
          <cell r="L178" t="str">
            <v>SOCIEDAD</v>
          </cell>
          <cell r="M178" t="str">
            <v>0000010872</v>
          </cell>
          <cell r="N178">
            <v>9</v>
          </cell>
        </row>
        <row r="179">
          <cell r="A179" t="str">
            <v>MIPO002898</v>
          </cell>
          <cell r="B179" t="str">
            <v>210VTUBO</v>
          </cell>
          <cell r="C179" t="str">
            <v>Tuboscope Vetco Internat.</v>
          </cell>
          <cell r="D179" t="str">
            <v>1791334744001</v>
          </cell>
          <cell r="E179" t="str">
            <v>1336</v>
          </cell>
          <cell r="G179">
            <v>4338.42</v>
          </cell>
          <cell r="H179">
            <v>520.61040000000003</v>
          </cell>
          <cell r="J179" t="str">
            <v>MIPO002898</v>
          </cell>
          <cell r="K179" t="str">
            <v>RC1</v>
          </cell>
          <cell r="L179" t="str">
            <v>SOCIEDAD</v>
          </cell>
          <cell r="N179">
            <v>9</v>
          </cell>
          <cell r="Q179" t="str">
            <v>VTUBO</v>
          </cell>
        </row>
        <row r="180">
          <cell r="G180">
            <v>235091.37199999994</v>
          </cell>
          <cell r="H180">
            <v>23065.342400000012</v>
          </cell>
          <cell r="I180">
            <v>6305.57</v>
          </cell>
        </row>
        <row r="181">
          <cell r="A181" t="str">
            <v>MISO003775</v>
          </cell>
          <cell r="B181" t="str">
            <v>210VAERO</v>
          </cell>
          <cell r="C181" t="str">
            <v>Aerogal</v>
          </cell>
          <cell r="D181" t="str">
            <v>1790727203001</v>
          </cell>
          <cell r="E181" t="str">
            <v>5445</v>
          </cell>
          <cell r="F181" t="str">
            <v>06/05/2004</v>
          </cell>
          <cell r="G181">
            <v>216.90476190476193</v>
          </cell>
          <cell r="H181">
            <v>26.028571428571428</v>
          </cell>
          <cell r="I181">
            <v>18.22</v>
          </cell>
          <cell r="J181" t="str">
            <v>MISO003775</v>
          </cell>
          <cell r="K181" t="str">
            <v>VS7</v>
          </cell>
          <cell r="L181" t="str">
            <v>SOCIEDAD</v>
          </cell>
          <cell r="N181">
            <v>9</v>
          </cell>
        </row>
        <row r="182">
          <cell r="A182" t="str">
            <v>MISO004265</v>
          </cell>
          <cell r="B182" t="str">
            <v>210VCOCM</v>
          </cell>
          <cell r="C182" t="str">
            <v>Almacenes Comego</v>
          </cell>
          <cell r="D182" t="str">
            <v>0790054644001</v>
          </cell>
          <cell r="E182" t="str">
            <v>16837</v>
          </cell>
          <cell r="F182" t="str">
            <v>28/04/2004</v>
          </cell>
          <cell r="G182">
            <v>1500</v>
          </cell>
          <cell r="H182">
            <v>180</v>
          </cell>
          <cell r="I182">
            <v>126</v>
          </cell>
          <cell r="J182" t="str">
            <v>MISO004265</v>
          </cell>
          <cell r="K182" t="str">
            <v>VS7</v>
          </cell>
          <cell r="L182" t="str">
            <v>SOCIEDAD</v>
          </cell>
          <cell r="M182" t="str">
            <v>0000010721</v>
          </cell>
          <cell r="N182">
            <v>9</v>
          </cell>
        </row>
        <row r="183">
          <cell r="A183" t="str">
            <v>MISO004077</v>
          </cell>
          <cell r="B183" t="str">
            <v>210VARB</v>
          </cell>
          <cell r="C183" t="str">
            <v>ARB ECUADOR</v>
          </cell>
          <cell r="D183" t="str">
            <v>1791285883001</v>
          </cell>
          <cell r="E183" t="str">
            <v>1830</v>
          </cell>
          <cell r="G183">
            <v>1800</v>
          </cell>
          <cell r="H183">
            <v>216</v>
          </cell>
          <cell r="J183" t="str">
            <v>MISO004077</v>
          </cell>
          <cell r="K183" t="str">
            <v>RS1</v>
          </cell>
          <cell r="L183" t="str">
            <v>SOCIEDAD</v>
          </cell>
          <cell r="M183" t="str">
            <v>0000010855</v>
          </cell>
          <cell r="N183">
            <v>9</v>
          </cell>
          <cell r="Q183" t="str">
            <v>VARB</v>
          </cell>
        </row>
        <row r="184">
          <cell r="A184" t="str">
            <v>MISO004023</v>
          </cell>
          <cell r="B184" t="str">
            <v>210VARML</v>
          </cell>
          <cell r="C184" t="str">
            <v>ARMILED</v>
          </cell>
          <cell r="D184" t="str">
            <v>1791800503001</v>
          </cell>
          <cell r="E184" t="str">
            <v>178</v>
          </cell>
          <cell r="F184" t="str">
            <v>10/05/2004</v>
          </cell>
          <cell r="G184">
            <v>3996</v>
          </cell>
          <cell r="H184">
            <v>479.52</v>
          </cell>
          <cell r="I184">
            <v>335.66</v>
          </cell>
          <cell r="J184" t="str">
            <v>MISO004023</v>
          </cell>
          <cell r="K184" t="str">
            <v>VS7</v>
          </cell>
          <cell r="L184" t="str">
            <v>SOCIEDAD</v>
          </cell>
          <cell r="M184" t="str">
            <v>0000010856</v>
          </cell>
          <cell r="N184">
            <v>9</v>
          </cell>
        </row>
        <row r="185">
          <cell r="A185" t="str">
            <v>MISO004229</v>
          </cell>
          <cell r="B185" t="str">
            <v>210VARML</v>
          </cell>
          <cell r="C185" t="str">
            <v>ARMILED</v>
          </cell>
          <cell r="D185" t="str">
            <v>1791800503001</v>
          </cell>
          <cell r="E185" t="str">
            <v>10185</v>
          </cell>
          <cell r="F185" t="str">
            <v>17/05/2004</v>
          </cell>
          <cell r="G185">
            <v>3996</v>
          </cell>
          <cell r="H185">
            <v>479.52</v>
          </cell>
          <cell r="I185">
            <v>335.66</v>
          </cell>
          <cell r="J185" t="str">
            <v>MISO004229</v>
          </cell>
          <cell r="K185" t="str">
            <v>VS7</v>
          </cell>
          <cell r="L185" t="str">
            <v>SOCIEDAD</v>
          </cell>
          <cell r="N185">
            <v>9</v>
          </cell>
        </row>
        <row r="186">
          <cell r="A186" t="str">
            <v>MISO004183</v>
          </cell>
          <cell r="B186" t="str">
            <v>210VBIVA</v>
          </cell>
          <cell r="C186" t="str">
            <v>Bivac</v>
          </cell>
          <cell r="D186" t="str">
            <v>1791276817001</v>
          </cell>
          <cell r="E186" t="str">
            <v>6518</v>
          </cell>
          <cell r="F186" t="str">
            <v>13/05/2004</v>
          </cell>
          <cell r="G186">
            <v>180</v>
          </cell>
          <cell r="H186">
            <v>21.6</v>
          </cell>
          <cell r="I186">
            <v>15.12</v>
          </cell>
          <cell r="J186" t="str">
            <v>MISO004183</v>
          </cell>
          <cell r="K186" t="str">
            <v>VS7</v>
          </cell>
          <cell r="L186" t="str">
            <v>SOCIEDAD</v>
          </cell>
          <cell r="M186" t="str">
            <v>0000010801</v>
          </cell>
          <cell r="N186">
            <v>9</v>
          </cell>
        </row>
        <row r="187">
          <cell r="A187" t="str">
            <v>MISO004278</v>
          </cell>
          <cell r="B187" t="str">
            <v>210VBIVA</v>
          </cell>
          <cell r="C187" t="str">
            <v>Bivac</v>
          </cell>
          <cell r="D187" t="str">
            <v>1791276817001</v>
          </cell>
          <cell r="E187" t="str">
            <v>6958</v>
          </cell>
          <cell r="F187" t="str">
            <v>05/05/2004</v>
          </cell>
          <cell r="G187">
            <v>1986.58</v>
          </cell>
          <cell r="H187">
            <v>238.38959999999997</v>
          </cell>
          <cell r="I187">
            <v>166.87</v>
          </cell>
          <cell r="J187" t="str">
            <v>MISO004278</v>
          </cell>
          <cell r="K187" t="str">
            <v>VS7</v>
          </cell>
          <cell r="L187" t="str">
            <v>SOCIEDAD</v>
          </cell>
          <cell r="M187" t="str">
            <v>0000010858</v>
          </cell>
          <cell r="N187">
            <v>9</v>
          </cell>
        </row>
        <row r="188">
          <cell r="A188" t="str">
            <v>MISO004277</v>
          </cell>
          <cell r="B188" t="str">
            <v>210VBIVA</v>
          </cell>
          <cell r="C188" t="str">
            <v>Bivac</v>
          </cell>
          <cell r="D188" t="str">
            <v>1791276817001</v>
          </cell>
          <cell r="E188" t="str">
            <v>6999</v>
          </cell>
          <cell r="F188" t="str">
            <v>06/05/2004</v>
          </cell>
          <cell r="G188">
            <v>2336.92</v>
          </cell>
          <cell r="H188">
            <v>280.43040000000002</v>
          </cell>
          <cell r="I188">
            <v>196.3</v>
          </cell>
          <cell r="J188" t="str">
            <v>MISO004277</v>
          </cell>
          <cell r="K188" t="str">
            <v>VS7</v>
          </cell>
          <cell r="L188" t="str">
            <v>SOCIEDAD</v>
          </cell>
          <cell r="M188" t="str">
            <v>0000010858</v>
          </cell>
          <cell r="N188">
            <v>9</v>
          </cell>
        </row>
        <row r="189">
          <cell r="A189" t="str">
            <v>MISO004276</v>
          </cell>
          <cell r="B189" t="str">
            <v>210VBIVA</v>
          </cell>
          <cell r="C189" t="str">
            <v>Bivac</v>
          </cell>
          <cell r="D189" t="str">
            <v>1791276817001</v>
          </cell>
          <cell r="E189" t="str">
            <v>7023</v>
          </cell>
          <cell r="F189" t="str">
            <v>06/05/2004</v>
          </cell>
          <cell r="G189">
            <v>180</v>
          </cell>
          <cell r="H189">
            <v>21.6</v>
          </cell>
          <cell r="I189">
            <v>15.12</v>
          </cell>
          <cell r="J189" t="str">
            <v>MISO004276</v>
          </cell>
          <cell r="K189" t="str">
            <v>VS7</v>
          </cell>
          <cell r="L189" t="str">
            <v>SOCIEDAD</v>
          </cell>
          <cell r="M189" t="str">
            <v>0000010858</v>
          </cell>
          <cell r="N189">
            <v>9</v>
          </cell>
        </row>
        <row r="190">
          <cell r="A190" t="str">
            <v>MISO004376</v>
          </cell>
          <cell r="B190" t="str">
            <v>210VBIVA</v>
          </cell>
          <cell r="C190" t="str">
            <v>Bivac</v>
          </cell>
          <cell r="D190" t="str">
            <v>1791276817001</v>
          </cell>
          <cell r="E190" t="str">
            <v>8083</v>
          </cell>
          <cell r="F190" t="str">
            <v>26/05/2004</v>
          </cell>
          <cell r="G190">
            <v>180</v>
          </cell>
          <cell r="H190">
            <v>21.6</v>
          </cell>
          <cell r="I190">
            <v>15.12</v>
          </cell>
          <cell r="J190" t="str">
            <v>MISO004376</v>
          </cell>
          <cell r="K190" t="str">
            <v>VS7</v>
          </cell>
          <cell r="L190" t="str">
            <v>SOCIEDAD</v>
          </cell>
          <cell r="N190">
            <v>9</v>
          </cell>
        </row>
        <row r="191">
          <cell r="A191" t="str">
            <v>MISO004060</v>
          </cell>
          <cell r="B191" t="str">
            <v>210VCETG</v>
          </cell>
          <cell r="C191" t="str">
            <v>CETAGUA</v>
          </cell>
          <cell r="D191" t="str">
            <v>0991461337001</v>
          </cell>
          <cell r="E191" t="str">
            <v>757</v>
          </cell>
          <cell r="F191" t="str">
            <v>10/05/2004</v>
          </cell>
          <cell r="G191">
            <v>8990</v>
          </cell>
          <cell r="H191">
            <v>1078.8</v>
          </cell>
          <cell r="I191">
            <v>755.16</v>
          </cell>
          <cell r="J191" t="str">
            <v>MISO004060</v>
          </cell>
          <cell r="K191" t="str">
            <v>VS7</v>
          </cell>
          <cell r="L191" t="str">
            <v>SOCIEDAD</v>
          </cell>
          <cell r="N191">
            <v>9</v>
          </cell>
        </row>
        <row r="192">
          <cell r="A192" t="str">
            <v>MISO004146</v>
          </cell>
          <cell r="B192" t="str">
            <v>210VCETG</v>
          </cell>
          <cell r="C192" t="str">
            <v>CETAGUA</v>
          </cell>
          <cell r="D192" t="str">
            <v>0991461337001</v>
          </cell>
          <cell r="E192" t="str">
            <v>756</v>
          </cell>
          <cell r="F192" t="str">
            <v>10/05/2004</v>
          </cell>
          <cell r="G192">
            <v>3190</v>
          </cell>
          <cell r="H192">
            <v>382.8</v>
          </cell>
          <cell r="I192">
            <v>267.95999999999998</v>
          </cell>
          <cell r="J192" t="str">
            <v>MISO004146</v>
          </cell>
          <cell r="K192" t="str">
            <v>VS7</v>
          </cell>
          <cell r="L192" t="str">
            <v>SOCIEDAD</v>
          </cell>
          <cell r="N192">
            <v>9</v>
          </cell>
        </row>
        <row r="193">
          <cell r="A193" t="str">
            <v>MISO004053</v>
          </cell>
          <cell r="B193" t="str">
            <v>210VCETG</v>
          </cell>
          <cell r="C193" t="str">
            <v>CETAGUA</v>
          </cell>
          <cell r="D193" t="str">
            <v>0991461337001</v>
          </cell>
          <cell r="E193" t="str">
            <v>756</v>
          </cell>
          <cell r="F193" t="str">
            <v>10/05/2004</v>
          </cell>
          <cell r="G193">
            <v>7060</v>
          </cell>
          <cell r="H193">
            <v>847.2</v>
          </cell>
          <cell r="I193">
            <v>593.04</v>
          </cell>
          <cell r="J193" t="str">
            <v>MISO004053</v>
          </cell>
          <cell r="K193" t="str">
            <v>VS7</v>
          </cell>
          <cell r="L193" t="str">
            <v>SOCIEDAD</v>
          </cell>
          <cell r="N193">
            <v>9</v>
          </cell>
        </row>
        <row r="194">
          <cell r="A194" t="str">
            <v>MISO004256</v>
          </cell>
          <cell r="B194" t="str">
            <v>210VCLEA</v>
          </cell>
          <cell r="C194" t="str">
            <v>Cleaner Plus</v>
          </cell>
          <cell r="D194" t="str">
            <v>1791314697001</v>
          </cell>
          <cell r="E194" t="str">
            <v>351</v>
          </cell>
          <cell r="F194" t="str">
            <v>25/05/2004</v>
          </cell>
          <cell r="G194">
            <v>376.33</v>
          </cell>
          <cell r="H194">
            <v>45.159599999999998</v>
          </cell>
          <cell r="I194">
            <v>31.61</v>
          </cell>
          <cell r="J194" t="str">
            <v>MISO004256</v>
          </cell>
          <cell r="K194" t="str">
            <v>VS7</v>
          </cell>
          <cell r="L194" t="str">
            <v>SOCIEDAD</v>
          </cell>
          <cell r="N194">
            <v>9</v>
          </cell>
        </row>
        <row r="195">
          <cell r="A195" t="str">
            <v>MISO004287</v>
          </cell>
          <cell r="B195" t="str">
            <v>210VCONE</v>
          </cell>
          <cell r="C195" t="str">
            <v>Conecel</v>
          </cell>
          <cell r="D195" t="str">
            <v>1791251237001</v>
          </cell>
          <cell r="E195" t="str">
            <v>401495-855</v>
          </cell>
          <cell r="G195">
            <v>1724.83</v>
          </cell>
          <cell r="H195">
            <v>206.97959999999998</v>
          </cell>
          <cell r="J195" t="str">
            <v>MISO004287</v>
          </cell>
          <cell r="K195" t="str">
            <v>RS1</v>
          </cell>
          <cell r="L195" t="str">
            <v>SOCIEDAD</v>
          </cell>
          <cell r="M195" t="str">
            <v>0000010655</v>
          </cell>
          <cell r="N195">
            <v>9</v>
          </cell>
          <cell r="Q195" t="str">
            <v>VCONE</v>
          </cell>
        </row>
        <row r="196">
          <cell r="A196" t="str">
            <v>MISO004309</v>
          </cell>
          <cell r="B196" t="str">
            <v>210VDHL</v>
          </cell>
          <cell r="C196" t="str">
            <v>Dhl</v>
          </cell>
          <cell r="D196" t="str">
            <v>1790546667001</v>
          </cell>
          <cell r="E196" t="str">
            <v xml:space="preserve"> </v>
          </cell>
          <cell r="G196">
            <v>25</v>
          </cell>
          <cell r="H196">
            <v>3</v>
          </cell>
          <cell r="J196" t="str">
            <v>MISO004309</v>
          </cell>
          <cell r="K196" t="str">
            <v>RS1</v>
          </cell>
          <cell r="L196" t="str">
            <v>SOCIEDAD</v>
          </cell>
          <cell r="M196" t="str">
            <v>0000010710</v>
          </cell>
          <cell r="N196">
            <v>9</v>
          </cell>
          <cell r="Q196" t="str">
            <v>VDHL</v>
          </cell>
        </row>
        <row r="197">
          <cell r="A197" t="str">
            <v>MISO004187</v>
          </cell>
          <cell r="B197" t="str">
            <v>210VDHL</v>
          </cell>
          <cell r="C197" t="str">
            <v>Dhl</v>
          </cell>
          <cell r="D197" t="str">
            <v>1790546667001</v>
          </cell>
          <cell r="E197" t="str">
            <v>57250</v>
          </cell>
          <cell r="G197">
            <v>210.33</v>
          </cell>
          <cell r="H197">
            <v>25.239599999999999</v>
          </cell>
          <cell r="J197" t="str">
            <v>MISO004187</v>
          </cell>
          <cell r="K197" t="str">
            <v>RS1</v>
          </cell>
          <cell r="L197" t="str">
            <v>SOCIEDAD</v>
          </cell>
          <cell r="M197" t="str">
            <v>0000010794</v>
          </cell>
          <cell r="N197">
            <v>9</v>
          </cell>
          <cell r="Q197" t="str">
            <v>VDHL</v>
          </cell>
        </row>
        <row r="198">
          <cell r="A198" t="str">
            <v>MISO004136</v>
          </cell>
          <cell r="B198" t="str">
            <v>210VDHL</v>
          </cell>
          <cell r="C198" t="str">
            <v>Dhl</v>
          </cell>
          <cell r="D198" t="str">
            <v>1790546667001</v>
          </cell>
          <cell r="G198">
            <v>687</v>
          </cell>
          <cell r="H198">
            <v>82.44</v>
          </cell>
          <cell r="J198" t="str">
            <v>MISO004136</v>
          </cell>
          <cell r="K198" t="str">
            <v>RS1</v>
          </cell>
          <cell r="L198" t="str">
            <v>SOCIEDAD</v>
          </cell>
          <cell r="M198" t="str">
            <v>0000010794</v>
          </cell>
          <cell r="N198">
            <v>9</v>
          </cell>
          <cell r="Q198" t="str">
            <v>VDHL</v>
          </cell>
        </row>
        <row r="199">
          <cell r="A199" t="str">
            <v>MISO004245</v>
          </cell>
          <cell r="B199" t="str">
            <v>210VEDII</v>
          </cell>
          <cell r="C199" t="str">
            <v>Editores E Impresores</v>
          </cell>
          <cell r="D199" t="str">
            <v>1790502694001</v>
          </cell>
          <cell r="E199" t="str">
            <v>22390</v>
          </cell>
          <cell r="G199">
            <v>74</v>
          </cell>
          <cell r="H199">
            <v>8.879999999999999</v>
          </cell>
          <cell r="J199" t="str">
            <v>MISO004245</v>
          </cell>
          <cell r="K199" t="str">
            <v>RS1</v>
          </cell>
          <cell r="L199" t="str">
            <v>SOCIEDAD</v>
          </cell>
          <cell r="M199" t="str">
            <v>0000010854</v>
          </cell>
          <cell r="N199">
            <v>9</v>
          </cell>
          <cell r="Q199" t="str">
            <v>VEDII</v>
          </cell>
        </row>
        <row r="200">
          <cell r="A200" t="str">
            <v>MISO004117</v>
          </cell>
          <cell r="B200" t="str">
            <v>210VFINA</v>
          </cell>
          <cell r="C200" t="str">
            <v>Finamerica</v>
          </cell>
          <cell r="D200" t="str">
            <v>0990652570002</v>
          </cell>
          <cell r="E200" t="str">
            <v>16447</v>
          </cell>
          <cell r="G200">
            <v>1202.67</v>
          </cell>
          <cell r="H200">
            <v>144.32040000000001</v>
          </cell>
          <cell r="J200" t="str">
            <v>MISO004117</v>
          </cell>
          <cell r="K200" t="str">
            <v>RS1</v>
          </cell>
          <cell r="L200" t="str">
            <v>SOCIEDAD</v>
          </cell>
          <cell r="M200" t="str">
            <v>0000010779</v>
          </cell>
          <cell r="N200">
            <v>9</v>
          </cell>
          <cell r="Q200" t="str">
            <v>VFINA</v>
          </cell>
        </row>
        <row r="201">
          <cell r="A201" t="str">
            <v>MISO004062</v>
          </cell>
          <cell r="B201" t="str">
            <v>210VGLOQ</v>
          </cell>
          <cell r="C201" t="str">
            <v>GLOBAL QUIMICOS</v>
          </cell>
          <cell r="D201" t="str">
            <v>1791827317001</v>
          </cell>
          <cell r="E201" t="str">
            <v>3034</v>
          </cell>
          <cell r="F201" t="str">
            <v>17/05/2004</v>
          </cell>
          <cell r="G201">
            <v>5910</v>
          </cell>
          <cell r="H201">
            <v>709.2</v>
          </cell>
          <cell r="I201">
            <v>496.44</v>
          </cell>
          <cell r="J201" t="str">
            <v>MISO004062</v>
          </cell>
          <cell r="K201" t="str">
            <v>VS7</v>
          </cell>
          <cell r="L201" t="str">
            <v>SOCIEDAD</v>
          </cell>
          <cell r="N201">
            <v>9</v>
          </cell>
        </row>
        <row r="202">
          <cell r="A202" t="str">
            <v>MISO004061</v>
          </cell>
          <cell r="B202" t="str">
            <v>210VGRUN</v>
          </cell>
          <cell r="C202" t="str">
            <v>Gruntec</v>
          </cell>
          <cell r="D202" t="str">
            <v>1791344073001</v>
          </cell>
          <cell r="E202" t="str">
            <v>1471</v>
          </cell>
          <cell r="F202" t="str">
            <v>10/05/2004</v>
          </cell>
          <cell r="G202">
            <v>3433.5714285714284</v>
          </cell>
          <cell r="H202">
            <v>412.02857142857141</v>
          </cell>
          <cell r="I202">
            <v>288.42</v>
          </cell>
          <cell r="J202" t="str">
            <v>MISO004061</v>
          </cell>
          <cell r="K202" t="str">
            <v>VS7</v>
          </cell>
          <cell r="L202" t="str">
            <v>SOCIEDAD</v>
          </cell>
          <cell r="N202">
            <v>9</v>
          </cell>
        </row>
        <row r="203">
          <cell r="A203" t="str">
            <v>MISO004148</v>
          </cell>
          <cell r="B203" t="str">
            <v>210VGRUN</v>
          </cell>
          <cell r="C203" t="str">
            <v>Gruntec</v>
          </cell>
          <cell r="D203" t="str">
            <v>1791344073001</v>
          </cell>
          <cell r="E203" t="str">
            <v>1471</v>
          </cell>
          <cell r="F203" t="str">
            <v>10/05/2004</v>
          </cell>
          <cell r="G203">
            <v>1980.42</v>
          </cell>
          <cell r="H203">
            <v>237.65039999999999</v>
          </cell>
          <cell r="I203">
            <v>166.36</v>
          </cell>
          <cell r="J203" t="str">
            <v>MISO004148</v>
          </cell>
          <cell r="K203" t="str">
            <v>VS7</v>
          </cell>
          <cell r="L203" t="str">
            <v>SOCIEDAD</v>
          </cell>
          <cell r="N203">
            <v>9</v>
          </cell>
        </row>
        <row r="204">
          <cell r="A204" t="str">
            <v>MISO004271</v>
          </cell>
          <cell r="B204" t="str">
            <v>210VHDM</v>
          </cell>
          <cell r="C204" t="str">
            <v>Hdm</v>
          </cell>
          <cell r="D204" t="str">
            <v>1790990842001</v>
          </cell>
          <cell r="E204" t="str">
            <v xml:space="preserve"> </v>
          </cell>
          <cell r="F204" t="str">
            <v>20/05/2004</v>
          </cell>
          <cell r="G204">
            <v>449</v>
          </cell>
          <cell r="H204">
            <v>53.879999999999995</v>
          </cell>
          <cell r="I204">
            <v>37.72</v>
          </cell>
          <cell r="J204" t="str">
            <v>MISO004271</v>
          </cell>
          <cell r="K204" t="str">
            <v>VS7</v>
          </cell>
          <cell r="L204" t="str">
            <v>SOCIEDAD</v>
          </cell>
          <cell r="M204" t="str">
            <v>0000010785</v>
          </cell>
          <cell r="N204">
            <v>9</v>
          </cell>
        </row>
        <row r="205">
          <cell r="A205" t="str">
            <v>MISO004205</v>
          </cell>
          <cell r="B205" t="str">
            <v>210VHODE</v>
          </cell>
          <cell r="C205" t="str">
            <v>Hodesa</v>
          </cell>
          <cell r="D205" t="str">
            <v>1791236319001</v>
          </cell>
          <cell r="E205" t="str">
            <v>57145-6-7-</v>
          </cell>
          <cell r="G205">
            <v>568.66999999999996</v>
          </cell>
          <cell r="H205">
            <v>68.240399999999994</v>
          </cell>
          <cell r="J205" t="str">
            <v>MISO004205</v>
          </cell>
          <cell r="K205" t="str">
            <v>RS1</v>
          </cell>
          <cell r="L205" t="str">
            <v>SOCIEDAD</v>
          </cell>
          <cell r="N205">
            <v>9</v>
          </cell>
          <cell r="Q205" t="str">
            <v>VHODE</v>
          </cell>
        </row>
        <row r="206">
          <cell r="A206" t="str">
            <v>MISO004137</v>
          </cell>
          <cell r="B206" t="str">
            <v>210VHODE</v>
          </cell>
          <cell r="C206" t="str">
            <v>Hodesa</v>
          </cell>
          <cell r="D206" t="str">
            <v>1791236319001</v>
          </cell>
          <cell r="E206" t="str">
            <v>57241-162-</v>
          </cell>
          <cell r="G206">
            <v>157.58000000000001</v>
          </cell>
          <cell r="H206">
            <v>18.909600000000001</v>
          </cell>
          <cell r="J206" t="str">
            <v>MISO004137</v>
          </cell>
          <cell r="K206" t="str">
            <v>RS1</v>
          </cell>
          <cell r="L206" t="str">
            <v>SOCIEDAD</v>
          </cell>
          <cell r="M206" t="str">
            <v>0000010817</v>
          </cell>
          <cell r="N206">
            <v>9</v>
          </cell>
          <cell r="Q206" t="str">
            <v>VHODE</v>
          </cell>
        </row>
        <row r="207">
          <cell r="A207" t="str">
            <v>MISO004246</v>
          </cell>
          <cell r="B207" t="str">
            <v>210VHODE</v>
          </cell>
          <cell r="C207" t="str">
            <v>Hodesa</v>
          </cell>
          <cell r="D207" t="str">
            <v>1791236319001</v>
          </cell>
          <cell r="E207" t="str">
            <v>57453-4-5-</v>
          </cell>
          <cell r="G207">
            <v>326.83</v>
          </cell>
          <cell r="H207">
            <v>39.2196</v>
          </cell>
          <cell r="J207" t="str">
            <v>MISO004246</v>
          </cell>
          <cell r="K207" t="str">
            <v>RS1</v>
          </cell>
          <cell r="L207" t="str">
            <v>SOCIEDAD</v>
          </cell>
          <cell r="M207" t="str">
            <v>0000010817</v>
          </cell>
          <cell r="N207">
            <v>9</v>
          </cell>
          <cell r="Q207" t="str">
            <v>VHODE</v>
          </cell>
        </row>
        <row r="208">
          <cell r="A208" t="str">
            <v>MISO004307</v>
          </cell>
          <cell r="B208" t="str">
            <v>210VHODE</v>
          </cell>
          <cell r="C208" t="str">
            <v>Hodesa</v>
          </cell>
          <cell r="D208" t="str">
            <v>1791236319001</v>
          </cell>
          <cell r="E208" t="str">
            <v>57666-5-4</v>
          </cell>
          <cell r="G208">
            <v>435.42</v>
          </cell>
          <cell r="H208">
            <v>52.250399999999999</v>
          </cell>
          <cell r="J208" t="str">
            <v>MISO004307</v>
          </cell>
          <cell r="K208" t="str">
            <v>RS1</v>
          </cell>
          <cell r="L208" t="str">
            <v>SOCIEDAD</v>
          </cell>
          <cell r="N208">
            <v>9</v>
          </cell>
          <cell r="Q208" t="str">
            <v>VHODE</v>
          </cell>
        </row>
        <row r="209">
          <cell r="A209" t="str">
            <v>MISO004048</v>
          </cell>
          <cell r="B209" t="str">
            <v>210VHOAR</v>
          </cell>
          <cell r="C209" t="str">
            <v>Hotel Araza</v>
          </cell>
          <cell r="D209" t="str">
            <v>1702761840001</v>
          </cell>
          <cell r="E209" t="str">
            <v>13763-3444</v>
          </cell>
          <cell r="F209" t="str">
            <v>01/05/2004</v>
          </cell>
          <cell r="G209">
            <v>319.40476190476193</v>
          </cell>
          <cell r="H209">
            <v>38.328571428571429</v>
          </cell>
          <cell r="I209">
            <v>26.83</v>
          </cell>
          <cell r="J209" t="str">
            <v>MISO004048</v>
          </cell>
          <cell r="K209" t="str">
            <v>VS7</v>
          </cell>
          <cell r="L209" t="str">
            <v>P. NATURAL</v>
          </cell>
          <cell r="M209" t="str">
            <v>0000010816</v>
          </cell>
          <cell r="N209">
            <v>0</v>
          </cell>
        </row>
        <row r="210">
          <cell r="A210" t="str">
            <v>MISC003740</v>
          </cell>
          <cell r="B210" t="str">
            <v>210VHOMI</v>
          </cell>
          <cell r="C210" t="str">
            <v>Hotel La Mision</v>
          </cell>
          <cell r="D210" t="str">
            <v>1708876402001</v>
          </cell>
          <cell r="E210" t="str">
            <v>3295</v>
          </cell>
          <cell r="F210" t="str">
            <v>03/05/2004</v>
          </cell>
          <cell r="G210">
            <v>3193.5</v>
          </cell>
          <cell r="H210">
            <v>383.21999999999997</v>
          </cell>
          <cell r="I210">
            <v>268.25</v>
          </cell>
          <cell r="J210" t="str">
            <v>MISC003740</v>
          </cell>
          <cell r="K210" t="str">
            <v>VS7</v>
          </cell>
          <cell r="L210" t="str">
            <v>P. NATURAL</v>
          </cell>
          <cell r="M210" t="str">
            <v>0000010818</v>
          </cell>
          <cell r="N210">
            <v>0</v>
          </cell>
        </row>
        <row r="211">
          <cell r="A211" t="str">
            <v>MISC003835</v>
          </cell>
          <cell r="B211" t="str">
            <v>210VHOMI</v>
          </cell>
          <cell r="C211" t="str">
            <v>Hotel La Mision</v>
          </cell>
          <cell r="D211" t="str">
            <v>1708876402001</v>
          </cell>
          <cell r="E211" t="str">
            <v>3363</v>
          </cell>
          <cell r="F211" t="str">
            <v>25/05/2004</v>
          </cell>
          <cell r="G211">
            <v>785.71428571428578</v>
          </cell>
          <cell r="H211">
            <v>94.285714285714292</v>
          </cell>
          <cell r="I211">
            <v>66</v>
          </cell>
          <cell r="J211" t="str">
            <v>MISC003835</v>
          </cell>
          <cell r="K211" t="str">
            <v>VS7</v>
          </cell>
          <cell r="L211" t="str">
            <v>P. NATURAL</v>
          </cell>
          <cell r="N211">
            <v>0</v>
          </cell>
        </row>
        <row r="212">
          <cell r="A212" t="str">
            <v>MISO004206</v>
          </cell>
          <cell r="B212" t="str">
            <v>210VHTOV</v>
          </cell>
          <cell r="C212" t="str">
            <v>Hotel Oro Verde</v>
          </cell>
          <cell r="D212" t="str">
            <v>0790013425001</v>
          </cell>
          <cell r="E212" t="str">
            <v>39074</v>
          </cell>
          <cell r="G212">
            <v>121</v>
          </cell>
          <cell r="H212">
            <v>14.52</v>
          </cell>
          <cell r="J212" t="str">
            <v>MISO004206</v>
          </cell>
          <cell r="K212" t="str">
            <v>RS1</v>
          </cell>
          <cell r="L212" t="str">
            <v>SOCIEDAD</v>
          </cell>
          <cell r="M212" t="str">
            <v>0000010780</v>
          </cell>
          <cell r="N212">
            <v>9</v>
          </cell>
          <cell r="Q212" t="str">
            <v>VHTOV</v>
          </cell>
        </row>
        <row r="213">
          <cell r="A213" t="str">
            <v>MISO004331</v>
          </cell>
          <cell r="B213" t="str">
            <v>210VHTOV</v>
          </cell>
          <cell r="C213" t="str">
            <v>Hotel Oro Verde</v>
          </cell>
          <cell r="D213" t="str">
            <v>0790013425001</v>
          </cell>
          <cell r="E213" t="str">
            <v>39524</v>
          </cell>
          <cell r="G213">
            <v>311</v>
          </cell>
          <cell r="H213">
            <v>37.32</v>
          </cell>
          <cell r="J213" t="str">
            <v>MISO004331</v>
          </cell>
          <cell r="K213" t="str">
            <v>RS1</v>
          </cell>
          <cell r="L213" t="str">
            <v>SOCIEDAD</v>
          </cell>
          <cell r="N213">
            <v>9</v>
          </cell>
          <cell r="Q213" t="str">
            <v>VHTOV</v>
          </cell>
        </row>
        <row r="214">
          <cell r="A214" t="str">
            <v>MISO004207</v>
          </cell>
          <cell r="B214" t="str">
            <v>210VHTOV</v>
          </cell>
          <cell r="C214" t="str">
            <v>Hotel San Francisco</v>
          </cell>
          <cell r="D214" t="str">
            <v>0700781347001</v>
          </cell>
          <cell r="E214" t="str">
            <v>25670-669</v>
          </cell>
          <cell r="F214" t="str">
            <v>03/05/2004</v>
          </cell>
          <cell r="G214">
            <v>275.47619047619048</v>
          </cell>
          <cell r="H214">
            <v>33.057142857142857</v>
          </cell>
          <cell r="I214">
            <v>23.14</v>
          </cell>
          <cell r="J214" t="str">
            <v>MISO004207</v>
          </cell>
          <cell r="K214" t="str">
            <v>VS7</v>
          </cell>
          <cell r="L214" t="str">
            <v>SOCIEDAD</v>
          </cell>
          <cell r="N214">
            <v>9</v>
          </cell>
        </row>
        <row r="215">
          <cell r="A215" t="str">
            <v>MISO004047</v>
          </cell>
          <cell r="B215" t="str">
            <v>210VHOSF</v>
          </cell>
          <cell r="C215" t="str">
            <v>Hotel San Francisco</v>
          </cell>
          <cell r="D215" t="str">
            <v>0700781347001</v>
          </cell>
          <cell r="E215" t="str">
            <v>25662</v>
          </cell>
          <cell r="F215" t="str">
            <v>02/05/2004</v>
          </cell>
          <cell r="G215">
            <v>361.42857142857144</v>
          </cell>
          <cell r="H215">
            <v>43.371428571428574</v>
          </cell>
          <cell r="I215">
            <v>30.36</v>
          </cell>
          <cell r="J215" t="str">
            <v>MISO004047</v>
          </cell>
          <cell r="K215" t="str">
            <v>VS7</v>
          </cell>
          <cell r="L215" t="str">
            <v>P. NATURAL</v>
          </cell>
          <cell r="M215" t="str">
            <v>0000010778</v>
          </cell>
          <cell r="N215">
            <v>0</v>
          </cell>
        </row>
        <row r="216">
          <cell r="A216" t="str">
            <v>MISO004212</v>
          </cell>
          <cell r="B216" t="str">
            <v>210VHOSF</v>
          </cell>
          <cell r="C216" t="str">
            <v>Hotel San Francisco</v>
          </cell>
          <cell r="D216" t="str">
            <v>0700781347001</v>
          </cell>
          <cell r="E216" t="str">
            <v>25671</v>
          </cell>
          <cell r="F216" t="str">
            <v>03/05/2004</v>
          </cell>
          <cell r="G216">
            <v>363.45238095238096</v>
          </cell>
          <cell r="H216">
            <v>43.614285714285714</v>
          </cell>
          <cell r="I216">
            <v>30.53</v>
          </cell>
          <cell r="J216" t="str">
            <v>MISO004212</v>
          </cell>
          <cell r="K216" t="str">
            <v>VS7</v>
          </cell>
          <cell r="L216" t="str">
            <v>P. NATURAL</v>
          </cell>
          <cell r="M216" t="str">
            <v>0000010778</v>
          </cell>
          <cell r="N216">
            <v>0</v>
          </cell>
        </row>
        <row r="217">
          <cell r="A217" t="str">
            <v>MISO004255</v>
          </cell>
          <cell r="B217" t="str">
            <v>210VIMPS</v>
          </cell>
          <cell r="C217" t="str">
            <v>Impsat</v>
          </cell>
          <cell r="D217" t="str">
            <v>1791252322001</v>
          </cell>
          <cell r="E217" t="str">
            <v>44244</v>
          </cell>
          <cell r="G217">
            <v>2308</v>
          </cell>
          <cell r="H217">
            <v>276.95999999999998</v>
          </cell>
          <cell r="J217" t="str">
            <v>MISO004255</v>
          </cell>
          <cell r="K217" t="str">
            <v>RS1</v>
          </cell>
          <cell r="L217" t="str">
            <v>SOCIEDAD</v>
          </cell>
          <cell r="N217">
            <v>9</v>
          </cell>
          <cell r="Q217" t="str">
            <v>VIMPS</v>
          </cell>
        </row>
        <row r="218">
          <cell r="A218" t="str">
            <v>MISC003789</v>
          </cell>
          <cell r="B218" t="str">
            <v>210VINDM</v>
          </cell>
          <cell r="C218" t="str">
            <v>Industrial Marco</v>
          </cell>
          <cell r="D218" t="str">
            <v>1712039237001</v>
          </cell>
          <cell r="E218" t="str">
            <v>1730</v>
          </cell>
          <cell r="F218" t="str">
            <v>03/05/2004</v>
          </cell>
          <cell r="G218">
            <v>67.976190476190482</v>
          </cell>
          <cell r="H218">
            <v>8.1571428571428566</v>
          </cell>
          <cell r="I218">
            <v>5.71</v>
          </cell>
          <cell r="J218" t="str">
            <v>MISC003789</v>
          </cell>
          <cell r="K218" t="str">
            <v>VS7</v>
          </cell>
          <cell r="L218" t="str">
            <v>P. NATURAL</v>
          </cell>
          <cell r="M218" t="str">
            <v>0000010819</v>
          </cell>
          <cell r="N218">
            <v>1</v>
          </cell>
        </row>
        <row r="219">
          <cell r="A219" t="str">
            <v>MISC003817</v>
          </cell>
          <cell r="B219" t="str">
            <v>210VINDM</v>
          </cell>
          <cell r="C219" t="str">
            <v>Industrial Marco</v>
          </cell>
          <cell r="D219" t="str">
            <v>1712039237001</v>
          </cell>
          <cell r="E219" t="str">
            <v>1741</v>
          </cell>
          <cell r="F219" t="str">
            <v>10/05/2004</v>
          </cell>
          <cell r="G219">
            <v>29</v>
          </cell>
          <cell r="H219">
            <v>3.48</v>
          </cell>
          <cell r="I219">
            <v>2.44</v>
          </cell>
          <cell r="J219" t="str">
            <v>MISC003817</v>
          </cell>
          <cell r="K219" t="str">
            <v>VS7</v>
          </cell>
          <cell r="L219" t="str">
            <v>P. NATURAL</v>
          </cell>
          <cell r="M219" t="str">
            <v>0000010819</v>
          </cell>
          <cell r="N219">
            <v>1</v>
          </cell>
        </row>
        <row r="220">
          <cell r="A220" t="str">
            <v>MISC003828</v>
          </cell>
          <cell r="B220" t="str">
            <v>210VINDM</v>
          </cell>
          <cell r="C220" t="str">
            <v>Industrial Marco</v>
          </cell>
          <cell r="D220" t="str">
            <v>1712039237001</v>
          </cell>
          <cell r="E220" t="str">
            <v>1745</v>
          </cell>
          <cell r="F220" t="str">
            <v>17/05/2004</v>
          </cell>
          <cell r="G220">
            <v>235</v>
          </cell>
          <cell r="H220">
            <v>28.2</v>
          </cell>
          <cell r="I220">
            <v>19.739999999999998</v>
          </cell>
          <cell r="J220" t="str">
            <v>MISC003828</v>
          </cell>
          <cell r="K220" t="str">
            <v>VS7</v>
          </cell>
          <cell r="L220" t="str">
            <v>P. NATURAL</v>
          </cell>
          <cell r="N220">
            <v>1</v>
          </cell>
        </row>
        <row r="221">
          <cell r="A221" t="str">
            <v>MISC003834</v>
          </cell>
          <cell r="B221" t="str">
            <v>210VINDM</v>
          </cell>
          <cell r="C221" t="str">
            <v>Industrial Marco</v>
          </cell>
          <cell r="D221" t="str">
            <v>1712039237001</v>
          </cell>
          <cell r="E221" t="str">
            <v>1750</v>
          </cell>
          <cell r="F221" t="str">
            <v>25/05/2004</v>
          </cell>
          <cell r="G221">
            <v>140</v>
          </cell>
          <cell r="H221">
            <v>16.8</v>
          </cell>
          <cell r="I221">
            <v>11.76</v>
          </cell>
          <cell r="J221" t="str">
            <v>MISC003834</v>
          </cell>
          <cell r="K221" t="str">
            <v>VS7</v>
          </cell>
          <cell r="L221" t="str">
            <v>P. NATURAL</v>
          </cell>
          <cell r="N221">
            <v>1</v>
          </cell>
        </row>
        <row r="222">
          <cell r="A222" t="str">
            <v>MIIV003026</v>
          </cell>
          <cell r="B222" t="str">
            <v>210VOTRO</v>
          </cell>
          <cell r="C222" t="str">
            <v>Infornet S.A.</v>
          </cell>
          <cell r="D222" t="str">
            <v>0991403760001</v>
          </cell>
          <cell r="E222" t="str">
            <v>181053</v>
          </cell>
          <cell r="F222" t="str">
            <v>03/05/2004</v>
          </cell>
          <cell r="G222">
            <v>35.595238095238095</v>
          </cell>
          <cell r="H222">
            <v>4.2714285714285714</v>
          </cell>
          <cell r="I222">
            <v>2.99</v>
          </cell>
          <cell r="J222" t="str">
            <v>MIIV003026</v>
          </cell>
          <cell r="K222" t="str">
            <v>VS7</v>
          </cell>
          <cell r="L222" t="str">
            <v>SOCIEDAD</v>
          </cell>
          <cell r="M222" t="str">
            <v>0000010714</v>
          </cell>
          <cell r="N222">
            <v>9</v>
          </cell>
        </row>
        <row r="223">
          <cell r="A223" t="str">
            <v>MISO004241</v>
          </cell>
          <cell r="B223" t="str">
            <v>210VLAAS</v>
          </cell>
          <cell r="C223" t="str">
            <v>LAAR CIA LTDA</v>
          </cell>
          <cell r="D223" t="str">
            <v>1790403343001</v>
          </cell>
          <cell r="E223" t="str">
            <v>5359</v>
          </cell>
          <cell r="G223">
            <v>1136.92</v>
          </cell>
          <cell r="H223">
            <v>136.43039999999999</v>
          </cell>
          <cell r="J223" t="str">
            <v>MISO004241</v>
          </cell>
          <cell r="K223" t="str">
            <v>RS1</v>
          </cell>
          <cell r="L223" t="str">
            <v>SOCIEDAD</v>
          </cell>
          <cell r="M223" t="str">
            <v>0000010868</v>
          </cell>
          <cell r="N223">
            <v>9</v>
          </cell>
          <cell r="Q223" t="str">
            <v>VLAAS</v>
          </cell>
        </row>
        <row r="224">
          <cell r="A224" t="str">
            <v>MISO004200</v>
          </cell>
          <cell r="B224" t="str">
            <v>210VLAAR</v>
          </cell>
          <cell r="C224" t="str">
            <v>LAARCOM</v>
          </cell>
          <cell r="D224" t="str">
            <v>1791291182001</v>
          </cell>
          <cell r="E224" t="str">
            <v>118125-809</v>
          </cell>
          <cell r="F224" t="str">
            <v>03/05/2004</v>
          </cell>
          <cell r="G224">
            <v>42.976190476190482</v>
          </cell>
          <cell r="H224">
            <v>5.1571428571428575</v>
          </cell>
          <cell r="I224">
            <v>3.61</v>
          </cell>
          <cell r="J224" t="str">
            <v>MISO004200</v>
          </cell>
          <cell r="K224" t="str">
            <v>VS7</v>
          </cell>
          <cell r="L224" t="str">
            <v>SOCIEDAD</v>
          </cell>
          <cell r="M224" t="str">
            <v>0000010822</v>
          </cell>
          <cell r="N224">
            <v>9</v>
          </cell>
        </row>
        <row r="225">
          <cell r="A225" t="str">
            <v>MISC003738</v>
          </cell>
          <cell r="B225" t="str">
            <v>210VLABU</v>
          </cell>
          <cell r="C225" t="str">
            <v>LABSU</v>
          </cell>
          <cell r="D225" t="str">
            <v>1791809785001</v>
          </cell>
          <cell r="E225" t="str">
            <v>1120</v>
          </cell>
          <cell r="F225" t="str">
            <v>03/05/2004</v>
          </cell>
          <cell r="G225">
            <v>920.59523809523819</v>
          </cell>
          <cell r="H225">
            <v>110.47142857142858</v>
          </cell>
          <cell r="I225">
            <v>77.33</v>
          </cell>
          <cell r="J225" t="str">
            <v>MISC003738</v>
          </cell>
          <cell r="K225" t="str">
            <v>VS7</v>
          </cell>
          <cell r="L225" t="str">
            <v>SOCIEDAD</v>
          </cell>
          <cell r="M225" t="str">
            <v>0000010824</v>
          </cell>
          <cell r="N225">
            <v>9</v>
          </cell>
        </row>
        <row r="226">
          <cell r="A226" t="str">
            <v>MIIV003032</v>
          </cell>
          <cell r="B226" t="str">
            <v>210VLAUR</v>
          </cell>
          <cell r="C226" t="str">
            <v>Laurel</v>
          </cell>
          <cell r="D226" t="str">
            <v>1791774094001</v>
          </cell>
          <cell r="E226" t="str">
            <v>630</v>
          </cell>
          <cell r="F226" t="str">
            <v>29/04/2004</v>
          </cell>
          <cell r="G226">
            <v>90</v>
          </cell>
          <cell r="H226">
            <v>10.8</v>
          </cell>
          <cell r="I226">
            <v>7.56</v>
          </cell>
          <cell r="J226" t="str">
            <v>MIIV003032</v>
          </cell>
          <cell r="K226" t="str">
            <v>VS7</v>
          </cell>
          <cell r="L226" t="str">
            <v>SOCIEDAD</v>
          </cell>
          <cell r="M226" t="str">
            <v>0000010823</v>
          </cell>
          <cell r="N226">
            <v>9</v>
          </cell>
        </row>
        <row r="227">
          <cell r="A227" t="str">
            <v>MISO004070</v>
          </cell>
          <cell r="B227" t="str">
            <v>210VLEBR</v>
          </cell>
          <cell r="C227" t="str">
            <v>Leon Bravo Malo Jacobo</v>
          </cell>
          <cell r="D227" t="str">
            <v>1702555929001</v>
          </cell>
          <cell r="E227" t="str">
            <v>41-42</v>
          </cell>
          <cell r="F227" t="str">
            <v>03/05/2004</v>
          </cell>
          <cell r="G227">
            <v>437.7380952380953</v>
          </cell>
          <cell r="H227">
            <v>52.528571428571432</v>
          </cell>
          <cell r="I227">
            <v>36.770000000000003</v>
          </cell>
          <cell r="J227" t="str">
            <v>MISO004070</v>
          </cell>
          <cell r="K227" t="str">
            <v>VS7</v>
          </cell>
          <cell r="L227" t="str">
            <v>P. NATURAL</v>
          </cell>
          <cell r="M227" t="str">
            <v>0000010685</v>
          </cell>
          <cell r="N227">
            <v>0</v>
          </cell>
        </row>
        <row r="228">
          <cell r="A228" t="str">
            <v>MISO004253</v>
          </cell>
          <cell r="B228" t="str">
            <v>210VLEBR</v>
          </cell>
          <cell r="C228" t="str">
            <v>Leon Bravo Malo Jacobo</v>
          </cell>
          <cell r="D228" t="str">
            <v>1702555929001</v>
          </cell>
          <cell r="E228" t="str">
            <v>47-48</v>
          </cell>
          <cell r="F228" t="str">
            <v>17/05/2004</v>
          </cell>
          <cell r="G228">
            <v>644.83000000000004</v>
          </cell>
          <cell r="H228">
            <v>77.379599999999996</v>
          </cell>
          <cell r="I228">
            <v>54.17</v>
          </cell>
          <cell r="J228" t="str">
            <v>MISO004253</v>
          </cell>
          <cell r="K228" t="str">
            <v>VS7</v>
          </cell>
          <cell r="L228" t="str">
            <v>P. NATURAL</v>
          </cell>
          <cell r="M228" t="str">
            <v>0000010722</v>
          </cell>
          <cell r="N228">
            <v>0</v>
          </cell>
        </row>
        <row r="229">
          <cell r="A229" t="str">
            <v>MISO004250</v>
          </cell>
          <cell r="B229" t="str">
            <v>210VLOCS</v>
          </cell>
          <cell r="C229" t="str">
            <v>LOCSAT</v>
          </cell>
          <cell r="D229" t="str">
            <v>1791396766001</v>
          </cell>
          <cell r="E229" t="str">
            <v>14131</v>
          </cell>
          <cell r="F229" t="str">
            <v>06/05/2004</v>
          </cell>
          <cell r="G229">
            <v>114</v>
          </cell>
          <cell r="H229">
            <v>13.68</v>
          </cell>
          <cell r="I229">
            <v>9.58</v>
          </cell>
          <cell r="J229" t="str">
            <v>MISO004250</v>
          </cell>
          <cell r="K229" t="str">
            <v>VS7</v>
          </cell>
          <cell r="L229" t="str">
            <v>SOCIEDAD</v>
          </cell>
          <cell r="M229" t="str">
            <v>0000010782</v>
          </cell>
          <cell r="N229">
            <v>9</v>
          </cell>
        </row>
        <row r="230">
          <cell r="A230" t="str">
            <v>MISC003810</v>
          </cell>
          <cell r="B230" t="str">
            <v>210VMAXS</v>
          </cell>
          <cell r="C230" t="str">
            <v>Maxseconi</v>
          </cell>
          <cell r="D230" t="str">
            <v>1707990279001</v>
          </cell>
          <cell r="E230" t="str">
            <v>881</v>
          </cell>
          <cell r="F230" t="str">
            <v>10/05/2004</v>
          </cell>
          <cell r="G230">
            <v>76.547619047619051</v>
          </cell>
          <cell r="H230">
            <v>9.1857142857142851</v>
          </cell>
          <cell r="I230">
            <v>6.43</v>
          </cell>
          <cell r="J230" t="str">
            <v>MISC003810</v>
          </cell>
          <cell r="K230" t="str">
            <v>VS7</v>
          </cell>
          <cell r="L230" t="str">
            <v>P. NATURAL</v>
          </cell>
          <cell r="N230">
            <v>0</v>
          </cell>
        </row>
        <row r="231">
          <cell r="A231" t="str">
            <v>MISO004054</v>
          </cell>
          <cell r="B231" t="str">
            <v>210VOILS</v>
          </cell>
          <cell r="C231" t="str">
            <v>OILSERVICE</v>
          </cell>
          <cell r="D231" t="str">
            <v>1791412605001</v>
          </cell>
          <cell r="E231" t="str">
            <v>637</v>
          </cell>
          <cell r="F231" t="str">
            <v>03/05/2004</v>
          </cell>
          <cell r="G231">
            <v>6200</v>
          </cell>
          <cell r="H231">
            <v>744</v>
          </cell>
          <cell r="I231">
            <v>520.79999999999995</v>
          </cell>
          <cell r="J231" t="str">
            <v>MISO004054</v>
          </cell>
          <cell r="K231" t="str">
            <v>VS7</v>
          </cell>
          <cell r="L231" t="str">
            <v>SOCIEDAD</v>
          </cell>
          <cell r="M231" t="str">
            <v>0000010830</v>
          </cell>
          <cell r="N231">
            <v>9</v>
          </cell>
        </row>
        <row r="232">
          <cell r="A232" t="str">
            <v>MISO004289</v>
          </cell>
          <cell r="B232" t="str">
            <v>210VPALI</v>
          </cell>
          <cell r="C232" t="str">
            <v>PANAMERICAN LIFE</v>
          </cell>
          <cell r="D232" t="str">
            <v>0990030545001</v>
          </cell>
          <cell r="E232" t="str">
            <v>37067</v>
          </cell>
          <cell r="G232">
            <v>2698.5</v>
          </cell>
          <cell r="H232">
            <v>323.82</v>
          </cell>
          <cell r="J232" t="str">
            <v>MISO004289</v>
          </cell>
          <cell r="K232" t="str">
            <v>RG1</v>
          </cell>
          <cell r="L232" t="str">
            <v>SOCIEDAD</v>
          </cell>
          <cell r="M232" t="str">
            <v>0000010765</v>
          </cell>
          <cell r="N232">
            <v>9</v>
          </cell>
          <cell r="Q232" t="str">
            <v>VPALI</v>
          </cell>
        </row>
        <row r="233">
          <cell r="A233" t="str">
            <v>MISO003622</v>
          </cell>
          <cell r="B233" t="str">
            <v>210VPRED</v>
          </cell>
          <cell r="C233" t="str">
            <v>Predictiva</v>
          </cell>
          <cell r="D233" t="str">
            <v>1708523657001</v>
          </cell>
          <cell r="E233" t="str">
            <v>1889</v>
          </cell>
          <cell r="F233" t="str">
            <v>10/05/2004</v>
          </cell>
          <cell r="G233">
            <v>520</v>
          </cell>
          <cell r="H233">
            <v>62.4</v>
          </cell>
          <cell r="I233">
            <v>43.68</v>
          </cell>
          <cell r="J233" t="str">
            <v>MISO003622</v>
          </cell>
          <cell r="K233" t="str">
            <v>VS7</v>
          </cell>
          <cell r="L233" t="str">
            <v>P. NATURAL</v>
          </cell>
          <cell r="M233" t="str">
            <v>0000010870</v>
          </cell>
          <cell r="N233">
            <v>0</v>
          </cell>
        </row>
        <row r="234">
          <cell r="A234" t="str">
            <v>MISO003526</v>
          </cell>
          <cell r="B234" t="str">
            <v>210VPRED</v>
          </cell>
          <cell r="C234" t="str">
            <v>Predictiva</v>
          </cell>
          <cell r="D234" t="str">
            <v>1708523657001</v>
          </cell>
          <cell r="E234" t="str">
            <v>1888</v>
          </cell>
          <cell r="F234" t="str">
            <v>10/05/2004</v>
          </cell>
          <cell r="G234">
            <v>520</v>
          </cell>
          <cell r="H234">
            <v>62.4</v>
          </cell>
          <cell r="I234">
            <v>43.68</v>
          </cell>
          <cell r="J234" t="str">
            <v>MISO003526</v>
          </cell>
          <cell r="K234" t="str">
            <v>VS7</v>
          </cell>
          <cell r="L234" t="str">
            <v>P. NATURAL</v>
          </cell>
          <cell r="M234" t="str">
            <v>0000010870</v>
          </cell>
          <cell r="N234">
            <v>0</v>
          </cell>
        </row>
        <row r="235">
          <cell r="A235" t="str">
            <v>MISO004233</v>
          </cell>
          <cell r="B235" t="str">
            <v>210VPRED</v>
          </cell>
          <cell r="C235" t="str">
            <v>Predictiva</v>
          </cell>
          <cell r="D235" t="str">
            <v>1708523657001</v>
          </cell>
          <cell r="E235" t="str">
            <v>1907</v>
          </cell>
          <cell r="F235" t="str">
            <v>25/05/2004</v>
          </cell>
          <cell r="G235">
            <v>260</v>
          </cell>
          <cell r="H235">
            <v>31.2</v>
          </cell>
          <cell r="I235">
            <v>21.84</v>
          </cell>
          <cell r="J235" t="str">
            <v>MISO004233</v>
          </cell>
          <cell r="K235" t="str">
            <v>VS7</v>
          </cell>
          <cell r="L235" t="str">
            <v>P. NATURAL</v>
          </cell>
          <cell r="N235">
            <v>0</v>
          </cell>
        </row>
        <row r="236">
          <cell r="C236" t="str">
            <v>PETROPRODUCCION</v>
          </cell>
        </row>
        <row r="237">
          <cell r="A237" t="str">
            <v>MISO004173</v>
          </cell>
          <cell r="B237" t="str">
            <v>210VPROT</v>
          </cell>
          <cell r="C237" t="str">
            <v>PROTEL</v>
          </cell>
          <cell r="D237" t="str">
            <v>1710550532001</v>
          </cell>
          <cell r="E237" t="str">
            <v>866</v>
          </cell>
          <cell r="F237" t="str">
            <v>24/05/2004</v>
          </cell>
          <cell r="G237">
            <v>56</v>
          </cell>
          <cell r="H237">
            <v>6.72</v>
          </cell>
          <cell r="I237">
            <v>4.7</v>
          </cell>
          <cell r="J237" t="str">
            <v>MISO004173</v>
          </cell>
          <cell r="K237" t="str">
            <v>VS7</v>
          </cell>
          <cell r="L237" t="str">
            <v>P. NATURAL</v>
          </cell>
          <cell r="N237">
            <v>1</v>
          </cell>
        </row>
        <row r="238">
          <cell r="A238" t="str">
            <v>MISO004055</v>
          </cell>
          <cell r="B238" t="str">
            <v>210VRSTO</v>
          </cell>
          <cell r="C238" t="str">
            <v>R.S. ROTH</v>
          </cell>
          <cell r="D238" t="str">
            <v>1791805348001</v>
          </cell>
          <cell r="E238" t="str">
            <v>634</v>
          </cell>
          <cell r="F238" t="str">
            <v>10/05/2004</v>
          </cell>
          <cell r="G238">
            <v>9765</v>
          </cell>
          <cell r="H238">
            <v>1171.8</v>
          </cell>
          <cell r="I238">
            <v>820.26</v>
          </cell>
          <cell r="J238" t="str">
            <v>MISO004055</v>
          </cell>
          <cell r="K238" t="str">
            <v>VS7</v>
          </cell>
          <cell r="L238" t="str">
            <v>SOCIEDAD</v>
          </cell>
          <cell r="N238">
            <v>9</v>
          </cell>
        </row>
        <row r="239">
          <cell r="A239" t="str">
            <v>MIPC001213</v>
          </cell>
          <cell r="B239" t="str">
            <v>210VREET</v>
          </cell>
          <cell r="C239" t="str">
            <v>Restaurant El Turista</v>
          </cell>
          <cell r="D239" t="str">
            <v>0201108941001</v>
          </cell>
          <cell r="E239" t="str">
            <v>200</v>
          </cell>
          <cell r="F239" t="str">
            <v>10/05/2004</v>
          </cell>
          <cell r="G239">
            <v>1977.3809523809525</v>
          </cell>
          <cell r="H239">
            <v>237.28571428571428</v>
          </cell>
          <cell r="I239">
            <v>166.1</v>
          </cell>
          <cell r="J239" t="str">
            <v>MIPC001213</v>
          </cell>
          <cell r="K239" t="str">
            <v>VS7</v>
          </cell>
          <cell r="L239" t="str">
            <v>P. NATURAL</v>
          </cell>
          <cell r="M239" t="str">
            <v>0000010769</v>
          </cell>
          <cell r="N239">
            <v>0</v>
          </cell>
        </row>
        <row r="240">
          <cell r="A240" t="str">
            <v>MISC003794</v>
          </cell>
          <cell r="B240" t="str">
            <v>210VREET</v>
          </cell>
          <cell r="C240" t="str">
            <v>Restaurant El Turista</v>
          </cell>
          <cell r="D240" t="str">
            <v>0201108941001</v>
          </cell>
          <cell r="E240" t="str">
            <v>192</v>
          </cell>
          <cell r="F240" t="str">
            <v>03/05/2004</v>
          </cell>
          <cell r="G240">
            <v>200</v>
          </cell>
          <cell r="H240">
            <v>24</v>
          </cell>
          <cell r="I240">
            <v>16.8</v>
          </cell>
          <cell r="J240" t="str">
            <v>MISC003794</v>
          </cell>
          <cell r="K240" t="str">
            <v>VS7</v>
          </cell>
          <cell r="L240" t="str">
            <v>P. NATURAL</v>
          </cell>
          <cell r="M240" t="str">
            <v>0000010838</v>
          </cell>
          <cell r="N240">
            <v>0</v>
          </cell>
        </row>
        <row r="241">
          <cell r="A241" t="str">
            <v>MISC003841</v>
          </cell>
          <cell r="B241" t="str">
            <v>210VLORA</v>
          </cell>
          <cell r="C241" t="str">
            <v>RICARDO LORA</v>
          </cell>
          <cell r="D241" t="str">
            <v xml:space="preserve"> </v>
          </cell>
          <cell r="E241" t="str">
            <v>67</v>
          </cell>
          <cell r="F241" t="str">
            <v>25/05/2004</v>
          </cell>
          <cell r="G241">
            <v>900</v>
          </cell>
          <cell r="H241">
            <v>108</v>
          </cell>
          <cell r="I241">
            <v>75.599999999999994</v>
          </cell>
          <cell r="J241" t="str">
            <v>MISC003841</v>
          </cell>
          <cell r="K241" t="str">
            <v>VS7</v>
          </cell>
          <cell r="L241" t="str">
            <v>P. NATURAL</v>
          </cell>
        </row>
        <row r="242">
          <cell r="A242" t="str">
            <v>MISO004147</v>
          </cell>
          <cell r="B242" t="str">
            <v>210VRAMI</v>
          </cell>
          <cell r="C242" t="str">
            <v>Ricardo Ramirez</v>
          </cell>
          <cell r="D242" t="str">
            <v>1705636890001</v>
          </cell>
          <cell r="E242" t="str">
            <v>7665-142</v>
          </cell>
          <cell r="F242" t="str">
            <v>03/05/2004</v>
          </cell>
          <cell r="G242">
            <v>600</v>
          </cell>
          <cell r="H242">
            <v>72</v>
          </cell>
          <cell r="I242">
            <v>50.4</v>
          </cell>
          <cell r="J242" t="str">
            <v>MISO004147</v>
          </cell>
          <cell r="K242" t="str">
            <v>VS7</v>
          </cell>
          <cell r="L242" t="str">
            <v>P. NATURAL</v>
          </cell>
          <cell r="N242">
            <v>0</v>
          </cell>
        </row>
        <row r="243">
          <cell r="A243" t="str">
            <v>MISO004058</v>
          </cell>
          <cell r="B243" t="str">
            <v>210VRAMI</v>
          </cell>
          <cell r="C243" t="str">
            <v>Ricardo Ramirez</v>
          </cell>
          <cell r="D243" t="str">
            <v>1705636890001</v>
          </cell>
          <cell r="E243" t="str">
            <v>7665-142</v>
          </cell>
          <cell r="F243" t="str">
            <v>03/05/2004</v>
          </cell>
          <cell r="G243">
            <v>3720</v>
          </cell>
          <cell r="H243">
            <v>446.4</v>
          </cell>
          <cell r="I243">
            <v>312.48</v>
          </cell>
          <cell r="J243" t="str">
            <v>MISO004058</v>
          </cell>
          <cell r="K243" t="str">
            <v>VS7</v>
          </cell>
          <cell r="L243" t="str">
            <v>P. NATURAL</v>
          </cell>
          <cell r="N243">
            <v>0</v>
          </cell>
        </row>
        <row r="244">
          <cell r="A244" t="str">
            <v>MISO004059</v>
          </cell>
          <cell r="B244" t="str">
            <v>210VRAMI</v>
          </cell>
          <cell r="C244" t="str">
            <v>Ricardo Ramirez</v>
          </cell>
          <cell r="D244" t="str">
            <v>1705636890001</v>
          </cell>
          <cell r="E244" t="str">
            <v>7665-142</v>
          </cell>
          <cell r="F244" t="str">
            <v>03/05/2004</v>
          </cell>
          <cell r="G244">
            <v>10540</v>
          </cell>
          <cell r="H244">
            <v>1264.8</v>
          </cell>
          <cell r="I244">
            <v>885.36</v>
          </cell>
          <cell r="J244" t="str">
            <v>MISO004059</v>
          </cell>
          <cell r="K244" t="str">
            <v>VS7</v>
          </cell>
          <cell r="L244" t="str">
            <v>P. NATURAL</v>
          </cell>
          <cell r="N244">
            <v>0</v>
          </cell>
        </row>
        <row r="245">
          <cell r="A245" t="str">
            <v>MISO004056</v>
          </cell>
          <cell r="B245" t="str">
            <v>210VRAMI</v>
          </cell>
          <cell r="C245" t="str">
            <v>Ricardo Ramirez</v>
          </cell>
          <cell r="D245" t="str">
            <v>1705636890001</v>
          </cell>
          <cell r="E245" t="str">
            <v>7665-142</v>
          </cell>
          <cell r="F245" t="str">
            <v>03/05/2004</v>
          </cell>
          <cell r="G245">
            <v>1860</v>
          </cell>
          <cell r="H245">
            <v>223.2</v>
          </cell>
          <cell r="I245">
            <v>156.24</v>
          </cell>
          <cell r="J245" t="str">
            <v>MISO004056</v>
          </cell>
          <cell r="K245" t="str">
            <v>VS7</v>
          </cell>
          <cell r="L245" t="str">
            <v>P. NATURAL</v>
          </cell>
          <cell r="N245">
            <v>0</v>
          </cell>
        </row>
        <row r="246">
          <cell r="A246" t="str">
            <v>MISO004145</v>
          </cell>
          <cell r="B246" t="str">
            <v>210VRAMI</v>
          </cell>
          <cell r="C246" t="str">
            <v>Ricardo Ramirez</v>
          </cell>
          <cell r="D246" t="str">
            <v>1705636890001</v>
          </cell>
          <cell r="E246" t="str">
            <v>7665-142</v>
          </cell>
          <cell r="F246" t="str">
            <v>03/05/2004</v>
          </cell>
          <cell r="G246">
            <v>1100</v>
          </cell>
          <cell r="H246">
            <v>132</v>
          </cell>
          <cell r="I246">
            <v>92.4</v>
          </cell>
          <cell r="J246" t="str">
            <v>MISO004145</v>
          </cell>
          <cell r="K246" t="str">
            <v>VS7</v>
          </cell>
          <cell r="L246" t="str">
            <v>P. NATURAL</v>
          </cell>
          <cell r="N246">
            <v>0</v>
          </cell>
        </row>
        <row r="247">
          <cell r="A247" t="str">
            <v>MISO004052</v>
          </cell>
          <cell r="B247" t="str">
            <v>210VRAMI</v>
          </cell>
          <cell r="C247" t="str">
            <v>Ricardo Ramirez</v>
          </cell>
          <cell r="D247" t="str">
            <v>1705636890001</v>
          </cell>
          <cell r="E247" t="str">
            <v>7665-142</v>
          </cell>
          <cell r="F247" t="str">
            <v>03/05/2004</v>
          </cell>
          <cell r="G247">
            <v>2000</v>
          </cell>
          <cell r="H247">
            <v>240</v>
          </cell>
          <cell r="I247">
            <v>168</v>
          </cell>
          <cell r="J247" t="str">
            <v>MISO004052</v>
          </cell>
          <cell r="K247" t="str">
            <v>VS7</v>
          </cell>
          <cell r="L247" t="str">
            <v>P. NATURAL</v>
          </cell>
          <cell r="N247">
            <v>0</v>
          </cell>
        </row>
        <row r="248">
          <cell r="A248" t="str">
            <v>MIIV003043</v>
          </cell>
          <cell r="B248" t="str">
            <v>210VSCHL</v>
          </cell>
          <cell r="C248" t="str">
            <v>Schlumberger Surenco S.A</v>
          </cell>
          <cell r="D248" t="str">
            <v>0990101094001</v>
          </cell>
          <cell r="E248" t="str">
            <v>13380</v>
          </cell>
          <cell r="G248">
            <v>275</v>
          </cell>
          <cell r="H248">
            <v>33</v>
          </cell>
          <cell r="J248" t="str">
            <v>MIIV003043</v>
          </cell>
          <cell r="K248" t="str">
            <v>RS1</v>
          </cell>
          <cell r="L248" t="str">
            <v>SOCIEDAD</v>
          </cell>
          <cell r="M248" t="str">
            <v>0000010841</v>
          </cell>
          <cell r="N248">
            <v>9</v>
          </cell>
          <cell r="Q248" t="str">
            <v>VSCHL</v>
          </cell>
        </row>
        <row r="249">
          <cell r="A249" t="str">
            <v>MIIV003044</v>
          </cell>
          <cell r="B249" t="str">
            <v>210VSCHL</v>
          </cell>
          <cell r="C249" t="str">
            <v>Schlumberger Surenco S.A</v>
          </cell>
          <cell r="D249" t="str">
            <v>0990101094001</v>
          </cell>
          <cell r="E249" t="str">
            <v>13381</v>
          </cell>
          <cell r="G249">
            <v>274.08</v>
          </cell>
          <cell r="H249">
            <v>32.889599999999994</v>
          </cell>
          <cell r="J249" t="str">
            <v>MIIV003044</v>
          </cell>
          <cell r="K249" t="str">
            <v>RS1</v>
          </cell>
          <cell r="L249" t="str">
            <v>SOCIEDAD</v>
          </cell>
          <cell r="M249" t="str">
            <v>0000010841</v>
          </cell>
          <cell r="N249">
            <v>9</v>
          </cell>
          <cell r="Q249" t="str">
            <v>VSCHL</v>
          </cell>
        </row>
        <row r="250">
          <cell r="A250" t="str">
            <v>MISO003954</v>
          </cell>
          <cell r="B250" t="str">
            <v>210VSEGE</v>
          </cell>
          <cell r="C250" t="str">
            <v>Seguros Equinoccial</v>
          </cell>
          <cell r="D250" t="str">
            <v>1790007502001</v>
          </cell>
          <cell r="E250" t="str">
            <v>78013</v>
          </cell>
          <cell r="G250">
            <v>1181.67</v>
          </cell>
          <cell r="H250">
            <v>141.8004</v>
          </cell>
          <cell r="J250" t="str">
            <v>MISO003954</v>
          </cell>
          <cell r="K250" t="str">
            <v>RG1</v>
          </cell>
          <cell r="L250" t="str">
            <v>SOCIEDAD</v>
          </cell>
          <cell r="M250" t="str">
            <v>0000010776</v>
          </cell>
          <cell r="N250">
            <v>9</v>
          </cell>
          <cell r="Q250" t="str">
            <v>VSEGE</v>
          </cell>
        </row>
        <row r="251">
          <cell r="A251" t="str">
            <v>MISO004168</v>
          </cell>
          <cell r="B251" t="str">
            <v>210VSEGE</v>
          </cell>
          <cell r="C251" t="str">
            <v>Seguros Equinoccial</v>
          </cell>
          <cell r="D251" t="str">
            <v>1790007502001</v>
          </cell>
          <cell r="E251" t="str">
            <v>78021</v>
          </cell>
          <cell r="G251">
            <v>1195.83</v>
          </cell>
          <cell r="H251">
            <v>143.49959999999999</v>
          </cell>
          <cell r="J251" t="str">
            <v>MISO004168</v>
          </cell>
          <cell r="K251" t="str">
            <v>RG1</v>
          </cell>
          <cell r="L251" t="str">
            <v>SOCIEDAD</v>
          </cell>
          <cell r="M251" t="str">
            <v>0000010776</v>
          </cell>
          <cell r="N251">
            <v>9</v>
          </cell>
          <cell r="Q251" t="str">
            <v>VSEGE</v>
          </cell>
        </row>
        <row r="252">
          <cell r="A252" t="str">
            <v>MIIV003019</v>
          </cell>
          <cell r="B252" t="str">
            <v>210VSEMA</v>
          </cell>
          <cell r="C252" t="str">
            <v>Semad</v>
          </cell>
          <cell r="D252" t="str">
            <v>1791203844001</v>
          </cell>
          <cell r="E252" t="str">
            <v>13416-17</v>
          </cell>
          <cell r="F252" t="str">
            <v>29/04/2004</v>
          </cell>
          <cell r="G252">
            <v>21</v>
          </cell>
          <cell r="H252">
            <v>2.52</v>
          </cell>
          <cell r="I252">
            <v>1.76</v>
          </cell>
          <cell r="J252" t="str">
            <v>MIIV003019</v>
          </cell>
          <cell r="K252" t="str">
            <v>VS7</v>
          </cell>
          <cell r="L252" t="str">
            <v>SOCIEDAD</v>
          </cell>
          <cell r="M252" t="str">
            <v>0000010707</v>
          </cell>
          <cell r="N252">
            <v>9</v>
          </cell>
        </row>
        <row r="253">
          <cell r="A253" t="str">
            <v>MISC003736</v>
          </cell>
          <cell r="B253" t="str">
            <v>210VSEMA</v>
          </cell>
          <cell r="C253" t="str">
            <v>Semad</v>
          </cell>
          <cell r="D253" t="str">
            <v>1791203844001</v>
          </cell>
          <cell r="E253" t="str">
            <v>13571-72</v>
          </cell>
          <cell r="F253" t="str">
            <v>12/05/2004</v>
          </cell>
          <cell r="G253">
            <v>261.33</v>
          </cell>
          <cell r="H253">
            <v>31.359599999999997</v>
          </cell>
          <cell r="I253">
            <v>21.95</v>
          </cell>
          <cell r="J253" t="str">
            <v>MISC003736</v>
          </cell>
          <cell r="K253" t="str">
            <v>VS7</v>
          </cell>
          <cell r="L253" t="str">
            <v>SOCIEDAD</v>
          </cell>
          <cell r="M253" t="str">
            <v>0000010723</v>
          </cell>
          <cell r="N253">
            <v>9</v>
          </cell>
        </row>
        <row r="254">
          <cell r="A254" t="str">
            <v>MISO004124</v>
          </cell>
          <cell r="B254" t="str">
            <v>210VSEMA</v>
          </cell>
          <cell r="C254" t="str">
            <v>Semad</v>
          </cell>
          <cell r="D254" t="str">
            <v>1791203844001</v>
          </cell>
          <cell r="E254" t="str">
            <v>13573-74</v>
          </cell>
          <cell r="F254" t="str">
            <v>12/05/2004</v>
          </cell>
          <cell r="G254">
            <v>48.25</v>
          </cell>
          <cell r="H254">
            <v>5.79</v>
          </cell>
          <cell r="I254">
            <v>4.05</v>
          </cell>
          <cell r="J254" t="str">
            <v>MISO004124</v>
          </cell>
          <cell r="K254" t="str">
            <v>VS7</v>
          </cell>
          <cell r="L254" t="str">
            <v>SOCIEDAD</v>
          </cell>
          <cell r="M254" t="str">
            <v>0000010723</v>
          </cell>
          <cell r="N254">
            <v>9</v>
          </cell>
        </row>
        <row r="255">
          <cell r="A255" t="str">
            <v>MISO004165</v>
          </cell>
          <cell r="B255" t="str">
            <v>210VSEMA</v>
          </cell>
          <cell r="C255" t="str">
            <v>Semad</v>
          </cell>
          <cell r="D255" t="str">
            <v>1791203844001</v>
          </cell>
          <cell r="E255" t="str">
            <v>13568</v>
          </cell>
          <cell r="F255" t="str">
            <v>12/05/2004</v>
          </cell>
          <cell r="G255">
            <v>2686.4285714285716</v>
          </cell>
          <cell r="H255">
            <v>322.37142857142857</v>
          </cell>
          <cell r="I255">
            <v>225.66</v>
          </cell>
          <cell r="J255" t="str">
            <v>MISO004165</v>
          </cell>
          <cell r="K255" t="str">
            <v>VS7</v>
          </cell>
          <cell r="L255" t="str">
            <v>SOCIEDAD</v>
          </cell>
          <cell r="M255" t="str">
            <v>0000010723</v>
          </cell>
          <cell r="N255">
            <v>9</v>
          </cell>
        </row>
        <row r="256">
          <cell r="A256" t="str">
            <v>MISO004239</v>
          </cell>
          <cell r="B256" t="str">
            <v>210VSEMA</v>
          </cell>
          <cell r="C256" t="str">
            <v>Semad</v>
          </cell>
          <cell r="D256" t="str">
            <v>1791203844001</v>
          </cell>
          <cell r="E256" t="str">
            <v>13528-529</v>
          </cell>
          <cell r="F256" t="str">
            <v>10/05/2004</v>
          </cell>
          <cell r="G256">
            <v>10.5</v>
          </cell>
          <cell r="H256">
            <v>1.26</v>
          </cell>
          <cell r="I256">
            <v>0.88</v>
          </cell>
          <cell r="J256" t="str">
            <v>MISO004239</v>
          </cell>
          <cell r="K256" t="str">
            <v>VS7</v>
          </cell>
          <cell r="L256" t="str">
            <v>SOCIEDAD</v>
          </cell>
          <cell r="M256" t="str">
            <v>0000010775</v>
          </cell>
          <cell r="N256">
            <v>9</v>
          </cell>
        </row>
        <row r="257">
          <cell r="A257" t="str">
            <v>MISO004238</v>
          </cell>
          <cell r="B257" t="str">
            <v>210VSEMA</v>
          </cell>
          <cell r="C257" t="str">
            <v>Semad</v>
          </cell>
          <cell r="D257" t="str">
            <v>1791203844001</v>
          </cell>
          <cell r="E257" t="str">
            <v>13530-31</v>
          </cell>
          <cell r="F257" t="str">
            <v>10/05/2004</v>
          </cell>
          <cell r="G257">
            <v>3</v>
          </cell>
          <cell r="H257">
            <v>0.36</v>
          </cell>
          <cell r="I257">
            <v>0.25</v>
          </cell>
          <cell r="J257" t="str">
            <v>MISO004238</v>
          </cell>
          <cell r="K257" t="str">
            <v>VS7</v>
          </cell>
          <cell r="L257" t="str">
            <v>SOCIEDAD</v>
          </cell>
          <cell r="M257" t="str">
            <v>0000010775</v>
          </cell>
          <cell r="N257">
            <v>9</v>
          </cell>
        </row>
        <row r="258">
          <cell r="A258" t="str">
            <v>MISO004288</v>
          </cell>
          <cell r="B258" t="str">
            <v>210VSEMA</v>
          </cell>
          <cell r="C258" t="str">
            <v>Semad</v>
          </cell>
          <cell r="D258" t="str">
            <v>1791203844001</v>
          </cell>
          <cell r="E258" t="str">
            <v>13575-6-46</v>
          </cell>
          <cell r="F258" t="str">
            <v>12/05/2004</v>
          </cell>
          <cell r="G258">
            <v>100</v>
          </cell>
          <cell r="H258">
            <v>12</v>
          </cell>
          <cell r="I258">
            <v>8.4</v>
          </cell>
          <cell r="J258" t="str">
            <v>MISO004288</v>
          </cell>
          <cell r="K258" t="str">
            <v>VS7</v>
          </cell>
          <cell r="L258" t="str">
            <v>SOCIEDAD</v>
          </cell>
          <cell r="N258">
            <v>9</v>
          </cell>
        </row>
        <row r="259">
          <cell r="A259" t="str">
            <v>MISO004300</v>
          </cell>
          <cell r="B259" t="str">
            <v>210VSTOE</v>
          </cell>
          <cell r="C259" t="str">
            <v>Stoes S.A.</v>
          </cell>
          <cell r="D259" t="str">
            <v>0991391940001</v>
          </cell>
          <cell r="E259" t="str">
            <v>5233</v>
          </cell>
          <cell r="F259" t="str">
            <v>17/05/2004</v>
          </cell>
          <cell r="G259">
            <v>53.58</v>
          </cell>
          <cell r="H259">
            <v>6.4295999999999998</v>
          </cell>
          <cell r="I259">
            <v>4.5</v>
          </cell>
          <cell r="J259" t="str">
            <v>MISO004300</v>
          </cell>
          <cell r="K259" t="str">
            <v>VS7</v>
          </cell>
          <cell r="L259" t="str">
            <v>SOCIEDAD</v>
          </cell>
          <cell r="N259">
            <v>9</v>
          </cell>
        </row>
        <row r="260">
          <cell r="A260" t="str">
            <v>MISO004057</v>
          </cell>
          <cell r="B260" t="str">
            <v>210VTERR</v>
          </cell>
          <cell r="C260" t="str">
            <v>Terrigeno Gold Mine S.A.</v>
          </cell>
          <cell r="D260" t="str">
            <v>1791320972001</v>
          </cell>
          <cell r="E260" t="str">
            <v>397</v>
          </cell>
          <cell r="F260" t="str">
            <v>03/05/2004</v>
          </cell>
          <cell r="G260">
            <v>9000</v>
          </cell>
          <cell r="H260">
            <v>1080</v>
          </cell>
          <cell r="I260">
            <v>756</v>
          </cell>
          <cell r="J260" t="str">
            <v>MISO004057</v>
          </cell>
          <cell r="K260" t="str">
            <v>VS7</v>
          </cell>
          <cell r="L260" t="str">
            <v>SOCIEDAD</v>
          </cell>
          <cell r="M260" t="str">
            <v>0000010848</v>
          </cell>
          <cell r="N260">
            <v>9</v>
          </cell>
        </row>
        <row r="261">
          <cell r="A261" t="str">
            <v>MISO002398</v>
          </cell>
          <cell r="B261" t="str">
            <v>210VTOBR</v>
          </cell>
          <cell r="C261" t="str">
            <v>Tobar &amp; Bustamante</v>
          </cell>
          <cell r="D261" t="str">
            <v>1791290119001</v>
          </cell>
          <cell r="E261" t="str">
            <v>3724</v>
          </cell>
          <cell r="F261" t="str">
            <v>12/05/2004</v>
          </cell>
          <cell r="G261">
            <v>163.83000000000001</v>
          </cell>
          <cell r="H261">
            <v>19.659600000000001</v>
          </cell>
          <cell r="I261">
            <v>13.76</v>
          </cell>
          <cell r="J261" t="str">
            <v>MISO002398</v>
          </cell>
          <cell r="K261" t="str">
            <v>VS7</v>
          </cell>
          <cell r="L261" t="str">
            <v>SOCIEDAD</v>
          </cell>
          <cell r="N261">
            <v>9</v>
          </cell>
        </row>
        <row r="262">
          <cell r="A262" t="str">
            <v>MISO004078</v>
          </cell>
          <cell r="B262" t="str">
            <v>210VTOBR</v>
          </cell>
          <cell r="C262" t="str">
            <v>Tobar &amp; Bustamante</v>
          </cell>
          <cell r="D262" t="str">
            <v>1791290119001</v>
          </cell>
          <cell r="E262" t="str">
            <v>3723</v>
          </cell>
          <cell r="F262" t="str">
            <v>12/05/2004</v>
          </cell>
          <cell r="G262">
            <v>690</v>
          </cell>
          <cell r="H262">
            <v>82.8</v>
          </cell>
          <cell r="I262">
            <v>57.96</v>
          </cell>
          <cell r="J262" t="str">
            <v>MISO004078</v>
          </cell>
          <cell r="K262" t="str">
            <v>VS7</v>
          </cell>
          <cell r="L262" t="str">
            <v>SOCIEDAD</v>
          </cell>
          <cell r="N262">
            <v>9</v>
          </cell>
        </row>
        <row r="263">
          <cell r="A263" t="str">
            <v>MISO003605</v>
          </cell>
          <cell r="B263" t="str">
            <v>210VTOBR</v>
          </cell>
          <cell r="C263" t="str">
            <v>Tobar &amp; Bustamante</v>
          </cell>
          <cell r="D263" t="str">
            <v>1791290119001</v>
          </cell>
          <cell r="E263" t="str">
            <v>3603-3604</v>
          </cell>
          <cell r="F263" t="str">
            <v>25/03/2004</v>
          </cell>
          <cell r="G263">
            <v>2122.08</v>
          </cell>
          <cell r="H263">
            <v>254.64959999999999</v>
          </cell>
          <cell r="I263">
            <v>178.26</v>
          </cell>
          <cell r="J263" t="str">
            <v>MISO003605</v>
          </cell>
          <cell r="K263" t="str">
            <v>VS7</v>
          </cell>
          <cell r="L263" t="str">
            <v>SOCIEDAD</v>
          </cell>
          <cell r="M263" t="str">
            <v>0000010873</v>
          </cell>
          <cell r="N263">
            <v>9</v>
          </cell>
        </row>
        <row r="264">
          <cell r="A264" t="str">
            <v>MISO003796</v>
          </cell>
          <cell r="B264" t="str">
            <v>210VTOBR</v>
          </cell>
          <cell r="C264" t="str">
            <v>Tobar &amp; Bustamante</v>
          </cell>
          <cell r="D264" t="str">
            <v>1791290119001</v>
          </cell>
          <cell r="E264" t="str">
            <v>3672</v>
          </cell>
          <cell r="F264" t="str">
            <v>19/04/2004</v>
          </cell>
          <cell r="G264">
            <v>1946.1904761904761</v>
          </cell>
          <cell r="H264">
            <v>233.54285714285712</v>
          </cell>
          <cell r="I264">
            <v>163.47999999999999</v>
          </cell>
          <cell r="J264" t="str">
            <v>MISO003796</v>
          </cell>
          <cell r="K264" t="str">
            <v>VS7</v>
          </cell>
          <cell r="L264" t="str">
            <v>SOCIEDAD</v>
          </cell>
          <cell r="M264" t="str">
            <v>0000010873</v>
          </cell>
          <cell r="N264">
            <v>9</v>
          </cell>
        </row>
        <row r="265">
          <cell r="A265" t="str">
            <v>MISO004013</v>
          </cell>
          <cell r="B265" t="str">
            <v>210VTRIA</v>
          </cell>
          <cell r="C265" t="str">
            <v>Triada Service</v>
          </cell>
          <cell r="D265" t="str">
            <v>1791404173001</v>
          </cell>
          <cell r="E265" t="str">
            <v>316</v>
          </cell>
          <cell r="F265" t="str">
            <v>10/05/2004</v>
          </cell>
          <cell r="G265">
            <v>1908</v>
          </cell>
          <cell r="H265">
            <v>228.95999999999998</v>
          </cell>
          <cell r="I265">
            <v>160.27000000000001</v>
          </cell>
          <cell r="J265" t="str">
            <v>MISO004013</v>
          </cell>
          <cell r="K265" t="str">
            <v>VS7</v>
          </cell>
          <cell r="L265" t="str">
            <v>SOCIEDAD</v>
          </cell>
          <cell r="M265" t="str">
            <v>0000010871</v>
          </cell>
          <cell r="N265">
            <v>9</v>
          </cell>
        </row>
        <row r="266">
          <cell r="G266">
            <v>130041.86095238094</v>
          </cell>
          <cell r="H266">
            <v>15605.023314285712</v>
          </cell>
          <cell r="I266">
            <v>9519.5</v>
          </cell>
        </row>
        <row r="268">
          <cell r="G268">
            <v>521896.10695238091</v>
          </cell>
          <cell r="H268">
            <v>57303.834994285717</v>
          </cell>
          <cell r="I268">
            <v>33435.78</v>
          </cell>
        </row>
        <row r="269">
          <cell r="E269" t="str">
            <v>MAYOR 250000020</v>
          </cell>
          <cell r="I269">
            <v>33687.78</v>
          </cell>
        </row>
        <row r="270">
          <cell r="E270" t="str">
            <v>DIFERENCIA</v>
          </cell>
          <cell r="I270">
            <v>-252</v>
          </cell>
        </row>
        <row r="271">
          <cell r="E271" t="str">
            <v>EXPLICACION:  RETENCIONES POR CONTABILIZAR SEGÚN DETALLE ADJUNTO</v>
          </cell>
        </row>
        <row r="274">
          <cell r="I274">
            <v>57604.060000000034</v>
          </cell>
        </row>
        <row r="275">
          <cell r="I275">
            <v>4353.08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Estado de Resultados"/>
      <sheetName val="Liquidez"/>
      <sheetName val="Rentabilidad"/>
      <sheetName val="Endeudamiento"/>
      <sheetName val="Tickmarks"/>
      <sheetName val="Ayuda"/>
      <sheetName val="Vtas-Compras Unid."/>
      <sheetName val="Vtas-Costo US$"/>
      <sheetName val="2001-2000"/>
      <sheetName val="Marcas"/>
      <sheetName val="Escisión"/>
      <sheetName val="Otros Procedimientos Analíticos"/>
      <sheetName val="Preliminar"/>
      <sheetName val="PyG Mensual"/>
      <sheetName val="Vtas-Costo Veh."/>
      <sheetName val="Vtas-Costo US$ Rep."/>
      <sheetName val="Gastos"/>
    </sheetNames>
    <sheetDataSet>
      <sheetData sheetId="0" refreshError="1">
        <row r="3">
          <cell r="E3">
            <v>0</v>
          </cell>
          <cell r="F3">
            <v>0</v>
          </cell>
        </row>
        <row r="6">
          <cell r="C6">
            <v>722</v>
          </cell>
          <cell r="D6">
            <v>-0.60803324099722988</v>
          </cell>
          <cell r="G6" t="str">
            <v>{a}</v>
          </cell>
        </row>
        <row r="7">
          <cell r="C7">
            <v>241</v>
          </cell>
          <cell r="D7">
            <v>0</v>
          </cell>
        </row>
        <row r="8">
          <cell r="C8">
            <v>2323</v>
          </cell>
          <cell r="D8">
            <v>0.18424451140766251</v>
          </cell>
          <cell r="G8" t="str">
            <v>{b}</v>
          </cell>
        </row>
        <row r="10">
          <cell r="C10">
            <v>3286</v>
          </cell>
          <cell r="D10">
            <v>-7.6688983566646385E-2</v>
          </cell>
          <cell r="G10">
            <v>0</v>
          </cell>
        </row>
        <row r="12">
          <cell r="C12">
            <v>1096</v>
          </cell>
          <cell r="D12">
            <v>0.41332116788321166</v>
          </cell>
          <cell r="G12" t="str">
            <v>{c}</v>
          </cell>
        </row>
        <row r="13">
          <cell r="C13">
            <v>258299</v>
          </cell>
          <cell r="D13">
            <v>113000</v>
          </cell>
          <cell r="G13" t="str">
            <v>{c}</v>
          </cell>
        </row>
        <row r="15">
          <cell r="C15">
            <v>4476</v>
          </cell>
          <cell r="D15">
            <v>4.6246648793565687E-2</v>
          </cell>
          <cell r="G15">
            <v>0</v>
          </cell>
        </row>
        <row r="17">
          <cell r="C17">
            <v>2393435</v>
          </cell>
          <cell r="D17">
            <v>2780000</v>
          </cell>
          <cell r="G17" t="str">
            <v>{d}</v>
          </cell>
        </row>
        <row r="18">
          <cell r="C18">
            <v>2956797</v>
          </cell>
          <cell r="D18">
            <v>0</v>
          </cell>
          <cell r="G18" t="str">
            <v>{c}</v>
          </cell>
        </row>
        <row r="19">
          <cell r="C19">
            <v>38958</v>
          </cell>
          <cell r="D19">
            <v>49000</v>
          </cell>
          <cell r="G19" t="str">
            <v>{d}</v>
          </cell>
        </row>
        <row r="22">
          <cell r="C22">
            <v>6812</v>
          </cell>
          <cell r="D22">
            <v>0.12463300058719906</v>
          </cell>
          <cell r="G22">
            <v>0</v>
          </cell>
        </row>
        <row r="24">
          <cell r="C24">
            <v>1146</v>
          </cell>
          <cell r="D24">
            <v>0.20418848167539266</v>
          </cell>
          <cell r="G24" t="str">
            <v>{g}</v>
          </cell>
        </row>
        <row r="25">
          <cell r="C25">
            <v>223</v>
          </cell>
          <cell r="D25">
            <v>0.34080717488789236</v>
          </cell>
          <cell r="G25" t="str">
            <v>{g}</v>
          </cell>
        </row>
        <row r="26">
          <cell r="C26">
            <v>25815</v>
          </cell>
          <cell r="D26">
            <v>27000</v>
          </cell>
          <cell r="G26" t="str">
            <v>{g}</v>
          </cell>
        </row>
        <row r="29">
          <cell r="C29">
            <v>2530</v>
          </cell>
          <cell r="D29">
            <v>0.13952569169960474</v>
          </cell>
          <cell r="G29">
            <v>0</v>
          </cell>
        </row>
        <row r="31">
          <cell r="C31">
            <v>386800</v>
          </cell>
          <cell r="D31">
            <v>722000</v>
          </cell>
          <cell r="G31" t="str">
            <v>{i}</v>
          </cell>
        </row>
        <row r="32">
          <cell r="C32">
            <v>122</v>
          </cell>
          <cell r="D32">
            <v>-0.95901639344262291</v>
          </cell>
        </row>
        <row r="33">
          <cell r="C33">
            <v>1138704</v>
          </cell>
          <cell r="D33">
            <v>389000</v>
          </cell>
        </row>
        <row r="35">
          <cell r="C35">
            <v>4282</v>
          </cell>
          <cell r="D35">
            <v>0.11583372255955161</v>
          </cell>
          <cell r="G35">
            <v>0</v>
          </cell>
        </row>
        <row r="37">
          <cell r="C37">
            <v>6812</v>
          </cell>
          <cell r="D37">
            <v>0.12463300058719906</v>
          </cell>
          <cell r="G37">
            <v>0</v>
          </cell>
        </row>
      </sheetData>
      <sheetData sheetId="1" refreshError="1">
        <row r="3">
          <cell r="E3">
            <v>0</v>
          </cell>
          <cell r="G3">
            <v>0</v>
          </cell>
          <cell r="H3">
            <v>0</v>
          </cell>
        </row>
        <row r="6">
          <cell r="B6">
            <v>14089</v>
          </cell>
          <cell r="C6">
            <v>13245</v>
          </cell>
          <cell r="I6">
            <v>12656</v>
          </cell>
        </row>
        <row r="7">
          <cell r="B7">
            <v>3110</v>
          </cell>
          <cell r="C7">
            <v>2188</v>
          </cell>
          <cell r="I7">
            <v>1685</v>
          </cell>
        </row>
        <row r="9">
          <cell r="B9">
            <v>-2666</v>
          </cell>
          <cell r="C9">
            <v>-1847</v>
          </cell>
          <cell r="I9">
            <v>-1287</v>
          </cell>
        </row>
        <row r="11">
          <cell r="B11">
            <v>1520</v>
          </cell>
          <cell r="C11">
            <v>1526</v>
          </cell>
          <cell r="I11">
            <v>1919</v>
          </cell>
        </row>
        <row r="12">
          <cell r="B12">
            <v>302674</v>
          </cell>
          <cell r="C12">
            <v>160192</v>
          </cell>
          <cell r="I12">
            <v>-0.87146947806846287</v>
          </cell>
        </row>
        <row r="14">
          <cell r="B14">
            <v>-468</v>
          </cell>
          <cell r="C14">
            <v>-543</v>
          </cell>
          <cell r="I14">
            <v>-401</v>
          </cell>
        </row>
        <row r="15">
          <cell r="B15">
            <v>-491</v>
          </cell>
          <cell r="C15">
            <v>-367</v>
          </cell>
          <cell r="I15">
            <v>0</v>
          </cell>
        </row>
        <row r="17">
          <cell r="B17">
            <v>1069875</v>
          </cell>
          <cell r="C17">
            <v>1077947</v>
          </cell>
          <cell r="I17">
            <v>-738</v>
          </cell>
        </row>
        <row r="19">
          <cell r="C19">
            <v>38958</v>
          </cell>
          <cell r="I19">
            <v>-401</v>
          </cell>
        </row>
        <row r="22">
          <cell r="B22">
            <v>-513664</v>
          </cell>
          <cell r="C22">
            <v>-824758</v>
          </cell>
          <cell r="I22">
            <v>780</v>
          </cell>
        </row>
        <row r="24">
          <cell r="C24">
            <v>1146</v>
          </cell>
        </row>
        <row r="26">
          <cell r="C26">
            <v>1076</v>
          </cell>
        </row>
        <row r="31">
          <cell r="B31">
            <v>542806</v>
          </cell>
          <cell r="C31">
            <v>-146000</v>
          </cell>
        </row>
        <row r="32">
          <cell r="B32">
            <v>-2949384</v>
          </cell>
          <cell r="C32">
            <v>-2656000</v>
          </cell>
          <cell r="I32">
            <v>0</v>
          </cell>
        </row>
        <row r="33">
          <cell r="B33">
            <v>3303</v>
          </cell>
          <cell r="C33">
            <v>3330</v>
          </cell>
          <cell r="I33">
            <v>2517</v>
          </cell>
        </row>
      </sheetData>
      <sheetData sheetId="2">
        <row r="3">
          <cell r="F3">
            <v>0</v>
          </cell>
        </row>
      </sheetData>
      <sheetData sheetId="3"/>
      <sheetData sheetId="4"/>
      <sheetData sheetId="5"/>
      <sheetData sheetId="6"/>
      <sheetData sheetId="7"/>
      <sheetData sheetId="8">
        <row r="3">
          <cell r="G3">
            <v>0</v>
          </cell>
        </row>
      </sheetData>
      <sheetData sheetId="9">
        <row r="3">
          <cell r="G3">
            <v>0</v>
          </cell>
        </row>
      </sheetData>
      <sheetData sheetId="10"/>
      <sheetData sheetId="11">
        <row r="3">
          <cell r="F3">
            <v>0</v>
          </cell>
        </row>
      </sheetData>
      <sheetData sheetId="12">
        <row r="3">
          <cell r="G3">
            <v>0</v>
          </cell>
        </row>
      </sheetData>
      <sheetData sheetId="13"/>
      <sheetData sheetId="14"/>
      <sheetData sheetId="15"/>
      <sheetData sheetId="16"/>
      <sheetData sheetId="17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Summary"/>
      <sheetName val="Balance Sheet"/>
      <sheetName val="Income Statement"/>
      <sheetName val="Ratios"/>
      <sheetName val="Graphs"/>
      <sheetName val="Graphs Data"/>
      <sheetName val="Other Analytical Procedures"/>
      <sheetName val="Tickmarks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Summary"/>
      <sheetName val="Balance Sheet"/>
      <sheetName val="Income Statement"/>
      <sheetName val="Ratios"/>
      <sheetName val="Graphs"/>
      <sheetName val="Graphs Data"/>
      <sheetName val="Other Analytical Procedures"/>
      <sheetName val="Tickmarks"/>
    </sheetNames>
    <sheetDataSet>
      <sheetData sheetId="0"/>
      <sheetData sheetId="1"/>
      <sheetData sheetId="2">
        <row r="4">
          <cell r="E4">
            <v>0.15</v>
          </cell>
        </row>
        <row r="8">
          <cell r="K8">
            <v>1411199</v>
          </cell>
        </row>
        <row r="12">
          <cell r="K12">
            <v>5263976</v>
          </cell>
        </row>
        <row r="18">
          <cell r="K18">
            <v>6334576</v>
          </cell>
        </row>
        <row r="25">
          <cell r="K25">
            <v>6958319</v>
          </cell>
          <cell r="L25">
            <v>4897445</v>
          </cell>
        </row>
        <row r="27">
          <cell r="C27">
            <v>-715626</v>
          </cell>
          <cell r="D27">
            <v>-268242</v>
          </cell>
          <cell r="J27">
            <v>-180617</v>
          </cell>
          <cell r="K27">
            <v>-841311</v>
          </cell>
        </row>
        <row r="28">
          <cell r="K28">
            <v>-1219015</v>
          </cell>
        </row>
        <row r="29">
          <cell r="C29">
            <v>0</v>
          </cell>
          <cell r="D29">
            <v>0</v>
          </cell>
          <cell r="J29">
            <v>0</v>
          </cell>
          <cell r="K29">
            <v>0</v>
          </cell>
        </row>
        <row r="32">
          <cell r="K32">
            <v>-2243297</v>
          </cell>
          <cell r="L32">
            <v>-1031119</v>
          </cell>
        </row>
        <row r="35">
          <cell r="K35">
            <v>-3866323</v>
          </cell>
          <cell r="L35">
            <v>-3069780</v>
          </cell>
        </row>
        <row r="38">
          <cell r="K38">
            <v>-4715022</v>
          </cell>
          <cell r="L38">
            <v>-3866326</v>
          </cell>
        </row>
        <row r="40">
          <cell r="K40">
            <v>-6958319</v>
          </cell>
          <cell r="L40">
            <v>-4897445</v>
          </cell>
        </row>
      </sheetData>
      <sheetData sheetId="3">
        <row r="3">
          <cell r="C3">
            <v>40329</v>
          </cell>
          <cell r="E3">
            <v>39964</v>
          </cell>
          <cell r="L3">
            <v>39599</v>
          </cell>
          <cell r="N3">
            <v>39233</v>
          </cell>
        </row>
        <row r="8">
          <cell r="N8">
            <v>-4632585</v>
          </cell>
        </row>
        <row r="9">
          <cell r="N9">
            <v>3796743</v>
          </cell>
        </row>
        <row r="11">
          <cell r="N11">
            <v>-835842</v>
          </cell>
        </row>
        <row r="13">
          <cell r="N13">
            <v>308750</v>
          </cell>
        </row>
        <row r="14">
          <cell r="N14">
            <v>0</v>
          </cell>
        </row>
        <row r="15">
          <cell r="N15">
            <v>-14203</v>
          </cell>
        </row>
        <row r="16">
          <cell r="N16">
            <v>0</v>
          </cell>
        </row>
        <row r="18">
          <cell r="N18">
            <v>-541295</v>
          </cell>
        </row>
        <row r="20">
          <cell r="N20">
            <v>0</v>
          </cell>
        </row>
        <row r="22">
          <cell r="N22">
            <v>-541295</v>
          </cell>
        </row>
        <row r="24">
          <cell r="N24">
            <v>0</v>
          </cell>
        </row>
        <row r="26">
          <cell r="C26">
            <v>-232081</v>
          </cell>
          <cell r="E26">
            <v>-318314</v>
          </cell>
          <cell r="L26">
            <v>-470214</v>
          </cell>
          <cell r="N26">
            <v>-541295</v>
          </cell>
        </row>
        <row r="28">
          <cell r="C28">
            <v>0</v>
          </cell>
          <cell r="E28">
            <v>0</v>
          </cell>
          <cell r="L28">
            <v>0</v>
          </cell>
          <cell r="N28">
            <v>0</v>
          </cell>
        </row>
        <row r="30">
          <cell r="C30">
            <v>-232081</v>
          </cell>
          <cell r="E30">
            <v>-318314</v>
          </cell>
          <cell r="L30">
            <v>-470214</v>
          </cell>
          <cell r="N30">
            <v>-541295</v>
          </cell>
        </row>
        <row r="32">
          <cell r="C32">
            <v>0</v>
          </cell>
          <cell r="E32">
            <v>0</v>
          </cell>
          <cell r="L32">
            <v>0</v>
          </cell>
          <cell r="N32">
            <v>0</v>
          </cell>
        </row>
        <row r="34">
          <cell r="C34">
            <v>-232081</v>
          </cell>
          <cell r="E34">
            <v>-318314</v>
          </cell>
          <cell r="L34">
            <v>-470214</v>
          </cell>
          <cell r="N34">
            <v>-541295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XREF"/>
      <sheetName val="Tickmarks"/>
    </sheetNames>
    <sheetDataSet>
      <sheetData sheetId="0" refreshError="1">
        <row r="2">
          <cell r="H2" t="str">
            <v>AJE</v>
          </cell>
          <cell r="J2" t="str">
            <v>RJE</v>
          </cell>
          <cell r="K2" t="str">
            <v>Final</v>
          </cell>
        </row>
        <row r="4">
          <cell r="H4">
            <v>0</v>
          </cell>
          <cell r="J4">
            <v>0</v>
          </cell>
          <cell r="K4">
            <v>267482</v>
          </cell>
        </row>
        <row r="5">
          <cell r="H5">
            <v>0</v>
          </cell>
          <cell r="J5">
            <v>0</v>
          </cell>
          <cell r="K5">
            <v>155510</v>
          </cell>
        </row>
        <row r="6">
          <cell r="H6">
            <v>0</v>
          </cell>
          <cell r="J6">
            <v>0</v>
          </cell>
          <cell r="K6">
            <v>0</v>
          </cell>
        </row>
        <row r="7">
          <cell r="H7">
            <v>0</v>
          </cell>
          <cell r="J7">
            <v>0</v>
          </cell>
          <cell r="K7">
            <v>0</v>
          </cell>
        </row>
        <row r="8">
          <cell r="H8">
            <v>0</v>
          </cell>
          <cell r="J8">
            <v>0</v>
          </cell>
          <cell r="K8">
            <v>0</v>
          </cell>
        </row>
        <row r="9">
          <cell r="H9">
            <v>0</v>
          </cell>
          <cell r="J9">
            <v>0</v>
          </cell>
          <cell r="K9">
            <v>0</v>
          </cell>
        </row>
        <row r="10">
          <cell r="H10">
            <v>0</v>
          </cell>
          <cell r="J10">
            <v>0</v>
          </cell>
          <cell r="K10">
            <v>422992</v>
          </cell>
        </row>
        <row r="11">
          <cell r="H11">
            <v>0</v>
          </cell>
          <cell r="J11">
            <v>120966</v>
          </cell>
          <cell r="K11">
            <v>0</v>
          </cell>
        </row>
        <row r="12">
          <cell r="H12">
            <v>0</v>
          </cell>
          <cell r="J12">
            <v>0</v>
          </cell>
          <cell r="K12">
            <v>162219</v>
          </cell>
        </row>
        <row r="13">
          <cell r="H13">
            <v>0</v>
          </cell>
          <cell r="J13">
            <v>0</v>
          </cell>
          <cell r="K13">
            <v>162219</v>
          </cell>
        </row>
        <row r="14">
          <cell r="H14">
            <v>0</v>
          </cell>
          <cell r="J14">
            <v>86479</v>
          </cell>
          <cell r="K14">
            <v>0</v>
          </cell>
        </row>
        <row r="15">
          <cell r="H15">
            <v>0</v>
          </cell>
          <cell r="J15">
            <v>0</v>
          </cell>
          <cell r="K15">
            <v>0</v>
          </cell>
        </row>
        <row r="16">
          <cell r="H16">
            <v>0</v>
          </cell>
          <cell r="J16">
            <v>0</v>
          </cell>
          <cell r="K16">
            <v>18000</v>
          </cell>
        </row>
        <row r="17">
          <cell r="H17">
            <v>0</v>
          </cell>
          <cell r="J17">
            <v>0</v>
          </cell>
          <cell r="K17">
            <v>0</v>
          </cell>
        </row>
        <row r="18">
          <cell r="H18">
            <v>0</v>
          </cell>
          <cell r="J18">
            <v>0</v>
          </cell>
          <cell r="K18">
            <v>0</v>
          </cell>
        </row>
        <row r="19">
          <cell r="H19">
            <v>0</v>
          </cell>
          <cell r="J19">
            <v>0</v>
          </cell>
          <cell r="K19">
            <v>493</v>
          </cell>
        </row>
        <row r="20">
          <cell r="H20">
            <v>0</v>
          </cell>
          <cell r="J20">
            <v>0</v>
          </cell>
          <cell r="K20">
            <v>7536</v>
          </cell>
        </row>
        <row r="21">
          <cell r="H21">
            <v>0</v>
          </cell>
          <cell r="J21">
            <v>0</v>
          </cell>
          <cell r="K21">
            <v>0</v>
          </cell>
        </row>
        <row r="22">
          <cell r="H22">
            <v>0</v>
          </cell>
          <cell r="J22">
            <v>0</v>
          </cell>
          <cell r="K22">
            <v>0</v>
          </cell>
        </row>
        <row r="23">
          <cell r="H23">
            <v>0</v>
          </cell>
          <cell r="J23">
            <v>0</v>
          </cell>
          <cell r="K23">
            <v>0</v>
          </cell>
        </row>
        <row r="24">
          <cell r="H24">
            <v>0</v>
          </cell>
          <cell r="J24">
            <v>0</v>
          </cell>
          <cell r="K24">
            <v>1459</v>
          </cell>
        </row>
        <row r="25">
          <cell r="H25">
            <v>0</v>
          </cell>
          <cell r="J25">
            <v>0</v>
          </cell>
          <cell r="K25">
            <v>6511</v>
          </cell>
        </row>
        <row r="26">
          <cell r="H26">
            <v>0</v>
          </cell>
          <cell r="J26">
            <v>0</v>
          </cell>
          <cell r="K26">
            <v>367</v>
          </cell>
        </row>
        <row r="27">
          <cell r="H27">
            <v>0</v>
          </cell>
          <cell r="J27">
            <v>0</v>
          </cell>
          <cell r="K27">
            <v>327</v>
          </cell>
        </row>
        <row r="28">
          <cell r="H28">
            <v>0</v>
          </cell>
          <cell r="J28">
            <v>0</v>
          </cell>
          <cell r="K28">
            <v>43</v>
          </cell>
        </row>
        <row r="29">
          <cell r="H29">
            <v>0</v>
          </cell>
          <cell r="J29">
            <v>0</v>
          </cell>
          <cell r="K29">
            <v>34736</v>
          </cell>
        </row>
        <row r="31">
          <cell r="H31">
            <v>0</v>
          </cell>
          <cell r="J31">
            <v>0</v>
          </cell>
          <cell r="K31">
            <v>16628</v>
          </cell>
        </row>
        <row r="32">
          <cell r="H32">
            <v>0</v>
          </cell>
          <cell r="J32">
            <v>0</v>
          </cell>
          <cell r="K32">
            <v>137767</v>
          </cell>
        </row>
        <row r="33">
          <cell r="H33">
            <v>0</v>
          </cell>
          <cell r="J33">
            <v>0</v>
          </cell>
          <cell r="K33">
            <v>19462</v>
          </cell>
        </row>
        <row r="34">
          <cell r="H34">
            <v>0</v>
          </cell>
          <cell r="J34">
            <v>0</v>
          </cell>
          <cell r="K34">
            <v>3204</v>
          </cell>
        </row>
        <row r="35">
          <cell r="H35">
            <v>0</v>
          </cell>
          <cell r="J35">
            <v>0</v>
          </cell>
          <cell r="K35">
            <v>4035</v>
          </cell>
        </row>
        <row r="36">
          <cell r="H36">
            <v>0</v>
          </cell>
          <cell r="J36">
            <v>0</v>
          </cell>
          <cell r="K36">
            <v>2393</v>
          </cell>
        </row>
        <row r="37">
          <cell r="H37">
            <v>0</v>
          </cell>
          <cell r="J37">
            <v>0</v>
          </cell>
          <cell r="K37">
            <v>3184</v>
          </cell>
        </row>
        <row r="38">
          <cell r="H38">
            <v>0</v>
          </cell>
          <cell r="J38">
            <v>0</v>
          </cell>
          <cell r="K38">
            <v>54120</v>
          </cell>
        </row>
        <row r="39">
          <cell r="H39">
            <v>0</v>
          </cell>
          <cell r="J39">
            <v>0</v>
          </cell>
          <cell r="K39">
            <v>0</v>
          </cell>
        </row>
        <row r="40">
          <cell r="H40">
            <v>0</v>
          </cell>
          <cell r="J40">
            <v>0</v>
          </cell>
          <cell r="K40">
            <v>0</v>
          </cell>
        </row>
        <row r="41">
          <cell r="H41">
            <v>0</v>
          </cell>
          <cell r="J41">
            <v>0</v>
          </cell>
          <cell r="K41">
            <v>0</v>
          </cell>
        </row>
        <row r="42">
          <cell r="H42">
            <v>0</v>
          </cell>
          <cell r="J42">
            <v>0</v>
          </cell>
          <cell r="K42">
            <v>0</v>
          </cell>
        </row>
        <row r="43">
          <cell r="H43">
            <v>0</v>
          </cell>
          <cell r="J43">
            <v>0</v>
          </cell>
          <cell r="K43">
            <v>0</v>
          </cell>
        </row>
        <row r="44">
          <cell r="H44">
            <v>0</v>
          </cell>
          <cell r="J44">
            <v>0</v>
          </cell>
          <cell r="K44">
            <v>0</v>
          </cell>
        </row>
        <row r="45">
          <cell r="H45">
            <v>0</v>
          </cell>
          <cell r="J45">
            <v>0</v>
          </cell>
          <cell r="K45">
            <v>0</v>
          </cell>
        </row>
        <row r="46">
          <cell r="H46">
            <v>0</v>
          </cell>
          <cell r="J46">
            <v>0</v>
          </cell>
          <cell r="K46">
            <v>240793</v>
          </cell>
        </row>
        <row r="48">
          <cell r="H48">
            <v>0</v>
          </cell>
          <cell r="J48">
            <v>0</v>
          </cell>
          <cell r="K48">
            <v>0</v>
          </cell>
        </row>
        <row r="49">
          <cell r="H49">
            <v>0</v>
          </cell>
          <cell r="J49">
            <v>0</v>
          </cell>
          <cell r="K49">
            <v>0</v>
          </cell>
        </row>
        <row r="50">
          <cell r="H50">
            <v>0</v>
          </cell>
          <cell r="J50">
            <v>0</v>
          </cell>
          <cell r="K50">
            <v>0</v>
          </cell>
        </row>
        <row r="51">
          <cell r="H51">
            <v>0</v>
          </cell>
          <cell r="J51">
            <v>0</v>
          </cell>
          <cell r="K51">
            <v>51058</v>
          </cell>
        </row>
        <row r="52">
          <cell r="H52">
            <v>0</v>
          </cell>
          <cell r="J52">
            <v>0</v>
          </cell>
          <cell r="K52">
            <v>0</v>
          </cell>
        </row>
        <row r="53">
          <cell r="H53">
            <v>0</v>
          </cell>
          <cell r="J53">
            <v>0</v>
          </cell>
          <cell r="K53">
            <v>0</v>
          </cell>
        </row>
        <row r="54">
          <cell r="H54">
            <v>0</v>
          </cell>
          <cell r="J54">
            <v>0</v>
          </cell>
          <cell r="K54">
            <v>0</v>
          </cell>
        </row>
        <row r="55">
          <cell r="H55">
            <v>0</v>
          </cell>
          <cell r="J55">
            <v>0</v>
          </cell>
          <cell r="K55">
            <v>0</v>
          </cell>
        </row>
        <row r="56">
          <cell r="H56">
            <v>0</v>
          </cell>
          <cell r="J56">
            <v>0</v>
          </cell>
          <cell r="K56">
            <v>0</v>
          </cell>
        </row>
        <row r="57">
          <cell r="H57">
            <v>0</v>
          </cell>
          <cell r="J57">
            <v>0</v>
          </cell>
          <cell r="K57">
            <v>2513</v>
          </cell>
        </row>
        <row r="58">
          <cell r="H58">
            <v>0</v>
          </cell>
          <cell r="J58">
            <v>0</v>
          </cell>
          <cell r="K58">
            <v>0</v>
          </cell>
        </row>
        <row r="59">
          <cell r="H59">
            <v>0</v>
          </cell>
          <cell r="J59">
            <v>0</v>
          </cell>
          <cell r="K59">
            <v>0</v>
          </cell>
        </row>
        <row r="60">
          <cell r="H60">
            <v>0</v>
          </cell>
          <cell r="J60">
            <v>0</v>
          </cell>
          <cell r="K60">
            <v>0</v>
          </cell>
        </row>
        <row r="61">
          <cell r="H61">
            <v>0</v>
          </cell>
          <cell r="J61">
            <v>0</v>
          </cell>
          <cell r="K61">
            <v>0</v>
          </cell>
        </row>
        <row r="62">
          <cell r="H62">
            <v>0</v>
          </cell>
          <cell r="J62">
            <v>0</v>
          </cell>
          <cell r="K62">
            <v>25269</v>
          </cell>
        </row>
        <row r="63">
          <cell r="H63">
            <v>0</v>
          </cell>
          <cell r="J63">
            <v>0</v>
          </cell>
          <cell r="K63">
            <v>9861</v>
          </cell>
        </row>
        <row r="64">
          <cell r="H64">
            <v>0</v>
          </cell>
          <cell r="J64">
            <v>0</v>
          </cell>
          <cell r="K64">
            <v>0</v>
          </cell>
        </row>
        <row r="65">
          <cell r="H65">
            <v>0</v>
          </cell>
          <cell r="J65">
            <v>0</v>
          </cell>
          <cell r="K65">
            <v>21475</v>
          </cell>
        </row>
        <row r="66">
          <cell r="H66">
            <v>0</v>
          </cell>
          <cell r="J66">
            <v>0</v>
          </cell>
          <cell r="K66">
            <v>39138</v>
          </cell>
        </row>
        <row r="67">
          <cell r="H67">
            <v>0</v>
          </cell>
          <cell r="J67">
            <v>0</v>
          </cell>
          <cell r="K67">
            <v>0</v>
          </cell>
        </row>
        <row r="68">
          <cell r="H68">
            <v>0</v>
          </cell>
          <cell r="J68">
            <v>0</v>
          </cell>
          <cell r="K68">
            <v>120649</v>
          </cell>
        </row>
        <row r="69">
          <cell r="H69">
            <v>0</v>
          </cell>
          <cell r="J69">
            <v>0</v>
          </cell>
          <cell r="K69">
            <v>0</v>
          </cell>
        </row>
        <row r="70">
          <cell r="H70">
            <v>0</v>
          </cell>
          <cell r="J70">
            <v>0</v>
          </cell>
          <cell r="K70">
            <v>196</v>
          </cell>
        </row>
        <row r="71">
          <cell r="H71">
            <v>0</v>
          </cell>
          <cell r="J71">
            <v>0</v>
          </cell>
          <cell r="K71">
            <v>0</v>
          </cell>
        </row>
        <row r="72">
          <cell r="H72">
            <v>0</v>
          </cell>
          <cell r="J72">
            <v>0</v>
          </cell>
          <cell r="K72">
            <v>0</v>
          </cell>
        </row>
        <row r="73">
          <cell r="H73">
            <v>0</v>
          </cell>
          <cell r="J73">
            <v>0</v>
          </cell>
          <cell r="K73">
            <v>0</v>
          </cell>
        </row>
        <row r="74">
          <cell r="H74">
            <v>0</v>
          </cell>
          <cell r="J74">
            <v>0</v>
          </cell>
          <cell r="K74">
            <v>2000</v>
          </cell>
        </row>
        <row r="75">
          <cell r="H75">
            <v>0</v>
          </cell>
          <cell r="J75">
            <v>0</v>
          </cell>
          <cell r="K75">
            <v>0</v>
          </cell>
        </row>
        <row r="76">
          <cell r="H76">
            <v>0</v>
          </cell>
          <cell r="J76">
            <v>0</v>
          </cell>
          <cell r="K76">
            <v>0</v>
          </cell>
        </row>
        <row r="77">
          <cell r="H77">
            <v>0</v>
          </cell>
          <cell r="J77">
            <v>0</v>
          </cell>
          <cell r="K77">
            <v>0</v>
          </cell>
        </row>
        <row r="78">
          <cell r="H78">
            <v>0</v>
          </cell>
          <cell r="J78">
            <v>0</v>
          </cell>
          <cell r="K78">
            <v>878</v>
          </cell>
        </row>
        <row r="79">
          <cell r="H79">
            <v>0</v>
          </cell>
          <cell r="J79">
            <v>0</v>
          </cell>
          <cell r="K79">
            <v>0</v>
          </cell>
        </row>
        <row r="80">
          <cell r="H80">
            <v>0</v>
          </cell>
          <cell r="J80">
            <v>0</v>
          </cell>
          <cell r="K80">
            <v>90</v>
          </cell>
        </row>
        <row r="81">
          <cell r="H81">
            <v>0</v>
          </cell>
          <cell r="J81">
            <v>0</v>
          </cell>
          <cell r="K81">
            <v>0</v>
          </cell>
        </row>
        <row r="82">
          <cell r="H82">
            <v>0</v>
          </cell>
          <cell r="J82">
            <v>0</v>
          </cell>
          <cell r="K82">
            <v>0</v>
          </cell>
        </row>
        <row r="83">
          <cell r="H83">
            <v>0</v>
          </cell>
          <cell r="J83">
            <v>0</v>
          </cell>
          <cell r="K83">
            <v>0</v>
          </cell>
        </row>
        <row r="84">
          <cell r="H84">
            <v>0</v>
          </cell>
          <cell r="J84">
            <v>0</v>
          </cell>
          <cell r="K84">
            <v>0</v>
          </cell>
        </row>
        <row r="85">
          <cell r="H85">
            <v>0</v>
          </cell>
          <cell r="J85">
            <v>0</v>
          </cell>
          <cell r="K85">
            <v>0</v>
          </cell>
        </row>
        <row r="86">
          <cell r="H86">
            <v>0</v>
          </cell>
          <cell r="J86">
            <v>0</v>
          </cell>
          <cell r="K86">
            <v>357</v>
          </cell>
        </row>
        <row r="87">
          <cell r="H87">
            <v>0</v>
          </cell>
          <cell r="J87">
            <v>0</v>
          </cell>
          <cell r="K87">
            <v>156574</v>
          </cell>
        </row>
        <row r="88">
          <cell r="H88">
            <v>0</v>
          </cell>
          <cell r="J88">
            <v>0</v>
          </cell>
          <cell r="K88">
            <v>0</v>
          </cell>
        </row>
        <row r="89">
          <cell r="H89">
            <v>0</v>
          </cell>
          <cell r="J89">
            <v>0</v>
          </cell>
          <cell r="K89">
            <v>0</v>
          </cell>
        </row>
        <row r="90">
          <cell r="H90">
            <v>0</v>
          </cell>
          <cell r="J90">
            <v>0</v>
          </cell>
          <cell r="K90">
            <v>0</v>
          </cell>
        </row>
        <row r="91">
          <cell r="H91">
            <v>0</v>
          </cell>
          <cell r="J91">
            <v>0</v>
          </cell>
          <cell r="K91">
            <v>0</v>
          </cell>
        </row>
        <row r="92">
          <cell r="H92">
            <v>0</v>
          </cell>
          <cell r="J92">
            <v>0</v>
          </cell>
          <cell r="K92">
            <v>0</v>
          </cell>
        </row>
        <row r="93">
          <cell r="H93">
            <v>0</v>
          </cell>
          <cell r="J93">
            <v>0</v>
          </cell>
          <cell r="K93">
            <v>0</v>
          </cell>
        </row>
        <row r="94">
          <cell r="H94">
            <v>0</v>
          </cell>
          <cell r="J94">
            <v>0</v>
          </cell>
          <cell r="K94">
            <v>0</v>
          </cell>
        </row>
        <row r="95">
          <cell r="H95">
            <v>0</v>
          </cell>
          <cell r="J95">
            <v>0</v>
          </cell>
          <cell r="K95">
            <v>0</v>
          </cell>
        </row>
      </sheetData>
      <sheetData sheetId="1">
        <row r="1">
          <cell r="K1" t="str">
            <v>31-Dic-05</v>
          </cell>
        </row>
      </sheetData>
      <sheetData sheetId="2"/>
      <sheetData sheetId="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Sample Data"/>
      <sheetName val="CMA_Calculations"/>
      <sheetName val="CMA_Selections"/>
      <sheetName val="Tickmarks"/>
      <sheetName val="CMA_SampleDesign"/>
      <sheetName val="DialogInsert"/>
      <sheetName val="Sheet1"/>
    </sheetNames>
    <sheetDataSet>
      <sheetData sheetId="0" refreshError="1"/>
      <sheetData sheetId="1" refreshError="1"/>
      <sheetData sheetId="2">
        <row r="10">
          <cell r="F10">
            <v>0</v>
          </cell>
          <cell r="H10" t="e">
            <v>#DIV/0!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ra 4"/>
      <sheetName val="Nota EEFF"/>
      <sheetName val="Mvto. Costo y Depreciación PPC"/>
      <sheetName val="Valuación Muebles"/>
      <sheetName val="Prueba  Recálc Deprec. Final"/>
      <sheetName val="Càlc Depre 30-Sept-02"/>
      <sheetName val="Detalle de Compras"/>
      <sheetName val="Compras AF Octub-Diciemb"/>
      <sheetName val="MMA Adic"/>
      <sheetName val="XREF"/>
      <sheetName val="Tickmarks"/>
      <sheetName val="Dep plazo Anex 20"/>
      <sheetName val="Mov. Costo "/>
      <sheetName val="Mov.  Depreciación"/>
      <sheetName val="Cálculo Global Dep."/>
      <sheetName val="Detalle Adic."/>
      <sheetName val="MMA Adiciones"/>
      <sheetName val="An. Adic. Prel.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>
        <row r="3">
          <cell r="A3">
            <v>-2926651.33</v>
          </cell>
          <cell r="B3">
            <v>-2926651.33</v>
          </cell>
          <cell r="D3" t="str">
            <v>Hoja Resumen de Activos fijos</v>
          </cell>
          <cell r="E3" t="str">
            <v>!</v>
          </cell>
        </row>
      </sheetData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{ppc1}"/>
      <sheetName val="Vacaciones"/>
      <sheetName val="M.Benef. Soc."/>
      <sheetName val="M. F.R.{ppc2}"/>
      <sheetName val="Sueldos"/>
      <sheetName val="Otros sueldos"/>
      <sheetName val="Cálculo del límite"/>
      <sheetName val="Tabla del Limite"/>
      <sheetName val="Tickmarks"/>
      <sheetName val="X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>
            <v>-76052</v>
          </cell>
          <cell r="B2">
            <v>-76052</v>
          </cell>
          <cell r="D2" t="str">
            <v>Resumen de otras cuentas por pagar</v>
          </cell>
          <cell r="E2" t="str">
            <v>!</v>
          </cell>
        </row>
        <row r="3">
          <cell r="A3">
            <v>4022855</v>
          </cell>
          <cell r="B3">
            <v>4022855</v>
          </cell>
          <cell r="D3" t="str">
            <v>Resumen de Gastos de Administración</v>
          </cell>
          <cell r="E3" t="str">
            <v>!</v>
          </cell>
        </row>
        <row r="4">
          <cell r="A4">
            <v>1202441</v>
          </cell>
          <cell r="B4">
            <v>1202441</v>
          </cell>
          <cell r="D4" t="str">
            <v>Resumen de Gastos de Administración</v>
          </cell>
          <cell r="E4" t="str">
            <v>!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Revisión conc. bancarias"/>
      <sheetName val="Análisis partidas conciliatoria"/>
      <sheetName val="Inversiones temporales"/>
      <sheetName val="Análisis partidas que restan"/>
      <sheetName val="Prueba de corte ok"/>
      <sheetName val="Arqueo de cheques "/>
      <sheetName val="XREF"/>
      <sheetName val="Tickmarks"/>
      <sheetName val="Resumen de Conciliaciones"/>
      <sheetName val="Análisis de Part. Conciliat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a los Estados Financieros"/>
      <sheetName val="Costo+Reexp"/>
      <sheetName val="Amort.Costo+Reexp"/>
      <sheetName val="Cálculo Amort."/>
      <sheetName val="Cálculo Reexp.Costo"/>
      <sheetName val="Cálculo Reexp Amort."/>
      <sheetName val="Cálculo Amort. (fec.siemb.)"/>
      <sheetName val="Cálculo Reexp Amort. (fech.sie)"/>
      <sheetName val="Mov. Plant.Proceso"/>
      <sheetName val="CorrMonPlantProc"/>
      <sheetName val="selec.adic.plant.proc"/>
      <sheetName val="Anál.Ad.plant.proc."/>
      <sheetName val="Detalle de ptas.adquir."/>
      <sheetName val="distrib.ctos."/>
      <sheetName val="Tildes"/>
      <sheetName val="XREF"/>
      <sheetName val="Hoja2"/>
      <sheetName val="detalle M.O"/>
      <sheetName val="Costo_Reexp"/>
      <sheetName val="Nota"/>
      <sheetName val="Detalle"/>
      <sheetName val=" Costo"/>
      <sheetName val="Amortización"/>
      <sheetName val="MMA "/>
      <sheetName val="Tickmarks"/>
      <sheetName val="Mov.Costo"/>
      <sheetName val="Cál."/>
      <sheetName val="MMA"/>
      <sheetName val="APT Adics."/>
      <sheetName val="Límite"/>
      <sheetName val="Valuación"/>
      <sheetName val="Costo-Pivot"/>
      <sheetName val="Mov. Amort."/>
      <sheetName val="Cal.Amort."/>
      <sheetName val="Adiciones"/>
      <sheetName val="Costo"/>
      <sheetName val="Amort. Acumulada"/>
      <sheetName val="Cal. Amort."/>
      <sheetName val="Análisis"/>
      <sheetName val="Ventas"/>
      <sheetName val="Análisis de Adic."/>
      <sheetName val="Análisis Importaciones"/>
      <sheetName val="Calc. Límite"/>
      <sheetName val="Sheet1"/>
      <sheetName val="Récalculo Amortización"/>
      <sheetName val="Mov. Costo"/>
      <sheetName val="Mov. Amortiz"/>
      <sheetName val="Anál Adi"/>
      <sheetName val="Notas"/>
      <sheetName val="Anali. Adiciones"/>
      <sheetName val="Amort. Acumulada (2)"/>
      <sheetName val="#REF"/>
      <sheetName val="Links"/>
      <sheetName val="Lead"/>
      <sheetName val="Proveed. Loc.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."/>
      <sheetName val="Detalle"/>
      <sheetName val="Balance Gral."/>
      <sheetName val="Est. Result."/>
      <sheetName val="Bancos"/>
      <sheetName val="Partidas Concil."/>
      <sheetName val="Activo Fijo"/>
      <sheetName val="Ejecución gastos"/>
      <sheetName val="APT"/>
      <sheetName val="Sueldos"/>
      <sheetName val="Transferencias"/>
      <sheetName val="Viáticos"/>
      <sheetName val="Secuencia"/>
      <sheetName val="XREF"/>
      <sheetName val="Tickmark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g.Act.Fijos (Final)"/>
      <sheetName val="Seg.Act.Fijos (Prel.)"/>
      <sheetName val="Retención Fuente"/>
      <sheetName val="XREF"/>
      <sheetName val="Tickmarks"/>
      <sheetName val="Cálculo de dif. en cambio"/>
      <sheetName val="Cobertura de Seguros Prel."/>
      <sheetName val="Gastos Anticipados"/>
      <sheetName val="Detalle "/>
      <sheetName val="Detalle"/>
      <sheetName val="Cuentas por Liquidar"/>
      <sheetName val="Anticipo Imp. a la Renta"/>
      <sheetName val="Seguros "/>
      <sheetName val="Límites"/>
      <sheetName val="Relacionadas Final"/>
      <sheetName val="Relacionadas"/>
      <sheetName val="Detalle Servicios Anticipados"/>
      <sheetName val="Seguros"/>
      <sheetName val="Nota EEFF"/>
      <sheetName val="Retenciones"/>
      <sheetName val="Ant. Prov"/>
      <sheetName val="Garantías"/>
      <sheetName val="Ant. Inst. Of"/>
      <sheetName val="Resumen"/>
      <sheetName val="Procedimientos"/>
      <sheetName val="Proyecto PAPA"/>
      <sheetName val="Selección PAPA"/>
      <sheetName val="Proyecto PAP"/>
      <sheetName val="Selección PAP"/>
      <sheetName val="Reembolsos Funvida"/>
      <sheetName val="Intercompany"/>
      <sheetName val="Préstamos empleados"/>
      <sheetName val="Nacional proveedores "/>
      <sheetName val="Anticipo empleados"/>
      <sheetName val="Otras cxc"/>
      <sheetName val="Consumo prov bod"/>
      <sheetName val="Prestamos_empleados (Prel)"/>
      <sheetName val="Anticipo_empleados (Prel)"/>
      <sheetName val="otras_CxC_empleados (Prel)"/>
      <sheetName val="Funvida(Prel)"/>
      <sheetName val="#REF"/>
      <sheetName val="Prestamos_empleados"/>
      <sheetName val="Anticipo_empleados"/>
      <sheetName val="Funvida"/>
      <sheetName val="otras_CxC_empleados"/>
      <sheetName val="Sheet1"/>
      <sheetName val="Anticipos compras especiales"/>
      <sheetName val="Ariendos"/>
      <sheetName val="CXC Fundación"/>
      <sheetName val="Prv.Bienes y Serivicios"/>
      <sheetName val="Base Prov.Bien &amp; Ser"/>
      <sheetName val="Anticipos &gt;300 dias"/>
      <sheetName val="Det.Prést.Empleados"/>
      <sheetName val="Anticipos"/>
      <sheetName val="Detalle de IVA"/>
      <sheetName val="Seguros (Dic05)"/>
      <sheetName val="Seguros (Ago05)"/>
      <sheetName val="Gar.Aduan.Dic'05"/>
      <sheetName val="Com. Garant. Aduan. (Ago05)"/>
      <sheetName val="Licencias"/>
      <sheetName val="APT Licencias"/>
      <sheetName val="Anticipos a proveedores"/>
      <sheetName val="Limites"/>
      <sheetName val="Notas EEFF"/>
      <sheetName val="Ant.Proveed."/>
      <sheetName val="Análisis Anticipos"/>
      <sheetName val="Analisis - APT"/>
      <sheetName val="Garantías Final"/>
      <sheetName val="Reclamaciones"/>
      <sheetName val="Distribuidores"/>
      <sheetName val="Ref. FV - Colombia"/>
      <sheetName val="Ref. FV - Perú"/>
      <sheetName val="Anticipo IR"/>
      <sheetName val="Otros G diferidos Final"/>
      <sheetName val="Otros G diferidos"/>
      <sheetName val="Relacionadas Preli"/>
      <sheetName val="Impuesto anticipado"/>
      <sheetName val="Selec. APT"/>
      <sheetName val="Ana.APT"/>
      <sheetName val="Ant. Func. y Empl."/>
      <sheetName val="Funcionarios y empleados"/>
      <sheetName val="Anticipo Proveedores"/>
      <sheetName val="Notas"/>
      <sheetName val="Destino Tierra"/>
      <sheetName val="Impuestos"/>
      <sheetName val="Varios deudores"/>
      <sheetName val="CxC Unibanco "/>
      <sheetName val="CXC Seguros"/>
      <sheetName val="Otras Cuentas"/>
      <sheetName val="Gtos. Anticip."/>
      <sheetName val="Arriendo Anticp."/>
      <sheetName val="Amortizacion Gastos"/>
      <sheetName val="CXC Juzgado"/>
      <sheetName val="Otas CXC"/>
      <sheetName val="Emplead. x C."/>
      <sheetName val="Amort. Gtos."/>
      <sheetName val="x Unibanco "/>
      <sheetName val="CXC Relacionadas"/>
      <sheetName val="DARMAIN"/>
      <sheetName val="Fullmuebles"/>
      <sheetName val="CXC Guatemala"/>
      <sheetName val="NETBANK"/>
      <sheetName val="CXC Movistar"/>
      <sheetName val="Crédito Tributario"/>
      <sheetName val="Deudores Marcas"/>
      <sheetName val="Empleados"/>
      <sheetName val="Otras Cuentas por Cobrar"/>
    </sheetNames>
    <sheetDataSet>
      <sheetData sheetId="0" refreshError="1"/>
      <sheetData sheetId="1"/>
      <sheetData sheetId="2"/>
      <sheetData sheetId="3">
        <row r="2">
          <cell r="A2">
            <v>93954.880000000005</v>
          </cell>
        </row>
      </sheetData>
      <sheetData sheetId="4"/>
      <sheetData sheetId="5" refreshError="1"/>
      <sheetData sheetId="6">
        <row r="1">
          <cell r="A1" t="str">
            <v xml:space="preserve">Análisis de Cobertura de Seguros </v>
          </cell>
        </row>
      </sheetData>
      <sheetData sheetId="7">
        <row r="2">
          <cell r="A2">
            <v>93954.880000000005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>
        <row r="1">
          <cell r="A1" t="str">
            <v xml:space="preserve">Análisis de Cobertura de Seguros </v>
          </cell>
        </row>
      </sheetData>
      <sheetData sheetId="18" refreshError="1"/>
      <sheetData sheetId="19" refreshError="1"/>
      <sheetData sheetId="20">
        <row r="2">
          <cell r="A2">
            <v>222292</v>
          </cell>
        </row>
      </sheetData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Iniciales"/>
      <sheetName val="ER"/>
      <sheetName val="Resultados"/>
      <sheetName val="Arriendos"/>
      <sheetName val="Seguros"/>
    </sheetNames>
    <sheetDataSet>
      <sheetData sheetId="0" refreshError="1">
        <row r="12">
          <cell r="C12">
            <v>1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Detalle Gtos."/>
      <sheetName val="Detalle de Sueldos y Salarios"/>
      <sheetName val="MMAgastos Final"/>
      <sheetName val="APT Gastos"/>
      <sheetName val="Exportaciones"/>
      <sheetName val="Trabajo prestado"/>
      <sheetName val="Límite"/>
      <sheetName val="Tabla del Limite"/>
      <sheetName val="XREF"/>
      <sheetName val="Tickmarks"/>
    </sheetNames>
    <sheetDataSet>
      <sheetData sheetId="0" refreshError="1"/>
      <sheetData sheetId="1">
        <row r="60">
          <cell r="J60">
            <v>435461.71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cos"/>
      <sheetName val="Inversiones Vigentes"/>
      <sheetName val="Inversiones Vencidas"/>
      <sheetName val="Anexo1"/>
      <sheetName val="Anexo 1.1"/>
      <sheetName val="Anexo 1.2"/>
      <sheetName val="Anexo 2"/>
      <sheetName val="Anexo 3"/>
      <sheetName val="Anexo 4"/>
      <sheetName val="Anexo 5"/>
      <sheetName val="Anexo 6"/>
      <sheetName val="Anexo 6.1"/>
      <sheetName val="Anexo 7"/>
      <sheetName val="Anexo 9"/>
      <sheetName val="Anexo 10"/>
      <sheetName val="Anexo 8"/>
      <sheetName val="Anexo 11"/>
      <sheetName val="Anexo 12"/>
      <sheetName val="Anexo 13 "/>
      <sheetName val="Anexo 14"/>
      <sheetName val="Anexo 15"/>
      <sheetName val="Anexo 16"/>
      <sheetName val="Patrimonio"/>
      <sheetName val="Anexo 17"/>
      <sheetName val="Anexo 17.1"/>
      <sheetName val="Anexo 17.1_2"/>
      <sheetName val="Anexo 17.2"/>
      <sheetName val="Anexo 18"/>
      <sheetName val="Anexo 19 "/>
      <sheetName val="Anexo 20.2"/>
      <sheetName val="Anexo 20"/>
      <sheetName val="Anexo 20.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Tickmarks"/>
    </sheetNames>
    <sheetDataSet>
      <sheetData sheetId="0">
        <row r="2">
          <cell r="I2" t="str">
            <v>Adjusted</v>
          </cell>
        </row>
        <row r="4">
          <cell r="I4">
            <v>358843</v>
          </cell>
        </row>
        <row r="5">
          <cell r="I5">
            <v>46909</v>
          </cell>
        </row>
        <row r="6">
          <cell r="I6">
            <v>91640</v>
          </cell>
        </row>
        <row r="7">
          <cell r="I7">
            <v>3989</v>
          </cell>
        </row>
        <row r="8">
          <cell r="I8">
            <v>32173</v>
          </cell>
        </row>
        <row r="9">
          <cell r="I9">
            <v>1200</v>
          </cell>
        </row>
        <row r="10">
          <cell r="I10">
            <v>300</v>
          </cell>
        </row>
        <row r="11">
          <cell r="I11">
            <v>6844</v>
          </cell>
        </row>
        <row r="12">
          <cell r="I12">
            <v>27057</v>
          </cell>
        </row>
        <row r="13">
          <cell r="I13">
            <v>32173</v>
          </cell>
        </row>
        <row r="14">
          <cell r="I14">
            <v>23452</v>
          </cell>
        </row>
        <row r="15">
          <cell r="I15">
            <v>172</v>
          </cell>
        </row>
        <row r="16">
          <cell r="I16">
            <v>129420</v>
          </cell>
        </row>
        <row r="17">
          <cell r="I17">
            <v>2088</v>
          </cell>
        </row>
        <row r="18">
          <cell r="I18">
            <v>504</v>
          </cell>
        </row>
        <row r="19">
          <cell r="I19">
            <v>2265</v>
          </cell>
        </row>
        <row r="20">
          <cell r="I20">
            <v>81000</v>
          </cell>
        </row>
        <row r="21">
          <cell r="I21">
            <v>54000</v>
          </cell>
        </row>
        <row r="22">
          <cell r="I22">
            <v>12793</v>
          </cell>
        </row>
        <row r="23">
          <cell r="I23">
            <v>705</v>
          </cell>
        </row>
        <row r="24">
          <cell r="I24">
            <v>33014</v>
          </cell>
        </row>
        <row r="25">
          <cell r="I25">
            <v>238100</v>
          </cell>
        </row>
        <row r="26">
          <cell r="I26">
            <v>188600</v>
          </cell>
        </row>
        <row r="27">
          <cell r="I27">
            <v>77693</v>
          </cell>
        </row>
        <row r="28">
          <cell r="I28">
            <v>611989</v>
          </cell>
        </row>
        <row r="29">
          <cell r="I29">
            <v>77708</v>
          </cell>
        </row>
        <row r="30">
          <cell r="I30">
            <v>72547</v>
          </cell>
        </row>
        <row r="31">
          <cell r="I31">
            <v>26696</v>
          </cell>
        </row>
        <row r="32">
          <cell r="I32">
            <v>53201</v>
          </cell>
        </row>
        <row r="33">
          <cell r="I33">
            <v>8231</v>
          </cell>
        </row>
        <row r="34">
          <cell r="I34">
            <v>1083</v>
          </cell>
        </row>
        <row r="35">
          <cell r="I35">
            <v>25008</v>
          </cell>
        </row>
        <row r="36">
          <cell r="I36">
            <v>32696</v>
          </cell>
        </row>
        <row r="37">
          <cell r="I37">
            <v>52210</v>
          </cell>
        </row>
        <row r="38">
          <cell r="I38">
            <v>35369</v>
          </cell>
        </row>
        <row r="39">
          <cell r="I39">
            <v>196</v>
          </cell>
        </row>
        <row r="40">
          <cell r="I40">
            <v>199164</v>
          </cell>
        </row>
        <row r="41">
          <cell r="I41">
            <v>7105</v>
          </cell>
        </row>
        <row r="42">
          <cell r="I42">
            <v>1995</v>
          </cell>
        </row>
        <row r="43">
          <cell r="I43">
            <v>9130</v>
          </cell>
        </row>
        <row r="44">
          <cell r="I44">
            <v>25200</v>
          </cell>
        </row>
        <row r="45">
          <cell r="I45">
            <v>9609</v>
          </cell>
        </row>
        <row r="46">
          <cell r="I46">
            <v>52919</v>
          </cell>
        </row>
        <row r="47">
          <cell r="I47">
            <v>96</v>
          </cell>
        </row>
        <row r="48">
          <cell r="I48">
            <v>2813</v>
          </cell>
        </row>
        <row r="49">
          <cell r="I49">
            <v>205596</v>
          </cell>
        </row>
        <row r="50">
          <cell r="I50">
            <v>41000</v>
          </cell>
        </row>
        <row r="51">
          <cell r="I51">
            <v>67460</v>
          </cell>
        </row>
        <row r="52">
          <cell r="I52">
            <v>0</v>
          </cell>
        </row>
        <row r="53">
          <cell r="I53">
            <v>0</v>
          </cell>
        </row>
        <row r="54">
          <cell r="I54">
            <v>0</v>
          </cell>
        </row>
        <row r="55">
          <cell r="I55">
            <v>0</v>
          </cell>
        </row>
        <row r="56">
          <cell r="I56">
            <v>0</v>
          </cell>
        </row>
        <row r="57">
          <cell r="I57">
            <v>0</v>
          </cell>
        </row>
        <row r="58">
          <cell r="I58">
            <v>0</v>
          </cell>
        </row>
        <row r="59">
          <cell r="I59">
            <v>0</v>
          </cell>
        </row>
        <row r="60">
          <cell r="I60">
            <v>0</v>
          </cell>
        </row>
        <row r="61">
          <cell r="I61">
            <v>0</v>
          </cell>
        </row>
        <row r="62">
          <cell r="I62">
            <v>0</v>
          </cell>
        </row>
        <row r="63">
          <cell r="I63">
            <v>0</v>
          </cell>
        </row>
        <row r="64">
          <cell r="I64">
            <v>0</v>
          </cell>
        </row>
        <row r="65">
          <cell r="I65">
            <v>0</v>
          </cell>
        </row>
        <row r="66">
          <cell r="I66">
            <v>0</v>
          </cell>
        </row>
        <row r="67">
          <cell r="I67">
            <v>0</v>
          </cell>
        </row>
        <row r="68">
          <cell r="I68">
            <v>0</v>
          </cell>
        </row>
        <row r="69">
          <cell r="I69">
            <v>0</v>
          </cell>
        </row>
        <row r="70">
          <cell r="I70">
            <v>0</v>
          </cell>
        </row>
        <row r="71">
          <cell r="I71">
            <v>0</v>
          </cell>
        </row>
        <row r="72">
          <cell r="I72">
            <v>0</v>
          </cell>
        </row>
        <row r="73">
          <cell r="I73">
            <v>0</v>
          </cell>
        </row>
        <row r="74">
          <cell r="I74">
            <v>139537</v>
          </cell>
        </row>
        <row r="75">
          <cell r="I75">
            <v>244313</v>
          </cell>
        </row>
        <row r="76">
          <cell r="I76">
            <v>131024</v>
          </cell>
        </row>
        <row r="77">
          <cell r="I77">
            <v>26791</v>
          </cell>
        </row>
        <row r="78">
          <cell r="I78">
            <v>85545</v>
          </cell>
        </row>
        <row r="79">
          <cell r="I79">
            <v>135682</v>
          </cell>
        </row>
        <row r="80">
          <cell r="I80">
            <v>71167</v>
          </cell>
        </row>
        <row r="81">
          <cell r="I81">
            <v>83375</v>
          </cell>
        </row>
        <row r="82">
          <cell r="I82">
            <v>1744</v>
          </cell>
        </row>
        <row r="83">
          <cell r="I83">
            <v>83483</v>
          </cell>
        </row>
        <row r="84">
          <cell r="I84">
            <v>67902</v>
          </cell>
        </row>
        <row r="85">
          <cell r="I85">
            <v>134966</v>
          </cell>
        </row>
        <row r="86">
          <cell r="I86">
            <v>5076</v>
          </cell>
        </row>
        <row r="87">
          <cell r="I87">
            <v>5557</v>
          </cell>
        </row>
        <row r="88">
          <cell r="I88">
            <v>15979</v>
          </cell>
        </row>
        <row r="89">
          <cell r="I89">
            <v>117517</v>
          </cell>
        </row>
        <row r="90">
          <cell r="I90">
            <v>4309</v>
          </cell>
        </row>
        <row r="91">
          <cell r="I91">
            <v>0</v>
          </cell>
        </row>
        <row r="92">
          <cell r="I92">
            <v>212916</v>
          </cell>
        </row>
        <row r="93">
          <cell r="I93">
            <v>102400</v>
          </cell>
        </row>
        <row r="94">
          <cell r="I94">
            <v>76238</v>
          </cell>
        </row>
        <row r="95">
          <cell r="I95">
            <v>20563</v>
          </cell>
        </row>
        <row r="96">
          <cell r="I96">
            <v>66620</v>
          </cell>
        </row>
        <row r="97">
          <cell r="I97">
            <v>28283</v>
          </cell>
        </row>
        <row r="98">
          <cell r="I98">
            <v>27320</v>
          </cell>
        </row>
        <row r="99">
          <cell r="I99">
            <v>6550</v>
          </cell>
        </row>
        <row r="100">
          <cell r="I100">
            <v>2355</v>
          </cell>
        </row>
        <row r="101">
          <cell r="I101">
            <v>1453</v>
          </cell>
        </row>
        <row r="102">
          <cell r="I102">
            <v>0</v>
          </cell>
        </row>
        <row r="103">
          <cell r="I103">
            <v>17375</v>
          </cell>
        </row>
        <row r="104">
          <cell r="I104">
            <v>110914</v>
          </cell>
        </row>
        <row r="105">
          <cell r="I105">
            <v>20580</v>
          </cell>
        </row>
        <row r="106">
          <cell r="I106">
            <v>21697</v>
          </cell>
        </row>
        <row r="107">
          <cell r="I107">
            <v>5133186</v>
          </cell>
        </row>
        <row r="109">
          <cell r="I109">
            <v>342266</v>
          </cell>
        </row>
        <row r="110">
          <cell r="I110">
            <v>46109</v>
          </cell>
        </row>
        <row r="111">
          <cell r="I111">
            <v>91922</v>
          </cell>
        </row>
        <row r="112">
          <cell r="I112">
            <v>6009</v>
          </cell>
        </row>
        <row r="113">
          <cell r="I113">
            <v>33063</v>
          </cell>
        </row>
        <row r="114">
          <cell r="I114">
            <v>1636</v>
          </cell>
        </row>
        <row r="115">
          <cell r="I115">
            <v>409</v>
          </cell>
        </row>
        <row r="116">
          <cell r="I116">
            <v>9585</v>
          </cell>
        </row>
        <row r="117">
          <cell r="I117">
            <v>19644</v>
          </cell>
        </row>
        <row r="118">
          <cell r="I118">
            <v>30476</v>
          </cell>
        </row>
        <row r="119">
          <cell r="I119">
            <v>23929</v>
          </cell>
        </row>
        <row r="120">
          <cell r="I120">
            <v>48</v>
          </cell>
        </row>
        <row r="121">
          <cell r="I121">
            <v>188090</v>
          </cell>
        </row>
        <row r="122">
          <cell r="I122">
            <v>2929</v>
          </cell>
        </row>
        <row r="123">
          <cell r="I123">
            <v>707</v>
          </cell>
        </row>
        <row r="124">
          <cell r="I124">
            <v>2955</v>
          </cell>
        </row>
        <row r="125">
          <cell r="I125">
            <v>20700</v>
          </cell>
        </row>
        <row r="126">
          <cell r="I126">
            <v>0</v>
          </cell>
        </row>
        <row r="127">
          <cell r="I127">
            <v>27829</v>
          </cell>
        </row>
        <row r="128">
          <cell r="I128">
            <v>1246</v>
          </cell>
        </row>
        <row r="129">
          <cell r="I129">
            <v>17569</v>
          </cell>
        </row>
        <row r="130">
          <cell r="I130">
            <v>215003</v>
          </cell>
        </row>
        <row r="131">
          <cell r="I131">
            <v>63500</v>
          </cell>
        </row>
        <row r="132">
          <cell r="I132">
            <v>49471</v>
          </cell>
        </row>
        <row r="133">
          <cell r="I133">
            <v>18820</v>
          </cell>
        </row>
        <row r="134">
          <cell r="I134">
            <v>37294</v>
          </cell>
        </row>
        <row r="135">
          <cell r="I135">
            <v>359802</v>
          </cell>
        </row>
        <row r="136">
          <cell r="I136">
            <v>67403</v>
          </cell>
        </row>
        <row r="137">
          <cell r="I137">
            <v>39855</v>
          </cell>
        </row>
        <row r="138">
          <cell r="I138">
            <v>182289</v>
          </cell>
        </row>
        <row r="139">
          <cell r="I139">
            <v>92115</v>
          </cell>
        </row>
        <row r="140">
          <cell r="I140">
            <v>3575</v>
          </cell>
        </row>
        <row r="141">
          <cell r="I141">
            <v>0</v>
          </cell>
        </row>
        <row r="142">
          <cell r="I142">
            <v>0</v>
          </cell>
        </row>
        <row r="143">
          <cell r="I143">
            <v>0</v>
          </cell>
        </row>
        <row r="144">
          <cell r="I144">
            <v>0</v>
          </cell>
        </row>
        <row r="145">
          <cell r="I145">
            <v>0</v>
          </cell>
        </row>
        <row r="146">
          <cell r="I146">
            <v>0</v>
          </cell>
        </row>
        <row r="147">
          <cell r="I147">
            <v>0</v>
          </cell>
        </row>
        <row r="148">
          <cell r="I148">
            <v>0</v>
          </cell>
        </row>
        <row r="149">
          <cell r="I149">
            <v>0</v>
          </cell>
        </row>
        <row r="150">
          <cell r="I150">
            <v>0</v>
          </cell>
        </row>
        <row r="151">
          <cell r="I151">
            <v>19175</v>
          </cell>
        </row>
        <row r="152">
          <cell r="I152">
            <v>54895</v>
          </cell>
        </row>
        <row r="153">
          <cell r="I153">
            <v>8047</v>
          </cell>
        </row>
        <row r="154">
          <cell r="I154">
            <v>234934</v>
          </cell>
        </row>
        <row r="155">
          <cell r="I155">
            <v>20729</v>
          </cell>
        </row>
        <row r="156">
          <cell r="I156">
            <v>221</v>
          </cell>
        </row>
        <row r="157">
          <cell r="I157">
            <v>22835</v>
          </cell>
        </row>
        <row r="158">
          <cell r="I158">
            <v>10789</v>
          </cell>
        </row>
        <row r="159">
          <cell r="I159">
            <v>2087</v>
          </cell>
        </row>
        <row r="160">
          <cell r="I160">
            <v>155246</v>
          </cell>
        </row>
        <row r="161">
          <cell r="I161">
            <v>0</v>
          </cell>
        </row>
        <row r="162">
          <cell r="I162">
            <v>0</v>
          </cell>
        </row>
        <row r="163">
          <cell r="I163">
            <v>0</v>
          </cell>
        </row>
        <row r="164">
          <cell r="I164">
            <v>32195</v>
          </cell>
        </row>
        <row r="165">
          <cell r="I165">
            <v>57345</v>
          </cell>
        </row>
        <row r="166">
          <cell r="I166">
            <v>55045</v>
          </cell>
        </row>
        <row r="167">
          <cell r="I167">
            <v>32045</v>
          </cell>
        </row>
        <row r="168">
          <cell r="I168">
            <v>0</v>
          </cell>
        </row>
        <row r="169">
          <cell r="I169">
            <v>0</v>
          </cell>
        </row>
        <row r="170">
          <cell r="I170">
            <v>0</v>
          </cell>
        </row>
        <row r="171">
          <cell r="I171">
            <v>0</v>
          </cell>
        </row>
        <row r="172">
          <cell r="I172">
            <v>0</v>
          </cell>
        </row>
        <row r="173">
          <cell r="I173">
            <v>53751</v>
          </cell>
        </row>
        <row r="174">
          <cell r="I174">
            <v>0</v>
          </cell>
        </row>
        <row r="175">
          <cell r="I175">
            <v>504084</v>
          </cell>
        </row>
        <row r="176">
          <cell r="I176">
            <v>18961</v>
          </cell>
        </row>
        <row r="177">
          <cell r="I177">
            <v>0</v>
          </cell>
        </row>
        <row r="178">
          <cell r="I178">
            <v>67609</v>
          </cell>
        </row>
        <row r="179">
          <cell r="I179">
            <v>2880</v>
          </cell>
        </row>
        <row r="180">
          <cell r="I180">
            <v>0</v>
          </cell>
        </row>
        <row r="181">
          <cell r="I181">
            <v>0</v>
          </cell>
        </row>
        <row r="182">
          <cell r="I182">
            <v>0</v>
          </cell>
        </row>
        <row r="183">
          <cell r="I183">
            <v>0</v>
          </cell>
        </row>
        <row r="184">
          <cell r="I184">
            <v>5941</v>
          </cell>
        </row>
        <row r="185">
          <cell r="I185">
            <v>1235</v>
          </cell>
        </row>
        <row r="186">
          <cell r="I186">
            <v>163701</v>
          </cell>
        </row>
        <row r="187">
          <cell r="I187">
            <v>28296</v>
          </cell>
        </row>
        <row r="188">
          <cell r="I188">
            <v>0</v>
          </cell>
        </row>
        <row r="189">
          <cell r="I189">
            <v>280</v>
          </cell>
        </row>
        <row r="190">
          <cell r="I190">
            <v>200</v>
          </cell>
        </row>
        <row r="191">
          <cell r="I191">
            <v>153</v>
          </cell>
        </row>
        <row r="192">
          <cell r="I192">
            <v>0</v>
          </cell>
        </row>
        <row r="193">
          <cell r="I193">
            <v>0</v>
          </cell>
        </row>
        <row r="194">
          <cell r="I194">
            <v>0</v>
          </cell>
        </row>
        <row r="195">
          <cell r="I195">
            <v>0</v>
          </cell>
        </row>
        <row r="196">
          <cell r="I196">
            <v>0</v>
          </cell>
        </row>
        <row r="197">
          <cell r="I197">
            <v>0</v>
          </cell>
        </row>
        <row r="198">
          <cell r="I198">
            <v>0</v>
          </cell>
        </row>
        <row r="199">
          <cell r="I199">
            <v>2550</v>
          </cell>
        </row>
        <row r="200">
          <cell r="I200">
            <v>1200</v>
          </cell>
        </row>
        <row r="201">
          <cell r="I201">
            <v>8260</v>
          </cell>
        </row>
        <row r="202">
          <cell r="I202">
            <v>7000</v>
          </cell>
        </row>
        <row r="203">
          <cell r="I203">
            <v>3300</v>
          </cell>
        </row>
        <row r="204">
          <cell r="I204">
            <v>310</v>
          </cell>
        </row>
        <row r="205">
          <cell r="I205">
            <v>4500</v>
          </cell>
        </row>
        <row r="206">
          <cell r="I206">
            <v>0</v>
          </cell>
        </row>
        <row r="207">
          <cell r="I207">
            <v>0</v>
          </cell>
        </row>
        <row r="208">
          <cell r="I208">
            <v>0</v>
          </cell>
        </row>
        <row r="209">
          <cell r="I209">
            <v>0</v>
          </cell>
        </row>
        <row r="210">
          <cell r="I210">
            <v>-667431</v>
          </cell>
        </row>
        <row r="211">
          <cell r="I211">
            <v>332744</v>
          </cell>
        </row>
        <row r="212">
          <cell r="I212">
            <v>1144830</v>
          </cell>
        </row>
        <row r="213">
          <cell r="I213">
            <v>656995</v>
          </cell>
        </row>
        <row r="214">
          <cell r="I214">
            <v>220913</v>
          </cell>
        </row>
        <row r="215">
          <cell r="I215">
            <v>0</v>
          </cell>
        </row>
        <row r="216">
          <cell r="I216">
            <v>163692</v>
          </cell>
        </row>
        <row r="217">
          <cell r="I217">
            <v>2150</v>
          </cell>
        </row>
        <row r="218">
          <cell r="I218">
            <v>0</v>
          </cell>
        </row>
        <row r="219">
          <cell r="I219">
            <v>0</v>
          </cell>
        </row>
        <row r="220">
          <cell r="I220">
            <v>0</v>
          </cell>
        </row>
        <row r="221">
          <cell r="I221">
            <v>0</v>
          </cell>
        </row>
        <row r="222">
          <cell r="I222">
            <v>3231</v>
          </cell>
        </row>
        <row r="223">
          <cell r="I223">
            <v>675</v>
          </cell>
        </row>
        <row r="224">
          <cell r="I224">
            <v>675</v>
          </cell>
        </row>
        <row r="225">
          <cell r="I225">
            <v>675</v>
          </cell>
        </row>
        <row r="226">
          <cell r="I226">
            <v>675</v>
          </cell>
        </row>
        <row r="227">
          <cell r="I227">
            <v>0</v>
          </cell>
        </row>
        <row r="228">
          <cell r="I228">
            <v>0</v>
          </cell>
        </row>
        <row r="229">
          <cell r="I229">
            <v>0</v>
          </cell>
        </row>
        <row r="230">
          <cell r="I230">
            <v>0</v>
          </cell>
        </row>
        <row r="231">
          <cell r="I231">
            <v>0</v>
          </cell>
        </row>
        <row r="232">
          <cell r="I232">
            <v>21657</v>
          </cell>
        </row>
        <row r="233">
          <cell r="I233">
            <v>46838</v>
          </cell>
        </row>
        <row r="234">
          <cell r="I234">
            <v>46228</v>
          </cell>
        </row>
        <row r="235">
          <cell r="I235">
            <v>0</v>
          </cell>
        </row>
        <row r="236">
          <cell r="I236">
            <v>1966</v>
          </cell>
        </row>
        <row r="237">
          <cell r="I237">
            <v>1966</v>
          </cell>
        </row>
        <row r="238">
          <cell r="I238">
            <v>91032</v>
          </cell>
        </row>
        <row r="239">
          <cell r="I239">
            <v>43716</v>
          </cell>
        </row>
        <row r="240">
          <cell r="I240">
            <v>62147</v>
          </cell>
        </row>
        <row r="241">
          <cell r="I241">
            <v>36552</v>
          </cell>
        </row>
        <row r="242">
          <cell r="I242">
            <v>13825</v>
          </cell>
        </row>
        <row r="243">
          <cell r="I243">
            <v>13825</v>
          </cell>
        </row>
        <row r="244">
          <cell r="I244">
            <v>13825</v>
          </cell>
        </row>
        <row r="245">
          <cell r="I245">
            <v>0</v>
          </cell>
        </row>
        <row r="246">
          <cell r="I246">
            <v>13825</v>
          </cell>
        </row>
        <row r="247">
          <cell r="I247">
            <v>13825</v>
          </cell>
        </row>
        <row r="248">
          <cell r="I248">
            <v>13825</v>
          </cell>
        </row>
        <row r="249">
          <cell r="I249">
            <v>2625</v>
          </cell>
        </row>
        <row r="250">
          <cell r="I250">
            <v>13973</v>
          </cell>
        </row>
        <row r="251">
          <cell r="I251">
            <v>27519</v>
          </cell>
        </row>
        <row r="252">
          <cell r="I252">
            <v>2122</v>
          </cell>
        </row>
        <row r="253">
          <cell r="I253">
            <v>4342</v>
          </cell>
        </row>
        <row r="254">
          <cell r="I254">
            <v>0</v>
          </cell>
        </row>
        <row r="255">
          <cell r="I255">
            <v>5769</v>
          </cell>
        </row>
        <row r="256">
          <cell r="I256">
            <v>13215</v>
          </cell>
        </row>
        <row r="257">
          <cell r="I257">
            <v>0</v>
          </cell>
        </row>
        <row r="258">
          <cell r="I258">
            <v>28987</v>
          </cell>
        </row>
        <row r="259">
          <cell r="I259">
            <v>62909</v>
          </cell>
        </row>
        <row r="260">
          <cell r="I260">
            <v>4239</v>
          </cell>
        </row>
        <row r="261">
          <cell r="I261">
            <v>5028</v>
          </cell>
        </row>
        <row r="262">
          <cell r="I262">
            <v>1793</v>
          </cell>
        </row>
        <row r="263">
          <cell r="I263">
            <v>16013</v>
          </cell>
        </row>
        <row r="264">
          <cell r="I264">
            <v>9409</v>
          </cell>
        </row>
        <row r="265">
          <cell r="I265">
            <v>23586</v>
          </cell>
        </row>
        <row r="266">
          <cell r="I266">
            <v>2222</v>
          </cell>
        </row>
        <row r="267">
          <cell r="I267">
            <v>6327</v>
          </cell>
        </row>
        <row r="268">
          <cell r="I268">
            <v>2534</v>
          </cell>
        </row>
        <row r="269">
          <cell r="I269">
            <v>8638</v>
          </cell>
        </row>
        <row r="270">
          <cell r="I270">
            <v>2140</v>
          </cell>
        </row>
        <row r="271">
          <cell r="I271">
            <v>135111</v>
          </cell>
        </row>
        <row r="272">
          <cell r="I272">
            <v>8395</v>
          </cell>
        </row>
        <row r="273">
          <cell r="I273">
            <v>7953</v>
          </cell>
        </row>
        <row r="274">
          <cell r="I274">
            <v>96086</v>
          </cell>
        </row>
        <row r="275">
          <cell r="I275">
            <v>49850</v>
          </cell>
        </row>
        <row r="276">
          <cell r="I276">
            <v>4301591</v>
          </cell>
        </row>
        <row r="277">
          <cell r="I277">
            <v>0</v>
          </cell>
        </row>
        <row r="278">
          <cell r="I278">
            <v>0</v>
          </cell>
        </row>
        <row r="279">
          <cell r="I279">
            <v>12495</v>
          </cell>
        </row>
        <row r="280">
          <cell r="I280">
            <v>26749</v>
          </cell>
        </row>
        <row r="281">
          <cell r="I281">
            <v>19503</v>
          </cell>
        </row>
        <row r="282">
          <cell r="I282">
            <v>38451</v>
          </cell>
        </row>
        <row r="283">
          <cell r="I283">
            <v>55700</v>
          </cell>
        </row>
        <row r="284">
          <cell r="I284">
            <v>717553</v>
          </cell>
        </row>
        <row r="285">
          <cell r="I285">
            <v>92516</v>
          </cell>
        </row>
        <row r="286">
          <cell r="I286">
            <v>14737</v>
          </cell>
        </row>
        <row r="287">
          <cell r="I287">
            <v>12342</v>
          </cell>
        </row>
        <row r="288">
          <cell r="I288">
            <v>4141</v>
          </cell>
        </row>
        <row r="289">
          <cell r="I289">
            <v>3600</v>
          </cell>
        </row>
        <row r="290">
          <cell r="I290">
            <v>1850</v>
          </cell>
        </row>
        <row r="291">
          <cell r="I291">
            <v>11741</v>
          </cell>
        </row>
        <row r="292">
          <cell r="I292">
            <v>4800</v>
          </cell>
        </row>
        <row r="293">
          <cell r="I293">
            <v>1700</v>
          </cell>
        </row>
        <row r="294">
          <cell r="I294">
            <v>3166</v>
          </cell>
        </row>
        <row r="295">
          <cell r="I295">
            <v>5000</v>
          </cell>
        </row>
        <row r="296">
          <cell r="I296">
            <v>541</v>
          </cell>
        </row>
        <row r="297">
          <cell r="I297">
            <v>0</v>
          </cell>
        </row>
        <row r="298">
          <cell r="I298">
            <v>93123</v>
          </cell>
        </row>
        <row r="299">
          <cell r="I299">
            <v>21829</v>
          </cell>
        </row>
        <row r="300">
          <cell r="I300">
            <v>15357</v>
          </cell>
        </row>
        <row r="301">
          <cell r="I301">
            <v>16159</v>
          </cell>
        </row>
        <row r="302">
          <cell r="I302">
            <v>4220</v>
          </cell>
        </row>
        <row r="303">
          <cell r="I303">
            <v>3532</v>
          </cell>
        </row>
        <row r="304">
          <cell r="I304">
            <v>382</v>
          </cell>
        </row>
        <row r="305">
          <cell r="I305">
            <v>5636</v>
          </cell>
        </row>
        <row r="306">
          <cell r="I306">
            <v>5045</v>
          </cell>
        </row>
        <row r="307">
          <cell r="I307">
            <v>6719</v>
          </cell>
        </row>
        <row r="308">
          <cell r="I308">
            <v>7198</v>
          </cell>
        </row>
        <row r="309">
          <cell r="I309">
            <v>2114</v>
          </cell>
        </row>
        <row r="310">
          <cell r="I310">
            <v>1153</v>
          </cell>
        </row>
        <row r="311">
          <cell r="I311">
            <v>87</v>
          </cell>
        </row>
        <row r="312">
          <cell r="I312">
            <v>2389165</v>
          </cell>
        </row>
        <row r="313">
          <cell r="I313">
            <v>620878</v>
          </cell>
        </row>
        <row r="314">
          <cell r="I314">
            <v>584778</v>
          </cell>
        </row>
        <row r="315">
          <cell r="I315">
            <v>559587</v>
          </cell>
        </row>
        <row r="316">
          <cell r="I316">
            <v>1372980</v>
          </cell>
        </row>
        <row r="317">
          <cell r="I317">
            <v>312008</v>
          </cell>
        </row>
        <row r="318">
          <cell r="I318">
            <v>279094</v>
          </cell>
        </row>
        <row r="319">
          <cell r="I319">
            <v>27014</v>
          </cell>
        </row>
        <row r="320">
          <cell r="I320">
            <v>0</v>
          </cell>
        </row>
        <row r="321">
          <cell r="I321">
            <v>0</v>
          </cell>
        </row>
        <row r="322">
          <cell r="I322">
            <v>0</v>
          </cell>
        </row>
        <row r="323">
          <cell r="I323">
            <v>0</v>
          </cell>
        </row>
        <row r="324">
          <cell r="I324">
            <v>0</v>
          </cell>
        </row>
        <row r="325">
          <cell r="I325">
            <v>0</v>
          </cell>
        </row>
        <row r="326">
          <cell r="I326">
            <v>0</v>
          </cell>
        </row>
        <row r="327">
          <cell r="I327">
            <v>0</v>
          </cell>
        </row>
        <row r="328">
          <cell r="I328">
            <v>39534</v>
          </cell>
        </row>
        <row r="329">
          <cell r="I329">
            <v>36939</v>
          </cell>
        </row>
        <row r="330">
          <cell r="I330">
            <v>18760</v>
          </cell>
        </row>
        <row r="331">
          <cell r="I331">
            <v>68085</v>
          </cell>
        </row>
        <row r="332">
          <cell r="I332">
            <v>82481</v>
          </cell>
        </row>
        <row r="333">
          <cell r="I333">
            <v>15006</v>
          </cell>
        </row>
        <row r="334">
          <cell r="I334">
            <v>14941</v>
          </cell>
        </row>
        <row r="335">
          <cell r="I335">
            <v>-35</v>
          </cell>
        </row>
        <row r="336">
          <cell r="I336">
            <v>-7</v>
          </cell>
        </row>
        <row r="337">
          <cell r="I337">
            <v>-6</v>
          </cell>
        </row>
        <row r="338">
          <cell r="I338">
            <v>-101</v>
          </cell>
        </row>
        <row r="339">
          <cell r="I339">
            <v>-156</v>
          </cell>
        </row>
        <row r="340">
          <cell r="I340">
            <v>5</v>
          </cell>
        </row>
        <row r="341">
          <cell r="I341">
            <v>-33</v>
          </cell>
        </row>
        <row r="342">
          <cell r="I342">
            <v>0</v>
          </cell>
        </row>
        <row r="343">
          <cell r="I343">
            <v>6179</v>
          </cell>
        </row>
        <row r="344">
          <cell r="I344">
            <v>-346</v>
          </cell>
        </row>
        <row r="345">
          <cell r="I345">
            <v>-251</v>
          </cell>
        </row>
        <row r="346">
          <cell r="I346">
            <v>-39</v>
          </cell>
        </row>
        <row r="347">
          <cell r="I347">
            <v>1682479</v>
          </cell>
        </row>
        <row r="348">
          <cell r="I348">
            <v>801959</v>
          </cell>
        </row>
        <row r="349">
          <cell r="I349">
            <v>146684</v>
          </cell>
        </row>
        <row r="350">
          <cell r="I350">
            <v>138447</v>
          </cell>
        </row>
        <row r="351">
          <cell r="I351">
            <v>27319</v>
          </cell>
        </row>
        <row r="352">
          <cell r="I352">
            <v>57183</v>
          </cell>
        </row>
        <row r="353">
          <cell r="I353">
            <v>6426</v>
          </cell>
        </row>
        <row r="354">
          <cell r="I354">
            <v>78930</v>
          </cell>
        </row>
        <row r="355">
          <cell r="I355">
            <v>34996</v>
          </cell>
        </row>
        <row r="356">
          <cell r="I356">
            <v>21798</v>
          </cell>
        </row>
        <row r="357">
          <cell r="I357">
            <v>20536</v>
          </cell>
        </row>
        <row r="358">
          <cell r="I358">
            <v>34250</v>
          </cell>
        </row>
        <row r="359">
          <cell r="I359">
            <v>12994</v>
          </cell>
        </row>
        <row r="360">
          <cell r="I360">
            <v>141885</v>
          </cell>
        </row>
        <row r="361">
          <cell r="I361">
            <v>40149</v>
          </cell>
        </row>
        <row r="362">
          <cell r="I362">
            <v>5114</v>
          </cell>
        </row>
        <row r="363">
          <cell r="I363">
            <v>24000</v>
          </cell>
        </row>
        <row r="364">
          <cell r="I364">
            <v>17698</v>
          </cell>
        </row>
        <row r="365">
          <cell r="I365">
            <v>74685</v>
          </cell>
        </row>
        <row r="366">
          <cell r="I366">
            <v>21716430</v>
          </cell>
        </row>
        <row r="367">
          <cell r="I367">
            <v>0</v>
          </cell>
        </row>
        <row r="368">
          <cell r="I368">
            <v>0</v>
          </cell>
        </row>
        <row r="369">
          <cell r="I369">
            <v>0</v>
          </cell>
        </row>
        <row r="370">
          <cell r="I370">
            <v>0</v>
          </cell>
        </row>
        <row r="371">
          <cell r="I371">
            <v>26849616</v>
          </cell>
        </row>
      </sheetData>
      <sheetData sheetId="1">
        <row r="1">
          <cell r="F1" t="str">
            <v>Preliminary</v>
          </cell>
        </row>
        <row r="3">
          <cell r="F3">
            <v>358843</v>
          </cell>
        </row>
        <row r="4">
          <cell r="F4">
            <v>46909</v>
          </cell>
        </row>
        <row r="5">
          <cell r="F5">
            <v>91640</v>
          </cell>
        </row>
        <row r="6">
          <cell r="F6">
            <v>3989</v>
          </cell>
        </row>
        <row r="7">
          <cell r="F7">
            <v>32173</v>
          </cell>
        </row>
        <row r="8">
          <cell r="F8">
            <v>1200</v>
          </cell>
        </row>
        <row r="9">
          <cell r="F9">
            <v>300</v>
          </cell>
        </row>
        <row r="10">
          <cell r="F10">
            <v>6844</v>
          </cell>
        </row>
        <row r="11">
          <cell r="F11">
            <v>27057</v>
          </cell>
        </row>
        <row r="12">
          <cell r="F12">
            <v>32173</v>
          </cell>
        </row>
        <row r="13">
          <cell r="F13">
            <v>23452</v>
          </cell>
        </row>
        <row r="14">
          <cell r="F14">
            <v>172</v>
          </cell>
        </row>
        <row r="15">
          <cell r="F15">
            <v>129420</v>
          </cell>
        </row>
        <row r="16">
          <cell r="F16">
            <v>2088</v>
          </cell>
        </row>
        <row r="17">
          <cell r="F17">
            <v>504</v>
          </cell>
        </row>
        <row r="18">
          <cell r="F18">
            <v>2265</v>
          </cell>
        </row>
        <row r="19">
          <cell r="F19">
            <v>81000</v>
          </cell>
        </row>
        <row r="20">
          <cell r="F20">
            <v>54000</v>
          </cell>
        </row>
        <row r="21">
          <cell r="F21">
            <v>12793</v>
          </cell>
        </row>
        <row r="22">
          <cell r="F22">
            <v>705</v>
          </cell>
        </row>
        <row r="23">
          <cell r="F23">
            <v>33014</v>
          </cell>
        </row>
        <row r="24">
          <cell r="F24">
            <v>238100</v>
          </cell>
        </row>
        <row r="25">
          <cell r="F25">
            <v>188600</v>
          </cell>
        </row>
        <row r="26">
          <cell r="F26">
            <v>77693</v>
          </cell>
        </row>
        <row r="27">
          <cell r="F27">
            <v>611989</v>
          </cell>
        </row>
        <row r="28">
          <cell r="F28">
            <v>77708</v>
          </cell>
        </row>
        <row r="29">
          <cell r="F29">
            <v>72547</v>
          </cell>
        </row>
        <row r="30">
          <cell r="F30">
            <v>26696</v>
          </cell>
        </row>
        <row r="31">
          <cell r="F31">
            <v>53201</v>
          </cell>
        </row>
        <row r="32">
          <cell r="F32">
            <v>8231</v>
          </cell>
        </row>
        <row r="33">
          <cell r="F33">
            <v>1083</v>
          </cell>
        </row>
        <row r="34">
          <cell r="F34">
            <v>25008</v>
          </cell>
        </row>
        <row r="35">
          <cell r="F35">
            <v>32696</v>
          </cell>
        </row>
        <row r="36">
          <cell r="F36">
            <v>52210</v>
          </cell>
        </row>
        <row r="37">
          <cell r="F37">
            <v>35369</v>
          </cell>
        </row>
        <row r="38">
          <cell r="F38">
            <v>196</v>
          </cell>
        </row>
        <row r="39">
          <cell r="F39">
            <v>199164</v>
          </cell>
        </row>
        <row r="40">
          <cell r="F40">
            <v>7105</v>
          </cell>
        </row>
        <row r="41">
          <cell r="F41">
            <v>1995</v>
          </cell>
        </row>
        <row r="42">
          <cell r="F42">
            <v>9130</v>
          </cell>
        </row>
        <row r="43">
          <cell r="F43">
            <v>25200</v>
          </cell>
        </row>
        <row r="44">
          <cell r="F44">
            <v>9609</v>
          </cell>
        </row>
        <row r="45">
          <cell r="F45">
            <v>52919</v>
          </cell>
        </row>
        <row r="46">
          <cell r="F46">
            <v>96</v>
          </cell>
        </row>
        <row r="47">
          <cell r="F47">
            <v>2813</v>
          </cell>
        </row>
        <row r="48">
          <cell r="F48">
            <v>205596</v>
          </cell>
        </row>
        <row r="49">
          <cell r="F49">
            <v>41000</v>
          </cell>
        </row>
        <row r="50">
          <cell r="F50">
            <v>67460</v>
          </cell>
        </row>
        <row r="51">
          <cell r="F51">
            <v>0</v>
          </cell>
        </row>
        <row r="52">
          <cell r="F52">
            <v>0</v>
          </cell>
        </row>
        <row r="53">
          <cell r="F53">
            <v>0</v>
          </cell>
        </row>
        <row r="54">
          <cell r="F54">
            <v>0</v>
          </cell>
        </row>
        <row r="55">
          <cell r="F55">
            <v>0</v>
          </cell>
        </row>
        <row r="56">
          <cell r="F56">
            <v>0</v>
          </cell>
        </row>
        <row r="57">
          <cell r="F57">
            <v>0</v>
          </cell>
        </row>
        <row r="58">
          <cell r="F58">
            <v>0</v>
          </cell>
        </row>
        <row r="59">
          <cell r="F59">
            <v>0</v>
          </cell>
        </row>
        <row r="60">
          <cell r="F60">
            <v>0</v>
          </cell>
        </row>
        <row r="61">
          <cell r="F61">
            <v>0</v>
          </cell>
        </row>
        <row r="62">
          <cell r="F62">
            <v>0</v>
          </cell>
        </row>
        <row r="63">
          <cell r="F63">
            <v>0</v>
          </cell>
        </row>
        <row r="64">
          <cell r="F64">
            <v>0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139537</v>
          </cell>
        </row>
        <row r="74">
          <cell r="F74">
            <v>244313</v>
          </cell>
        </row>
        <row r="75">
          <cell r="F75">
            <v>131024</v>
          </cell>
        </row>
        <row r="76">
          <cell r="F76">
            <v>26791</v>
          </cell>
        </row>
        <row r="77">
          <cell r="F77">
            <v>85545</v>
          </cell>
        </row>
        <row r="78">
          <cell r="F78">
            <v>135682</v>
          </cell>
        </row>
        <row r="79">
          <cell r="F79">
            <v>71167</v>
          </cell>
        </row>
        <row r="80">
          <cell r="F80">
            <v>83375</v>
          </cell>
        </row>
        <row r="81">
          <cell r="F81">
            <v>1744</v>
          </cell>
        </row>
        <row r="82">
          <cell r="F82">
            <v>83483</v>
          </cell>
        </row>
        <row r="83">
          <cell r="F83">
            <v>67902</v>
          </cell>
        </row>
        <row r="84">
          <cell r="F84">
            <v>134966</v>
          </cell>
        </row>
        <row r="85">
          <cell r="F85">
            <v>5076</v>
          </cell>
        </row>
        <row r="86">
          <cell r="F86">
            <v>5557</v>
          </cell>
        </row>
        <row r="87">
          <cell r="F87">
            <v>15979</v>
          </cell>
        </row>
        <row r="88">
          <cell r="F88">
            <v>117517</v>
          </cell>
        </row>
        <row r="89">
          <cell r="F89">
            <v>4309</v>
          </cell>
        </row>
        <row r="90">
          <cell r="F90">
            <v>0</v>
          </cell>
        </row>
        <row r="91">
          <cell r="F91">
            <v>212916</v>
          </cell>
        </row>
        <row r="92">
          <cell r="F92">
            <v>102400</v>
          </cell>
        </row>
        <row r="93">
          <cell r="F93">
            <v>76238</v>
          </cell>
        </row>
        <row r="94">
          <cell r="F94">
            <v>20563</v>
          </cell>
        </row>
        <row r="95">
          <cell r="F95">
            <v>66620</v>
          </cell>
        </row>
        <row r="96">
          <cell r="F96">
            <v>28283</v>
          </cell>
        </row>
        <row r="97">
          <cell r="F97">
            <v>27320</v>
          </cell>
        </row>
        <row r="98">
          <cell r="F98">
            <v>6550</v>
          </cell>
        </row>
        <row r="99">
          <cell r="F99">
            <v>2355</v>
          </cell>
        </row>
        <row r="100">
          <cell r="F100">
            <v>1453</v>
          </cell>
        </row>
        <row r="101">
          <cell r="F101">
            <v>0</v>
          </cell>
        </row>
        <row r="102">
          <cell r="F102">
            <v>17375</v>
          </cell>
        </row>
        <row r="103">
          <cell r="F103">
            <v>110914</v>
          </cell>
        </row>
        <row r="104">
          <cell r="F104">
            <v>20580</v>
          </cell>
        </row>
        <row r="105">
          <cell r="F105">
            <v>21697</v>
          </cell>
        </row>
        <row r="106">
          <cell r="F106">
            <v>5133186</v>
          </cell>
        </row>
        <row r="108">
          <cell r="F108">
            <v>342266</v>
          </cell>
        </row>
        <row r="109">
          <cell r="F109">
            <v>46109</v>
          </cell>
        </row>
        <row r="110">
          <cell r="F110">
            <v>91922</v>
          </cell>
        </row>
        <row r="111">
          <cell r="F111">
            <v>6009</v>
          </cell>
        </row>
        <row r="112">
          <cell r="F112">
            <v>33063</v>
          </cell>
        </row>
        <row r="113">
          <cell r="F113">
            <v>1636</v>
          </cell>
        </row>
        <row r="114">
          <cell r="F114">
            <v>409</v>
          </cell>
        </row>
        <row r="115">
          <cell r="F115">
            <v>9585</v>
          </cell>
        </row>
        <row r="116">
          <cell r="F116">
            <v>19644</v>
          </cell>
        </row>
        <row r="117">
          <cell r="F117">
            <v>30476</v>
          </cell>
        </row>
        <row r="118">
          <cell r="F118">
            <v>23929</v>
          </cell>
        </row>
        <row r="119">
          <cell r="F119">
            <v>48</v>
          </cell>
        </row>
        <row r="120">
          <cell r="F120">
            <v>188090</v>
          </cell>
        </row>
        <row r="121">
          <cell r="F121">
            <v>2929</v>
          </cell>
        </row>
        <row r="122">
          <cell r="F122">
            <v>707</v>
          </cell>
        </row>
        <row r="123">
          <cell r="F123">
            <v>2955</v>
          </cell>
        </row>
        <row r="124">
          <cell r="F124">
            <v>20700</v>
          </cell>
        </row>
        <row r="125">
          <cell r="F125">
            <v>0</v>
          </cell>
        </row>
        <row r="126">
          <cell r="F126">
            <v>27829</v>
          </cell>
        </row>
        <row r="127">
          <cell r="F127">
            <v>1246</v>
          </cell>
        </row>
        <row r="128">
          <cell r="F128">
            <v>17569</v>
          </cell>
        </row>
        <row r="129">
          <cell r="F129">
            <v>215003</v>
          </cell>
        </row>
        <row r="130">
          <cell r="F130">
            <v>63500</v>
          </cell>
        </row>
        <row r="131">
          <cell r="F131">
            <v>49471</v>
          </cell>
        </row>
        <row r="132">
          <cell r="F132">
            <v>18820</v>
          </cell>
        </row>
        <row r="133">
          <cell r="F133">
            <v>37294</v>
          </cell>
        </row>
        <row r="134">
          <cell r="F134">
            <v>359802</v>
          </cell>
        </row>
        <row r="135">
          <cell r="F135">
            <v>67403</v>
          </cell>
        </row>
        <row r="136">
          <cell r="F136">
            <v>39855</v>
          </cell>
        </row>
        <row r="137">
          <cell r="F137">
            <v>182289</v>
          </cell>
        </row>
        <row r="138">
          <cell r="F138">
            <v>92115</v>
          </cell>
        </row>
        <row r="139">
          <cell r="F139">
            <v>3575</v>
          </cell>
        </row>
        <row r="140">
          <cell r="F140">
            <v>0</v>
          </cell>
        </row>
        <row r="141">
          <cell r="F141">
            <v>0</v>
          </cell>
        </row>
        <row r="142">
          <cell r="F142">
            <v>0</v>
          </cell>
        </row>
        <row r="143">
          <cell r="F143">
            <v>0</v>
          </cell>
        </row>
        <row r="144">
          <cell r="F144">
            <v>0</v>
          </cell>
        </row>
        <row r="145">
          <cell r="F145">
            <v>0</v>
          </cell>
        </row>
        <row r="146">
          <cell r="F146">
            <v>0</v>
          </cell>
        </row>
        <row r="147">
          <cell r="F147">
            <v>0</v>
          </cell>
        </row>
        <row r="148">
          <cell r="F148">
            <v>0</v>
          </cell>
        </row>
        <row r="149">
          <cell r="F149">
            <v>0</v>
          </cell>
        </row>
        <row r="150">
          <cell r="F150">
            <v>19175</v>
          </cell>
        </row>
        <row r="151">
          <cell r="F151">
            <v>54895</v>
          </cell>
        </row>
        <row r="152">
          <cell r="F152">
            <v>8047</v>
          </cell>
        </row>
        <row r="153">
          <cell r="F153">
            <v>234934</v>
          </cell>
        </row>
        <row r="154">
          <cell r="F154">
            <v>20729</v>
          </cell>
        </row>
        <row r="155">
          <cell r="F155">
            <v>221</v>
          </cell>
        </row>
        <row r="156">
          <cell r="F156">
            <v>22835</v>
          </cell>
        </row>
        <row r="157">
          <cell r="F157">
            <v>10789</v>
          </cell>
        </row>
        <row r="158">
          <cell r="F158">
            <v>2087</v>
          </cell>
        </row>
        <row r="159">
          <cell r="F159">
            <v>155246</v>
          </cell>
        </row>
        <row r="160">
          <cell r="F160">
            <v>0</v>
          </cell>
        </row>
        <row r="161">
          <cell r="F161">
            <v>0</v>
          </cell>
        </row>
        <row r="162">
          <cell r="F162">
            <v>0</v>
          </cell>
        </row>
        <row r="163">
          <cell r="F163">
            <v>32195</v>
          </cell>
        </row>
        <row r="164">
          <cell r="F164">
            <v>57345</v>
          </cell>
        </row>
        <row r="165">
          <cell r="F165">
            <v>55045</v>
          </cell>
        </row>
        <row r="166">
          <cell r="F166">
            <v>32045</v>
          </cell>
        </row>
        <row r="167">
          <cell r="F167">
            <v>0</v>
          </cell>
        </row>
        <row r="168">
          <cell r="F168">
            <v>0</v>
          </cell>
        </row>
        <row r="169">
          <cell r="F169">
            <v>0</v>
          </cell>
        </row>
        <row r="170">
          <cell r="F170">
            <v>0</v>
          </cell>
        </row>
        <row r="171">
          <cell r="F171">
            <v>0</v>
          </cell>
        </row>
        <row r="172">
          <cell r="F172">
            <v>53751</v>
          </cell>
        </row>
        <row r="173">
          <cell r="F173">
            <v>0</v>
          </cell>
        </row>
        <row r="174">
          <cell r="F174">
            <v>504084</v>
          </cell>
        </row>
        <row r="175">
          <cell r="F175">
            <v>18961</v>
          </cell>
        </row>
        <row r="176">
          <cell r="F176">
            <v>0</v>
          </cell>
        </row>
        <row r="177">
          <cell r="F177">
            <v>67609</v>
          </cell>
        </row>
        <row r="178">
          <cell r="F178">
            <v>2880</v>
          </cell>
        </row>
        <row r="179">
          <cell r="F179">
            <v>0</v>
          </cell>
        </row>
        <row r="180">
          <cell r="F180">
            <v>0</v>
          </cell>
        </row>
        <row r="181">
          <cell r="F181">
            <v>0</v>
          </cell>
        </row>
        <row r="182">
          <cell r="F182">
            <v>0</v>
          </cell>
        </row>
        <row r="183">
          <cell r="F183">
            <v>5941</v>
          </cell>
        </row>
        <row r="184">
          <cell r="F184">
            <v>1235</v>
          </cell>
        </row>
        <row r="185">
          <cell r="F185">
            <v>163701</v>
          </cell>
        </row>
        <row r="186">
          <cell r="F186">
            <v>28296</v>
          </cell>
        </row>
        <row r="187">
          <cell r="F187">
            <v>0</v>
          </cell>
        </row>
        <row r="188">
          <cell r="F188">
            <v>280</v>
          </cell>
        </row>
        <row r="189">
          <cell r="F189">
            <v>200</v>
          </cell>
        </row>
        <row r="190">
          <cell r="F190">
            <v>153</v>
          </cell>
        </row>
        <row r="191">
          <cell r="F191">
            <v>0</v>
          </cell>
        </row>
        <row r="192">
          <cell r="F192">
            <v>0</v>
          </cell>
        </row>
        <row r="193">
          <cell r="F193">
            <v>0</v>
          </cell>
        </row>
        <row r="194">
          <cell r="F194">
            <v>0</v>
          </cell>
        </row>
        <row r="195">
          <cell r="F195">
            <v>0</v>
          </cell>
        </row>
        <row r="196">
          <cell r="F196">
            <v>0</v>
          </cell>
        </row>
        <row r="197">
          <cell r="F197">
            <v>0</v>
          </cell>
        </row>
        <row r="198">
          <cell r="F198">
            <v>2550</v>
          </cell>
        </row>
        <row r="199">
          <cell r="F199">
            <v>1200</v>
          </cell>
        </row>
        <row r="200">
          <cell r="F200">
            <v>8260</v>
          </cell>
        </row>
        <row r="201">
          <cell r="F201">
            <v>7000</v>
          </cell>
        </row>
        <row r="202">
          <cell r="F202">
            <v>3300</v>
          </cell>
        </row>
        <row r="203">
          <cell r="F203">
            <v>310</v>
          </cell>
        </row>
        <row r="204">
          <cell r="F204">
            <v>4500</v>
          </cell>
        </row>
        <row r="205">
          <cell r="F205">
            <v>0</v>
          </cell>
        </row>
        <row r="206">
          <cell r="F206">
            <v>0</v>
          </cell>
        </row>
        <row r="207">
          <cell r="F207">
            <v>0</v>
          </cell>
        </row>
        <row r="208">
          <cell r="F208">
            <v>0</v>
          </cell>
        </row>
        <row r="209">
          <cell r="F209">
            <v>-667431</v>
          </cell>
        </row>
        <row r="210">
          <cell r="F210">
            <v>332744</v>
          </cell>
        </row>
        <row r="211">
          <cell r="F211">
            <v>1144830</v>
          </cell>
        </row>
        <row r="212">
          <cell r="F212">
            <v>656995</v>
          </cell>
        </row>
        <row r="213">
          <cell r="F213">
            <v>220913</v>
          </cell>
        </row>
        <row r="214">
          <cell r="F214">
            <v>0</v>
          </cell>
        </row>
        <row r="215">
          <cell r="F215">
            <v>163692</v>
          </cell>
        </row>
        <row r="216">
          <cell r="F216">
            <v>2150</v>
          </cell>
        </row>
        <row r="217">
          <cell r="F217">
            <v>0</v>
          </cell>
        </row>
        <row r="218">
          <cell r="F218">
            <v>0</v>
          </cell>
        </row>
        <row r="219">
          <cell r="F219">
            <v>0</v>
          </cell>
        </row>
        <row r="220">
          <cell r="F220">
            <v>0</v>
          </cell>
        </row>
        <row r="221">
          <cell r="F221">
            <v>3231</v>
          </cell>
        </row>
        <row r="222">
          <cell r="F222">
            <v>675</v>
          </cell>
        </row>
        <row r="223">
          <cell r="F223">
            <v>675</v>
          </cell>
        </row>
        <row r="224">
          <cell r="F224">
            <v>675</v>
          </cell>
        </row>
        <row r="225">
          <cell r="F225">
            <v>675</v>
          </cell>
        </row>
        <row r="226">
          <cell r="F226">
            <v>0</v>
          </cell>
        </row>
        <row r="227">
          <cell r="F227">
            <v>0</v>
          </cell>
        </row>
        <row r="228">
          <cell r="F228">
            <v>0</v>
          </cell>
        </row>
        <row r="229">
          <cell r="F229">
            <v>0</v>
          </cell>
        </row>
        <row r="230">
          <cell r="F230">
            <v>0</v>
          </cell>
        </row>
        <row r="231">
          <cell r="F231">
            <v>21657</v>
          </cell>
        </row>
        <row r="232">
          <cell r="F232">
            <v>46838</v>
          </cell>
        </row>
        <row r="233">
          <cell r="F233">
            <v>46228</v>
          </cell>
        </row>
        <row r="234">
          <cell r="F234">
            <v>0</v>
          </cell>
        </row>
        <row r="235">
          <cell r="F235">
            <v>1966</v>
          </cell>
        </row>
        <row r="236">
          <cell r="F236">
            <v>1966</v>
          </cell>
        </row>
        <row r="237">
          <cell r="F237">
            <v>91032</v>
          </cell>
        </row>
        <row r="238">
          <cell r="F238">
            <v>43716</v>
          </cell>
        </row>
        <row r="239">
          <cell r="F239">
            <v>62147</v>
          </cell>
        </row>
        <row r="240">
          <cell r="F240">
            <v>36552</v>
          </cell>
        </row>
        <row r="241">
          <cell r="F241">
            <v>13825</v>
          </cell>
        </row>
        <row r="242">
          <cell r="F242">
            <v>13825</v>
          </cell>
        </row>
        <row r="243">
          <cell r="F243">
            <v>13825</v>
          </cell>
        </row>
        <row r="244">
          <cell r="F244">
            <v>0</v>
          </cell>
        </row>
        <row r="245">
          <cell r="F245">
            <v>13825</v>
          </cell>
        </row>
        <row r="246">
          <cell r="F246">
            <v>13825</v>
          </cell>
        </row>
        <row r="247">
          <cell r="F247">
            <v>13825</v>
          </cell>
        </row>
        <row r="248">
          <cell r="F248">
            <v>2625</v>
          </cell>
        </row>
        <row r="249">
          <cell r="F249">
            <v>13973</v>
          </cell>
        </row>
        <row r="250">
          <cell r="F250">
            <v>27519</v>
          </cell>
        </row>
        <row r="251">
          <cell r="F251">
            <v>2122</v>
          </cell>
        </row>
        <row r="252">
          <cell r="F252">
            <v>4342</v>
          </cell>
        </row>
        <row r="253">
          <cell r="F253">
            <v>0</v>
          </cell>
        </row>
        <row r="254">
          <cell r="F254">
            <v>5769</v>
          </cell>
        </row>
        <row r="255">
          <cell r="F255">
            <v>13215</v>
          </cell>
        </row>
        <row r="256">
          <cell r="F256">
            <v>0</v>
          </cell>
        </row>
        <row r="257">
          <cell r="F257">
            <v>28987</v>
          </cell>
        </row>
        <row r="258">
          <cell r="F258">
            <v>62909</v>
          </cell>
        </row>
        <row r="259">
          <cell r="F259">
            <v>4239</v>
          </cell>
        </row>
        <row r="260">
          <cell r="F260">
            <v>5028</v>
          </cell>
        </row>
        <row r="261">
          <cell r="F261">
            <v>1793</v>
          </cell>
        </row>
        <row r="262">
          <cell r="F262">
            <v>16013</v>
          </cell>
        </row>
        <row r="263">
          <cell r="F263">
            <v>9409</v>
          </cell>
        </row>
        <row r="264">
          <cell r="F264">
            <v>23586</v>
          </cell>
        </row>
        <row r="265">
          <cell r="F265">
            <v>2222</v>
          </cell>
        </row>
        <row r="266">
          <cell r="F266">
            <v>6327</v>
          </cell>
        </row>
        <row r="267">
          <cell r="F267">
            <v>2534</v>
          </cell>
        </row>
        <row r="268">
          <cell r="F268">
            <v>8638</v>
          </cell>
        </row>
        <row r="269">
          <cell r="F269">
            <v>2140</v>
          </cell>
        </row>
        <row r="270">
          <cell r="F270">
            <v>135111</v>
          </cell>
        </row>
        <row r="271">
          <cell r="F271">
            <v>8395</v>
          </cell>
        </row>
        <row r="272">
          <cell r="F272">
            <v>7953</v>
          </cell>
        </row>
        <row r="273">
          <cell r="F273">
            <v>96086</v>
          </cell>
        </row>
        <row r="274">
          <cell r="F274">
            <v>49850</v>
          </cell>
        </row>
        <row r="275">
          <cell r="F275">
            <v>4301591</v>
          </cell>
        </row>
        <row r="276">
          <cell r="F276">
            <v>0</v>
          </cell>
        </row>
        <row r="277">
          <cell r="F277">
            <v>0</v>
          </cell>
        </row>
        <row r="278">
          <cell r="F278">
            <v>12495</v>
          </cell>
        </row>
        <row r="279">
          <cell r="F279">
            <v>26749</v>
          </cell>
        </row>
        <row r="280">
          <cell r="F280">
            <v>19503</v>
          </cell>
        </row>
        <row r="281">
          <cell r="F281">
            <v>38451</v>
          </cell>
        </row>
        <row r="282">
          <cell r="F282">
            <v>55700</v>
          </cell>
        </row>
        <row r="283">
          <cell r="F283">
            <v>717553</v>
          </cell>
        </row>
        <row r="284">
          <cell r="F284">
            <v>92516</v>
          </cell>
        </row>
        <row r="285">
          <cell r="F285">
            <v>14737</v>
          </cell>
        </row>
        <row r="286">
          <cell r="F286">
            <v>12342</v>
          </cell>
        </row>
        <row r="287">
          <cell r="F287">
            <v>4141</v>
          </cell>
        </row>
        <row r="288">
          <cell r="F288">
            <v>3600</v>
          </cell>
        </row>
        <row r="289">
          <cell r="F289">
            <v>1850</v>
          </cell>
        </row>
        <row r="290">
          <cell r="F290">
            <v>11741</v>
          </cell>
        </row>
        <row r="291">
          <cell r="F291">
            <v>4800</v>
          </cell>
        </row>
        <row r="292">
          <cell r="F292">
            <v>1700</v>
          </cell>
        </row>
        <row r="293">
          <cell r="F293">
            <v>3166</v>
          </cell>
        </row>
        <row r="294">
          <cell r="F294">
            <v>5000</v>
          </cell>
        </row>
        <row r="295">
          <cell r="F295">
            <v>541</v>
          </cell>
        </row>
        <row r="296">
          <cell r="F296">
            <v>0</v>
          </cell>
        </row>
        <row r="297">
          <cell r="F297">
            <v>93123</v>
          </cell>
        </row>
        <row r="298">
          <cell r="F298">
            <v>21829</v>
          </cell>
        </row>
        <row r="299">
          <cell r="F299">
            <v>15357</v>
          </cell>
        </row>
        <row r="300">
          <cell r="F300">
            <v>16159</v>
          </cell>
        </row>
        <row r="301">
          <cell r="F301">
            <v>4220</v>
          </cell>
        </row>
        <row r="302">
          <cell r="F302">
            <v>3532</v>
          </cell>
        </row>
        <row r="303">
          <cell r="F303">
            <v>382</v>
          </cell>
        </row>
        <row r="304">
          <cell r="F304">
            <v>5636</v>
          </cell>
        </row>
        <row r="305">
          <cell r="F305">
            <v>5045</v>
          </cell>
        </row>
        <row r="306">
          <cell r="F306">
            <v>6719</v>
          </cell>
        </row>
        <row r="307">
          <cell r="F307">
            <v>7198</v>
          </cell>
        </row>
        <row r="308">
          <cell r="F308">
            <v>2114</v>
          </cell>
        </row>
        <row r="309">
          <cell r="F309">
            <v>1153</v>
          </cell>
        </row>
        <row r="310">
          <cell r="F310">
            <v>87</v>
          </cell>
        </row>
        <row r="311">
          <cell r="F311">
            <v>2389165</v>
          </cell>
        </row>
        <row r="312">
          <cell r="F312">
            <v>620878</v>
          </cell>
        </row>
        <row r="313">
          <cell r="F313">
            <v>584778</v>
          </cell>
        </row>
        <row r="314">
          <cell r="F314">
            <v>559587</v>
          </cell>
        </row>
        <row r="315">
          <cell r="F315">
            <v>1372980</v>
          </cell>
        </row>
        <row r="316">
          <cell r="F316">
            <v>312008</v>
          </cell>
        </row>
        <row r="317">
          <cell r="F317">
            <v>279094</v>
          </cell>
        </row>
        <row r="318">
          <cell r="F318">
            <v>27014</v>
          </cell>
        </row>
        <row r="319">
          <cell r="F319">
            <v>0</v>
          </cell>
        </row>
        <row r="320">
          <cell r="F320">
            <v>0</v>
          </cell>
        </row>
        <row r="321">
          <cell r="F321">
            <v>0</v>
          </cell>
        </row>
        <row r="322">
          <cell r="F322">
            <v>0</v>
          </cell>
        </row>
        <row r="323">
          <cell r="F323">
            <v>0</v>
          </cell>
        </row>
        <row r="324">
          <cell r="F324">
            <v>0</v>
          </cell>
        </row>
        <row r="325">
          <cell r="F325">
            <v>0</v>
          </cell>
        </row>
        <row r="326">
          <cell r="F326">
            <v>0</v>
          </cell>
        </row>
        <row r="327">
          <cell r="F327">
            <v>39534</v>
          </cell>
        </row>
        <row r="328">
          <cell r="F328">
            <v>36939</v>
          </cell>
        </row>
        <row r="329">
          <cell r="F329">
            <v>18760</v>
          </cell>
        </row>
        <row r="330">
          <cell r="F330">
            <v>68085</v>
          </cell>
        </row>
        <row r="331">
          <cell r="F331">
            <v>82481</v>
          </cell>
        </row>
        <row r="332">
          <cell r="F332">
            <v>15006</v>
          </cell>
        </row>
        <row r="333">
          <cell r="F333">
            <v>14941</v>
          </cell>
        </row>
        <row r="334">
          <cell r="F334">
            <v>-35</v>
          </cell>
        </row>
        <row r="335">
          <cell r="F335">
            <v>-7</v>
          </cell>
        </row>
        <row r="336">
          <cell r="F336">
            <v>-6</v>
          </cell>
        </row>
        <row r="337">
          <cell r="F337">
            <v>-101</v>
          </cell>
        </row>
        <row r="338">
          <cell r="F338">
            <v>-156</v>
          </cell>
        </row>
        <row r="339">
          <cell r="F339">
            <v>5</v>
          </cell>
        </row>
        <row r="340">
          <cell r="F340">
            <v>-33</v>
          </cell>
        </row>
        <row r="341">
          <cell r="F341">
            <v>0</v>
          </cell>
        </row>
        <row r="342">
          <cell r="F342">
            <v>6179</v>
          </cell>
        </row>
        <row r="343">
          <cell r="F343">
            <v>-346</v>
          </cell>
        </row>
        <row r="344">
          <cell r="F344">
            <v>-251</v>
          </cell>
        </row>
        <row r="345">
          <cell r="F345">
            <v>-39</v>
          </cell>
        </row>
        <row r="346">
          <cell r="F346">
            <v>1682479</v>
          </cell>
        </row>
        <row r="347">
          <cell r="F347">
            <v>801959</v>
          </cell>
        </row>
        <row r="348">
          <cell r="F348">
            <v>146684</v>
          </cell>
        </row>
        <row r="349">
          <cell r="F349">
            <v>138447</v>
          </cell>
        </row>
        <row r="350">
          <cell r="F350">
            <v>27319</v>
          </cell>
        </row>
        <row r="351">
          <cell r="F351">
            <v>57183</v>
          </cell>
        </row>
        <row r="352">
          <cell r="F352">
            <v>6426</v>
          </cell>
        </row>
        <row r="353">
          <cell r="F353">
            <v>78930</v>
          </cell>
        </row>
        <row r="354">
          <cell r="F354">
            <v>34996</v>
          </cell>
        </row>
        <row r="355">
          <cell r="F355">
            <v>21798</v>
          </cell>
        </row>
        <row r="356">
          <cell r="F356">
            <v>20536</v>
          </cell>
        </row>
        <row r="357">
          <cell r="F357">
            <v>34250</v>
          </cell>
        </row>
        <row r="358">
          <cell r="F358">
            <v>12994</v>
          </cell>
        </row>
        <row r="359">
          <cell r="F359">
            <v>141885</v>
          </cell>
        </row>
        <row r="360">
          <cell r="F360">
            <v>40149</v>
          </cell>
        </row>
        <row r="361">
          <cell r="F361">
            <v>5114</v>
          </cell>
        </row>
        <row r="362">
          <cell r="F362">
            <v>24000</v>
          </cell>
        </row>
        <row r="363">
          <cell r="F363">
            <v>17698</v>
          </cell>
        </row>
        <row r="364">
          <cell r="F364">
            <v>74685</v>
          </cell>
        </row>
        <row r="365">
          <cell r="F365">
            <v>21716430</v>
          </cell>
        </row>
        <row r="366">
          <cell r="F366">
            <v>326497</v>
          </cell>
        </row>
        <row r="367">
          <cell r="F367">
            <v>0</v>
          </cell>
        </row>
        <row r="368">
          <cell r="F368">
            <v>6095</v>
          </cell>
        </row>
        <row r="369">
          <cell r="F369">
            <v>0</v>
          </cell>
        </row>
        <row r="370">
          <cell r="F370">
            <v>26849616</v>
          </cell>
        </row>
        <row r="371">
          <cell r="F371">
            <v>114072</v>
          </cell>
        </row>
        <row r="372">
          <cell r="F372">
            <v>30685650</v>
          </cell>
        </row>
        <row r="374">
          <cell r="F374">
            <v>0</v>
          </cell>
        </row>
        <row r="376">
          <cell r="F376">
            <v>0</v>
          </cell>
        </row>
        <row r="377">
          <cell r="F377">
            <v>38076910</v>
          </cell>
        </row>
      </sheetData>
      <sheetData sheetId="2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000"/>
      <sheetName val="Det. Gastos"/>
      <sheetName val="Muestreo "/>
      <sheetName val="APT Gastos"/>
      <sheetName val="Cálculo MO"/>
      <sheetName val="AnálisisImpuestos"/>
      <sheetName val="MayoGtosAdm (No Borrar)."/>
      <sheetName val="Tickmarks"/>
      <sheetName val="XREF"/>
    </sheetNames>
    <sheetDataSet>
      <sheetData sheetId="0"/>
      <sheetData sheetId="1">
        <row r="70">
          <cell r="E70">
            <v>2367396</v>
          </cell>
          <cell r="J70" t="str">
            <v>!</v>
          </cell>
        </row>
        <row r="74">
          <cell r="J74">
            <v>0</v>
          </cell>
        </row>
        <row r="82">
          <cell r="I82">
            <v>14222</v>
          </cell>
        </row>
        <row r="84">
          <cell r="J8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veed. Nacionales"/>
      <sheetName val="Proveed. Exterior"/>
      <sheetName val="Confirmaciones"/>
      <sheetName val="CxP Relacionadas"/>
      <sheetName val="Pasivos no registrados"/>
      <sheetName val="XREF"/>
      <sheetName val="Tickmarks"/>
      <sheetName val="Nota"/>
      <sheetName val="Fondo acumulado"/>
      <sheetName val="Grupos liquidad"/>
      <sheetName val="veh x adj final"/>
      <sheetName val="veh x adj prel"/>
      <sheetName val="ADJ RUMEN OCT 2003"/>
      <sheetName val="Prov nacion"/>
      <sheetName val="Prov. exterior"/>
      <sheetName val="prov Relacionadas"/>
      <sheetName val="MMA"/>
      <sheetName val="Sheet1"/>
      <sheetName val="Detalle Proveedores"/>
      <sheetName val="Resumen confirmaciones"/>
      <sheetName val="Pagos posteriores"/>
      <sheetName val="Mayor bco."/>
      <sheetName val="Pasivos no reg."/>
      <sheetName val="Pas. no reg. imp."/>
      <sheetName val="#REF"/>
      <sheetName val="Detalle"/>
      <sheetName val="MMA Mayor"/>
      <sheetName val="Pagos posterior"/>
      <sheetName val="Detalle Final"/>
      <sheetName val="Detalle-pp"/>
      <sheetName val="Anexo 11"/>
      <sheetName val="Hoja 1"/>
      <sheetName val="Det. CxP"/>
      <sheetName val="Mov. Benef. Soc."/>
      <sheetName val="Cálculo Benef. Sociales"/>
      <sheetName val="Cal.Ben-soc"/>
      <sheetName val="Aportes IESS"/>
      <sheetName val="Marcas Estándar"/>
      <sheetName val="Análisis Cta. Varios por liqui "/>
      <sheetName val="Pagos Posteriores Final"/>
      <sheetName val="Cta Pagar Muller"/>
      <sheetName val="Pagos Posteriores (Rev.Abril)"/>
      <sheetName val="Tickmark"/>
      <sheetName val="Detalle Proveed. "/>
      <sheetName val="Busq. Pas.Impor"/>
      <sheetName val="Busqueda Pasivos Compras"/>
      <sheetName val="Pasivosnoregis"/>
      <sheetName val="Gtos. Provisionados "/>
      <sheetName val="Listado CxP"/>
      <sheetName val="Det. total por Prov."/>
      <sheetName val="Prueba Desemb."/>
      <sheetName val="Fact. No Pag."/>
      <sheetName val="Listado cuentas por pagar"/>
      <sheetName val="Detalle total por Proveedor"/>
      <sheetName val="Cías. Relac. Final"/>
      <sheetName val="Ing. Diferidos"/>
      <sheetName val="Pagos Post. Relacionadas"/>
      <sheetName val="Mov. Provisiones"/>
      <sheetName val="Variación Relac. "/>
      <sheetName val="Variaciones Prov. Ext"/>
      <sheetName val="Pagos post. Prov. Ext."/>
      <sheetName val="Variación Proveed. Loc."/>
      <sheetName val="Pagos Post. Prov. Locales"/>
      <sheetName val="Prov. del Exterior Preliminar"/>
      <sheetName val="Cías. Relacionadas Preliminar"/>
      <sheetName val="Prueba de desembolsos"/>
      <sheetName val="Pas No Reg"/>
      <sheetName val="Busq Pas No Reg"/>
      <sheetName val="CxP Cronix"/>
      <sheetName val="MMA APT Desemsolsos"/>
      <sheetName val="Pruebas de desembolsos"/>
      <sheetName val="Logiciel"/>
      <sheetName val="Variaciones Prov. Ext dic 07"/>
      <sheetName val="Variación Proveed. Locales"/>
      <sheetName val="Prov. del Exterior"/>
      <sheetName val="Cías. Relacionadas"/>
      <sheetName val="Prov. Locales"/>
      <sheetName val="Pivot Reemb"/>
      <sheetName val="Reembolsos"/>
      <sheetName val="Otros gastos"/>
      <sheetName val="Reembolsos Preliminar"/>
      <sheetName val="Conclina Preliminar"/>
      <sheetName val="Cías. Relacionadas Final"/>
      <sheetName val="Nota EEFF"/>
      <sheetName val="QIA"/>
      <sheetName val="Pago posteriores Prel"/>
      <sheetName val="Provisión"/>
      <sheetName val="Prov Locales Final"/>
      <sheetName val="Prov Ext. Final"/>
      <sheetName val="MMA Bancos"/>
      <sheetName val="Límite"/>
      <sheetName val="Imp. Liq."/>
      <sheetName val="Rev. Fact. No Pag"/>
      <sheetName val="Mov. Prov."/>
      <sheetName val="Mallinckkort"/>
      <sheetName val="Prov Locales"/>
      <sheetName val="Mov. Prov"/>
      <sheetName val="Asientos"/>
      <sheetName val="Listado"/>
      <sheetName val="Prov Exterior Final"/>
      <sheetName val="Bus. Pas No Reg"/>
      <sheetName val="Oblig. Terceros"/>
      <sheetName val="Obligaciones Terceros Final"/>
      <sheetName val="Pasivos no reg. (import)"/>
      <sheetName val="Detalle Imp. Liq enero"/>
      <sheetName val="Imp. transito Liq."/>
      <sheetName val="Rev. Fact."/>
      <sheetName val="MMA pagos post"/>
      <sheetName val="APT pagos"/>
      <sheetName val="APT mov prov"/>
      <sheetName val="Proveed. locales"/>
      <sheetName val="Proveedores exterior"/>
      <sheetName val="Detalle Facturas ADC&amp;HAS"/>
      <sheetName val="Proveedores Locales"/>
      <sheetName val="Proveedores del Exterior"/>
      <sheetName val="Base de Cartera 31-Dic"/>
      <sheetName val="Base de Cartera 31-Oct."/>
      <sheetName val="Proveedores Final"/>
      <sheetName val="Proveedores Prel."/>
      <sheetName val="MMA PNR"/>
      <sheetName val="Selección PNR"/>
      <sheetName val="Proveedores"/>
      <sheetName val="Notas a los EEFF"/>
      <sheetName val="Detalle Proveedores Locales Pre"/>
      <sheetName val="Detalle Proveedores Exterior Pr"/>
      <sheetName val="Análisis Pasivos no Registrados"/>
      <sheetName val="APT Pasivos no Registrados"/>
      <sheetName val="CXP proveedores"/>
      <sheetName val="Detalle de Cuentas por Pagar"/>
      <sheetName val="Acreed. Varios"/>
      <sheetName val="Nota a los EEFF"/>
      <sheetName val="CxP Final"/>
      <sheetName val="CxP Preli."/>
      <sheetName val="Pago posteriores Final"/>
      <sheetName val="Pagos posteriores Prel."/>
      <sheetName val="Proveedores Extr. (Dic)"/>
      <sheetName val="Proveedores Nacionales (Dic)"/>
      <sheetName val="Proveedores (Nov)"/>
      <sheetName val="Proveedores (Sep)"/>
      <sheetName val="Proveedores (Jun)"/>
      <sheetName val="Limites"/>
      <sheetName val="Conciliación Intercompany"/>
      <sheetName val="Detalle por Proveedores"/>
      <sheetName val="APT"/>
      <sheetName val="Análisis de antiguedad Prelim"/>
      <sheetName val="Análisis de Antigüedad Final"/>
      <sheetName val="PNR"/>
      <sheetName val="Detalle de Proveedores"/>
      <sheetName val="Análisis de antiguedad"/>
      <sheetName val="Prov. Exterior Final"/>
      <sheetName val="Confirmaciones Prov. Ext"/>
      <sheetName val="Analisis de Pasiv. no Reg."/>
      <sheetName val="Nota a los EE FF"/>
      <sheetName val="Relacionadas Final"/>
      <sheetName val="Locales final"/>
      <sheetName val="Exterior final"/>
      <sheetName val="Facturas no pagas"/>
      <sheetName val="Cheques Transitorios"/>
      <sheetName val="Exterior"/>
      <sheetName val="Locales"/>
      <sheetName val=" Relacionadas Prel"/>
      <sheetName val="Confirmaciones "/>
      <sheetName val="Revisión Financiera"/>
      <sheetName val="Pagos posteriores prel"/>
      <sheetName val="Cias. Relac."/>
      <sheetName val="Prov. Locales Final"/>
      <sheetName val="Ch.Transito Final"/>
      <sheetName val="Prove. Exter Final "/>
      <sheetName val="Provee. Local"/>
      <sheetName val="Ch.Transito"/>
      <sheetName val="Prove. Exter"/>
      <sheetName val="Pago posteriores"/>
      <sheetName val="Varias X Pagar"/>
      <sheetName val="Prestamos"/>
      <sheetName val="Precobrados"/>
      <sheetName val="Nota 10"/>
      <sheetName val="Lista de Ingresos a Bodega"/>
      <sheetName val="Búsqueda de Pasivos No Regist."/>
      <sheetName val="Anticipo de Prov. Final"/>
      <sheetName val="Análisis Proveedores Diciembre"/>
      <sheetName val="Varias Ctas. por Pagar Ajustado"/>
      <sheetName val="Varios por Pagar"/>
      <sheetName val="Ctas. por Pagar Holding Final"/>
      <sheetName val="Anticipos por Verificar"/>
      <sheetName val="Préstamos Final"/>
      <sheetName val="Anticipos Proveedores Anterior"/>
      <sheetName val="Varias Ctas por Pagar sin Ajust"/>
      <sheetName val="Cuentas por Pagar Empleados"/>
      <sheetName val="Descuentos y Retenciones"/>
      <sheetName val="Análisis Proveedores"/>
      <sheetName val="Cuentas por Pagar Holding"/>
      <sheetName val="Préstamos"/>
      <sheetName val="Intereses"/>
      <sheetName val="Varias Cuentas por Pagar"/>
      <sheetName val="Honorarios por Pagar"/>
      <sheetName val="Ctas x P Empleados"/>
      <sheetName val="Lista Ingresos Bodega"/>
      <sheetName val="Busqueda de Pasivos No Registra"/>
      <sheetName val="Análisis Prov Dic"/>
      <sheetName val="Varias Ctas por Pagar Dic"/>
      <sheetName val="Cuentas x pagar Holding"/>
      <sheetName val="CXP Holding Final"/>
      <sheetName val="Anticipo Provee"/>
      <sheetName val="Varias Ctas x Pagar"/>
      <sheetName val="Honorarios x Pagar"/>
      <sheetName val="Analisis proveedores"/>
      <sheetName val="Anticipos Proveedores"/>
      <sheetName val="CXP HD"/>
      <sheetName val="Anticipos clientes"/>
      <sheetName val="MMA Compras"/>
      <sheetName val="MMA Pasivos no Registrados"/>
      <sheetName val="Prov. Nacionales"/>
      <sheetName val="Prov. fruto"/>
      <sheetName val="Detalle "/>
      <sheetName val="Ctas x Pag"/>
      <sheetName val="Prov Selec"/>
      <sheetName val="Prov Mat Pr"/>
      <sheetName val="Ant Cl"/>
      <sheetName val="Analisis Pasivo No Reg"/>
      <sheetName val="Seleccionados"/>
      <sheetName val="Clientes DTT"/>
      <sheetName val="Conciliacion"/>
      <sheetName val="Desembolsos Post. Final"/>
      <sheetName val="Desembolsos Post. "/>
      <sheetName val="Pasiv. no reg. Prov. exterior"/>
      <sheetName val="Prov. Final (PPC)"/>
      <sheetName val="Prov. Prelim. (PPC)"/>
      <sheetName val="Est.Cta Invede"/>
      <sheetName val="Confirmación Nestle"/>
      <sheetName val="Confirmación Pronaca"/>
      <sheetName val="Movimiento DLA"/>
      <sheetName val="Análisis Facturación DLA"/>
      <sheetName val="Conciliación Confirmaciones"/>
      <sheetName val="Proveedores_Intercompañías"/>
      <sheetName val="MMA Mayor Bcos"/>
      <sheetName val="Facturas no Pagadas"/>
      <sheetName val="Pagos Posteriors"/>
      <sheetName val="MMA Facturas no Pag."/>
      <sheetName val="MMA Pasivos no Reg."/>
      <sheetName val="Ctas. x pagar Brokers"/>
      <sheetName val="Desembolsos posteriors"/>
      <sheetName val="Detalle Proveedores Final "/>
      <sheetName val="Detalle Proveedores Preliminar"/>
      <sheetName val="Préstamos exte"/>
      <sheetName val="Pagos Poster"/>
      <sheetName val="Análisis de Ptmos. "/>
      <sheetName val="Detalle CXP"/>
      <sheetName val="Análisis de Ptmos. (final)"/>
      <sheetName val="Análisis de Ptmos. (prel)"/>
      <sheetName val="Int. Prés. Imp. (prel)"/>
      <sheetName val="Calc. Límites"/>
      <sheetName val="Análisis de Ptmos."/>
      <sheetName val="Int. Prés. Imp."/>
      <sheetName val="Detalle Prov. Adm Preliminar"/>
      <sheetName val="Detalle Prov. Comercial Preli"/>
      <sheetName val="Detalle Repuestos"/>
      <sheetName val="Detalle de Unidades"/>
      <sheetName val="Pgs Post"/>
      <sheetName val="No aliadas comercial"/>
      <sheetName val="Ent. Financ"/>
      <sheetName val="No aliados prove ext"/>
      <sheetName val="Sin Fact. Mat. Direct local"/>
      <sheetName val="Recep Sin fact Mant Indirec"/>
      <sheetName val="Recp sin Fact Direct Ext"/>
      <sheetName val="Recepcion sin Fact PPUP"/>
      <sheetName val="Prov Repues GM Brasil"/>
      <sheetName val="Prov Repues GM Isuzu"/>
      <sheetName val="Prov. Rep. GM Volvo"/>
      <sheetName val="Prov. Repuest otros"/>
      <sheetName val="Prov. Repuestos Otras Moneda"/>
      <sheetName val="Aliadas ComercialDic"/>
      <sheetName val="Aliadas - Comercial prem"/>
      <sheetName val="Honorarios prem"/>
      <sheetName val="Servicios públicos prem"/>
      <sheetName val="Otros Final"/>
      <sheetName val="Comentario"/>
      <sheetName val="Préstamos xPagar CP aliadas"/>
      <sheetName val="Otros prem"/>
      <sheetName val="Aliadas - Comercial"/>
      <sheetName val="Honorarios"/>
      <sheetName val="Servicios públicos"/>
      <sheetName val="Otros"/>
      <sheetName val="CXP Empleados"/>
      <sheetName val="Detalle ctas x pagar Holding"/>
      <sheetName val="Conciliación Prov. Ext."/>
      <sheetName val="Proveedores varios"/>
      <sheetName val="MMA Preliminar"/>
      <sheetName val="Detalle Proveed.Nac"/>
      <sheetName val="Confiramciones"/>
      <sheetName val="Proveedores del exterior Dec"/>
      <sheetName val="Pagos Posteriores (f)"/>
      <sheetName val="Pagos posteriores Ext."/>
      <sheetName val="Pagos Posteriores (p)"/>
      <sheetName val="Detalle Proveed. Extr.Sep"/>
      <sheetName val="Base Pagos 2007"/>
      <sheetName val="MMA Facturs no Pag."/>
      <sheetName val="MMA Pagos Posteriors"/>
      <sheetName val="Otras Cuentas por Pagar"/>
      <sheetName val="Facturas por recibir Locales"/>
      <sheetName val="Facturas Por Recibir Exterior"/>
      <sheetName val="MMA (Busqueda de Pasivos)"/>
      <sheetName val="Búsqueda de Pasivos No Regis"/>
      <sheetName val="MMA Mayor Bcos (2)"/>
      <sheetName val="Desembolsos"/>
      <sheetName val="Compras y desembolsos"/>
      <sheetName val="Provee.Nacionales"/>
      <sheetName val="Provee.Extranjer"/>
      <sheetName val="Proveed.Otros"/>
      <sheetName val="Proveed.Transprt."/>
      <sheetName val="Proveed.Intercompañías"/>
      <sheetName val="Selecc.Pasiv.no Registr."/>
      <sheetName val="Pasivos no Reg "/>
      <sheetName val="Análisis Importa."/>
      <sheetName val="Detalle proveedor del exterior"/>
      <sheetName val="Prov. Extranj."/>
      <sheetName val="Arqueo. Ch. Girados no Entregad"/>
      <sheetName val="Prov. Otros"/>
      <sheetName val="Prov. Transportes"/>
      <sheetName val="Prov. Gastos"/>
      <sheetName val="Prov. Intercompañías"/>
      <sheetName val="Transacciones con Partes Relaci"/>
      <sheetName val="Antiguedad CxP"/>
      <sheetName val="Otros Proveedores x Pagar"/>
      <sheetName val="Itochu"/>
      <sheetName val="Oblig. por pagar"/>
      <sheetName val="Prov. Suministros"/>
      <sheetName val="Detalle prov. varios "/>
      <sheetName val="Detalle acreed. Varios "/>
      <sheetName val="Detalle prov. varios final"/>
      <sheetName val="Detalle prov. varios"/>
      <sheetName val="Detalle acreed. varios final"/>
      <sheetName val="Detalle acreed. varios"/>
      <sheetName val="Detalle Suministros final"/>
      <sheetName val="Detalle Suministros"/>
      <sheetName val="Detalle nacionales final"/>
      <sheetName val="Detalle nacionales"/>
      <sheetName val="Transportistas"/>
      <sheetName val="Suministros"/>
      <sheetName val="Nacionales"/>
      <sheetName val="Supermaxi"/>
      <sheetName val="Ctas. X Pagar proveedores"/>
      <sheetName val="Selección"/>
      <sheetName val="Selección pasivo no registrado"/>
      <sheetName val="DetalleCuentasxPagar"/>
      <sheetName val="Confirmacion Supermaxi"/>
      <sheetName val="Pagos"/>
      <sheetName val="MMA Pas. No Reg. "/>
      <sheetName val="Prueba de Desemb"/>
      <sheetName val="Cta 764"/>
      <sheetName val="Cta 765"/>
      <sheetName val="Cta 787"/>
      <sheetName val="Importation Costs"/>
      <sheetName val="Cash Transfers"/>
      <sheetName val="Prueba desembolsos"/>
      <sheetName val="Antiguedad CxP Final"/>
      <sheetName val="Resumen"/>
      <sheetName val="Acreedores Fin"/>
      <sheetName val="Acreedores Prel"/>
      <sheetName val="Relacionados"/>
      <sheetName val="Préstamos Toyota"/>
      <sheetName val="MMA Pas No Reg"/>
      <sheetName val="A. Pagos Post."/>
      <sheetName val="Copagos"/>
      <sheetName val="CxP Conclina"/>
      <sheetName val="Crédito Conclina"/>
      <sheetName val="Provisiones"/>
      <sheetName val="Facturas por Devengar"/>
      <sheetName val="Pasivos no Reg"/>
      <sheetName val="Nota "/>
      <sheetName val="Prov. Nac."/>
      <sheetName val="Prov. Ext."/>
      <sheetName val="Prov. Relac."/>
      <sheetName val="P.N.R"/>
      <sheetName val="Pagos Post."/>
      <sheetName val="Provedores del Exterior "/>
      <sheetName val="Provedores Loacales "/>
      <sheetName val="Pagos. Post."/>
      <sheetName val="Corte CxP final"/>
      <sheetName val="Confirmaciones relacionads"/>
      <sheetName val="Prov. Ext. Prel."/>
      <sheetName val="Pagos Noviembre"/>
      <sheetName val="Notas EEFF"/>
      <sheetName val="Cías Relacionadas"/>
      <sheetName val="Detalle de Garantías"/>
      <sheetName val="Desembolsos Posteriores"/>
      <sheetName val="Detalles"/>
      <sheetName val="Anticipo Conclina"/>
      <sheetName val="Otras Cuentas por Pagar "/>
      <sheetName val="Ctas x Pagar"/>
      <sheetName val="Intercompany"/>
      <sheetName val="Pagos Ene"/>
      <sheetName val="Cuentas x pagar"/>
      <sheetName val="Cuentas xpagar04"/>
      <sheetName val="Dep.Fdos.Terce"/>
      <sheetName val="Dep.Fdos.04"/>
      <sheetName val="Convenios"/>
      <sheetName val="Jub.Patron."/>
      <sheetName val="Anál.Pas.No.Reg."/>
      <sheetName val="MMA Mayores 06"/>
      <sheetName val="Barbados"/>
      <sheetName val="Detalle (Final)"/>
      <sheetName val="Base Proveedores"/>
      <sheetName val="Proveedores confirmados"/>
      <sheetName val="Muestra desembolsos ACL"/>
      <sheetName val="Análisis"/>
      <sheetName val="Acreedores"/>
      <sheetName val="Cuentas por pagar Intercompany"/>
      <sheetName val="Selección Desembolsos"/>
      <sheetName val="Muestra Desembolsos"/>
      <sheetName val="Selección Final"/>
      <sheetName val="Muestra Final"/>
      <sheetName val="Desembolsos Final"/>
      <sheetName val="Facturas pagadas"/>
      <sheetName val="CMA Calculations"/>
      <sheetName val="CMA Selections"/>
      <sheetName val="Debitos Miscelaneos"/>
      <sheetName val="Intercompanies 2006"/>
      <sheetName val="Prueba de Desembolsos Prel"/>
      <sheetName val="Base de Datos proveedores final"/>
      <sheetName val="Rollfwd"/>
      <sheetName val="Base de Datos proveedores prel"/>
      <sheetName val="Analisis de Fac.no registradas"/>
      <sheetName val="Desembolsos posteriores provee"/>
      <sheetName val="Base de Datos proveedores"/>
      <sheetName val="Prueba Desembolsos Final"/>
      <sheetName val="Comerciales"/>
      <sheetName val="Dep Flot"/>
      <sheetName val="Dep Prev"/>
      <sheetName val="Dep Apl Fin"/>
      <sheetName val="Dep x Aplicar Prel"/>
      <sheetName val="Lindblad"/>
      <sheetName val="Turismo Receptivo"/>
      <sheetName val="Víveres y Bebidas"/>
      <sheetName val="Repuestos"/>
      <sheetName val="Bienes y Servicios"/>
      <sheetName val="Depósitos previos - ppc"/>
      <sheetName val="Depósitos flotantes - ppc"/>
      <sheetName val="MMA depósitos previos"/>
      <sheetName val="Análisis de depósitos previos"/>
      <sheetName val="MMA depósitos flotantes"/>
      <sheetName val="Análisis de Depósitos Flotantes"/>
      <sheetName val="Pagos de Facturas pendientes"/>
      <sheetName val="MMA 1"/>
      <sheetName val="MMA 2"/>
      <sheetName val="MMA 3"/>
      <sheetName val="Devueltos Retencion"/>
      <sheetName val="Pasivos No Registrados DP"/>
      <sheetName val="Pasivos No Registrados DF"/>
      <sheetName val="Depósitos previso - ppc"/>
      <sheetName val="Mov. Impto.Rta."/>
      <sheetName val="Detalle Vendors Nacionales "/>
      <sheetName val="Otras"/>
      <sheetName val="Relacionadas"/>
      <sheetName val="Prov. Mod."/>
      <sheetName val="Prov exterior"/>
      <sheetName val="prov nacio final"/>
      <sheetName val="Gtos. Personal"/>
      <sheetName val="Financiamien"/>
      <sheetName val="Reten garantías"/>
      <sheetName val="Bien y Serv. Consumo"/>
      <sheetName val="Concil. con Cías. Relacs."/>
      <sheetName val="211301219 Fademsa"/>
      <sheetName val="CxP"/>
      <sheetName val="CxP Prov Varios Prel"/>
      <sheetName val="CxP Prov Varios Final"/>
      <sheetName val="CxP Proveedores Prel"/>
      <sheetName val="CxP Proveedores Final"/>
      <sheetName val="CxP Canjes Prel"/>
      <sheetName val="CxP Canjes Final"/>
      <sheetName val="Supersavers Q"/>
      <sheetName val="Supersavers G"/>
      <sheetName val="prov varios"/>
      <sheetName val="prov. varios"/>
      <sheetName val="Conc Petro (ppc) sept"/>
      <sheetName val="Conc Petro (ppc) nov"/>
      <sheetName val="Inf. Ord. 03"/>
      <sheetName val="Ing. Mat 03"/>
      <sheetName val="Prov. EW"/>
      <sheetName val="Hoja1"/>
      <sheetName val="MMA Clientes"/>
      <sheetName val="Receptivo"/>
      <sheetName val="cxp bienes y servicios"/>
      <sheetName val="cxp viveres"/>
      <sheetName val="No Aliadas Comerciales"/>
      <sheetName val="No Aliados Prov.Extranjeros"/>
      <sheetName val="Conciliación Itochu"/>
      <sheetName val="Conciliación Final"/>
      <sheetName val="CxP Aliad. Comercial"/>
      <sheetName val="CxP Aliad. Comercial Final"/>
      <sheetName val="Recep sin fact MI"/>
      <sheetName val="Recep. sin Fac MD"/>
      <sheetName val="Provisiones por Pagar Otros"/>
      <sheetName val="Rotación Días de Pago"/>
      <sheetName val="Otros CxP"/>
      <sheetName val="No aliadas"/>
      <sheetName val="Empleados"/>
      <sheetName val="CXP No aliadas co."/>
      <sheetName val="CXP No aliados prov.extrj."/>
      <sheetName val="CXP Sin Fact. Mt. D"/>
      <sheetName val="CXP Sin Fact. Mt. Indir."/>
      <sheetName val="CXP Sin Fact. PPUP"/>
      <sheetName val="Provis. CXP Aliadas"/>
      <sheetName val="CXP Afiliadas"/>
      <sheetName val="CxP Aliadas Comercial"/>
      <sheetName val="Prov. CxP Aliadas"/>
      <sheetName val="CxP No Aliadas Comer."/>
      <sheetName val="CxP No Aliados Ext."/>
      <sheetName val="Mat.Indi."/>
      <sheetName val="Mat.Dir.Lotal"/>
      <sheetName val="Prov.CxP Aliadas (jul)"/>
      <sheetName val="Otras provisiones"/>
      <sheetName val="CxP Aliadas Comercial (jul)"/>
      <sheetName val="SF Recep. PUP"/>
      <sheetName val="Resumen Confir."/>
      <sheetName val="Resultado de proyectos"/>
      <sheetName val="Módulo"/>
      <sheetName val="Otras CxP"/>
      <sheetName val="Desembolsos 2"/>
      <sheetName val="Seleccion desembolsos 2"/>
      <sheetName val="Proveedores por Pagar Mar"/>
      <sheetName val="CxP Provisionadas Mar"/>
      <sheetName val="Proveedores por Pagar Feb"/>
      <sheetName val="CxP Provisionadas"/>
      <sheetName val="Otras CxP - Final"/>
      <sheetName val="Modulo - Final"/>
      <sheetName val="Servicios"/>
      <sheetName val="Módulo - Preliminar"/>
      <sheetName val="Confirmación Indima"/>
      <sheetName val="Desembolsos 2 APT"/>
      <sheetName val="Otras Empresas"/>
      <sheetName val="PagosPosteriores"/>
      <sheetName val="PasNoReg."/>
      <sheetName val="Selección Pas. No Reg."/>
      <sheetName val="CxP Intercompany"/>
      <sheetName val="Servicios y Otros"/>
      <sheetName val="Detalle Relacionadas"/>
      <sheetName val="Prov.Exterior"/>
      <sheetName val="Fact. Proved. exterior"/>
      <sheetName val="ADC BVI"/>
      <sheetName val="Anticipos QIA Consortium"/>
      <sheetName val="Detalle transferencias"/>
      <sheetName val="Cesión (PPC)"/>
      <sheetName val="Proveedores  "/>
      <sheetName val="EMAP"/>
      <sheetName val="CORPAQ"/>
      <sheetName val="ADC&amp;HAS Management Ltd."/>
      <sheetName val="ADC Management"/>
      <sheetName val="AECON"/>
      <sheetName val="Pas_No_Registrados Preli"/>
      <sheetName val="Pas_No_Registrados Final"/>
      <sheetName val="Notas"/>
      <sheetName val="MMA Est Cta Ban 13-Sep"/>
      <sheetName val="Pas_No_Registrados"/>
      <sheetName val="Conf Fin"/>
      <sheetName val="Conf Prel"/>
      <sheetName val="Proveedores "/>
      <sheetName val="CxP Miscelaneos"/>
      <sheetName val="Mov.Casa Matriz"/>
      <sheetName val="Transfe. Casa Matriz"/>
      <sheetName val="MMA Pagos"/>
      <sheetName val="Mov. Benef.Soc."/>
      <sheetName val="Roles de pago"/>
      <sheetName val="Dif.Benef. Sociales "/>
      <sheetName val="CxP Aliadas Comercial Final"/>
      <sheetName val="Recep-sin fact PPUP"/>
      <sheetName val="Recep sin Fact MD"/>
      <sheetName val="No Aliados Provee. Extranjeros"/>
      <sheetName val="No Aliados Proveedores Extranje"/>
      <sheetName val="Aliadas"/>
      <sheetName val="Otras Provisiones por Pagar"/>
      <sheetName val="Días de pago"/>
      <sheetName val="Pruebas Sustantivas"/>
      <sheetName val="Listado Proveedores Preli"/>
      <sheetName val="Confirmación Prel"/>
      <sheetName val="Base proveedores final"/>
      <sheetName val="Confirmación"/>
      <sheetName val="Proveedores por Pagar Fin"/>
      <sheetName val="Proveedores por Pagar Prel"/>
      <sheetName val="cxp repuestos"/>
      <sheetName val="cxp turismo receptivo"/>
      <sheetName val="Prueba desem"/>
      <sheetName val="Pendiente pago"/>
      <sheetName val="Fact. Recib. Prov. Ext"/>
      <sheetName val="Conf. a Prov."/>
      <sheetName val="Interco"/>
      <sheetName val="Intercomp."/>
      <sheetName val="APT Gastos"/>
      <sheetName val="Otros Proveedores"/>
      <sheetName val="Selección Prueb. Desembolsos"/>
      <sheetName val="Muestra Prueb. Desembolsos"/>
      <sheetName val="Pasivos No registrados 2008"/>
      <sheetName val="Proveedores Locales  Ajustado"/>
      <sheetName val="Proveedores Locales Dic"/>
      <sheetName val="Conciliación "/>
      <sheetName val="Obligaciones con Proveedores "/>
      <sheetName val="Movimiento"/>
      <sheetName val="Provee. Nac."/>
      <sheetName val="Provee. Ext"/>
      <sheetName val="Pasivos. no reg."/>
      <sheetName val="CxP Prelim."/>
      <sheetName val="Cartera"/>
      <sheetName val="Inmuebles La Ronda"/>
      <sheetName val="S.I QuitoVivienda"/>
      <sheetName val="Sierra Mirador"/>
      <sheetName val="EMAPP - La Bota"/>
      <sheetName val="Detalle de Fact HP Local"/>
      <sheetName val="Detalle Fact HP Exterior"/>
      <sheetName val="Mov. Benef. Sociales"/>
      <sheetName val="2110101"/>
      <sheetName val="Tickmarks "/>
      <sheetName val="Pas. no reg. imp. (F)"/>
      <sheetName val="Imp. Sep."/>
      <sheetName val="Pas. no reg. imp. (2)"/>
      <sheetName val="Pas. No Reg."/>
      <sheetName val="Módulo CxP"/>
      <sheetName val="Rehabilitación viviendas"/>
      <sheetName val="CxP y CxC Municipio"/>
      <sheetName val="Recálculo"/>
      <sheetName val="Procedimientos"/>
      <sheetName val="Cuentas por Pagar Final"/>
      <sheetName val="Cridesa"/>
      <sheetName val="Cuentas por Pagar Prelim"/>
      <sheetName val="Saldos por Proveedor"/>
      <sheetName val="Ctas por Pagar Quiport"/>
      <sheetName val="Proveedores (Preli)"/>
      <sheetName val="Proveedores (Final)"/>
      <sheetName val="Otras Ctas por Pagar "/>
      <sheetName val="Analisis Integrados"/>
      <sheetName val="Analisis Integrados 2"/>
      <sheetName val="Conciliación"/>
      <sheetName val="Antigüedad Final"/>
      <sheetName val="Analisis Desembolsos Posteriore"/>
      <sheetName val="Cruces Confirmaciones"/>
      <sheetName val="Antiguedad Preliminar"/>
      <sheetName val="Compras"/>
      <sheetName val="Notas "/>
      <sheetName val="Base de Prov.Final"/>
      <sheetName val="Detalle Integ.Final"/>
      <sheetName val="Cheques Emitidos final"/>
      <sheetName val="Fact.x Recibir Final"/>
      <sheetName val="Fact.por Recib.Prov.Preli"/>
      <sheetName val="Prueba Desembolsos Posteriores"/>
      <sheetName val="Análisis Pagos Post."/>
      <sheetName val="Detalle Integ.Prel."/>
      <sheetName val="Base de Proveedores Preliminar"/>
      <sheetName val="Antiguedad"/>
      <sheetName val="Detalle Integ."/>
      <sheetName val="Facturas por Recibir Proveedor"/>
      <sheetName val="Seleccion Desembolsos "/>
      <sheetName val="BaseConf"/>
      <sheetName val="Detalle Prov."/>
      <sheetName val="Prov.No.Conf."/>
      <sheetName val="Prueba de Corte"/>
      <sheetName val="Conciliación Módulos Final"/>
      <sheetName val="Bases Proveedores"/>
      <sheetName val="Prov. Seleccionados "/>
      <sheetName val="Base de Pagos Octubre"/>
      <sheetName val="Desembolsos Seleccionados"/>
      <sheetName val="APT Desembolsos Post."/>
      <sheetName val="Detalle Integrados"/>
      <sheetName val="Det.Cheq. Emitidos"/>
      <sheetName val="Conc.Mód. Prel"/>
      <sheetName val="Bases Prov."/>
      <sheetName val="Desemb. Post."/>
      <sheetName val="Desemb. Selec"/>
      <sheetName val="Prueba Desemb Post."/>
      <sheetName val="Base Ord. Com - Serv"/>
      <sheetName val="Análisis OCYS"/>
      <sheetName val="EMAAP"/>
      <sheetName val="PARSONS OVERSEAS"/>
      <sheetName val="ADC&amp;HAS Manag Ltd."/>
      <sheetName val="ParsonsEcuador"/>
      <sheetName val="Otros Prov. Locales"/>
      <sheetName val="ADC &amp; HAS Management"/>
      <sheetName val="AECON Con."/>
      <sheetName val="CCC"/>
      <sheetName val="Cuentas por pagar"/>
      <sheetName val="Pasivos No Registrados Final"/>
      <sheetName val="CMA Calculations Compras"/>
      <sheetName val="CMA Selections Corte compras"/>
      <sheetName val="Corte tardío de compras"/>
      <sheetName val="Detalle de Confirmaciones"/>
      <sheetName val="MMA Mayor Proveedors "/>
      <sheetName val="Confirmaciones enviadas"/>
      <sheetName val="Pasivos no Registrados."/>
      <sheetName val="Prueba Corte CxP"/>
      <sheetName val="Selección Prueba de Corte"/>
      <sheetName val="Base Facturas por Pagar"/>
      <sheetName val="Base "/>
      <sheetName val="Detalle de Pagos"/>
      <sheetName val="Pag.Poster."/>
      <sheetName val="Deta.otro.acreed."/>
      <sheetName val="Proveedores Local"/>
      <sheetName val="Prueba dese.final"/>
      <sheetName val="Detalles por cuenta"/>
      <sheetName val="promesas"/>
      <sheetName val="Anticipos Cliente"/>
      <sheetName val="Intereses por Pagar"/>
      <sheetName val="Abonos"/>
      <sheetName val="CuenPagar.Alicu"/>
      <sheetName val="Regist.Prom.Compra"/>
      <sheetName val="Detalle de Clientes"/>
      <sheetName val="CMA_Calculations"/>
      <sheetName val="CMA_Selections"/>
      <sheetName val="Detalle Acreedores Varios"/>
      <sheetName val="Análisis Préstamo"/>
      <sheetName val="Requerimiento de Información"/>
      <sheetName val="Base de Proveedores "/>
      <sheetName val="Proveed exterior"/>
      <sheetName val="Proveed locales"/>
      <sheetName val="TR"/>
      <sheetName val="BS"/>
      <sheetName val="RP"/>
      <sheetName val="VB"/>
      <sheetName val="DF"/>
      <sheetName val="DP"/>
      <sheetName val="PruebaDesembolsos"/>
      <sheetName val="AnlDetalProveedores"/>
      <sheetName val="AnlAnticipos"/>
      <sheetName val="Proveedores Serv"/>
      <sheetName val="Acreed Servi"/>
      <sheetName val="Acreed Varios"/>
      <sheetName val="Varios"/>
      <sheetName val="Prov Bienes y Servicios"/>
      <sheetName val="Proveedores Serv Final"/>
      <sheetName val="Acreed Servi Final"/>
      <sheetName val="Madereros"/>
      <sheetName val="Prov Serv Final"/>
      <sheetName val="Acreed Var Final"/>
      <sheetName val="Varios Final"/>
      <sheetName val="Pagos Post"/>
      <sheetName val="Detalle Prov. Final"/>
      <sheetName val="Detalle Prov. Prel"/>
      <sheetName val="Razón Financiera"/>
      <sheetName val="Regalías"/>
      <sheetName val="Contratos regalías"/>
      <sheetName val="Otras  C x P"/>
      <sheetName val="Prov. Locales por factura"/>
      <sheetName val="Prov. Locales "/>
      <sheetName val="Desembolsos Efectivo"/>
      <sheetName val="Tabla de Amortización"/>
      <sheetName val="Reg. Ctas"/>
      <sheetName val="Base de Filiales"/>
      <sheetName val="CxP-VpD"/>
      <sheetName val="Conciliación Prov"/>
      <sheetName val="Desembolsos Posteriores Final"/>
      <sheetName val="Base Proveedores Prel"/>
      <sheetName val="Relacionadas Prelim"/>
      <sheetName val="Ch. Prescritos Prelim"/>
      <sheetName val="Ch. Presc Final"/>
      <sheetName val="Mat. prima varios acre."/>
      <sheetName val="Transferencias P&amp;G"/>
      <sheetName val="Sheet2"/>
      <sheetName val="Sheet3"/>
      <sheetName val="Sheet4"/>
      <sheetName val="Ch. Presscritos"/>
      <sheetName val="Selección DP"/>
      <sheetName val="Análsis Depósitos Previos"/>
      <sheetName val="Selección DF"/>
      <sheetName val="Análsis Depósitos Flotantes"/>
      <sheetName val="Intercompany Comercial"/>
      <sheetName val="Prov. Extranjeros"/>
      <sheetName val="Fact. x Recibir"/>
      <sheetName val="Prueba de desembolsos posterior"/>
      <sheetName val="Detalle 2010"/>
      <sheetName val="Anticipos por liquidar"/>
      <sheetName val="Recálculo de Inter."/>
      <sheetName val="Prov. Inventarios"/>
      <sheetName val="Prov. Servicios"/>
      <sheetName val="Conclina"/>
      <sheetName val="Siniestralidad"/>
      <sheetName val="Análisis de PAs no Reg"/>
      <sheetName val="a"/>
      <sheetName val="b"/>
      <sheetName val="c"/>
      <sheetName val="Movimiento IESS"/>
      <sheetName val="Movimiento benef. sociales"/>
      <sheetName val="Notas Cobranza"/>
      <sheetName val="Ecuatoriano Suiza"/>
      <sheetName val="IVA Servicios"/>
      <sheetName val="Crédito Conclina Final"/>
      <sheetName val="Petrocomercial Diciembre"/>
      <sheetName val="Petrocomercial Sep"/>
      <sheetName val="Petrocomercial Junio"/>
      <sheetName val="Petrocomercial Marzo"/>
      <sheetName val="Pagos Posteriores."/>
      <sheetName val="Conciliación Relc."/>
      <sheetName val="Subcontratistas"/>
      <sheetName val="Sub x aplicar"/>
      <sheetName val="Anticipos"/>
      <sheetName val="CxP - particulares"/>
      <sheetName val="Estados Cuenta"/>
      <sheetName val="Tickmarks (2)"/>
      <sheetName val="Proveedores RM"/>
      <sheetName val="Transporte de Materia Prima "/>
      <sheetName val="Varias CtasxP"/>
      <sheetName val="Varias CxP (T)"/>
      <sheetName val="PROVEEDORES."/>
      <sheetName val="Análisis C x P"/>
      <sheetName val="Detalle de proveedores Final"/>
      <sheetName val="Doc. x Pagar"/>
      <sheetName val="Interés x Pagar"/>
      <sheetName val="Obligaciones vencidas"/>
      <sheetName val="Relacionadas Neteado"/>
      <sheetName val="Trans. Bancos"/>
      <sheetName val="Transitoria"/>
      <sheetName val="Proveedores Nacionales"/>
      <sheetName val="Papel Comercial C1"/>
      <sheetName val="RELA"/>
      <sheetName val="Papel Comercial"/>
      <sheetName val="CxP Relac."/>
      <sheetName val="Provee. Final"/>
      <sheetName val="Cia.Rela. Final"/>
      <sheetName val="Desembolsos (2)"/>
      <sheetName val="Anticipo Clientes"/>
      <sheetName val="Prov"/>
      <sheetName val="EstCtaSep07"/>
      <sheetName val="EstCtaDec06"/>
      <sheetName val="CxP Varios"/>
      <sheetName val="Conciliación con relacionadas"/>
      <sheetName val="Cias. Relacioinadas Dic-08"/>
      <sheetName val="Cías. Relacionadas Sep-08"/>
      <sheetName val="Proveedores Preliminar"/>
      <sheetName val="Interés por Pagar Final"/>
      <sheetName val="Interés x Pagar Preliminar"/>
      <sheetName val="Relacionadas Neteado Preliminar"/>
      <sheetName val="Trans. Bancos Final"/>
      <sheetName val="Trans. Bancos Preliminar"/>
      <sheetName val="Confirmaciones Intercompany"/>
      <sheetName val="Detalle Total"/>
      <sheetName val="NOTA EF"/>
      <sheetName val="Proveedores Extranjeros"/>
      <sheetName val="Provee. Nacionales Dic"/>
      <sheetName val="Estado Cta ALCA"/>
      <sheetName val="Estado Cta DEA"/>
      <sheetName val="Estado Cta Medicaciones"/>
      <sheetName val="Proveedores Nacionales Jul"/>
      <sheetName val="Pasivos no registrados Importac"/>
      <sheetName val="Est Cta"/>
      <sheetName val="Prove"/>
      <sheetName val="EstCtaDec07"/>
      <sheetName val="Prov Confirmados"/>
      <sheetName val="Reemb x pagar"/>
      <sheetName val="Pasivos no registrado"/>
      <sheetName val="Liquidados Ene 09"/>
      <sheetName val="ACL"/>
      <sheetName val="Análisis Pasivos no registrado"/>
      <sheetName val="Reembolsos por pagar"/>
      <sheetName val="Provedores Abierto "/>
      <sheetName val="Detalle confirmaciones"/>
      <sheetName val="Petrocomercial Dic"/>
      <sheetName val="Petrocomercial"/>
      <sheetName val="Concil. Relacionadas"/>
      <sheetName val="Confirm"/>
      <sheetName val="Local"/>
      <sheetName val="Confirmación WRT"/>
      <sheetName val="Ordenes de compra"/>
      <sheetName val="MMA Final"/>
      <sheetName val="Reeembolsos"/>
      <sheetName val="Proveedores Nacionaless"/>
      <sheetName val="Pasivos no registrados_imp"/>
      <sheetName val="Prueb.Desembol"/>
      <sheetName val="Análisis de facturas no pagadas"/>
      <sheetName val="Dealers"/>
      <sheetName val="Provisiones Varias"/>
      <sheetName val="Desembolsos Posteriores Preelim"/>
      <sheetName val="Selección Desembolsos Post."/>
      <sheetName val="Selección facturas no pagadas"/>
      <sheetName val="Otras Cuentas x Pagar"/>
      <sheetName val="Fondo Acumulado Final"/>
      <sheetName val="Cooncesionarios Final"/>
      <sheetName val="Vehículos por Adjudicar Final"/>
      <sheetName val="Cooncesionarios"/>
      <sheetName val="Vehículos por Adjudicar"/>
      <sheetName val="Procedimientos CxP"/>
      <sheetName val="Resumen de confirmaciones"/>
      <sheetName val="Inventario en Tránsito"/>
      <sheetName val="importaciones liquidadas en dic"/>
      <sheetName val="Análsis de Desembolsos"/>
      <sheetName val="Detall. Ctas.x Pagar"/>
      <sheetName val="Concil.Ctas.x pagar CB"/>
      <sheetName val="CxPag"/>
      <sheetName val="An. Pagos Pos"/>
      <sheetName val="Selección ACL PNR"/>
      <sheetName val="Selección ACL Fact."/>
      <sheetName val="CxPag Final"/>
      <sheetName val="CxPag Módulo"/>
      <sheetName val="Sel. Des Final"/>
      <sheetName val="Des. Final"/>
      <sheetName val="Pagos Pos"/>
      <sheetName val="Sel. Desem"/>
      <sheetName val="An. Desembolsos"/>
      <sheetName val="Proveedore Final"/>
      <sheetName val="Proveedores B&amp;S"/>
      <sheetName val="Desembolsos Posteriore"/>
      <sheetName val="Conc.Ctas x pagar Final"/>
      <sheetName val="Deatelle Ctas.x Pagar Final"/>
      <sheetName val="Conciliación ctas.x pagar Prel."/>
      <sheetName val="Detalle ctas.x pagar Prel."/>
      <sheetName val="Analsis Prueba de Desembolsos"/>
      <sheetName val="Detalle Prov.Emp.RRHH"/>
      <sheetName val="Otros Prov.Personal"/>
      <sheetName val="Nota de los EEFF"/>
      <sheetName val="Prov. Nac. Ago"/>
      <sheetName val="Prov. Ext. Ago"/>
      <sheetName val="Test de confirmaciones"/>
      <sheetName val="Prueba de Corte (2)"/>
      <sheetName val="CxP Contratistas"/>
      <sheetName val="Operadoras"/>
      <sheetName val="OCP"/>
      <sheetName val="CxP Personal "/>
      <sheetName val="Retenciones IVA"/>
      <sheetName val="Retenciones IR"/>
      <sheetName val="Procedimiento"/>
      <sheetName val="Observaciones"/>
      <sheetName val="Detalle Prov. Nac. Dic."/>
      <sheetName val="Revisión Análitica Dic."/>
      <sheetName val="Detalle Prov Nac. Nov."/>
      <sheetName val="Detalle Prov. Exterior Nov"/>
      <sheetName val="Det. Prov. Nac. Dic."/>
      <sheetName val="Rev.Analitica Locales"/>
      <sheetName val="Deta. Provee Nac. Nov"/>
      <sheetName val="Det.Prov.Rel. Dic."/>
      <sheetName val="Rev.Analitica Relac."/>
      <sheetName val="Det. Prove. Relac. Nov"/>
      <sheetName val="Det.cta.prov.varios Dic"/>
      <sheetName val="Det. Cta. prov.varios Nov."/>
      <sheetName val="Prov. Nac. Dic"/>
      <sheetName val="Prov. Ext. Dic"/>
      <sheetName val="Conciliación de Saldos"/>
      <sheetName val="Prov. Nac. - Nov."/>
      <sheetName val="Prov. Ext. - Nov."/>
      <sheetName val="Prov. Nac. - Sep"/>
      <sheetName val="Conti - Tac"/>
      <sheetName val="Detalle Proveed"/>
      <sheetName val="Selec PNR Final"/>
      <sheetName val="Análisis PNR Final"/>
      <sheetName val="Análisis PNR Prelim"/>
      <sheetName val="MMA_Pas.No Reg"/>
      <sheetName val="Part. Seleccionadas"/>
      <sheetName val="Análisis diferencias"/>
      <sheetName val="Detalle de Prove."/>
      <sheetName val="Seleccion Desembolsos"/>
      <sheetName val="Analisis Desembolsos"/>
      <sheetName val="CxP CASS"/>
      <sheetName val="CxP Fuera CASS"/>
      <sheetName val="CxP Fincas"/>
      <sheetName val="Resp.Mater"/>
      <sheetName val="Bien.Serv"/>
      <sheetName val="CMA_Calculations (2)"/>
      <sheetName val="Recibidas no facturadas"/>
      <sheetName val="Turismo, Viveres y Repuestos"/>
      <sheetName val="Bienes y Serv."/>
      <sheetName val="Tur. Recep."/>
      <sheetName val="Viver. y Beb."/>
      <sheetName val="Rep. y Mater."/>
      <sheetName val="Listado Proveedores Final"/>
      <sheetName val="Validación de compras"/>
      <sheetName val="Validación de pagos"/>
      <sheetName val="Fact. no pagadas"/>
      <sheetName val="MMA  Busq. Pas.No Reg"/>
      <sheetName val="Pasivos no reg. locales"/>
      <sheetName val="Pasivos no reg. imp"/>
      <sheetName val="Pasivos no reg. imp Sep"/>
      <sheetName val="Análisis CXP"/>
      <sheetName val="Registro CBMI"/>
      <sheetName val="Conciliación CBMI"/>
      <sheetName val="Listado de Proveedores"/>
      <sheetName val="Listado de Proveedores Petroriv"/>
      <sheetName val="Difopac"/>
      <sheetName val="Pagos Dividendos"/>
      <sheetName val="Facturas x Recibir y Registr."/>
      <sheetName val="Importaciones Liquidadas"/>
      <sheetName val="Proveedores Nacion. y Extranjer"/>
      <sheetName val="Análisis de Pasivos No regist"/>
      <sheetName val="Provisiones Ordenes de Compra"/>
      <sheetName val="Análisis de Pasivos No registra"/>
      <sheetName val="Serie A"/>
      <sheetName val="Serie B"/>
      <sheetName val="Recálculo Fondo Garantía"/>
      <sheetName val="Revisión de Doc pagos"/>
      <sheetName val="Exceso Flujo Fondos"/>
      <sheetName val="Tasas"/>
      <sheetName val="Detalle de CxP Varias"/>
      <sheetName val="Detalle CxP Exterior"/>
      <sheetName val="An. Pasivos no registr. Dic 10"/>
      <sheetName val="Cuentas por Cobrar y Pagar"/>
      <sheetName val="Variaciones"/>
      <sheetName val="Mov Provisión"/>
      <sheetName val="Prov Nac"/>
      <sheetName val="Prov Ext"/>
      <sheetName val="Prov Rel"/>
      <sheetName val="Selecc Desem.Posteriores"/>
      <sheetName val="Comp Post"/>
      <sheetName val="Proveed. Final"/>
      <sheetName val="ACC.PAY.TRADE"/>
      <sheetName val="Proveed. Preliminar"/>
      <sheetName val="Justificación"/>
      <sheetName val="Selecc. PNR"/>
      <sheetName val="Análisis Facturas No Pagadas"/>
      <sheetName val="Pasivos no regist. (import)"/>
      <sheetName val="Toyota Tsusho CO"/>
      <sheetName val="Tecniseguros"/>
      <sheetName val="Detalle proveedores Prelim."/>
      <sheetName val="Rev. Prov. Preliminar"/>
      <sheetName val="Hoja2"/>
      <sheetName val="Base CxP"/>
      <sheetName val="CxP por Cliente"/>
      <sheetName val="Base cxp Octubre"/>
      <sheetName val="Base Ctas x Pagar (jul)"/>
      <sheetName val="Detalle Otras Ctas x P"/>
      <sheetName val="Base Ctas x Pagar (Julio)"/>
      <sheetName val="Detalle Ctas x Pagar"/>
      <sheetName val="Prov Merc"/>
      <sheetName val="Prov Aux"/>
      <sheetName val="Prov Ctos. Metro"/>
      <sheetName val="Selec PNR"/>
      <sheetName val="Análisis PNR"/>
      <sheetName val="SEPT-09"/>
      <sheetName val="Prueba no pagadas"/>
      <sheetName val="Prueba de corte N|D"/>
      <sheetName val="Proveed Insumos Final"/>
      <sheetName val="Proveed Servicios Final"/>
      <sheetName val="Conciliación relacionadas"/>
      <sheetName val="Pasivos no Reg final"/>
      <sheetName val="Proveedores Insumos"/>
      <sheetName val="Proveedores Servicios"/>
      <sheetName val="Prov. Insum. Final"/>
      <sheetName val="Prov.Serv. FInal"/>
      <sheetName val="Prov. Insum. Prel"/>
      <sheetName val="Prov. Serv. Prel"/>
      <sheetName val="Accounts Payable"/>
      <sheetName val="Provisión PCM"/>
      <sheetName val="Quiport"/>
      <sheetName val="Prov. Insumos"/>
      <sheetName val="Contratistas"/>
      <sheetName val="Prueb. Part. conc."/>
      <sheetName val="CxP Reempaque"/>
      <sheetName val="Prueba de desembolsos "/>
      <sheetName val="CXP FUERA DE CASS"/>
      <sheetName val="Provee. Insumos Final"/>
      <sheetName val="Provee Servicios Final"/>
      <sheetName val="Contratistas Final"/>
      <sheetName val="Relacionadas Prel"/>
      <sheetName val="Comp. Impor. Liquidadas"/>
      <sheetName val="Comp. Locales"/>
      <sheetName val="Comp. Importaciones"/>
      <sheetName val="Provisión MP"/>
      <sheetName val="Proveedores Locales Final"/>
      <sheetName val="Prov. Exterior Serv. (Final)"/>
      <sheetName val="Proveedores Exterior (Final)"/>
      <sheetName val="P.N.R."/>
      <sheetName val="Confirmaciones (Final)"/>
      <sheetName val="Prov. Exterior Serv."/>
      <sheetName val="Verificación (Final)"/>
      <sheetName val="Anticipos de clientes"/>
      <sheetName val="Promesas de compra venta"/>
      <sheetName val="Acreedores Varios"/>
      <sheetName val="Detalle CxP (P)"/>
      <sheetName val="FACTURAS PROVEEDORES EXTERIOR"/>
      <sheetName val="FACTURAS PROVEEDORES MADERA"/>
      <sheetName val="FACTURAS PROVEEDORES GYE"/>
      <sheetName val="Resumen de Proveedores"/>
      <sheetName val="Detalle Garantia de Pedidos"/>
      <sheetName val="Validación Base"/>
      <sheetName val="4) Validación de cuentas x paga"/>
      <sheetName val="5) Test de confirmaciones"/>
      <sheetName val="3) Pagos posteriores"/>
      <sheetName val="6)Pasivos No Registrados"/>
      <sheetName val="Préstamos de Programas Preli"/>
      <sheetName val="Préstamos de Programas Final"/>
      <sheetName val="Base de Filiales (Final)"/>
      <sheetName val="Nota EE.FF"/>
      <sheetName val="Viveres y Bebidas"/>
      <sheetName val="Repuestos y Materiales"/>
      <sheetName val="Cta. Pte. RNo Fact."/>
      <sheetName val="MMA Pasivos NR"/>
      <sheetName val="Análisis Pasivos NR"/>
      <sheetName val="MMA (2)"/>
      <sheetName val="Confirm.-"/>
      <sheetName val="CxP TR"/>
      <sheetName val="PasivNoRegistr"/>
      <sheetName val="CXP.MTQ"/>
      <sheetName val="CXP.ETICA"/>
      <sheetName val="Mov.Arriend.Precob"/>
      <sheetName val="Pasivo No Registrado"/>
      <sheetName val="Análisis de cuentas por pagar"/>
      <sheetName val="Análisis de Liquidaciones"/>
      <sheetName val="MMA Desembolsos"/>
      <sheetName val="APT Desembolsos"/>
      <sheetName val="Préstamo Bancario"/>
      <sheetName val="Total anticipos por liquidar"/>
      <sheetName val="11501EXT"/>
      <sheetName val="Prov. CxP"/>
      <sheetName val="Anali. C x P Provee. Final"/>
      <sheetName val="Det. Ctas. Por Pagar Fincas"/>
      <sheetName val="Anali. Ctas. x Pagar CASS"/>
      <sheetName val="CMA Calculations- R Factor"/>
      <sheetName val="PNR Importaciones liquidadas"/>
      <sheetName val="Cias. Relacionadas"/>
      <sheetName val="Movimiento IBRN"/>
      <sheetName val="Detalle Pagos Posteriores"/>
      <sheetName val="Detale Desembolsos"/>
      <sheetName val="CxP MEM"/>
      <sheetName val="Confirm.Electroguayas"/>
      <sheetName val="Confirmación CELEC"/>
      <sheetName val="Prov. ext"/>
      <sheetName val="Análisis de Contratos"/>
      <sheetName val="Análisis Pasivos no Reg."/>
      <sheetName val="Neteo CxC y CxP"/>
      <sheetName val="Electroguayas"/>
      <sheetName val="Proveedores Exterior Fin."/>
      <sheetName val="Proveedores Locales Fin."/>
      <sheetName val="Pasivos no Regist."/>
      <sheetName val="Proveedores Exterior Preli."/>
      <sheetName val="Proveedores Locales Prel."/>
      <sheetName val="Préstamos de Programas"/>
      <sheetName val="Proveedores MEM"/>
      <sheetName val="Mano de obra"/>
      <sheetName val="MEM"/>
      <sheetName val="Terceros"/>
      <sheetName val="Relacionadas Preli"/>
      <sheetName val="1) Detalle"/>
      <sheetName val="2) Detalle Garantia"/>
      <sheetName val="Notas EEFF's"/>
      <sheetName val="Cruce de Cuentas "/>
      <sheetName val="Pasivos No Registrados "/>
      <sheetName val="6130.1 Proveedores"/>
      <sheetName val="6130.2 Dinners"/>
      <sheetName val="6130.3 Pasivos no registrados"/>
      <sheetName val="6130.4 Desembolsos Posteriores"/>
      <sheetName val="Dinners"/>
      <sheetName val="Proveedores Locales (Final)"/>
      <sheetName val="Proveedores Madera y GYE (Fina)"/>
      <sheetName val="Proveedores Madera y GYE"/>
      <sheetName val="Proveedores Locales (F)"/>
      <sheetName val="Proveedores Exterior (F)"/>
      <sheetName val="Pasivos No registrados (F)"/>
      <sheetName val="Proveedores Madera y GYE (F)"/>
      <sheetName val="Relacionadas (F)"/>
      <sheetName val="Comp. Importaciones (2)"/>
      <sheetName val="Cuentas por Pagar VpD"/>
      <sheetName val="CxP Empleados(Final)"/>
      <sheetName val="Pasivos no reg. (Final)"/>
      <sheetName val="Base de Filiales(Preli)"/>
      <sheetName val="CxP Empleados(Preli)"/>
      <sheetName val="Títulos Vig Dic"/>
      <sheetName val="titulos vigentes Nov"/>
      <sheetName val="Límites"/>
      <sheetName val="CXP Comerciales"/>
      <sheetName val="GR IR AP"/>
      <sheetName val="Accrual payables final"/>
      <sheetName val="Acrual Payables"/>
      <sheetName val="Agencias"/>
      <sheetName val="Accrual payables Aj."/>
      <sheetName val="Acruad Payables"/>
      <sheetName val="GR-IR-AP"/>
      <sheetName val="Proveed"/>
      <sheetName val="Base Proveedores final  "/>
      <sheetName val="Base Proved"/>
      <sheetName val="Management"/>
      <sheetName val="Intercompanies"/>
      <sheetName val="Pagos no registrados"/>
      <sheetName val="Prov. Proveed. - Diciembre "/>
      <sheetName val="Pasivos No Registrados APT "/>
      <sheetName val="Mov. part. trabajadores"/>
      <sheetName val="Proveedores Dic"/>
      <sheetName val="Mobisol"/>
      <sheetName val="Cuentas control"/>
      <sheetName val="Procedimientos Cuentas por Pag "/>
      <sheetName val="Prov. Final"/>
      <sheetName val="Nota a los EF"/>
      <sheetName val="AnlVar"/>
      <sheetName val="Obligaciones de Titularización"/>
      <sheetName val="An. Fac Pend"/>
      <sheetName val="Prov. Nac"/>
      <sheetName val="Sel Desem"/>
      <sheetName val="An. Desem"/>
      <sheetName val="Préstamos Pichincha"/>
      <sheetName val="Cheques Prov. por Dev.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 refreshError="1"/>
      <sheetData sheetId="28"/>
      <sheetData sheetId="29"/>
      <sheetData sheetId="30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 refreshError="1"/>
      <sheetData sheetId="91" refreshError="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 refreshError="1"/>
      <sheetData sheetId="123" refreshError="1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 refreshError="1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/>
      <sheetData sheetId="176"/>
      <sheetData sheetId="177"/>
      <sheetData sheetId="178"/>
      <sheetData sheetId="179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/>
      <sheetData sheetId="223" refreshError="1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 refreshError="1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 refreshError="1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 refreshError="1"/>
      <sheetData sheetId="296"/>
      <sheetData sheetId="297"/>
      <sheetData sheetId="298"/>
      <sheetData sheetId="299"/>
      <sheetData sheetId="300"/>
      <sheetData sheetId="301"/>
      <sheetData sheetId="302" refreshError="1"/>
      <sheetData sheetId="303"/>
      <sheetData sheetId="304" refreshError="1"/>
      <sheetData sheetId="305" refreshError="1"/>
      <sheetData sheetId="306"/>
      <sheetData sheetId="307"/>
      <sheetData sheetId="308"/>
      <sheetData sheetId="309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 refreshError="1"/>
      <sheetData sheetId="331"/>
      <sheetData sheetId="332" refreshError="1"/>
      <sheetData sheetId="333" refreshError="1"/>
      <sheetData sheetId="334" refreshError="1"/>
      <sheetData sheetId="335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/>
      <sheetData sheetId="355" refreshError="1"/>
      <sheetData sheetId="356" refreshError="1"/>
      <sheetData sheetId="357" refreshError="1"/>
      <sheetData sheetId="358"/>
      <sheetData sheetId="359"/>
      <sheetData sheetId="360" refreshError="1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 refreshError="1"/>
      <sheetData sheetId="405"/>
      <sheetData sheetId="406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/>
      <sheetData sheetId="474"/>
      <sheetData sheetId="475"/>
      <sheetData sheetId="476"/>
      <sheetData sheetId="477"/>
      <sheetData sheetId="478" refreshError="1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/>
      <sheetData sheetId="517" refreshError="1"/>
      <sheetData sheetId="518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/>
      <sheetData sheetId="53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/>
      <sheetData sheetId="540"/>
      <sheetData sheetId="54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 refreshError="1"/>
      <sheetData sheetId="553"/>
      <sheetData sheetId="554"/>
      <sheetData sheetId="555"/>
      <sheetData sheetId="556"/>
      <sheetData sheetId="557"/>
      <sheetData sheetId="558" refreshError="1"/>
      <sheetData sheetId="559"/>
      <sheetData sheetId="560"/>
      <sheetData sheetId="561" refreshError="1"/>
      <sheetData sheetId="562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/>
      <sheetData sheetId="579" refreshError="1"/>
      <sheetData sheetId="580"/>
      <sheetData sheetId="581"/>
      <sheetData sheetId="582" refreshError="1"/>
      <sheetData sheetId="583" refreshError="1"/>
      <sheetData sheetId="584" refreshError="1"/>
      <sheetData sheetId="585" refreshError="1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/>
      <sheetData sheetId="602"/>
      <sheetData sheetId="603"/>
      <sheetData sheetId="604"/>
      <sheetData sheetId="605" refreshError="1"/>
      <sheetData sheetId="606" refreshError="1"/>
      <sheetData sheetId="607"/>
      <sheetData sheetId="608" refreshError="1"/>
      <sheetData sheetId="609" refreshError="1"/>
      <sheetData sheetId="610"/>
      <sheetData sheetId="611"/>
      <sheetData sheetId="612" refreshError="1"/>
      <sheetData sheetId="613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/>
      <sheetData sheetId="651" refreshError="1"/>
      <sheetData sheetId="652" refreshError="1"/>
      <sheetData sheetId="653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/>
      <sheetData sheetId="666"/>
      <sheetData sheetId="667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/>
      <sheetData sheetId="675" refreshError="1"/>
      <sheetData sheetId="676" refreshError="1"/>
      <sheetData sheetId="677"/>
      <sheetData sheetId="678"/>
      <sheetData sheetId="679"/>
      <sheetData sheetId="680"/>
      <sheetData sheetId="681" refreshError="1"/>
      <sheetData sheetId="682" refreshError="1"/>
      <sheetData sheetId="683" refreshError="1"/>
      <sheetData sheetId="684"/>
      <sheetData sheetId="685"/>
      <sheetData sheetId="686" refreshError="1"/>
      <sheetData sheetId="687" refreshError="1"/>
      <sheetData sheetId="688" refreshError="1"/>
      <sheetData sheetId="689" refreshError="1"/>
      <sheetData sheetId="690"/>
      <sheetData sheetId="691" refreshError="1"/>
      <sheetData sheetId="692" refreshError="1"/>
      <sheetData sheetId="693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/>
      <sheetData sheetId="702"/>
      <sheetData sheetId="703"/>
      <sheetData sheetId="704"/>
      <sheetData sheetId="705"/>
      <sheetData sheetId="706"/>
      <sheetData sheetId="707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 refreshError="1"/>
      <sheetData sheetId="733" refreshError="1"/>
      <sheetData sheetId="734" refreshError="1"/>
      <sheetData sheetId="735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/>
      <sheetData sheetId="746"/>
      <sheetData sheetId="747"/>
      <sheetData sheetId="748"/>
      <sheetData sheetId="749" refreshError="1"/>
      <sheetData sheetId="750"/>
      <sheetData sheetId="751"/>
      <sheetData sheetId="752"/>
      <sheetData sheetId="753"/>
      <sheetData sheetId="754"/>
      <sheetData sheetId="755" refreshError="1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 refreshError="1"/>
      <sheetData sheetId="787" refreshError="1"/>
      <sheetData sheetId="788" refreshError="1"/>
      <sheetData sheetId="789" refreshError="1"/>
      <sheetData sheetId="790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/>
      <sheetData sheetId="837"/>
      <sheetData sheetId="838"/>
      <sheetData sheetId="839"/>
      <sheetData sheetId="840"/>
      <sheetData sheetId="841" refreshError="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 refreshError="1"/>
      <sheetData sheetId="851"/>
      <sheetData sheetId="852"/>
      <sheetData sheetId="853"/>
      <sheetData sheetId="854"/>
      <sheetData sheetId="855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/>
      <sheetData sheetId="864"/>
      <sheetData sheetId="865"/>
      <sheetData sheetId="866"/>
      <sheetData sheetId="867" refreshError="1"/>
      <sheetData sheetId="868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/>
      <sheetData sheetId="875"/>
      <sheetData sheetId="876"/>
      <sheetData sheetId="877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/>
      <sheetData sheetId="884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/>
      <sheetData sheetId="894"/>
      <sheetData sheetId="895" refreshError="1"/>
      <sheetData sheetId="896" refreshError="1"/>
      <sheetData sheetId="897" refreshError="1"/>
      <sheetData sheetId="898" refreshError="1"/>
      <sheetData sheetId="899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/>
      <sheetData sheetId="914"/>
      <sheetData sheetId="915" refreshError="1"/>
      <sheetData sheetId="916" refreshError="1"/>
      <sheetData sheetId="917" refreshError="1"/>
      <sheetData sheetId="918" refreshError="1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/>
      <sheetData sheetId="957" refreshError="1"/>
      <sheetData sheetId="958" refreshError="1"/>
      <sheetData sheetId="959" refreshError="1"/>
      <sheetData sheetId="960"/>
      <sheetData sheetId="961"/>
      <sheetData sheetId="962"/>
      <sheetData sheetId="963"/>
      <sheetData sheetId="964" refreshError="1"/>
      <sheetData sheetId="965" refreshError="1"/>
      <sheetData sheetId="966" refreshError="1"/>
      <sheetData sheetId="967" refreshError="1"/>
      <sheetData sheetId="968"/>
      <sheetData sheetId="969" refreshError="1"/>
      <sheetData sheetId="970" refreshError="1"/>
      <sheetData sheetId="971" refreshError="1"/>
      <sheetData sheetId="972"/>
      <sheetData sheetId="973" refreshError="1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/>
      <sheetData sheetId="1004"/>
      <sheetData sheetId="1005"/>
      <sheetData sheetId="1006"/>
      <sheetData sheetId="1007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/>
      <sheetData sheetId="1023"/>
      <sheetData sheetId="1024"/>
      <sheetData sheetId="1025" refreshError="1"/>
      <sheetData sheetId="1026" refreshError="1"/>
      <sheetData sheetId="1027"/>
      <sheetData sheetId="1028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/>
      <sheetData sheetId="1051" refreshError="1"/>
      <sheetData sheetId="1052"/>
      <sheetData sheetId="1053"/>
      <sheetData sheetId="1054"/>
      <sheetData sheetId="1055"/>
      <sheetData sheetId="1056"/>
      <sheetData sheetId="1057" refreshError="1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/>
      <sheetData sheetId="1082"/>
      <sheetData sheetId="1083"/>
      <sheetData sheetId="1084"/>
      <sheetData sheetId="1085" refreshError="1"/>
      <sheetData sheetId="1086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/>
      <sheetData sheetId="1094"/>
      <sheetData sheetId="1095"/>
      <sheetData sheetId="1096" refreshError="1"/>
      <sheetData sheetId="1097"/>
      <sheetData sheetId="1098"/>
      <sheetData sheetId="1099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/>
      <sheetData sheetId="1112"/>
      <sheetData sheetId="1113"/>
      <sheetData sheetId="1114"/>
      <sheetData sheetId="1115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/>
      <sheetData sheetId="1150"/>
      <sheetData sheetId="1151"/>
      <sheetData sheetId="1152"/>
      <sheetData sheetId="1153" refreshError="1"/>
      <sheetData sheetId="1154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EF"/>
      <sheetName val="Detalle"/>
      <sheetName val="Portafolio Final"/>
      <sheetName val="Valuación"/>
      <sheetName val="Port Sep(08)"/>
      <sheetName val="MMA"/>
      <sheetName val="Confirmaciones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sivos No Registrados"/>
      <sheetName val="Prueba de Corte"/>
      <sheetName val="Hoja1"/>
      <sheetName val="Ticmarks"/>
      <sheetName val="Décimo Sexto"/>
      <sheetName val="Tildes"/>
      <sheetName val="Sheet1 (2)"/>
      <sheetName val="Sheet1"/>
      <sheetName val="#REF"/>
      <sheetName val="Análisis de Notas Crédito"/>
      <sheetName val="Análisis de Facturas"/>
      <sheetName val="Tickmarks"/>
      <sheetName val="Nota1"/>
      <sheetName val="CostoConso"/>
      <sheetName val="Dep.Consol"/>
      <sheetName val="Calc.Gasto Costo"/>
      <sheetName val="Costo Reexp."/>
      <sheetName val="Dep.Costo. Rex"/>
      <sheetName val="Calc.Gasto Costo Reexp."/>
      <sheetName val="Calc Reexp Costo"/>
      <sheetName val="Calc.Reexp. Dep"/>
      <sheetName val="Detalle GO Jun-02"/>
      <sheetName val="Detalle GO Oct-02"/>
      <sheetName val="Detalle GO Dic-02"/>
      <sheetName val="Detalle Sueldos"/>
      <sheetName val="Sueldos Personal"/>
      <sheetName val="Límite"/>
      <sheetName val="Tabla del Limite"/>
      <sheetName val="Tildes 8230"/>
      <sheetName val="MMA"/>
      <sheetName val="Selec. Adiciones"/>
      <sheetName val="Anális. siniest. seguros"/>
      <sheetName val="Tildes (2)"/>
      <sheetName val="Final"/>
      <sheetName val="Preliminar"/>
      <sheetName val="Análisis"/>
      <sheetName val="PIVOT"/>
      <sheetName val="3670020"/>
      <sheetName val="367020EN"/>
      <sheetName val="Proyeccion Costos"/>
      <sheetName val="Proyec.Vtas."/>
      <sheetName val="Dep_Consol"/>
      <sheetName val="GG-5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1">
          <cell r="R11">
            <v>17509571</v>
          </cell>
        </row>
      </sheetData>
      <sheetData sheetId="14" refreshError="1">
        <row r="1">
          <cell r="A1" t="str">
            <v>MOVIMIENTO ACTIVOS FIJOS DEPRECIACION COSTO</v>
          </cell>
        </row>
        <row r="11">
          <cell r="R11">
            <v>0</v>
          </cell>
        </row>
      </sheetData>
      <sheetData sheetId="15">
        <row r="1">
          <cell r="A1" t="str">
            <v>CALCULO GLOBAL DEPRECIACION COSTO</v>
          </cell>
        </row>
      </sheetData>
      <sheetData sheetId="16"/>
      <sheetData sheetId="17">
        <row r="1">
          <cell r="A1" t="str">
            <v>MOVIMIENTO ACTIVOS FIJOS DEPRECIACION COSTO</v>
          </cell>
        </row>
      </sheetData>
      <sheetData sheetId="18">
        <row r="51">
          <cell r="P51">
            <v>2645151</v>
          </cell>
        </row>
      </sheetData>
      <sheetData sheetId="19"/>
      <sheetData sheetId="20" refreshError="1"/>
      <sheetData sheetId="21">
        <row r="51">
          <cell r="P51">
            <v>2645151</v>
          </cell>
        </row>
      </sheetData>
      <sheetData sheetId="22">
        <row r="51">
          <cell r="P51">
            <v>2645151</v>
          </cell>
        </row>
      </sheetData>
      <sheetData sheetId="23"/>
      <sheetData sheetId="24" refreshError="1"/>
      <sheetData sheetId="25">
        <row r="51">
          <cell r="P51">
            <v>2645151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company"/>
      <sheetName val="Clientes"/>
      <sheetName val="Terceros"/>
      <sheetName val="Cartera Abogados"/>
      <sheetName val="Mov. Incob."/>
      <sheetName val="An. baja cart."/>
      <sheetName val="MMA 5330-2"/>
      <sheetName val="Antiguedad de cartera"/>
      <sheetName val="Cobros porst. terceros"/>
      <sheetName val="Cobros posteriores"/>
      <sheetName val="Tildes"/>
      <sheetName val="XREF"/>
    </sheetNames>
    <sheetDataSet>
      <sheetData sheetId="0">
        <row r="24">
          <cell r="J24">
            <v>2442465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CGME"/>
      <sheetName val="D"/>
      <sheetName val="E"/>
      <sheetName val="F1"/>
      <sheetName val="F1GME"/>
      <sheetName val="F2"/>
      <sheetName val="F2GME"/>
      <sheetName val="F3"/>
      <sheetName val="F3GME"/>
      <sheetName val="F4"/>
      <sheetName val="F4GME"/>
      <sheetName val="F5"/>
      <sheetName val="F6"/>
      <sheetName val="F7"/>
      <sheetName val="F8"/>
      <sheetName val="G"/>
      <sheetName val="H"/>
      <sheetName val="I"/>
      <sheetName val="J"/>
      <sheetName val="L"/>
      <sheetName val="M"/>
      <sheetName val="NO"/>
      <sheetName val="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."/>
      <sheetName val="Mayor"/>
      <sheetName val="MMAPT"/>
      <sheetName val="APTGastos"/>
      <sheetName val="Tickmarks"/>
    </sheetNames>
    <sheetDataSet>
      <sheetData sheetId="0"/>
      <sheetData sheetId="1" refreshError="1"/>
      <sheetData sheetId="2"/>
      <sheetData sheetId="3" refreshError="1"/>
      <sheetData sheetId="4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000"/>
      <sheetName val="Detalle"/>
      <sheetName val="R.Analítica"/>
      <sheetName val="MMA"/>
      <sheetName val="APT"/>
      <sheetName val="CG-Sueldos"/>
      <sheetName val="SueldosGerencia"/>
      <sheetName val="XREF"/>
      <sheetName val="Tickmarks"/>
      <sheetName val="Det. Gastos"/>
      <sheetName val="Muestreo "/>
      <sheetName val="APT Gastos"/>
      <sheetName val="CGSueldos"/>
      <sheetName val="Cálculo Arriendo"/>
      <sheetName val="AnálisisImpuestos"/>
      <sheetName val="Cálculo sueldos"/>
      <sheetName val="Honorarios"/>
      <sheetName val="Leasing"/>
      <sheetName val="Arriendos"/>
      <sheetName val="#REF"/>
      <sheetName val="MMA Gastos"/>
      <sheetName val="Nómina"/>
      <sheetName val="Arrendamiento"/>
      <sheetName val="Seg y reaseg."/>
      <sheetName val="Arrendamiento Equipos"/>
      <sheetName val="Análisis de APT Gatos"/>
      <sheetName val="Análisis APT Honorarios"/>
      <sheetName val="Límites"/>
      <sheetName val="Movimiento Part. Trab."/>
      <sheetName val="MMA Dic-06"/>
      <sheetName val="MMA Oct-06"/>
      <sheetName val="MMA (2)"/>
      <sheetName val="Gastos APT"/>
      <sheetName val="Detalles"/>
      <sheetName val="Calc. Global Gtos. Personal"/>
      <sheetName val="Calc. Global Arriendos"/>
      <sheetName val="Sueldos y Benef."/>
    </sheetNames>
    <sheetDataSet>
      <sheetData sheetId="0"/>
      <sheetData sheetId="1" refreshError="1">
        <row r="81">
          <cell r="E81">
            <v>153450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EF"/>
      <sheetName val="Detalle"/>
      <sheetName val="Costo"/>
      <sheetName val="Reex."/>
      <sheetName val="Dep.Costo."/>
      <sheetName val="Dep.Costo. Rex"/>
      <sheetName val="Adiciones"/>
      <sheetName val="Relac DEP-COSTO"/>
      <sheetName val="Nota"/>
      <sheetName val="MMA"/>
      <sheetName val="C. Clobal"/>
      <sheetName val="Eq. Comp."/>
      <sheetName val="Edificios"/>
      <sheetName val="Ed.Seg.Cliente"/>
      <sheetName val="XREF"/>
      <sheetName val="Tickmarks"/>
      <sheetName val="Mov.Costo"/>
      <sheetName val="Mov.Dep."/>
      <sheetName val="Cal.Deprec."/>
      <sheetName val="Selección"/>
      <sheetName val="AnálisisAdic"/>
      <sheetName val="Cálc. Global. Dep."/>
      <sheetName val="Cal.Deprec final"/>
      <sheetName val="Cal.Deprec.prele"/>
      <sheetName val="Bajas"/>
      <sheetName val="Movimiento Costo"/>
      <sheetName val="Cálculo Global Depr."/>
      <sheetName val="Movimiento Depreciación"/>
      <sheetName val="Limite"/>
      <sheetName val="Adiciones AF"/>
      <sheetName val="Toma Fisica"/>
      <sheetName val="Listado AF"/>
      <sheetName val="Mov.Costo Reexp."/>
      <sheetName val="Mov.Dep.Costo."/>
      <sheetName val="Mov.Dep.Costo. Reex"/>
      <sheetName val="Calc.Global Deprec."/>
      <sheetName val="Nota EEFF"/>
      <sheetName val="Links"/>
      <sheetName val="Mov. Costo"/>
      <sheetName val="Depreciación"/>
      <sheetName val="Cálculo global"/>
      <sheetName val="Listado de Activos Fijos"/>
      <sheetName val="Notas EEFF"/>
      <sheetName val="Analisis Adiciones"/>
      <sheetName val="Bajas de Activos Fijos"/>
      <sheetName val="Mov. Depre."/>
      <sheetName val="Toma Física de AF"/>
      <sheetName val="Listado Bajas"/>
      <sheetName val="Prueba de Adiciones"/>
      <sheetName val="Mov. Costo AF"/>
      <sheetName val="Mov. Depr. AF"/>
      <sheetName val="Sheet1"/>
      <sheetName val="Límites"/>
      <sheetName val="Mov. Depreciación"/>
      <sheetName val="Terreno o costos de Locales"/>
      <sheetName val="Dólares"/>
      <sheetName val="#REF"/>
      <sheetName val="Movimiento"/>
      <sheetName val="Resumen de Conciliaciones"/>
      <sheetName val="Mov.Depreciación"/>
      <sheetName val="Cálculo Dep."/>
      <sheetName val="Cálculo Dep.Final"/>
      <sheetName val="APT Adiciones"/>
      <sheetName val="Toma física"/>
      <sheetName val="Activación"/>
      <sheetName val="Limites"/>
      <sheetName val="Analisis de Adiciones de AF"/>
      <sheetName val="Mov Costo"/>
      <sheetName val="Mov Dep"/>
      <sheetName val="Detalle Activos Fijos"/>
      <sheetName val="A"/>
    </sheetNames>
    <sheetDataSet>
      <sheetData sheetId="0">
        <row r="15">
          <cell r="H15">
            <v>4449506</v>
          </cell>
        </row>
      </sheetData>
      <sheetData sheetId="1">
        <row r="15">
          <cell r="H15">
            <v>4449506</v>
          </cell>
        </row>
      </sheetData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>
        <row r="15">
          <cell r="H15">
            <v>4449506</v>
          </cell>
        </row>
      </sheetData>
      <sheetData sheetId="10" refreshError="1"/>
      <sheetData sheetId="11"/>
      <sheetData sheetId="12"/>
      <sheetData sheetId="13" refreshError="1"/>
      <sheetData sheetId="14"/>
      <sheetData sheetId="15" refreshError="1"/>
      <sheetData sheetId="16">
        <row r="15">
          <cell r="H15">
            <v>4449506</v>
          </cell>
        </row>
      </sheetData>
      <sheetData sheetId="17">
        <row r="15">
          <cell r="H15">
            <v>4449506</v>
          </cell>
        </row>
      </sheetData>
      <sheetData sheetId="18">
        <row r="15">
          <cell r="H15">
            <v>4449506</v>
          </cell>
        </row>
      </sheetData>
      <sheetData sheetId="19">
        <row r="15">
          <cell r="H15">
            <v>4449506</v>
          </cell>
        </row>
      </sheetData>
      <sheetData sheetId="20">
        <row r="15">
          <cell r="H15">
            <v>4449506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 refreshError="1"/>
      <sheetData sheetId="54" refreshError="1"/>
      <sheetData sheetId="55">
        <row r="15">
          <cell r="H15">
            <v>4449506</v>
          </cell>
        </row>
      </sheetData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>
        <row r="15">
          <cell r="H15">
            <v>20</v>
          </cell>
        </row>
      </sheetData>
      <sheetData sheetId="7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Overview"/>
      <sheetName val="SA Procedures"/>
      <sheetName val="Expectation"/>
      <sheetName val="Explanation"/>
      <sheetName val="Threshold Table"/>
      <sheetName val="Tickmarks"/>
      <sheetName val="Guía"/>
      <sheetName val="Provisiones"/>
      <sheetName val="Expectation Provisiones"/>
      <sheetName val="Beneficios Sociales"/>
      <sheetName val="Expectation Beneficios Sociales"/>
      <sheetName val="Sueldos"/>
      <sheetName val="Arriendo"/>
      <sheetName val="Expectation arriendo"/>
      <sheetName val="Expectation Sueldos"/>
      <sheetName val="XREF"/>
      <sheetName val="Explanation Sueldos"/>
      <sheetName val="Explanation Beeficios Sociales"/>
      <sheetName val="Prv. Beneficios Sociales"/>
      <sheetName val="Expectation Prov. Beneficios so"/>
      <sheetName val="Explanation Prov"/>
      <sheetName val="Cómputo"/>
      <sheetName val="#REF"/>
      <sheetName val="SA Procedures (2)"/>
      <sheetName val="Det. Rec. Prov. Locales {PPC}"/>
      <sheetName val="Guidance Perform SA Procedures"/>
      <sheetName val="Examples Develop An Expectation"/>
      <sheetName val="MetaData"/>
      <sheetName val="SA_Procedures"/>
      <sheetName val="Threshold_Table1"/>
      <sheetName val="Threshold_Table"/>
      <sheetName val="Hoja1"/>
      <sheetName val="Prb"/>
    </sheetNames>
    <sheetDataSet>
      <sheetData sheetId="0" refreshError="1"/>
      <sheetData sheetId="1" refreshError="1"/>
      <sheetData sheetId="2"/>
      <sheetData sheetId="3">
        <row r="2">
          <cell r="A2">
            <v>0.7</v>
          </cell>
        </row>
      </sheetData>
      <sheetData sheetId="4" refreshError="1"/>
      <sheetData sheetId="5" refreshError="1">
        <row r="2">
          <cell r="A2">
            <v>0.7</v>
          </cell>
        </row>
        <row r="11">
          <cell r="E11">
            <v>1</v>
          </cell>
          <cell r="F11">
            <v>0.5</v>
          </cell>
          <cell r="G11">
            <v>3.125</v>
          </cell>
        </row>
        <row r="12">
          <cell r="E12">
            <v>2</v>
          </cell>
          <cell r="F12">
            <v>0.45</v>
          </cell>
          <cell r="G12">
            <v>2.8125</v>
          </cell>
        </row>
        <row r="13">
          <cell r="E13">
            <v>3</v>
          </cell>
          <cell r="F13">
            <v>0.42499999999999999</v>
          </cell>
          <cell r="G13">
            <v>2.65625</v>
          </cell>
        </row>
        <row r="14">
          <cell r="E14">
            <v>4</v>
          </cell>
          <cell r="F14">
            <v>0.4</v>
          </cell>
          <cell r="G14">
            <v>2.5</v>
          </cell>
        </row>
        <row r="15">
          <cell r="E15">
            <v>5</v>
          </cell>
          <cell r="F15">
            <v>0.375</v>
          </cell>
          <cell r="G15">
            <v>2.34375</v>
          </cell>
        </row>
        <row r="16">
          <cell r="E16">
            <v>6</v>
          </cell>
          <cell r="F16">
            <v>0.35</v>
          </cell>
          <cell r="G16">
            <v>2.1875</v>
          </cell>
        </row>
        <row r="17">
          <cell r="E17">
            <v>7</v>
          </cell>
          <cell r="F17">
            <v>0.34166666666666662</v>
          </cell>
          <cell r="G17">
            <v>2.1354166666666665</v>
          </cell>
        </row>
        <row r="18">
          <cell r="E18">
            <v>8</v>
          </cell>
          <cell r="F18">
            <v>0.33333333333333326</v>
          </cell>
          <cell r="G18">
            <v>2.083333333333333</v>
          </cell>
        </row>
        <row r="19">
          <cell r="E19">
            <v>9</v>
          </cell>
          <cell r="F19">
            <v>0.3249999999999999</v>
          </cell>
          <cell r="G19">
            <v>2.0312499999999996</v>
          </cell>
        </row>
        <row r="20">
          <cell r="E20">
            <v>10</v>
          </cell>
          <cell r="F20">
            <v>0.31666666666666654</v>
          </cell>
          <cell r="G20">
            <v>1.9791666666666659</v>
          </cell>
        </row>
        <row r="21">
          <cell r="E21">
            <v>11</v>
          </cell>
          <cell r="F21">
            <v>0.30833333333333318</v>
          </cell>
          <cell r="G21">
            <v>1.9270833333333324</v>
          </cell>
        </row>
        <row r="22">
          <cell r="E22">
            <v>12</v>
          </cell>
          <cell r="F22">
            <v>0.29999999999999982</v>
          </cell>
          <cell r="G22">
            <v>1.8749999999999989</v>
          </cell>
        </row>
        <row r="23">
          <cell r="E23">
            <v>13</v>
          </cell>
          <cell r="F23">
            <v>0.25</v>
          </cell>
          <cell r="G23">
            <v>1.5625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>
        <row r="2">
          <cell r="A2">
            <v>0.7</v>
          </cell>
        </row>
      </sheetData>
      <sheetData sheetId="31"/>
      <sheetData sheetId="32">
        <row r="3">
          <cell r="A3" t="str">
            <v>Contratos de inversión</v>
          </cell>
        </row>
      </sheetData>
      <sheetData sheetId="3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Proveed. Loc."/>
      <sheetName val="Preveed.Ext."/>
      <sheetName val="B.P.N.Importaciones"/>
      <sheetName val="Tickmarks"/>
    </sheetNames>
    <sheetDataSet>
      <sheetData sheetId="0"/>
      <sheetData sheetId="1">
        <row r="63">
          <cell r="D63">
            <v>3217658</v>
          </cell>
        </row>
      </sheetData>
      <sheetData sheetId="2"/>
      <sheetData sheetId="3"/>
      <sheetData sheetId="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COME"/>
    </sheetNames>
    <sheetDataSet>
      <sheetData sheetId="0">
        <row r="31">
          <cell r="E31">
            <v>1686331876.4000001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E4-Adam Opel"/>
      <sheetName val="Payment 30_09_2003"/>
      <sheetName val="Payment 02_03_2004"/>
      <sheetName val="Payment 03_04_2006"/>
      <sheetName val="Payment 02_05_2006"/>
      <sheetName val="Payment 02_06_2006"/>
      <sheetName val="Payment 03_07_2006"/>
    </sheetNames>
    <sheetDataSet>
      <sheetData sheetId="0" refreshError="1"/>
      <sheetData sheetId="1" refreshError="1"/>
      <sheetData sheetId="2"/>
      <sheetData sheetId="3"/>
      <sheetData sheetId="4"/>
      <sheetData sheetId="5">
        <row r="2">
          <cell r="A2" t="str">
            <v/>
          </cell>
          <cell r="B2" t="str">
            <v>S420100000</v>
          </cell>
          <cell r="C2" t="str">
            <v/>
          </cell>
          <cell r="D2" t="str">
            <v>939381</v>
          </cell>
          <cell r="E2" t="str">
            <v>KZ</v>
          </cell>
          <cell r="F2" t="str">
            <v>25</v>
          </cell>
          <cell r="G2" t="str">
            <v>939381</v>
          </cell>
          <cell r="H2" t="str">
            <v>20060602-COTE8</v>
          </cell>
          <cell r="I2">
            <v>38870</v>
          </cell>
          <cell r="J2">
            <v>38870</v>
          </cell>
          <cell r="K2">
            <v>38870</v>
          </cell>
          <cell r="L2">
            <v>38870</v>
          </cell>
          <cell r="M2" t="str">
            <v>EUR</v>
          </cell>
          <cell r="N2">
            <v>15739.75</v>
          </cell>
          <cell r="O2" t="str">
            <v>COP</v>
          </cell>
          <cell r="P2">
            <v>45161624</v>
          </cell>
          <cell r="Q2">
            <v>45161624</v>
          </cell>
          <cell r="R2">
            <v>0</v>
          </cell>
        </row>
        <row r="3">
          <cell r="A3" t="str">
            <v>7985060</v>
          </cell>
          <cell r="B3" t="str">
            <v>S420100000</v>
          </cell>
          <cell r="C3">
            <v>165829</v>
          </cell>
          <cell r="D3" t="str">
            <v>557487</v>
          </cell>
          <cell r="E3" t="str">
            <v>RE</v>
          </cell>
          <cell r="F3" t="str">
            <v>31</v>
          </cell>
          <cell r="G3" t="str">
            <v>939381</v>
          </cell>
          <cell r="H3" t="str">
            <v>EG06040603</v>
          </cell>
          <cell r="I3">
            <v>38807</v>
          </cell>
          <cell r="J3">
            <v>38826</v>
          </cell>
          <cell r="K3">
            <v>38870</v>
          </cell>
          <cell r="L3">
            <v>38870</v>
          </cell>
          <cell r="M3" t="str">
            <v>EUR</v>
          </cell>
          <cell r="N3">
            <v>-2560.02</v>
          </cell>
          <cell r="O3" t="str">
            <v>COP</v>
          </cell>
          <cell r="P3">
            <v>-7145127</v>
          </cell>
          <cell r="Q3">
            <v>-8165399</v>
          </cell>
          <cell r="R3">
            <v>0</v>
          </cell>
        </row>
        <row r="4">
          <cell r="A4" t="str">
            <v>7985060</v>
          </cell>
          <cell r="B4" t="str">
            <v>S420100000</v>
          </cell>
          <cell r="C4">
            <v>166201</v>
          </cell>
          <cell r="D4" t="str">
            <v>564833</v>
          </cell>
          <cell r="E4" t="str">
            <v>RE</v>
          </cell>
          <cell r="F4" t="str">
            <v>31</v>
          </cell>
          <cell r="G4" t="str">
            <v>939381</v>
          </cell>
          <cell r="H4" t="str">
            <v>EG06041211</v>
          </cell>
          <cell r="I4">
            <v>38811</v>
          </cell>
          <cell r="J4">
            <v>38827</v>
          </cell>
          <cell r="K4">
            <v>38870</v>
          </cell>
          <cell r="L4">
            <v>38870</v>
          </cell>
          <cell r="M4" t="str">
            <v>EUR</v>
          </cell>
          <cell r="N4">
            <v>-63.53</v>
          </cell>
          <cell r="O4" t="str">
            <v>COP</v>
          </cell>
          <cell r="P4">
            <v>-179000</v>
          </cell>
          <cell r="Q4">
            <v>-202634</v>
          </cell>
          <cell r="R4">
            <v>0</v>
          </cell>
        </row>
        <row r="5">
          <cell r="A5" t="str">
            <v>7985060</v>
          </cell>
          <cell r="B5" t="str">
            <v>S420100000</v>
          </cell>
          <cell r="C5">
            <v>166378</v>
          </cell>
          <cell r="D5" t="str">
            <v>564925</v>
          </cell>
          <cell r="E5" t="str">
            <v>RE</v>
          </cell>
          <cell r="F5" t="str">
            <v>31</v>
          </cell>
          <cell r="G5" t="str">
            <v>939381</v>
          </cell>
          <cell r="H5" t="str">
            <v>EG06041212</v>
          </cell>
          <cell r="I5">
            <v>38812</v>
          </cell>
          <cell r="J5">
            <v>38827</v>
          </cell>
          <cell r="K5">
            <v>38870</v>
          </cell>
          <cell r="L5">
            <v>38870</v>
          </cell>
          <cell r="M5" t="str">
            <v>EUR</v>
          </cell>
          <cell r="N5">
            <v>-218.67</v>
          </cell>
          <cell r="O5" t="str">
            <v>COP</v>
          </cell>
          <cell r="P5">
            <v>-618283</v>
          </cell>
          <cell r="Q5">
            <v>-697466</v>
          </cell>
          <cell r="R5">
            <v>0</v>
          </cell>
        </row>
        <row r="6">
          <cell r="A6" t="str">
            <v>7985060</v>
          </cell>
          <cell r="B6" t="str">
            <v>S420100000</v>
          </cell>
          <cell r="C6">
            <v>166546</v>
          </cell>
          <cell r="D6" t="str">
            <v>570752</v>
          </cell>
          <cell r="E6" t="str">
            <v>RE</v>
          </cell>
          <cell r="F6" t="str">
            <v>31</v>
          </cell>
          <cell r="G6" t="str">
            <v>939381</v>
          </cell>
          <cell r="H6" t="str">
            <v>EG06041712</v>
          </cell>
          <cell r="I6">
            <v>38813</v>
          </cell>
          <cell r="J6">
            <v>38828</v>
          </cell>
          <cell r="K6">
            <v>38870</v>
          </cell>
          <cell r="L6">
            <v>38870</v>
          </cell>
          <cell r="M6" t="str">
            <v>EUR</v>
          </cell>
          <cell r="N6">
            <v>-243.6</v>
          </cell>
          <cell r="O6" t="str">
            <v>COP</v>
          </cell>
          <cell r="P6">
            <v>-688772</v>
          </cell>
          <cell r="Q6">
            <v>-776983</v>
          </cell>
          <cell r="R6">
            <v>0</v>
          </cell>
        </row>
        <row r="7">
          <cell r="A7" t="str">
            <v>7985060</v>
          </cell>
          <cell r="B7" t="str">
            <v>S420100000</v>
          </cell>
          <cell r="C7">
            <v>167455</v>
          </cell>
          <cell r="D7" t="str">
            <v>570753</v>
          </cell>
          <cell r="E7" t="str">
            <v>RE</v>
          </cell>
          <cell r="F7" t="str">
            <v>31</v>
          </cell>
          <cell r="G7" t="str">
            <v>939381</v>
          </cell>
          <cell r="H7" t="str">
            <v>EG06041713</v>
          </cell>
          <cell r="I7">
            <v>38820</v>
          </cell>
          <cell r="J7">
            <v>38828</v>
          </cell>
          <cell r="K7">
            <v>38870</v>
          </cell>
          <cell r="L7">
            <v>38870</v>
          </cell>
          <cell r="M7" t="str">
            <v>EUR</v>
          </cell>
          <cell r="N7">
            <v>-0.99</v>
          </cell>
          <cell r="O7" t="str">
            <v>COP</v>
          </cell>
          <cell r="P7">
            <v>-2799</v>
          </cell>
          <cell r="Q7">
            <v>-3158</v>
          </cell>
          <cell r="R7">
            <v>0</v>
          </cell>
        </row>
        <row r="8">
          <cell r="A8" t="str">
            <v>7985060</v>
          </cell>
          <cell r="B8" t="str">
            <v>S420100000</v>
          </cell>
          <cell r="C8">
            <v>85873</v>
          </cell>
          <cell r="D8" t="str">
            <v>570754</v>
          </cell>
          <cell r="E8" t="str">
            <v>RE</v>
          </cell>
          <cell r="F8" t="str">
            <v>31</v>
          </cell>
          <cell r="G8" t="str">
            <v>939381</v>
          </cell>
          <cell r="H8" t="str">
            <v>EG06041714</v>
          </cell>
          <cell r="I8">
            <v>38817</v>
          </cell>
          <cell r="J8">
            <v>38828</v>
          </cell>
          <cell r="K8">
            <v>38870</v>
          </cell>
          <cell r="L8">
            <v>38870</v>
          </cell>
          <cell r="M8" t="str">
            <v>EUR</v>
          </cell>
          <cell r="N8">
            <v>-13.74</v>
          </cell>
          <cell r="O8" t="str">
            <v>COP</v>
          </cell>
          <cell r="P8">
            <v>-39074</v>
          </cell>
          <cell r="Q8">
            <v>-43825</v>
          </cell>
          <cell r="R8">
            <v>0</v>
          </cell>
        </row>
        <row r="9">
          <cell r="A9" t="str">
            <v>7985060</v>
          </cell>
          <cell r="B9" t="str">
            <v>S420100000</v>
          </cell>
          <cell r="C9">
            <v>167284</v>
          </cell>
          <cell r="D9" t="str">
            <v>570759</v>
          </cell>
          <cell r="E9" t="str">
            <v>RE</v>
          </cell>
          <cell r="F9" t="str">
            <v>31</v>
          </cell>
          <cell r="G9" t="str">
            <v>939381</v>
          </cell>
          <cell r="H9" t="str">
            <v>EG06041715</v>
          </cell>
          <cell r="I9">
            <v>38819</v>
          </cell>
          <cell r="J9">
            <v>38828</v>
          </cell>
          <cell r="K9">
            <v>38870</v>
          </cell>
          <cell r="L9">
            <v>38870</v>
          </cell>
          <cell r="M9" t="str">
            <v>EUR</v>
          </cell>
          <cell r="N9">
            <v>-61.55</v>
          </cell>
          <cell r="O9" t="str">
            <v>COP</v>
          </cell>
          <cell r="P9">
            <v>-174027</v>
          </cell>
          <cell r="Q9">
            <v>-196319</v>
          </cell>
          <cell r="R9">
            <v>0</v>
          </cell>
        </row>
        <row r="10">
          <cell r="A10" t="str">
            <v>7985060</v>
          </cell>
          <cell r="B10" t="str">
            <v>S420100000</v>
          </cell>
          <cell r="C10">
            <v>167066</v>
          </cell>
          <cell r="D10" t="str">
            <v>570835</v>
          </cell>
          <cell r="E10" t="str">
            <v>RE</v>
          </cell>
          <cell r="F10" t="str">
            <v>31</v>
          </cell>
          <cell r="G10" t="str">
            <v>939381</v>
          </cell>
          <cell r="H10" t="str">
            <v>EG06041722</v>
          </cell>
          <cell r="I10">
            <v>38818</v>
          </cell>
          <cell r="J10">
            <v>38828</v>
          </cell>
          <cell r="K10">
            <v>38870</v>
          </cell>
          <cell r="L10">
            <v>38870</v>
          </cell>
          <cell r="M10" t="str">
            <v>EUR</v>
          </cell>
          <cell r="N10">
            <v>-225.86</v>
          </cell>
          <cell r="O10" t="str">
            <v>COP</v>
          </cell>
          <cell r="P10">
            <v>-640219</v>
          </cell>
          <cell r="Q10">
            <v>-720399</v>
          </cell>
          <cell r="R10">
            <v>0</v>
          </cell>
        </row>
        <row r="11">
          <cell r="A11" t="str">
            <v>7985060</v>
          </cell>
          <cell r="B11" t="str">
            <v>S420100000</v>
          </cell>
          <cell r="C11">
            <v>166203</v>
          </cell>
          <cell r="D11" t="str">
            <v>570883</v>
          </cell>
          <cell r="E11" t="str">
            <v>RE</v>
          </cell>
          <cell r="F11" t="str">
            <v>31</v>
          </cell>
          <cell r="G11" t="str">
            <v>939381</v>
          </cell>
          <cell r="H11" t="str">
            <v>EG06041728</v>
          </cell>
          <cell r="I11">
            <v>38811</v>
          </cell>
          <cell r="J11">
            <v>38828</v>
          </cell>
          <cell r="K11">
            <v>38870</v>
          </cell>
          <cell r="L11">
            <v>38870</v>
          </cell>
          <cell r="M11" t="str">
            <v>EUR</v>
          </cell>
          <cell r="N11">
            <v>-378.96</v>
          </cell>
          <cell r="O11" t="str">
            <v>COP</v>
          </cell>
          <cell r="P11">
            <v>-1071499</v>
          </cell>
          <cell r="Q11">
            <v>-1208725</v>
          </cell>
          <cell r="R11">
            <v>0</v>
          </cell>
        </row>
        <row r="12">
          <cell r="A12" t="str">
            <v>7985060</v>
          </cell>
          <cell r="B12" t="str">
            <v>S420100000</v>
          </cell>
          <cell r="C12">
            <v>167646</v>
          </cell>
          <cell r="D12" t="str">
            <v>604568</v>
          </cell>
          <cell r="E12" t="str">
            <v>RE</v>
          </cell>
          <cell r="F12" t="str">
            <v>31</v>
          </cell>
          <cell r="G12" t="str">
            <v>939381</v>
          </cell>
          <cell r="H12" t="str">
            <v>EG06042107</v>
          </cell>
          <cell r="I12">
            <v>38825</v>
          </cell>
          <cell r="J12">
            <v>38833</v>
          </cell>
          <cell r="K12">
            <v>38870</v>
          </cell>
          <cell r="L12">
            <v>38870</v>
          </cell>
          <cell r="M12" t="str">
            <v>EUR</v>
          </cell>
          <cell r="N12">
            <v>-75.260000000000005</v>
          </cell>
          <cell r="O12" t="str">
            <v>COP</v>
          </cell>
          <cell r="P12">
            <v>-218571</v>
          </cell>
          <cell r="Q12">
            <v>-240048</v>
          </cell>
          <cell r="R12">
            <v>0</v>
          </cell>
        </row>
        <row r="13">
          <cell r="A13" t="str">
            <v>7985060</v>
          </cell>
          <cell r="B13" t="str">
            <v>S420100000</v>
          </cell>
          <cell r="C13">
            <v>167826</v>
          </cell>
          <cell r="D13" t="str">
            <v>629565</v>
          </cell>
          <cell r="E13" t="str">
            <v>RE</v>
          </cell>
          <cell r="F13" t="str">
            <v>31</v>
          </cell>
          <cell r="G13" t="str">
            <v>939381</v>
          </cell>
          <cell r="H13" t="str">
            <v>EG06042406</v>
          </cell>
          <cell r="I13">
            <v>38826</v>
          </cell>
          <cell r="J13">
            <v>38835</v>
          </cell>
          <cell r="K13">
            <v>38870</v>
          </cell>
          <cell r="L13">
            <v>38870</v>
          </cell>
          <cell r="M13" t="str">
            <v>EUR</v>
          </cell>
          <cell r="N13">
            <v>-34.4</v>
          </cell>
          <cell r="O13" t="str">
            <v>COP</v>
          </cell>
          <cell r="P13">
            <v>-98990</v>
          </cell>
          <cell r="Q13">
            <v>-109722</v>
          </cell>
          <cell r="R13">
            <v>0</v>
          </cell>
        </row>
        <row r="14">
          <cell r="A14" t="str">
            <v>7985060</v>
          </cell>
          <cell r="B14" t="str">
            <v>S420100000</v>
          </cell>
          <cell r="C14">
            <v>167998</v>
          </cell>
          <cell r="D14" t="str">
            <v>630307</v>
          </cell>
          <cell r="E14" t="str">
            <v>RE</v>
          </cell>
          <cell r="F14" t="str">
            <v>31</v>
          </cell>
          <cell r="G14" t="str">
            <v>939381</v>
          </cell>
          <cell r="H14" t="str">
            <v>EG06042707</v>
          </cell>
          <cell r="I14">
            <v>38827</v>
          </cell>
          <cell r="J14">
            <v>38835</v>
          </cell>
          <cell r="K14">
            <v>38870</v>
          </cell>
          <cell r="L14">
            <v>38870</v>
          </cell>
          <cell r="M14" t="str">
            <v>EUR</v>
          </cell>
          <cell r="N14">
            <v>-34.729999999999997</v>
          </cell>
          <cell r="O14" t="str">
            <v>COP</v>
          </cell>
          <cell r="P14">
            <v>-100077</v>
          </cell>
          <cell r="Q14">
            <v>-110774</v>
          </cell>
          <cell r="R14">
            <v>0</v>
          </cell>
        </row>
        <row r="15">
          <cell r="A15" t="str">
            <v>7985060</v>
          </cell>
          <cell r="B15" t="str">
            <v>S420100000</v>
          </cell>
          <cell r="C15">
            <v>168605</v>
          </cell>
          <cell r="D15" t="str">
            <v>639637</v>
          </cell>
          <cell r="E15" t="str">
            <v>RE</v>
          </cell>
          <cell r="F15" t="str">
            <v>31</v>
          </cell>
          <cell r="G15" t="str">
            <v>939381</v>
          </cell>
          <cell r="H15" t="str">
            <v>EG06042806</v>
          </cell>
          <cell r="I15">
            <v>38832</v>
          </cell>
          <cell r="J15">
            <v>38836</v>
          </cell>
          <cell r="K15">
            <v>38870</v>
          </cell>
          <cell r="L15">
            <v>38870</v>
          </cell>
          <cell r="M15" t="str">
            <v>EUR</v>
          </cell>
          <cell r="N15">
            <v>-167.96</v>
          </cell>
          <cell r="O15" t="str">
            <v>COP</v>
          </cell>
          <cell r="P15">
            <v>-489437</v>
          </cell>
          <cell r="Q15">
            <v>-535723</v>
          </cell>
          <cell r="R15">
            <v>0</v>
          </cell>
        </row>
        <row r="16">
          <cell r="A16" t="str">
            <v>7985060</v>
          </cell>
          <cell r="B16" t="str">
            <v>S420100000</v>
          </cell>
          <cell r="C16">
            <v>168392</v>
          </cell>
          <cell r="D16" t="str">
            <v>639715</v>
          </cell>
          <cell r="E16" t="str">
            <v>RE</v>
          </cell>
          <cell r="F16" t="str">
            <v>31</v>
          </cell>
          <cell r="G16" t="str">
            <v>939381</v>
          </cell>
          <cell r="H16" t="str">
            <v>EG06042805</v>
          </cell>
          <cell r="I16">
            <v>38772</v>
          </cell>
          <cell r="J16">
            <v>38836</v>
          </cell>
          <cell r="K16">
            <v>38870</v>
          </cell>
          <cell r="L16">
            <v>38870</v>
          </cell>
          <cell r="M16" t="str">
            <v>EUR</v>
          </cell>
          <cell r="N16">
            <v>-267.75</v>
          </cell>
          <cell r="O16" t="str">
            <v>COP</v>
          </cell>
          <cell r="P16">
            <v>-780225</v>
          </cell>
          <cell r="Q16">
            <v>-854011</v>
          </cell>
          <cell r="R16">
            <v>0</v>
          </cell>
        </row>
        <row r="17">
          <cell r="A17" t="str">
            <v>7985060</v>
          </cell>
          <cell r="B17" t="str">
            <v>S420100000</v>
          </cell>
          <cell r="C17">
            <v>197821</v>
          </cell>
          <cell r="D17" t="str">
            <v>647119</v>
          </cell>
          <cell r="E17" t="str">
            <v>RE</v>
          </cell>
          <cell r="F17" t="str">
            <v>31</v>
          </cell>
          <cell r="G17" t="str">
            <v>939381</v>
          </cell>
          <cell r="H17" t="str">
            <v>EG06020608</v>
          </cell>
          <cell r="I17">
            <v>38754</v>
          </cell>
          <cell r="J17">
            <v>38836</v>
          </cell>
          <cell r="K17">
            <v>38870</v>
          </cell>
          <cell r="L17">
            <v>38870</v>
          </cell>
          <cell r="M17" t="str">
            <v>EUR</v>
          </cell>
          <cell r="N17">
            <v>-290.92</v>
          </cell>
          <cell r="O17" t="str">
            <v>COP</v>
          </cell>
          <cell r="P17">
            <v>-819684</v>
          </cell>
          <cell r="Q17">
            <v>-927914</v>
          </cell>
          <cell r="R17">
            <v>0</v>
          </cell>
        </row>
        <row r="18">
          <cell r="A18" t="str">
            <v>7985060</v>
          </cell>
          <cell r="B18" t="str">
            <v>S420100000</v>
          </cell>
          <cell r="C18">
            <v>197420</v>
          </cell>
          <cell r="D18" t="str">
            <v>647140</v>
          </cell>
          <cell r="E18" t="str">
            <v>RE</v>
          </cell>
          <cell r="F18" t="str">
            <v>31</v>
          </cell>
          <cell r="G18" t="str">
            <v>939381</v>
          </cell>
          <cell r="H18" t="str">
            <v>EG06020306</v>
          </cell>
          <cell r="I18">
            <v>38754</v>
          </cell>
          <cell r="J18">
            <v>38836</v>
          </cell>
          <cell r="K18">
            <v>38870</v>
          </cell>
          <cell r="L18">
            <v>38870</v>
          </cell>
          <cell r="M18" t="str">
            <v>EUR</v>
          </cell>
          <cell r="N18">
            <v>-2.16</v>
          </cell>
          <cell r="O18" t="str">
            <v>COP</v>
          </cell>
          <cell r="P18">
            <v>-6086</v>
          </cell>
          <cell r="Q18">
            <v>-6890</v>
          </cell>
          <cell r="R18">
            <v>0</v>
          </cell>
        </row>
        <row r="19">
          <cell r="A19" t="str">
            <v>7985060</v>
          </cell>
          <cell r="B19" t="str">
            <v>S420100000</v>
          </cell>
          <cell r="C19">
            <v>198013</v>
          </cell>
          <cell r="D19" t="str">
            <v>647162</v>
          </cell>
          <cell r="E19" t="str">
            <v>RE</v>
          </cell>
          <cell r="F19" t="str">
            <v>31</v>
          </cell>
          <cell r="G19" t="str">
            <v>939381</v>
          </cell>
          <cell r="H19" t="str">
            <v>EG06020609</v>
          </cell>
          <cell r="I19">
            <v>38754</v>
          </cell>
          <cell r="J19">
            <v>38836</v>
          </cell>
          <cell r="K19">
            <v>38870</v>
          </cell>
          <cell r="L19">
            <v>38870</v>
          </cell>
          <cell r="M19" t="str">
            <v>EUR</v>
          </cell>
          <cell r="N19">
            <v>-262.33</v>
          </cell>
          <cell r="O19" t="str">
            <v>COP</v>
          </cell>
          <cell r="P19">
            <v>-739130</v>
          </cell>
          <cell r="Q19">
            <v>-836724</v>
          </cell>
          <cell r="R19">
            <v>0</v>
          </cell>
        </row>
        <row r="20">
          <cell r="A20" t="str">
            <v>7985060</v>
          </cell>
          <cell r="B20" t="str">
            <v>S420100000</v>
          </cell>
          <cell r="C20">
            <v>169005</v>
          </cell>
          <cell r="D20" t="str">
            <v>733429</v>
          </cell>
          <cell r="E20" t="str">
            <v>RE</v>
          </cell>
          <cell r="F20" t="str">
            <v>31</v>
          </cell>
          <cell r="G20" t="str">
            <v>939381</v>
          </cell>
          <cell r="H20" t="str">
            <v>EG06050217</v>
          </cell>
          <cell r="I20">
            <v>38834</v>
          </cell>
          <cell r="J20">
            <v>38854</v>
          </cell>
          <cell r="K20">
            <v>38870</v>
          </cell>
          <cell r="L20">
            <v>38870</v>
          </cell>
          <cell r="M20" t="str">
            <v>EUR</v>
          </cell>
          <cell r="N20">
            <v>-341</v>
          </cell>
          <cell r="O20" t="str">
            <v>COP</v>
          </cell>
          <cell r="P20">
            <v>-1054309</v>
          </cell>
          <cell r="Q20">
            <v>-1087648</v>
          </cell>
          <cell r="R20">
            <v>0</v>
          </cell>
        </row>
        <row r="21">
          <cell r="A21" t="str">
            <v>7985060</v>
          </cell>
          <cell r="B21" t="str">
            <v>S420100000</v>
          </cell>
          <cell r="C21">
            <v>165808</v>
          </cell>
          <cell r="D21" t="str">
            <v>780512</v>
          </cell>
          <cell r="E21" t="str">
            <v>RE</v>
          </cell>
          <cell r="F21" t="str">
            <v>31</v>
          </cell>
          <cell r="G21" t="str">
            <v>939381</v>
          </cell>
          <cell r="H21" t="str">
            <v>EG-17747</v>
          </cell>
          <cell r="I21">
            <v>38807</v>
          </cell>
          <cell r="J21">
            <v>38861</v>
          </cell>
          <cell r="K21">
            <v>38870</v>
          </cell>
          <cell r="L21">
            <v>38870</v>
          </cell>
          <cell r="M21" t="str">
            <v>EUR</v>
          </cell>
          <cell r="N21">
            <v>-10496.32</v>
          </cell>
          <cell r="O21" t="str">
            <v>COP</v>
          </cell>
          <cell r="P21">
            <v>-30296315</v>
          </cell>
          <cell r="Q21">
            <v>-33478896</v>
          </cell>
          <cell r="R21">
            <v>0</v>
          </cell>
        </row>
      </sheetData>
      <sheetData sheetId="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.vsLis."/>
      <sheetName val="Costo"/>
      <sheetName val="Costo Reexp."/>
      <sheetName val="Dep.Costo."/>
      <sheetName val="Dep.Costo. Rex"/>
      <sheetName val="Calc.G.Deprec."/>
      <sheetName val="Cal.G.Depr.Reexp."/>
      <sheetName val="ADICIONES"/>
      <sheetName val="Relac DEP-COSTO"/>
      <sheetName val="Nota"/>
      <sheetName val="An. Bajas"/>
      <sheetName val="XREF"/>
      <sheetName val="Tickmarks"/>
      <sheetName val="An.Adiciones"/>
      <sheetName val="Adiciones seleccionadas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M"/>
      <sheetName val="Brazil"/>
      <sheetName val="Brazil (USD)"/>
      <sheetName val="By BRM"/>
      <sheetName val="By Director"/>
      <sheetName val="By IP"/>
      <sheetName val="Pipeline"/>
      <sheetName val="Sheet1"/>
      <sheetName val="Pipeline (LastMeeting)"/>
      <sheetName val="Reports"/>
      <sheetName val="Ibero"/>
      <sheetName val="Pipeline (Lost)"/>
      <sheetName val="Customers"/>
      <sheetName val="MasterTables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">
          <cell r="B2">
            <v>0</v>
          </cell>
        </row>
        <row r="3">
          <cell r="B3">
            <v>1</v>
          </cell>
        </row>
        <row r="4">
          <cell r="B4">
            <v>2</v>
          </cell>
        </row>
        <row r="5">
          <cell r="B5">
            <v>3</v>
          </cell>
        </row>
        <row r="6">
          <cell r="B6">
            <v>4</v>
          </cell>
        </row>
        <row r="7">
          <cell r="B7">
            <v>5</v>
          </cell>
        </row>
        <row r="8">
          <cell r="B8">
            <v>6</v>
          </cell>
        </row>
        <row r="9">
          <cell r="B9">
            <v>7</v>
          </cell>
        </row>
        <row r="10">
          <cell r="B10">
            <v>8</v>
          </cell>
        </row>
        <row r="11">
          <cell r="B11">
            <v>9</v>
          </cell>
        </row>
        <row r="12">
          <cell r="B12">
            <v>10</v>
          </cell>
        </row>
        <row r="13">
          <cell r="B13">
            <v>11</v>
          </cell>
        </row>
        <row r="14">
          <cell r="B14">
            <v>12</v>
          </cell>
        </row>
      </sheetData>
      <sheetData sheetId="1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4201-OBB"/>
      <sheetName val="S4201-AP CO"/>
    </sheetNames>
    <sheetDataSet>
      <sheetData sheetId="0" refreshError="1"/>
      <sheetData sheetId="1">
        <row r="2">
          <cell r="A2" t="str">
            <v>420000C718</v>
          </cell>
        </row>
        <row r="3">
          <cell r="A3" t="str">
            <v>420000C718</v>
          </cell>
        </row>
        <row r="4">
          <cell r="A4" t="str">
            <v>420000C718</v>
          </cell>
        </row>
        <row r="5">
          <cell r="A5" t="str">
            <v>420000C718</v>
          </cell>
        </row>
        <row r="6">
          <cell r="A6" t="str">
            <v>420000C718</v>
          </cell>
        </row>
        <row r="7">
          <cell r="A7" t="str">
            <v>420000C718</v>
          </cell>
        </row>
        <row r="8">
          <cell r="A8" t="str">
            <v>420000C718</v>
          </cell>
        </row>
        <row r="9">
          <cell r="A9" t="str">
            <v>420000C718</v>
          </cell>
        </row>
        <row r="10">
          <cell r="A10" t="str">
            <v>420000C718</v>
          </cell>
        </row>
        <row r="11">
          <cell r="A11" t="str">
            <v>420000C718</v>
          </cell>
        </row>
        <row r="12">
          <cell r="A12" t="str">
            <v>420000C718</v>
          </cell>
        </row>
        <row r="13">
          <cell r="A13" t="str">
            <v>420000C718</v>
          </cell>
        </row>
        <row r="14">
          <cell r="A14" t="str">
            <v>420000C718</v>
          </cell>
        </row>
        <row r="15">
          <cell r="A15" t="str">
            <v>420000C718</v>
          </cell>
        </row>
        <row r="17">
          <cell r="A17" t="str">
            <v>420000C718</v>
          </cell>
        </row>
        <row r="18">
          <cell r="A18" t="str">
            <v>420000C718</v>
          </cell>
        </row>
        <row r="19">
          <cell r="A19" t="str">
            <v>420000C718</v>
          </cell>
        </row>
        <row r="20">
          <cell r="A20" t="str">
            <v>420000C718</v>
          </cell>
        </row>
        <row r="21">
          <cell r="A21" t="str">
            <v>420000C718</v>
          </cell>
        </row>
        <row r="22">
          <cell r="A22" t="str">
            <v>420000C718</v>
          </cell>
        </row>
        <row r="23">
          <cell r="A23" t="str">
            <v>420000C718</v>
          </cell>
        </row>
        <row r="24">
          <cell r="A24" t="str">
            <v>420000C718</v>
          </cell>
        </row>
        <row r="25">
          <cell r="A25" t="str">
            <v>420000C718</v>
          </cell>
        </row>
        <row r="26">
          <cell r="A26" t="str">
            <v>420000C718</v>
          </cell>
        </row>
        <row r="27">
          <cell r="A27" t="str">
            <v>420000C718</v>
          </cell>
        </row>
        <row r="28">
          <cell r="A28" t="str">
            <v>420000C718</v>
          </cell>
        </row>
        <row r="29">
          <cell r="A29" t="str">
            <v>420000C718</v>
          </cell>
        </row>
        <row r="30">
          <cell r="A30" t="str">
            <v>420000C718</v>
          </cell>
        </row>
        <row r="31">
          <cell r="A31" t="str">
            <v>420000C718</v>
          </cell>
        </row>
        <row r="32">
          <cell r="A32" t="str">
            <v>420000C718</v>
          </cell>
        </row>
        <row r="33">
          <cell r="A33" t="str">
            <v>420000C718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.vsLis."/>
      <sheetName val="NotaEF"/>
      <sheetName val="Costo"/>
      <sheetName val="Costo Reexp."/>
      <sheetName val="Dep.Costo."/>
      <sheetName val="Dep.Costo. Rex"/>
      <sheetName val="Calc.global deprec"/>
      <sheetName val="Calc.Gasto Costo Reexp."/>
      <sheetName val="Adiciones"/>
      <sheetName val="An.I.Trans."/>
      <sheetName val="MMACtaActivo"/>
      <sheetName val="MMACtAdiciones"/>
      <sheetName val="An.Adiciones"/>
      <sheetName val="Relac DEP-COSTO"/>
      <sheetName val="Nota"/>
      <sheetName val="Excess Calc"/>
      <sheetName val="Threshold Calc"/>
      <sheetName val="XREF"/>
      <sheetName val="Tickmarks"/>
      <sheetName val="CURVA#2.003"/>
      <sheetName val="Senior Debt"/>
    </sheetNames>
    <sheetDataSet>
      <sheetData sheetId="0">
        <row r="6">
          <cell r="B6">
            <v>25651.200000000001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B6">
            <v>25651.200000000001</v>
          </cell>
        </row>
      </sheetData>
      <sheetData sheetId="14">
        <row r="6">
          <cell r="B6">
            <v>25651.200000000001</v>
          </cell>
        </row>
      </sheetData>
      <sheetData sheetId="15">
        <row r="6">
          <cell r="B6">
            <v>25651.200000000001</v>
          </cell>
        </row>
      </sheetData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os y Gastos - final"/>
      <sheetName val="Asignaciones final"/>
      <sheetName val="Costos y Gastos"/>
      <sheetName val="Asignaciones"/>
      <sheetName val="Compras-Costo Vehículos"/>
      <sheetName val="Compras-Costo Repuestos"/>
      <sheetName val="Vtas-Costo Vehículos"/>
      <sheetName val="Vtas-Costo Repuestos"/>
      <sheetName val="Vtas-Costo Taller"/>
      <sheetName val="Marcas Estándar"/>
      <sheetName val="XREF"/>
      <sheetName val="Compras Veh."/>
      <sheetName val="compras Rep."/>
      <sheetName val="Import. Rep."/>
      <sheetName val="#REF"/>
      <sheetName val="COSTO ACUM -AGO-04"/>
      <sheetName val="MOI"/>
      <sheetName val="CIF 2004"/>
      <sheetName val="MMA"/>
      <sheetName val="Análisis APT"/>
      <sheetName val="Horas Extras"/>
      <sheetName val="Tickmarks"/>
      <sheetName val="Detalle"/>
      <sheetName val="Análisis (Ajustado)"/>
      <sheetName val="MMA (Dic)"/>
      <sheetName val="APT"/>
      <sheetName val="Honorarios"/>
      <sheetName val="Análisis"/>
      <sheetName val="Límite"/>
      <sheetName val="Tabla"/>
      <sheetName val="Movimiento"/>
      <sheetName val="Datos"/>
      <sheetName val="STAR"/>
      <sheetName val="Base Star"/>
      <sheetName val="Lista de Aplicación STAR"/>
      <sheetName val="APT "/>
      <sheetName val="Costo de Ventas"/>
      <sheetName val="Revisión Analítica"/>
      <sheetName val="Revisión Mensual"/>
      <sheetName val="Evolución de Prec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ovimiento Inventarios"/>
      <sheetName val="Conciliación listado"/>
      <sheetName val="Toma física y valuación"/>
      <sheetName val="MMA Compras Final"/>
      <sheetName val="MMA"/>
      <sheetName val="APT Compras de Inventario"/>
      <sheetName val="Pasivos No registrados"/>
      <sheetName val="MMA Imp. tránsito"/>
      <sheetName val="Inv. Transito Final"/>
      <sheetName val="Impor. en Tránsito"/>
      <sheetName val="Mov. Baja Inventarios"/>
      <sheetName val="Listado"/>
      <sheetName val="Toma Física Agosto 2006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Antigüedad cartera"/>
      <sheetName val="Provisión Ingresos Comerciales"/>
      <sheetName val="Préstamos empleados"/>
      <sheetName val="Cobros posteriores"/>
      <sheetName val="Confirmación"/>
      <sheetName val="SEGUROS 6"/>
      <sheetName val="XREF"/>
      <sheetName val="Tickmarks"/>
    </sheetNames>
    <sheetDataSet>
      <sheetData sheetId="0">
        <row r="99">
          <cell r="H99">
            <v>3079809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>
        <row r="6">
          <cell r="E6" t="str">
            <v>!</v>
          </cell>
        </row>
      </sheetData>
      <sheetData sheetId="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COMPARATIVO MR"/>
      <sheetName val="13000 ATÉ 31DEZ05"/>
      <sheetName val="COMPARATIVO R$original"/>
      <sheetName val="COMPARATIVO R$só outros "/>
      <sheetName val="COMPARATIVO R$só faturas"/>
      <sheetName val="S420100001 e TR"/>
      <sheetName val="119 - SPO"/>
      <sheetName val="139  - AllisonDivision"/>
      <sheetName val="450 - Holden"/>
      <sheetName val="552 5E4 5F8 - EUROP OPEL ESPANH"/>
      <sheetName val="5E5 - PWTStrasbourg "/>
      <sheetName val="5H5 - ISUZU"/>
      <sheetName val="610 - AfricaSul"/>
      <sheetName val="705 - Chile"/>
      <sheetName val="708 - México"/>
      <sheetName val="718 - Colmotores"/>
      <sheetName val="732 - Argentina"/>
      <sheetName val="9F4 - Hungary "/>
      <sheetName val="5F1 - AllisoEurope"/>
      <sheetName val="9B6 - Shanghai"/>
      <sheetName val="Não Aliado - eximtrade"/>
      <sheetName val="S441100002"/>
      <sheetName val="14000 SALDO DEZ2005"/>
      <sheetName val="Aging - S441100002"/>
      <sheetName val="não considera como fatura"/>
      <sheetName val="Lista do que não consta no extr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 SEPTIEMBRE"/>
      <sheetName val="BG"/>
      <sheetName val="PG"/>
    </sheetNames>
    <sheetDataSet>
      <sheetData sheetId="0" refreshError="1">
        <row r="9">
          <cell r="E9" t="str">
            <v>ACTIVO</v>
          </cell>
          <cell r="F9" t="str">
            <v>ACTIVO</v>
          </cell>
        </row>
        <row r="11">
          <cell r="E11">
            <v>2000000000</v>
          </cell>
          <cell r="F11">
            <v>2000000000</v>
          </cell>
          <cell r="I11" t="str">
            <v>GASTOS DE CONSTITUCION</v>
          </cell>
          <cell r="K11">
            <v>5621.65</v>
          </cell>
          <cell r="M11">
            <v>5621.65</v>
          </cell>
          <cell r="O11">
            <v>0</v>
          </cell>
        </row>
        <row r="12">
          <cell r="E12">
            <v>2000000000</v>
          </cell>
          <cell r="F12" t="str">
            <v>2000000000 Gastos de constitución</v>
          </cell>
          <cell r="K12">
            <v>5621.65</v>
          </cell>
          <cell r="M12">
            <v>5621.65</v>
          </cell>
          <cell r="O12">
            <v>0</v>
          </cell>
          <cell r="R12" t="str">
            <v>*6*</v>
          </cell>
        </row>
        <row r="13">
          <cell r="E13">
            <v>2130000000</v>
          </cell>
          <cell r="F13">
            <v>2130000000</v>
          </cell>
          <cell r="I13" t="str">
            <v>FONDO DE COMERCIO. COSTO</v>
          </cell>
          <cell r="K13">
            <v>3155863.61</v>
          </cell>
          <cell r="M13">
            <v>3155863.61</v>
          </cell>
          <cell r="O13">
            <v>0</v>
          </cell>
        </row>
        <row r="14">
          <cell r="E14">
            <v>2130000000</v>
          </cell>
          <cell r="F14" t="str">
            <v>2130000000 Fondo de comercio</v>
          </cell>
          <cell r="K14">
            <v>3155863.61</v>
          </cell>
          <cell r="M14">
            <v>3155863.61</v>
          </cell>
          <cell r="O14">
            <v>0</v>
          </cell>
          <cell r="R14" t="str">
            <v>*6*</v>
          </cell>
        </row>
        <row r="15">
          <cell r="E15">
            <v>2151000000</v>
          </cell>
          <cell r="F15">
            <v>2151000000</v>
          </cell>
          <cell r="I15" t="str">
            <v>APLICACIONES INFORMATICAS TERMINADAS. C</v>
          </cell>
          <cell r="K15">
            <v>29548.25</v>
          </cell>
          <cell r="M15">
            <v>29548.25</v>
          </cell>
          <cell r="O15">
            <v>0</v>
          </cell>
        </row>
        <row r="16">
          <cell r="E16">
            <v>2151000000</v>
          </cell>
          <cell r="F16" t="str">
            <v>2151000000 Aplicaciones informáticas</v>
          </cell>
          <cell r="K16">
            <v>29548.25</v>
          </cell>
          <cell r="M16">
            <v>29548.25</v>
          </cell>
          <cell r="O16">
            <v>0</v>
          </cell>
          <cell r="R16" t="str">
            <v>*6*</v>
          </cell>
        </row>
        <row r="17">
          <cell r="E17" t="str">
            <v>****COSTO</v>
          </cell>
          <cell r="F17" t="str">
            <v>****COSTO BRUTO INMOV. INMATERIAL</v>
          </cell>
          <cell r="K17">
            <v>3191033.51</v>
          </cell>
          <cell r="M17">
            <v>3191033.51</v>
          </cell>
          <cell r="O17">
            <v>0</v>
          </cell>
          <cell r="R17" t="str">
            <v>*4*</v>
          </cell>
        </row>
        <row r="18">
          <cell r="E18" t="str">
            <v>==========</v>
          </cell>
          <cell r="F18" t="str">
            <v>=============================================</v>
          </cell>
        </row>
        <row r="19">
          <cell r="E19">
            <v>8302281300</v>
          </cell>
          <cell r="F19">
            <v>8302281300</v>
          </cell>
          <cell r="I19" t="str">
            <v>AMORTIZACION ACUMULADA DEL FONDO DE COM</v>
          </cell>
          <cell r="K19">
            <v>-1519043.57</v>
          </cell>
          <cell r="M19">
            <v>-1481480.3</v>
          </cell>
          <cell r="O19">
            <v>-37563.269999999997</v>
          </cell>
          <cell r="Q19">
            <v>-2.5</v>
          </cell>
        </row>
        <row r="20">
          <cell r="E20">
            <v>2813000000</v>
          </cell>
          <cell r="F20" t="str">
            <v>2813000000 Amort. acum. fondo de comercio</v>
          </cell>
          <cell r="K20">
            <v>-1519043.57</v>
          </cell>
          <cell r="M20">
            <v>-1481480.3</v>
          </cell>
          <cell r="O20">
            <v>-37563.269999999997</v>
          </cell>
          <cell r="Q20">
            <v>-2.5</v>
          </cell>
          <cell r="R20" t="str">
            <v>*6*</v>
          </cell>
        </row>
        <row r="21">
          <cell r="E21" t="str">
            <v>****AMORTI</v>
          </cell>
          <cell r="F21" t="str">
            <v>****AMORTIZ. ACUM. INMOV. INMATERIAL</v>
          </cell>
          <cell r="K21">
            <v>-1519043.57</v>
          </cell>
          <cell r="M21">
            <v>-1481480.3</v>
          </cell>
          <cell r="O21">
            <v>-37563.269999999997</v>
          </cell>
          <cell r="Q21">
            <v>-2.5</v>
          </cell>
          <cell r="R21" t="str">
            <v>*4*</v>
          </cell>
        </row>
        <row r="22">
          <cell r="E22" t="str">
            <v>==========</v>
          </cell>
          <cell r="F22" t="str">
            <v>=============================================</v>
          </cell>
        </row>
        <row r="23">
          <cell r="E23" t="str">
            <v>TOTAL INMOVILIZADO INMATERIAL</v>
          </cell>
          <cell r="F23" t="str">
            <v>TOTAL INMOVILIZADO INMATERIAL</v>
          </cell>
          <cell r="K23">
            <v>1671989.94</v>
          </cell>
          <cell r="M23">
            <v>1709553.21</v>
          </cell>
          <cell r="O23">
            <v>-37563.269999999997</v>
          </cell>
          <cell r="Q23">
            <v>-2.2000000000000002</v>
          </cell>
          <cell r="R23" t="str">
            <v>*3*</v>
          </cell>
        </row>
        <row r="24">
          <cell r="E24" t="str">
            <v>==========</v>
          </cell>
          <cell r="F24" t="str">
            <v>=============================================</v>
          </cell>
        </row>
        <row r="26">
          <cell r="E26">
            <v>2200300000</v>
          </cell>
          <cell r="F26">
            <v>2200300000</v>
          </cell>
          <cell r="I26" t="str">
            <v>TERRENOS DE ESTACIONES DE SERVICIO. COS</v>
          </cell>
          <cell r="K26">
            <v>21892.41</v>
          </cell>
          <cell r="M26">
            <v>21892.41</v>
          </cell>
          <cell r="O26">
            <v>0</v>
          </cell>
        </row>
        <row r="27">
          <cell r="E27">
            <v>2200300000</v>
          </cell>
          <cell r="F27" t="str">
            <v>2200300000 Terrenos de estaciones de servicio</v>
          </cell>
          <cell r="K27">
            <v>21892.41</v>
          </cell>
          <cell r="M27">
            <v>21892.41</v>
          </cell>
          <cell r="O27">
            <v>0</v>
          </cell>
          <cell r="R27" t="str">
            <v>*6*</v>
          </cell>
        </row>
        <row r="28">
          <cell r="E28">
            <v>2200390000</v>
          </cell>
          <cell r="F28">
            <v>2200390000</v>
          </cell>
          <cell r="I28" t="str">
            <v>TERRENOS PARA OTRAS INSTALACIONES. COST</v>
          </cell>
          <cell r="K28">
            <v>50000</v>
          </cell>
          <cell r="M28">
            <v>50000</v>
          </cell>
          <cell r="O28">
            <v>0</v>
          </cell>
        </row>
        <row r="29">
          <cell r="E29">
            <v>2200390000</v>
          </cell>
          <cell r="F29" t="str">
            <v>2200390000 Terrenos para otras instalaciones</v>
          </cell>
          <cell r="K29">
            <v>50000</v>
          </cell>
          <cell r="M29">
            <v>50000</v>
          </cell>
          <cell r="O29">
            <v>0</v>
          </cell>
          <cell r="R29" t="str">
            <v>*6*</v>
          </cell>
        </row>
        <row r="30">
          <cell r="K30">
            <v>71892.41</v>
          </cell>
          <cell r="M30">
            <v>71892.41</v>
          </cell>
          <cell r="O30">
            <v>0</v>
          </cell>
          <cell r="R30" t="str">
            <v>*5*</v>
          </cell>
        </row>
        <row r="31">
          <cell r="E31">
            <v>2210200000</v>
          </cell>
          <cell r="F31">
            <v>2210200000</v>
          </cell>
          <cell r="I31" t="str">
            <v>EDIFICIOS EN ESTACIONES DE SERVICIO. CO</v>
          </cell>
          <cell r="K31">
            <v>90948.24</v>
          </cell>
          <cell r="M31">
            <v>90948.24</v>
          </cell>
          <cell r="O31">
            <v>0</v>
          </cell>
        </row>
        <row r="32">
          <cell r="E32">
            <v>2210200000</v>
          </cell>
          <cell r="F32" t="str">
            <v>2210200000 Edificios en estac. de servicio</v>
          </cell>
          <cell r="K32">
            <v>90948.24</v>
          </cell>
          <cell r="M32">
            <v>90948.24</v>
          </cell>
          <cell r="O32">
            <v>0</v>
          </cell>
          <cell r="R32" t="str">
            <v>*6*</v>
          </cell>
        </row>
        <row r="33">
          <cell r="K33">
            <v>90948.24</v>
          </cell>
          <cell r="M33">
            <v>90948.24</v>
          </cell>
          <cell r="O33">
            <v>0</v>
          </cell>
          <cell r="R33" t="str">
            <v>*5*</v>
          </cell>
        </row>
        <row r="34">
          <cell r="E34">
            <v>2220200000</v>
          </cell>
          <cell r="F34">
            <v>2220200000</v>
          </cell>
          <cell r="I34" t="str">
            <v>INSTALACIONES DE CARGADEROS Y DESCARGAD</v>
          </cell>
          <cell r="K34">
            <v>959971.77</v>
          </cell>
          <cell r="M34">
            <v>959971.77</v>
          </cell>
          <cell r="O34">
            <v>0</v>
          </cell>
        </row>
        <row r="35">
          <cell r="E35">
            <v>2220200000</v>
          </cell>
          <cell r="F35" t="str">
            <v>2220200000 Instalac. de cargadero y descarg.</v>
          </cell>
          <cell r="K35">
            <v>959971.77</v>
          </cell>
          <cell r="M35">
            <v>959971.77</v>
          </cell>
          <cell r="O35">
            <v>0</v>
          </cell>
          <cell r="R35" t="str">
            <v>*6*</v>
          </cell>
        </row>
        <row r="36">
          <cell r="E36">
            <v>2220600000</v>
          </cell>
          <cell r="F36">
            <v>2220600000</v>
          </cell>
          <cell r="I36" t="str">
            <v>INSTALACIONES DE ESTACIONES DE SERVICIO</v>
          </cell>
          <cell r="K36">
            <v>4413610.58</v>
          </cell>
          <cell r="M36">
            <v>4413610.58</v>
          </cell>
          <cell r="O36">
            <v>0</v>
          </cell>
        </row>
        <row r="37">
          <cell r="E37">
            <v>2220600000</v>
          </cell>
          <cell r="F37" t="str">
            <v>2220600000 Instalaciones de EE.SS.</v>
          </cell>
          <cell r="K37">
            <v>4413610.58</v>
          </cell>
          <cell r="M37">
            <v>4413610.58</v>
          </cell>
          <cell r="O37">
            <v>0</v>
          </cell>
          <cell r="R37" t="str">
            <v>*6*</v>
          </cell>
        </row>
        <row r="38">
          <cell r="K38">
            <v>5373582.3499999996</v>
          </cell>
          <cell r="M38">
            <v>5373582.3499999996</v>
          </cell>
          <cell r="O38">
            <v>0</v>
          </cell>
          <cell r="R38" t="str">
            <v>*5*</v>
          </cell>
        </row>
        <row r="39">
          <cell r="E39">
            <v>2260000000</v>
          </cell>
          <cell r="F39">
            <v>2260000000</v>
          </cell>
          <cell r="I39" t="str">
            <v>MOBILIARIO</v>
          </cell>
          <cell r="K39">
            <v>20409.04</v>
          </cell>
          <cell r="M39">
            <v>20409.04</v>
          </cell>
          <cell r="O39">
            <v>0</v>
          </cell>
        </row>
        <row r="40">
          <cell r="E40">
            <v>2260000000</v>
          </cell>
          <cell r="F40" t="str">
            <v>2260000000 Mobiliario</v>
          </cell>
          <cell r="K40">
            <v>20409.04</v>
          </cell>
          <cell r="M40">
            <v>20409.04</v>
          </cell>
          <cell r="O40">
            <v>0</v>
          </cell>
          <cell r="R40" t="str">
            <v>*6*</v>
          </cell>
        </row>
        <row r="41">
          <cell r="E41">
            <v>2260100000</v>
          </cell>
          <cell r="F41">
            <v>2260100000</v>
          </cell>
          <cell r="I41" t="str">
            <v>EQUIPOS DE OFICINA. COSTO</v>
          </cell>
          <cell r="K41">
            <v>12771.56</v>
          </cell>
          <cell r="M41">
            <v>12771.56</v>
          </cell>
          <cell r="O41">
            <v>0</v>
          </cell>
        </row>
        <row r="42">
          <cell r="E42">
            <v>2260100000</v>
          </cell>
          <cell r="F42" t="str">
            <v>2260100000 Equipo de oficina</v>
          </cell>
          <cell r="K42">
            <v>12771.56</v>
          </cell>
          <cell r="M42">
            <v>12771.56</v>
          </cell>
          <cell r="O42">
            <v>0</v>
          </cell>
          <cell r="R42" t="str">
            <v>*6*</v>
          </cell>
        </row>
        <row r="43">
          <cell r="E43">
            <v>2260200000</v>
          </cell>
          <cell r="F43">
            <v>2260200000</v>
          </cell>
          <cell r="I43" t="str">
            <v>ENSERES DIVERSOS. COSTO</v>
          </cell>
          <cell r="K43">
            <v>335.11</v>
          </cell>
          <cell r="M43">
            <v>335.11</v>
          </cell>
          <cell r="O43">
            <v>0</v>
          </cell>
        </row>
        <row r="44">
          <cell r="E44">
            <v>2260200000</v>
          </cell>
          <cell r="F44" t="str">
            <v>2260200000 Enseres diversos</v>
          </cell>
          <cell r="K44">
            <v>335.11</v>
          </cell>
          <cell r="M44">
            <v>335.11</v>
          </cell>
          <cell r="O44">
            <v>0</v>
          </cell>
          <cell r="R44" t="str">
            <v>*6*</v>
          </cell>
        </row>
        <row r="45">
          <cell r="K45">
            <v>33515.71</v>
          </cell>
          <cell r="M45">
            <v>33515.71</v>
          </cell>
          <cell r="O45">
            <v>0</v>
          </cell>
          <cell r="R45" t="str">
            <v>*5*</v>
          </cell>
        </row>
        <row r="46">
          <cell r="E46">
            <v>2270000000</v>
          </cell>
          <cell r="F46">
            <v>2270000000</v>
          </cell>
          <cell r="I46" t="str">
            <v>EQUIPOS PARA PROCESO DE DATOS. COSTO</v>
          </cell>
          <cell r="K46">
            <v>17257.53</v>
          </cell>
          <cell r="M46">
            <v>17257.53</v>
          </cell>
          <cell r="O46">
            <v>0</v>
          </cell>
        </row>
        <row r="47">
          <cell r="E47">
            <v>2270000000</v>
          </cell>
          <cell r="F47" t="str">
            <v>2270000000 Equipo para proceso de datos</v>
          </cell>
          <cell r="K47">
            <v>17257.53</v>
          </cell>
          <cell r="M47">
            <v>17257.53</v>
          </cell>
          <cell r="O47">
            <v>0</v>
          </cell>
          <cell r="R47" t="str">
            <v>*6*</v>
          </cell>
        </row>
        <row r="48">
          <cell r="K48">
            <v>17257.53</v>
          </cell>
          <cell r="M48">
            <v>17257.53</v>
          </cell>
          <cell r="O48">
            <v>0</v>
          </cell>
          <cell r="R48" t="str">
            <v>*5*</v>
          </cell>
        </row>
        <row r="49">
          <cell r="E49">
            <v>2280000000</v>
          </cell>
          <cell r="F49">
            <v>2280000000</v>
          </cell>
          <cell r="I49" t="str">
            <v>ELEMENTOS DE TRANSPORTE POR CARRETERA.</v>
          </cell>
          <cell r="K49">
            <v>15859.39</v>
          </cell>
          <cell r="M49">
            <v>15859.39</v>
          </cell>
          <cell r="O49">
            <v>0</v>
          </cell>
        </row>
        <row r="50">
          <cell r="E50">
            <v>2280000000</v>
          </cell>
          <cell r="F50" t="str">
            <v>2280000000 Elementos de transp. por carretera</v>
          </cell>
          <cell r="K50">
            <v>15859.39</v>
          </cell>
          <cell r="M50">
            <v>15859.39</v>
          </cell>
          <cell r="O50">
            <v>0</v>
          </cell>
          <cell r="R50" t="str">
            <v>*6*</v>
          </cell>
        </row>
        <row r="51">
          <cell r="K51">
            <v>15859.39</v>
          </cell>
          <cell r="M51">
            <v>15859.39</v>
          </cell>
          <cell r="O51">
            <v>0</v>
          </cell>
          <cell r="R51" t="str">
            <v>*5*</v>
          </cell>
        </row>
        <row r="52">
          <cell r="E52" t="str">
            <v>****COSTO</v>
          </cell>
          <cell r="F52" t="str">
            <v>****COSTO BRUTO INMOV. MATERIAL</v>
          </cell>
          <cell r="K52">
            <v>5603055.6299999999</v>
          </cell>
          <cell r="M52">
            <v>5603055.6299999999</v>
          </cell>
          <cell r="O52">
            <v>0</v>
          </cell>
          <cell r="R52" t="str">
            <v>*4*</v>
          </cell>
        </row>
        <row r="53">
          <cell r="E53">
            <v>8302282100</v>
          </cell>
          <cell r="F53">
            <v>8302282100</v>
          </cell>
          <cell r="I53" t="str">
            <v>AMORTIZACION ACUMULADA DE EDIFICIOS EN</v>
          </cell>
          <cell r="K53">
            <v>-53341.01</v>
          </cell>
          <cell r="M53">
            <v>-52648.94</v>
          </cell>
          <cell r="O53">
            <v>-692.07</v>
          </cell>
          <cell r="Q53">
            <v>-1.3</v>
          </cell>
        </row>
        <row r="54">
          <cell r="E54">
            <v>2821000000</v>
          </cell>
          <cell r="F54" t="str">
            <v>2821000000 Amort. acum. edificios EE.SS.</v>
          </cell>
          <cell r="K54">
            <v>-53341.01</v>
          </cell>
          <cell r="M54">
            <v>-52648.94</v>
          </cell>
          <cell r="O54">
            <v>-692.07</v>
          </cell>
          <cell r="Q54">
            <v>-1.3</v>
          </cell>
          <cell r="R54" t="str">
            <v>*6*</v>
          </cell>
        </row>
        <row r="55">
          <cell r="E55">
            <v>8302282200</v>
          </cell>
          <cell r="F55">
            <v>8302282200</v>
          </cell>
          <cell r="I55" t="str">
            <v>AMZ. ACUMULADA DE INSTALACIONES DE EE.S</v>
          </cell>
          <cell r="K55">
            <v>-1065013.8799999999</v>
          </cell>
          <cell r="M55">
            <v>-1061639.6499999999</v>
          </cell>
          <cell r="O55">
            <v>-3374.23</v>
          </cell>
          <cell r="Q55">
            <v>-0.3</v>
          </cell>
        </row>
        <row r="56">
          <cell r="E56">
            <v>2822000000</v>
          </cell>
          <cell r="F56" t="str">
            <v>2822000000 Amort. acum. instalac. EE.SS.</v>
          </cell>
          <cell r="K56">
            <v>-1065013.8799999999</v>
          </cell>
          <cell r="M56">
            <v>-1061639.6499999999</v>
          </cell>
          <cell r="O56">
            <v>-3374.23</v>
          </cell>
          <cell r="Q56">
            <v>-0.3</v>
          </cell>
          <cell r="R56" t="str">
            <v>*6*</v>
          </cell>
        </row>
        <row r="57">
          <cell r="E57">
            <v>8302282201</v>
          </cell>
          <cell r="F57">
            <v>8302282201</v>
          </cell>
          <cell r="I57" t="str">
            <v>AMZ. ACUMULADA DE INST. DE ALMACENAMIEN</v>
          </cell>
          <cell r="K57">
            <v>-305905.34000000003</v>
          </cell>
          <cell r="M57">
            <v>-271642.82</v>
          </cell>
          <cell r="O57">
            <v>-34262.519999999997</v>
          </cell>
          <cell r="Q57">
            <v>-12.6</v>
          </cell>
        </row>
        <row r="58">
          <cell r="E58">
            <v>2822010000</v>
          </cell>
          <cell r="F58" t="str">
            <v>2822010000 Amort. acum. instalac. de almac.</v>
          </cell>
          <cell r="K58">
            <v>-305905.34000000003</v>
          </cell>
          <cell r="M58">
            <v>-271642.82</v>
          </cell>
          <cell r="O58">
            <v>-34262.519999999997</v>
          </cell>
          <cell r="Q58">
            <v>-12.6</v>
          </cell>
          <cell r="R58" t="str">
            <v>*6*</v>
          </cell>
        </row>
        <row r="59">
          <cell r="E59">
            <v>8302282800</v>
          </cell>
          <cell r="F59">
            <v>8302282800</v>
          </cell>
          <cell r="I59" t="str">
            <v>AMZ.AC.ELEMENTOS DE TRANSPORTE POR CARR</v>
          </cell>
          <cell r="K59">
            <v>-11073.44</v>
          </cell>
          <cell r="M59">
            <v>-10898.38</v>
          </cell>
          <cell r="O59">
            <v>-175.06</v>
          </cell>
          <cell r="Q59">
            <v>-1.6</v>
          </cell>
        </row>
        <row r="60">
          <cell r="E60">
            <v>2828000000</v>
          </cell>
          <cell r="F60" t="str">
            <v>2828000000 Amz. ac. elem. de transp. x carret</v>
          </cell>
          <cell r="K60">
            <v>-11073.44</v>
          </cell>
          <cell r="M60">
            <v>-10898.38</v>
          </cell>
          <cell r="O60">
            <v>-175.06</v>
          </cell>
          <cell r="Q60">
            <v>-1.6</v>
          </cell>
          <cell r="R60" t="str">
            <v>*6*</v>
          </cell>
        </row>
        <row r="61">
          <cell r="E61" t="str">
            <v>****AMORTI</v>
          </cell>
          <cell r="F61" t="str">
            <v>****AMORTIZAC. ACUM. INMOV. MATERIAL</v>
          </cell>
          <cell r="K61">
            <v>-1435333.67</v>
          </cell>
          <cell r="M61">
            <v>-1396829.79</v>
          </cell>
          <cell r="O61">
            <v>-38503.879999999997</v>
          </cell>
          <cell r="Q61">
            <v>-2.8</v>
          </cell>
          <cell r="R61" t="str">
            <v>*4*</v>
          </cell>
        </row>
        <row r="62">
          <cell r="E62">
            <v>2310000000</v>
          </cell>
          <cell r="F62">
            <v>2310000000</v>
          </cell>
          <cell r="I62" t="str">
            <v>EDIFICIOS Y CONSTRUCCIONES EN CURSO. CO</v>
          </cell>
          <cell r="K62">
            <v>7756</v>
          </cell>
          <cell r="M62">
            <v>7756</v>
          </cell>
          <cell r="O62">
            <v>0</v>
          </cell>
        </row>
        <row r="63">
          <cell r="E63">
            <v>2310000000</v>
          </cell>
          <cell r="F63" t="str">
            <v>2310000000 Edificios y construcciones</v>
          </cell>
          <cell r="K63">
            <v>7756</v>
          </cell>
          <cell r="M63">
            <v>7756</v>
          </cell>
          <cell r="O63">
            <v>0</v>
          </cell>
          <cell r="R63" t="str">
            <v>*6*</v>
          </cell>
        </row>
        <row r="64">
          <cell r="E64" t="str">
            <v>****TOTAL</v>
          </cell>
          <cell r="F64" t="str">
            <v>****TOTAL INMOVILIZADOS EN CURSO</v>
          </cell>
          <cell r="K64">
            <v>7756</v>
          </cell>
          <cell r="M64">
            <v>7756</v>
          </cell>
          <cell r="O64">
            <v>0</v>
          </cell>
          <cell r="R64" t="str">
            <v>*4*</v>
          </cell>
        </row>
        <row r="65">
          <cell r="E65" t="str">
            <v>==========</v>
          </cell>
          <cell r="F65" t="str">
            <v>=============================================</v>
          </cell>
        </row>
        <row r="66">
          <cell r="E66" t="str">
            <v>TOTAL INMOVILIZADO MATERIAL</v>
          </cell>
          <cell r="F66" t="str">
            <v>***TOTAL INMOVILIZADO MATERIAL</v>
          </cell>
          <cell r="K66">
            <v>4175477.96</v>
          </cell>
          <cell r="M66">
            <v>4213981.84</v>
          </cell>
          <cell r="O66">
            <v>-38503.879999999997</v>
          </cell>
          <cell r="Q66">
            <v>-0.9</v>
          </cell>
          <cell r="R66" t="str">
            <v>*3*</v>
          </cell>
        </row>
        <row r="67">
          <cell r="E67" t="str">
            <v>==========</v>
          </cell>
          <cell r="F67" t="str">
            <v>=============================================</v>
          </cell>
        </row>
        <row r="69">
          <cell r="E69" t="str">
            <v>TOTAL INMOVILIZADO</v>
          </cell>
          <cell r="F69" t="str">
            <v>**TOTAL INMOVILIZADO</v>
          </cell>
          <cell r="K69">
            <v>5847467.9000000004</v>
          </cell>
          <cell r="M69">
            <v>5923535.0499999998</v>
          </cell>
          <cell r="O69">
            <v>-76067.149999999994</v>
          </cell>
          <cell r="Q69">
            <v>-1.3</v>
          </cell>
          <cell r="R69" t="str">
            <v>*2*</v>
          </cell>
        </row>
        <row r="70">
          <cell r="E70" t="str">
            <v>==========</v>
          </cell>
          <cell r="F70" t="str">
            <v>=============================================</v>
          </cell>
        </row>
        <row r="72">
          <cell r="E72">
            <v>3030000000</v>
          </cell>
          <cell r="F72">
            <v>3030000000</v>
          </cell>
          <cell r="I72" t="str">
            <v>EXISTENCIAS COMERCIALES DE COMBUSTIBLES</v>
          </cell>
          <cell r="K72">
            <v>19245.5</v>
          </cell>
          <cell r="M72">
            <v>19245.43</v>
          </cell>
          <cell r="O72">
            <v>7.0000000000000007E-2</v>
          </cell>
        </row>
        <row r="73">
          <cell r="E73">
            <v>3030000000</v>
          </cell>
          <cell r="F73" t="str">
            <v>3030000000 Existencias comerc. combustibles</v>
          </cell>
          <cell r="K73">
            <v>19245.5</v>
          </cell>
          <cell r="M73">
            <v>19245.43</v>
          </cell>
          <cell r="O73">
            <v>7.0000000000000007E-2</v>
          </cell>
          <cell r="R73" t="str">
            <v>*6*</v>
          </cell>
        </row>
        <row r="74">
          <cell r="K74">
            <v>19245.5</v>
          </cell>
          <cell r="M74">
            <v>19245.43</v>
          </cell>
          <cell r="O74">
            <v>7.0000000000000007E-2</v>
          </cell>
          <cell r="R74" t="str">
            <v>*5*</v>
          </cell>
        </row>
        <row r="75">
          <cell r="E75" t="str">
            <v>****PRODUC</v>
          </cell>
          <cell r="F75" t="str">
            <v>****PRODUCTOS TEMINADOS Y SUBTERMINADOS</v>
          </cell>
          <cell r="K75">
            <v>19245.5</v>
          </cell>
          <cell r="M75">
            <v>19245.43</v>
          </cell>
          <cell r="O75">
            <v>7.0000000000000007E-2</v>
          </cell>
          <cell r="R75" t="str">
            <v>*4*</v>
          </cell>
        </row>
        <row r="76">
          <cell r="E76" t="str">
            <v>***TOTAL E</v>
          </cell>
          <cell r="F76" t="str">
            <v>***TOTAL EXISTENCIAS</v>
          </cell>
          <cell r="K76">
            <v>19245.5</v>
          </cell>
          <cell r="M76">
            <v>19245.43</v>
          </cell>
          <cell r="O76">
            <v>7.0000000000000007E-2</v>
          </cell>
          <cell r="R76" t="str">
            <v>*3*</v>
          </cell>
        </row>
        <row r="77">
          <cell r="E77" t="str">
            <v>==========</v>
          </cell>
          <cell r="F77" t="str">
            <v>=============================================</v>
          </cell>
        </row>
        <row r="79">
          <cell r="E79">
            <v>4420000000</v>
          </cell>
          <cell r="F79">
            <v>4420000000</v>
          </cell>
          <cell r="I79" t="str">
            <v>DEUDORES, EMPRESAS DEL GRUPO</v>
          </cell>
          <cell r="K79">
            <v>-221.7</v>
          </cell>
          <cell r="M79">
            <v>435.7</v>
          </cell>
          <cell r="O79">
            <v>-657.4</v>
          </cell>
          <cell r="Q79">
            <v>-150.9</v>
          </cell>
        </row>
        <row r="80">
          <cell r="E80">
            <v>4420000000</v>
          </cell>
          <cell r="F80" t="str">
            <v>4420000000 Deudores empresas del grupo</v>
          </cell>
          <cell r="K80">
            <v>-221.7</v>
          </cell>
          <cell r="M80">
            <v>435.7</v>
          </cell>
          <cell r="O80">
            <v>-657.4</v>
          </cell>
          <cell r="Q80">
            <v>-150.9</v>
          </cell>
          <cell r="R80" t="str">
            <v>*6*</v>
          </cell>
        </row>
        <row r="81">
          <cell r="K81">
            <v>-221.7</v>
          </cell>
          <cell r="M81">
            <v>435.7</v>
          </cell>
          <cell r="O81">
            <v>-657.4</v>
          </cell>
          <cell r="Q81">
            <v>-150.9</v>
          </cell>
          <cell r="R81" t="str">
            <v>*5*</v>
          </cell>
        </row>
        <row r="82">
          <cell r="E82" t="str">
            <v>****CTAS.</v>
          </cell>
          <cell r="F82" t="str">
            <v>****CTAS. A COBRAR EMPR. DEL GRUPO</v>
          </cell>
          <cell r="K82">
            <v>-221.7</v>
          </cell>
          <cell r="M82">
            <v>435.7</v>
          </cell>
          <cell r="O82">
            <v>-657.4</v>
          </cell>
          <cell r="Q82">
            <v>-150.9</v>
          </cell>
          <cell r="R82" t="str">
            <v>*4*</v>
          </cell>
        </row>
        <row r="83">
          <cell r="E83">
            <v>4300000000</v>
          </cell>
          <cell r="F83">
            <v>4300000000</v>
          </cell>
          <cell r="I83" t="str">
            <v>CLIENTES</v>
          </cell>
          <cell r="K83">
            <v>2908322.03</v>
          </cell>
          <cell r="M83">
            <v>2904625.47</v>
          </cell>
          <cell r="O83">
            <v>3696.56</v>
          </cell>
          <cell r="Q83">
            <v>0.1</v>
          </cell>
        </row>
        <row r="84">
          <cell r="E84">
            <v>4300000000</v>
          </cell>
          <cell r="F84" t="str">
            <v>4300000000 Clientes</v>
          </cell>
          <cell r="K84">
            <v>2908322.03</v>
          </cell>
          <cell r="M84">
            <v>2904625.47</v>
          </cell>
          <cell r="O84">
            <v>3696.56</v>
          </cell>
          <cell r="Q84">
            <v>0.1</v>
          </cell>
          <cell r="R84" t="str">
            <v>*6*</v>
          </cell>
        </row>
        <row r="85">
          <cell r="K85">
            <v>2908322.03</v>
          </cell>
          <cell r="M85">
            <v>2904625.47</v>
          </cell>
          <cell r="O85">
            <v>3696.56</v>
          </cell>
          <cell r="Q85">
            <v>0.1</v>
          </cell>
          <cell r="R85" t="str">
            <v>*5*</v>
          </cell>
        </row>
        <row r="86">
          <cell r="E86" t="str">
            <v>****CLIENT</v>
          </cell>
          <cell r="F86" t="str">
            <v>****CLIENTES</v>
          </cell>
          <cell r="K86">
            <v>2908322.03</v>
          </cell>
          <cell r="M86">
            <v>2904625.47</v>
          </cell>
          <cell r="O86">
            <v>3696.56</v>
          </cell>
          <cell r="Q86">
            <v>0.1</v>
          </cell>
          <cell r="R86" t="str">
            <v>*4*</v>
          </cell>
        </row>
        <row r="87">
          <cell r="E87">
            <v>4720000000</v>
          </cell>
          <cell r="F87">
            <v>4720000000</v>
          </cell>
          <cell r="I87" t="str">
            <v>HACIENDA PUBLICA, IVA SOPORTADO</v>
          </cell>
          <cell r="K87">
            <v>459551.42</v>
          </cell>
          <cell r="M87">
            <v>435098.9</v>
          </cell>
          <cell r="O87">
            <v>24452.52</v>
          </cell>
          <cell r="Q87">
            <v>5.6</v>
          </cell>
        </row>
        <row r="88">
          <cell r="E88">
            <v>4720000000</v>
          </cell>
          <cell r="F88" t="str">
            <v>4720000000 Hacienda pública IVA soportado</v>
          </cell>
          <cell r="K88">
            <v>459551.42</v>
          </cell>
          <cell r="M88">
            <v>435098.9</v>
          </cell>
          <cell r="O88">
            <v>24452.52</v>
          </cell>
          <cell r="Q88">
            <v>5.6</v>
          </cell>
          <cell r="R88" t="str">
            <v>*6*</v>
          </cell>
        </row>
        <row r="89">
          <cell r="E89">
            <v>4720003001</v>
          </cell>
          <cell r="F89">
            <v>4720003001</v>
          </cell>
          <cell r="I89" t="str">
            <v>IVA PRESUNTIVO RETENIDO</v>
          </cell>
          <cell r="K89">
            <v>-1499.27</v>
          </cell>
          <cell r="M89">
            <v>-1326.37</v>
          </cell>
          <cell r="O89">
            <v>-172.9</v>
          </cell>
          <cell r="Q89">
            <v>-13</v>
          </cell>
        </row>
        <row r="90">
          <cell r="E90">
            <v>4720003001</v>
          </cell>
          <cell r="F90" t="str">
            <v>4720003001 IVA presuntivo retenido</v>
          </cell>
          <cell r="K90">
            <v>-1499.27</v>
          </cell>
          <cell r="M90">
            <v>-1326.37</v>
          </cell>
          <cell r="O90">
            <v>-172.9</v>
          </cell>
          <cell r="Q90">
            <v>-13</v>
          </cell>
          <cell r="R90" t="str">
            <v>*6*</v>
          </cell>
        </row>
        <row r="91">
          <cell r="K91">
            <v>458052.15</v>
          </cell>
          <cell r="M91">
            <v>433772.53</v>
          </cell>
          <cell r="O91">
            <v>24279.62</v>
          </cell>
          <cell r="Q91">
            <v>5.6</v>
          </cell>
          <cell r="R91" t="str">
            <v>*5*</v>
          </cell>
        </row>
        <row r="92">
          <cell r="E92">
            <v>4730099900</v>
          </cell>
          <cell r="F92">
            <v>4730099900</v>
          </cell>
          <cell r="I92" t="str">
            <v>RETENCIONES A CUENTA IMP. RENTA. OTROS</v>
          </cell>
          <cell r="K92">
            <v>432712.23</v>
          </cell>
          <cell r="M92">
            <v>432077.66</v>
          </cell>
          <cell r="O92">
            <v>634.57000000000005</v>
          </cell>
          <cell r="Q92">
            <v>0.1</v>
          </cell>
        </row>
        <row r="93">
          <cell r="E93">
            <v>4730099900</v>
          </cell>
          <cell r="F93" t="str">
            <v>4730099900 Retenc. a cta. renta. Otros</v>
          </cell>
          <cell r="K93">
            <v>432712.23</v>
          </cell>
          <cell r="M93">
            <v>432077.66</v>
          </cell>
          <cell r="O93">
            <v>634.57000000000005</v>
          </cell>
          <cell r="Q93">
            <v>0.1</v>
          </cell>
          <cell r="R93" t="str">
            <v>*6*</v>
          </cell>
        </row>
        <row r="94">
          <cell r="K94">
            <v>432712.23</v>
          </cell>
          <cell r="M94">
            <v>432077.66</v>
          </cell>
          <cell r="O94">
            <v>634.57000000000005</v>
          </cell>
          <cell r="Q94">
            <v>0.1</v>
          </cell>
          <cell r="R94" t="str">
            <v>*5*</v>
          </cell>
        </row>
        <row r="95">
          <cell r="E95" t="str">
            <v>HACIENDA DEUDORA</v>
          </cell>
          <cell r="F95" t="str">
            <v>****HACIENDA DEUDORA</v>
          </cell>
          <cell r="K95">
            <v>890764.38</v>
          </cell>
          <cell r="M95">
            <v>865850.19</v>
          </cell>
          <cell r="O95">
            <v>24914.19</v>
          </cell>
          <cell r="Q95">
            <v>2.9</v>
          </cell>
          <cell r="R95" t="str">
            <v>*4*</v>
          </cell>
        </row>
        <row r="96">
          <cell r="E96">
            <v>4170000000</v>
          </cell>
          <cell r="F96">
            <v>4170000000</v>
          </cell>
          <cell r="I96" t="str">
            <v>ANTICIPOS A ACREEDORES</v>
          </cell>
          <cell r="K96">
            <v>20044.240000000002</v>
          </cell>
          <cell r="M96">
            <v>19875.12</v>
          </cell>
          <cell r="O96">
            <v>169.12</v>
          </cell>
          <cell r="Q96">
            <v>0.9</v>
          </cell>
        </row>
        <row r="97">
          <cell r="E97">
            <v>4170000000</v>
          </cell>
          <cell r="F97" t="str">
            <v>4170000000 Anticipos a acreedores</v>
          </cell>
          <cell r="K97">
            <v>20044.240000000002</v>
          </cell>
          <cell r="M97">
            <v>19875.12</v>
          </cell>
          <cell r="O97">
            <v>169.12</v>
          </cell>
          <cell r="Q97">
            <v>0.9</v>
          </cell>
          <cell r="R97" t="str">
            <v>*6*</v>
          </cell>
        </row>
        <row r="98">
          <cell r="K98">
            <v>20044.240000000002</v>
          </cell>
          <cell r="M98">
            <v>19875.12</v>
          </cell>
          <cell r="O98">
            <v>169.12</v>
          </cell>
          <cell r="Q98">
            <v>0.9</v>
          </cell>
          <cell r="R98" t="str">
            <v>*5*</v>
          </cell>
        </row>
        <row r="99">
          <cell r="E99">
            <v>4400000000</v>
          </cell>
          <cell r="F99">
            <v>4400000000</v>
          </cell>
          <cell r="I99" t="str">
            <v>DEUDORES</v>
          </cell>
          <cell r="K99">
            <v>1657.61</v>
          </cell>
          <cell r="M99">
            <v>1657.61</v>
          </cell>
          <cell r="O99">
            <v>0</v>
          </cell>
        </row>
        <row r="100">
          <cell r="E100">
            <v>4400000000</v>
          </cell>
          <cell r="F100" t="str">
            <v>4400000000 Deudores</v>
          </cell>
          <cell r="K100">
            <v>1657.61</v>
          </cell>
          <cell r="M100">
            <v>1657.61</v>
          </cell>
          <cell r="O100">
            <v>0</v>
          </cell>
          <cell r="R100" t="str">
            <v>*6*</v>
          </cell>
        </row>
        <row r="101">
          <cell r="K101">
            <v>1657.61</v>
          </cell>
          <cell r="M101">
            <v>1657.61</v>
          </cell>
          <cell r="O101">
            <v>0</v>
          </cell>
          <cell r="R101" t="str">
            <v>*5*</v>
          </cell>
        </row>
        <row r="102">
          <cell r="E102" t="str">
            <v>DEUDORES OPERAC. TRAFICO</v>
          </cell>
          <cell r="F102" t="str">
            <v>****DEUDORES OPERAC. TRAFICO</v>
          </cell>
          <cell r="K102">
            <v>21701.85</v>
          </cell>
          <cell r="M102">
            <v>21532.73</v>
          </cell>
          <cell r="O102">
            <v>169.12</v>
          </cell>
          <cell r="Q102">
            <v>0.8</v>
          </cell>
          <cell r="R102" t="str">
            <v>*4*</v>
          </cell>
        </row>
        <row r="103">
          <cell r="E103">
            <v>4800040000</v>
          </cell>
          <cell r="F103">
            <v>4800040000</v>
          </cell>
          <cell r="I103" t="str">
            <v>GASTOS ANTICIPADOS. COMISION DE GARANTI</v>
          </cell>
          <cell r="K103">
            <v>8022.56</v>
          </cell>
          <cell r="M103">
            <v>8948.24</v>
          </cell>
          <cell r="O103">
            <v>-925.68</v>
          </cell>
          <cell r="Q103">
            <v>-10.3</v>
          </cell>
        </row>
        <row r="104">
          <cell r="E104">
            <v>4800040000</v>
          </cell>
          <cell r="F104" t="str">
            <v>4800040000 Gastos Ant. Comision de garantías</v>
          </cell>
          <cell r="K104">
            <v>8022.56</v>
          </cell>
          <cell r="M104">
            <v>8948.24</v>
          </cell>
          <cell r="O104">
            <v>-925.68</v>
          </cell>
          <cell r="Q104">
            <v>-10.3</v>
          </cell>
          <cell r="R104" t="str">
            <v>*6*</v>
          </cell>
        </row>
        <row r="105">
          <cell r="E105">
            <v>4800090000</v>
          </cell>
          <cell r="F105">
            <v>4800090000</v>
          </cell>
          <cell r="I105" t="str">
            <v>OTROS GASTOS ANTICIPADOS</v>
          </cell>
          <cell r="K105">
            <v>7410.14</v>
          </cell>
          <cell r="M105">
            <v>9879.7800000000007</v>
          </cell>
          <cell r="O105">
            <v>-2469.64</v>
          </cell>
          <cell r="Q105">
            <v>-25</v>
          </cell>
        </row>
        <row r="106">
          <cell r="E106">
            <v>4800090000</v>
          </cell>
          <cell r="F106" t="str">
            <v>4800090000 Otros gastos anticipados</v>
          </cell>
          <cell r="K106">
            <v>7410.14</v>
          </cell>
          <cell r="M106">
            <v>9879.7800000000007</v>
          </cell>
          <cell r="O106">
            <v>-2469.64</v>
          </cell>
          <cell r="Q106">
            <v>-25</v>
          </cell>
          <cell r="R106" t="str">
            <v>*6*</v>
          </cell>
        </row>
        <row r="107">
          <cell r="K107">
            <v>15432.7</v>
          </cell>
          <cell r="M107">
            <v>18828.02</v>
          </cell>
          <cell r="O107">
            <v>-3395.32</v>
          </cell>
          <cell r="Q107">
            <v>-18</v>
          </cell>
          <cell r="R107" t="str">
            <v>*5*</v>
          </cell>
        </row>
        <row r="108">
          <cell r="E108" t="str">
            <v>AJUSTES POR PERIODIFICACION</v>
          </cell>
          <cell r="F108" t="str">
            <v>****AJUSTES POR PERIODIFICACION</v>
          </cell>
          <cell r="K108">
            <v>15432.7</v>
          </cell>
          <cell r="M108">
            <v>18828.02</v>
          </cell>
          <cell r="O108">
            <v>-3395.32</v>
          </cell>
          <cell r="Q108">
            <v>-18</v>
          </cell>
          <cell r="R108" t="str">
            <v>*4*</v>
          </cell>
        </row>
        <row r="109">
          <cell r="E109">
            <v>4900000010</v>
          </cell>
          <cell r="F109">
            <v>4900000010</v>
          </cell>
          <cell r="I109" t="str">
            <v>PROVISION PARA INSOLVENCIAS DE TRAFICO</v>
          </cell>
          <cell r="K109">
            <v>-450314.08</v>
          </cell>
          <cell r="M109">
            <v>-435525.08</v>
          </cell>
          <cell r="O109">
            <v>-14789</v>
          </cell>
          <cell r="Q109">
            <v>-3.4</v>
          </cell>
        </row>
        <row r="110">
          <cell r="E110">
            <v>4900000010</v>
          </cell>
          <cell r="F110" t="str">
            <v>4900000010 Prov. para insolv. de traf. client</v>
          </cell>
          <cell r="K110">
            <v>-450314.08</v>
          </cell>
          <cell r="M110">
            <v>-435525.08</v>
          </cell>
          <cell r="O110">
            <v>-14789</v>
          </cell>
          <cell r="Q110">
            <v>-3.4</v>
          </cell>
          <cell r="R110" t="str">
            <v>*5*</v>
          </cell>
        </row>
        <row r="111">
          <cell r="E111" t="str">
            <v>PROVISION POR INSOLVENCIAS</v>
          </cell>
          <cell r="F111" t="str">
            <v>****PROVISION POR INSOLVENCIAS</v>
          </cell>
          <cell r="K111">
            <v>-450314.08</v>
          </cell>
          <cell r="M111">
            <v>-435525.08</v>
          </cell>
          <cell r="O111">
            <v>-14789</v>
          </cell>
          <cell r="Q111">
            <v>-3.4</v>
          </cell>
          <cell r="R111" t="str">
            <v>*4*</v>
          </cell>
        </row>
        <row r="112">
          <cell r="E112" t="str">
            <v>==========</v>
          </cell>
          <cell r="F112" t="str">
            <v>=============================================</v>
          </cell>
        </row>
        <row r="113">
          <cell r="E113" t="str">
            <v>TOTAL DEUDORES</v>
          </cell>
          <cell r="F113" t="str">
            <v>***TOTAL DEUDORES</v>
          </cell>
          <cell r="K113">
            <v>3385685.18</v>
          </cell>
          <cell r="M113">
            <v>3375747.03</v>
          </cell>
          <cell r="O113">
            <v>9938.15</v>
          </cell>
          <cell r="Q113">
            <v>0.3</v>
          </cell>
          <cell r="R113" t="str">
            <v>*3*</v>
          </cell>
        </row>
        <row r="114">
          <cell r="E114" t="str">
            <v>==========</v>
          </cell>
          <cell r="F114" t="str">
            <v>=============================================</v>
          </cell>
        </row>
        <row r="116">
          <cell r="E116">
            <v>5480000010</v>
          </cell>
          <cell r="F116">
            <v>5480000010</v>
          </cell>
          <cell r="I116" t="str">
            <v>DEPOSITOS A CORTO PLAZO</v>
          </cell>
          <cell r="K116">
            <v>0</v>
          </cell>
          <cell r="M116">
            <v>184000</v>
          </cell>
          <cell r="O116">
            <v>-184000</v>
          </cell>
          <cell r="Q116">
            <v>-100</v>
          </cell>
        </row>
        <row r="117">
          <cell r="E117">
            <v>5480000010</v>
          </cell>
          <cell r="F117" t="str">
            <v>5480000010 Depósitos a c.p.</v>
          </cell>
          <cell r="K117">
            <v>0</v>
          </cell>
          <cell r="M117">
            <v>184000</v>
          </cell>
          <cell r="O117">
            <v>-184000</v>
          </cell>
          <cell r="Q117">
            <v>-100</v>
          </cell>
          <cell r="R117" t="str">
            <v>*6*</v>
          </cell>
        </row>
        <row r="118">
          <cell r="E118" t="str">
            <v>TOTAL DEUDORES</v>
          </cell>
          <cell r="F118" t="str">
            <v>****INVERS. FINANCIERAS TEMPORALES</v>
          </cell>
          <cell r="K118">
            <v>0</v>
          </cell>
          <cell r="M118">
            <v>184000</v>
          </cell>
          <cell r="O118">
            <v>-184000</v>
          </cell>
          <cell r="Q118">
            <v>-100</v>
          </cell>
          <cell r="R118" t="str">
            <v>*4*</v>
          </cell>
        </row>
        <row r="119">
          <cell r="E119">
            <v>5730001000</v>
          </cell>
          <cell r="F119">
            <v>5730001000</v>
          </cell>
          <cell r="I119" t="str">
            <v>CITIBANK, CUENTA CORRIENTE, DOLARES (US</v>
          </cell>
          <cell r="K119">
            <v>48303.64</v>
          </cell>
          <cell r="M119">
            <v>0</v>
          </cell>
          <cell r="O119">
            <v>48303.64</v>
          </cell>
        </row>
        <row r="120">
          <cell r="E120">
            <v>5730001000</v>
          </cell>
          <cell r="F120" t="str">
            <v>5730001000 Citibank cta. cte. USD C1</v>
          </cell>
          <cell r="K120">
            <v>48303.64</v>
          </cell>
          <cell r="M120">
            <v>0</v>
          </cell>
          <cell r="O120">
            <v>48303.64</v>
          </cell>
          <cell r="R120" t="str">
            <v>*8*</v>
          </cell>
        </row>
        <row r="121">
          <cell r="E121">
            <v>5731511000</v>
          </cell>
          <cell r="F121">
            <v>5731511000</v>
          </cell>
          <cell r="I121" t="str">
            <v>PACIFICO,CUENTA CORRIENTE, SUCRE ECUATO</v>
          </cell>
          <cell r="K121">
            <v>130470.27</v>
          </cell>
          <cell r="M121">
            <v>424.03</v>
          </cell>
          <cell r="O121">
            <v>130046.24</v>
          </cell>
          <cell r="Q121">
            <v>30669.1</v>
          </cell>
        </row>
        <row r="122">
          <cell r="E122">
            <v>5731511000</v>
          </cell>
          <cell r="F122" t="str">
            <v>5731511000 Bco. Pacífico cta.cte. sucre ec.</v>
          </cell>
          <cell r="K122">
            <v>130470.27</v>
          </cell>
          <cell r="M122">
            <v>424.03</v>
          </cell>
          <cell r="O122">
            <v>130046.24</v>
          </cell>
          <cell r="Q122">
            <v>30669.1</v>
          </cell>
          <cell r="R122" t="str">
            <v>*8*</v>
          </cell>
        </row>
        <row r="123">
          <cell r="E123">
            <v>5730011100</v>
          </cell>
          <cell r="F123">
            <v>5730011100</v>
          </cell>
          <cell r="I123" t="str">
            <v>INTERNACIONAL, CUENTA CORRIENTE, DOLARE</v>
          </cell>
          <cell r="K123">
            <v>491372.01</v>
          </cell>
          <cell r="M123">
            <v>267480.03999999998</v>
          </cell>
          <cell r="O123">
            <v>223891.97</v>
          </cell>
          <cell r="Q123">
            <v>83.7</v>
          </cell>
        </row>
        <row r="124">
          <cell r="E124">
            <v>5730011100</v>
          </cell>
          <cell r="F124" t="str">
            <v>5730011100 Internacional cta.cte. USD</v>
          </cell>
          <cell r="K124">
            <v>491372.01</v>
          </cell>
          <cell r="M124">
            <v>267480.03999999998</v>
          </cell>
          <cell r="O124">
            <v>223891.97</v>
          </cell>
          <cell r="Q124">
            <v>83.7</v>
          </cell>
          <cell r="R124" t="str">
            <v>*7*</v>
          </cell>
        </row>
        <row r="125">
          <cell r="E125">
            <v>5731511100</v>
          </cell>
          <cell r="F125">
            <v>5731511100</v>
          </cell>
          <cell r="I125" t="str">
            <v>INTERNACIONAL, CUENTA CORRIENTE, SUCRE</v>
          </cell>
          <cell r="K125">
            <v>0</v>
          </cell>
          <cell r="M125">
            <v>376.2</v>
          </cell>
          <cell r="O125">
            <v>-376.2</v>
          </cell>
          <cell r="Q125">
            <v>-100</v>
          </cell>
        </row>
        <row r="126">
          <cell r="E126">
            <v>5731511100</v>
          </cell>
          <cell r="F126" t="str">
            <v>5731511100 Internacional cta.cte. Sucre ec.</v>
          </cell>
          <cell r="K126">
            <v>0</v>
          </cell>
          <cell r="M126">
            <v>376.2</v>
          </cell>
          <cell r="O126">
            <v>-376.2</v>
          </cell>
          <cell r="Q126">
            <v>-100</v>
          </cell>
          <cell r="R126" t="str">
            <v>*7*</v>
          </cell>
        </row>
        <row r="127">
          <cell r="E127">
            <v>5730016600</v>
          </cell>
          <cell r="F127">
            <v>5730016600</v>
          </cell>
          <cell r="I127" t="str">
            <v>BANCO GUAYAQUIL, CUENTA CORRIENTE, USD,</v>
          </cell>
          <cell r="K127">
            <v>0</v>
          </cell>
          <cell r="M127">
            <v>21682.07</v>
          </cell>
          <cell r="O127">
            <v>-21682.07</v>
          </cell>
          <cell r="Q127">
            <v>-100</v>
          </cell>
        </row>
        <row r="128">
          <cell r="E128">
            <v>5730016600</v>
          </cell>
          <cell r="F128" t="str">
            <v>5730016600 Banco Guayaquil cta.cte. USD C1</v>
          </cell>
          <cell r="K128">
            <v>0</v>
          </cell>
          <cell r="M128">
            <v>21682.07</v>
          </cell>
          <cell r="O128">
            <v>-21682.07</v>
          </cell>
          <cell r="Q128">
            <v>-100</v>
          </cell>
          <cell r="R128" t="str">
            <v>*7*</v>
          </cell>
        </row>
        <row r="129">
          <cell r="E129" t="str">
            <v>CAJA Y BANCOS</v>
          </cell>
          <cell r="K129">
            <v>670145.92000000004</v>
          </cell>
          <cell r="M129">
            <v>289962.34000000003</v>
          </cell>
          <cell r="O129">
            <v>380183.58</v>
          </cell>
          <cell r="Q129">
            <v>131.1</v>
          </cell>
          <cell r="R129" t="str">
            <v>*4*</v>
          </cell>
        </row>
        <row r="130">
          <cell r="E130" t="str">
            <v>=============================================</v>
          </cell>
        </row>
        <row r="131">
          <cell r="E131" t="str">
            <v>TOTAL CTAS. FINANCIERAS C.P.</v>
          </cell>
          <cell r="K131">
            <v>670145.92000000004</v>
          </cell>
          <cell r="M131">
            <v>473962.34</v>
          </cell>
          <cell r="O131">
            <v>196183.58</v>
          </cell>
          <cell r="Q131">
            <v>41.4</v>
          </cell>
          <cell r="R131" t="str">
            <v>*3*</v>
          </cell>
        </row>
        <row r="132">
          <cell r="E132" t="str">
            <v>=============================================</v>
          </cell>
        </row>
        <row r="134">
          <cell r="E134" t="str">
            <v>TOTAL ACTIVO CIRCULANTE</v>
          </cell>
          <cell r="K134">
            <v>4075076.6</v>
          </cell>
          <cell r="M134">
            <v>3868954.8</v>
          </cell>
          <cell r="O134">
            <v>206121.8</v>
          </cell>
          <cell r="Q134">
            <v>5.3</v>
          </cell>
          <cell r="R134" t="str">
            <v>*2*</v>
          </cell>
        </row>
        <row r="135">
          <cell r="E135" t="str">
            <v>==========</v>
          </cell>
          <cell r="F135" t="str">
            <v>=============================================</v>
          </cell>
        </row>
        <row r="137">
          <cell r="E137" t="str">
            <v>TOTAL ACTIVO</v>
          </cell>
          <cell r="F137" t="str">
            <v>*TOTAL ACTIVO</v>
          </cell>
          <cell r="K137">
            <v>9922544.5</v>
          </cell>
          <cell r="M137">
            <v>9792489.8499999996</v>
          </cell>
          <cell r="O137">
            <v>130054.65</v>
          </cell>
          <cell r="Q137">
            <v>1.3</v>
          </cell>
          <cell r="R137" t="str">
            <v>*1*</v>
          </cell>
        </row>
        <row r="138">
          <cell r="E138" t="str">
            <v>==========</v>
          </cell>
          <cell r="F138" t="str">
            <v>=============================================</v>
          </cell>
        </row>
        <row r="145">
          <cell r="G145" t="str">
            <v>División</v>
          </cell>
          <cell r="H145" t="str">
            <v>****</v>
          </cell>
          <cell r="N145" t="str">
            <v>Imptes en</v>
          </cell>
          <cell r="P145" t="str">
            <v>USD</v>
          </cell>
        </row>
        <row r="147">
          <cell r="E147" t="str">
            <v>Textos....</v>
          </cell>
          <cell r="F147" t="str">
            <v>Textos............................................</v>
          </cell>
          <cell r="J147" t="str">
            <v>..Interv.informe.</v>
          </cell>
          <cell r="L147" t="str">
            <v>..Comp. periodos</v>
          </cell>
          <cell r="O147" t="str">
            <v>absolutos</v>
          </cell>
          <cell r="Q147" t="str">
            <v>Rel</v>
          </cell>
          <cell r="R147" t="str">
            <v xml:space="preserve"> Tot</v>
          </cell>
        </row>
        <row r="148">
          <cell r="E148" t="str">
            <v>..........</v>
          </cell>
          <cell r="F148" t="str">
            <v>..................................................</v>
          </cell>
          <cell r="J148" t="str">
            <v>(01.2004-09.2004)</v>
          </cell>
          <cell r="L148" t="str">
            <v>(01.2004-08.2004)</v>
          </cell>
          <cell r="O148" t="str">
            <v>Desviación</v>
          </cell>
          <cell r="Q148" t="str">
            <v>Dsv</v>
          </cell>
          <cell r="R148" t="str">
            <v>Etapa</v>
          </cell>
        </row>
        <row r="150">
          <cell r="E150" t="str">
            <v>PASIVO</v>
          </cell>
          <cell r="F150" t="str">
            <v>PASIVO</v>
          </cell>
        </row>
        <row r="152">
          <cell r="E152">
            <v>1000000000</v>
          </cell>
          <cell r="F152">
            <v>1000000000</v>
          </cell>
          <cell r="I152" t="str">
            <v>CAPITAL SOCIAL</v>
          </cell>
          <cell r="K152">
            <v>-52043</v>
          </cell>
          <cell r="M152">
            <v>-52043</v>
          </cell>
          <cell r="O152">
            <v>0</v>
          </cell>
        </row>
        <row r="153">
          <cell r="E153">
            <v>8301000000</v>
          </cell>
          <cell r="F153">
            <v>8301000000</v>
          </cell>
          <cell r="I153" t="str">
            <v>AJUSTE DE CAPITAL SOCIAL LOCAL</v>
          </cell>
          <cell r="K153">
            <v>41643</v>
          </cell>
          <cell r="M153">
            <v>41643</v>
          </cell>
          <cell r="O153">
            <v>0</v>
          </cell>
        </row>
        <row r="154">
          <cell r="E154">
            <v>1000000000</v>
          </cell>
          <cell r="F154" t="str">
            <v>1000000000 Capital social</v>
          </cell>
          <cell r="K154">
            <v>-10400</v>
          </cell>
          <cell r="M154">
            <v>-10400</v>
          </cell>
          <cell r="O154">
            <v>0</v>
          </cell>
          <cell r="R154" t="str">
            <v>*4*</v>
          </cell>
        </row>
        <row r="155">
          <cell r="E155">
            <v>1005000000</v>
          </cell>
          <cell r="F155">
            <v>1005000000</v>
          </cell>
          <cell r="I155" t="str">
            <v>APORTACIONES FUTURAS DE CAPITAL</v>
          </cell>
          <cell r="K155">
            <v>-5054350</v>
          </cell>
          <cell r="M155">
            <v>-5054350</v>
          </cell>
          <cell r="O155">
            <v>0</v>
          </cell>
        </row>
        <row r="156">
          <cell r="E156">
            <v>1005000000</v>
          </cell>
          <cell r="F156" t="str">
            <v>1005000000 Aportaciones futuras de capital</v>
          </cell>
          <cell r="K156">
            <v>-5054350</v>
          </cell>
          <cell r="M156">
            <v>-5054350</v>
          </cell>
          <cell r="O156">
            <v>0</v>
          </cell>
          <cell r="R156" t="str">
            <v>*4*</v>
          </cell>
        </row>
        <row r="157">
          <cell r="E157" t="str">
            <v>***CAPITAL</v>
          </cell>
          <cell r="F157" t="str">
            <v>***CAPITAL SOCIAL</v>
          </cell>
          <cell r="K157">
            <v>-5064750</v>
          </cell>
          <cell r="M157">
            <v>-5064750</v>
          </cell>
          <cell r="O157">
            <v>0</v>
          </cell>
          <cell r="R157" t="str">
            <v>*3*</v>
          </cell>
        </row>
        <row r="159">
          <cell r="E159">
            <v>8301110100</v>
          </cell>
          <cell r="F159">
            <v>8301110100</v>
          </cell>
          <cell r="I159" t="str">
            <v>AJUSTE A LA REEXPRESION MONETARIA LOCAL</v>
          </cell>
          <cell r="K159">
            <v>-76330</v>
          </cell>
          <cell r="M159">
            <v>-76330</v>
          </cell>
          <cell r="O159">
            <v>0</v>
          </cell>
        </row>
        <row r="160">
          <cell r="E160">
            <v>1110100000</v>
          </cell>
          <cell r="F160" t="str">
            <v>1110100000 Reexpresión monetaria</v>
          </cell>
          <cell r="K160">
            <v>-76330</v>
          </cell>
          <cell r="M160">
            <v>-76330</v>
          </cell>
          <cell r="O160">
            <v>0</v>
          </cell>
          <cell r="R160" t="str">
            <v>*5*</v>
          </cell>
        </row>
        <row r="161">
          <cell r="E161">
            <v>8301110200</v>
          </cell>
          <cell r="F161">
            <v>8301110200</v>
          </cell>
          <cell r="I161" t="str">
            <v>AJUSTE A RESERVA POR REVALORIZACION DEL</v>
          </cell>
          <cell r="K161">
            <v>-211577</v>
          </cell>
          <cell r="M161">
            <v>-211577</v>
          </cell>
          <cell r="O161">
            <v>0</v>
          </cell>
        </row>
        <row r="162">
          <cell r="E162">
            <v>1110200000</v>
          </cell>
          <cell r="F162" t="str">
            <v>1110200000 Reserva por revalorizac. del patr.</v>
          </cell>
          <cell r="K162">
            <v>-211577</v>
          </cell>
          <cell r="M162">
            <v>-211577</v>
          </cell>
          <cell r="O162">
            <v>0</v>
          </cell>
          <cell r="R162" t="str">
            <v>*5*</v>
          </cell>
        </row>
        <row r="163">
          <cell r="E163">
            <v>1200000000</v>
          </cell>
          <cell r="F163">
            <v>1200000000</v>
          </cell>
          <cell r="I163" t="str">
            <v>UTILIDADES DE EJERCICIOS ANTERIORES</v>
          </cell>
          <cell r="K163">
            <v>15278.88</v>
          </cell>
          <cell r="M163">
            <v>15278.88</v>
          </cell>
          <cell r="O163">
            <v>0</v>
          </cell>
        </row>
        <row r="164">
          <cell r="E164">
            <v>8301200000</v>
          </cell>
          <cell r="F164">
            <v>8301200000</v>
          </cell>
          <cell r="I164" t="str">
            <v>AJUSTE A LAS UTILIDADES DE EJERCICIOS A</v>
          </cell>
          <cell r="K164">
            <v>-103192.63</v>
          </cell>
          <cell r="M164">
            <v>-103192.63</v>
          </cell>
          <cell r="O164">
            <v>0</v>
          </cell>
        </row>
        <row r="165">
          <cell r="E165">
            <v>1200000000</v>
          </cell>
          <cell r="F165" t="str">
            <v>1200000000 Utilidades ejercicios anteriores</v>
          </cell>
          <cell r="K165">
            <v>-87913.75</v>
          </cell>
          <cell r="M165">
            <v>-87913.75</v>
          </cell>
          <cell r="O165">
            <v>0</v>
          </cell>
          <cell r="R165" t="str">
            <v>*5*</v>
          </cell>
        </row>
        <row r="166">
          <cell r="E166">
            <v>1290000000</v>
          </cell>
          <cell r="F166">
            <v>1290000000</v>
          </cell>
          <cell r="I166" t="str">
            <v>PERDIDAS Y GANANCIAS DEL EJERCICIO</v>
          </cell>
          <cell r="K166">
            <v>4881126.0999999996</v>
          </cell>
          <cell r="M166">
            <v>4881126.0999999996</v>
          </cell>
          <cell r="O166">
            <v>0</v>
          </cell>
        </row>
        <row r="167">
          <cell r="E167">
            <v>8812900000</v>
          </cell>
          <cell r="F167">
            <v>8812900000</v>
          </cell>
          <cell r="I167" t="str">
            <v>PERDIDAS Y GANANCIAS - MATERIALES</v>
          </cell>
          <cell r="K167">
            <v>384767.85</v>
          </cell>
          <cell r="M167">
            <v>384767.85</v>
          </cell>
          <cell r="O167">
            <v>0</v>
          </cell>
        </row>
        <row r="168">
          <cell r="E168">
            <v>1290000000</v>
          </cell>
          <cell r="F168" t="str">
            <v>1290000000 Perdidas y ganancias del ejercicio</v>
          </cell>
          <cell r="K168">
            <v>5265893.95</v>
          </cell>
          <cell r="M168">
            <v>5265893.95</v>
          </cell>
          <cell r="O168">
            <v>0</v>
          </cell>
          <cell r="R168" t="str">
            <v>*5*</v>
          </cell>
        </row>
        <row r="169">
          <cell r="E169" t="str">
            <v>***RESERVA</v>
          </cell>
          <cell r="F169" t="str">
            <v>***RESERVAS</v>
          </cell>
          <cell r="K169">
            <v>4890073.2</v>
          </cell>
          <cell r="M169">
            <v>4890073.2</v>
          </cell>
          <cell r="O169">
            <v>0</v>
          </cell>
          <cell r="R169" t="str">
            <v>*3*</v>
          </cell>
        </row>
        <row r="171">
          <cell r="E171" t="str">
            <v>Pérdidas y ganancias</v>
          </cell>
          <cell r="F171" t="str">
            <v>Pérdidas y ganancias</v>
          </cell>
          <cell r="K171">
            <v>193058.85</v>
          </cell>
          <cell r="M171">
            <v>140700.1</v>
          </cell>
          <cell r="O171">
            <v>52358.75</v>
          </cell>
          <cell r="Q171">
            <v>37.200000000000003</v>
          </cell>
          <cell r="R171" t="str">
            <v>*4*</v>
          </cell>
        </row>
        <row r="173">
          <cell r="E173" t="str">
            <v>***RESULTA</v>
          </cell>
          <cell r="F173" t="str">
            <v>***RESULTADO NETO DEL PERIODO</v>
          </cell>
          <cell r="K173">
            <v>193058.85</v>
          </cell>
          <cell r="M173">
            <v>140700.1</v>
          </cell>
          <cell r="O173">
            <v>52358.75</v>
          </cell>
          <cell r="Q173">
            <v>37.200000000000003</v>
          </cell>
          <cell r="R173" t="str">
            <v>*3*</v>
          </cell>
        </row>
        <row r="175">
          <cell r="E175" t="str">
            <v>**TOTAL PA</v>
          </cell>
          <cell r="F175" t="str">
            <v>**TOTAL PATRIMONIO NETO</v>
          </cell>
          <cell r="K175">
            <v>18382.05</v>
          </cell>
          <cell r="M175">
            <v>-33976.699999999997</v>
          </cell>
          <cell r="O175">
            <v>52358.75</v>
          </cell>
          <cell r="Q175">
            <v>154.1</v>
          </cell>
          <cell r="R175" t="str">
            <v>*2*</v>
          </cell>
        </row>
        <row r="176">
          <cell r="E176" t="str">
            <v>==========</v>
          </cell>
          <cell r="F176" t="str">
            <v>=============================================</v>
          </cell>
        </row>
        <row r="178">
          <cell r="E178">
            <v>4120000000</v>
          </cell>
          <cell r="F178">
            <v>4120000000</v>
          </cell>
          <cell r="I178" t="str">
            <v>ACREEDORES, EMPRESAS DEL GRUPO</v>
          </cell>
          <cell r="K178">
            <v>-8735328.2899999991</v>
          </cell>
          <cell r="M178">
            <v>-8618680.6400000006</v>
          </cell>
          <cell r="O178">
            <v>-116647.65</v>
          </cell>
          <cell r="Q178">
            <v>-1.4</v>
          </cell>
        </row>
        <row r="179">
          <cell r="E179">
            <v>4120000000</v>
          </cell>
          <cell r="F179" t="str">
            <v>4120000000 Acreedores, empresas del grupo</v>
          </cell>
          <cell r="K179">
            <v>-8735328.2899999991</v>
          </cell>
          <cell r="M179">
            <v>-8618680.6400000006</v>
          </cell>
          <cell r="O179">
            <v>-116647.65</v>
          </cell>
          <cell r="Q179">
            <v>-1.4</v>
          </cell>
          <cell r="R179" t="str">
            <v>*5*</v>
          </cell>
        </row>
        <row r="180">
          <cell r="E180">
            <v>4129000000</v>
          </cell>
          <cell r="F180">
            <v>4129000000</v>
          </cell>
          <cell r="I180" t="str">
            <v>ACREEDORES EMPRESAS DEL GRUPO, FACT. PE</v>
          </cell>
          <cell r="K180">
            <v>-548606.43000000005</v>
          </cell>
          <cell r="M180">
            <v>-548606.43000000005</v>
          </cell>
          <cell r="O180">
            <v>0</v>
          </cell>
        </row>
        <row r="181">
          <cell r="E181">
            <v>4129000000</v>
          </cell>
          <cell r="F181" t="str">
            <v>4129000000 Acreedores E.G. fact. pend. recibi</v>
          </cell>
          <cell r="K181">
            <v>-548606.43000000005</v>
          </cell>
          <cell r="M181">
            <v>-548606.43000000005</v>
          </cell>
          <cell r="O181">
            <v>0</v>
          </cell>
          <cell r="R181" t="str">
            <v>*5*</v>
          </cell>
        </row>
        <row r="182">
          <cell r="E182" t="str">
            <v>CTAS. A PAGAR EMPRESAS DEL GRUPO</v>
          </cell>
          <cell r="F182" t="str">
            <v>***CTAS. A PAGAR EMPRESAS DEL GRUPO</v>
          </cell>
          <cell r="K182">
            <v>-9283934.7200000007</v>
          </cell>
          <cell r="M182">
            <v>-9167287.0700000003</v>
          </cell>
          <cell r="O182">
            <v>-116647.65</v>
          </cell>
          <cell r="Q182">
            <v>-1.3</v>
          </cell>
          <cell r="R182" t="str">
            <v>*3*</v>
          </cell>
        </row>
        <row r="184">
          <cell r="E184">
            <v>4000000000</v>
          </cell>
          <cell r="F184">
            <v>4000000000</v>
          </cell>
          <cell r="I184" t="str">
            <v>PROVEEDORES</v>
          </cell>
          <cell r="K184">
            <v>-889082.91</v>
          </cell>
          <cell r="M184">
            <v>-525406.93000000005</v>
          </cell>
          <cell r="O184">
            <v>-363675.98</v>
          </cell>
          <cell r="Q184">
            <v>-69.2</v>
          </cell>
        </row>
        <row r="185">
          <cell r="E185">
            <v>4000000000</v>
          </cell>
          <cell r="F185" t="str">
            <v>4000000000 Proveedores</v>
          </cell>
          <cell r="K185">
            <v>-889082.91</v>
          </cell>
          <cell r="M185">
            <v>-525406.93000000005</v>
          </cell>
          <cell r="O185">
            <v>-363675.98</v>
          </cell>
          <cell r="Q185">
            <v>-69.2</v>
          </cell>
          <cell r="R185" t="str">
            <v>*5*</v>
          </cell>
        </row>
        <row r="186">
          <cell r="E186">
            <v>4009000000</v>
          </cell>
          <cell r="F186">
            <v>4009000000</v>
          </cell>
          <cell r="I186" t="str">
            <v>PROVEEDORES, FPRF</v>
          </cell>
          <cell r="K186">
            <v>-871.18</v>
          </cell>
          <cell r="M186">
            <v>-283027.26</v>
          </cell>
          <cell r="O186">
            <v>282156.08</v>
          </cell>
          <cell r="Q186">
            <v>99.7</v>
          </cell>
        </row>
        <row r="187">
          <cell r="E187">
            <v>4009000000</v>
          </cell>
          <cell r="F187" t="str">
            <v>4009000000 Proveedores FPRF</v>
          </cell>
          <cell r="K187">
            <v>-871.18</v>
          </cell>
          <cell r="M187">
            <v>-283027.26</v>
          </cell>
          <cell r="O187">
            <v>282156.08</v>
          </cell>
          <cell r="Q187">
            <v>99.7</v>
          </cell>
          <cell r="R187" t="str">
            <v>*5*</v>
          </cell>
        </row>
        <row r="188">
          <cell r="E188">
            <v>4009000032</v>
          </cell>
          <cell r="F188">
            <v>4009000032</v>
          </cell>
          <cell r="I188" t="str">
            <v>PROVEEDORES, FPRF - MM</v>
          </cell>
          <cell r="K188">
            <v>-6144.6</v>
          </cell>
          <cell r="M188">
            <v>-4447.3999999999996</v>
          </cell>
          <cell r="O188">
            <v>-1697.2</v>
          </cell>
          <cell r="Q188">
            <v>-38.200000000000003</v>
          </cell>
        </row>
        <row r="189">
          <cell r="E189">
            <v>4009000032</v>
          </cell>
          <cell r="F189" t="str">
            <v>4009000032 Proveedores FPRF MM</v>
          </cell>
          <cell r="K189">
            <v>-6144.6</v>
          </cell>
          <cell r="M189">
            <v>-4447.3999999999996</v>
          </cell>
          <cell r="O189">
            <v>-1697.2</v>
          </cell>
          <cell r="Q189">
            <v>-38.200000000000003</v>
          </cell>
          <cell r="R189" t="str">
            <v>*5*</v>
          </cell>
        </row>
        <row r="190">
          <cell r="E190" t="str">
            <v>PROVEEDORES</v>
          </cell>
          <cell r="F190" t="str">
            <v>***PROVEEDORES</v>
          </cell>
          <cell r="K190">
            <v>-896098.69</v>
          </cell>
          <cell r="M190">
            <v>-812881.59</v>
          </cell>
          <cell r="O190">
            <v>-83217.100000000006</v>
          </cell>
          <cell r="Q190">
            <v>-10.199999999999999</v>
          </cell>
          <cell r="R190" t="str">
            <v>*3*</v>
          </cell>
        </row>
        <row r="192">
          <cell r="E192">
            <v>4770000000</v>
          </cell>
          <cell r="F192">
            <v>4770000000</v>
          </cell>
          <cell r="I192" t="str">
            <v>HACIENDA PUBLICA, IVA REPERCUTIDO</v>
          </cell>
          <cell r="K192">
            <v>51801.74</v>
          </cell>
          <cell r="M192">
            <v>49703.79</v>
          </cell>
          <cell r="O192">
            <v>2097.9499999999998</v>
          </cell>
          <cell r="Q192">
            <v>4.2</v>
          </cell>
        </row>
        <row r="193">
          <cell r="E193">
            <v>4770000000</v>
          </cell>
          <cell r="F193" t="str">
            <v>4770000000 IVA débito fiscal</v>
          </cell>
          <cell r="K193">
            <v>51801.74</v>
          </cell>
          <cell r="M193">
            <v>49703.79</v>
          </cell>
          <cell r="O193">
            <v>2097.9499999999998</v>
          </cell>
          <cell r="Q193">
            <v>4.2</v>
          </cell>
          <cell r="R193" t="str">
            <v>*5*</v>
          </cell>
        </row>
        <row r="194">
          <cell r="E194">
            <v>4770003010</v>
          </cell>
          <cell r="F194">
            <v>4770003010</v>
          </cell>
          <cell r="I194" t="str">
            <v>RETENCION DEL IVA 100%</v>
          </cell>
          <cell r="K194">
            <v>-319.68</v>
          </cell>
          <cell r="M194">
            <v>-300</v>
          </cell>
          <cell r="O194">
            <v>-19.68</v>
          </cell>
          <cell r="Q194">
            <v>-6.6</v>
          </cell>
        </row>
        <row r="195">
          <cell r="E195">
            <v>4770003010</v>
          </cell>
          <cell r="F195" t="str">
            <v>4770003010 Retención del IVA 100%</v>
          </cell>
          <cell r="K195">
            <v>-319.68</v>
          </cell>
          <cell r="M195">
            <v>-300</v>
          </cell>
          <cell r="O195">
            <v>-19.68</v>
          </cell>
          <cell r="Q195">
            <v>-6.6</v>
          </cell>
          <cell r="R195" t="str">
            <v>*5*</v>
          </cell>
        </row>
        <row r="196">
          <cell r="F196">
            <v>4770003030</v>
          </cell>
          <cell r="I196" t="str">
            <v>RETENCION DEL IVA 30%</v>
          </cell>
          <cell r="K196">
            <v>-122.31</v>
          </cell>
          <cell r="M196">
            <v>-122.31</v>
          </cell>
          <cell r="O196">
            <v>0</v>
          </cell>
        </row>
        <row r="197">
          <cell r="F197">
            <v>4770003030</v>
          </cell>
          <cell r="I197" t="str">
            <v>RETENCION DEL IVA 30%</v>
          </cell>
          <cell r="K197">
            <v>122.31</v>
          </cell>
          <cell r="M197">
            <v>122.31</v>
          </cell>
          <cell r="O197">
            <v>0</v>
          </cell>
        </row>
        <row r="198">
          <cell r="E198">
            <v>4770003030</v>
          </cell>
          <cell r="F198" t="str">
            <v>4770003030 Retención del IVA 30%</v>
          </cell>
          <cell r="K198">
            <v>0</v>
          </cell>
          <cell r="M198">
            <v>0</v>
          </cell>
          <cell r="O198">
            <v>0</v>
          </cell>
          <cell r="R198" t="str">
            <v>*5*</v>
          </cell>
        </row>
        <row r="199">
          <cell r="I199" t="str">
            <v>RETENCION DEL IVA 70%</v>
          </cell>
          <cell r="K199">
            <v>-2632.88</v>
          </cell>
          <cell r="M199">
            <v>-2460.04</v>
          </cell>
          <cell r="O199">
            <v>-172.84</v>
          </cell>
          <cell r="Q199">
            <v>-7</v>
          </cell>
        </row>
        <row r="200">
          <cell r="I200" t="str">
            <v>RETENCION DEL IVA 70%</v>
          </cell>
          <cell r="K200">
            <v>2403.62</v>
          </cell>
          <cell r="M200">
            <v>2403.62</v>
          </cell>
          <cell r="O200">
            <v>0</v>
          </cell>
        </row>
        <row r="201">
          <cell r="E201">
            <v>4770003070</v>
          </cell>
          <cell r="F201">
            <v>4770003070</v>
          </cell>
          <cell r="K201">
            <v>-229.26</v>
          </cell>
          <cell r="M201">
            <v>-56.42</v>
          </cell>
          <cell r="O201">
            <v>-172.84</v>
          </cell>
          <cell r="Q201">
            <v>-306.3</v>
          </cell>
          <cell r="R201" t="str">
            <v>*5*</v>
          </cell>
        </row>
        <row r="202">
          <cell r="E202">
            <v>4752000000</v>
          </cell>
          <cell r="F202">
            <v>4752000000</v>
          </cell>
          <cell r="I202" t="str">
            <v>HACIENDA PUBLICA, ACREEDOR POR IMPUESTO</v>
          </cell>
          <cell r="K202">
            <v>-39.770000000000003</v>
          </cell>
          <cell r="M202">
            <v>-23.62</v>
          </cell>
          <cell r="O202">
            <v>-16.149999999999999</v>
          </cell>
          <cell r="Q202">
            <v>-68.400000000000006</v>
          </cell>
        </row>
        <row r="203">
          <cell r="E203">
            <v>4752000000</v>
          </cell>
          <cell r="F203" t="str">
            <v>4752000000 Fis. prov. imp. a las ganancias</v>
          </cell>
          <cell r="K203">
            <v>-39.770000000000003</v>
          </cell>
          <cell r="M203">
            <v>-23.62</v>
          </cell>
          <cell r="O203">
            <v>-16.149999999999999</v>
          </cell>
          <cell r="Q203">
            <v>-68.400000000000006</v>
          </cell>
          <cell r="R203" t="str">
            <v>*5*</v>
          </cell>
        </row>
        <row r="204">
          <cell r="E204">
            <v>4760000000</v>
          </cell>
          <cell r="F204">
            <v>4760000000</v>
          </cell>
          <cell r="I204" t="str">
            <v>SEGURIDAD SOCIAL ACREEDORA POR APORTES</v>
          </cell>
          <cell r="K204">
            <v>-295.85000000000002</v>
          </cell>
          <cell r="M204">
            <v>-229.43</v>
          </cell>
          <cell r="O204">
            <v>-66.42</v>
          </cell>
          <cell r="Q204">
            <v>-29</v>
          </cell>
        </row>
        <row r="205">
          <cell r="E205">
            <v>4760000000</v>
          </cell>
          <cell r="F205" t="str">
            <v>4760000000 SUSS a pagar</v>
          </cell>
          <cell r="K205">
            <v>-295.85000000000002</v>
          </cell>
          <cell r="M205">
            <v>-229.43</v>
          </cell>
          <cell r="O205">
            <v>-66.42</v>
          </cell>
          <cell r="Q205">
            <v>-29</v>
          </cell>
          <cell r="R205" t="str">
            <v>*5*</v>
          </cell>
        </row>
        <row r="206">
          <cell r="E206">
            <v>4760000700</v>
          </cell>
          <cell r="F206">
            <v>4760000700</v>
          </cell>
          <cell r="I206" t="str">
            <v>SEGURIDAD SOCIAL ACREEDORA POR FONDO DE</v>
          </cell>
          <cell r="K206">
            <v>-261.85000000000002</v>
          </cell>
          <cell r="M206">
            <v>-869.38</v>
          </cell>
          <cell r="O206">
            <v>607.53</v>
          </cell>
          <cell r="Q206">
            <v>69.900000000000006</v>
          </cell>
        </row>
        <row r="207">
          <cell r="E207">
            <v>4760000700</v>
          </cell>
          <cell r="F207" t="str">
            <v>4760000700 SUSS acreedora fondo de reserva</v>
          </cell>
          <cell r="K207">
            <v>-261.85000000000002</v>
          </cell>
          <cell r="M207">
            <v>-869.38</v>
          </cell>
          <cell r="O207">
            <v>607.53</v>
          </cell>
          <cell r="Q207">
            <v>69.900000000000006</v>
          </cell>
          <cell r="R207" t="str">
            <v>*5*</v>
          </cell>
        </row>
        <row r="208">
          <cell r="E208">
            <v>4760000800</v>
          </cell>
          <cell r="F208">
            <v>4760000800</v>
          </cell>
          <cell r="I208" t="str">
            <v>SEGURIDAD SOCIAL ACREEDORA POR PRESTAMO</v>
          </cell>
          <cell r="K208">
            <v>117.96</v>
          </cell>
          <cell r="M208">
            <v>117.96</v>
          </cell>
          <cell r="O208">
            <v>0</v>
          </cell>
        </row>
        <row r="209">
          <cell r="E209">
            <v>4760000800</v>
          </cell>
          <cell r="F209" t="str">
            <v>4760000800 SUSS acreedora prest. a empleados</v>
          </cell>
          <cell r="K209">
            <v>117.96</v>
          </cell>
          <cell r="M209">
            <v>117.96</v>
          </cell>
          <cell r="O209">
            <v>0</v>
          </cell>
          <cell r="R209" t="str">
            <v>*5*</v>
          </cell>
        </row>
        <row r="210">
          <cell r="E210">
            <v>4751501300</v>
          </cell>
          <cell r="F210">
            <v>4751501300</v>
          </cell>
          <cell r="I210" t="str">
            <v>RETENCIONES PAGOS HONORARIOS A NOTARIOS</v>
          </cell>
          <cell r="K210">
            <v>-56.8</v>
          </cell>
          <cell r="M210">
            <v>0</v>
          </cell>
          <cell r="O210">
            <v>-56.8</v>
          </cell>
        </row>
        <row r="211">
          <cell r="E211">
            <v>4751501300</v>
          </cell>
          <cell r="F211" t="str">
            <v>4751501300 Retenc. pagos honor. a notarios 8%</v>
          </cell>
          <cell r="K211">
            <v>-56.8</v>
          </cell>
          <cell r="M211">
            <v>0</v>
          </cell>
          <cell r="O211">
            <v>-56.8</v>
          </cell>
          <cell r="R211" t="str">
            <v>*5*</v>
          </cell>
        </row>
        <row r="212">
          <cell r="E212">
            <v>4751500300</v>
          </cell>
          <cell r="F212">
            <v>4751500300</v>
          </cell>
          <cell r="I212" t="str">
            <v>RETENCIONES EN PAGOS POR SEGUROS Y REAS</v>
          </cell>
          <cell r="K212">
            <v>-0.02</v>
          </cell>
          <cell r="M212">
            <v>-0.06</v>
          </cell>
          <cell r="O212">
            <v>0.04</v>
          </cell>
          <cell r="Q212">
            <v>66.7</v>
          </cell>
        </row>
        <row r="213">
          <cell r="E213">
            <v>4751500300</v>
          </cell>
          <cell r="F213" t="str">
            <v>4751500300 Retenc. pagos seguros y reaseguros</v>
          </cell>
          <cell r="K213">
            <v>-0.02</v>
          </cell>
          <cell r="M213">
            <v>-0.06</v>
          </cell>
          <cell r="O213">
            <v>0.04</v>
          </cell>
          <cell r="Q213">
            <v>66.7</v>
          </cell>
          <cell r="R213" t="str">
            <v>*6*</v>
          </cell>
        </row>
        <row r="214">
          <cell r="F214">
            <v>4751400300</v>
          </cell>
          <cell r="I214" t="str">
            <v>HP, ACREEDOR POR RET. VENTA COMB. A DIS</v>
          </cell>
          <cell r="K214">
            <v>-1986.1</v>
          </cell>
          <cell r="M214">
            <v>-2067.84</v>
          </cell>
          <cell r="O214">
            <v>81.739999999999995</v>
          </cell>
          <cell r="Q214">
            <v>4</v>
          </cell>
        </row>
        <row r="215">
          <cell r="F215">
            <v>4751400300</v>
          </cell>
          <cell r="I215" t="str">
            <v>HP, ACREEDOR POR RET. VENTA COMB. A DIS</v>
          </cell>
          <cell r="K215">
            <v>1176.8900000000001</v>
          </cell>
          <cell r="M215">
            <v>1176.8900000000001</v>
          </cell>
          <cell r="O215">
            <v>0</v>
          </cell>
        </row>
        <row r="216">
          <cell r="E216">
            <v>4751400300</v>
          </cell>
          <cell r="F216" t="str">
            <v>4751400300 HP Acreedor x ret vta. comb. a dis</v>
          </cell>
          <cell r="K216">
            <v>-809.21</v>
          </cell>
          <cell r="M216">
            <v>-890.95</v>
          </cell>
          <cell r="O216">
            <v>81.739999999999995</v>
          </cell>
          <cell r="Q216">
            <v>9.1999999999999993</v>
          </cell>
          <cell r="R216" t="str">
            <v>*6*</v>
          </cell>
        </row>
        <row r="217">
          <cell r="E217">
            <v>4751400400</v>
          </cell>
          <cell r="F217">
            <v>4751400400</v>
          </cell>
          <cell r="I217" t="str">
            <v>HP, ACREEDOR POR RET. VENTA DE COMERCIA</v>
          </cell>
          <cell r="K217">
            <v>207075.33</v>
          </cell>
          <cell r="M217">
            <v>200068.36</v>
          </cell>
          <cell r="O217">
            <v>7006.97</v>
          </cell>
          <cell r="Q217">
            <v>3.5</v>
          </cell>
        </row>
        <row r="218">
          <cell r="E218">
            <v>4751400400</v>
          </cell>
          <cell r="F218" t="str">
            <v>4751400400 HP Acreedor x ret vta. de comercia</v>
          </cell>
          <cell r="K218">
            <v>207075.33</v>
          </cell>
          <cell r="M218">
            <v>200068.36</v>
          </cell>
          <cell r="O218">
            <v>7006.97</v>
          </cell>
          <cell r="Q218">
            <v>3.5</v>
          </cell>
          <cell r="R218" t="str">
            <v>*6*</v>
          </cell>
        </row>
        <row r="219">
          <cell r="F219">
            <v>4751500800</v>
          </cell>
          <cell r="I219" t="str">
            <v>RETENCIONES EN OTROS PAGOS A PERSONAS N</v>
          </cell>
          <cell r="K219">
            <v>-199.37</v>
          </cell>
          <cell r="M219">
            <v>-198.73</v>
          </cell>
          <cell r="O219">
            <v>-0.64</v>
          </cell>
          <cell r="Q219">
            <v>-0.3</v>
          </cell>
        </row>
        <row r="220">
          <cell r="F220">
            <v>4751500800</v>
          </cell>
          <cell r="I220" t="str">
            <v>RETENCIONES EN OTROS PAGOS A PERSONAS N</v>
          </cell>
          <cell r="K220">
            <v>198.73</v>
          </cell>
          <cell r="M220">
            <v>198.73</v>
          </cell>
          <cell r="O220">
            <v>0</v>
          </cell>
        </row>
        <row r="221">
          <cell r="E221">
            <v>4751500800</v>
          </cell>
          <cell r="F221" t="str">
            <v>4751500800 Retenc. pago personas naturales</v>
          </cell>
          <cell r="K221">
            <v>-0.64</v>
          </cell>
          <cell r="M221">
            <v>0</v>
          </cell>
          <cell r="O221">
            <v>-0.64</v>
          </cell>
          <cell r="R221" t="str">
            <v>*6*</v>
          </cell>
        </row>
        <row r="222">
          <cell r="F222">
            <v>4751500900</v>
          </cell>
          <cell r="I222" t="str">
            <v>RETENCIONES EN OTROS PAGOS A SOCIEDADES</v>
          </cell>
          <cell r="K222">
            <v>-859.93</v>
          </cell>
          <cell r="M222">
            <v>-859.93</v>
          </cell>
          <cell r="O222">
            <v>0</v>
          </cell>
        </row>
        <row r="223">
          <cell r="F223">
            <v>4751500900</v>
          </cell>
          <cell r="I223" t="str">
            <v>RETENCIONES EN OTROS PAGOS A SOCIEDADES</v>
          </cell>
          <cell r="K223">
            <v>859.93</v>
          </cell>
          <cell r="M223">
            <v>859.93</v>
          </cell>
          <cell r="O223">
            <v>0</v>
          </cell>
        </row>
        <row r="224">
          <cell r="E224">
            <v>4751500900</v>
          </cell>
          <cell r="F224" t="str">
            <v>4751500900 Retenc. pago a sociedades</v>
          </cell>
          <cell r="K224">
            <v>0</v>
          </cell>
          <cell r="M224">
            <v>0</v>
          </cell>
          <cell r="O224">
            <v>0</v>
          </cell>
          <cell r="R224" t="str">
            <v>*6*</v>
          </cell>
        </row>
        <row r="225">
          <cell r="F225">
            <v>4751501000</v>
          </cell>
          <cell r="I225" t="str">
            <v>RETENCION EN PAGOS POR HONORARIOS,REGAL</v>
          </cell>
          <cell r="K225">
            <v>-485.65</v>
          </cell>
          <cell r="M225">
            <v>-485.65</v>
          </cell>
          <cell r="O225">
            <v>0</v>
          </cell>
        </row>
        <row r="226">
          <cell r="F226">
            <v>4751501000</v>
          </cell>
          <cell r="I226" t="str">
            <v>RETENCION EN PAGOS POR HONORARIOS,REGAL</v>
          </cell>
          <cell r="K226">
            <v>485.65</v>
          </cell>
          <cell r="M226">
            <v>485.65</v>
          </cell>
          <cell r="O226">
            <v>0</v>
          </cell>
        </row>
        <row r="227">
          <cell r="E227">
            <v>4751501000</v>
          </cell>
          <cell r="F227" t="str">
            <v>4751501000 Retenc. en honorarios y regalias</v>
          </cell>
          <cell r="K227">
            <v>0</v>
          </cell>
          <cell r="M227">
            <v>0</v>
          </cell>
          <cell r="O227">
            <v>0</v>
          </cell>
          <cell r="R227" t="str">
            <v>*6*</v>
          </cell>
        </row>
        <row r="228">
          <cell r="E228">
            <v>8302475150</v>
          </cell>
          <cell r="F228">
            <v>8302475150</v>
          </cell>
          <cell r="I228" t="str">
            <v>OTRAS RETENCIONES NO ESPECIFICADAS (GAA</v>
          </cell>
          <cell r="K228">
            <v>0.28999999999999998</v>
          </cell>
          <cell r="M228">
            <v>0.28999999999999998</v>
          </cell>
          <cell r="O228">
            <v>0</v>
          </cell>
        </row>
        <row r="229">
          <cell r="E229">
            <v>4751501100</v>
          </cell>
          <cell r="F229" t="str">
            <v>4751501100 Otras retenc. no especificadas</v>
          </cell>
          <cell r="K229">
            <v>0.28999999999999998</v>
          </cell>
          <cell r="M229">
            <v>0.28999999999999998</v>
          </cell>
          <cell r="O229">
            <v>0</v>
          </cell>
          <cell r="R229" t="str">
            <v>*6*</v>
          </cell>
        </row>
        <row r="230">
          <cell r="E230">
            <v>4751501400</v>
          </cell>
          <cell r="F230">
            <v>4751501400</v>
          </cell>
          <cell r="I230" t="str">
            <v>RETENC. POR SERVICIOS PERSONAS NATURALE</v>
          </cell>
          <cell r="K230">
            <v>-9.6</v>
          </cell>
          <cell r="M230">
            <v>-209.6</v>
          </cell>
          <cell r="O230">
            <v>200</v>
          </cell>
          <cell r="Q230">
            <v>95.4</v>
          </cell>
        </row>
        <row r="231">
          <cell r="E231">
            <v>4751501400</v>
          </cell>
          <cell r="F231" t="str">
            <v>4751501400 Retenc. por Serv. Pers. Natural</v>
          </cell>
          <cell r="K231">
            <v>-9.6</v>
          </cell>
          <cell r="M231">
            <v>-209.6</v>
          </cell>
          <cell r="O231">
            <v>200</v>
          </cell>
          <cell r="Q231">
            <v>95.4</v>
          </cell>
          <cell r="R231" t="str">
            <v>*6*</v>
          </cell>
        </row>
        <row r="232">
          <cell r="E232">
            <v>4751501500</v>
          </cell>
          <cell r="F232">
            <v>4751501500</v>
          </cell>
          <cell r="I232" t="str">
            <v>RETENCION POR SERV. MANO DE OBRA Y OTRO</v>
          </cell>
          <cell r="K232">
            <v>-314.08</v>
          </cell>
          <cell r="M232">
            <v>-352.85</v>
          </cell>
          <cell r="O232">
            <v>38.770000000000003</v>
          </cell>
          <cell r="Q232">
            <v>11</v>
          </cell>
        </row>
        <row r="233">
          <cell r="E233">
            <v>4751501500</v>
          </cell>
          <cell r="F233" t="str">
            <v>4751501500 Retenc. por Serv. Mano de Obra y O</v>
          </cell>
          <cell r="K233">
            <v>-314.08</v>
          </cell>
          <cell r="M233">
            <v>-352.85</v>
          </cell>
          <cell r="O233">
            <v>38.770000000000003</v>
          </cell>
          <cell r="Q233">
            <v>11</v>
          </cell>
          <cell r="R233" t="str">
            <v>*6*</v>
          </cell>
        </row>
        <row r="234">
          <cell r="E234" t="str">
            <v>HACIENDA PUBLICA ACREEDORA</v>
          </cell>
          <cell r="F234" t="str">
            <v>***HACIENDA PUBLICA ACREEDORA</v>
          </cell>
          <cell r="K234">
            <v>256658.56</v>
          </cell>
          <cell r="M234">
            <v>246958.09</v>
          </cell>
          <cell r="O234">
            <v>9700.4699999999993</v>
          </cell>
          <cell r="Q234">
            <v>3.9</v>
          </cell>
          <cell r="R234" t="str">
            <v>*3*</v>
          </cell>
        </row>
        <row r="236">
          <cell r="E236">
            <v>4100000000</v>
          </cell>
          <cell r="F236">
            <v>4100000000</v>
          </cell>
          <cell r="I236" t="str">
            <v>ACREEDORES POR PRESTACION DE SERVICIOS</v>
          </cell>
          <cell r="K236">
            <v>-630.41999999999996</v>
          </cell>
          <cell r="M236">
            <v>-12429.46</v>
          </cell>
          <cell r="O236">
            <v>11799.04</v>
          </cell>
          <cell r="Q236">
            <v>94.9</v>
          </cell>
        </row>
        <row r="237">
          <cell r="E237">
            <v>8302410000</v>
          </cell>
          <cell r="F237">
            <v>8302410000</v>
          </cell>
          <cell r="I237" t="str">
            <v>ACREEDORES POR PRESTACION DE SERVICIOS</v>
          </cell>
          <cell r="K237">
            <v>-0.28999999999999998</v>
          </cell>
          <cell r="M237">
            <v>-0.28999999999999998</v>
          </cell>
          <cell r="O237">
            <v>0</v>
          </cell>
        </row>
        <row r="238">
          <cell r="E238">
            <v>4100000000</v>
          </cell>
          <cell r="F238" t="str">
            <v>4100000000 Acreedores por prestación de serv.</v>
          </cell>
          <cell r="K238">
            <v>-630.71</v>
          </cell>
          <cell r="M238">
            <v>-12429.75</v>
          </cell>
          <cell r="O238">
            <v>11799.04</v>
          </cell>
          <cell r="Q238">
            <v>94.9</v>
          </cell>
          <cell r="R238" t="str">
            <v>*5*</v>
          </cell>
        </row>
        <row r="239">
          <cell r="E239">
            <v>4109000000</v>
          </cell>
          <cell r="F239">
            <v>4109000000</v>
          </cell>
          <cell r="I239" t="str">
            <v>ACREEDORES, FACTURAS PENDIENTES DE RECI</v>
          </cell>
          <cell r="K239">
            <v>-30284.33</v>
          </cell>
          <cell r="M239">
            <v>-26252.06</v>
          </cell>
          <cell r="O239">
            <v>-4032.27</v>
          </cell>
          <cell r="Q239">
            <v>-15.4</v>
          </cell>
        </row>
        <row r="240">
          <cell r="E240">
            <v>4109000000</v>
          </cell>
          <cell r="F240" t="str">
            <v>4109000000 Acreed. fact. pendientes de recib.</v>
          </cell>
          <cell r="K240">
            <v>-30284.33</v>
          </cell>
          <cell r="M240">
            <v>-26252.06</v>
          </cell>
          <cell r="O240">
            <v>-4032.27</v>
          </cell>
          <cell r="Q240">
            <v>-15.4</v>
          </cell>
          <cell r="R240" t="str">
            <v>*5*</v>
          </cell>
        </row>
        <row r="241">
          <cell r="E241">
            <v>4601000000</v>
          </cell>
          <cell r="F241">
            <v>4601000000</v>
          </cell>
          <cell r="I241" t="str">
            <v>OTROS ANTICIPOS AL PERSONAL</v>
          </cell>
          <cell r="K241">
            <v>0</v>
          </cell>
          <cell r="M241">
            <v>-268.58</v>
          </cell>
          <cell r="O241">
            <v>268.58</v>
          </cell>
          <cell r="Q241">
            <v>100</v>
          </cell>
        </row>
        <row r="242">
          <cell r="E242">
            <v>4601000000</v>
          </cell>
          <cell r="F242" t="str">
            <v>4601000000 Otros anticipos al personal</v>
          </cell>
          <cell r="K242">
            <v>0</v>
          </cell>
          <cell r="M242">
            <v>-268.58</v>
          </cell>
          <cell r="O242">
            <v>268.58</v>
          </cell>
          <cell r="Q242">
            <v>100</v>
          </cell>
          <cell r="R242" t="str">
            <v>*5*</v>
          </cell>
        </row>
        <row r="243">
          <cell r="E243">
            <v>4609000000</v>
          </cell>
          <cell r="F243">
            <v>4609000000</v>
          </cell>
          <cell r="I243" t="str">
            <v>EMPLEADOS, DEUDORES</v>
          </cell>
          <cell r="K243">
            <v>792.5</v>
          </cell>
          <cell r="M243">
            <v>951</v>
          </cell>
          <cell r="O243">
            <v>-158.5</v>
          </cell>
          <cell r="Q243">
            <v>-16.7</v>
          </cell>
        </row>
        <row r="244">
          <cell r="E244">
            <v>4609000000</v>
          </cell>
          <cell r="F244" t="str">
            <v>4609000000 Empleados deudores</v>
          </cell>
          <cell r="K244">
            <v>792.5</v>
          </cell>
          <cell r="M244">
            <v>951</v>
          </cell>
          <cell r="O244">
            <v>-158.5</v>
          </cell>
          <cell r="Q244">
            <v>-16.7</v>
          </cell>
          <cell r="R244" t="str">
            <v>*6*</v>
          </cell>
        </row>
        <row r="245">
          <cell r="E245">
            <v>4650105000</v>
          </cell>
          <cell r="F245">
            <v>4650105000</v>
          </cell>
          <cell r="I245" t="str">
            <v>SUELDO 13 POR PAGAR</v>
          </cell>
          <cell r="K245">
            <v>-686.41</v>
          </cell>
          <cell r="M245">
            <v>-571.74</v>
          </cell>
          <cell r="O245">
            <v>-114.67</v>
          </cell>
          <cell r="Q245">
            <v>-20.100000000000001</v>
          </cell>
        </row>
        <row r="246">
          <cell r="E246">
            <v>4650105000</v>
          </cell>
          <cell r="F246" t="str">
            <v>4650105000 Sueldo 13 por pagar</v>
          </cell>
          <cell r="K246">
            <v>-686.41</v>
          </cell>
          <cell r="M246">
            <v>-571.74</v>
          </cell>
          <cell r="O246">
            <v>-114.67</v>
          </cell>
          <cell r="Q246">
            <v>-20.100000000000001</v>
          </cell>
          <cell r="R246" t="str">
            <v>*6*</v>
          </cell>
        </row>
        <row r="247">
          <cell r="E247">
            <v>4650109000</v>
          </cell>
          <cell r="F247">
            <v>4650109000</v>
          </cell>
          <cell r="I247" t="str">
            <v>SUELDO 14 POR PAGAR</v>
          </cell>
          <cell r="K247">
            <v>-67.790000000000006</v>
          </cell>
          <cell r="M247">
            <v>-56.49</v>
          </cell>
          <cell r="O247">
            <v>-11.3</v>
          </cell>
          <cell r="Q247">
            <v>-20</v>
          </cell>
        </row>
        <row r="248">
          <cell r="E248">
            <v>4650109000</v>
          </cell>
          <cell r="F248" t="str">
            <v>4650109000 Sueldo 14 por pagar</v>
          </cell>
          <cell r="K248">
            <v>-67.790000000000006</v>
          </cell>
          <cell r="M248">
            <v>-56.49</v>
          </cell>
          <cell r="O248">
            <v>-11.3</v>
          </cell>
          <cell r="Q248">
            <v>-20</v>
          </cell>
          <cell r="R248" t="str">
            <v>*6*</v>
          </cell>
        </row>
        <row r="249">
          <cell r="E249">
            <v>4350000000</v>
          </cell>
          <cell r="F249">
            <v>4350000000</v>
          </cell>
          <cell r="I249" t="str">
            <v>CLIENTES DE DUDOSO COBRO</v>
          </cell>
          <cell r="K249">
            <v>13325.04</v>
          </cell>
          <cell r="M249">
            <v>13325.04</v>
          </cell>
          <cell r="O249">
            <v>0</v>
          </cell>
        </row>
        <row r="250">
          <cell r="E250">
            <v>4350000000</v>
          </cell>
          <cell r="F250" t="str">
            <v>4350000000 Clientes de dudoso cobro</v>
          </cell>
          <cell r="K250">
            <v>13325.04</v>
          </cell>
          <cell r="M250">
            <v>13325.04</v>
          </cell>
          <cell r="O250">
            <v>0</v>
          </cell>
          <cell r="R250" t="str">
            <v>*5*</v>
          </cell>
        </row>
        <row r="251">
          <cell r="E251" t="str">
            <v>OTROS ACREEDORES</v>
          </cell>
          <cell r="F251" t="str">
            <v>***OTROS ACREEDORES</v>
          </cell>
          <cell r="K251">
            <v>-17551.7</v>
          </cell>
          <cell r="M251">
            <v>-25302.58</v>
          </cell>
          <cell r="O251">
            <v>7750.88</v>
          </cell>
          <cell r="Q251">
            <v>30.6</v>
          </cell>
          <cell r="R251" t="str">
            <v>*3*</v>
          </cell>
        </row>
        <row r="253">
          <cell r="E253" t="str">
            <v>TOTAL DEUDAS COMECIALES C.P.</v>
          </cell>
          <cell r="F253" t="str">
            <v>**TOTAL DEUDAS COMECIALES C.P.</v>
          </cell>
          <cell r="K253">
            <v>-9940926.5500000007</v>
          </cell>
          <cell r="M253">
            <v>-9758513.1500000004</v>
          </cell>
          <cell r="O253">
            <v>-182413.4</v>
          </cell>
          <cell r="Q253">
            <v>-1.9</v>
          </cell>
          <cell r="R253" t="str">
            <v>*2*</v>
          </cell>
        </row>
        <row r="254">
          <cell r="E254" t="str">
            <v>==========</v>
          </cell>
          <cell r="F254" t="str">
            <v>=============================================</v>
          </cell>
        </row>
        <row r="256">
          <cell r="E256" t="str">
            <v>TOTAL PASIVO</v>
          </cell>
          <cell r="F256" t="str">
            <v>*TOTAL PASIVO</v>
          </cell>
          <cell r="K256">
            <v>-9922544.5</v>
          </cell>
          <cell r="M256">
            <v>-9792489.8499999996</v>
          </cell>
          <cell r="O256">
            <v>-130054.65</v>
          </cell>
          <cell r="Q256">
            <v>-1.3</v>
          </cell>
          <cell r="R256" t="str">
            <v>*1*</v>
          </cell>
        </row>
        <row r="257">
          <cell r="E257" t="str">
            <v>==========</v>
          </cell>
          <cell r="F257" t="str">
            <v>=============================================</v>
          </cell>
        </row>
        <row r="264">
          <cell r="G264" t="str">
            <v>División</v>
          </cell>
          <cell r="H264" t="str">
            <v>****</v>
          </cell>
          <cell r="N264" t="str">
            <v>Imptes en</v>
          </cell>
          <cell r="P264" t="str">
            <v>USD</v>
          </cell>
        </row>
        <row r="266">
          <cell r="E266" t="str">
            <v>Textos....</v>
          </cell>
          <cell r="F266" t="str">
            <v>Textos............................................</v>
          </cell>
          <cell r="J266" t="str">
            <v>..Interv.informe.</v>
          </cell>
          <cell r="L266" t="str">
            <v>..Comp. periodos</v>
          </cell>
          <cell r="O266" t="str">
            <v>absolutos</v>
          </cell>
          <cell r="Q266" t="str">
            <v>Rel</v>
          </cell>
          <cell r="R266" t="str">
            <v xml:space="preserve"> Tot</v>
          </cell>
        </row>
        <row r="267">
          <cell r="E267" t="str">
            <v>..........</v>
          </cell>
          <cell r="F267" t="str">
            <v>..................................................</v>
          </cell>
          <cell r="J267" t="str">
            <v>(01.2004-09.2004)</v>
          </cell>
          <cell r="L267" t="str">
            <v>(01.2004-08.2004)</v>
          </cell>
          <cell r="O267" t="str">
            <v>Desviación</v>
          </cell>
          <cell r="Q267" t="str">
            <v>Dsv</v>
          </cell>
          <cell r="R267" t="str">
            <v>Etapa</v>
          </cell>
        </row>
        <row r="269">
          <cell r="E269" t="str">
            <v>RESULTADOS</v>
          </cell>
          <cell r="F269" t="str">
            <v>RESULTADOS</v>
          </cell>
        </row>
        <row r="271">
          <cell r="E271">
            <v>7000300000</v>
          </cell>
          <cell r="F271">
            <v>7000300000</v>
          </cell>
          <cell r="I271" t="str">
            <v>VENTAS DE EXISTENCIAS COMERCIALES DE CO</v>
          </cell>
          <cell r="K271">
            <v>-30604071.41</v>
          </cell>
          <cell r="M271">
            <v>-27304154.100000001</v>
          </cell>
          <cell r="O271">
            <v>-3299917.31</v>
          </cell>
          <cell r="Q271">
            <v>-12.1</v>
          </cell>
        </row>
        <row r="272">
          <cell r="E272">
            <v>7000300000</v>
          </cell>
          <cell r="F272" t="str">
            <v>7000300000 Venta de ex. com. de combustibles</v>
          </cell>
          <cell r="K272">
            <v>-30604071.41</v>
          </cell>
          <cell r="M272">
            <v>-27304154.100000001</v>
          </cell>
          <cell r="O272">
            <v>-3299917.31</v>
          </cell>
          <cell r="Q272">
            <v>-12.1</v>
          </cell>
          <cell r="R272" t="str">
            <v>*8*</v>
          </cell>
        </row>
        <row r="273">
          <cell r="E273">
            <v>7070000000</v>
          </cell>
          <cell r="F273">
            <v>7070000000</v>
          </cell>
          <cell r="I273" t="str">
            <v>COMISIONES SOBRE VENTAS</v>
          </cell>
          <cell r="K273">
            <v>376.63</v>
          </cell>
          <cell r="M273">
            <v>376.63</v>
          </cell>
          <cell r="O273">
            <v>0</v>
          </cell>
        </row>
        <row r="274">
          <cell r="E274">
            <v>7070000000</v>
          </cell>
          <cell r="F274" t="str">
            <v>7070000000 Comisiones sobre ventas</v>
          </cell>
          <cell r="K274">
            <v>376.63</v>
          </cell>
          <cell r="M274">
            <v>376.63</v>
          </cell>
          <cell r="O274">
            <v>0</v>
          </cell>
          <cell r="R274" t="str">
            <v>*8*</v>
          </cell>
        </row>
        <row r="275">
          <cell r="E275">
            <v>7090000000</v>
          </cell>
          <cell r="F275">
            <v>7090000000</v>
          </cell>
          <cell r="I275" t="str">
            <v>RAPPELS SOBRE VENTAS DE EXISTENCIAS COM</v>
          </cell>
          <cell r="K275">
            <v>-1765.01</v>
          </cell>
          <cell r="M275">
            <v>-1609.54</v>
          </cell>
          <cell r="O275">
            <v>-155.47</v>
          </cell>
          <cell r="Q275">
            <v>-9.6999999999999993</v>
          </cell>
        </row>
        <row r="276">
          <cell r="E276">
            <v>7090000000</v>
          </cell>
          <cell r="F276" t="str">
            <v>7090000000 Rappels sobre ventas de exist. com</v>
          </cell>
          <cell r="K276">
            <v>-1765.01</v>
          </cell>
          <cell r="M276">
            <v>-1609.54</v>
          </cell>
          <cell r="O276">
            <v>-155.47</v>
          </cell>
          <cell r="Q276">
            <v>-9.6999999999999993</v>
          </cell>
          <cell r="R276" t="str">
            <v>*8*</v>
          </cell>
        </row>
        <row r="277">
          <cell r="E277" t="str">
            <v>******VENT</v>
          </cell>
          <cell r="F277" t="str">
            <v>******VENTAS</v>
          </cell>
          <cell r="K277">
            <v>-30605459.789999999</v>
          </cell>
          <cell r="M277">
            <v>-27305387.010000002</v>
          </cell>
          <cell r="O277">
            <v>-3300072.78</v>
          </cell>
          <cell r="Q277">
            <v>-12.1</v>
          </cell>
          <cell r="R277" t="str">
            <v>*6*</v>
          </cell>
        </row>
        <row r="278">
          <cell r="E278">
            <v>7130000000</v>
          </cell>
          <cell r="F278">
            <v>7130000000</v>
          </cell>
          <cell r="I278" t="str">
            <v>VARIACION EXIST. SUBPROD./RESIDUOS/MAT.</v>
          </cell>
          <cell r="K278">
            <v>-99.85</v>
          </cell>
          <cell r="M278">
            <v>-99.85</v>
          </cell>
          <cell r="O278">
            <v>0</v>
          </cell>
        </row>
        <row r="279">
          <cell r="E279">
            <v>7130000000</v>
          </cell>
          <cell r="F279" t="str">
            <v>7130000000 Variac. Exist. Subprod./residuos</v>
          </cell>
          <cell r="K279">
            <v>-99.85</v>
          </cell>
          <cell r="M279">
            <v>-99.85</v>
          </cell>
          <cell r="O279">
            <v>0</v>
          </cell>
          <cell r="R279" t="str">
            <v>*8*</v>
          </cell>
        </row>
        <row r="280">
          <cell r="E280">
            <v>7220000400</v>
          </cell>
          <cell r="F280">
            <v>7220000400</v>
          </cell>
          <cell r="I280" t="str">
            <v>RECUPERACION DE GASTOS DE TRANSPORTE</v>
          </cell>
          <cell r="K280">
            <v>-368761.04</v>
          </cell>
          <cell r="M280">
            <v>-339538.96</v>
          </cell>
          <cell r="O280">
            <v>-29222.080000000002</v>
          </cell>
          <cell r="Q280">
            <v>-8.6</v>
          </cell>
        </row>
        <row r="281">
          <cell r="E281">
            <v>7220000400</v>
          </cell>
          <cell r="F281" t="str">
            <v>7220000400 Recuperación gastos de transporte</v>
          </cell>
          <cell r="K281">
            <v>-368761.04</v>
          </cell>
          <cell r="M281">
            <v>-339538.96</v>
          </cell>
          <cell r="O281">
            <v>-29222.080000000002</v>
          </cell>
          <cell r="Q281">
            <v>-8.6</v>
          </cell>
          <cell r="R281" t="str">
            <v>*8*</v>
          </cell>
        </row>
        <row r="282">
          <cell r="E282" t="str">
            <v>******OTRO</v>
          </cell>
          <cell r="F282" t="str">
            <v>******OTROS INGRESOS</v>
          </cell>
          <cell r="K282">
            <v>-368860.89</v>
          </cell>
          <cell r="M282">
            <v>-339638.81</v>
          </cell>
          <cell r="O282">
            <v>-29222.080000000002</v>
          </cell>
          <cell r="Q282">
            <v>-8.6</v>
          </cell>
          <cell r="R282" t="str">
            <v>*6*</v>
          </cell>
        </row>
        <row r="283">
          <cell r="E283" t="str">
            <v>==========</v>
          </cell>
          <cell r="F283" t="str">
            <v>=============================================</v>
          </cell>
        </row>
        <row r="284">
          <cell r="E284" t="str">
            <v>INGRESOS OPERATIVOS</v>
          </cell>
          <cell r="F284" t="str">
            <v>*****INGRESOS OPERATIVOS</v>
          </cell>
          <cell r="K284">
            <v>-30974320.68</v>
          </cell>
          <cell r="M284">
            <v>-27645025.82</v>
          </cell>
          <cell r="O284">
            <v>-3329294.86</v>
          </cell>
          <cell r="Q284">
            <v>-12</v>
          </cell>
          <cell r="R284" t="str">
            <v>*5*</v>
          </cell>
        </row>
        <row r="285">
          <cell r="E285" t="str">
            <v>==========</v>
          </cell>
          <cell r="F285" t="str">
            <v>=============================================</v>
          </cell>
        </row>
        <row r="286">
          <cell r="E286">
            <v>6000300000</v>
          </cell>
          <cell r="F286">
            <v>6000300000</v>
          </cell>
          <cell r="I286" t="str">
            <v>COSTE DE VENTAS DE COMBUSTIBLES</v>
          </cell>
          <cell r="K286">
            <v>29970769.550000001</v>
          </cell>
          <cell r="M286">
            <v>26737194.210000001</v>
          </cell>
          <cell r="O286">
            <v>3233575.34</v>
          </cell>
          <cell r="Q286">
            <v>12.1</v>
          </cell>
        </row>
        <row r="287">
          <cell r="E287">
            <v>6000300000</v>
          </cell>
          <cell r="F287" t="str">
            <v>6000300000 Costo de ventas de combustibles</v>
          </cell>
          <cell r="K287">
            <v>29970769.550000001</v>
          </cell>
          <cell r="M287">
            <v>26737194.210000001</v>
          </cell>
          <cell r="O287">
            <v>3233575.34</v>
          </cell>
          <cell r="Q287">
            <v>12.1</v>
          </cell>
          <cell r="R287" t="str">
            <v>*8*</v>
          </cell>
        </row>
        <row r="288">
          <cell r="E288" t="str">
            <v>COSTO DE VENTAS</v>
          </cell>
          <cell r="F288" t="str">
            <v>******COSTO DE VENTAS</v>
          </cell>
          <cell r="K288">
            <v>29970769.550000001</v>
          </cell>
          <cell r="M288">
            <v>26737194.210000001</v>
          </cell>
          <cell r="O288">
            <v>3233575.34</v>
          </cell>
          <cell r="Q288">
            <v>12.1</v>
          </cell>
          <cell r="R288" t="str">
            <v>*6*</v>
          </cell>
        </row>
        <row r="289">
          <cell r="E289">
            <v>6100300000</v>
          </cell>
          <cell r="F289">
            <v>6100300000</v>
          </cell>
          <cell r="I289" t="str">
            <v>VARIACION EXISTENCIAS COMERCIALES DE CO</v>
          </cell>
          <cell r="K289">
            <v>40.799999999999997</v>
          </cell>
          <cell r="M289">
            <v>40.799999999999997</v>
          </cell>
          <cell r="O289">
            <v>0</v>
          </cell>
        </row>
        <row r="290">
          <cell r="E290">
            <v>6100300000</v>
          </cell>
          <cell r="F290" t="str">
            <v>6100300000 Variac. exist.com. combustibles</v>
          </cell>
          <cell r="K290">
            <v>40.799999999999997</v>
          </cell>
          <cell r="M290">
            <v>40.799999999999997</v>
          </cell>
          <cell r="O290">
            <v>0</v>
          </cell>
          <cell r="R290" t="str">
            <v>*8*</v>
          </cell>
        </row>
        <row r="291">
          <cell r="E291" t="str">
            <v>VARIACION DE EXISTENCIAS</v>
          </cell>
          <cell r="F291" t="str">
            <v>******VARIACION DE EXISTENCIAS</v>
          </cell>
          <cell r="K291">
            <v>40.799999999999997</v>
          </cell>
          <cell r="M291">
            <v>40.799999999999997</v>
          </cell>
          <cell r="O291">
            <v>0</v>
          </cell>
          <cell r="R291" t="str">
            <v>*6*</v>
          </cell>
        </row>
        <row r="292">
          <cell r="E292">
            <v>6400000000</v>
          </cell>
          <cell r="F292">
            <v>6400000000</v>
          </cell>
          <cell r="I292" t="str">
            <v>SALARIOS Y COMPLEMENTOS FIJOS</v>
          </cell>
          <cell r="K292">
            <v>7048.71</v>
          </cell>
          <cell r="M292">
            <v>6221.74</v>
          </cell>
          <cell r="O292">
            <v>826.97</v>
          </cell>
          <cell r="Q292">
            <v>13.3</v>
          </cell>
        </row>
        <row r="293">
          <cell r="E293">
            <v>6400000000</v>
          </cell>
          <cell r="F293" t="str">
            <v>6400000000 Salarios y complementos fijos</v>
          </cell>
          <cell r="K293">
            <v>7048.71</v>
          </cell>
          <cell r="M293">
            <v>6221.74</v>
          </cell>
          <cell r="O293">
            <v>826.97</v>
          </cell>
          <cell r="Q293">
            <v>13.3</v>
          </cell>
          <cell r="R293" t="str">
            <v>*8*</v>
          </cell>
        </row>
        <row r="294">
          <cell r="E294">
            <v>6400003000</v>
          </cell>
          <cell r="F294">
            <v>6400003000</v>
          </cell>
          <cell r="I294" t="str">
            <v>COMPLEMENTOS SOBRETIEMPO</v>
          </cell>
          <cell r="K294">
            <v>1148.1199999999999</v>
          </cell>
          <cell r="M294">
            <v>481.1</v>
          </cell>
          <cell r="O294">
            <v>667.02</v>
          </cell>
          <cell r="Q294">
            <v>138.6</v>
          </cell>
        </row>
        <row r="295">
          <cell r="E295">
            <v>6400003000</v>
          </cell>
          <cell r="F295" t="str">
            <v>6400003000 Complementos sobretiempo</v>
          </cell>
          <cell r="K295">
            <v>1148.1199999999999</v>
          </cell>
          <cell r="M295">
            <v>481.1</v>
          </cell>
          <cell r="O295">
            <v>667.02</v>
          </cell>
          <cell r="Q295">
            <v>138.6</v>
          </cell>
          <cell r="R295" t="str">
            <v>*8*</v>
          </cell>
        </row>
        <row r="296">
          <cell r="E296">
            <v>6420000000</v>
          </cell>
          <cell r="F296">
            <v>6420000000</v>
          </cell>
          <cell r="I296" t="str">
            <v>SEGURIDAD SOCIAL CARGO EMPRESA</v>
          </cell>
          <cell r="K296">
            <v>1544.26</v>
          </cell>
          <cell r="M296">
            <v>1262.4000000000001</v>
          </cell>
          <cell r="O296">
            <v>281.86</v>
          </cell>
          <cell r="Q296">
            <v>22.3</v>
          </cell>
        </row>
        <row r="297">
          <cell r="E297">
            <v>6420000000</v>
          </cell>
          <cell r="F297" t="str">
            <v>6420000000 Seguridad social cargo empresa</v>
          </cell>
          <cell r="K297">
            <v>1544.26</v>
          </cell>
          <cell r="M297">
            <v>1262.4000000000001</v>
          </cell>
          <cell r="O297">
            <v>281.86</v>
          </cell>
          <cell r="Q297">
            <v>22.3</v>
          </cell>
          <cell r="R297" t="str">
            <v>*8*</v>
          </cell>
        </row>
        <row r="298">
          <cell r="E298">
            <v>6440001000</v>
          </cell>
          <cell r="F298">
            <v>6440001000</v>
          </cell>
          <cell r="I298" t="str">
            <v>GASTOS DE VIAJE. LOCOMOCION MEDIOS AJEN</v>
          </cell>
          <cell r="K298">
            <v>463.1</v>
          </cell>
          <cell r="M298">
            <v>463.1</v>
          </cell>
          <cell r="O298">
            <v>0</v>
          </cell>
        </row>
        <row r="299">
          <cell r="E299">
            <v>6440001000</v>
          </cell>
          <cell r="F299" t="str">
            <v>6440001000 Gtos de viaje locom. medios ajenos</v>
          </cell>
          <cell r="K299">
            <v>463.1</v>
          </cell>
          <cell r="M299">
            <v>463.1</v>
          </cell>
          <cell r="O299">
            <v>0</v>
          </cell>
          <cell r="R299" t="str">
            <v>*8*</v>
          </cell>
        </row>
        <row r="300">
          <cell r="E300">
            <v>6441000000</v>
          </cell>
          <cell r="F300">
            <v>6441000000</v>
          </cell>
          <cell r="I300" t="str">
            <v>GASTOS VIAJE.ESTANCIAS,ALOJAMIENTO Y MA</v>
          </cell>
          <cell r="K300">
            <v>44.2</v>
          </cell>
          <cell r="M300">
            <v>20.62</v>
          </cell>
          <cell r="O300">
            <v>23.58</v>
          </cell>
          <cell r="Q300">
            <v>114.4</v>
          </cell>
        </row>
        <row r="301">
          <cell r="E301">
            <v>6441000000</v>
          </cell>
          <cell r="F301" t="str">
            <v>6441000000 Gtos. de viaje est.alojam.manut.</v>
          </cell>
          <cell r="K301">
            <v>44.2</v>
          </cell>
          <cell r="M301">
            <v>20.62</v>
          </cell>
          <cell r="O301">
            <v>23.58</v>
          </cell>
          <cell r="Q301">
            <v>114.4</v>
          </cell>
          <cell r="R301" t="str">
            <v>*8*</v>
          </cell>
        </row>
        <row r="302">
          <cell r="E302">
            <v>6442000000</v>
          </cell>
          <cell r="F302">
            <v>6442000000</v>
          </cell>
          <cell r="I302" t="str">
            <v>GASTOS DE VIAJE. DIETAS</v>
          </cell>
          <cell r="K302">
            <v>762.72</v>
          </cell>
          <cell r="M302">
            <v>762.72</v>
          </cell>
          <cell r="O302">
            <v>0</v>
          </cell>
        </row>
        <row r="303">
          <cell r="E303">
            <v>6442000000</v>
          </cell>
          <cell r="F303" t="str">
            <v>6442000000 Gastos de viaje dietas</v>
          </cell>
          <cell r="K303">
            <v>762.72</v>
          </cell>
          <cell r="M303">
            <v>762.72</v>
          </cell>
          <cell r="O303">
            <v>0</v>
          </cell>
          <cell r="R303" t="str">
            <v>*8*</v>
          </cell>
        </row>
        <row r="304">
          <cell r="E304">
            <v>6490002000</v>
          </cell>
          <cell r="F304">
            <v>6490002000</v>
          </cell>
          <cell r="I304" t="str">
            <v>OTROS GASTOS SOCIALES. AYUDA DE COMIDA</v>
          </cell>
          <cell r="K304">
            <v>144</v>
          </cell>
          <cell r="M304">
            <v>128</v>
          </cell>
          <cell r="O304">
            <v>16</v>
          </cell>
          <cell r="Q304">
            <v>12.5</v>
          </cell>
        </row>
        <row r="305">
          <cell r="E305">
            <v>6490002000</v>
          </cell>
          <cell r="F305" t="str">
            <v>6490002000 Otros gtos. soc. ayuda de comida</v>
          </cell>
          <cell r="K305">
            <v>144</v>
          </cell>
          <cell r="M305">
            <v>128</v>
          </cell>
          <cell r="O305">
            <v>16</v>
          </cell>
          <cell r="Q305">
            <v>12.5</v>
          </cell>
          <cell r="R305" t="str">
            <v>*8*</v>
          </cell>
        </row>
        <row r="306">
          <cell r="E306">
            <v>6490800000</v>
          </cell>
          <cell r="F306">
            <v>6490800000</v>
          </cell>
          <cell r="I306" t="str">
            <v>TRANSPORTE PERSONAL. LOCOMOCION URBANA</v>
          </cell>
          <cell r="K306">
            <v>1019.96</v>
          </cell>
          <cell r="M306">
            <v>966.46</v>
          </cell>
          <cell r="O306">
            <v>53.5</v>
          </cell>
          <cell r="Q306">
            <v>5.5</v>
          </cell>
        </row>
        <row r="307">
          <cell r="E307">
            <v>6490800000</v>
          </cell>
          <cell r="F307" t="str">
            <v>6490800000 Otros gtos. soc. locom. urbana</v>
          </cell>
          <cell r="K307">
            <v>1019.96</v>
          </cell>
          <cell r="M307">
            <v>966.46</v>
          </cell>
          <cell r="O307">
            <v>53.5</v>
          </cell>
          <cell r="Q307">
            <v>5.5</v>
          </cell>
          <cell r="R307" t="str">
            <v>*8*</v>
          </cell>
        </row>
        <row r="308">
          <cell r="E308">
            <v>6499099900</v>
          </cell>
          <cell r="F308">
            <v>6499099900</v>
          </cell>
          <cell r="I308" t="str">
            <v>OTROS GASTOS SOCIALES. OTROS</v>
          </cell>
          <cell r="K308">
            <v>175.7</v>
          </cell>
          <cell r="M308">
            <v>175.7</v>
          </cell>
          <cell r="O308">
            <v>0</v>
          </cell>
        </row>
        <row r="309">
          <cell r="E309">
            <v>6499099900</v>
          </cell>
          <cell r="F309" t="str">
            <v>6499099900 Otros gtos. soc. otros</v>
          </cell>
          <cell r="K309">
            <v>175.7</v>
          </cell>
          <cell r="M309">
            <v>175.7</v>
          </cell>
          <cell r="O309">
            <v>0</v>
          </cell>
          <cell r="R309" t="str">
            <v>*8*</v>
          </cell>
        </row>
        <row r="310">
          <cell r="E310">
            <v>6490100000</v>
          </cell>
          <cell r="F310">
            <v>6490100000</v>
          </cell>
          <cell r="I310" t="str">
            <v>OTROS GASTOS SOCIALES. TARJETAS SUPERMA</v>
          </cell>
          <cell r="K310">
            <v>40</v>
          </cell>
          <cell r="M310">
            <v>40</v>
          </cell>
          <cell r="O310">
            <v>0</v>
          </cell>
        </row>
        <row r="311">
          <cell r="E311">
            <v>6490100000</v>
          </cell>
          <cell r="F311" t="str">
            <v>6490100000 Otros gs. soc. tarjetas supermaxi</v>
          </cell>
          <cell r="K311">
            <v>40</v>
          </cell>
          <cell r="M311">
            <v>40</v>
          </cell>
          <cell r="O311">
            <v>0</v>
          </cell>
          <cell r="R311" t="str">
            <v>*8*</v>
          </cell>
        </row>
        <row r="312">
          <cell r="E312">
            <v>6490400000</v>
          </cell>
          <cell r="F312">
            <v>6490400000</v>
          </cell>
          <cell r="I312" t="str">
            <v>OTRO GASTO SOCIAL. SEGURO ACCID. Y FALL</v>
          </cell>
          <cell r="K312">
            <v>496.48</v>
          </cell>
          <cell r="M312">
            <v>416.63</v>
          </cell>
          <cell r="O312">
            <v>79.849999999999994</v>
          </cell>
          <cell r="Q312">
            <v>19.2</v>
          </cell>
        </row>
        <row r="313">
          <cell r="E313">
            <v>6490400000</v>
          </cell>
          <cell r="F313" t="str">
            <v>6490400000 Otros gs. soc. seguro acc. y fall.</v>
          </cell>
          <cell r="K313">
            <v>496.48</v>
          </cell>
          <cell r="M313">
            <v>416.63</v>
          </cell>
          <cell r="O313">
            <v>79.849999999999994</v>
          </cell>
          <cell r="Q313">
            <v>19.2</v>
          </cell>
          <cell r="R313" t="str">
            <v>*8*</v>
          </cell>
        </row>
        <row r="314">
          <cell r="E314" t="str">
            <v>GASTOS DE PERSONAL</v>
          </cell>
          <cell r="F314" t="str">
            <v>******GASTOS DE PERSONAL</v>
          </cell>
          <cell r="K314">
            <v>12887.25</v>
          </cell>
          <cell r="M314">
            <v>10938.47</v>
          </cell>
          <cell r="O314">
            <v>1948.78</v>
          </cell>
          <cell r="Q314">
            <v>17.8</v>
          </cell>
          <cell r="R314" t="str">
            <v>*6*</v>
          </cell>
        </row>
        <row r="315">
          <cell r="E315">
            <v>6310300000</v>
          </cell>
          <cell r="F315">
            <v>6310300000</v>
          </cell>
          <cell r="I315" t="str">
            <v>IMPUESTO MATRICULACION VEHICULOS</v>
          </cell>
          <cell r="K315">
            <v>223</v>
          </cell>
          <cell r="M315">
            <v>223</v>
          </cell>
          <cell r="O315">
            <v>0</v>
          </cell>
        </row>
        <row r="316">
          <cell r="E316">
            <v>6310300000</v>
          </cell>
          <cell r="F316" t="str">
            <v>6310300000 Imp. a la matriculac. de vehículos</v>
          </cell>
          <cell r="K316">
            <v>223</v>
          </cell>
          <cell r="M316">
            <v>223</v>
          </cell>
          <cell r="O316">
            <v>0</v>
          </cell>
          <cell r="R316" t="str">
            <v>*7*</v>
          </cell>
        </row>
        <row r="317">
          <cell r="E317">
            <v>6310609900</v>
          </cell>
          <cell r="F317">
            <v>6310609900</v>
          </cell>
          <cell r="I317" t="str">
            <v>TASAS MUNICIPALES Y CONTRIBUCIONES</v>
          </cell>
          <cell r="K317">
            <v>1281.3800000000001</v>
          </cell>
          <cell r="M317">
            <v>1139.27</v>
          </cell>
          <cell r="O317">
            <v>142.11000000000001</v>
          </cell>
          <cell r="Q317">
            <v>12.5</v>
          </cell>
        </row>
        <row r="318">
          <cell r="E318">
            <v>6310609900</v>
          </cell>
          <cell r="F318" t="str">
            <v>6310609900 Tasas municipales y contribuciones</v>
          </cell>
          <cell r="K318">
            <v>1281.3800000000001</v>
          </cell>
          <cell r="M318">
            <v>1139.27</v>
          </cell>
          <cell r="O318">
            <v>142.11000000000001</v>
          </cell>
          <cell r="Q318">
            <v>12.5</v>
          </cell>
          <cell r="R318" t="str">
            <v>*7*</v>
          </cell>
        </row>
        <row r="319">
          <cell r="E319">
            <v>6319900000</v>
          </cell>
          <cell r="F319">
            <v>6319900000</v>
          </cell>
          <cell r="I319" t="str">
            <v>OTROS IMPUESTOS</v>
          </cell>
          <cell r="K319">
            <v>20947.8</v>
          </cell>
          <cell r="M319">
            <v>18620.27</v>
          </cell>
          <cell r="O319">
            <v>2327.5300000000002</v>
          </cell>
          <cell r="Q319">
            <v>12.5</v>
          </cell>
        </row>
        <row r="320">
          <cell r="E320">
            <v>6319900000</v>
          </cell>
          <cell r="F320" t="str">
            <v>6319900000 Otros impuesto</v>
          </cell>
          <cell r="K320">
            <v>20947.8</v>
          </cell>
          <cell r="M320">
            <v>18620.27</v>
          </cell>
          <cell r="O320">
            <v>2327.5300000000002</v>
          </cell>
          <cell r="Q320">
            <v>12.5</v>
          </cell>
          <cell r="R320" t="str">
            <v>*7*</v>
          </cell>
        </row>
        <row r="321">
          <cell r="E321" t="str">
            <v>TRIBUTOS</v>
          </cell>
          <cell r="F321" t="str">
            <v>******TRIBUTOS</v>
          </cell>
          <cell r="K321">
            <v>22452.18</v>
          </cell>
          <cell r="M321">
            <v>19982.54</v>
          </cell>
          <cell r="O321">
            <v>2469.64</v>
          </cell>
          <cell r="Q321">
            <v>12.4</v>
          </cell>
          <cell r="R321" t="str">
            <v>*6*</v>
          </cell>
        </row>
        <row r="322">
          <cell r="E322">
            <v>6220800000</v>
          </cell>
          <cell r="F322">
            <v>6220800000</v>
          </cell>
          <cell r="I322" t="str">
            <v>REP. Y CONSERV. ELEMENTOS TRANSPORTE PO</v>
          </cell>
          <cell r="K322">
            <v>652.36</v>
          </cell>
          <cell r="M322">
            <v>646.86</v>
          </cell>
          <cell r="O322">
            <v>5.5</v>
          </cell>
          <cell r="Q322">
            <v>0.9</v>
          </cell>
        </row>
        <row r="323">
          <cell r="E323">
            <v>6220800000</v>
          </cell>
          <cell r="F323" t="str">
            <v>6220800000 Rep. y cons. de elem. de transport</v>
          </cell>
          <cell r="K323">
            <v>652.36</v>
          </cell>
          <cell r="M323">
            <v>646.86</v>
          </cell>
          <cell r="O323">
            <v>5.5</v>
          </cell>
          <cell r="Q323">
            <v>0.9</v>
          </cell>
          <cell r="R323" t="str">
            <v>*8*</v>
          </cell>
        </row>
        <row r="324">
          <cell r="E324" t="str">
            <v>MANTENIMIENTO Y REPARACION</v>
          </cell>
          <cell r="F324" t="str">
            <v>******MANTENIMIENTO Y REPARACION</v>
          </cell>
          <cell r="K324">
            <v>652.36</v>
          </cell>
          <cell r="M324">
            <v>646.86</v>
          </cell>
          <cell r="O324">
            <v>5.5</v>
          </cell>
          <cell r="Q324">
            <v>0.9</v>
          </cell>
          <cell r="R324" t="str">
            <v>*6*</v>
          </cell>
        </row>
        <row r="325">
          <cell r="E325">
            <v>6230000000</v>
          </cell>
          <cell r="F325">
            <v>6230000000</v>
          </cell>
          <cell r="I325" t="str">
            <v>SERVICIOS JURIDICOS Y CONTENCIOSOS</v>
          </cell>
          <cell r="K325">
            <v>9966.32</v>
          </cell>
          <cell r="M325">
            <v>6580.47</v>
          </cell>
          <cell r="O325">
            <v>3385.85</v>
          </cell>
          <cell r="Q325">
            <v>51.5</v>
          </cell>
        </row>
        <row r="326">
          <cell r="E326">
            <v>6230000000</v>
          </cell>
          <cell r="F326" t="str">
            <v>6230000000 Serv. jurídicos y contenciosos</v>
          </cell>
          <cell r="K326">
            <v>9966.32</v>
          </cell>
          <cell r="M326">
            <v>6580.47</v>
          </cell>
          <cell r="O326">
            <v>3385.85</v>
          </cell>
          <cell r="Q326">
            <v>51.5</v>
          </cell>
          <cell r="R326" t="str">
            <v>*8*</v>
          </cell>
        </row>
        <row r="327">
          <cell r="E327">
            <v>6230000100</v>
          </cell>
          <cell r="F327">
            <v>6230000100</v>
          </cell>
          <cell r="I327" t="str">
            <v>SERVICIOS DE AUDITORIA</v>
          </cell>
          <cell r="K327">
            <v>7234.47</v>
          </cell>
          <cell r="M327">
            <v>6455.3</v>
          </cell>
          <cell r="O327">
            <v>779.17</v>
          </cell>
          <cell r="Q327">
            <v>12.1</v>
          </cell>
        </row>
        <row r="328">
          <cell r="E328">
            <v>6230000100</v>
          </cell>
          <cell r="F328" t="str">
            <v>6230000100 Serv. de auditoría</v>
          </cell>
          <cell r="K328">
            <v>7234.47</v>
          </cell>
          <cell r="M328">
            <v>6455.3</v>
          </cell>
          <cell r="O328">
            <v>779.17</v>
          </cell>
          <cell r="Q328">
            <v>12.1</v>
          </cell>
          <cell r="R328" t="str">
            <v>*8*</v>
          </cell>
        </row>
        <row r="329">
          <cell r="E329">
            <v>6230000400</v>
          </cell>
          <cell r="F329">
            <v>6230000400</v>
          </cell>
          <cell r="I329" t="str">
            <v>CONTRATACION PERSONAL A EMPRESAS TRABAJ</v>
          </cell>
          <cell r="K329">
            <v>291.68</v>
          </cell>
          <cell r="M329">
            <v>217.24</v>
          </cell>
          <cell r="O329">
            <v>74.44</v>
          </cell>
          <cell r="Q329">
            <v>34.299999999999997</v>
          </cell>
        </row>
        <row r="330">
          <cell r="E330">
            <v>6230000400</v>
          </cell>
          <cell r="F330" t="str">
            <v>6230000400 Contrat. de pers. a empr. de trab.</v>
          </cell>
          <cell r="K330">
            <v>291.68</v>
          </cell>
          <cell r="M330">
            <v>217.24</v>
          </cell>
          <cell r="O330">
            <v>74.44</v>
          </cell>
          <cell r="Q330">
            <v>34.299999999999997</v>
          </cell>
          <cell r="R330" t="str">
            <v>*8*</v>
          </cell>
        </row>
        <row r="331">
          <cell r="E331" t="str">
            <v>SERVICIOS EXTERIORES</v>
          </cell>
          <cell r="F331" t="str">
            <v>******SERVICIOS EXTERIORES</v>
          </cell>
          <cell r="K331">
            <v>17492.47</v>
          </cell>
          <cell r="M331">
            <v>13253.01</v>
          </cell>
          <cell r="O331">
            <v>4239.46</v>
          </cell>
          <cell r="Q331">
            <v>32</v>
          </cell>
          <cell r="R331" t="str">
            <v>*7*</v>
          </cell>
        </row>
        <row r="332">
          <cell r="E332">
            <v>6250000500</v>
          </cell>
          <cell r="F332">
            <v>6250000500</v>
          </cell>
          <cell r="I332" t="str">
            <v>PRIMAS DE SEGUROS DE AUTOMOVILES</v>
          </cell>
          <cell r="K332">
            <v>456.4</v>
          </cell>
          <cell r="M332">
            <v>456.4</v>
          </cell>
          <cell r="O332">
            <v>0</v>
          </cell>
        </row>
        <row r="333">
          <cell r="E333">
            <v>6250000500</v>
          </cell>
          <cell r="F333" t="str">
            <v>6250000500 Primas de seg. de automóviles</v>
          </cell>
          <cell r="K333">
            <v>456.4</v>
          </cell>
          <cell r="M333">
            <v>456.4</v>
          </cell>
          <cell r="O333">
            <v>0</v>
          </cell>
          <cell r="R333" t="str">
            <v>*8*</v>
          </cell>
        </row>
        <row r="334">
          <cell r="E334">
            <v>6250099900</v>
          </cell>
          <cell r="F334">
            <v>6250099900</v>
          </cell>
          <cell r="I334" t="str">
            <v>PRIMAS DE OTROS SEGUROS</v>
          </cell>
          <cell r="K334">
            <v>-246</v>
          </cell>
          <cell r="M334">
            <v>-246</v>
          </cell>
          <cell r="O334">
            <v>0</v>
          </cell>
        </row>
        <row r="335">
          <cell r="E335">
            <v>6250099900</v>
          </cell>
          <cell r="F335" t="str">
            <v>6250099900 Primas de otros seguros</v>
          </cell>
          <cell r="K335">
            <v>-246</v>
          </cell>
          <cell r="M335">
            <v>-246</v>
          </cell>
          <cell r="O335">
            <v>0</v>
          </cell>
          <cell r="R335" t="str">
            <v>*8*</v>
          </cell>
        </row>
        <row r="336">
          <cell r="E336" t="str">
            <v>SEGUROS</v>
          </cell>
          <cell r="F336" t="str">
            <v>******SEGUROS</v>
          </cell>
          <cell r="K336">
            <v>210.4</v>
          </cell>
          <cell r="M336">
            <v>210.4</v>
          </cell>
          <cell r="O336">
            <v>0</v>
          </cell>
          <cell r="R336" t="str">
            <v>*7*</v>
          </cell>
        </row>
        <row r="337">
          <cell r="E337">
            <v>6260400000</v>
          </cell>
          <cell r="F337">
            <v>6260400000</v>
          </cell>
          <cell r="I337" t="str">
            <v>SERVICIOS BANCARIOS POR TRANSFERENCIAS</v>
          </cell>
          <cell r="K337">
            <v>74.709999999999994</v>
          </cell>
          <cell r="M337">
            <v>74.709999999999994</v>
          </cell>
          <cell r="O337">
            <v>0</v>
          </cell>
        </row>
        <row r="338">
          <cell r="E338">
            <v>6260400000</v>
          </cell>
          <cell r="F338" t="str">
            <v>6260400000 Serv. bcrios. x transf. y cheques</v>
          </cell>
          <cell r="K338">
            <v>74.709999999999994</v>
          </cell>
          <cell r="M338">
            <v>74.709999999999994</v>
          </cell>
          <cell r="O338">
            <v>0</v>
          </cell>
          <cell r="R338" t="str">
            <v>*8*</v>
          </cell>
        </row>
        <row r="339">
          <cell r="E339">
            <v>6260500000</v>
          </cell>
          <cell r="F339">
            <v>6260500000</v>
          </cell>
          <cell r="I339" t="str">
            <v>SERVICIOS BANCARIOS. COMISIONES SOBRE A</v>
          </cell>
          <cell r="K339">
            <v>18416.78</v>
          </cell>
          <cell r="M339">
            <v>17491.099999999999</v>
          </cell>
          <cell r="O339">
            <v>925.68</v>
          </cell>
          <cell r="Q339">
            <v>5.3</v>
          </cell>
        </row>
        <row r="340">
          <cell r="E340">
            <v>6260500000</v>
          </cell>
          <cell r="F340" t="str">
            <v>6260500000 Serv. bcrios. comis. y avales</v>
          </cell>
          <cell r="K340">
            <v>18416.78</v>
          </cell>
          <cell r="M340">
            <v>17491.099999999999</v>
          </cell>
          <cell r="O340">
            <v>925.68</v>
          </cell>
          <cell r="Q340">
            <v>5.3</v>
          </cell>
          <cell r="R340" t="str">
            <v>*8*</v>
          </cell>
        </row>
        <row r="341">
          <cell r="E341">
            <v>6269900000</v>
          </cell>
          <cell r="F341">
            <v>6269900000</v>
          </cell>
          <cell r="I341" t="str">
            <v>OTROS SERVICIOS BANCARIOS Y SIMILARES</v>
          </cell>
          <cell r="K341">
            <v>21337.52</v>
          </cell>
          <cell r="M341">
            <v>17633.02</v>
          </cell>
          <cell r="O341">
            <v>3704.5</v>
          </cell>
          <cell r="Q341">
            <v>21</v>
          </cell>
        </row>
        <row r="342">
          <cell r="E342">
            <v>6269900000</v>
          </cell>
          <cell r="F342" t="str">
            <v>6269900000 Otros serv. bcrios. y similares</v>
          </cell>
          <cell r="K342">
            <v>21337.52</v>
          </cell>
          <cell r="M342">
            <v>17633.02</v>
          </cell>
          <cell r="O342">
            <v>3704.5</v>
          </cell>
          <cell r="Q342">
            <v>21</v>
          </cell>
          <cell r="R342" t="str">
            <v>*8*</v>
          </cell>
        </row>
        <row r="343">
          <cell r="E343" t="str">
            <v>SERVICIOS BANCARIOS</v>
          </cell>
          <cell r="F343" t="str">
            <v>******SERVICIOS BANCARIOS</v>
          </cell>
          <cell r="K343">
            <v>39829.01</v>
          </cell>
          <cell r="M343">
            <v>35198.83</v>
          </cell>
          <cell r="O343">
            <v>4630.18</v>
          </cell>
          <cell r="Q343">
            <v>13.2</v>
          </cell>
          <cell r="R343" t="str">
            <v>*7*</v>
          </cell>
        </row>
        <row r="344">
          <cell r="E344">
            <v>6280000000</v>
          </cell>
          <cell r="F344">
            <v>6280000000</v>
          </cell>
          <cell r="I344" t="str">
            <v>SUMINISTROS DE ELECTRICIDAD</v>
          </cell>
          <cell r="K344">
            <v>823.73</v>
          </cell>
          <cell r="M344">
            <v>823.73</v>
          </cell>
          <cell r="O344">
            <v>0</v>
          </cell>
        </row>
        <row r="345">
          <cell r="E345">
            <v>6280000000</v>
          </cell>
          <cell r="F345" t="str">
            <v>6280000000 Suministros de electricidad</v>
          </cell>
          <cell r="K345">
            <v>823.73</v>
          </cell>
          <cell r="M345">
            <v>823.73</v>
          </cell>
          <cell r="O345">
            <v>0</v>
          </cell>
          <cell r="R345" t="str">
            <v>*9*</v>
          </cell>
        </row>
        <row r="346">
          <cell r="E346">
            <v>6280100000</v>
          </cell>
          <cell r="F346">
            <v>6280100000</v>
          </cell>
          <cell r="I346" t="str">
            <v>SUMINISTROS DE AGUA</v>
          </cell>
          <cell r="K346">
            <v>96</v>
          </cell>
          <cell r="M346">
            <v>66</v>
          </cell>
          <cell r="O346">
            <v>30</v>
          </cell>
          <cell r="Q346">
            <v>45.5</v>
          </cell>
        </row>
        <row r="347">
          <cell r="E347">
            <v>6280100000</v>
          </cell>
          <cell r="F347" t="str">
            <v>6280100000 Suministro de agua</v>
          </cell>
          <cell r="K347">
            <v>96</v>
          </cell>
          <cell r="M347">
            <v>66</v>
          </cell>
          <cell r="O347">
            <v>30</v>
          </cell>
          <cell r="Q347">
            <v>45.5</v>
          </cell>
          <cell r="R347" t="str">
            <v>*9*</v>
          </cell>
        </row>
        <row r="348">
          <cell r="E348">
            <v>6280200000</v>
          </cell>
          <cell r="F348">
            <v>6280200000</v>
          </cell>
          <cell r="I348" t="str">
            <v>TELECOMUNICACIONES</v>
          </cell>
          <cell r="K348">
            <v>8075.94</v>
          </cell>
          <cell r="M348">
            <v>7477.23</v>
          </cell>
          <cell r="O348">
            <v>598.71</v>
          </cell>
          <cell r="Q348">
            <v>8</v>
          </cell>
        </row>
        <row r="349">
          <cell r="E349">
            <v>6280200000</v>
          </cell>
          <cell r="F349" t="str">
            <v>6280200000 Telecomunicaciones</v>
          </cell>
          <cell r="K349">
            <v>8075.94</v>
          </cell>
          <cell r="M349">
            <v>7477.23</v>
          </cell>
          <cell r="O349">
            <v>598.71</v>
          </cell>
          <cell r="Q349">
            <v>8</v>
          </cell>
          <cell r="R349" t="str">
            <v>*9*</v>
          </cell>
        </row>
        <row r="350">
          <cell r="E350">
            <v>6280201000</v>
          </cell>
          <cell r="F350">
            <v>6280201000</v>
          </cell>
          <cell r="I350" t="str">
            <v>CORREOS Y MENSAJEROS</v>
          </cell>
          <cell r="K350">
            <v>128.37</v>
          </cell>
          <cell r="M350">
            <v>128.37</v>
          </cell>
          <cell r="O350">
            <v>0</v>
          </cell>
        </row>
        <row r="351">
          <cell r="E351">
            <v>6280201000</v>
          </cell>
          <cell r="F351" t="str">
            <v>6280201000 Correos y mensajeros</v>
          </cell>
          <cell r="K351">
            <v>128.37</v>
          </cell>
          <cell r="M351">
            <v>128.37</v>
          </cell>
          <cell r="O351">
            <v>0</v>
          </cell>
          <cell r="R351" t="str">
            <v>*9*</v>
          </cell>
        </row>
        <row r="352">
          <cell r="E352">
            <v>6280299000</v>
          </cell>
          <cell r="F352">
            <v>6280299000</v>
          </cell>
          <cell r="I352" t="str">
            <v>OTRAS COMUNICACIONES</v>
          </cell>
          <cell r="K352">
            <v>381.6</v>
          </cell>
          <cell r="M352">
            <v>308</v>
          </cell>
          <cell r="O352">
            <v>73.599999999999994</v>
          </cell>
          <cell r="Q352">
            <v>23.9</v>
          </cell>
        </row>
        <row r="353">
          <cell r="E353">
            <v>6280299000</v>
          </cell>
          <cell r="F353" t="str">
            <v>6280299000 Otras comunicaciones</v>
          </cell>
          <cell r="K353">
            <v>381.6</v>
          </cell>
          <cell r="M353">
            <v>308</v>
          </cell>
          <cell r="O353">
            <v>73.599999999999994</v>
          </cell>
          <cell r="Q353">
            <v>23.9</v>
          </cell>
          <cell r="R353" t="str">
            <v>*9*</v>
          </cell>
        </row>
        <row r="354">
          <cell r="E354">
            <v>6280002000</v>
          </cell>
          <cell r="F354">
            <v>6280002000</v>
          </cell>
          <cell r="I354" t="str">
            <v>SUMINISTROS DE CARBURANTES Y COMBUSTIBL</v>
          </cell>
          <cell r="K354">
            <v>5599</v>
          </cell>
          <cell r="M354">
            <v>5487.76</v>
          </cell>
          <cell r="O354">
            <v>111.24</v>
          </cell>
          <cell r="Q354">
            <v>2</v>
          </cell>
        </row>
        <row r="355">
          <cell r="E355">
            <v>6280002000</v>
          </cell>
          <cell r="F355" t="str">
            <v>6280002000 Suministro de carb. y combust.</v>
          </cell>
          <cell r="K355">
            <v>5599</v>
          </cell>
          <cell r="M355">
            <v>5487.76</v>
          </cell>
          <cell r="O355">
            <v>111.24</v>
          </cell>
          <cell r="Q355">
            <v>2</v>
          </cell>
          <cell r="R355" t="str">
            <v>*9*</v>
          </cell>
        </row>
        <row r="356">
          <cell r="E356">
            <v>6280300000</v>
          </cell>
          <cell r="F356">
            <v>6280300000</v>
          </cell>
          <cell r="I356" t="str">
            <v>MATERIAL DE OFICINA</v>
          </cell>
          <cell r="K356">
            <v>2157.46</v>
          </cell>
          <cell r="M356">
            <v>2157.46</v>
          </cell>
          <cell r="O356">
            <v>0</v>
          </cell>
        </row>
        <row r="357">
          <cell r="E357">
            <v>6280300000</v>
          </cell>
          <cell r="F357" t="str">
            <v>6280300000 Material de oficina</v>
          </cell>
          <cell r="K357">
            <v>2157.46</v>
          </cell>
          <cell r="M357">
            <v>2157.46</v>
          </cell>
          <cell r="O357">
            <v>0</v>
          </cell>
          <cell r="R357" t="str">
            <v>*9*</v>
          </cell>
        </row>
        <row r="358">
          <cell r="E358">
            <v>6280302000</v>
          </cell>
          <cell r="F358">
            <v>6280302000</v>
          </cell>
          <cell r="I358" t="str">
            <v>MATERIAL DE PROTECCION Y SEGURIDAD (NO</v>
          </cell>
          <cell r="K358">
            <v>166.29</v>
          </cell>
          <cell r="M358">
            <v>166.29</v>
          </cell>
          <cell r="O358">
            <v>0</v>
          </cell>
        </row>
        <row r="359">
          <cell r="E359">
            <v>6280302000</v>
          </cell>
          <cell r="F359" t="str">
            <v>6280302000 Mater. de protección y seguridad</v>
          </cell>
          <cell r="K359">
            <v>166.29</v>
          </cell>
          <cell r="M359">
            <v>166.29</v>
          </cell>
          <cell r="O359">
            <v>0</v>
          </cell>
          <cell r="R359" t="str">
            <v>*9*</v>
          </cell>
        </row>
        <row r="360">
          <cell r="E360" t="str">
            <v>SUMINISTROS</v>
          </cell>
          <cell r="F360" t="str">
            <v>******SUMINISTROS</v>
          </cell>
          <cell r="K360">
            <v>17428.39</v>
          </cell>
          <cell r="M360">
            <v>16614.84</v>
          </cell>
          <cell r="O360">
            <v>813.55</v>
          </cell>
          <cell r="Q360">
            <v>4.9000000000000004</v>
          </cell>
          <cell r="R360" t="str">
            <v>*7*</v>
          </cell>
        </row>
        <row r="361">
          <cell r="E361">
            <v>6240000000</v>
          </cell>
          <cell r="F361">
            <v>6240000000</v>
          </cell>
          <cell r="I361" t="str">
            <v>TRANSPORTE DE  VENTAS POR CARRETERA</v>
          </cell>
          <cell r="K361">
            <v>365425.16</v>
          </cell>
          <cell r="M361">
            <v>334190.88</v>
          </cell>
          <cell r="O361">
            <v>31234.28</v>
          </cell>
          <cell r="Q361">
            <v>9.3000000000000007</v>
          </cell>
        </row>
        <row r="362">
          <cell r="E362">
            <v>6240000000</v>
          </cell>
          <cell r="F362" t="str">
            <v>6240000000 Transporte de vtas. x carretera</v>
          </cell>
          <cell r="K362">
            <v>365425.16</v>
          </cell>
          <cell r="M362">
            <v>334190.88</v>
          </cell>
          <cell r="O362">
            <v>31234.28</v>
          </cell>
          <cell r="Q362">
            <v>9.3000000000000007</v>
          </cell>
          <cell r="R362" t="str">
            <v>*9*</v>
          </cell>
        </row>
        <row r="363">
          <cell r="E363">
            <v>6290300000</v>
          </cell>
          <cell r="F363">
            <v>6290300000</v>
          </cell>
          <cell r="I363" t="str">
            <v>SERVICIOS DE LIMPIEZA</v>
          </cell>
          <cell r="K363">
            <v>601.85</v>
          </cell>
          <cell r="M363">
            <v>594.41</v>
          </cell>
          <cell r="O363">
            <v>7.44</v>
          </cell>
          <cell r="Q363">
            <v>1.3</v>
          </cell>
        </row>
        <row r="364">
          <cell r="E364">
            <v>6290300000</v>
          </cell>
          <cell r="F364" t="str">
            <v>6290300000 Servicios de limpieza</v>
          </cell>
          <cell r="K364">
            <v>601.85</v>
          </cell>
          <cell r="M364">
            <v>594.41</v>
          </cell>
          <cell r="O364">
            <v>7.44</v>
          </cell>
          <cell r="Q364">
            <v>1.3</v>
          </cell>
          <cell r="R364" t="str">
            <v>*9*</v>
          </cell>
        </row>
        <row r="365">
          <cell r="E365">
            <v>6299900000</v>
          </cell>
          <cell r="F365">
            <v>6299900000</v>
          </cell>
          <cell r="I365" t="str">
            <v>DOCUMENTACION</v>
          </cell>
          <cell r="K365">
            <v>94.8</v>
          </cell>
          <cell r="M365">
            <v>94.8</v>
          </cell>
          <cell r="O365">
            <v>0</v>
          </cell>
        </row>
        <row r="366">
          <cell r="E366">
            <v>6299900000</v>
          </cell>
          <cell r="F366" t="str">
            <v>6299900000 Documentación</v>
          </cell>
          <cell r="K366">
            <v>94.8</v>
          </cell>
          <cell r="M366">
            <v>94.8</v>
          </cell>
          <cell r="O366">
            <v>0</v>
          </cell>
          <cell r="R366" t="str">
            <v>*10*</v>
          </cell>
        </row>
        <row r="367">
          <cell r="E367">
            <v>6299906000</v>
          </cell>
          <cell r="F367">
            <v>6299906000</v>
          </cell>
          <cell r="I367" t="str">
            <v>SERVICIOS DE SEGURIDAD Y VIGILANCIA</v>
          </cell>
          <cell r="K367">
            <v>10000</v>
          </cell>
          <cell r="M367">
            <v>8000</v>
          </cell>
          <cell r="O367">
            <v>2000</v>
          </cell>
          <cell r="Q367">
            <v>25</v>
          </cell>
        </row>
        <row r="368">
          <cell r="E368">
            <v>6299906000</v>
          </cell>
          <cell r="F368" t="str">
            <v>6299906000 Servicio de seguridad y vigilancia</v>
          </cell>
          <cell r="K368">
            <v>10000</v>
          </cell>
          <cell r="M368">
            <v>8000</v>
          </cell>
          <cell r="O368">
            <v>2000</v>
          </cell>
          <cell r="Q368">
            <v>25</v>
          </cell>
          <cell r="R368" t="str">
            <v>*10*</v>
          </cell>
        </row>
        <row r="369">
          <cell r="E369">
            <v>6299999000</v>
          </cell>
          <cell r="F369">
            <v>6299999000</v>
          </cell>
          <cell r="I369" t="str">
            <v>OTROS SERVICIOS</v>
          </cell>
          <cell r="K369">
            <v>18828.169999999998</v>
          </cell>
          <cell r="M369">
            <v>18587.68</v>
          </cell>
          <cell r="O369">
            <v>240.49</v>
          </cell>
          <cell r="Q369">
            <v>1.3</v>
          </cell>
        </row>
        <row r="370">
          <cell r="E370">
            <v>6299999000</v>
          </cell>
          <cell r="F370" t="str">
            <v>6299999000 Otros servicios</v>
          </cell>
          <cell r="K370">
            <v>18828.169999999998</v>
          </cell>
          <cell r="M370">
            <v>18587.68</v>
          </cell>
          <cell r="O370">
            <v>240.49</v>
          </cell>
          <cell r="Q370">
            <v>1.3</v>
          </cell>
          <cell r="R370" t="str">
            <v>*10*</v>
          </cell>
        </row>
        <row r="371">
          <cell r="E371" t="str">
            <v>OTROS SERVICIOS</v>
          </cell>
          <cell r="F371" t="str">
            <v>******OTROS SERVICIOS</v>
          </cell>
          <cell r="K371">
            <v>394949.98</v>
          </cell>
          <cell r="M371">
            <v>361467.77</v>
          </cell>
          <cell r="O371">
            <v>33482.21</v>
          </cell>
          <cell r="Q371">
            <v>9.3000000000000007</v>
          </cell>
          <cell r="R371" t="str">
            <v>*7*</v>
          </cell>
        </row>
        <row r="372">
          <cell r="E372">
            <v>8302681300</v>
          </cell>
          <cell r="F372">
            <v>8302681300</v>
          </cell>
          <cell r="I372" t="str">
            <v>AMORTIZACION DE FONDO DE COMERCIO (GAAP</v>
          </cell>
          <cell r="K372">
            <v>338068.59</v>
          </cell>
          <cell r="M372">
            <v>300505.32</v>
          </cell>
          <cell r="O372">
            <v>37563.269999999997</v>
          </cell>
          <cell r="Q372">
            <v>12.5</v>
          </cell>
        </row>
        <row r="373">
          <cell r="E373">
            <v>6813000000</v>
          </cell>
          <cell r="F373" t="str">
            <v>6813000000 Amortizacion fondo de comercio</v>
          </cell>
          <cell r="K373">
            <v>338068.59</v>
          </cell>
          <cell r="M373">
            <v>300505.32</v>
          </cell>
          <cell r="O373">
            <v>37563.269999999997</v>
          </cell>
          <cell r="Q373">
            <v>12.5</v>
          </cell>
          <cell r="R373" t="str">
            <v>*8*</v>
          </cell>
        </row>
        <row r="374">
          <cell r="E374">
            <v>8302682100</v>
          </cell>
          <cell r="F374">
            <v>8302682100</v>
          </cell>
          <cell r="I374" t="str">
            <v>AMORTIZACION DE EDIFICIOS EN EE.S. (GAA</v>
          </cell>
          <cell r="K374">
            <v>34381.660000000003</v>
          </cell>
          <cell r="M374">
            <v>30561.38</v>
          </cell>
          <cell r="O374">
            <v>3820.28</v>
          </cell>
          <cell r="Q374">
            <v>12.5</v>
          </cell>
        </row>
        <row r="375">
          <cell r="E375">
            <v>6821000000</v>
          </cell>
          <cell r="F375" t="str">
            <v>6821000000 Amortiz. de Edificios en EE.SS.</v>
          </cell>
          <cell r="K375">
            <v>34381.660000000003</v>
          </cell>
          <cell r="M375">
            <v>30561.38</v>
          </cell>
          <cell r="O375">
            <v>3820.28</v>
          </cell>
          <cell r="Q375">
            <v>12.5</v>
          </cell>
          <cell r="R375" t="str">
            <v>*8*</v>
          </cell>
        </row>
        <row r="376">
          <cell r="E376">
            <v>8302682200</v>
          </cell>
          <cell r="F376">
            <v>8302682200</v>
          </cell>
          <cell r="I376" t="str">
            <v>AMORTIZACION DE INSTALACIONES DE EE.S.</v>
          </cell>
          <cell r="K376">
            <v>306211.52</v>
          </cell>
          <cell r="M376">
            <v>272252.40000000002</v>
          </cell>
          <cell r="O376">
            <v>33959.120000000003</v>
          </cell>
          <cell r="Q376">
            <v>12.5</v>
          </cell>
        </row>
        <row r="377">
          <cell r="E377">
            <v>6822000000</v>
          </cell>
          <cell r="F377" t="str">
            <v>6822000000 Amortiz. de Instalac. en EE.SS.</v>
          </cell>
          <cell r="K377">
            <v>306211.52</v>
          </cell>
          <cell r="M377">
            <v>272252.40000000002</v>
          </cell>
          <cell r="O377">
            <v>33959.120000000003</v>
          </cell>
          <cell r="Q377">
            <v>12.5</v>
          </cell>
          <cell r="R377" t="str">
            <v>*8*</v>
          </cell>
        </row>
        <row r="378">
          <cell r="E378">
            <v>8302682300</v>
          </cell>
          <cell r="F378">
            <v>8302682300</v>
          </cell>
          <cell r="I378" t="str">
            <v>AMORTIZACION DE MAQUINARIA (GAAP)</v>
          </cell>
          <cell r="K378">
            <v>1846.38</v>
          </cell>
          <cell r="M378">
            <v>1673.8</v>
          </cell>
          <cell r="O378">
            <v>172.58</v>
          </cell>
          <cell r="Q378">
            <v>10.3</v>
          </cell>
        </row>
        <row r="379">
          <cell r="E379">
            <v>6823000000</v>
          </cell>
          <cell r="F379" t="str">
            <v>6823000000 Amortiz. de Maquinaria</v>
          </cell>
          <cell r="K379">
            <v>1846.38</v>
          </cell>
          <cell r="M379">
            <v>1673.8</v>
          </cell>
          <cell r="O379">
            <v>172.58</v>
          </cell>
          <cell r="Q379">
            <v>10.3</v>
          </cell>
          <cell r="R379" t="str">
            <v>*8*</v>
          </cell>
        </row>
        <row r="380">
          <cell r="E380">
            <v>8302682600</v>
          </cell>
          <cell r="F380">
            <v>8302682600</v>
          </cell>
          <cell r="I380" t="str">
            <v>AMORTIZACION DE MOBILIARIO (GAAP)</v>
          </cell>
          <cell r="K380">
            <v>3773.3</v>
          </cell>
          <cell r="M380">
            <v>3467.42</v>
          </cell>
          <cell r="O380">
            <v>305.88</v>
          </cell>
          <cell r="Q380">
            <v>8.8000000000000007</v>
          </cell>
        </row>
        <row r="381">
          <cell r="E381">
            <v>6826000000</v>
          </cell>
          <cell r="F381" t="str">
            <v>6826000000 Amortiz. de Mobiliario</v>
          </cell>
          <cell r="K381">
            <v>3773.3</v>
          </cell>
          <cell r="M381">
            <v>3467.42</v>
          </cell>
          <cell r="O381">
            <v>305.88</v>
          </cell>
          <cell r="Q381">
            <v>8.8000000000000007</v>
          </cell>
          <cell r="R381" t="str">
            <v>*8*</v>
          </cell>
        </row>
        <row r="382">
          <cell r="E382">
            <v>8302682700</v>
          </cell>
          <cell r="F382">
            <v>8302682700</v>
          </cell>
          <cell r="I382" t="str">
            <v>AMORTIZACION DE EQ. PROCESO DE DATOS (G</v>
          </cell>
          <cell r="K382">
            <v>2804.18</v>
          </cell>
          <cell r="M382">
            <v>2558.16</v>
          </cell>
          <cell r="O382">
            <v>246.02</v>
          </cell>
          <cell r="Q382">
            <v>9.6</v>
          </cell>
        </row>
        <row r="383">
          <cell r="E383">
            <v>6827000000</v>
          </cell>
          <cell r="F383" t="str">
            <v>6827000000 Amortiz. de Eq. en proceso</v>
          </cell>
          <cell r="K383">
            <v>2804.18</v>
          </cell>
          <cell r="M383">
            <v>2558.16</v>
          </cell>
          <cell r="O383">
            <v>246.02</v>
          </cell>
          <cell r="Q383">
            <v>9.6</v>
          </cell>
          <cell r="R383" t="str">
            <v>*8*</v>
          </cell>
        </row>
        <row r="384">
          <cell r="E384" t="str">
            <v>AMORTIZACIONES</v>
          </cell>
          <cell r="F384" t="str">
            <v>******AMORTIZACIONES</v>
          </cell>
          <cell r="K384">
            <v>687085.63</v>
          </cell>
          <cell r="M384">
            <v>611018.48</v>
          </cell>
          <cell r="O384">
            <v>76067.149999999994</v>
          </cell>
          <cell r="Q384">
            <v>12.4</v>
          </cell>
          <cell r="R384" t="str">
            <v>*6*</v>
          </cell>
        </row>
        <row r="385">
          <cell r="E385" t="str">
            <v>GASTOS OPERATIVOS</v>
          </cell>
          <cell r="F385" t="str">
            <v>*****GASTOS OPERATIVOS</v>
          </cell>
          <cell r="K385">
            <v>31163798.02</v>
          </cell>
          <cell r="M385">
            <v>27806566.210000001</v>
          </cell>
          <cell r="O385">
            <v>3357231.81</v>
          </cell>
          <cell r="Q385">
            <v>12.1</v>
          </cell>
          <cell r="R385" t="str">
            <v>*5*</v>
          </cell>
        </row>
        <row r="386">
          <cell r="E386" t="str">
            <v>==========</v>
          </cell>
          <cell r="F386" t="str">
            <v>=============================================</v>
          </cell>
        </row>
        <row r="387">
          <cell r="E387" t="str">
            <v>RESULTADO OPERATIVO</v>
          </cell>
          <cell r="F387" t="str">
            <v>****RESULTADO OPERATIVO</v>
          </cell>
          <cell r="K387">
            <v>189477.34</v>
          </cell>
          <cell r="M387">
            <v>161540.39000000001</v>
          </cell>
          <cell r="O387">
            <v>27936.95</v>
          </cell>
          <cell r="Q387">
            <v>17.3</v>
          </cell>
          <cell r="R387" t="str">
            <v>*4*</v>
          </cell>
        </row>
        <row r="388">
          <cell r="E388" t="str">
            <v>==========</v>
          </cell>
          <cell r="F388" t="str">
            <v>=============================================</v>
          </cell>
        </row>
        <row r="389">
          <cell r="E389">
            <v>7690300000</v>
          </cell>
          <cell r="F389">
            <v>7690300000</v>
          </cell>
          <cell r="I389" t="str">
            <v>INTERESES DE DEUDAS COMERCIALES</v>
          </cell>
          <cell r="K389">
            <v>-5166.68</v>
          </cell>
          <cell r="M389">
            <v>-4098.93</v>
          </cell>
          <cell r="O389">
            <v>-1067.75</v>
          </cell>
          <cell r="Q389">
            <v>-26</v>
          </cell>
        </row>
        <row r="390">
          <cell r="E390">
            <v>7690300000</v>
          </cell>
          <cell r="F390" t="str">
            <v>7690300000 Intereses de deudas comerciales</v>
          </cell>
          <cell r="K390">
            <v>-5166.68</v>
          </cell>
          <cell r="M390">
            <v>-4098.93</v>
          </cell>
          <cell r="O390">
            <v>-1067.75</v>
          </cell>
          <cell r="Q390">
            <v>-26</v>
          </cell>
          <cell r="R390" t="str">
            <v>*7*</v>
          </cell>
        </row>
        <row r="391">
          <cell r="E391">
            <v>7690900000</v>
          </cell>
          <cell r="F391">
            <v>7690900000</v>
          </cell>
          <cell r="I391" t="str">
            <v>OTROS INGRESOS FINANCIEROS</v>
          </cell>
          <cell r="K391">
            <v>-12240.38</v>
          </cell>
          <cell r="M391">
            <v>-10940.93</v>
          </cell>
          <cell r="O391">
            <v>-1299.45</v>
          </cell>
          <cell r="Q391">
            <v>-11.9</v>
          </cell>
        </row>
        <row r="392">
          <cell r="E392">
            <v>7690900000</v>
          </cell>
          <cell r="F392" t="str">
            <v>7690900000 Otros ingresos financieros</v>
          </cell>
          <cell r="K392">
            <v>-12240.38</v>
          </cell>
          <cell r="M392">
            <v>-10940.93</v>
          </cell>
          <cell r="O392">
            <v>-1299.45</v>
          </cell>
          <cell r="Q392">
            <v>-11.9</v>
          </cell>
          <cell r="R392" t="str">
            <v>*7*</v>
          </cell>
        </row>
        <row r="393">
          <cell r="E393" t="str">
            <v>INGRESOS FINANCIEROS</v>
          </cell>
          <cell r="F393" t="str">
            <v>*****INGRESOS FINANCIEROS</v>
          </cell>
          <cell r="K393">
            <v>-17407.060000000001</v>
          </cell>
          <cell r="M393">
            <v>-15039.86</v>
          </cell>
          <cell r="O393">
            <v>-2367.1999999999998</v>
          </cell>
          <cell r="Q393">
            <v>-15.7</v>
          </cell>
          <cell r="R393" t="str">
            <v>*5*</v>
          </cell>
        </row>
        <row r="394">
          <cell r="E394">
            <v>6633900000</v>
          </cell>
          <cell r="F394">
            <v>6633900000</v>
          </cell>
          <cell r="I394" t="str">
            <v>INTERESES DE OTRAS DEUDAS A CORTO PLAZO</v>
          </cell>
          <cell r="K394">
            <v>122.91</v>
          </cell>
          <cell r="M394">
            <v>122.91</v>
          </cell>
          <cell r="O394">
            <v>0</v>
          </cell>
        </row>
        <row r="395">
          <cell r="E395">
            <v>6633900000</v>
          </cell>
          <cell r="F395" t="str">
            <v>6633900000 Inter. de otras deudas a cp</v>
          </cell>
          <cell r="K395">
            <v>122.91</v>
          </cell>
          <cell r="M395">
            <v>122.91</v>
          </cell>
          <cell r="O395">
            <v>0</v>
          </cell>
          <cell r="R395" t="str">
            <v>*7*</v>
          </cell>
        </row>
        <row r="396">
          <cell r="E396">
            <v>6653000000</v>
          </cell>
          <cell r="F396">
            <v>6653000000</v>
          </cell>
          <cell r="I396" t="str">
            <v>DESCUENTO S/ VENTAS POR PRONTO PAGO A O</v>
          </cell>
          <cell r="K396">
            <v>15.84</v>
          </cell>
          <cell r="M396">
            <v>15.84</v>
          </cell>
          <cell r="O396">
            <v>0</v>
          </cell>
        </row>
        <row r="397">
          <cell r="E397">
            <v>6653000000</v>
          </cell>
          <cell r="F397" t="str">
            <v>6653000000 Descto. s/vtas. pronto pago OE</v>
          </cell>
          <cell r="K397">
            <v>15.84</v>
          </cell>
          <cell r="M397">
            <v>15.84</v>
          </cell>
          <cell r="O397">
            <v>0</v>
          </cell>
          <cell r="R397" t="str">
            <v>*7*</v>
          </cell>
        </row>
        <row r="398">
          <cell r="E398">
            <v>6699000000</v>
          </cell>
          <cell r="F398">
            <v>6699000000</v>
          </cell>
          <cell r="I398" t="str">
            <v>OTROS GASTOS FINANCIEROS</v>
          </cell>
          <cell r="K398">
            <v>5.86</v>
          </cell>
          <cell r="M398">
            <v>5.86</v>
          </cell>
          <cell r="O398">
            <v>0</v>
          </cell>
        </row>
        <row r="399">
          <cell r="E399">
            <v>6699000000</v>
          </cell>
          <cell r="F399" t="str">
            <v>6699000000 Otros gastos financieros</v>
          </cell>
          <cell r="K399">
            <v>5.86</v>
          </cell>
          <cell r="M399">
            <v>5.86</v>
          </cell>
          <cell r="O399">
            <v>0</v>
          </cell>
          <cell r="R399" t="str">
            <v>*7*</v>
          </cell>
        </row>
        <row r="400">
          <cell r="E400">
            <v>6940000000</v>
          </cell>
          <cell r="F400">
            <v>6940000000</v>
          </cell>
          <cell r="I400" t="str">
            <v>DOTACION A LA PROVISION P/INSOLVENCIAS</v>
          </cell>
          <cell r="K400">
            <v>19588.32</v>
          </cell>
          <cell r="M400">
            <v>4799.32</v>
          </cell>
          <cell r="O400">
            <v>14789</v>
          </cell>
          <cell r="Q400">
            <v>308.10000000000002</v>
          </cell>
        </row>
        <row r="401">
          <cell r="E401">
            <v>6940000000</v>
          </cell>
          <cell r="F401" t="str">
            <v>6940000000 Dot. prov. p/insolvencia de client</v>
          </cell>
          <cell r="K401">
            <v>19588.32</v>
          </cell>
          <cell r="M401">
            <v>4799.32</v>
          </cell>
          <cell r="O401">
            <v>14789</v>
          </cell>
          <cell r="Q401">
            <v>308.10000000000002</v>
          </cell>
          <cell r="R401" t="str">
            <v>*7*</v>
          </cell>
        </row>
        <row r="402">
          <cell r="E402" t="str">
            <v>GASTOS FINANCIEROS</v>
          </cell>
          <cell r="F402" t="str">
            <v>*****GASTOS FINANCIEROS</v>
          </cell>
          <cell r="K402">
            <v>19732.93</v>
          </cell>
          <cell r="M402">
            <v>4943.93</v>
          </cell>
          <cell r="O402">
            <v>14789</v>
          </cell>
          <cell r="Q402">
            <v>299.10000000000002</v>
          </cell>
          <cell r="R402" t="str">
            <v>*5*</v>
          </cell>
        </row>
        <row r="403">
          <cell r="E403" t="str">
            <v>RESULTADO FINANCIERO</v>
          </cell>
          <cell r="F403" t="str">
            <v>****RESULTADO FINANCIERO</v>
          </cell>
          <cell r="K403">
            <v>2325.87</v>
          </cell>
          <cell r="M403">
            <v>-10095.93</v>
          </cell>
          <cell r="O403">
            <v>12421.8</v>
          </cell>
          <cell r="Q403">
            <v>123</v>
          </cell>
          <cell r="R403" t="str">
            <v>*4*</v>
          </cell>
        </row>
        <row r="404">
          <cell r="E404" t="str">
            <v>==========</v>
          </cell>
          <cell r="F404" t="str">
            <v>=============================================</v>
          </cell>
        </row>
        <row r="405">
          <cell r="E405">
            <v>6789900000</v>
          </cell>
          <cell r="F405">
            <v>6789900000</v>
          </cell>
          <cell r="I405" t="str">
            <v>OTROS GASTOS EXTRAORDINARIOS</v>
          </cell>
          <cell r="K405">
            <v>23.71</v>
          </cell>
          <cell r="M405">
            <v>23.71</v>
          </cell>
          <cell r="O405">
            <v>0</v>
          </cell>
        </row>
        <row r="406">
          <cell r="E406">
            <v>6789900000</v>
          </cell>
          <cell r="F406" t="str">
            <v>6789900000 Otros gastos extraordinarios</v>
          </cell>
          <cell r="K406">
            <v>23.71</v>
          </cell>
          <cell r="M406">
            <v>23.71</v>
          </cell>
          <cell r="O406">
            <v>0</v>
          </cell>
          <cell r="R406" t="str">
            <v>*7*</v>
          </cell>
        </row>
        <row r="407">
          <cell r="E407">
            <v>6790000000</v>
          </cell>
          <cell r="F407">
            <v>6790000000</v>
          </cell>
          <cell r="I407" t="str">
            <v>GASTOS Y PERDIDAS DE EJERCICIOS ANTERIO</v>
          </cell>
          <cell r="K407">
            <v>58514</v>
          </cell>
          <cell r="M407">
            <v>46514</v>
          </cell>
          <cell r="O407">
            <v>12000</v>
          </cell>
          <cell r="Q407">
            <v>25.8</v>
          </cell>
        </row>
        <row r="408">
          <cell r="E408">
            <v>6790000000</v>
          </cell>
          <cell r="F408" t="str">
            <v>6790000000 Gastos y perdidas de ejerc. anter.</v>
          </cell>
          <cell r="K408">
            <v>58514</v>
          </cell>
          <cell r="M408">
            <v>46514</v>
          </cell>
          <cell r="O408">
            <v>12000</v>
          </cell>
          <cell r="Q408">
            <v>25.8</v>
          </cell>
          <cell r="R408" t="str">
            <v>*7*</v>
          </cell>
        </row>
        <row r="409">
          <cell r="E409">
            <v>7940000000</v>
          </cell>
          <cell r="F409">
            <v>7940000000</v>
          </cell>
          <cell r="I409" t="str">
            <v>PROVISION PARA INSOLVENCIAS DE CLIENTES</v>
          </cell>
          <cell r="K409">
            <v>-55652.639999999999</v>
          </cell>
          <cell r="M409">
            <v>-55652.639999999999</v>
          </cell>
          <cell r="O409">
            <v>0</v>
          </cell>
        </row>
        <row r="410">
          <cell r="E410">
            <v>7940000000</v>
          </cell>
          <cell r="F410" t="str">
            <v>7940000000 Provis. p/insolv. clientes aplic.</v>
          </cell>
          <cell r="K410">
            <v>-55652.639999999999</v>
          </cell>
          <cell r="M410">
            <v>-55652.639999999999</v>
          </cell>
          <cell r="O410">
            <v>0</v>
          </cell>
          <cell r="R410" t="str">
            <v>*7*</v>
          </cell>
        </row>
        <row r="411">
          <cell r="E411">
            <v>7780099900</v>
          </cell>
          <cell r="F411">
            <v>7780099900</v>
          </cell>
          <cell r="I411" t="str">
            <v>OTROS INGRESOS EXTRAORDINARIOS</v>
          </cell>
          <cell r="K411">
            <v>-566.80999999999995</v>
          </cell>
          <cell r="M411">
            <v>-566.80999999999995</v>
          </cell>
          <cell r="O411">
            <v>0</v>
          </cell>
        </row>
        <row r="412">
          <cell r="E412">
            <v>7780099900</v>
          </cell>
          <cell r="F412" t="str">
            <v>7780099900 Otros ingresos extraordinarios</v>
          </cell>
          <cell r="K412">
            <v>-566.80999999999995</v>
          </cell>
          <cell r="M412">
            <v>-566.80999999999995</v>
          </cell>
          <cell r="O412">
            <v>0</v>
          </cell>
          <cell r="R412" t="str">
            <v>*7*</v>
          </cell>
        </row>
        <row r="413">
          <cell r="E413">
            <v>7790000000</v>
          </cell>
          <cell r="F413">
            <v>7790000000</v>
          </cell>
          <cell r="I413" t="str">
            <v>INGRESOS Y BENEFICIOS DE EJERCICIOS ANT</v>
          </cell>
          <cell r="K413">
            <v>-1062.6199999999999</v>
          </cell>
          <cell r="M413">
            <v>-1062.6199999999999</v>
          </cell>
          <cell r="O413">
            <v>0</v>
          </cell>
        </row>
        <row r="414">
          <cell r="E414">
            <v>7790000000</v>
          </cell>
          <cell r="F414" t="str">
            <v>7790000000 Ingr. y benef. de ejerc. anter.</v>
          </cell>
          <cell r="K414">
            <v>-1062.6199999999999</v>
          </cell>
          <cell r="M414">
            <v>-1062.6199999999999</v>
          </cell>
          <cell r="O414">
            <v>0</v>
          </cell>
          <cell r="R414" t="str">
            <v>*7*</v>
          </cell>
        </row>
        <row r="415">
          <cell r="E415" t="str">
            <v>RESULTADOS EXTRAORDINARIOS</v>
          </cell>
          <cell r="F415" t="str">
            <v>****RESULTADOS EXTRAORDINARIOS</v>
          </cell>
          <cell r="K415">
            <v>1255.6400000000001</v>
          </cell>
          <cell r="M415">
            <v>-10744.36</v>
          </cell>
          <cell r="O415">
            <v>12000</v>
          </cell>
          <cell r="Q415">
            <v>111.7</v>
          </cell>
          <cell r="R415" t="str">
            <v>*4*</v>
          </cell>
        </row>
        <row r="416">
          <cell r="E416" t="str">
            <v>==========</v>
          </cell>
          <cell r="F416" t="str">
            <v>=============================================</v>
          </cell>
        </row>
        <row r="417">
          <cell r="E417" t="str">
            <v>BENEFICIOS ANTES DE IMPUESTOS</v>
          </cell>
          <cell r="F417" t="str">
            <v>***BENEFICIOS ANTES DE IMPUESTOS</v>
          </cell>
          <cell r="K417">
            <v>193058.85</v>
          </cell>
          <cell r="M417">
            <v>140700.1</v>
          </cell>
          <cell r="O417">
            <v>52358.75</v>
          </cell>
          <cell r="Q417">
            <v>37.200000000000003</v>
          </cell>
          <cell r="R417" t="str">
            <v>*3*</v>
          </cell>
        </row>
        <row r="418">
          <cell r="E418" t="str">
            <v>==========</v>
          </cell>
          <cell r="F418" t="str">
            <v>=============================================</v>
          </cell>
        </row>
        <row r="420">
          <cell r="E420" t="str">
            <v>TOTAL BENEFICIOS D.D.I. Y ANTES SOC. EXTER.</v>
          </cell>
          <cell r="F420" t="str">
            <v>**TOTAL BENEFICIOS D.D.I. Y ANTES SOC. EXTER.</v>
          </cell>
          <cell r="K420">
            <v>193058.85</v>
          </cell>
          <cell r="M420">
            <v>140700.1</v>
          </cell>
          <cell r="O420">
            <v>52358.75</v>
          </cell>
          <cell r="Q420">
            <v>37.200000000000003</v>
          </cell>
          <cell r="R420" t="str">
            <v>*2*</v>
          </cell>
        </row>
        <row r="422">
          <cell r="E422" t="str">
            <v>TOTAL BENEFICIO NETO DEL PERIODO</v>
          </cell>
          <cell r="F422" t="str">
            <v>*TOTAL BENEFICIO NETO DEL PERIODO</v>
          </cell>
          <cell r="K422">
            <v>193058.85</v>
          </cell>
          <cell r="M422">
            <v>140700.1</v>
          </cell>
          <cell r="O422">
            <v>52358.75</v>
          </cell>
          <cell r="Q422">
            <v>37.200000000000003</v>
          </cell>
          <cell r="R422" t="str">
            <v>*1*</v>
          </cell>
        </row>
        <row r="423">
          <cell r="E423" t="str">
            <v>==========</v>
          </cell>
          <cell r="F423" t="str">
            <v>=============================================</v>
          </cell>
        </row>
        <row r="430">
          <cell r="G430" t="str">
            <v>División</v>
          </cell>
          <cell r="H430" t="str">
            <v>****</v>
          </cell>
          <cell r="N430" t="str">
            <v>Imptes en</v>
          </cell>
          <cell r="P430" t="str">
            <v>USD</v>
          </cell>
        </row>
        <row r="432">
          <cell r="E432" t="str">
            <v>Textos....</v>
          </cell>
          <cell r="F432" t="str">
            <v>Textos............................................</v>
          </cell>
          <cell r="J432" t="str">
            <v>..Interv.informe.</v>
          </cell>
          <cell r="L432" t="str">
            <v>..Comp. periodos</v>
          </cell>
          <cell r="O432" t="str">
            <v>absolutos</v>
          </cell>
          <cell r="Q432" t="str">
            <v>Rel</v>
          </cell>
          <cell r="R432" t="str">
            <v xml:space="preserve"> Tot</v>
          </cell>
        </row>
        <row r="433">
          <cell r="E433" t="str">
            <v>..........</v>
          </cell>
          <cell r="F433" t="str">
            <v>..................................................</v>
          </cell>
          <cell r="J433" t="str">
            <v>(01.2004-09.2004)</v>
          </cell>
          <cell r="L433" t="str">
            <v>(01.2004-08.2004)</v>
          </cell>
          <cell r="O433" t="str">
            <v>Desviación</v>
          </cell>
          <cell r="Q433" t="str">
            <v>Dsv</v>
          </cell>
          <cell r="R433" t="str">
            <v>Etapa</v>
          </cell>
        </row>
        <row r="435">
          <cell r="K435">
            <v>-193058.85</v>
          </cell>
          <cell r="M435">
            <v>-140700.1</v>
          </cell>
          <cell r="O435">
            <v>-52358.75</v>
          </cell>
          <cell r="Q435">
            <v>-37.200000000000003</v>
          </cell>
          <cell r="R435" t="str">
            <v>*1*</v>
          </cell>
        </row>
        <row r="440">
          <cell r="G440" t="str">
            <v>División</v>
          </cell>
          <cell r="H440" t="str">
            <v>****</v>
          </cell>
          <cell r="N440" t="str">
            <v>Imptes en</v>
          </cell>
          <cell r="P440" t="str">
            <v>USD</v>
          </cell>
        </row>
        <row r="442">
          <cell r="E442" t="str">
            <v>Textos....</v>
          </cell>
          <cell r="F442" t="str">
            <v>Textos............................................</v>
          </cell>
          <cell r="J442" t="str">
            <v>..Interv.informe.</v>
          </cell>
          <cell r="L442" t="str">
            <v>..Comp. periodos</v>
          </cell>
          <cell r="O442" t="str">
            <v>absolutos</v>
          </cell>
          <cell r="Q442" t="str">
            <v>Rel</v>
          </cell>
          <cell r="R442" t="str">
            <v xml:space="preserve"> Tot</v>
          </cell>
        </row>
        <row r="443">
          <cell r="E443" t="str">
            <v>..........</v>
          </cell>
          <cell r="F443" t="str">
            <v>..................................................</v>
          </cell>
          <cell r="J443" t="str">
            <v>(01.2004-09.2004)</v>
          </cell>
          <cell r="L443" t="str">
            <v>(01.2004-08.2004)</v>
          </cell>
          <cell r="O443" t="str">
            <v>Desviación</v>
          </cell>
          <cell r="Q443" t="str">
            <v>Dsv</v>
          </cell>
          <cell r="R443" t="str">
            <v>Etapa</v>
          </cell>
        </row>
        <row r="445">
          <cell r="E445" t="str">
            <v>CUENTAS NO</v>
          </cell>
          <cell r="F445" t="str">
            <v>CUENTAS NO ASIGNADAS</v>
          </cell>
        </row>
        <row r="447">
          <cell r="E447">
            <v>2800000000</v>
          </cell>
          <cell r="F447">
            <v>2800000000</v>
          </cell>
          <cell r="I447" t="str">
            <v>AMZ. ACUMULADA DE GASTOS DE CONSTITUCIO</v>
          </cell>
          <cell r="K447">
            <v>-5621.67</v>
          </cell>
          <cell r="M447">
            <v>-5621.67</v>
          </cell>
          <cell r="O447">
            <v>0</v>
          </cell>
        </row>
        <row r="448">
          <cell r="E448">
            <v>2813000000</v>
          </cell>
          <cell r="F448">
            <v>2813000000</v>
          </cell>
          <cell r="I448" t="str">
            <v>AMZ. ACUMULADA DEL FONDO DE COMERCIO. C</v>
          </cell>
          <cell r="K448">
            <v>-1464587.1</v>
          </cell>
          <cell r="M448">
            <v>-1427341.95</v>
          </cell>
          <cell r="O448">
            <v>-37245.15</v>
          </cell>
          <cell r="Q448">
            <v>-2.6</v>
          </cell>
        </row>
        <row r="449">
          <cell r="E449">
            <v>2815000000</v>
          </cell>
          <cell r="F449">
            <v>2815000000</v>
          </cell>
          <cell r="I449" t="str">
            <v>AMZ. ACUMULADA APLICACIONES INFORMATICA</v>
          </cell>
          <cell r="K449">
            <v>-8579.98</v>
          </cell>
          <cell r="M449">
            <v>-8261.86</v>
          </cell>
          <cell r="O449">
            <v>-318.12</v>
          </cell>
          <cell r="Q449">
            <v>-3.9</v>
          </cell>
        </row>
        <row r="450">
          <cell r="E450">
            <v>2821002000</v>
          </cell>
          <cell r="F450">
            <v>2821002000</v>
          </cell>
          <cell r="I450" t="str">
            <v>AMORTIZACION ACUMULADA DE EDIFICIOS EN</v>
          </cell>
          <cell r="K450">
            <v>-17278.86</v>
          </cell>
          <cell r="M450">
            <v>-16832.810000000001</v>
          </cell>
          <cell r="O450">
            <v>-446.05</v>
          </cell>
          <cell r="Q450">
            <v>-2.6</v>
          </cell>
        </row>
        <row r="451">
          <cell r="E451">
            <v>2822002000</v>
          </cell>
          <cell r="F451">
            <v>2822002000</v>
          </cell>
          <cell r="I451" t="str">
            <v>AMZ. AC. DE INSTAL. DE CARGADEROS Y DES</v>
          </cell>
          <cell r="K451">
            <v>-71547.990000000005</v>
          </cell>
          <cell r="M451">
            <v>-68173.759999999995</v>
          </cell>
          <cell r="O451">
            <v>-3374.23</v>
          </cell>
          <cell r="Q451">
            <v>-4.9000000000000004</v>
          </cell>
        </row>
        <row r="452">
          <cell r="E452">
            <v>2822006000</v>
          </cell>
          <cell r="F452">
            <v>2822006000</v>
          </cell>
          <cell r="I452" t="str">
            <v>AMZ. ACUMULADA DE INSTALACIONES DE EE.S</v>
          </cell>
          <cell r="K452">
            <v>-1306797.48</v>
          </cell>
          <cell r="M452">
            <v>-1272838.3600000001</v>
          </cell>
          <cell r="O452">
            <v>-33959.120000000003</v>
          </cell>
          <cell r="Q452">
            <v>-2.7</v>
          </cell>
        </row>
        <row r="453">
          <cell r="E453">
            <v>2826000000</v>
          </cell>
          <cell r="F453">
            <v>2826000000</v>
          </cell>
          <cell r="I453" t="str">
            <v>AMORTIZACION ACUMULADA DE MOBILIARIO</v>
          </cell>
          <cell r="K453">
            <v>-10208.17</v>
          </cell>
          <cell r="M453">
            <v>-10035.59</v>
          </cell>
          <cell r="O453">
            <v>-172.58</v>
          </cell>
          <cell r="Q453">
            <v>-1.7</v>
          </cell>
        </row>
        <row r="454">
          <cell r="E454">
            <v>2826001000</v>
          </cell>
          <cell r="F454">
            <v>2826001000</v>
          </cell>
          <cell r="I454" t="str">
            <v>AMORTIZACION ACUMULADA DE EQUIPOS DE OF</v>
          </cell>
          <cell r="K454">
            <v>-8299.4699999999993</v>
          </cell>
          <cell r="M454">
            <v>-8173.63</v>
          </cell>
          <cell r="O454">
            <v>-125.84</v>
          </cell>
          <cell r="Q454">
            <v>-1.5</v>
          </cell>
        </row>
        <row r="455">
          <cell r="E455">
            <v>2826002000</v>
          </cell>
          <cell r="F455">
            <v>2826002000</v>
          </cell>
          <cell r="I455" t="str">
            <v>AMORTIZACION ACUMULADA DE ENSERES DIVER</v>
          </cell>
          <cell r="K455">
            <v>-199.51</v>
          </cell>
          <cell r="M455">
            <v>-194.53</v>
          </cell>
          <cell r="O455">
            <v>-4.9800000000000004</v>
          </cell>
          <cell r="Q455">
            <v>-2.6</v>
          </cell>
        </row>
        <row r="456">
          <cell r="E456">
            <v>2827000000</v>
          </cell>
          <cell r="F456">
            <v>2827000000</v>
          </cell>
          <cell r="I456" t="str">
            <v>AMZ. ACUMULADA DE EQUIPOS PARA PROCESO</v>
          </cell>
          <cell r="K456">
            <v>-16536.95</v>
          </cell>
          <cell r="M456">
            <v>-16361.89</v>
          </cell>
          <cell r="O456">
            <v>-175.06</v>
          </cell>
          <cell r="Q456">
            <v>-1.1000000000000001</v>
          </cell>
        </row>
        <row r="457">
          <cell r="E457">
            <v>2828000000</v>
          </cell>
          <cell r="F457">
            <v>2828000000</v>
          </cell>
          <cell r="I457" t="str">
            <v>AMZ.AC. ELEMENTOS TRANSPORTE POR CARRET</v>
          </cell>
          <cell r="K457">
            <v>-9408.84</v>
          </cell>
          <cell r="M457">
            <v>-9162.82</v>
          </cell>
          <cell r="O457">
            <v>-246.02</v>
          </cell>
          <cell r="Q457">
            <v>-2.7</v>
          </cell>
        </row>
        <row r="458">
          <cell r="E458">
            <v>6813000000</v>
          </cell>
          <cell r="F458">
            <v>6813000000</v>
          </cell>
          <cell r="I458" t="str">
            <v>AMORTIZACION DE FONDO DE COMERCIO</v>
          </cell>
          <cell r="K458">
            <v>335205.84000000003</v>
          </cell>
          <cell r="M458">
            <v>297960.69</v>
          </cell>
          <cell r="O458">
            <v>37245.15</v>
          </cell>
          <cell r="Q458">
            <v>12.5</v>
          </cell>
        </row>
        <row r="459">
          <cell r="E459">
            <v>6815000000</v>
          </cell>
          <cell r="F459">
            <v>6815000000</v>
          </cell>
          <cell r="I459" t="str">
            <v>AMORTIZACION DE APLICACIONES INFORMATIC</v>
          </cell>
          <cell r="K459">
            <v>2862.75</v>
          </cell>
          <cell r="M459">
            <v>2544.63</v>
          </cell>
          <cell r="O459">
            <v>318.12</v>
          </cell>
          <cell r="Q459">
            <v>12.5</v>
          </cell>
        </row>
        <row r="460">
          <cell r="E460">
            <v>6821002000</v>
          </cell>
          <cell r="F460">
            <v>6821002000</v>
          </cell>
          <cell r="I460" t="str">
            <v>AMORTIZACION DE EDIFICIOS EN ESTACIONES</v>
          </cell>
          <cell r="K460">
            <v>4014.23</v>
          </cell>
          <cell r="M460">
            <v>3568.18</v>
          </cell>
          <cell r="O460">
            <v>446.05</v>
          </cell>
          <cell r="Q460">
            <v>12.5</v>
          </cell>
        </row>
        <row r="461">
          <cell r="E461">
            <v>6822002000</v>
          </cell>
          <cell r="F461">
            <v>6822002000</v>
          </cell>
          <cell r="I461" t="str">
            <v>AMZ. DE INSTAL. DE CARGADEROS Y DESCARG</v>
          </cell>
          <cell r="K461">
            <v>30367.43</v>
          </cell>
          <cell r="M461">
            <v>26993.200000000001</v>
          </cell>
          <cell r="O461">
            <v>3374.23</v>
          </cell>
          <cell r="Q461">
            <v>12.5</v>
          </cell>
        </row>
        <row r="462">
          <cell r="E462">
            <v>6822006000</v>
          </cell>
          <cell r="F462">
            <v>6822006000</v>
          </cell>
          <cell r="I462" t="str">
            <v>AMORTIZACION DE INSTALACIONES DE EE.S.</v>
          </cell>
          <cell r="K462">
            <v>306211.52</v>
          </cell>
          <cell r="M462">
            <v>272252.40000000002</v>
          </cell>
          <cell r="O462">
            <v>33959.120000000003</v>
          </cell>
          <cell r="Q462">
            <v>12.5</v>
          </cell>
        </row>
        <row r="463">
          <cell r="E463">
            <v>6826000000</v>
          </cell>
          <cell r="F463">
            <v>6826000000</v>
          </cell>
          <cell r="I463" t="str">
            <v>AMORTIZACION DE MOBILIARIO</v>
          </cell>
          <cell r="K463">
            <v>1552</v>
          </cell>
          <cell r="M463">
            <v>1379.42</v>
          </cell>
          <cell r="O463">
            <v>172.58</v>
          </cell>
          <cell r="Q463">
            <v>12.5</v>
          </cell>
        </row>
        <row r="464">
          <cell r="E464">
            <v>6826001000</v>
          </cell>
          <cell r="F464">
            <v>6826001000</v>
          </cell>
          <cell r="I464" t="str">
            <v>AMORTIZACION DE EQUIPOS DE OFICINA</v>
          </cell>
          <cell r="K464">
            <v>1716.7</v>
          </cell>
          <cell r="M464">
            <v>1590.86</v>
          </cell>
          <cell r="O464">
            <v>125.84</v>
          </cell>
          <cell r="Q464">
            <v>7.9</v>
          </cell>
        </row>
        <row r="465">
          <cell r="E465">
            <v>6826002000</v>
          </cell>
          <cell r="F465">
            <v>6826002000</v>
          </cell>
          <cell r="I465" t="str">
            <v>AMORTIZACION DE ENSERES DIVERSOS</v>
          </cell>
          <cell r="K465">
            <v>44.79</v>
          </cell>
          <cell r="M465">
            <v>39.81</v>
          </cell>
          <cell r="O465">
            <v>4.9800000000000004</v>
          </cell>
          <cell r="Q465">
            <v>12.5</v>
          </cell>
        </row>
        <row r="466">
          <cell r="E466">
            <v>6827000000</v>
          </cell>
          <cell r="F466">
            <v>6827000000</v>
          </cell>
          <cell r="I466" t="str">
            <v>AMORTIZACION DE EQUIPOS PARA PROCESO DE</v>
          </cell>
          <cell r="K466">
            <v>2896.2</v>
          </cell>
          <cell r="M466">
            <v>2721.14</v>
          </cell>
          <cell r="O466">
            <v>175.06</v>
          </cell>
          <cell r="Q466">
            <v>6.4</v>
          </cell>
        </row>
        <row r="467">
          <cell r="E467">
            <v>6828000000</v>
          </cell>
          <cell r="F467">
            <v>6828000000</v>
          </cell>
          <cell r="I467" t="str">
            <v>AMORTIZACION DE ELEMENTOS TRANSPORTE PO</v>
          </cell>
          <cell r="K467">
            <v>2214.17</v>
          </cell>
          <cell r="M467">
            <v>1968.15</v>
          </cell>
          <cell r="O467">
            <v>246.02</v>
          </cell>
          <cell r="Q467">
            <v>12.5</v>
          </cell>
        </row>
        <row r="468">
          <cell r="E468">
            <v>8888888888</v>
          </cell>
          <cell r="F468">
            <v>8888888888</v>
          </cell>
          <cell r="I468" t="str">
            <v>Cuenta de mayor para la carga inicial.</v>
          </cell>
          <cell r="K468">
            <v>2231980.39</v>
          </cell>
          <cell r="M468">
            <v>2231980.39</v>
          </cell>
          <cell r="O468">
            <v>0</v>
          </cell>
        </row>
        <row r="469">
          <cell r="E469" t="str">
            <v>*TOTAL CUE</v>
          </cell>
          <cell r="F469" t="str">
            <v>*TOTAL CUENTAS NO ASIGNADAS</v>
          </cell>
          <cell r="K469">
            <v>0</v>
          </cell>
          <cell r="M469">
            <v>0</v>
          </cell>
          <cell r="O469">
            <v>0</v>
          </cell>
          <cell r="R469" t="str">
            <v>*1*</v>
          </cell>
        </row>
      </sheetData>
      <sheetData sheetId="1"/>
      <sheetData sheetId="2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"/>
      <sheetName val="718"/>
      <sheetName val="Sheet1"/>
    </sheetNames>
    <sheetDataSet>
      <sheetData sheetId="0" refreshError="1">
        <row r="2">
          <cell r="A2" t="str">
            <v>P99085</v>
          </cell>
          <cell r="B2" t="str">
            <v>220000B701</v>
          </cell>
          <cell r="C2">
            <v>38597</v>
          </cell>
          <cell r="D2">
            <v>-3.84</v>
          </cell>
          <cell r="E2" t="str">
            <v>USD</v>
          </cell>
        </row>
        <row r="3">
          <cell r="A3" t="str">
            <v>R37205</v>
          </cell>
          <cell r="B3" t="str">
            <v>220000B701</v>
          </cell>
          <cell r="C3">
            <v>38597</v>
          </cell>
          <cell r="D3">
            <v>-24.19</v>
          </cell>
          <cell r="E3" t="str">
            <v>USD</v>
          </cell>
        </row>
        <row r="4">
          <cell r="A4" t="str">
            <v>R35425</v>
          </cell>
          <cell r="B4" t="str">
            <v>220000B701</v>
          </cell>
          <cell r="C4">
            <v>38597</v>
          </cell>
          <cell r="D4">
            <v>-37.85</v>
          </cell>
          <cell r="E4" t="str">
            <v>USD</v>
          </cell>
        </row>
        <row r="5">
          <cell r="A5" t="str">
            <v>R40885</v>
          </cell>
          <cell r="B5" t="str">
            <v>220000B701</v>
          </cell>
          <cell r="C5">
            <v>38629</v>
          </cell>
          <cell r="D5">
            <v>-39.64</v>
          </cell>
          <cell r="E5" t="str">
            <v>USD</v>
          </cell>
        </row>
        <row r="6">
          <cell r="A6" t="str">
            <v>R33715</v>
          </cell>
          <cell r="B6" t="str">
            <v>220000B701</v>
          </cell>
          <cell r="C6">
            <v>38597</v>
          </cell>
          <cell r="D6">
            <v>-44.35</v>
          </cell>
          <cell r="E6" t="str">
            <v>USD</v>
          </cell>
        </row>
        <row r="7">
          <cell r="A7" t="str">
            <v>P01705</v>
          </cell>
          <cell r="B7" t="str">
            <v>220000B701</v>
          </cell>
          <cell r="C7">
            <v>38629</v>
          </cell>
          <cell r="D7">
            <v>-45.24</v>
          </cell>
          <cell r="E7" t="str">
            <v>USD</v>
          </cell>
        </row>
        <row r="8">
          <cell r="A8" t="str">
            <v>R40045</v>
          </cell>
          <cell r="B8" t="str">
            <v>220000B701</v>
          </cell>
          <cell r="C8">
            <v>38629</v>
          </cell>
          <cell r="D8">
            <v>-50.7</v>
          </cell>
          <cell r="E8" t="str">
            <v>USD</v>
          </cell>
        </row>
        <row r="9">
          <cell r="A9" t="str">
            <v>R36845</v>
          </cell>
          <cell r="B9" t="str">
            <v>220000B701</v>
          </cell>
          <cell r="C9">
            <v>38597</v>
          </cell>
          <cell r="D9">
            <v>-54.98</v>
          </cell>
          <cell r="E9" t="str">
            <v>USD</v>
          </cell>
        </row>
        <row r="10">
          <cell r="A10" t="str">
            <v>R35035</v>
          </cell>
          <cell r="B10" t="str">
            <v>220000B701</v>
          </cell>
          <cell r="C10">
            <v>38597</v>
          </cell>
          <cell r="D10">
            <v>-79.319999999999993</v>
          </cell>
          <cell r="E10" t="str">
            <v>USD</v>
          </cell>
        </row>
        <row r="11">
          <cell r="A11" t="str">
            <v>R41795</v>
          </cell>
          <cell r="B11" t="str">
            <v>220000B701</v>
          </cell>
          <cell r="C11">
            <v>38629</v>
          </cell>
          <cell r="D11">
            <v>-86.71</v>
          </cell>
          <cell r="E11" t="str">
            <v>USD</v>
          </cell>
        </row>
        <row r="12">
          <cell r="A12" t="str">
            <v>R33455</v>
          </cell>
          <cell r="B12" t="str">
            <v>220000B701</v>
          </cell>
          <cell r="C12">
            <v>38597</v>
          </cell>
          <cell r="D12">
            <v>-109.29</v>
          </cell>
          <cell r="E12" t="str">
            <v>USD</v>
          </cell>
        </row>
        <row r="13">
          <cell r="A13" t="str">
            <v>R40875</v>
          </cell>
          <cell r="B13" t="str">
            <v>220000B701</v>
          </cell>
          <cell r="C13">
            <v>38629</v>
          </cell>
          <cell r="D13">
            <v>-123.88</v>
          </cell>
          <cell r="E13" t="str">
            <v>USD</v>
          </cell>
        </row>
        <row r="14">
          <cell r="A14" t="str">
            <v>R37735</v>
          </cell>
          <cell r="B14" t="str">
            <v>220000B701</v>
          </cell>
          <cell r="C14">
            <v>38597</v>
          </cell>
          <cell r="D14">
            <v>-124.25</v>
          </cell>
          <cell r="E14" t="str">
            <v>USD</v>
          </cell>
        </row>
        <row r="15">
          <cell r="A15" t="str">
            <v>R43665</v>
          </cell>
          <cell r="B15" t="str">
            <v>220000B701</v>
          </cell>
          <cell r="C15">
            <v>38629</v>
          </cell>
          <cell r="D15">
            <v>-128.32</v>
          </cell>
          <cell r="E15" t="str">
            <v>USD</v>
          </cell>
        </row>
        <row r="16">
          <cell r="A16" t="str">
            <v>R42065</v>
          </cell>
          <cell r="B16" t="str">
            <v>220000B701</v>
          </cell>
          <cell r="C16">
            <v>38629</v>
          </cell>
          <cell r="D16">
            <v>-153.84</v>
          </cell>
          <cell r="E16" t="str">
            <v>USD</v>
          </cell>
        </row>
        <row r="17">
          <cell r="A17" t="str">
            <v>P96045</v>
          </cell>
          <cell r="B17" t="str">
            <v>220000B701</v>
          </cell>
          <cell r="C17">
            <v>38597</v>
          </cell>
          <cell r="D17">
            <v>-154</v>
          </cell>
          <cell r="E17" t="str">
            <v>USD</v>
          </cell>
        </row>
        <row r="18">
          <cell r="A18" t="str">
            <v>R35605</v>
          </cell>
          <cell r="B18" t="str">
            <v>220000B701</v>
          </cell>
          <cell r="C18">
            <v>38597</v>
          </cell>
          <cell r="D18">
            <v>-175.38</v>
          </cell>
          <cell r="E18" t="str">
            <v>USD</v>
          </cell>
        </row>
        <row r="19">
          <cell r="A19" t="str">
            <v>R34735</v>
          </cell>
          <cell r="B19" t="str">
            <v>220000B701</v>
          </cell>
          <cell r="C19">
            <v>38597</v>
          </cell>
          <cell r="D19">
            <v>-178.76</v>
          </cell>
          <cell r="E19" t="str">
            <v>USD</v>
          </cell>
        </row>
        <row r="20">
          <cell r="A20" t="str">
            <v>R33705</v>
          </cell>
          <cell r="B20" t="str">
            <v>220000B701</v>
          </cell>
          <cell r="C20">
            <v>38597</v>
          </cell>
          <cell r="D20">
            <v>-238.17</v>
          </cell>
          <cell r="E20" t="str">
            <v>USD</v>
          </cell>
        </row>
        <row r="21">
          <cell r="A21" t="str">
            <v>R41505</v>
          </cell>
          <cell r="B21" t="str">
            <v>220000B701</v>
          </cell>
          <cell r="C21">
            <v>38629</v>
          </cell>
          <cell r="D21">
            <v>-263.48</v>
          </cell>
          <cell r="E21" t="str">
            <v>USD</v>
          </cell>
        </row>
        <row r="22">
          <cell r="A22" t="str">
            <v>R34485</v>
          </cell>
          <cell r="B22" t="str">
            <v>220000B701</v>
          </cell>
          <cell r="C22">
            <v>38597</v>
          </cell>
          <cell r="D22">
            <v>-268.87</v>
          </cell>
          <cell r="E22" t="str">
            <v>USD</v>
          </cell>
        </row>
        <row r="23">
          <cell r="A23" t="str">
            <v>R36595</v>
          </cell>
          <cell r="B23" t="str">
            <v>220000B701</v>
          </cell>
          <cell r="C23">
            <v>38597</v>
          </cell>
          <cell r="D23">
            <v>-298.14</v>
          </cell>
          <cell r="E23" t="str">
            <v>USD</v>
          </cell>
        </row>
        <row r="24">
          <cell r="A24" t="str">
            <v>R39055</v>
          </cell>
          <cell r="B24" t="str">
            <v>220000B701</v>
          </cell>
          <cell r="C24">
            <v>38597</v>
          </cell>
          <cell r="D24">
            <v>-300.95</v>
          </cell>
          <cell r="E24" t="str">
            <v>USD</v>
          </cell>
        </row>
        <row r="25">
          <cell r="A25" t="str">
            <v>P00515</v>
          </cell>
          <cell r="B25" t="str">
            <v>220000B701</v>
          </cell>
          <cell r="C25">
            <v>38629</v>
          </cell>
          <cell r="D25">
            <v>-330</v>
          </cell>
          <cell r="E25" t="str">
            <v>USD</v>
          </cell>
        </row>
        <row r="26">
          <cell r="A26" t="str">
            <v>R40405</v>
          </cell>
          <cell r="B26" t="str">
            <v>220000B701</v>
          </cell>
          <cell r="C26">
            <v>38629</v>
          </cell>
          <cell r="D26">
            <v>-783.61</v>
          </cell>
          <cell r="E26" t="str">
            <v>USD</v>
          </cell>
        </row>
        <row r="27">
          <cell r="A27" t="str">
            <v>R33465</v>
          </cell>
          <cell r="B27" t="str">
            <v>220000B701</v>
          </cell>
          <cell r="C27">
            <v>38597</v>
          </cell>
          <cell r="D27">
            <v>-862.86</v>
          </cell>
          <cell r="E27" t="str">
            <v>USD</v>
          </cell>
        </row>
        <row r="28">
          <cell r="A28" t="str">
            <v>R38695</v>
          </cell>
          <cell r="B28" t="str">
            <v>220000B701</v>
          </cell>
          <cell r="C28">
            <v>38629</v>
          </cell>
          <cell r="D28">
            <v>-1449.79</v>
          </cell>
          <cell r="E28" t="str">
            <v>USD</v>
          </cell>
        </row>
        <row r="29">
          <cell r="A29" t="str">
            <v>R30365</v>
          </cell>
          <cell r="B29" t="str">
            <v>220000B701</v>
          </cell>
          <cell r="C29">
            <v>38597</v>
          </cell>
          <cell r="D29">
            <v>-3346.97</v>
          </cell>
          <cell r="E29" t="str">
            <v>USD</v>
          </cell>
        </row>
        <row r="30">
          <cell r="A30" t="str">
            <v>R30665</v>
          </cell>
          <cell r="B30" t="str">
            <v>220000B701</v>
          </cell>
          <cell r="C30">
            <v>38597</v>
          </cell>
          <cell r="D30">
            <v>-3726.81</v>
          </cell>
          <cell r="E30" t="str">
            <v>USD</v>
          </cell>
        </row>
        <row r="31">
          <cell r="A31" t="str">
            <v>R32055</v>
          </cell>
          <cell r="B31" t="str">
            <v>220000B701</v>
          </cell>
          <cell r="C31">
            <v>38597</v>
          </cell>
          <cell r="D31">
            <v>-4360.07</v>
          </cell>
          <cell r="E31" t="str">
            <v>USD</v>
          </cell>
        </row>
        <row r="32">
          <cell r="A32" t="str">
            <v>R34095</v>
          </cell>
          <cell r="B32" t="str">
            <v>220000B701</v>
          </cell>
          <cell r="C32">
            <v>38597</v>
          </cell>
          <cell r="D32">
            <v>-4423.13</v>
          </cell>
          <cell r="E32" t="str">
            <v>USD</v>
          </cell>
        </row>
        <row r="33">
          <cell r="A33" t="str">
            <v>R30185</v>
          </cell>
          <cell r="B33" t="str">
            <v>220000B701</v>
          </cell>
          <cell r="C33">
            <v>38597</v>
          </cell>
          <cell r="D33">
            <v>-4810.99</v>
          </cell>
          <cell r="E33" t="str">
            <v>USD</v>
          </cell>
        </row>
        <row r="34">
          <cell r="A34" t="str">
            <v>P97335</v>
          </cell>
          <cell r="B34" t="str">
            <v>220000B701</v>
          </cell>
          <cell r="C34">
            <v>38597</v>
          </cell>
          <cell r="D34">
            <v>-5081.2</v>
          </cell>
          <cell r="E34" t="str">
            <v>USD</v>
          </cell>
        </row>
        <row r="35">
          <cell r="A35" t="str">
            <v>P98595</v>
          </cell>
          <cell r="B35" t="str">
            <v>220000B701</v>
          </cell>
          <cell r="C35">
            <v>38597</v>
          </cell>
          <cell r="D35">
            <v>-8424.36</v>
          </cell>
          <cell r="E35" t="str">
            <v>USD</v>
          </cell>
        </row>
        <row r="36">
          <cell r="A36" t="str">
            <v>R35345</v>
          </cell>
          <cell r="B36" t="str">
            <v>220000B701</v>
          </cell>
          <cell r="C36">
            <v>38629</v>
          </cell>
          <cell r="D36">
            <v>-8454.33</v>
          </cell>
          <cell r="E36" t="str">
            <v>USD</v>
          </cell>
        </row>
        <row r="37">
          <cell r="A37" t="str">
            <v>R34415</v>
          </cell>
          <cell r="B37" t="str">
            <v>220000B701</v>
          </cell>
          <cell r="C37">
            <v>38597</v>
          </cell>
          <cell r="D37">
            <v>-8609.51</v>
          </cell>
          <cell r="E37" t="str">
            <v>USD</v>
          </cell>
        </row>
        <row r="38">
          <cell r="A38" t="str">
            <v>P99675</v>
          </cell>
          <cell r="B38" t="str">
            <v>220000B701</v>
          </cell>
          <cell r="C38">
            <v>38629</v>
          </cell>
          <cell r="D38">
            <v>-21719.040000000001</v>
          </cell>
          <cell r="E38" t="str">
            <v>USD</v>
          </cell>
        </row>
        <row r="39">
          <cell r="A39" t="str">
            <v>B04075</v>
          </cell>
          <cell r="B39" t="str">
            <v>220000B701</v>
          </cell>
          <cell r="C39">
            <v>38597</v>
          </cell>
          <cell r="D39">
            <v>-23093.279999999999</v>
          </cell>
          <cell r="E39" t="str">
            <v>USD</v>
          </cell>
        </row>
        <row r="40">
          <cell r="A40" t="str">
            <v>B03965</v>
          </cell>
          <cell r="B40" t="str">
            <v>220000B701</v>
          </cell>
          <cell r="C40">
            <v>38597</v>
          </cell>
          <cell r="D40">
            <v>-23153.759999999998</v>
          </cell>
          <cell r="E40" t="str">
            <v>USD</v>
          </cell>
        </row>
        <row r="41">
          <cell r="A41" t="str">
            <v>R37355</v>
          </cell>
          <cell r="B41" t="str">
            <v>220000B701</v>
          </cell>
          <cell r="C41">
            <v>38629</v>
          </cell>
          <cell r="D41">
            <v>-23756.32</v>
          </cell>
          <cell r="E41" t="str">
            <v>USD</v>
          </cell>
        </row>
        <row r="42">
          <cell r="A42" t="str">
            <v>R30555</v>
          </cell>
          <cell r="B42" t="str">
            <v>220000B701</v>
          </cell>
          <cell r="C42">
            <v>38597</v>
          </cell>
          <cell r="D42">
            <v>-33352.199999999997</v>
          </cell>
          <cell r="E42" t="str">
            <v>USD</v>
          </cell>
        </row>
        <row r="43">
          <cell r="A43" t="str">
            <v>R39845</v>
          </cell>
          <cell r="B43" t="str">
            <v>220000B701</v>
          </cell>
          <cell r="C43">
            <v>38629</v>
          </cell>
          <cell r="D43">
            <v>-36825.769999999997</v>
          </cell>
          <cell r="E43" t="str">
            <v>USD</v>
          </cell>
        </row>
        <row r="44">
          <cell r="A44" t="str">
            <v>R34175</v>
          </cell>
          <cell r="B44" t="str">
            <v>220000B701</v>
          </cell>
          <cell r="C44">
            <v>38597</v>
          </cell>
          <cell r="D44">
            <v>-69331.429999999993</v>
          </cell>
          <cell r="E44" t="str">
            <v>USD</v>
          </cell>
        </row>
        <row r="45">
          <cell r="A45" t="str">
            <v>C50445</v>
          </cell>
          <cell r="B45" t="str">
            <v>220000B701</v>
          </cell>
          <cell r="C45">
            <v>38629</v>
          </cell>
          <cell r="D45">
            <v>-81899.039999999994</v>
          </cell>
          <cell r="E45" t="str">
            <v>USD</v>
          </cell>
        </row>
        <row r="46">
          <cell r="A46" t="str">
            <v>C49265</v>
          </cell>
          <cell r="B46" t="str">
            <v>220000B701</v>
          </cell>
          <cell r="C46">
            <v>38597</v>
          </cell>
          <cell r="D46">
            <v>-81935.520000000004</v>
          </cell>
          <cell r="E46" t="str">
            <v>USD</v>
          </cell>
        </row>
        <row r="47">
          <cell r="A47" t="str">
            <v>C49295</v>
          </cell>
          <cell r="B47" t="str">
            <v>220000B701</v>
          </cell>
          <cell r="C47">
            <v>38597</v>
          </cell>
          <cell r="D47">
            <v>-81935.520000000004</v>
          </cell>
          <cell r="E47" t="str">
            <v>USD</v>
          </cell>
        </row>
        <row r="48">
          <cell r="A48" t="str">
            <v>C49805</v>
          </cell>
          <cell r="B48" t="str">
            <v>220000B701</v>
          </cell>
          <cell r="C48">
            <v>38597</v>
          </cell>
          <cell r="D48">
            <v>-82083.12</v>
          </cell>
          <cell r="E48" t="str">
            <v>USD</v>
          </cell>
        </row>
        <row r="49">
          <cell r="A49" t="str">
            <v>C50055</v>
          </cell>
          <cell r="B49" t="str">
            <v>220000B701</v>
          </cell>
          <cell r="C49">
            <v>38597</v>
          </cell>
          <cell r="D49">
            <v>-82083.12</v>
          </cell>
          <cell r="E49" t="str">
            <v>USD</v>
          </cell>
        </row>
        <row r="50">
          <cell r="A50" t="str">
            <v>C49235</v>
          </cell>
          <cell r="B50" t="str">
            <v>220000B701</v>
          </cell>
          <cell r="C50">
            <v>38597</v>
          </cell>
          <cell r="D50">
            <v>-82119.600000000006</v>
          </cell>
          <cell r="E50" t="str">
            <v>USD</v>
          </cell>
        </row>
        <row r="51">
          <cell r="A51" t="str">
            <v>C49455</v>
          </cell>
          <cell r="B51" t="str">
            <v>220000B701</v>
          </cell>
          <cell r="C51">
            <v>38597</v>
          </cell>
          <cell r="D51">
            <v>-82119.600000000006</v>
          </cell>
          <cell r="E51" t="str">
            <v>USD</v>
          </cell>
        </row>
        <row r="52">
          <cell r="A52" t="str">
            <v>C50585</v>
          </cell>
          <cell r="B52" t="str">
            <v>220000B701</v>
          </cell>
          <cell r="C52">
            <v>38629</v>
          </cell>
          <cell r="D52">
            <v>-82309.679999999993</v>
          </cell>
          <cell r="E52" t="str">
            <v>USD</v>
          </cell>
        </row>
        <row r="53">
          <cell r="A53" t="str">
            <v>C50045</v>
          </cell>
          <cell r="B53" t="str">
            <v>220000B701</v>
          </cell>
          <cell r="C53">
            <v>38597</v>
          </cell>
          <cell r="D53">
            <v>-90948.479999999996</v>
          </cell>
          <cell r="E53" t="str">
            <v>USD</v>
          </cell>
        </row>
        <row r="54">
          <cell r="A54" t="str">
            <v>C50315</v>
          </cell>
          <cell r="B54" t="str">
            <v>220000B701</v>
          </cell>
          <cell r="C54">
            <v>38629</v>
          </cell>
          <cell r="D54">
            <v>-90948.479999999996</v>
          </cell>
          <cell r="E54" t="str">
            <v>USD</v>
          </cell>
        </row>
        <row r="55">
          <cell r="A55" t="str">
            <v>C49095</v>
          </cell>
          <cell r="B55" t="str">
            <v>220000B701</v>
          </cell>
          <cell r="C55">
            <v>38597</v>
          </cell>
          <cell r="D55">
            <v>-94046.88</v>
          </cell>
          <cell r="E55" t="str">
            <v>USD</v>
          </cell>
        </row>
        <row r="56">
          <cell r="A56" t="str">
            <v>C49495</v>
          </cell>
          <cell r="B56" t="str">
            <v>220000B701</v>
          </cell>
          <cell r="C56">
            <v>38597</v>
          </cell>
          <cell r="D56">
            <v>-94046.88</v>
          </cell>
          <cell r="E56" t="str">
            <v>USD</v>
          </cell>
        </row>
        <row r="57">
          <cell r="A57" t="str">
            <v>C49685</v>
          </cell>
          <cell r="B57" t="str">
            <v>220000B701</v>
          </cell>
          <cell r="C57">
            <v>38597</v>
          </cell>
          <cell r="D57">
            <v>-96664.08</v>
          </cell>
          <cell r="E57" t="str">
            <v>USD</v>
          </cell>
        </row>
        <row r="58">
          <cell r="A58" t="str">
            <v>C49485</v>
          </cell>
          <cell r="B58" t="str">
            <v>220000B701</v>
          </cell>
          <cell r="C58">
            <v>38597</v>
          </cell>
          <cell r="D58">
            <v>-96700.56</v>
          </cell>
          <cell r="E58" t="str">
            <v>USD</v>
          </cell>
        </row>
        <row r="59">
          <cell r="A59" t="str">
            <v>C50305</v>
          </cell>
          <cell r="B59" t="str">
            <v>220000B701</v>
          </cell>
          <cell r="C59">
            <v>38629</v>
          </cell>
          <cell r="D59">
            <v>-99872.88</v>
          </cell>
          <cell r="E59" t="str">
            <v>USD</v>
          </cell>
        </row>
        <row r="60">
          <cell r="A60" t="str">
            <v>C49465</v>
          </cell>
          <cell r="B60" t="str">
            <v>220000B701</v>
          </cell>
          <cell r="C60">
            <v>38597</v>
          </cell>
          <cell r="D60">
            <v>-99909.36</v>
          </cell>
          <cell r="E60" t="str">
            <v>USD</v>
          </cell>
        </row>
        <row r="61">
          <cell r="A61" t="str">
            <v>V13545</v>
          </cell>
          <cell r="B61" t="str">
            <v>220000B701</v>
          </cell>
          <cell r="C61">
            <v>38597</v>
          </cell>
          <cell r="D61">
            <v>-103693</v>
          </cell>
          <cell r="E61" t="str">
            <v>USD</v>
          </cell>
        </row>
        <row r="62">
          <cell r="A62" t="str">
            <v>C49475</v>
          </cell>
          <cell r="B62" t="str">
            <v>220000B701</v>
          </cell>
          <cell r="C62">
            <v>38597</v>
          </cell>
          <cell r="D62">
            <v>-108777.12</v>
          </cell>
          <cell r="E62" t="str">
            <v>USD</v>
          </cell>
        </row>
        <row r="63">
          <cell r="A63" t="str">
            <v>C50605</v>
          </cell>
          <cell r="B63" t="str">
            <v>220000B701</v>
          </cell>
          <cell r="C63">
            <v>38629</v>
          </cell>
          <cell r="D63">
            <v>-108777.12</v>
          </cell>
          <cell r="E63" t="str">
            <v>USD</v>
          </cell>
        </row>
        <row r="64">
          <cell r="A64" t="str">
            <v>C50065</v>
          </cell>
          <cell r="B64" t="str">
            <v>220000B701</v>
          </cell>
          <cell r="C64">
            <v>38597</v>
          </cell>
          <cell r="D64">
            <v>-115911.6</v>
          </cell>
          <cell r="E64" t="str">
            <v>USD</v>
          </cell>
        </row>
        <row r="65">
          <cell r="A65" t="str">
            <v>C50325</v>
          </cell>
          <cell r="B65" t="str">
            <v>220000B701</v>
          </cell>
          <cell r="C65">
            <v>38629</v>
          </cell>
          <cell r="D65">
            <v>-115911.6</v>
          </cell>
          <cell r="E65" t="str">
            <v>USD</v>
          </cell>
        </row>
        <row r="66">
          <cell r="A66" t="str">
            <v>C49255</v>
          </cell>
          <cell r="B66" t="str">
            <v>220000B701</v>
          </cell>
          <cell r="C66">
            <v>38597</v>
          </cell>
          <cell r="D66">
            <v>-115948.08</v>
          </cell>
          <cell r="E66" t="str">
            <v>USD</v>
          </cell>
        </row>
        <row r="67">
          <cell r="A67" t="str">
            <v>C49585</v>
          </cell>
          <cell r="B67" t="str">
            <v>220000B701</v>
          </cell>
          <cell r="C67">
            <v>38597</v>
          </cell>
          <cell r="D67">
            <v>-163798.07999999999</v>
          </cell>
          <cell r="E67" t="str">
            <v>USD</v>
          </cell>
        </row>
        <row r="68">
          <cell r="A68" t="str">
            <v>C49865</v>
          </cell>
          <cell r="B68" t="str">
            <v>220000B701</v>
          </cell>
          <cell r="C68">
            <v>38597</v>
          </cell>
          <cell r="D68">
            <v>-163798.07999999999</v>
          </cell>
          <cell r="E68" t="str">
            <v>USD</v>
          </cell>
        </row>
        <row r="69">
          <cell r="A69" t="str">
            <v>C50335</v>
          </cell>
          <cell r="B69" t="str">
            <v>220000B701</v>
          </cell>
          <cell r="C69">
            <v>38629</v>
          </cell>
          <cell r="D69">
            <v>-163798.07999999999</v>
          </cell>
          <cell r="E69" t="str">
            <v>USD</v>
          </cell>
        </row>
        <row r="70">
          <cell r="A70" t="str">
            <v>C50455</v>
          </cell>
          <cell r="B70" t="str">
            <v>220000B701</v>
          </cell>
          <cell r="C70">
            <v>38629</v>
          </cell>
          <cell r="D70">
            <v>-163798.07999999999</v>
          </cell>
          <cell r="E70" t="str">
            <v>USD</v>
          </cell>
        </row>
        <row r="71">
          <cell r="A71" t="str">
            <v>C49365</v>
          </cell>
          <cell r="B71" t="str">
            <v>220000B701</v>
          </cell>
          <cell r="C71">
            <v>38597</v>
          </cell>
          <cell r="D71">
            <v>-163871.04000000001</v>
          </cell>
          <cell r="E71" t="str">
            <v>USD</v>
          </cell>
        </row>
        <row r="72">
          <cell r="A72" t="str">
            <v>C49575</v>
          </cell>
          <cell r="B72" t="str">
            <v>220000B701</v>
          </cell>
          <cell r="C72">
            <v>38597</v>
          </cell>
          <cell r="D72">
            <v>-164166.24</v>
          </cell>
          <cell r="E72" t="str">
            <v>USD</v>
          </cell>
        </row>
        <row r="73">
          <cell r="A73" t="str">
            <v>V13555</v>
          </cell>
          <cell r="B73" t="str">
            <v>220000B701</v>
          </cell>
          <cell r="C73">
            <v>38597</v>
          </cell>
          <cell r="D73">
            <v>-170838</v>
          </cell>
          <cell r="E73" t="str">
            <v>USD</v>
          </cell>
        </row>
        <row r="74">
          <cell r="A74" t="str">
            <v>C50465</v>
          </cell>
          <cell r="B74" t="str">
            <v>220000B701</v>
          </cell>
          <cell r="C74">
            <v>38629</v>
          </cell>
          <cell r="D74">
            <v>-188020.8</v>
          </cell>
          <cell r="E74" t="str">
            <v>USD</v>
          </cell>
        </row>
        <row r="75">
          <cell r="A75" t="str">
            <v>C48965</v>
          </cell>
          <cell r="B75" t="str">
            <v>220000B701</v>
          </cell>
          <cell r="C75">
            <v>38597</v>
          </cell>
          <cell r="D75">
            <v>-188093.76</v>
          </cell>
          <cell r="E75" t="str">
            <v>USD</v>
          </cell>
        </row>
        <row r="76">
          <cell r="A76" t="str">
            <v>C49085</v>
          </cell>
          <cell r="B76" t="str">
            <v>220000B701</v>
          </cell>
          <cell r="C76">
            <v>38597</v>
          </cell>
          <cell r="D76">
            <v>-188093.76</v>
          </cell>
          <cell r="E76" t="str">
            <v>USD</v>
          </cell>
        </row>
        <row r="77">
          <cell r="A77" t="str">
            <v>C50615</v>
          </cell>
          <cell r="B77" t="str">
            <v>220000B701</v>
          </cell>
          <cell r="C77">
            <v>38629</v>
          </cell>
          <cell r="D77">
            <v>-188093.76</v>
          </cell>
          <cell r="E77" t="str">
            <v>USD</v>
          </cell>
        </row>
        <row r="78">
          <cell r="A78" t="str">
            <v>C50965</v>
          </cell>
          <cell r="B78" t="str">
            <v>220000B701</v>
          </cell>
          <cell r="C78">
            <v>38629</v>
          </cell>
          <cell r="D78">
            <v>-188093.76</v>
          </cell>
          <cell r="E78" t="str">
            <v>USD</v>
          </cell>
        </row>
        <row r="79">
          <cell r="A79" t="str">
            <v>C49245</v>
          </cell>
          <cell r="B79" t="str">
            <v>220000B701</v>
          </cell>
          <cell r="C79">
            <v>38597</v>
          </cell>
          <cell r="D79">
            <v>-193401.12</v>
          </cell>
          <cell r="E79" t="str">
            <v>USD</v>
          </cell>
        </row>
        <row r="80">
          <cell r="A80" t="str">
            <v>C50355</v>
          </cell>
          <cell r="B80" t="str">
            <v>220000B701</v>
          </cell>
          <cell r="C80">
            <v>38629</v>
          </cell>
          <cell r="D80">
            <v>-199745.76</v>
          </cell>
          <cell r="E80" t="str">
            <v>USD</v>
          </cell>
        </row>
        <row r="81">
          <cell r="A81" t="str">
            <v>C49695</v>
          </cell>
          <cell r="B81" t="str">
            <v>220000B701</v>
          </cell>
          <cell r="C81">
            <v>38597</v>
          </cell>
          <cell r="D81">
            <v>-231823.2</v>
          </cell>
          <cell r="E81" t="str">
            <v>USD</v>
          </cell>
        </row>
        <row r="82">
          <cell r="A82" t="str">
            <v>C49815</v>
          </cell>
          <cell r="B82" t="str">
            <v>220000B701</v>
          </cell>
          <cell r="C82">
            <v>38597</v>
          </cell>
          <cell r="D82">
            <v>-231823.2</v>
          </cell>
          <cell r="E82" t="str">
            <v>USD</v>
          </cell>
        </row>
        <row r="83">
          <cell r="A83" t="str">
            <v>C50075</v>
          </cell>
          <cell r="B83" t="str">
            <v>220000B701</v>
          </cell>
          <cell r="C83">
            <v>38597</v>
          </cell>
          <cell r="D83">
            <v>-231823.2</v>
          </cell>
          <cell r="E83" t="str">
            <v>USD</v>
          </cell>
        </row>
        <row r="84">
          <cell r="A84" t="str">
            <v>C49355</v>
          </cell>
          <cell r="B84" t="str">
            <v>220000B701</v>
          </cell>
          <cell r="C84">
            <v>38597</v>
          </cell>
          <cell r="D84">
            <v>-231896.16</v>
          </cell>
          <cell r="E84" t="str">
            <v>USD</v>
          </cell>
        </row>
        <row r="86">
          <cell r="A86" t="str">
            <v>BTB278/05</v>
          </cell>
          <cell r="B86" t="str">
            <v>220000B701</v>
          </cell>
          <cell r="C86">
            <v>38629</v>
          </cell>
          <cell r="D86">
            <v>-9799</v>
          </cell>
          <cell r="E86" t="str">
            <v>USD</v>
          </cell>
        </row>
        <row r="87">
          <cell r="A87" t="str">
            <v>PO1105</v>
          </cell>
          <cell r="B87" t="str">
            <v>220000B701</v>
          </cell>
          <cell r="C87">
            <v>38629</v>
          </cell>
          <cell r="D87">
            <v>-2476.58</v>
          </cell>
          <cell r="E87" t="str">
            <v>USD</v>
          </cell>
        </row>
        <row r="88">
          <cell r="A88" t="str">
            <v>R33095</v>
          </cell>
          <cell r="B88" t="str">
            <v>220000B701</v>
          </cell>
          <cell r="C88">
            <v>38597</v>
          </cell>
          <cell r="D88">
            <v>-41.13</v>
          </cell>
          <cell r="E88" t="str">
            <v>USD</v>
          </cell>
        </row>
      </sheetData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"/>
      <sheetName val="Detalle"/>
      <sheetName val="NQIA Gastos Principales"/>
      <sheetName val="Capital para Proyecto"/>
      <sheetName val="Anticipos CCC"/>
      <sheetName val="Costos Transición"/>
      <sheetName val="Commitment Fee"/>
      <sheetName val="APT Junio"/>
      <sheetName val="COnfirmación Jun"/>
      <sheetName val="Límite"/>
      <sheetName val="XREF"/>
      <sheetName val="Tickmarks"/>
      <sheetName val="Inversiones en acciones"/>
      <sheetName val="Movimiento"/>
      <sheetName val="Amortización"/>
      <sheetName val="Cálculo Global"/>
      <sheetName val="MMA"/>
      <sheetName val="APT"/>
      <sheetName val="Listado"/>
      <sheetName val="Otros cargos dif"/>
      <sheetName val="Otros Activos"/>
      <sheetName val="Mov_Costo"/>
      <sheetName val="Mov_Amort"/>
      <sheetName val="C.G Amortización"/>
      <sheetName val="Límites"/>
      <sheetName val="Límites Sugeridos"/>
      <sheetName val="Mov. Intangibles"/>
      <sheetName val="Análisis Adiciones Intangibles"/>
      <sheetName val="Mov. Amortización"/>
      <sheetName val="C G Amort"/>
      <sheetName val="Software"/>
      <sheetName val="Mov. Costo"/>
      <sheetName val="Mov. Amortizacion"/>
      <sheetName val="Calculo Amorti"/>
      <sheetName val="Amort."/>
      <sheetName val="Calc. Global. Amort"/>
      <sheetName val="Nota EEFF"/>
      <sheetName val="Mov. GW costo y amort."/>
      <sheetName val="Cáculo global amor"/>
      <sheetName val="Mov. Renta tools costo y depre."/>
      <sheetName val="Cáclulo global depreciación"/>
      <sheetName val="Detalle rental tools Final"/>
      <sheetName val="Detalle rental tools Prel"/>
      <sheetName val="Cálculo del umbral"/>
      <sheetName val="Proyecto Mazar"/>
      <sheetName val="Proyecto Sopladora"/>
      <sheetName val="CxC LP"/>
      <sheetName val="Inv. Acciones"/>
      <sheetName val="Adiciones Acciones"/>
      <sheetName val="VPP"/>
      <sheetName val="Activos Intangibles y Otros"/>
      <sheetName val="Cálculo Global Amort."/>
      <sheetName val="Otros Activos (F)"/>
      <sheetName val="Otros activos (Prel)"/>
      <sheetName val="Gastos Anticipados"/>
      <sheetName val="CMA Calculations adiciones"/>
      <sheetName val="CMA Selections adiciones"/>
      <sheetName val="APT adiciones"/>
      <sheetName val="Inversiones"/>
      <sheetName val="Cálculo amortización"/>
      <sheetName val="Análisis de Adiciones"/>
      <sheetName val="VPP Inversiones"/>
      <sheetName val="Goodwill Humana"/>
      <sheetName val="Goodwill Aesculapius"/>
      <sheetName val="Sheet2"/>
      <sheetName val="Adquisición Aesculapius"/>
      <sheetName val="Acciones"/>
      <sheetName val="Aportes"/>
      <sheetName val="Detalle de acciones adquiridas"/>
      <sheetName val="CMA_Aescapulapius"/>
      <sheetName val="Análisis Aesculapius"/>
      <sheetName val="Análisis de activ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Calc. Global Sueldos"/>
      <sheetName val="MMA"/>
      <sheetName val="APT"/>
      <sheetName val="Cálc. Global Varios"/>
      <sheetName val="XREF"/>
      <sheetName val="Tickmarks"/>
      <sheetName val="Límite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 G.Ad.Vta"/>
      <sheetName val="MMA FINAL"/>
      <sheetName val="MMA"/>
      <sheetName val="APT Gastos"/>
      <sheetName val="Cálculo sueldos"/>
      <sheetName val="Calc.Arriendos"/>
      <sheetName val="Leasing"/>
      <sheetName val="Leasing gasto 2005"/>
      <sheetName val="Calc.Global Honorarios"/>
      <sheetName val="Determinación del Límite"/>
      <sheetName val="Límites"/>
      <sheetName val="XREF"/>
      <sheetName val="Tickmarks"/>
      <sheetName val="MMA G.Operación"/>
    </sheetNames>
    <sheetDataSet>
      <sheetData sheetId="0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 de Costos"/>
      <sheetName val="MMA"/>
      <sheetName val="APT Costo de Ventas"/>
      <sheetName val="XREF"/>
      <sheetName val="Tickmarks"/>
    </sheetNames>
    <sheetDataSet>
      <sheetData sheetId="0"/>
      <sheetData sheetId="1"/>
      <sheetData sheetId="2" refreshError="1"/>
      <sheetData sheetId="3"/>
      <sheetData sheetId="4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MA (F)"/>
      <sheetName val="APT Gtos. (F)"/>
      <sheetName val="Cálculo sueldos"/>
      <sheetName val="MMA"/>
      <sheetName val="APT Gtos."/>
      <sheetName val="Honorarios"/>
      <sheetName val="Seguros"/>
      <sheetName val="S. de Vida"/>
      <sheetName val="Leasing"/>
      <sheetName val="Arriendos"/>
      <sheetName val="Límite"/>
      <sheetName val="XREF"/>
      <sheetName val="Tickmarks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T (2)"/>
      <sheetName val="Detalle"/>
      <sheetName val="APT"/>
      <sheetName val="Cálculo sueldos"/>
      <sheetName val="Honorarios"/>
      <sheetName val="Análisis Honorarios"/>
      <sheetName val="XREF"/>
      <sheetName val="Tickmarks"/>
      <sheetName val="Analisis - APT"/>
      <sheetName val="Nómina"/>
      <sheetName val="Recálculo Nómina"/>
      <sheetName val="Regalías"/>
      <sheetName val="#REF"/>
      <sheetName val="MMA"/>
      <sheetName val="MMA Preliminar"/>
      <sheetName val="CG Sueldos"/>
      <sheetName val="Gastos Employes "/>
      <sheetName val="Cálculo del umbral Prel"/>
      <sheetName val="Cálculo del umbral Final"/>
      <sheetName val="Análisis APT Prelim"/>
      <sheetName val="Nota"/>
      <sheetName val="Analisis APT Gastos"/>
      <sheetName val="Análisis Arriendos"/>
      <sheetName val="Indemnizacion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MA"/>
      <sheetName val="APT Gastos"/>
      <sheetName val="C.G.Sueldos"/>
      <sheetName val="C.G.Beneficios sociales"/>
      <sheetName val="Cálculo Vacaciones"/>
      <sheetName val="Arriendo"/>
      <sheetName val="Tercerizados"/>
      <sheetName val="Indemnizaciones"/>
      <sheetName val="Bono Rendimientos"/>
      <sheetName val="XREF"/>
      <sheetName val="Tickmarks"/>
      <sheetName val="Nota"/>
      <sheetName val="Nómina"/>
      <sheetName val="APT"/>
      <sheetName val="Sheet2"/>
      <sheetName val="Sheet1"/>
      <sheetName val="Sueldos y Salarios"/>
      <sheetName val="Análisis"/>
      <sheetName val="Límites"/>
      <sheetName val="#REF"/>
      <sheetName val="Gastos x CC"/>
      <sheetName val="MMA Final"/>
      <sheetName val="MMA Prel"/>
      <sheetName val="APT Gtos."/>
      <sheetName val="APT Transporte"/>
      <sheetName val="Regalías"/>
      <sheetName val="Benef. Sociales"/>
      <sheetName val="Arriendos"/>
      <sheetName val="Límite"/>
      <sheetName val="Gtos apt final"/>
      <sheetName val="Análisis nómina"/>
      <sheetName val="Límites Final"/>
      <sheetName val="Límites Preliminar"/>
      <sheetName val="Procedimientos"/>
      <sheetName val="Comentarios"/>
      <sheetName val="Nota a los EEFF"/>
      <sheetName val="Mantenimiento"/>
      <sheetName val="Outsourcing"/>
      <sheetName val="Alquileres"/>
      <sheetName val="APT de Gastos"/>
      <sheetName val="Honorarios Admnistrativos"/>
      <sheetName val="CMA Calculations"/>
      <sheetName val="CMA Selections"/>
      <sheetName val="Gastos APT"/>
      <sheetName val="Seleccion gastos y costos"/>
      <sheetName val="Bonos"/>
      <sheetName val="MMA Preliminar"/>
      <sheetName val="Remuneraciones"/>
      <sheetName val="CG Sueldos"/>
      <sheetName val="MMA  "/>
      <sheetName val="Análisis-pre"/>
      <sheetName val="C.G Sueldos"/>
      <sheetName val="Arriendos y Asesoría"/>
      <sheetName val="Detalle UIO"/>
      <sheetName val="Analisis de gastos"/>
      <sheetName val="Sueldos UIO"/>
      <sheetName val="Gto. Provisión"/>
      <sheetName val="Detalle Gastos"/>
      <sheetName val="Rol"/>
      <sheetName val="Cal.Global de Sueldos"/>
      <sheetName val="Planillas IESS"/>
      <sheetName val="MMA Gastos"/>
      <sheetName val="Revisión Analítica"/>
      <sheetName val="Seleccion APT"/>
      <sheetName val="Análisis APT"/>
      <sheetName val="Calculo Sueldos"/>
      <sheetName val="Cálculo Global Hon."/>
      <sheetName val="Selección APT Preliminar"/>
      <sheetName val="APT Preliminar"/>
      <sheetName val="Remuneraciones "/>
      <sheetName val="Pago a TCN"/>
      <sheetName val="Calc. Límites "/>
      <sheetName val="MMA(p)"/>
      <sheetName val="APT "/>
      <sheetName val="MMA "/>
      <sheetName val="CG Sueldo"/>
      <sheetName val="CG Arriendos"/>
      <sheetName val="Determinación del Límite"/>
      <sheetName val="Aná R"/>
      <sheetName val="CG GC"/>
      <sheetName val="Tabla Dinámica"/>
      <sheetName val="Base Dic 05"/>
      <sheetName val="Tabla"/>
      <sheetName val="Detalle G. Op."/>
      <sheetName val="Rev. Analítica"/>
      <sheetName val="C. Globales"/>
      <sheetName val="MMA APT"/>
      <sheetName val="Asistencia Tec. VW"/>
      <sheetName val="Costos producción"/>
      <sheetName val="Seguros"/>
      <sheetName val="Honorarios"/>
      <sheetName val="Honorarios-Mayores"/>
      <sheetName val="Sueldos"/>
      <sheetName val="Com Tarj Créd"/>
      <sheetName val="Otros Impuestos"/>
      <sheetName val="Arriendos y Cond."/>
      <sheetName val="Ints Proveedores"/>
      <sheetName val="Calc. Límites"/>
      <sheetName val="Tabla Límites"/>
      <sheetName val="Bonificaciones"/>
      <sheetName val="Comisiones TC"/>
      <sheetName val="Detalle2002"/>
      <sheetName val="Electricidad"/>
      <sheetName val="Int. Proveed."/>
      <sheetName val="I. Municipales"/>
      <sheetName val="Imp. Municipales"/>
      <sheetName val="Otras Bonificaciones"/>
      <sheetName val="Bonif. Ventas"/>
      <sheetName val="Otras Bonifs."/>
      <sheetName val="Comisiones"/>
      <sheetName val="Estadísticas Comis."/>
      <sheetName val="Comisiones por ventas"/>
      <sheetName val="Detalle01"/>
      <sheetName val="Guardianía"/>
      <sheetName val="Dietas"/>
      <sheetName val="Selección APT"/>
      <sheetName val="Cálc Glob Sueldos"/>
      <sheetName val="C.Global Benef Soc"/>
      <sheetName val="Marcas Estándar"/>
      <sheetName val="Detalle (Final)"/>
      <sheetName val="Analisis de gastos 2003"/>
      <sheetName val="Leasing Computadora"/>
      <sheetName val="Cobertura de Seguros"/>
      <sheetName val="Sueldos 2003"/>
      <sheetName val="C. Global Sueldos"/>
      <sheetName val="MMA Gastos Nuevos locales"/>
      <sheetName val="Serv. Cobranza"/>
      <sheetName val="Diciembre"/>
      <sheetName val="Selección para APT"/>
      <sheetName val="Arriendo Mercantil"/>
      <sheetName val="Cómputo Beneficios Sociales"/>
      <sheetName val="NOMINA"/>
      <sheetName val="Leasing"/>
      <sheetName val="Diciembre03"/>
      <sheetName val="Análisis Honorarios Aud. Intern"/>
      <sheetName val="Servicios Básicos"/>
      <sheetName val="Gtos Adm"/>
      <sheetName val="Gtos Ventas"/>
      <sheetName val="Cal Suel 2003"/>
      <sheetName val="Cálculo Sueldos"/>
      <sheetName val="Detalle "/>
      <sheetName val="Revisión Analítica 2002"/>
      <sheetName val="Análisis de Gastos"/>
      <sheetName val="Revisión Analítica 2001"/>
      <sheetName val="Arriendo de Oficinas"/>
      <sheetName val="Arr Merc final"/>
      <sheetName val="Comisiones Broker indiv."/>
      <sheetName val="Comisiones Broker indiv. (2)"/>
      <sheetName val="Comisiones Broker Corpor."/>
      <sheetName val="Comisiones Broker Corpor. (2)"/>
      <sheetName val="Comisiones Broker Interhealth"/>
      <sheetName val="cruce PPC"/>
      <sheetName val="APT Gastos Pre."/>
      <sheetName val="Cálc. Glob. Arriendos"/>
      <sheetName val="Cálc. Comisiones"/>
      <sheetName val="MMA APT Jun"/>
      <sheetName val="MMA APT Oct."/>
      <sheetName val="MMA APT Dic"/>
      <sheetName val="Publicidad"/>
      <sheetName val="Premios"/>
      <sheetName val="Gstos Vta"/>
      <sheetName val="Calc. Global Sueldos"/>
      <sheetName val="Cálc. Global Arriendo"/>
      <sheetName val="Selección Final"/>
      <sheetName val="Selección Preliminar"/>
      <sheetName val="Aporte patronal"/>
      <sheetName val="Detalle de sueldos"/>
      <sheetName val="A. ct. alquiler"/>
      <sheetName val="Tabla del Limite"/>
      <sheetName val="Costo ventas"/>
      <sheetName val="Cálculo Global"/>
      <sheetName val="IESS"/>
      <sheetName val="Links"/>
      <sheetName val="MANAGEMENT FEE"/>
      <sheetName val="Cuenta APT"/>
      <sheetName val="Subselección"/>
      <sheetName val="Controles"/>
      <sheetName val="Cálculo Global Sueldos"/>
      <sheetName val="Beneficios Sociales"/>
      <sheetName val="otros"/>
      <sheetName val="Preliminar"/>
      <sheetName val="MMA (2)"/>
      <sheetName val="Sueldos y Comisiones"/>
      <sheetName val="Manten. Spider"/>
      <sheetName val="APT (2)"/>
      <sheetName val="Resumen Arriendos"/>
      <sheetName val="Resumen de Roles"/>
      <sheetName val="Riesgo crediticio"/>
      <sheetName val="Recojo"/>
      <sheetName val="Const. Tiendas"/>
      <sheetName val="Hoja 1"/>
      <sheetName val="Arriendos Dic"/>
      <sheetName val="Detalle a Final"/>
      <sheetName val="Detalle-Hugo"/>
      <sheetName val="Revision analítica"/>
      <sheetName val="Nomina Terceros"/>
      <sheetName val="Resumen"/>
      <sheetName val="MMA Garan. Banc."/>
      <sheetName val="Balance Mensual"/>
      <sheetName val="Chart1"/>
      <sheetName val="Detalle a Dic-07"/>
      <sheetName val="MMA Pre Sep-07"/>
      <sheetName val="Para graficos"/>
      <sheetName val="An. Honorarios Dic"/>
      <sheetName val="Analisis APT"/>
      <sheetName val="Asistencia Medica"/>
      <sheetName val="CMA Calculations- R Factor (2)"/>
      <sheetName val="CMA_Selections"/>
      <sheetName val="Honor. Agente Manejo"/>
      <sheetName val="Comi. Administración Cartera"/>
      <sheetName val="Selección Gastos"/>
      <sheetName val="Sueldos-fin"/>
      <sheetName val="Detalle por C.Costos)"/>
      <sheetName val="Det. Otros"/>
      <sheetName val="En. Elec."/>
      <sheetName val="MMA APT "/>
      <sheetName val="Cálculo de Exceso"/>
      <sheetName val="Cálculo del Límite"/>
      <sheetName val="Detalle sueldos"/>
      <sheetName val="Cálculo del umbral"/>
      <sheetName val="MMA APT (prel)"/>
      <sheetName val="MMA APT (final)"/>
      <sheetName val="Fee"/>
      <sheetName val="Calc. Global Sueldos "/>
      <sheetName val="Límite Sueldos"/>
      <sheetName val="Gastos médicos"/>
      <sheetName val="Seleccion Gastos"/>
      <sheetName val="Muestra Gastos"/>
      <sheetName val="Muestras Adiciones"/>
      <sheetName val="CMA H.CONTR."/>
      <sheetName val="Seleccion Honorarios Contractua"/>
      <sheetName val="CMA H.PROF."/>
      <sheetName val="Honorarios profesionales"/>
      <sheetName val="APT HONORARIOS"/>
      <sheetName val="Limite"/>
      <sheetName val="Tabla del Límite"/>
      <sheetName val="Costos"/>
      <sheetName val="Energia Electrica"/>
      <sheetName val="MMA Manten"/>
      <sheetName val="APT Mantemiento"/>
      <sheetName val="Vigilancia"/>
      <sheetName val="Excess Calc"/>
      <sheetName val="TCalc"/>
      <sheetName val="APT Comunicaciones"/>
      <sheetName val="Prov Jub Patronal"/>
      <sheetName val="Sheet4"/>
      <sheetName val="Nota EEFF"/>
      <sheetName val="Gastos ADC"/>
      <sheetName val="Corpaq"/>
      <sheetName val="O&amp;M Manag. Fee "/>
      <sheetName val="Contabilidad Asesoria Otros"/>
      <sheetName val="Honorarios Dic"/>
      <sheetName val="Off Shore Operator"/>
      <sheetName val="O&amp;M Management Fee"/>
      <sheetName val="O&amp;M JUNIO &amp; Diciembre"/>
      <sheetName val="Misceláneos"/>
      <sheetName val="Límite Honorarios"/>
      <sheetName val="Gastos"/>
      <sheetName val="Sueldos y Benef."/>
      <sheetName val="MMA Gtos. y Ctos."/>
      <sheetName val="APT Gtos. y Ctos."/>
      <sheetName val="MMA Mantenim."/>
      <sheetName val="APT Mantenim."/>
      <sheetName val="Cálc. Glob. Nómina"/>
      <sheetName val="Personas Jurídicas"/>
      <sheetName val="Management  Fee"/>
      <sheetName val="Provisional"/>
      <sheetName val="Base"/>
      <sheetName val="Fábrica"/>
      <sheetName val="Cesantía"/>
      <sheetName val="Detalle de gastos"/>
      <sheetName val="Fletes"/>
      <sheetName val="Detalle de gastos por APT"/>
      <sheetName val="Mov. I.Rta y Part.Trab"/>
      <sheetName val="Composición"/>
      <sheetName val="Ventas-Comisiones"/>
      <sheetName val="C.Global Sueldos"/>
      <sheetName val="Otros C.Global Hono."/>
      <sheetName val="C.Global Hono."/>
      <sheetName val="Apt Gtos Operación"/>
      <sheetName val="Comisiones Tarj. Crédito"/>
      <sheetName val="Selección empleados"/>
      <sheetName val="Servicios"/>
      <sheetName val="Motorizados"/>
      <sheetName val="Limpieza"/>
      <sheetName val="Marca"/>
      <sheetName val="Dundell Corp."/>
      <sheetName val="indega"/>
      <sheetName val="Análisis Gastos"/>
      <sheetName val="Ingeniería"/>
      <sheetName val="MMA Ingeniería"/>
      <sheetName val="Análisis de Ingeniera"/>
      <sheetName val="SEMAD"/>
      <sheetName val="Facturas Honorarios"/>
      <sheetName val="Facturas Asistencia Técnica"/>
      <sheetName val="MMA (Diciembre)"/>
      <sheetName val="Análisis Rol de Pagos"/>
      <sheetName val="Horas Extras"/>
      <sheetName val="Tercerización (Dic)"/>
      <sheetName val="Análisis Remunerativo"/>
      <sheetName val="Asesoría Técnica"/>
      <sheetName val="MMA Premiliminar"/>
      <sheetName val="Reasignaciones"/>
      <sheetName val="Análisis Reasign"/>
      <sheetName val="Jubilación"/>
      <sheetName val="Fletes de Producto"/>
      <sheetName val="Fletes de Distribución"/>
      <sheetName val="Muestra de Gastos"/>
      <sheetName val="Análisis Sueldos"/>
      <sheetName val="Bono de Trabajo"/>
      <sheetName val="Cálculos Globales"/>
      <sheetName val="CMA H.CONTR. Prelim"/>
      <sheetName val="CMA H. Contr Final"/>
      <sheetName val="CMA H.PROF. Prelim"/>
      <sheetName val="CMA H Prof Final"/>
      <sheetName val="Movimiento"/>
      <sheetName val="Selección Adiciones Prel"/>
      <sheetName val="Muestra Adiciones Prel"/>
      <sheetName val="Adiciones"/>
      <sheetName val="PAMV"/>
      <sheetName val="Detalle de rubros rol de pagos"/>
      <sheetName val="Detalle Arriendos Bienes Inm."/>
      <sheetName val="Arriendo Bienes Inmuebles"/>
      <sheetName val="Detalle Arr. Mer."/>
      <sheetName val="Com. Distrib."/>
      <sheetName val="Cálglobal sueldos"/>
      <sheetName val="C. global Benef."/>
      <sheetName val="MMA Prel."/>
      <sheetName val="Análisis de APT"/>
      <sheetName val="Cál. Regalias"/>
      <sheetName val="Detalle Regalias"/>
      <sheetName val="Transferencias"/>
      <sheetName val="Análisis Transferencias"/>
      <sheetName val="Gastos APT "/>
      <sheetName val="Gastos de operación"/>
      <sheetName val="CMA Calculations APT"/>
      <sheetName val="CMA Selection APT"/>
      <sheetName val="Cálculo Limite Nomina"/>
      <sheetName val="Fedepal"/>
      <sheetName val="Servicios Administrativos"/>
      <sheetName val="Fedapal"/>
      <sheetName val="Ancupa"/>
      <sheetName val="Cal. Global Beneficios"/>
      <sheetName val="Impuestos"/>
      <sheetName val="Calc. Límite"/>
      <sheetName val="Cálculo Honorarios"/>
      <sheetName val="MMA (F)"/>
      <sheetName val="MMA (P)"/>
      <sheetName val="Leasing "/>
      <sheetName val="Pivot Sueldos"/>
      <sheetName val="Movimiento Benef.Sociales"/>
      <sheetName val="Actas de Finiquito"/>
      <sheetName val="Tercerizadoras"/>
      <sheetName val="Contratos-Maquila"/>
      <sheetName val="MMA Gtos-Costos"/>
      <sheetName val="APT Gtos-Costos"/>
      <sheetName val="Asistencia Tec."/>
      <sheetName val="G. Administrativo"/>
      <sheetName val="APT Costos"/>
      <sheetName val="Serv. Comerc."/>
      <sheetName val="Sheet3"/>
      <sheetName val="Detalle G.A."/>
      <sheetName val="Detalle G.O."/>
      <sheetName val="MMA GA"/>
      <sheetName val="MMA GO"/>
      <sheetName val="Análisis de Nómina"/>
      <sheetName val="Nom. vs Bancos"/>
      <sheetName val="Conazul"/>
      <sheetName val="GO"/>
      <sheetName val="Gastos Fiduciario"/>
      <sheetName val="leasing Vehículos"/>
      <sheetName val="Asistencia técnica"/>
      <sheetName val="Análisis Gastos APT"/>
      <sheetName val="Seguridad y Vigilancia"/>
      <sheetName val="Salección APT-Final"/>
      <sheetName val="Anal. Fletes"/>
      <sheetName val="Anal. Comisi."/>
      <sheetName val="CMA APT"/>
      <sheetName val="Selecc. APT-Prel"/>
      <sheetName val="Selecc. Fletes-Prel"/>
      <sheetName val="Selecc. Comisiones-Prel"/>
      <sheetName val="MMA Final Gtos. Operac."/>
      <sheetName val="APT GASTOS OPE."/>
      <sheetName val="MMA GASTOS OPE."/>
      <sheetName val="MMA COMI."/>
      <sheetName val="MMA HONO"/>
      <sheetName val="APT.COMI"/>
      <sheetName val="APT.HONO"/>
      <sheetName val="Base de Subseleccion"/>
      <sheetName val="Subseleccion ACL"/>
      <sheetName val="Reclasificación "/>
      <sheetName val="APT Final"/>
      <sheetName val="Arriendos de concesiones"/>
      <sheetName val="SA Procedures"/>
      <sheetName val="Expectation"/>
      <sheetName val="Cálc. Global Mant. Repar."/>
      <sheetName val="Análisis Fletes Vs. Ingresos"/>
      <sheetName val="Seleccion APT Final"/>
      <sheetName val="Bajas"/>
      <sheetName val="Comisión Brokers"/>
      <sheetName val="Comisión Nova"/>
      <sheetName val="Contratos Nova"/>
      <sheetName val="APT Gastos y Costos"/>
      <sheetName val="Arrendamiento"/>
      <sheetName val="Análisis APT "/>
      <sheetName val="MMA Prelim."/>
      <sheetName val="Seguros del Personal"/>
      <sheetName val="Fact-Alloc-Asignac.-Final"/>
      <sheetName val="Allocations- Final"/>
      <sheetName val="Allocations"/>
      <sheetName val="Transporte OCP"/>
      <sheetName val="Cálculo Selección APT"/>
      <sheetName val="Revis. Fact. Trans. OCP"/>
      <sheetName val="Seguro"/>
      <sheetName val="C.Despidos Intemp."/>
      <sheetName val="APT Sueldos"/>
      <sheetName val="Cal. Benef. Social Final"/>
      <sheetName val="Cal.Benef.Social."/>
      <sheetName val="CMA Base"/>
      <sheetName val="CMA Selecc."/>
      <sheetName val="Anal. APT"/>
      <sheetName val="Gasto Arriendo"/>
      <sheetName val="APT Arriendo"/>
      <sheetName val="Gto. Arriendo Equipos"/>
      <sheetName val="APT de Arriendo Equipos"/>
      <sheetName val="Imp. Ambiente"/>
      <sheetName val="Arriendo-Vigilancia"/>
      <sheetName val="Arriendo de Equipos"/>
      <sheetName val="Servicios Especializados"/>
      <sheetName val="Servicios Computación"/>
      <sheetName val="Uso marcas"/>
      <sheetName val="Movimiento Arriendos"/>
      <sheetName val="Honorarios Farmaceuticos"/>
      <sheetName val="Cal Glob Sueldos"/>
      <sheetName val="Global Honorarios"/>
      <sheetName val="Recálculo Nómina"/>
      <sheetName val=" APT Gtos Op"/>
      <sheetName val="Calculo Global Nomina"/>
      <sheetName val="Liquidaciones Emp."/>
      <sheetName val="Gasto Combustible."/>
      <sheetName val="Análisis Empleados"/>
      <sheetName val="Gasto Sueldos"/>
      <sheetName val="Transp."/>
      <sheetName val="Servicios Adm"/>
      <sheetName val="Reembolsos"/>
      <sheetName val="OrgControl"/>
      <sheetName val="SaldosCruceInv"/>
      <sheetName val="Cálculo actuarial"/>
      <sheetName val="VerNóm"/>
      <sheetName val="AnálisisGtosAPT"/>
      <sheetName val="AguaPot"/>
      <sheetName val="Análisis APT Final"/>
      <sheetName val="Selección de Cuentas"/>
      <sheetName val="Selección de Gastos"/>
      <sheetName val="Análisis APT Prelim"/>
      <sheetName val="Análisis Arriendos"/>
      <sheetName val="Comisión a Distribuidores"/>
      <sheetName val="Mantenimiento de Bienes"/>
      <sheetName val="Arrendamiento Mercantil"/>
      <sheetName val="Arriendo Inmuebles"/>
      <sheetName val="Serv. Comercialización"/>
      <sheetName val="Selec ACL"/>
      <sheetName val="Cálculo de Honorarios"/>
      <sheetName val="Presupuesto"/>
      <sheetName val="Guardia y Seguridad"/>
      <sheetName val="Central Telef."/>
      <sheetName val="Mant. Jardines"/>
      <sheetName val="Bonif. Ventas(Prel) (2)"/>
      <sheetName val="Determinación de Límites"/>
      <sheetName val="Jub.Patr."/>
      <sheetName val="Costo de Garantía"/>
      <sheetName val="Asis. Tec."/>
      <sheetName val="Selec. APT"/>
      <sheetName val="An. APT"/>
      <sheetName val="Cálculo Nómina"/>
      <sheetName val="Bonos de desempeño"/>
      <sheetName val="Movimiento Inventario Propio"/>
      <sheetName val="Análisis Hon. Contractuales"/>
      <sheetName val="Análisis Hon Profesionales"/>
      <sheetName val="Análisis Reaseguros"/>
      <sheetName val="Análisis de Inventario Propio"/>
      <sheetName val="Análisis de Sum. Consignación"/>
      <sheetName val="NOTAS E.E.F.F."/>
      <sheetName val="Pruebas Sustantivas"/>
      <sheetName val="Mov Jubilación y Desahucio"/>
      <sheetName val="Calc. Arriendos"/>
      <sheetName val="Plantilla de límites Fecha Fi"/>
      <sheetName val="Det. cargas soc. y sueldos"/>
      <sheetName val="Límites Gasto Nómina"/>
      <sheetName val="Límites provisiones"/>
      <sheetName val="Prueb.Calc.Actur"/>
      <sheetName val="Revisión de Factura-Honor."/>
      <sheetName val="Nomina final"/>
      <sheetName val="CG. Distribución Portrans"/>
      <sheetName val="CG Impuesto Salida de Divisas"/>
      <sheetName val="Gastos APT-Final"/>
      <sheetName val="Análisis de Gastos APT-Prel."/>
      <sheetName val="Cálculo Globla Nómina Final"/>
      <sheetName val="Rol de Pagos"/>
      <sheetName val="Honorarios Gerencia"/>
      <sheetName val="Cost-Sharing"/>
      <sheetName val="Servicio Relacionadas"/>
      <sheetName val="Costos APT"/>
      <sheetName val="Contratos Casa Matriz"/>
      <sheetName val="Cálculo Globla Nómina"/>
      <sheetName val="Cierre de Gastos"/>
      <sheetName val="Contribuciones"/>
      <sheetName val="Bonif. Ventas(Prel)"/>
      <sheetName val="Bonif. Ventas (Final)"/>
      <sheetName val="Otras Bonifs. (Prel)"/>
      <sheetName val="Otras Bonifs. (Final)"/>
      <sheetName val="Arriendos y Cond. (Prel)"/>
      <sheetName val="Arriendos y Cond. (Final)"/>
      <sheetName val="Comisiones (Prel)"/>
      <sheetName val="Comisiones (Final)"/>
      <sheetName val="Análisis de Gastos APT"/>
      <sheetName val="Sheet1 (2)"/>
      <sheetName val="Detalle gtos"/>
      <sheetName val="MMA Ago-05"/>
      <sheetName val="# Empleados"/>
      <sheetName val="Serv. Exter"/>
      <sheetName val="APT Gastos Honorarios"/>
      <sheetName val="Muestra Final"/>
      <sheetName val="APT 2008"/>
      <sheetName val="Comisiones en Ventas"/>
      <sheetName val="Análisis Seguros"/>
      <sheetName val="Variaciones Gastos APT"/>
      <sheetName val="CG Nómina"/>
      <sheetName val="Gtos No ded Dec08"/>
      <sheetName val="Gtos No deducibles"/>
      <sheetName val="Bonificaciones y PT Jun"/>
      <sheetName val="Bonificaciones y PT Dec"/>
      <sheetName val="Bonificaciones prel"/>
      <sheetName val="Bonificaciones Final"/>
      <sheetName val="Entrega PT"/>
      <sheetName val="CG Seguros"/>
      <sheetName val="Análisis variaciones"/>
      <sheetName val="Beneficios"/>
      <sheetName val="Serv Contrat"/>
      <sheetName val="CMA_Calculations"/>
      <sheetName val="Detalle (2)"/>
      <sheetName val="Imp. y Contrib."/>
      <sheetName val="Provisiones"/>
      <sheetName val="Serv. Contr"/>
      <sheetName val="APT Suministros"/>
      <sheetName val="Gastos Operacion"/>
      <sheetName val="Dietas y Honorarios"/>
      <sheetName val="Impuestos y Contrib y Camara"/>
      <sheetName val="Funcionarios"/>
      <sheetName val="Impuestos y Contribuciones"/>
      <sheetName val="Bono Navideño"/>
      <sheetName val="Nómina Final"/>
      <sheetName val="Arriendos Final"/>
      <sheetName val="NOTA EF"/>
      <sheetName val="Cálculo Global Seguros"/>
      <sheetName val="Arriendo de Bodegas"/>
      <sheetName val="Hon Ots"/>
      <sheetName val="Arr Of"/>
      <sheetName val="Arr Bod"/>
      <sheetName val="Com FEE"/>
      <sheetName val="Compañías Relacionadas"/>
      <sheetName val="Nota a los EE FF"/>
      <sheetName val="Cálculo Global de Nómina"/>
      <sheetName val="Análsisi de Gastos APT"/>
      <sheetName val="Salarios y Beneficios Sociales"/>
      <sheetName val="Conectividad"/>
      <sheetName val="Alquiler de Licencias"/>
      <sheetName val="Alquiler de Edificios"/>
      <sheetName val="Incentivos de Agencias"/>
      <sheetName val="Cálculo Global-Nómina"/>
      <sheetName val="Procedimientos Gastos Operacion"/>
      <sheetName val="Calculo de Nomina"/>
      <sheetName val="Hoja de límites"/>
      <sheetName val="Nuevo Enfoque APT"/>
      <sheetName val="APT Ctas Seleccionadas"/>
      <sheetName val="Analisis - APT"/>
      <sheetName val="Detalle 10"/>
      <sheetName val="Vacaciones"/>
      <sheetName val="Planillas"/>
      <sheetName val="APT de Costos"/>
      <sheetName val="NOTAs EEFF"/>
      <sheetName val="Límites Nomina"/>
      <sheetName val="Detalle de arriendos"/>
      <sheetName val="Límites "/>
      <sheetName val="Comisión Tarjetas"/>
      <sheetName val="Amortización Final"/>
      <sheetName val="Amortización"/>
      <sheetName val="Análisis variación G.Pubicidad"/>
      <sheetName val="APT Gastos "/>
      <sheetName val="Gtos. Operación"/>
      <sheetName val="Anális Leasing"/>
      <sheetName val="Jubilación patronal"/>
      <sheetName val="Publicidad "/>
      <sheetName val="Det.Dic."/>
      <sheetName val="Det.Oct."/>
      <sheetName val="Rev.Analít."/>
      <sheetName val="Arr. Mer."/>
      <sheetName val="Ener. Elec."/>
      <sheetName val="Asig. Adm"/>
      <sheetName val="Variaciones"/>
      <sheetName val="XREF1"/>
      <sheetName val="Det. Dic."/>
      <sheetName val="Det. Oct."/>
      <sheetName val="APT Servicio Transp."/>
      <sheetName val="Servicios de Distribución"/>
      <sheetName val="Patentes"/>
      <sheetName val="Validación Nómina"/>
      <sheetName val="Sel APT"/>
      <sheetName val="Ana. APT"/>
      <sheetName val="Otros Impuestos Sep"/>
      <sheetName val="Cálculo Global Beneficios Socia"/>
      <sheetName val="Ctas. Consumo Inv."/>
      <sheetName val="Limites  Nuevo Enfoque"/>
      <sheetName val="Análisis Gto. Patrocinio"/>
      <sheetName val="Notas EF"/>
      <sheetName val="Cont. Selec"/>
      <sheetName val="Indem. selec"/>
      <sheetName val="Analisis APT Preliminar"/>
      <sheetName val="Cálculo marketing FEE"/>
      <sheetName val="Sheet% Mk Fee."/>
      <sheetName val="Mano de Obra"/>
      <sheetName val="Procedimiento"/>
      <sheetName val="Observaciones"/>
      <sheetName val="Muestras Medicas"/>
      <sheetName val="Comisión Radioshack"/>
      <sheetName val="Tarjetas Créd. final"/>
      <sheetName val="Tarjetas Créd."/>
      <sheetName val="Cál. Global Arriendos Final"/>
      <sheetName val="Comisión Tarjeta"/>
      <sheetName val="Anál. Gastos APT"/>
      <sheetName val="Gastos Operacionales"/>
      <sheetName val="Gasto de administ y ventas"/>
      <sheetName val="Cálculo Royalities"/>
      <sheetName val="Nómina Dec."/>
      <sheetName val="Nómina Nov."/>
      <sheetName val="Cálculo Seguro de Vida"/>
      <sheetName val="Cálculo ley 42"/>
      <sheetName val="Cálculo de transporte"/>
      <sheetName val="Análisis Allocation"/>
      <sheetName val="External"/>
      <sheetName val="Analisis Gastos"/>
      <sheetName val="Detalle M.O."/>
      <sheetName val="Detalle cons. Inv"/>
      <sheetName val="CMA Calculations- R Factor"/>
      <sheetName val="Gastos liquidación Haberes"/>
      <sheetName val="Cálculo Global sueldos y benef."/>
      <sheetName val="Servicios Gerenciales"/>
      <sheetName val="Servic. Externos"/>
      <sheetName val="Serv.Externos final"/>
      <sheetName val="Tercerización"/>
      <sheetName val="Saldos Neg"/>
      <sheetName val="mayores "/>
      <sheetName val="Servicio Com.- Asist. Técnica"/>
      <sheetName val="Personal Discapac."/>
      <sheetName val="Gastos APT Final"/>
      <sheetName val="Gastos APT Prlim."/>
      <sheetName val="Gto fin"/>
      <sheetName val="APTfinal"/>
      <sheetName val="Fusión"/>
      <sheetName val="APTFusión"/>
      <sheetName val="ADC &amp; HAS Gtos"/>
      <sheetName val="Análisis Honorarios"/>
      <sheetName val="APT Costos y Gastos"/>
      <sheetName val="No Deducibles"/>
      <sheetName val="Provisiones No deducibles"/>
      <sheetName val="Cálculo de Arriendos"/>
      <sheetName val="Calculo de Nómina"/>
      <sheetName val="Gastos APT(P)"/>
      <sheetName val="Gastos APT (F)"/>
      <sheetName val="Regalias(P)"/>
      <sheetName val="Regalias (F)"/>
      <sheetName val="Incentivo Agencias final"/>
      <sheetName val="Cálculo Global de Incentivos"/>
      <sheetName val="Base Para el cálculo de Incenti"/>
      <sheetName val="Gastos APT Prelim."/>
      <sheetName val="Mov Juvilación y Desahucio"/>
      <sheetName val="Plantilla de límites"/>
      <sheetName val="Movimiento Jubilación Patronal"/>
      <sheetName val="Costo de Garantías"/>
      <sheetName val="Subdetalles de gastos"/>
      <sheetName val="Selección bono retiro"/>
      <sheetName val="Cál Glob Nómina"/>
      <sheetName val="Muestras médicas"/>
      <sheetName val="APT liquidaciones"/>
      <sheetName val="Notas EE.FF."/>
      <sheetName val="APT Mantenimiento"/>
      <sheetName val="Gasto APT  Preliminar"/>
      <sheetName val="APT Mantenimiento Preliminar "/>
      <sheetName val="APT  Preliminar"/>
      <sheetName val="Análisis Bono Cumplimiento (2)"/>
      <sheetName val="Detalle Sound &amp; Booth"/>
      <sheetName val="CxP Royalty"/>
      <sheetName val="Selección Sound &amp; Bolth"/>
      <sheetName val="Análisis Sound&amp;Bouth"/>
      <sheetName val="APT Seguros"/>
      <sheetName val="Límites sugeridos"/>
      <sheetName val="Cál. Global Nómina"/>
      <sheetName val="Participación Trabajadores"/>
      <sheetName val="Sueldos y Beneficios Sociales"/>
      <sheetName val="F_Dinamizacion"/>
      <sheetName val="Limites"/>
      <sheetName val="Analisis APT Gastos"/>
      <sheetName val="Análisi APT"/>
      <sheetName val="Análisi Arriendos"/>
      <sheetName val="Análisis_Var_Mens_Gtos"/>
      <sheetName val="Cálculo Globla 5 meses"/>
      <sheetName val="Matriz"/>
      <sheetName val="Integridad Base"/>
      <sheetName val="Res Contrato Colectivo"/>
      <sheetName val="Confirmaciones"/>
      <sheetName val="Contratos Matriz"/>
      <sheetName val="Cálculo Globla Nómina Final "/>
      <sheetName val="Comisiones Tarjetas "/>
      <sheetName val="Análisis de Tendencias"/>
      <sheetName val="Corte"/>
      <sheetName val="Consumos de Inventario"/>
      <sheetName val="Cal. Global seguros"/>
      <sheetName val="Limites Sugeridos"/>
      <sheetName val="APT Gastos Final"/>
      <sheetName val="APT Dic"/>
      <sheetName val="Overcomision"/>
      <sheetName val="Comisiones Tarjetas"/>
      <sheetName val="Prueba de Detalle de Nómina"/>
      <sheetName val="gto atp"/>
      <sheetName val="Mestra APT"/>
      <sheetName val="Límites pre"/>
      <sheetName val="Límites fin"/>
      <sheetName val="Gasto Jub. Pat y Desahuc"/>
      <sheetName val="Pagos "/>
      <sheetName val="8330.1 Detalle"/>
      <sheetName val="8330.1a Revisión Analítica"/>
      <sheetName val="8330.2 APT Gastos de Operación"/>
      <sheetName val="8330.3 Cálculo Global Nómina"/>
      <sheetName val="8330.4 Arriendos"/>
      <sheetName val="8330.5 Telecenter"/>
      <sheetName val="8330.6a Límites"/>
      <sheetName val="8330.6b Límites Final"/>
      <sheetName val="Sheet8"/>
      <sheetName val="Calc. Glob Arriend"/>
      <sheetName val="Gastos APT (Nov)"/>
      <sheetName val="Gastos APT Dic"/>
      <sheetName val=" CG Nómina"/>
      <sheetName val="CG Prov. Beneficios Sociales"/>
      <sheetName val="Otros gtos adminis y vtas"/>
      <sheetName val="CMA Calculations- Figure 54 (2)"/>
      <sheetName val="CMA Calculations- Figure 54 (3)"/>
      <sheetName val="Analisis Gastos APT"/>
      <sheetName val="Calculo Global de Sueldos"/>
      <sheetName val="CNT"/>
      <sheetName val="APT_CNT"/>
      <sheetName val="Revisión APT"/>
      <sheetName val="P.1. Detalle"/>
      <sheetName val="P.2. Calculo de Nómina (P)"/>
      <sheetName val="Gastos APT(F)"/>
      <sheetName val="Cálculo Nómina final "/>
      <sheetName val="Cálculo Nómina prel"/>
      <sheetName val="Gastos APT 2 NIIF"/>
      <sheetName val="Gasto Seg Vida"/>
      <sheetName val="Intercompany"/>
      <sheetName val="Detalle de Desahucio"/>
      <sheetName val="Cálculo Nómina final"/>
      <sheetName val="Análisis de Apt "/>
      <sheetName val="Prov.Inv.Lento Movto."/>
      <sheetName val="Gastos No Deducibles"/>
      <sheetName val="Desahucio"/>
      <sheetName val="Mov.Inv.Lento Mov."/>
      <sheetName val="Mov.Provisión"/>
      <sheetName val="Cálculo Global Nómina"/>
      <sheetName val="Comparación Sueldos 11-12"/>
      <sheetName val="APT Otros Gastos"/>
      <sheetName val="Rev. de Doc. soporte"/>
      <sheetName val="Cálculo Global de Arriendos"/>
      <sheetName val="Calculo Global"/>
      <sheetName val="Serv Cobranza"/>
      <sheetName val="Analisis Serv. Cobranza"/>
      <sheetName val="Análsis Mensajes de Producción"/>
      <sheetName val="Res. Confirmac."/>
      <sheetName val="Notas"/>
      <sheetName val="8330.1 Nómina"/>
      <sheetName val="Luz Eléctrica"/>
      <sheetName val="APT Gostos"/>
      <sheetName val="Transferencia de costos"/>
      <sheetName val="Nómina "/>
      <sheetName val="Feb"/>
    </sheetNames>
    <sheetDataSet>
      <sheetData sheetId="0" refreshError="1">
        <row r="10">
          <cell r="A10" t="str">
            <v>6.1.1.01.01.01</v>
          </cell>
        </row>
        <row r="299">
          <cell r="E299">
            <v>295674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/>
      <sheetData sheetId="12" refreshError="1"/>
      <sheetData sheetId="13"/>
      <sheetData sheetId="14" refreshError="1"/>
      <sheetData sheetId="15" refreshError="1"/>
      <sheetData sheetId="16"/>
      <sheetData sheetId="17"/>
      <sheetData sheetId="18" refreshError="1"/>
      <sheetData sheetId="19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6">
          <cell r="B6">
            <v>321405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299">
          <cell r="E299">
            <v>295674</v>
          </cell>
        </row>
      </sheetData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/>
      <sheetData sheetId="102" refreshError="1"/>
      <sheetData sheetId="103"/>
      <sheetData sheetId="104" refreshError="1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6">
          <cell r="B6">
            <v>321405</v>
          </cell>
        </row>
      </sheetData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 refreshError="1"/>
      <sheetData sheetId="168" refreshError="1"/>
      <sheetData sheetId="169"/>
      <sheetData sheetId="170" refreshError="1"/>
      <sheetData sheetId="171" refreshError="1"/>
      <sheetData sheetId="172" refreshError="1"/>
      <sheetData sheetId="173" refreshError="1"/>
      <sheetData sheetId="174"/>
      <sheetData sheetId="175" refreshError="1"/>
      <sheetData sheetId="176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 refreshError="1"/>
      <sheetData sheetId="190"/>
      <sheetData sheetId="191" refreshError="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/>
      <sheetData sheetId="216" refreshError="1"/>
      <sheetData sheetId="217" refreshError="1"/>
      <sheetData sheetId="218" refreshError="1"/>
      <sheetData sheetId="219"/>
      <sheetData sheetId="220" refreshError="1"/>
      <sheetData sheetId="221"/>
      <sheetData sheetId="222"/>
      <sheetData sheetId="223"/>
      <sheetData sheetId="224" refreshError="1"/>
      <sheetData sheetId="225" refreshError="1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>
        <row r="6">
          <cell r="B6">
            <v>321405</v>
          </cell>
        </row>
      </sheetData>
      <sheetData sheetId="243" refreshError="1"/>
      <sheetData sheetId="244" refreshError="1"/>
      <sheetData sheetId="245" refreshError="1"/>
      <sheetData sheetId="246" refreshError="1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>
        <row r="299">
          <cell r="E299">
            <v>295674</v>
          </cell>
        </row>
      </sheetData>
      <sheetData sheetId="340"/>
      <sheetData sheetId="341" refreshError="1"/>
      <sheetData sheetId="342" refreshError="1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/>
      <sheetData sheetId="351" refreshError="1"/>
      <sheetData sheetId="352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 refreshError="1"/>
      <sheetData sheetId="362"/>
      <sheetData sheetId="363"/>
      <sheetData sheetId="364" refreshError="1"/>
      <sheetData sheetId="365" refreshError="1"/>
      <sheetData sheetId="366"/>
      <sheetData sheetId="367" refreshError="1"/>
      <sheetData sheetId="368"/>
      <sheetData sheetId="369" refreshError="1"/>
      <sheetData sheetId="370"/>
      <sheetData sheetId="371"/>
      <sheetData sheetId="372"/>
      <sheetData sheetId="373" refreshError="1"/>
      <sheetData sheetId="374" refreshError="1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/>
      <sheetData sheetId="429"/>
      <sheetData sheetId="430"/>
      <sheetData sheetId="431"/>
      <sheetData sheetId="432"/>
      <sheetData sheetId="433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 refreshError="1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/>
      <sheetData sheetId="487"/>
      <sheetData sheetId="488" refreshError="1"/>
      <sheetData sheetId="489"/>
      <sheetData sheetId="490"/>
      <sheetData sheetId="491" refreshError="1"/>
      <sheetData sheetId="492" refreshError="1"/>
      <sheetData sheetId="493"/>
      <sheetData sheetId="494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/>
      <sheetData sheetId="523" refreshError="1"/>
      <sheetData sheetId="524" refreshError="1"/>
      <sheetData sheetId="525" refreshError="1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 refreshError="1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/>
      <sheetData sheetId="571" refreshError="1"/>
      <sheetData sheetId="572" refreshError="1"/>
      <sheetData sheetId="573"/>
      <sheetData sheetId="574" refreshError="1"/>
      <sheetData sheetId="575" refreshError="1"/>
      <sheetData sheetId="576" refreshError="1"/>
      <sheetData sheetId="577"/>
      <sheetData sheetId="578" refreshError="1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/>
      <sheetData sheetId="627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 refreshError="1"/>
      <sheetData sheetId="638" refreshError="1"/>
      <sheetData sheetId="639" refreshError="1"/>
      <sheetData sheetId="640" refreshError="1"/>
      <sheetData sheetId="641"/>
      <sheetData sheetId="642"/>
      <sheetData sheetId="643" refreshError="1"/>
      <sheetData sheetId="644" refreshError="1"/>
      <sheetData sheetId="645" refreshError="1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 refreshError="1"/>
      <sheetData sheetId="673" refreshError="1"/>
      <sheetData sheetId="674" refreshError="1"/>
      <sheetData sheetId="675" refreshError="1"/>
      <sheetData sheetId="676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/>
      <sheetData sheetId="727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/>
      <sheetData sheetId="764"/>
      <sheetData sheetId="765"/>
      <sheetData sheetId="766" refreshError="1"/>
      <sheetData sheetId="767" refreshError="1"/>
      <sheetData sheetId="768"/>
      <sheetData sheetId="769"/>
      <sheetData sheetId="770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/>
      <sheetData sheetId="779"/>
      <sheetData sheetId="780" refreshError="1"/>
      <sheetData sheetId="781" refreshError="1"/>
      <sheetData sheetId="782" refreshError="1"/>
      <sheetData sheetId="783"/>
      <sheetData sheetId="784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s EEFF"/>
      <sheetName val="Detalle"/>
      <sheetName val="Desembolsos 2010"/>
      <sheetName val="Contratos Préstamo"/>
      <sheetName val="Cálculo Interes Prestamos"/>
      <sheetName val="Cálculo Interes Sponsors"/>
      <sheetName val="Determinación de Límites"/>
      <sheetName val="XREF"/>
      <sheetName val="Tickmarks"/>
      <sheetName val="#REF"/>
    </sheetNames>
    <sheetDataSet>
      <sheetData sheetId="0" refreshError="1"/>
      <sheetData sheetId="1" refreshError="1">
        <row r="1">
          <cell r="A1" t="str">
            <v>Detalle de Deuda a Largo Plazo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 G. Adm."/>
      <sheetName val="Detalle G. Ventas"/>
      <sheetName val="Detalle de Interesés"/>
      <sheetName val="SUELDOS"/>
      <sheetName val="Selección "/>
      <sheetName val="APT Gastos"/>
      <sheetName val="Cálculo de Interesés"/>
      <sheetName val="XREF"/>
      <sheetName val="Tickmarks"/>
      <sheetName val="Detalle"/>
      <sheetName val="Nomina"/>
      <sheetName val="MMA"/>
      <sheetName val="Mayores"/>
      <sheetName val="Leasing"/>
      <sheetName val="Mov.Honor.Profe"/>
      <sheetName val="Variación Gtos "/>
      <sheetName val="MMA Final"/>
      <sheetName val="MMA Prel."/>
      <sheetName val="APT Final"/>
      <sheetName val="Selecc"/>
      <sheetName val="Determinación del Límite"/>
      <sheetName val="Tabla del Lími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a los Estados Financieros"/>
      <sheetName val="Avalúo"/>
      <sheetName val="Costo+Reexp"/>
      <sheetName val="Amort.Costo+Reexp"/>
      <sheetName val="Cálculo Amort."/>
      <sheetName val="Cálculo Reexp.Costo"/>
      <sheetName val="Cálculo Reexp Amort."/>
      <sheetName val="Inv. Plantas"/>
      <sheetName val="Bloques"/>
      <sheetName val="Mov. Plant.Proceso"/>
      <sheetName val="selec.adic.plantaciones"/>
      <sheetName val="Cálculo Global Plantac. Proceso"/>
      <sheetName val="Anál.Ad.plant.proc."/>
      <sheetName val="XREF"/>
      <sheetName val="Tickmarks"/>
      <sheetName val="Nota"/>
      <sheetName val="Nota P.Proceso"/>
      <sheetName val="Mov.Costo P.Proc."/>
      <sheetName val="Nota Plantaciones"/>
      <sheetName val="Mov.Costo y Reexp Plant."/>
      <sheetName val="Mov.Amort.Costo y Reexp Plant."/>
      <sheetName val="Cálculo Correción Costo Plant"/>
      <sheetName val="Cálculo Amortización"/>
      <sheetName val="Cálculo de  la Rexxp Amorti"/>
      <sheetName val="MMA"/>
      <sheetName val="Análisis adiciones"/>
      <sheetName val="Cálculo Amort. (fec.siemb.)"/>
      <sheetName val="Cálculo Reexp Amort. (fech.sie)"/>
      <sheetName val="CorrMonPlantProc"/>
      <sheetName val="selec.adic.plant.proc"/>
      <sheetName val="Detalle de ptas.adquir.{PPC}"/>
      <sheetName val="detalle M.O"/>
      <sheetName val="det.amort.acum."/>
      <sheetName val="distrib.ctosPPC"/>
      <sheetName val="Hoja2"/>
      <sheetName val="Mov."/>
      <sheetName val="Mov. Amort."/>
      <sheetName val="Cál. Amort."/>
      <sheetName val="Adic."/>
      <sheetName val="Detalle"/>
      <sheetName val=" Costo"/>
      <sheetName val="Amortización"/>
      <sheetName val="MMA "/>
      <sheetName val="APT Adiciones"/>
      <sheetName val="APT"/>
      <sheetName val="Resumen movimiento"/>
      <sheetName val="Pivot 2004"/>
      <sheetName val="Sheet1"/>
      <sheetName val="MMA Adciones"/>
      <sheetName val="Mayores"/>
      <sheetName val="NEC 17"/>
      <sheetName val="Costo"/>
      <sheetName val="Movimiento (Final)"/>
      <sheetName val="Movimiento (Preliminar)"/>
      <sheetName val="MMA(final)"/>
      <sheetName val="APT (Final)"/>
      <sheetName val="MMA(prel)"/>
      <sheetName val="Amort."/>
      <sheetName val="Cálc. Global"/>
      <sheetName val="Selección Adiciones"/>
      <sheetName val="Adiciones"/>
      <sheetName val="Mov.(Final)"/>
      <sheetName val="Mov.(Prel)"/>
      <sheetName val="Base de datos"/>
      <sheetName val="Selección"/>
      <sheetName val="Amort. Acumulada"/>
      <sheetName val="Cal. Amort."/>
      <sheetName val="Análisis"/>
      <sheetName val="Límite"/>
      <sheetName val="Récalculo Amortización"/>
      <sheetName val="Cal.Amort."/>
      <sheetName val="Análisis de Adic."/>
      <sheetName val="Análisis Importaciones"/>
      <sheetName val="Ventas"/>
      <sheetName val="Calc. Límite"/>
      <sheetName val="MMA Adiciones"/>
      <sheetName val="Mov.Costo"/>
      <sheetName val="MMA Adiciones (2)"/>
      <sheetName val="Análisis Imp. Tránsito"/>
      <sheetName val="Cál."/>
      <sheetName val="APT Adics."/>
      <sheetName val="Costo-Pivot"/>
      <sheetName val="MMA AM"/>
      <sheetName val="Nota EF"/>
      <sheetName val="Costo (dec)"/>
      <sheetName val="Amort (dec)"/>
      <sheetName val="Cal Gbl (dec)"/>
      <sheetName val="MMA (comp)"/>
      <sheetName val="MMA (reg)"/>
      <sheetName val="Anál Adi"/>
      <sheetName val="Errad"/>
      <sheetName val="Cost (ago)"/>
      <sheetName val="Amort (ago)"/>
      <sheetName val="MMA (ago)"/>
      <sheetName val="Anali. Adiciones"/>
      <sheetName val="#REF"/>
      <sheetName val="Mov. Costo"/>
      <sheetName val="Mov. Amortiz"/>
      <sheetName val="Amort"/>
      <sheetName val="Notas"/>
      <sheetName val="Mov.Plant"/>
      <sheetName val="Cálc. Deprec."/>
      <sheetName val="Mov Inversiones Agrìcolas"/>
      <sheetName val="Cómputo Amort."/>
      <sheetName val="APT Plantaciones"/>
      <sheetName val="Procedimientos"/>
      <sheetName val="Movimiento"/>
      <sheetName val="Calc. Global Depre."/>
      <sheetName val="Movimiento 1"/>
      <sheetName val="Movimiento 2"/>
      <sheetName val="Movimiento NEC"/>
      <sheetName val="Movimiento NI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 refreshError="1">
        <row r="46">
          <cell r="F46" t="str">
            <v>!</v>
          </cell>
        </row>
      </sheetData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 Ant comp terr"/>
      <sheetName val=" D.Antic Prov MP"/>
      <sheetName val="D.Antic gtos import &amp; exp"/>
      <sheetName val="D. impto anticip"/>
      <sheetName val="Tildes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erminación del Limite"/>
      <sheetName val="Hoja de datos"/>
      <sheetName val="Tabla del Limite"/>
      <sheetName val="Tickmarks"/>
      <sheetName val="Module1"/>
      <sheetName val="Worksheet in     Revisión Analí"/>
      <sheetName val="Busqueda Pasivos"/>
      <sheetName val="Fact. vs Rec."/>
      <sheetName val="Tango AN 31-12-02"/>
      <sheetName val="N° RCS"/>
      <sheetName val="Base Vs 30-11-01 (2)"/>
      <sheetName val="2.Préstamos 31.05.05"/>
      <sheetName val="3.Cargo a resultados Intereses"/>
      <sheetName val="XREF"/>
      <sheetName val="BANDA A"/>
      <sheetName val="BS"/>
      <sheetName val="MASL94"/>
      <sheetName val="Cotizaciones-Bancos"/>
      <sheetName val="balance 30112003"/>
      <sheetName val="F1-F2"/>
      <sheetName val="Detalle"/>
      <sheetName val="I-02.01"/>
      <sheetName val="template"/>
      <sheetName val="BASE TOTAL"/>
      <sheetName val="ctas_cri"/>
      <sheetName val="ctas axi"/>
      <sheetName val="Análisis de Ventas"/>
    </sheetNames>
    <sheetDataSet>
      <sheetData sheetId="0" refreshError="1">
        <row r="3">
          <cell r="B3">
            <v>93905</v>
          </cell>
        </row>
        <row r="4">
          <cell r="B4">
            <v>117103</v>
          </cell>
        </row>
        <row r="15">
          <cell r="B15" t="e">
            <v>#N/A</v>
          </cell>
        </row>
      </sheetData>
      <sheetData sheetId="1"/>
      <sheetData sheetId="2">
        <row r="6">
          <cell r="A6">
            <v>1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vto. Costo"/>
      <sheetName val="Mvto. Depreciación"/>
      <sheetName val="Gasto"/>
      <sheetName val="Detalle de Ventas"/>
      <sheetName val="MMA Prelim. Vts."/>
      <sheetName val="Análisis Vts."/>
      <sheetName val="Detalle adiciones"/>
      <sheetName val="MMA Prelim. Ad."/>
      <sheetName val="Análisis Ad."/>
      <sheetName val="IMP. TRAN"/>
      <sheetName val="MMA Preli"/>
      <sheetName val="APT Imp.Tran."/>
      <sheetName val="XREF"/>
      <sheetName val="Tickmarks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MA (Agosto04)"/>
      <sheetName val="APT(Agosto04)"/>
      <sheetName val="MMA (mayo04)"/>
      <sheetName val="APT (Mayo04)"/>
      <sheetName val="Op. Provisiones"/>
      <sheetName val="XREF"/>
      <sheetName val="Tickmarks"/>
      <sheetName val="MMA"/>
      <sheetName val="Hoja1"/>
      <sheetName val="Tildes"/>
      <sheetName val="Detalle 01 "/>
      <sheetName val="Revisión analítica gastos"/>
      <sheetName val="Gastos"/>
      <sheetName val="APT"/>
      <sheetName val="base de datos"/>
      <sheetName val="Detalle fin01"/>
      <sheetName val="Detalle gastos (2)"/>
      <sheetName val="Detalle gastos"/>
      <sheetName val="Costos fabric"/>
      <sheetName val="Depreciación"/>
      <sheetName val="Amortización"/>
      <sheetName val="Nómina Terceros"/>
      <sheetName val="MMA (2)"/>
      <sheetName val="Sheet1"/>
      <sheetName val="Tercerizados"/>
      <sheetName val="Análisis"/>
      <sheetName val="Honorarios 2001"/>
      <sheetName val="Honorarios 2000"/>
      <sheetName val="APT Gastos"/>
      <sheetName val="Marcas Estándar"/>
      <sheetName val="Nómin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MA Gastos"/>
      <sheetName val="APT Gastos"/>
      <sheetName val="MMA Subcont."/>
      <sheetName val="APT Subcont."/>
      <sheetName val="Indemnizaciones"/>
      <sheetName val="Arriendos"/>
      <sheetName val="Transf. Negocios"/>
      <sheetName val="Bonos"/>
      <sheetName val="Sueldos"/>
      <sheetName val="XREF"/>
      <sheetName val="Tickmark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Sheet2"/>
      <sheetName val="Sheet1"/>
      <sheetName val="1000 "/>
      <sheetName val="2000"/>
      <sheetName val="3000"/>
      <sheetName val="4000"/>
      <sheetName val="5000"/>
      <sheetName val="6000"/>
      <sheetName val="70081"/>
      <sheetName val="70082"/>
      <sheetName val="70083"/>
      <sheetName val="70084"/>
      <sheetName val="8000"/>
      <sheetName val="MMA"/>
      <sheetName val="APT"/>
      <sheetName val="Cálc. Glob. Arrend."/>
      <sheetName val="Cálculo Glb. Sueldo"/>
      <sheetName val="Protocolos"/>
      <sheetName val="Reemb. Grunenthal"/>
      <sheetName val="XREF"/>
      <sheetName val="Tickmarks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Gastos x CC"/>
      <sheetName val="MMA Final"/>
      <sheetName val="MMA Prel"/>
      <sheetName val="APT Gtos."/>
      <sheetName val="APT Transporte"/>
      <sheetName val="Regalías"/>
      <sheetName val="Benef. Sociales"/>
      <sheetName val="Arriendos"/>
      <sheetName val="Límite"/>
      <sheetName val="XREF"/>
      <sheetName val="Tickmarks"/>
      <sheetName val="Gtos apt final"/>
      <sheetName val="Servic. Externos"/>
      <sheetName val="Tercerización"/>
      <sheetName val="Saldos negativos"/>
      <sheetName val="APT Gastos"/>
      <sheetName val="Detalle de gastos "/>
      <sheetName val="mayores "/>
      <sheetName val="MMA"/>
      <sheetName val="Sueldos"/>
      <sheetName val="Análisis Remunerativo"/>
      <sheetName val="Comisiones"/>
      <sheetName val="Asesoria tecnica"/>
      <sheetName val="Honorarios"/>
      <sheetName val="Tercerizados"/>
      <sheetName val="Producipon Proye. Llama"/>
      <sheetName val="Cálculo de Honorarios"/>
      <sheetName val="Apt"/>
      <sheetName val="Seleccion Gastos"/>
      <sheetName val="Sheet1"/>
      <sheetName val="Nómina"/>
      <sheetName val="Gastos médicos"/>
      <sheetName val="Muestras Adiciones"/>
      <sheetName val="Muestra Gastos"/>
      <sheetName val="CMA H.CONTR."/>
      <sheetName val="Seleccion Honorarios Contractua"/>
      <sheetName val="CMA H.PROF."/>
      <sheetName val="Honorarios profesionales"/>
      <sheetName val="APT HONORARIOS"/>
      <sheetName val="Limite"/>
      <sheetName val="CMA Calculations"/>
      <sheetName val="CMA Selections"/>
      <sheetName val="#REF"/>
      <sheetName val="Calc. Global Sueldos "/>
      <sheetName val="MMA APT"/>
      <sheetName val="APT Suministros"/>
      <sheetName val="Límite Sueldos"/>
      <sheetName val="Indemnizaciones"/>
      <sheetName val="Gastos Operacion"/>
      <sheetName val="Dietas y Honorarios"/>
      <sheetName val="Impuestos y Contrib y Camara"/>
      <sheetName val="Funcionarios"/>
      <sheetName val="Beneficios Sociales"/>
      <sheetName val="Fletes de Distribución"/>
      <sheetName val="Fletes de Producto"/>
      <sheetName val="Muestra de Gastos"/>
      <sheetName val="Bajas"/>
      <sheetName val="Facturas Asistencia Técnica"/>
      <sheetName val="MMA (Dic)"/>
      <sheetName val="Análisis Rol de Pagos"/>
      <sheetName val="Horas Extras"/>
      <sheetName val="Asesoría Técnica"/>
      <sheetName val="Tercerización (Dic)"/>
      <sheetName val="Tercerizasción (Dic)"/>
      <sheetName val="Revisión Analítica"/>
      <sheetName val="Calc. Global Sueldos"/>
      <sheetName val="Determinación del Límite"/>
      <sheetName val="Tabla del Límite"/>
      <sheetName val="Detalle Gastos"/>
      <sheetName val="Costos producción"/>
      <sheetName val="Seguros"/>
      <sheetName val="Seguro Vida"/>
      <sheetName val="Rancho"/>
      <sheetName val="Sueldos y Beneficios"/>
      <sheetName val="MMA (F)"/>
      <sheetName val="Leasing"/>
      <sheetName val="Tercerizadora Nexos"/>
      <sheetName val="Tabla"/>
      <sheetName val="Detalle Gtos"/>
      <sheetName val="CG Sueldos"/>
      <sheetName val="Dietas"/>
      <sheetName val="Bono Navideño"/>
      <sheetName val="Arriendos y Cond."/>
      <sheetName val="Ints Proveedores"/>
      <sheetName val="Electricidad"/>
      <sheetName val="I. Municipales"/>
      <sheetName val="Comisiones TC"/>
      <sheetName val="Bonificaciones"/>
      <sheetName val="Calc. Límites"/>
      <sheetName val="Tabla Límites"/>
      <sheetName val="Guardianía"/>
      <sheetName val="MMA Garan. Banc."/>
      <sheetName val="Links"/>
      <sheetName val="Detalle Bon. y Publ."/>
      <sheetName val="Planillas IESS"/>
      <sheetName val="Gasto Publicidad"/>
      <sheetName val="T. Límite"/>
      <sheetName val="Tickmarks (2)"/>
      <sheetName val="MMA Premiliminar"/>
      <sheetName val="Reasignaciones"/>
      <sheetName val="Análisis Reasign"/>
      <sheetName val="Jubilación"/>
      <sheetName val="Cálculo de la Nómina"/>
      <sheetName val="MZO-04"/>
      <sheetName val="Análisis"/>
      <sheetName val="Com Tarj Créd"/>
      <sheetName val="Otros Impuestos"/>
      <sheetName val="Excess Calc"/>
      <sheetName val="TCalc"/>
      <sheetName val="Personas Jurídicas"/>
      <sheetName val="Nomina Terceros"/>
      <sheetName val="Cálculo Limite Nomina"/>
      <sheetName val="Fedepal"/>
      <sheetName val="Servicios Administrativos"/>
      <sheetName val="Asistencia Tec."/>
      <sheetName val="G. Administrativo"/>
      <sheetName val="Fedapal"/>
      <sheetName val="Ancupa"/>
      <sheetName val="Detalle por concepto"/>
      <sheetName val="Reembolsos "/>
      <sheetName val="Bonif. Voluntaria"/>
      <sheetName val="G. Representación"/>
      <sheetName val="Sueldos "/>
      <sheetName val="Telefonos Fijos"/>
      <sheetName val="Telefonía Celular"/>
      <sheetName val="Arriendo Mercantil"/>
      <sheetName val="Detalle a Final"/>
      <sheetName val="Cálculo Honorarios"/>
      <sheetName val="MMA (P)"/>
      <sheetName val="Leasing "/>
      <sheetName val="Detalle-Hugo"/>
      <sheetName val="Cálculo Sueldos"/>
      <sheetName val="Comisiones Tarj. Crédito"/>
      <sheetName val="Arriendos de concesiones"/>
      <sheetName val="SA Procedures"/>
      <sheetName val="Expectation"/>
      <sheetName val="Compañías Relacionadas"/>
      <sheetName val="Seleccion APT"/>
      <sheetName val="Reembolsos de gastos"/>
      <sheetName val="Gasto Fletes"/>
      <sheetName val="Ctas. Consumo Inv."/>
      <sheetName val="Nota EEFF"/>
      <sheetName val="Gastos ADC"/>
      <sheetName val="Corpaq"/>
      <sheetName val="O&amp;M Manag. Fee "/>
      <sheetName val="Contabilidad Asesoria Otros"/>
      <sheetName val="Notas EE.FF."/>
      <sheetName val="Gasto APT  Preliminar"/>
      <sheetName val="APT Mantenimiento Preliminar "/>
      <sheetName val="Seleccion gastos y costos"/>
      <sheetName val="Bonos"/>
      <sheetName val="Honorarios Admnistrativos"/>
      <sheetName val="Gastos APT"/>
      <sheetName val="Cálculo Global de Nómina"/>
      <sheetName val="Cálculo ley 42"/>
      <sheetName val="Cálculo de transporte"/>
      <sheetName val="Análisis Allocation"/>
      <sheetName val="CMA_Selections Allocation"/>
      <sheetName val="Cálculo allocation Jan-08"/>
      <sheetName val="Cálculo allocation Sep-08"/>
      <sheetName val="Analisis APT Allocation"/>
      <sheetName val="Reclasifi Allocation"/>
      <sheetName val="Ley 10 y 40"/>
      <sheetName val="Provisión Casa Matriz"/>
      <sheetName val="Analisis APT"/>
      <sheetName val="CMA_Calculations"/>
      <sheetName val="CMA_Selections"/>
      <sheetName val="Directorio"/>
      <sheetName val="MMA (APT Fianl)"/>
      <sheetName val="MMA (APT)"/>
      <sheetName val="Cálculo de sueldos final"/>
      <sheetName val="Cálculo Global Bonos"/>
      <sheetName val="CG Comisiones"/>
      <sheetName val="Cálculo Global Ryalties"/>
      <sheetName val="MMA Gastos APT"/>
      <sheetName val="Ley 42"/>
      <sheetName val="Mayor ley 42"/>
      <sheetName val="Límite Ley 42"/>
      <sheetName val="Transporte"/>
      <sheetName val="Límite Transp."/>
      <sheetName val="Imp. M Ambiente"/>
      <sheetName val="Límite M Ambiente"/>
      <sheetName val="Prov. C. Matriz"/>
      <sheetName val="Allocations"/>
      <sheetName val="Límite Allocations"/>
      <sheetName val="Sobrelevantes"/>
      <sheetName val="MMA Gastos APT (Final)"/>
      <sheetName val="CG Nómina"/>
      <sheetName val="Gtos No deducibles"/>
      <sheetName val="Bonificaciones y PT"/>
      <sheetName val="Entrega PT"/>
      <sheetName val="Corte Tardío "/>
      <sheetName val="Análisis de Tendencias"/>
      <sheetName val="Análisis APT"/>
      <sheetName val="Jub.Patr."/>
      <sheetName val="Costo de Garantía"/>
      <sheetName val="Asis. Tec."/>
      <sheetName val="Selec. APT"/>
      <sheetName val="An. APT"/>
      <sheetName val="Detalle "/>
      <sheetName val="Calculo Global Nomina"/>
      <sheetName val="Gastos APT "/>
      <sheetName val="Cálculo Global"/>
      <sheetName val="Impuestos"/>
      <sheetName val="Sheet2"/>
      <sheetName val="Resumen"/>
      <sheetName val="Detalles"/>
      <sheetName val="Análisis de pólizas"/>
      <sheetName val="Limites sueldos"/>
      <sheetName val="Nota a los EE FF"/>
      <sheetName val="Pruebas Sustantivas"/>
      <sheetName val="Selección empleados"/>
      <sheetName val="Motorizados"/>
      <sheetName val="Limpieza"/>
      <sheetName val="Marca"/>
      <sheetName val="Mantenimiento"/>
      <sheetName val="Vigilancia"/>
      <sheetName val="Det. cargas soc. y sueldos"/>
      <sheetName val="Límites Gasto Nómina"/>
      <sheetName val="Límites provisiones"/>
      <sheetName val="Calc. Arriendos"/>
      <sheetName val="Nómina "/>
      <sheetName val="Honorarios Prof."/>
      <sheetName val="Análisis Honor. Prof."/>
      <sheetName val="Pagos a terceros"/>
      <sheetName val="Arriendos Edif."/>
      <sheetName val="Análisis Arr. Edif."/>
      <sheetName val="Asistencia técnica"/>
      <sheetName val="Determinación de Límites"/>
      <sheetName val="Arriendo"/>
      <sheetName val="Cálculo Globla Nómina"/>
      <sheetName val="Nómina Final"/>
      <sheetName val="Servicio Relacionadas"/>
      <sheetName val="APT Final"/>
      <sheetName val="Cálculo Global Nómina"/>
      <sheetName val="Resumen_ROL"/>
      <sheetName val="Límites"/>
      <sheetName val="Procedimientos Gastos Operacion"/>
      <sheetName val="Calculo de Nomina"/>
      <sheetName val="Res. Confirmac."/>
      <sheetName val="Análsis Mensajes de Producción"/>
      <sheetName val="Nomina"/>
      <sheetName val="Serv Cobranza"/>
      <sheetName val="Analisis Serv. Cobranza"/>
      <sheetName val="Gtos. Operación"/>
      <sheetName val="Anális Leasing"/>
      <sheetName val="Jubilación patronal"/>
      <sheetName val="Publicidad "/>
      <sheetName val="Hoja de límites"/>
      <sheetName val="Servicios"/>
      <sheetName val="Serguros"/>
      <sheetName val="Arriendo de Equipos"/>
      <sheetName val="Servicios Especializados"/>
      <sheetName val="Servicios Computación"/>
      <sheetName val="Uso marcas"/>
      <sheetName val="Movimiento Arriendos"/>
      <sheetName val="Serv. Comercialización"/>
      <sheetName val="CálcGlobHonoPer"/>
      <sheetName val="APT de Gastos"/>
      <sheetName val="MMA APT Preliminar"/>
      <sheetName val="MMA Calculation Final"/>
      <sheetName val="MMA APT Final"/>
      <sheetName val="Ctas. signo. contra."/>
      <sheetName val="Cálculo Allocation Dic-08"/>
      <sheetName val="CMA Calculations Final"/>
      <sheetName val="CMA Selections Final"/>
      <sheetName val="MMA Gtos Oper APT"/>
      <sheetName val="Selecc Gtos Oper APT"/>
      <sheetName val="Análisis Gtos APT"/>
      <sheetName val="APT "/>
      <sheetName val="Servicios Adm"/>
      <sheetName val="Reembolsos"/>
      <sheetName val="Sheet3"/>
      <sheetName val="Subdetalles de gastos"/>
      <sheetName val="Selección bono retiro"/>
      <sheetName val="Cál Glob Nómina"/>
      <sheetName val="Muestras médicas"/>
      <sheetName val="CMA Calculations- R Factor"/>
      <sheetName val="APT liquidaciones"/>
      <sheetName val="Asesorías y Honorarios"/>
      <sheetName val="Otros benef."/>
      <sheetName val="CMA Calculations- R Factor (2)"/>
      <sheetName val="Gastos APT (Nov)"/>
      <sheetName val=" CG Nómina"/>
      <sheetName val="CG Prov. Beneficios Sociales"/>
      <sheetName val="CMA Calculations- Figure 54 (2)"/>
      <sheetName val="CMA Calculations- Figure 54 (3)"/>
      <sheetName val="Otros gtos adminis y vtas"/>
      <sheetName val="Comis"/>
      <sheetName val="Selección"/>
      <sheetName val="Arriend"/>
      <sheetName val="APT Costos"/>
      <sheetName val="Honorarios Terceros"/>
      <sheetName val="Hoja 1"/>
      <sheetName val="Cálculo Nómina"/>
      <sheetName val="&gt;Nómina"/>
      <sheetName val="Costo Sueldos"/>
      <sheetName val="Gastos"/>
      <sheetName val="TD"/>
      <sheetName val="COPIA"/>
      <sheetName val="Gastos No Deducibles"/>
      <sheetName val="Calculo Global de Nomina"/>
      <sheetName val="Glosas del SRI"/>
      <sheetName val="Cálculo Límites"/>
      <sheetName val="Cargos Legales"/>
      <sheetName val="Nota"/>
      <sheetName val="BONOS HPC"/>
      <sheetName val="Detalle de Faturación Allocati"/>
      <sheetName val="Recálculo Allocation"/>
      <sheetName val="Cálculo de Límites B.S. "/>
      <sheetName val="Cálculo de Límites"/>
      <sheetName val="Desahucio"/>
      <sheetName val="Detalle Provisión Vacaciones "/>
      <sheetName val="Detalle de Nómina"/>
      <sheetName val="Comisiones en ventas"/>
      <sheetName val="Cálculos Globales"/>
      <sheetName val="Serv Contrat"/>
      <sheetName val="Cómputo Beneficios Sociales"/>
      <sheetName val="Detalle (Final)"/>
      <sheetName val="Analisis de gastos 2003"/>
      <sheetName val="Leasing Computadora"/>
      <sheetName val="Cobertura de Seguros"/>
      <sheetName val="Sueldos 2003"/>
      <sheetName val="Detalle UIO"/>
      <sheetName val="Diciembre03"/>
      <sheetName val="Analisis de gastos"/>
      <sheetName val="Sueldos UIO"/>
      <sheetName val="Gto. Provisión"/>
      <sheetName val="Imp. y Contrib."/>
      <sheetName val="Detalle M.O."/>
      <sheetName val="APT - Gastos"/>
      <sheetName val="Benef.Soci Prel"/>
      <sheetName val="Det del Límite"/>
      <sheetName val="Análisis Sueldos"/>
      <sheetName val="Cal. Global Beneficios"/>
      <sheetName val="MMA Gastos"/>
      <sheetName val="Análisis Gastos"/>
      <sheetName val="Calc. Límite"/>
      <sheetName val=" Límite"/>
      <sheetName val="Detalle nómina"/>
      <sheetName val="Analisis Gastos"/>
      <sheetName val="Cálculo global sueldos y benef"/>
      <sheetName val="Detalle M.O.(F)"/>
      <sheetName val="CMA Calculations- Figure 5440.1"/>
      <sheetName val="Analisis de Otros Ing y Gtos"/>
      <sheetName val="Detalle M.O.(P)"/>
      <sheetName val="Detalle cons. Inv"/>
      <sheetName val="CMA Calculations(F)"/>
      <sheetName val="APT Preliminar"/>
      <sheetName val="CMA Calculations-(P)"/>
      <sheetName val="Gastos liquidación Haberes"/>
      <sheetName val="Cálculo Global sueldos y benef."/>
      <sheetName val="Detalle Nómina (F)"/>
      <sheetName val="Detalle nómina(P)"/>
      <sheetName val="Gatos APT Final"/>
      <sheetName val="Cálculo Global Base Datos"/>
      <sheetName val="Base de Datos"/>
      <sheetName val="Gatos APT Preliminar"/>
      <sheetName val="Cálculo Globla Nómina Final"/>
      <sheetName val="Honorarios Gerencia"/>
      <sheetName val="Cost-Sharing"/>
      <sheetName val="Leasing eliminar"/>
      <sheetName val="Detalle CNT"/>
      <sheetName val="Detalle CNT a Dec"/>
      <sheetName val="Application Information"/>
      <sheetName val="Record Layout for Filename"/>
      <sheetName val="CMA Reconciliation"/>
      <sheetName val="Selección ACL"/>
      <sheetName val="Selección APT"/>
      <sheetName val="Gastos de operación"/>
      <sheetName val="CMA Calculations APT"/>
      <sheetName val="CMA Selection APT"/>
      <sheetName val="Base de Subseleccion"/>
      <sheetName val="Subseleccion ACL"/>
      <sheetName val="Serv. Comerc."/>
      <sheetName val="Gasto Combustible."/>
      <sheetName val="C.Global Sueldos"/>
      <sheetName val="Otros C.Global Hono."/>
      <sheetName val="C.Global Hono."/>
      <sheetName val="Cál. Global Nómina"/>
      <sheetName val="APT Seguros"/>
      <sheetName val="Límites sugeridos"/>
      <sheetName val="Comisiones Tarjetas"/>
      <sheetName val="Cal. Global seguros"/>
      <sheetName val="Limites Sugeridos"/>
      <sheetName val="Arriendo-Vigilancia"/>
      <sheetName val="Transferencias"/>
      <sheetName val="Comisiones Tarjetas "/>
      <sheetName val="Análisis Transferencias"/>
      <sheetName val="Comisión Brokers"/>
      <sheetName val="Comisión Nova"/>
      <sheetName val="Contratos Nova"/>
      <sheetName val="Sueldos y Beneficios Sociales"/>
      <sheetName val="F_Dinamizacion"/>
      <sheetName val="Limites"/>
      <sheetName val="Contratos Casa Matriz"/>
      <sheetName val="NOTAS-borrar"/>
      <sheetName val="Transferencia de costos"/>
      <sheetName val="Selección de Cuentas"/>
      <sheetName val="Selección de Gastos"/>
      <sheetName val="Análisis Arriendos"/>
      <sheetName val="Publicidad"/>
      <sheetName val="APT Servicio Transp."/>
      <sheetName val="Servicios de Distribución"/>
      <sheetName val="Patentes"/>
      <sheetName val="Base"/>
      <sheetName val="Cálculo Nómina prel"/>
      <sheetName val="Cálculo Nómina final"/>
      <sheetName val="APT Gastos final"/>
      <sheetName val="Gasto Seg Vida"/>
      <sheetName val="Notas EF"/>
      <sheetName val="Gto fin"/>
      <sheetName val="Int ext"/>
      <sheetName val="Análisis Gastos APT"/>
      <sheetName val="Impuestos y Otros"/>
      <sheetName val="Imp. Rta. Ejec."/>
      <sheetName val="ISD"/>
      <sheetName val="Dif Camb"/>
      <sheetName val="Luz Eléctrica"/>
      <sheetName val="CORPORATIVO"/>
      <sheetName val="Validación Nómina"/>
      <sheetName val="Cálculos Globales."/>
      <sheetName val="APT Arriendos"/>
      <sheetName val="Otros Impuestos Sep"/>
      <sheetName val="Cálculo Global Sueldos"/>
      <sheetName val="Cálculo Global Beneficios Socia"/>
      <sheetName val="Limites  Nuevo Enfoque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 refreshError="1"/>
      <sheetData sheetId="112"/>
      <sheetData sheetId="113"/>
      <sheetData sheetId="114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 refreshError="1"/>
      <sheetData sheetId="134"/>
      <sheetData sheetId="135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/>
      <sheetData sheetId="249" refreshError="1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/>
      <sheetData sheetId="378"/>
      <sheetData sheetId="379"/>
      <sheetData sheetId="380" refreshError="1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/>
      <sheetData sheetId="423"/>
      <sheetData sheetId="424" refreshError="1"/>
      <sheetData sheetId="425" refreshError="1"/>
      <sheetData sheetId="426" refreshError="1"/>
      <sheetData sheetId="427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"/>
      <sheetName val="Resumen"/>
      <sheetName val="Detalle"/>
      <sheetName val="XREF"/>
      <sheetName val="Tickmarks"/>
      <sheetName val="Ant. Prov."/>
      <sheetName val="Dep. Garantía"/>
      <sheetName val="Ptmos y Anticpos"/>
      <sheetName val="Detalle de Otras CxC"/>
      <sheetName val="Pasajes Prepag."/>
      <sheetName val="Publ. Prep. "/>
      <sheetName val="Arriend.Prep."/>
      <sheetName val="Adecuac.Prepag"/>
      <sheetName val="Mantenim.Prepag"/>
      <sheetName val="Segur.Prepag"/>
      <sheetName val="Límite Seguros Análisis Final"/>
      <sheetName val="Análisis de Seguros (Final)"/>
      <sheetName val="Impuest.Prepag"/>
      <sheetName val="CxC Bancos"/>
      <sheetName val="Anti. Utilidades"/>
      <sheetName val="Ant. Viajes Locales UIO"/>
      <sheetName val="Seguros"/>
      <sheetName val="Cargos Diferidos"/>
      <sheetName val="Servicios Anticipados"/>
      <sheetName val="Anticipos"/>
      <sheetName val="Empleados"/>
      <sheetName val="#REF"/>
      <sheetName val="Detalle Ant. Viajes"/>
      <sheetName val="Análisis ant. viajes"/>
      <sheetName val="Detalle cta. 361090"/>
      <sheetName val="Emp Rel Dep "/>
      <sheetName val="Antic Prov Auxil"/>
      <sheetName val="Dep. Garantia"/>
      <sheetName val="CxC Prov Vtas Metro"/>
      <sheetName val="Análisis Prov.Metro"/>
      <sheetName val="Retenciones"/>
      <sheetName val="Mov Ret. Fuente"/>
      <sheetName val="Cálculo Seguros"/>
      <sheetName val="Préstamos"/>
      <sheetName val="Otras CxC"/>
      <sheetName val="MMA Anticipos"/>
      <sheetName val="MMM Otras CxC"/>
      <sheetName val="Anticipos y Otras CxC"/>
      <sheetName val="Anticipos a Proveedores"/>
      <sheetName val="Tarjetas de crédito"/>
      <sheetName val="MMA Tarjetas de Crédito"/>
      <sheetName val="Anticipo Sueldo"/>
      <sheetName val="Garantías"/>
      <sheetName val="APT Anticipo Prov"/>
      <sheetName val="Retención 1%"/>
      <sheetName val="MMA Final"/>
      <sheetName val="MMA TC"/>
      <sheetName val="Analisis TC"/>
      <sheetName val="Copagos"/>
      <sheetName val="Prést. Empleados"/>
      <sheetName val="Varios Final"/>
      <sheetName val="Ant. Proveed."/>
      <sheetName val="Reservas"/>
      <sheetName val="Nova"/>
      <sheetName val="Gtos. Diferidos"/>
      <sheetName val="Ant. Empleados"/>
      <sheetName val="Ch. Protestados Prelim"/>
      <sheetName val="Varios Prel."/>
      <sheetName val="Análisis MMA"/>
      <sheetName val="Otras Cuentas Varias"/>
      <sheetName val="Anticipo Proveedores "/>
      <sheetName val="Conclina"/>
      <sheetName val="Seguros "/>
      <sheetName val="Análisis Gtos. Anticipados"/>
      <sheetName val="Limites"/>
      <sheetName val="Cheques Protestados"/>
      <sheetName val="Anticipo Proveedores"/>
      <sheetName val="Alcance 31-Dec-08"/>
      <sheetName val="Seleccion Gtos anticipados"/>
      <sheetName val="Muestra"/>
      <sheetName val="Análisis de muestra"/>
      <sheetName val="Relacionadas"/>
      <sheetName val="Muestra Gastos Anticipados"/>
      <sheetName val="Reclamos"/>
      <sheetName val="Prestamos Empleados"/>
      <sheetName val="Muestra Prestamos Personal"/>
      <sheetName val="Cuentas x Cobrar Proveedores"/>
      <sheetName val="Préstamos de Fleteros"/>
      <sheetName val="Límite"/>
      <sheetName val="CMA Calculations"/>
      <sheetName val="CMA Selections"/>
      <sheetName val="Muestra de Gtos Anticipados"/>
      <sheetName val="APT Gastos anticipados"/>
      <sheetName val="Análisis APT"/>
      <sheetName val="Anticipos nacionales"/>
      <sheetName val="Anticipos Maderos"/>
      <sheetName val="Notas EEFF"/>
      <sheetName val="Licencia Windows"/>
      <sheetName val="Anticip.Proveedores"/>
      <sheetName val="Nota EF"/>
      <sheetName val="Movimiento retenciones Fuente"/>
      <sheetName val="Anticipos y otras cuentas Final"/>
      <sheetName val="APT G. Anticipados"/>
      <sheetName val="Emp Serv Prest"/>
      <sheetName val="Antic STIMM"/>
      <sheetName val="Antic Otecel"/>
      <sheetName val="Ctas Liq Antic Otecel"/>
      <sheetName val="CXC Bco Pich"/>
      <sheetName val="Analisis"/>
      <sheetName val="Otros Gtos.Anticp."/>
      <sheetName val="Prest.Emplead."/>
      <sheetName val="CxC Varios"/>
      <sheetName val="Otr.Deudores"/>
      <sheetName val="Sobres-anticip"/>
      <sheetName val="Tesoreria"/>
      <sheetName val="Ant. Transporte"/>
      <sheetName val="Ant. Prov. Fruto"/>
      <sheetName val="Ant. Nacional"/>
      <sheetName val="Ant.Contratistas"/>
      <sheetName val="Ant. Otros"/>
      <sheetName val="Movimiento Impuestos"/>
      <sheetName val="Nacionales"/>
      <sheetName val="Ant. Contratistas"/>
      <sheetName val="Ant. Importaciones"/>
      <sheetName val="Cx C Otros"/>
      <sheetName val="Proveedores"/>
      <sheetName val="Contratista"/>
      <sheetName val="Intercomp."/>
      <sheetName val="Varios"/>
      <sheetName val="Imptos."/>
      <sheetName val="Límite Final"/>
      <sheetName val="Ant. Empleados  "/>
      <sheetName val="Impuestos"/>
      <sheetName val="Impuesto"/>
      <sheetName val="CxC Empleados"/>
      <sheetName val="APT"/>
      <sheetName val="Programa"/>
      <sheetName val="Intercompanies"/>
      <sheetName val="Validación utilidades"/>
      <sheetName val="Anticipo Utilidades"/>
      <sheetName val="Intereses x Cobrar"/>
      <sheetName val="Procedimientos"/>
      <sheetName val="Seguros Final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 General"/>
      <sheetName val="Resultados"/>
      <sheetName val="XREF"/>
      <sheetName val="Tickmarks"/>
      <sheetName val="#REF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Nota EEFF"/>
      <sheetName val="Sueldos y Salarios"/>
      <sheetName val="Provsión"/>
      <sheetName val="Planillas"/>
      <sheetName val="APT Gastos"/>
      <sheetName val="Arriendos"/>
      <sheetName val="Límites"/>
      <sheetName val="XREF"/>
      <sheetName val="Tickmarks"/>
      <sheetName val="#REF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Base Star"/>
      <sheetName val="STAR 1"/>
      <sheetName val="XREF"/>
      <sheetName val="Tickmarks"/>
      <sheetName val="#REF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Conciliación a mayo"/>
      <sheetName val="Partidas Conciliatorias Mayo"/>
      <sheetName val="XREF"/>
      <sheetName val="Tickmarks"/>
      <sheetName val="Conciliación a septiembre"/>
      <sheetName val="Conciliacion Nov"/>
      <sheetName val="Partidas Conciliatorias a sep"/>
      <sheetName val="Partidas Conciliatorias Nov"/>
      <sheetName val="Análisis de Partidas Negativas"/>
      <sheetName val="#REF"/>
      <sheetName val="Conciliaciones"/>
      <sheetName val="Partidas Conciliatorias"/>
      <sheetName val="Local Invest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Resumen de Conciliaciones"/>
      <sheetName val="Partidas Conciliatorias"/>
      <sheetName val="Análisis Partidas que Restan"/>
      <sheetName val="Inversiones"/>
      <sheetName val="XREF"/>
      <sheetName val="Tickmarks"/>
      <sheetName val="#R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Resumen de Conciliaciones"/>
      <sheetName val="Análisis Partidas Conciliatoria"/>
      <sheetName val="Análisis Partidas que Restan"/>
      <sheetName val="Inversiones"/>
      <sheetName val="XREF"/>
      <sheetName val="Tickmarks"/>
      <sheetName val="#R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aria 2130"/>
      <sheetName val="2130-1 Conciliación Bancaria"/>
      <sheetName val="2130-2 Antiguedad Partidas"/>
      <sheetName val="2130-3 Firmantes Autorizados"/>
      <sheetName val="2130-4 Movimiento NC - CAT"/>
      <sheetName val="2130-5 Arqueo Cheques "/>
      <sheetName val="Tickmarks"/>
    </sheetNames>
    <sheetDataSet>
      <sheetData sheetId="0"/>
      <sheetData sheetId="1">
        <row r="34">
          <cell r="S34">
            <v>0</v>
          </cell>
        </row>
      </sheetData>
      <sheetData sheetId="2"/>
      <sheetData sheetId="3"/>
      <sheetData sheetId="4"/>
      <sheetData sheetId="5"/>
      <sheetData sheetId="6">
        <row r="3">
          <cell r="A3" t="str">
            <v>{a}</v>
          </cell>
        </row>
      </sheetData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Resumen de Conciliaciones"/>
      <sheetName val="Partidas Conciliatorias"/>
      <sheetName val="Análisis Partidas que Restan"/>
      <sheetName val="Inversiones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Detalle"/>
      <sheetName val="Mov. Gast dif 02-28-99"/>
      <sheetName val="M. Amortización"/>
      <sheetName val="Cálc.Glob.R.M.Costo"/>
      <sheetName val="Cálc.Glob.Amort."/>
      <sheetName val="Anál.Adic.C.D."/>
      <sheetName val="Cobertura de seguros"/>
      <sheetName val="SegurosFuncionarios"/>
      <sheetName val="Análisis ICC"/>
      <sheetName val="Prov.Act.Irrec."/>
      <sheetName val="GastosOtrosActivos"/>
      <sheetName val="AnálisisGtosInstal-Adecuac."/>
      <sheetName val="ResumenPruebasDepart."/>
      <sheetName val="XREF"/>
      <sheetName val="Tickmarks"/>
      <sheetName val="Proveed. Loc."/>
      <sheetName val="Detalle de Gas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A.fijo"/>
      <sheetName val="Movdep"/>
      <sheetName val="Caldep"/>
      <sheetName val="Bajas"/>
      <sheetName val="Conciliac"/>
      <sheetName val="XREF"/>
      <sheetName val="Tickmarks"/>
      <sheetName val="Detalle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Revisión Analítica"/>
      <sheetName val="MMA"/>
      <sheetName val="APT"/>
      <sheetName val="Calc. Global Sueldos"/>
      <sheetName val="Límite"/>
      <sheetName val="Tabla"/>
      <sheetName val="XREF"/>
      <sheetName val="Tickmarks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/>
      <sheetData sheetId="7"/>
      <sheetData sheetId="8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 Gral."/>
      <sheetName val="Resultados"/>
      <sheetName val="XREF"/>
      <sheetName val="Tickmarks"/>
    </sheetNames>
    <sheetDataSet>
      <sheetData sheetId="0"/>
      <sheetData sheetId="1"/>
      <sheetData sheetId="2"/>
      <sheetData sheetId="3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ov. Gastos dif."/>
      <sheetName val="M. Amortización"/>
      <sheetName val="Cálc.Glob.R.M.Costo"/>
      <sheetName val="Cálc.Glob.Amort."/>
      <sheetName val="Anál.Adic.C.D."/>
      <sheetName val="Cobertura de seguros"/>
      <sheetName val="Prov.Act.Irrec."/>
      <sheetName val="GastosOtrosActivos"/>
      <sheetName val="XREF"/>
      <sheetName val="Tickmarks"/>
      <sheetName val="Análisis IVA"/>
      <sheetName val="Anexo 7"/>
      <sheetName val="A"/>
      <sheetName val="D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"/>
      <sheetName val="Detalle"/>
      <sheetName val="Mov. Costo"/>
      <sheetName val="Mov. Depre"/>
      <sheetName val="Cálculo Global"/>
      <sheetName val="Saldos iniciales"/>
      <sheetName val="Análisis Adiciones"/>
      <sheetName val="Límites CGD"/>
      <sheetName val="XREF"/>
      <sheetName val="Tickmarks"/>
      <sheetName val="#REF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/>
      <sheetData sheetId="9"/>
      <sheetData sheetId="10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."/>
      <sheetName val="Balance Gral."/>
      <sheetName val="Est. Result."/>
      <sheetName val="Bancos"/>
      <sheetName val="Partidas Concil."/>
      <sheetName val="Activo Fijo"/>
      <sheetName val="Ejecución gastos"/>
      <sheetName val="APT"/>
      <sheetName val="Sueldos"/>
      <sheetName val="Transferencias"/>
      <sheetName val="Viáticos"/>
      <sheetName val="Secuencia"/>
      <sheetName val="Tickmarks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Asignaciones"/>
      <sheetName val="APT Gastos"/>
      <sheetName val="Sueldos"/>
      <sheetName val="Honorarios"/>
      <sheetName val="Marcas Estándar"/>
      <sheetName val="XREF"/>
      <sheetName val="#REF"/>
      <sheetName val="Gtos. Admin. y Vtas."/>
      <sheetName val="MMA APT"/>
      <sheetName val="Análisis APT"/>
      <sheetName val="Tickmarks"/>
      <sheetName val="Detalle APT"/>
      <sheetName val="Selección APT"/>
      <sheetName val="Detalle Cuentas Public."/>
      <sheetName val="Sheet13"/>
      <sheetName val="Sheet12"/>
      <sheetName val="Detalle Prove Public."/>
      <sheetName val="Análisis Selec."/>
      <sheetName val="Det. Gto.Ben.Soc"/>
      <sheetName val="Det.Gst.Fij"/>
      <sheetName val="Det.GstoInterc"/>
      <sheetName val="Gsto.Interc."/>
      <sheetName val="Det.Pub."/>
      <sheetName val="MMA"/>
      <sheetName val="Anál. APT"/>
      <sheetName val="Análisis Remun."/>
      <sheetName val="GASTOS"/>
      <sheetName val="Sheet1"/>
      <sheetName val="Roles sep-00"/>
      <sheetName val="Benefic. sep.00"/>
      <sheetName val=" Sue. y prov.-final"/>
      <sheetName val="CalcuGlobalSueldo"/>
      <sheetName val=" MMA"/>
      <sheetName val="Análisis"/>
      <sheetName val="Mayores MMA (PPC)"/>
      <sheetName val="Hoja1"/>
      <sheetName val="Cálculo Sueldos"/>
      <sheetName val="Detalle abierto"/>
      <sheetName val="APT"/>
      <sheetName val="Detalle (1)"/>
      <sheetName val="Tildes"/>
      <sheetName val="Detalle -Apt"/>
      <sheetName val="CG - sueldos"/>
      <sheetName val="CG - Arriendos"/>
      <sheetName val="Comisiones pagadas"/>
      <sheetName val="Selección"/>
      <sheetName val="Siniestros pagados"/>
      <sheetName val="MMA Siniestros"/>
      <sheetName val="Siniestros pagados final"/>
      <sheetName val="MMA Anulaciones"/>
      <sheetName val="Análisis Anulaciones"/>
      <sheetName val="Sheet1 (2)"/>
      <sheetName val="Detalle  (2)"/>
      <sheetName val="CALCULO GLOBAL SUELDOS"/>
      <sheetName val="An. remuner."/>
      <sheetName val="R. Analítica"/>
      <sheetName val="Cálculo del límite"/>
      <sheetName val="Tabla del Limite"/>
      <sheetName val="Cálc. Global Sueldos (2)"/>
      <sheetName val="Detalle de Gastos"/>
      <sheetName val="Cálc. Global Sueldos"/>
      <sheetName val="Selección de Gtos."/>
      <sheetName val="Analisis de gastos"/>
      <sheetName val="Det Gtos Oper"/>
      <sheetName val="Análisis Gastos Oper"/>
      <sheetName val="Análisis de Anul y Canc"/>
      <sheetName val="MMA final"/>
      <sheetName val="Anal Sin pagados"/>
      <sheetName val="det. brokers"/>
      <sheetName val="MMA BROKERS"/>
      <sheetName val="CMA_Calculations"/>
      <sheetName val="CMA_Selections"/>
      <sheetName val="Arriendos"/>
      <sheetName val="Nómina"/>
      <sheetName val="Beneficios Sociales"/>
      <sheetName val="C.G. Comisiones"/>
      <sheetName val="Indemnizaciones"/>
      <sheetName val="C.G.Vehículos F.Vtas."/>
      <sheetName val="C.G. Arriendos"/>
      <sheetName val="C.G Honorarios"/>
      <sheetName val="C.G. Bonificaciones"/>
      <sheetName val="Límite"/>
      <sheetName val="Tabla"/>
      <sheetName val="Detalle Gastos"/>
      <sheetName val="Otros Gastos"/>
      <sheetName val="Resumen Comisiones"/>
      <sheetName val="C. Tarjetas"/>
      <sheetName val="Technical SAG."/>
      <sheetName val="Mant. redes"/>
      <sheetName val="Comisiones-bonos-residuales"/>
      <sheetName val="roles de pago"/>
      <sheetName val="Sueldo final"/>
      <sheetName val="Sueldo prel"/>
      <sheetName val="Alimentación"/>
      <sheetName val="Liq. empleados"/>
      <sheetName val="1000 "/>
      <sheetName val="2000"/>
      <sheetName val="3000"/>
      <sheetName val="4000"/>
      <sheetName val="5000"/>
      <sheetName val="6000"/>
      <sheetName val="70081"/>
      <sheetName val="70082"/>
      <sheetName val="70083"/>
      <sheetName val="70084"/>
      <sheetName val="8000"/>
      <sheetName val="Análisis Gtos.Oper."/>
      <sheetName val="Resumen"/>
      <sheetName val="Selección "/>
      <sheetName val="Cál.Glob.Arrend."/>
      <sheetName val="Sueldos Final"/>
      <sheetName val="APT Gastos (Final)"/>
      <sheetName val="Honorarios profesionales"/>
      <sheetName val="Det. dep.prov.amort."/>
      <sheetName val="Gasto Arriendo"/>
      <sheetName val="Pivot"/>
      <sheetName val="Subdetalle Final"/>
      <sheetName val="Subdetalle Prel."/>
      <sheetName val="Planillas"/>
      <sheetName val="Hoja 1"/>
      <sheetName val="Cal. Glob. Sueldos"/>
      <sheetName val="Cálculo Varios"/>
      <sheetName val="Cálc.Serv.Distr."/>
      <sheetName val="Detalle Regalías"/>
      <sheetName val="Regalías"/>
      <sheetName val="Detalle Arriendos"/>
      <sheetName val="Patentes"/>
      <sheetName val="Publicidad"/>
      <sheetName val="APT Gtos."/>
      <sheetName val="Pivot "/>
      <sheetName val="APT MMA"/>
      <sheetName val="Determinación del Límite"/>
      <sheetName val="Tabla del Límite"/>
      <sheetName val="Join V."/>
      <sheetName val="EDS"/>
      <sheetName val="Guarantee"/>
      <sheetName val="Seguros"/>
      <sheetName val="MMA "/>
      <sheetName val="APT Dic"/>
      <sheetName val="Calc. Límites Dic-04"/>
      <sheetName val=" Límite"/>
      <sheetName val="Detalle G. Op."/>
      <sheetName val="Leasing"/>
      <sheetName val="E. Electrica"/>
      <sheetName val="Consumo E. Electrica"/>
      <sheetName val="Det  Benef.Soc."/>
      <sheetName val="Gasto Sueldos"/>
      <sheetName val="Cálculo Global Sueldos"/>
      <sheetName val="Revisión analítica gastos"/>
      <sheetName val="Gráfico"/>
      <sheetName val="MMA (2)"/>
      <sheetName val="Detalle de Gastos "/>
      <sheetName val="Detalle gastos administ"/>
      <sheetName val="Detalle gastos ventas"/>
      <sheetName val="Planillas IESS"/>
      <sheetName val="Cál.Glob. Sueldos"/>
      <sheetName val="Rol"/>
      <sheetName val="Análisis Honorarios"/>
      <sheetName val="Marcas"/>
      <sheetName val="MMA Gastos"/>
      <sheetName val="Detalle de Sueldos y Salarios"/>
      <sheetName val="Trabajo Prestado"/>
      <sheetName val="Calc. Límites"/>
      <sheetName val="Persoserv"/>
      <sheetName val="Guarantee (Sep)"/>
      <sheetName val="Arriendo"/>
      <sheetName val="Remuneraciones"/>
      <sheetName val="Resumen Planillas"/>
      <sheetName val="Cuadro Comparativo"/>
      <sheetName val="Asist. Técnica"/>
      <sheetName val="Comisiones del Ext."/>
      <sheetName val="Gtos. Ventas y Administración"/>
      <sheetName val="Cálculo del umbral"/>
      <sheetName val="C. Globla Primas 2003"/>
      <sheetName val="Cálculos Globales"/>
      <sheetName val="Calc. Límites "/>
      <sheetName val="Fact.Que No Cumplen Reg. Fact."/>
      <sheetName val="C. Global Mov. y B. Resp."/>
      <sheetName val="Marca"/>
      <sheetName val="Detalle servicios especial"/>
      <sheetName val="Aportes a la AGD"/>
      <sheetName val="Aporte SIB"/>
      <sheetName val="Servipagos"/>
      <sheetName val="Tevcol"/>
      <sheetName val="Detalle 2004"/>
      <sheetName val="Variaciones Jul-Sept04"/>
      <sheetName val="MMA Sept04"/>
      <sheetName val="APT Sept04"/>
      <sheetName val="Sueldos y benef Adm"/>
      <sheetName val="Suel y Benf Estac"/>
      <sheetName val="Alquiler"/>
      <sheetName val="Depreciación FASB52"/>
      <sheetName val="MMA (var)"/>
      <sheetName val="Base"/>
      <sheetName val="MMAAPT"/>
      <sheetName val="Gtos."/>
      <sheetName val="Seleccionados"/>
      <sheetName val="Rol ejecut."/>
      <sheetName val="Indemnización"/>
      <sheetName val="Otros Serv."/>
      <sheetName val="Pivot (dic)"/>
      <sheetName val="Pivot (sept)"/>
      <sheetName val="Revisión analítica"/>
      <sheetName val="Seguro Médico"/>
      <sheetName val="Sueldos Corp."/>
      <sheetName val="MMA Prelim"/>
      <sheetName val="Interhealth"/>
      <sheetName val="Brokers"/>
      <sheetName val="Detalle Gastos APT"/>
      <sheetName val="Detalle Gastos Vtas"/>
      <sheetName val="Análisis Gastos APT"/>
      <sheetName val="C. Global Gto.Coms."/>
      <sheetName val="APTGastos"/>
      <sheetName val="Gasstos mensuales"/>
      <sheetName val="MMA Jul-Dic"/>
      <sheetName val="APT Gastos "/>
      <sheetName val="Cálculo arrendamiento"/>
      <sheetName val=" MMA Sept-04"/>
      <sheetName val="APT Sept-04"/>
      <sheetName val="Cal.Sueldos"/>
      <sheetName val="Cálculo Glob. Arriendos"/>
      <sheetName val="Análisis Gastos"/>
      <sheetName val="Imptos y Contrib."/>
      <sheetName val="Transp. Mercaderia"/>
      <sheetName val="Vtas Diners"/>
      <sheetName val="Recuper.Gtos"/>
      <sheetName val="Tabla Límites"/>
      <sheetName val="Detalle Gastos Opert."/>
      <sheetName val="Impuestos y Contribuciones"/>
      <sheetName val="Anal.Remun."/>
      <sheetName val="Tickmarks (2)"/>
      <sheetName val="Calc. Global Sueldos"/>
      <sheetName val="Arrendamiento"/>
      <sheetName val="Cálc. Glob. Arrend."/>
      <sheetName val="MMAGastos"/>
      <sheetName val="límite "/>
      <sheetName val="Revision Analitica"/>
      <sheetName val="Gastos por CC"/>
      <sheetName val="Rev. Analítica"/>
      <sheetName val="Límites Prel"/>
      <sheetName val="Límites Dic"/>
      <sheetName val="Límites"/>
      <sheetName val="Cálc. Glob. Arriendos"/>
      <sheetName val="Cálc. Glob. Guardianía"/>
      <sheetName val="Cálc. Glob. Alimentación"/>
      <sheetName val="Análisis de Gastos APT"/>
      <sheetName val="Servicios Corporativos"/>
      <sheetName val="Prorrateo"/>
      <sheetName val="Análisis Prorrateo"/>
      <sheetName val="MMA Prel"/>
      <sheetName val="Límite Ap.IESS"/>
      <sheetName val="Aj Sueldos"/>
      <sheetName val="Ben Soc"/>
      <sheetName val="Limite Arr"/>
      <sheetName val="Pivot (Fin)"/>
      <sheetName val="Pivot (Prel)"/>
      <sheetName val="MMA (APT)"/>
      <sheetName val="Asesorías"/>
      <sheetName val="Base Costos y Gastos"/>
      <sheetName val="OPERACIONALES"/>
      <sheetName val="Pivot (Dic05)"/>
      <sheetName val="Pivot(Sep05)"/>
      <sheetName val="Rev. Análitica"/>
      <sheetName val="Cal.Glob.Corp"/>
      <sheetName val="Cal. Glob. Arriend"/>
      <sheetName val="Seg. Médico"/>
      <sheetName val="Sueldos Laminado (2002)"/>
      <sheetName val="Local 101"/>
      <sheetName val="Compra de Inmodiamante."/>
      <sheetName val="Aportes AGD"/>
      <sheetName val="Contrib SBS"/>
      <sheetName val="MMA Sep-05"/>
      <sheetName val="EBITDA"/>
      <sheetName val="Remuneración Variable"/>
      <sheetName val="Gasto Vehículos"/>
      <sheetName val="Gasto Km"/>
      <sheetName val="Km Fact"/>
      <sheetName val="CCostos"/>
      <sheetName val="Cálculo Nómina"/>
      <sheetName val="MMA Junio"/>
      <sheetName val="CG Honorarios"/>
      <sheetName val="CG Seguridad"/>
      <sheetName val="CG Arriendos"/>
      <sheetName val="Sueldos y B. Soc."/>
      <sheetName val="Beneficios"/>
      <sheetName val="Servicios Profesionales"/>
      <sheetName val="RR HH"/>
      <sheetName val="Limpieza"/>
      <sheetName val="Mant y Rep"/>
      <sheetName val="Contratos"/>
      <sheetName val="Salas VIP"/>
      <sheetName val="Suministros"/>
      <sheetName val="Gastos generales"/>
      <sheetName val="Tercerización"/>
      <sheetName val="Detalle Nov-03"/>
      <sheetName val="Calculo Sueldos"/>
      <sheetName val="Calculo Mant. SPIDER"/>
      <sheetName val="C.G. Sueldos"/>
      <sheetName val="C.G. Honorarios"/>
      <sheetName val="C.G. Arriendos y Vigilancia"/>
      <sheetName val="MMA Dic"/>
      <sheetName val="MMA Sept"/>
      <sheetName val="No Operacionales"/>
      <sheetName val="Anal Sin pag sept 02"/>
      <sheetName val="Análisis gastos adminis."/>
      <sheetName val="Anal Sin pag junio 02"/>
      <sheetName val="Det. de Gastos "/>
      <sheetName val="PPC-1100103"/>
      <sheetName val="Threshold Calc"/>
      <sheetName val="Det Ctas Benef Soc"/>
      <sheetName val="S5210"/>
      <sheetName val="PPC-S5210"/>
      <sheetName val="Gtos Manufactura"/>
      <sheetName val="Reaseg Cedidos"/>
      <sheetName val="Siniestros Vida"/>
      <sheetName val="Siniestros Generales"/>
      <sheetName val="Comisiones (sep)"/>
      <sheetName val="Análisis Comisiones"/>
      <sheetName val="No proporcionales"/>
      <sheetName val="Comisiones"/>
      <sheetName val="Reaseguros Cedidos"/>
      <sheetName val="Serv. Administrativos"/>
      <sheetName val="MMA Conserv y Mant"/>
      <sheetName val="Ansalisis Conserv y Mant"/>
      <sheetName val="Comisión Brokers"/>
      <sheetName val="Comisión Nova"/>
      <sheetName val="MMA Prelim."/>
      <sheetName val="APT Comisiones"/>
      <sheetName val="MMA Sep"/>
      <sheetName val="Sueldos-Benef Cía"/>
      <sheetName val="Sueldos-Benf. Estaciones"/>
      <sheetName val="Movimiento Benf. Soc"/>
      <sheetName val="CG Vigilancia"/>
      <sheetName val="Sobresueldos"/>
      <sheetName val="Base de Datos"/>
      <sheetName val="Análisis Base de datos"/>
      <sheetName val="MMA Preliminar"/>
      <sheetName val="Asesorías y Honorarios"/>
      <sheetName val="Benef. Sociales"/>
      <sheetName val="MMA Gastos Final"/>
      <sheetName val="MMA Gastos Prelim."/>
      <sheetName val="Detalle Convenios"/>
      <sheetName val="Análisis de Comisiones"/>
      <sheetName val="Cobertura Seguros"/>
      <sheetName val="MMA Comisiones"/>
      <sheetName val="Análisis APT Gastos"/>
      <sheetName val="Análisis Siniestros"/>
      <sheetName val="Cobertura Exterior"/>
      <sheetName val="Detalle Siniestros"/>
      <sheetName val="Siniestros Ajustes Manuales"/>
      <sheetName val="Analisis Siniestros"/>
      <sheetName val="Siniestros Anulados"/>
      <sheetName val="Gs. Adm."/>
      <sheetName val="Gs. Ventas"/>
      <sheetName val="Calc. Gl. Honorarios"/>
      <sheetName val="Cálculo global"/>
      <sheetName val="Análisis de honorarios"/>
      <sheetName val="Empleados y Funcionarios"/>
      <sheetName val="MMA Comisiones Prelim."/>
      <sheetName val="MMA Liq. Rescates"/>
      <sheetName val="Remuneraciones "/>
      <sheetName val="Otros pagos"/>
      <sheetName val="Personal"/>
      <sheetName val="Total"/>
      <sheetName val="2002 "/>
      <sheetName val="2002"/>
      <sheetName val="2001 2002"/>
      <sheetName val="2001.2002"/>
      <sheetName val="Selección resumen"/>
      <sheetName val="Testing"/>
      <sheetName val="MMA Pagos"/>
      <sheetName val="APT Pagos"/>
      <sheetName val="Análisis saldos negativos"/>
      <sheetName val="Detalle Final"/>
      <sheetName val="MMA APT-Hugo"/>
      <sheetName val="Detalle-Hugo"/>
      <sheetName val="Sueldos (prel.)"/>
      <sheetName val="APT de todo"/>
      <sheetName val="MMA APT (2)"/>
      <sheetName val="Detalle (2)- prueba"/>
      <sheetName val="APT "/>
      <sheetName val="Reembolso Gstos"/>
      <sheetName val="Tarjeta Crédito"/>
      <sheetName val="Resnet"/>
      <sheetName val="Detalle-Preliminar"/>
      <sheetName val="Límites "/>
      <sheetName val="MMA - Final"/>
      <sheetName val="APT - Gastos"/>
      <sheetName val="Detalle "/>
      <sheetName val="CMA_SampleDesign"/>
      <sheetName val="DialogInsert"/>
      <sheetName val="Calculo S.B."/>
      <sheetName val="APT Final"/>
      <sheetName val="APT Preliminar"/>
      <sheetName val="Sueldos "/>
      <sheetName val="Límite Honorarios"/>
      <sheetName val="Excess Calc"/>
      <sheetName val="Pivot centro de Costo"/>
      <sheetName val="Base Pivot"/>
      <sheetName val="Agrupación"/>
      <sheetName val="Tercerizadoras"/>
      <sheetName val="Trabajo de Terceros"/>
      <sheetName val="APT Prelim"/>
      <sheetName val="Hoja de Datos"/>
      <sheetName val="Bienes y Serv. Cons"/>
      <sheetName val="Asistencia Técnica"/>
      <sheetName val="Fedapal"/>
      <sheetName val="Ancupa"/>
      <sheetName val="Calc. Límite"/>
      <sheetName val="Análisis de Adic."/>
      <sheetName val="Primas"/>
      <sheetName val="Analisis de Roles"/>
      <sheetName val="SA Procedures"/>
      <sheetName val="Expectation"/>
      <sheetName val="Explanation"/>
      <sheetName val="Análisis de Nómina"/>
      <sheetName val="Gastos Apt"/>
      <sheetName val="Serv. Comercialización"/>
      <sheetName val="Imp. salida Div."/>
      <sheetName val="Cal Global Sueldos"/>
      <sheetName val="Cálculo Tercerizadora"/>
      <sheetName val="Rotators"/>
      <sheetName val="MMA Rotators"/>
      <sheetName val="Análisis Rotators"/>
      <sheetName val="Expatriados y Consultores"/>
      <sheetName val="Facturas Exp y Consult"/>
      <sheetName val="Nota EEFF"/>
      <sheetName val="Cálculo global de Nómina"/>
      <sheetName val="Limites"/>
      <sheetName val="Analisis Gastos APT"/>
      <sheetName val="Honorarios 2"/>
      <sheetName val="Provisiones"/>
      <sheetName val="Asesorías relacionadas"/>
      <sheetName val="Hon"/>
      <sheetName val="Sueldos y Salarios"/>
      <sheetName val="Detalle de Primas"/>
      <sheetName val="Honorarios (2)"/>
      <sheetName val="APT de Gastos"/>
      <sheetName val="Asesoría Técnica"/>
      <sheetName val="Arriendos "/>
      <sheetName val="Detalle."/>
      <sheetName val="Incentivos sobre resultados"/>
      <sheetName val="APT Iguals"/>
      <sheetName val="APT Gastos Fin"/>
      <sheetName val="Sueldos y Benef."/>
      <sheetName val="Limite Benef."/>
      <sheetName val="Transporte de Quimicos"/>
      <sheetName val="Servicios Ocasionales"/>
      <sheetName val="Cálculo Global de Sueldos"/>
      <sheetName val="APT Serv Profesionales"/>
      <sheetName val="Seguros "/>
      <sheetName val="Contingencias"/>
      <sheetName val="Detalle Contingencia Inundación"/>
      <sheetName val="Gastos según CC"/>
      <sheetName val="Cuentas con Saldos Contrarios"/>
      <sheetName val="Sueldos Temporales"/>
      <sheetName val="513551"/>
      <sheetName val="Gastos de Exportación"/>
      <sheetName val="Educación Médica Continua"/>
      <sheetName val="CMA Calculations"/>
      <sheetName val="Analisis Gastos"/>
      <sheetName val="Arriendos leasing"/>
      <sheetName val="Detalle Desembolsos por Capitul"/>
      <sheetName val="Comisión Supermaxi"/>
      <sheetName val="APT Fin"/>
      <sheetName val="Nota"/>
      <sheetName val="Bonificaciones"/>
      <sheetName val="Limite Nómina"/>
      <sheetName val="Limite Comisiones"/>
      <sheetName val="Imp. Contribuciones"/>
      <sheetName val="Análisis APT Prel."/>
      <sheetName val="Selección Gastos"/>
      <sheetName val="Muestra Gastos"/>
      <sheetName val="Servicios básicos"/>
      <sheetName val="APT Gasto"/>
      <sheetName val="Honorarios "/>
      <sheetName val="APT Gastos Operacionales"/>
      <sheetName val="APT terciarizados"/>
      <sheetName val="Comisión Schlumberger"/>
      <sheetName val="Expats"/>
      <sheetName val="APT Ingenieros"/>
      <sheetName val="MMA (f)"/>
      <sheetName val="MMA(p)"/>
      <sheetName val="MMA 2004"/>
      <sheetName val="Prov. Publicidad P&amp;A"/>
      <sheetName val="Gto Interes Fideicomisos"/>
      <sheetName val="Fee Casa Matriz"/>
      <sheetName val="Facturas Casa Matriz"/>
      <sheetName val="Clasificación Gtos. 31-Dec-08"/>
      <sheetName val="Clasificación Gtos. 31-Oc-08"/>
      <sheetName val="Comisiones Dic"/>
      <sheetName val="Contratos (reaseg no proporc)"/>
      <sheetName val="ANALISIS GTS."/>
      <sheetName val="CG Asesoria"/>
      <sheetName val="Comisiones Exterior"/>
      <sheetName val="Aporte Patronal"/>
      <sheetName val="Intereses"/>
      <sheetName val="Seguridad y Vigilancia"/>
      <sheetName val="Arrendamientos"/>
      <sheetName val="Otros Impuestos"/>
      <sheetName val="Gastos No Deducibles"/>
      <sheetName val="CMA Selections"/>
      <sheetName val="Análisis de APT"/>
      <sheetName val="Nota EF"/>
      <sheetName val="pruebas sustantivas"/>
      <sheetName val="Expectativa de gastos"/>
      <sheetName val="APT Prel"/>
      <sheetName val="Arriendo Inm"/>
      <sheetName val="Guardiania"/>
      <sheetName val="Transporte Mercaderías"/>
      <sheetName val="Determinación de Límites"/>
      <sheetName val="Gtos. Bancarios"/>
      <sheetName val="Límite Sueldos"/>
      <sheetName val="Reembolso gastos"/>
      <sheetName val="Nómina "/>
      <sheetName val="Recalculo de Nómina "/>
      <sheetName val="MMA Gastos Operacionales"/>
      <sheetName val="Guardianía"/>
      <sheetName val="Tab"/>
      <sheetName val="APT Gasto Arriendo"/>
      <sheetName val="Cálculo Comisión Schlumberger"/>
      <sheetName val="APT Rotators"/>
      <sheetName val="APT Expats"/>
      <sheetName val="Procedimiento"/>
      <sheetName val="Nómina Final"/>
      <sheetName val=" APT"/>
      <sheetName val="Servicios"/>
      <sheetName val="Bono Especial"/>
      <sheetName val="Fletes"/>
      <sheetName val="Límites Nómina Final"/>
      <sheetName val="Límites Nómina"/>
      <sheetName val="Prov. Incobrables"/>
      <sheetName val="CMA Calculations (2)"/>
      <sheetName val="Sueldos y Beneficios"/>
      <sheetName val="Notas EEFF"/>
      <sheetName val="Quito"/>
      <sheetName val="Guayaquil"/>
      <sheetName val="Gatos Sini- Reclamos "/>
      <sheetName val="P.1. Detalle"/>
      <sheetName val="P.2. APT Gastos (F)"/>
      <sheetName val="P.3. Analisis de Donaciones (F)"/>
      <sheetName val="P.4. Análisis Nómina (F)"/>
      <sheetName val="Arrendamiento Mercantil"/>
      <sheetName val="Límite cp"/>
      <sheetName val="Calculo Global de Sueldos"/>
      <sheetName val="Cálculo Arriendos"/>
      <sheetName val="Admin Base datos"/>
      <sheetName val="CálculoGlob. Consultores"/>
      <sheetName val="Cálculo Global Expatriados"/>
      <sheetName val="Cálculo Global Arriendos"/>
      <sheetName val="Gastos ADC"/>
      <sheetName val="Conta, Asesor y Otros"/>
      <sheetName val="Provisión Corpaq"/>
      <sheetName val="O&amp;M Manag. Fee Prel."/>
      <sheetName val="O&amp;M Manag. Fee Final"/>
      <sheetName val="Servipago"/>
      <sheetName val="O&amp;M Manag. Fee"/>
      <sheetName val="APT Gastos ADC"/>
      <sheetName val="Serv. contables y otros"/>
      <sheetName val="O&amp;M Manag Fee"/>
      <sheetName val="Serv.Contables y Otros"/>
      <sheetName val="O&amp;M Management Fee"/>
      <sheetName val="Nota a los EEFF"/>
      <sheetName val="APT Gastos Prel"/>
      <sheetName val="Contab, Ases, Otros "/>
      <sheetName val="O&amp;M Exp.Onshore"/>
      <sheetName val="O&amp;M Exp.Offshore"/>
      <sheetName val="Corpaq Concession Fee"/>
      <sheetName val="O&amp;M Manag. Fee  Sept"/>
      <sheetName val="Calculo Global Honorarios"/>
      <sheetName val="O&amp;M Expenses Onshore"/>
      <sheetName val="O&amp;M Expenses Offshore"/>
      <sheetName val="O&amp;M Managt Fee Jul"/>
      <sheetName val="Servicios contables y otros"/>
      <sheetName val="Nomina"/>
      <sheetName val="Selección Empleados"/>
      <sheetName val="Cálculo  Arriendos"/>
      <sheetName val="Management"/>
      <sheetName val="Impuestos"/>
      <sheetName val="F316"/>
      <sheetName val="Salarios y beneficios sociales"/>
      <sheetName val="Límites Final"/>
      <sheetName val="Detalle Costos"/>
      <sheetName val="Límite am"/>
      <sheetName val="Gastos Generales "/>
      <sheetName val="Selección MMA"/>
      <sheetName val="Seguridad"/>
      <sheetName val="Internet"/>
      <sheetName val="G. Administr. Interfondos"/>
      <sheetName val="Gtos. Operación"/>
      <sheetName val="Suedos Dic'06"/>
      <sheetName val="Sueldos Aug'06"/>
      <sheetName val="Sueldos Jul'06"/>
      <sheetName val="Honorarios Dic'06"/>
      <sheetName val="Honorarios Aug'06"/>
      <sheetName val="Honorarios Jul'06"/>
      <sheetName val="MMA Serv. Varios"/>
      <sheetName val="Serv. Varios"/>
      <sheetName val="Contratos Dic'06"/>
      <sheetName val="Contratos Aug'06"/>
      <sheetName val="Contratos Jul'06"/>
      <sheetName val="MMA Desembolsos Contr."/>
      <sheetName val="An. Desembolsos Contr."/>
      <sheetName val="Subselección APT"/>
      <sheetName val="CalcArriend"/>
      <sheetName val="Subselección Apt Final"/>
      <sheetName val="Subselección APT Preliminar"/>
      <sheetName val="Análisis de liquidaciones"/>
      <sheetName val="Analisis Gastos APT "/>
      <sheetName val="Analisis de Honorarios"/>
      <sheetName val="CMA Calculations (Final)"/>
      <sheetName val="CMA Calculations (Preli)"/>
      <sheetName val="Límites Provisiones"/>
      <sheetName val="Nomina Final"/>
      <sheetName val="Courier"/>
      <sheetName val="Recálculo Nómina"/>
      <sheetName val="Nómina Prelim"/>
      <sheetName val="APT Prel_Final"/>
      <sheetName val="Nómina Ec"/>
      <sheetName val="Nómina 2011 (2)"/>
      <sheetName val="Honorarios Prof YP"/>
      <sheetName val="Honorarios Prof. Gerenciales"/>
      <sheetName val="Arriendos YP"/>
      <sheetName val="Partidas a analizar"/>
      <sheetName val="Nomina (2)"/>
      <sheetName val="Conclusión"/>
      <sheetName val="Serv. Comerc."/>
      <sheetName val="Seguros Prelim"/>
      <sheetName val="Seguros Fin"/>
      <sheetName val="CG Nómina"/>
      <sheetName val="Revisión Otros Gastos"/>
      <sheetName val="Análisis de Variaciones"/>
      <sheetName val="Análisis ISD"/>
      <sheetName val="Procedimientos"/>
      <sheetName val="Vigilancia APT"/>
      <sheetName val="Servicios Administrativos"/>
      <sheetName val="Alquiler Veh"/>
      <sheetName val="Alquiler Inmueble"/>
      <sheetName val="Serv. Tecn. y Arrendm."/>
      <sheetName val="Cálculo selección de APT"/>
      <sheetName val="Analisis APT"/>
      <sheetName val="Variación de Gastos"/>
      <sheetName val="Honorarios APT"/>
      <sheetName val="Nómina Quito"/>
      <sheetName val="Nómina Guayaquil"/>
      <sheetName val="Calculo Global Nomina"/>
      <sheetName val="Renta"/>
      <sheetName val="Cálculo de benficios sociales"/>
      <sheetName val="Análisis Nómina"/>
      <sheetName val="A. Servicios Corporativos"/>
      <sheetName val="Analsis Gastos APT"/>
      <sheetName val="Benef. Sociales "/>
      <sheetName val="Fact Allocations Dic 08"/>
      <sheetName val="Facturación Allocations"/>
      <sheetName val="Allocations"/>
      <sheetName val="Transporte OCP"/>
      <sheetName val="Corte Tardío"/>
      <sheetName val="Ley Medio Ambiente"/>
      <sheetName val="MMA Select Gastos APT"/>
      <sheetName val="08"/>
      <sheetName val="Análisis Arriendos APT"/>
      <sheetName val="Análisis Honorarios APT "/>
      <sheetName val="Cálculo Global Beneficios Socia"/>
      <sheetName val="Resumen por cuenta"/>
      <sheetName val="Cont. Selec"/>
      <sheetName val="Vacaciones"/>
      <sheetName val="Gasto Petroecuador"/>
      <sheetName val="Selección Gastos APT Final"/>
      <sheetName val="Límite de Nómina"/>
      <sheetName val="Límite de Nóminca"/>
      <sheetName val="Gto arriendo Vehi Ofic"/>
      <sheetName val="Calculo ingresos Inmocastle"/>
      <sheetName val="Contratos Varios APT"/>
      <sheetName val="Fletes y Promoc"/>
      <sheetName val="Worksheet in 8330 Análisis de G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/>
      <sheetData sheetId="35" refreshError="1"/>
      <sheetData sheetId="36" refreshError="1"/>
      <sheetData sheetId="37"/>
      <sheetData sheetId="38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/>
      <sheetData sheetId="60">
        <row r="16">
          <cell r="F16">
            <v>180529</v>
          </cell>
        </row>
      </sheetData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 refreshError="1"/>
      <sheetData sheetId="85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 refreshError="1"/>
      <sheetData sheetId="125"/>
      <sheetData sheetId="126" refreshError="1"/>
      <sheetData sheetId="127" refreshError="1"/>
      <sheetData sheetId="128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/>
      <sheetData sheetId="152"/>
      <sheetData sheetId="153" refreshError="1"/>
      <sheetData sheetId="154" refreshError="1"/>
      <sheetData sheetId="155" refreshError="1"/>
      <sheetData sheetId="156"/>
      <sheetData sheetId="157" refreshError="1"/>
      <sheetData sheetId="158" refreshError="1"/>
      <sheetData sheetId="159"/>
      <sheetData sheetId="160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/>
      <sheetData sheetId="235"/>
      <sheetData sheetId="236"/>
      <sheetData sheetId="237"/>
      <sheetData sheetId="238"/>
      <sheetData sheetId="239" refreshError="1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 refreshError="1"/>
      <sheetData sheetId="286"/>
      <sheetData sheetId="287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 refreshError="1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 refreshError="1"/>
      <sheetData sheetId="320"/>
      <sheetData sheetId="321" refreshError="1"/>
      <sheetData sheetId="322" refreshError="1"/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 refreshError="1"/>
      <sheetData sheetId="363" refreshError="1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 refreshError="1"/>
      <sheetData sheetId="373"/>
      <sheetData sheetId="374"/>
      <sheetData sheetId="375"/>
      <sheetData sheetId="376"/>
      <sheetData sheetId="377" refreshError="1"/>
      <sheetData sheetId="378" refreshError="1"/>
      <sheetData sheetId="379" refreshError="1"/>
      <sheetData sheetId="380"/>
      <sheetData sheetId="381" refreshError="1"/>
      <sheetData sheetId="382"/>
      <sheetData sheetId="383" refreshError="1"/>
      <sheetData sheetId="384" refreshError="1"/>
      <sheetData sheetId="385"/>
      <sheetData sheetId="386" refreshError="1"/>
      <sheetData sheetId="387" refreshError="1"/>
      <sheetData sheetId="388" refreshError="1"/>
      <sheetData sheetId="389"/>
      <sheetData sheetId="390" refreshError="1"/>
      <sheetData sheetId="39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/>
      <sheetData sheetId="418" refreshError="1"/>
      <sheetData sheetId="419" refreshError="1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/>
      <sheetData sheetId="432" refreshError="1"/>
      <sheetData sheetId="433" refreshError="1"/>
      <sheetData sheetId="434"/>
      <sheetData sheetId="435"/>
      <sheetData sheetId="436"/>
      <sheetData sheetId="437" refreshError="1"/>
      <sheetData sheetId="438" refreshError="1"/>
      <sheetData sheetId="439" refreshError="1"/>
      <sheetData sheetId="440" refreshError="1"/>
      <sheetData sheetId="44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 refreshError="1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/>
      <sheetData sheetId="512" refreshError="1"/>
      <sheetData sheetId="513"/>
      <sheetData sheetId="514" refreshError="1"/>
      <sheetData sheetId="515"/>
      <sheetData sheetId="516" refreshError="1"/>
      <sheetData sheetId="517" refreshError="1"/>
      <sheetData sheetId="518"/>
      <sheetData sheetId="519" refreshError="1"/>
      <sheetData sheetId="520"/>
      <sheetData sheetId="521"/>
      <sheetData sheetId="522"/>
      <sheetData sheetId="523"/>
      <sheetData sheetId="524" refreshError="1"/>
      <sheetData sheetId="525"/>
      <sheetData sheetId="526"/>
      <sheetData sheetId="527"/>
      <sheetData sheetId="528"/>
      <sheetData sheetId="529"/>
      <sheetData sheetId="530"/>
      <sheetData sheetId="53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/>
      <sheetData sheetId="540"/>
      <sheetData sheetId="541"/>
      <sheetData sheetId="542"/>
      <sheetData sheetId="543"/>
      <sheetData sheetId="544"/>
      <sheetData sheetId="545"/>
      <sheetData sheetId="546" refreshError="1"/>
      <sheetData sheetId="547" refreshError="1"/>
      <sheetData sheetId="548"/>
      <sheetData sheetId="549"/>
      <sheetData sheetId="550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 refreshError="1"/>
      <sheetData sheetId="607" refreshError="1"/>
      <sheetData sheetId="608" refreshError="1"/>
      <sheetData sheetId="609" refreshError="1"/>
      <sheetData sheetId="610"/>
      <sheetData sheetId="61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/>
      <sheetData sheetId="632"/>
      <sheetData sheetId="633"/>
      <sheetData sheetId="634"/>
      <sheetData sheetId="635"/>
      <sheetData sheetId="636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/>
      <sheetData sheetId="659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 "/>
      <sheetName val="Nómina"/>
      <sheetName val="Comisión Supermaxi"/>
      <sheetName val="MMA"/>
      <sheetName val="APT"/>
      <sheetName val="C.G. Comisiones"/>
      <sheetName val="Límite"/>
      <sheetName val="Tabla"/>
      <sheetName val="XREF"/>
      <sheetName val="Tickmark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s EEFF"/>
      <sheetName val="Detalle"/>
      <sheetName val="Cartera a Final"/>
      <sheetName val="Base"/>
      <sheetName val="Confirmaciones"/>
      <sheetName val="Cuentas de Díficil Cobro"/>
      <sheetName val="Provisión"/>
      <sheetName val="Cobros posteriores"/>
      <sheetName val="Neteo por Cobrar - por Pagar"/>
      <sheetName val="XREF"/>
      <sheetName val="Tickmarks"/>
      <sheetName val="Detalle Ventas Exterior"/>
      <sheetName val="Validación Base Cltes. Exterior"/>
      <sheetName val="Detalle Ventas Locales"/>
      <sheetName val="Validación Base Vtas Locales"/>
      <sheetName val="NOTA EF"/>
      <sheetName val="Detalle de Cuentas por Cobrar"/>
      <sheetName val="Provisión de Ctas. Incobrables"/>
      <sheetName val="Cartera y antigüedad"/>
      <sheetName val="Detalle Ret. Contractuales"/>
      <sheetName val="#REF"/>
      <sheetName val="Antiguedad de cartera"/>
      <sheetName val="CxC QIA "/>
      <sheetName val="Análisis"/>
      <sheetName val="Pruebas Sustantivas"/>
      <sheetName val="Cartera Preliminar"/>
      <sheetName val="Antiguedad Cartera"/>
      <sheetName val="Mov. Provisión"/>
      <sheetName val="Nota"/>
      <sheetName val="Mov.Cta.Incob."/>
      <sheetName val="Nota a los EE FF"/>
      <sheetName val="Variación cartera"/>
      <sheetName val="Revisión Variación"/>
      <sheetName val="Cartera Final"/>
      <sheetName val="Cartera"/>
      <sheetName val="Cartera por factura"/>
      <sheetName val="Movimiento incobrables"/>
      <sheetName val="Validez de antiguedad"/>
      <sheetName val="Cofirmaciones enviadas"/>
      <sheetName val="Análisis de Variación"/>
      <sheetName val="Antiguedad de Cartera Final"/>
      <sheetName val="Validación Antiguedad Cartera"/>
      <sheetName val="Antiguedad de Cartera prel"/>
      <sheetName val="Mov. Incobrables"/>
      <sheetName val="Antiguedad Cartera (Final)"/>
      <sheetName val="Variación de Cartera"/>
      <sheetName val="Pru.Conexión"/>
      <sheetName val="Antig Cartera (Final 31-Dec)"/>
      <sheetName val="Antig Cartera (Final 30-Nov)"/>
      <sheetName val="Antigüedad"/>
      <sheetName val="Mov. Prov."/>
      <sheetName val="CxCob Prel"/>
      <sheetName val="Confirm."/>
      <sheetName val="Anal. Cobros Posteriores"/>
      <sheetName val="Cartera Guayaquil"/>
      <sheetName val="Cartera Quito"/>
      <sheetName val="Prov. Incobrables"/>
      <sheetName val="Análisis Validez Fact"/>
      <sheetName val="Cartera_Preliminar (2)"/>
      <sheetName val="Sheet2"/>
      <sheetName val="Cartera_Final (2)"/>
      <sheetName val="Cartera_Final"/>
      <sheetName val="Cartera_Preliminar"/>
      <sheetName val="Recál.Prov."/>
      <sheetName val="Cartera Prel."/>
      <sheetName val="Sheet1"/>
      <sheetName val="Clientes Grupo"/>
      <sheetName val="Sheet3"/>
      <sheetName val="Saldos Relacionadas"/>
      <sheetName val="Cartera Prelim"/>
      <sheetName val="Resumen"/>
      <sheetName val="Confirmaciones final"/>
      <sheetName val="Validación de base"/>
      <sheetName val="CXC BVI (Preli)"/>
      <sheetName val="Incobrables"/>
      <sheetName val="Corte Tardío"/>
      <sheetName val="Detalle de Cartera"/>
      <sheetName val="Evolución de Cartera"/>
      <sheetName val="Antigüedad Cartera Preliminar"/>
      <sheetName val="Antigüedad masivos Preliminar"/>
      <sheetName val="Com. X cobrar"/>
      <sheetName val="Relacionadas"/>
      <sheetName val="Mov.Ctas Incob."/>
      <sheetName val="Provisión Incob."/>
      <sheetName val="Cobros posteriores enero"/>
      <sheetName val="Selec. CxC"/>
      <sheetName val="Tildes"/>
      <sheetName val="Conciliaciones Relacionadas"/>
      <sheetName val="Nota a los EEFF"/>
      <sheetName val="MMA Local"/>
      <sheetName val="MMA Exterior"/>
      <sheetName val="Confirmaciones Loc."/>
      <sheetName val="Cobros Posteriores Local"/>
      <sheetName val="Cobros Posteriores Exterior"/>
      <sheetName val="Antig. Local Oct-06"/>
      <sheetName val="Antig. Exter. Oct-06"/>
      <sheetName val="Mov. Incob."/>
      <sheetName val="Notas al EEFF"/>
      <sheetName val="MMA"/>
      <sheetName val="Selección"/>
      <sheetName val="Ctas x Cobrar Tarj. Crédito"/>
      <sheetName val="Análisis de la provisión"/>
      <sheetName val="Mov. Provision"/>
      <sheetName val="Cías Relacionadas Final"/>
      <sheetName val="Cías Relacionadas Preliminar"/>
      <sheetName val="Procedimientos"/>
      <sheetName val="Observaciones"/>
      <sheetName val="AnlAntig"/>
      <sheetName val="Anl Provisión"/>
      <sheetName val="Variaciones"/>
      <sheetName val="TarjCred"/>
      <sheetName val="Provisión Ingresos"/>
      <sheetName val="MovProv"/>
      <sheetName val="Antigüedad Prel"/>
      <sheetName val="Confirmación"/>
      <sheetName val="LLamadas telefónicas Final"/>
      <sheetName val="Otras cuentas por cobrar"/>
      <sheetName val="Tarifa Dignidad"/>
      <sheetName val="Recaudación"/>
      <sheetName val="Cruce Sidecom Fin"/>
      <sheetName val="CxC Créditos Abonados"/>
      <sheetName val="Antiguedad Cartera Abonados"/>
      <sheetName val="Análisis Provisión DTT"/>
      <sheetName val="Mov Prov."/>
      <sheetName val="Selección Cobros Posteriores"/>
      <sheetName val="Análisis Cobros Posteriores"/>
      <sheetName val="Entidades Auto."/>
      <sheetName val="Agentes MEM"/>
      <sheetName val="Gobierno"/>
      <sheetName val="Cartera-Dic"/>
      <sheetName val="Cartera-sept"/>
      <sheetName val="Provisión-Dic"/>
      <sheetName val="Provisión-sept"/>
      <sheetName val="Detalle de Clientes"/>
      <sheetName val="Clientes"/>
      <sheetName val="Contratos Firmados"/>
      <sheetName val="Cuentas incobrables"/>
      <sheetName val="Base de Cartera(Preli)"/>
      <sheetName val="Mov. Provisión (Preli)"/>
      <sheetName val="Base de Cartera (Final)"/>
      <sheetName val="Cobros Posteriores(Final)"/>
      <sheetName val="Confirmaciones(Preli)"/>
      <sheetName val="Porción CP y LP"/>
      <sheetName val="Sheet5"/>
      <sheetName val="Base de Cartera(Final)"/>
      <sheetName val="Base de Cartera"/>
      <sheetName val="Clientes seleccionados"/>
      <sheetName val="Mov. Provisión Incobrables"/>
      <sheetName val="límites cred"/>
      <sheetName val="Detalle bajas incobrables"/>
      <sheetName val="Prov. Devolución"/>
      <sheetName val="Base Cartera Octubre"/>
      <sheetName val="Movimiento de la Provisión"/>
      <sheetName val="Distribuidores"/>
      <sheetName val="Exterior"/>
      <sheetName val="Prov.Incobrables"/>
      <sheetName val="Cuentas por Cobrar Dic."/>
      <sheetName val="Cuentas por Cobrar Nov."/>
      <sheetName val="Detalle Incobrables"/>
      <sheetName val="Refinanciados"/>
      <sheetName val="Movimiento Provisión"/>
      <sheetName val="Cuentas por cobrar - Sep."/>
      <sheetName val="Seleccion"/>
      <sheetName val="Conc.Relac."/>
      <sheetName val="Cob. Post."/>
      <sheetName val="Mov Prov"/>
      <sheetName val="Relac Fin"/>
      <sheetName val="Interés"/>
      <sheetName val="Base Clientes"/>
      <sheetName val="MMA prel"/>
      <sheetName val="Relac Pre"/>
      <sheetName val="Cálculo Intereses"/>
      <sheetName val="Anal.Cias Relac.Prel."/>
      <sheetName val="Cálculo Intereses (PPC)"/>
      <sheetName val="Base de Clientes"/>
      <sheetName val="MMA Cartera"/>
      <sheetName val="Provisión Ctas. Incobrab"/>
      <sheetName val="Análisis de Incobrabilidad"/>
      <sheetName val="Detalle Tarjetas de Crédito"/>
      <sheetName val="Módulo Clientes (PPC)"/>
      <sheetName val="MMA(Módulo Clientes)"/>
      <sheetName val="Detalle Gquil (PPC)"/>
      <sheetName val="MMA(ClientesGquil)"/>
      <sheetName val="Detalle Tráfico y Ventas (PPC)"/>
      <sheetName val="MMA (Tráfico y Ventas)"/>
      <sheetName val="Seleccionados"/>
      <sheetName val="cobros posteriores (tarjetas)"/>
      <sheetName val="Detalle Trafico y Ventas (PPC)"/>
      <sheetName val="Cartera Final (PPC)"/>
      <sheetName val="Detalle Cheq. Protes."/>
      <sheetName val="Detalle Tarjetas de Crédito (PP"/>
      <sheetName val="Cartera Preliminar (PPC)"/>
      <sheetName val="Mov. Provisión Clientes"/>
      <sheetName val="Cuentas con relacionadas (PPC)"/>
      <sheetName val="Oblig.Relac. Prel"/>
      <sheetName val="Saldos Clientes Selecc 2003"/>
      <sheetName val="Asiento de reclasificación"/>
      <sheetName val="Mov. Provisión Cli."/>
      <sheetName val="Mov. Provisión Relac"/>
      <sheetName val="Adventure"/>
      <sheetName val="Selecc. Clientes Prel"/>
      <sheetName val="Selecc. Clientes Fin"/>
      <sheetName val="Saldos Clientes Selecc"/>
      <sheetName val="Rel. MTI Prel"/>
      <sheetName val="Rel. MTI Final"/>
      <sheetName val="Oblig.Relac. Fin"/>
      <sheetName val="Conci. con registros (Final)"/>
      <sheetName val="Cobros post."/>
      <sheetName val="MMA final"/>
      <sheetName val="Facturas negativas"/>
      <sheetName val="Clientes MTI prel"/>
      <sheetName val="Conciliación con registros prel"/>
      <sheetName val="Conciliación con registros"/>
      <sheetName val="Cuentas con relacionadas Final"/>
      <sheetName val="Provision"/>
      <sheetName val="Detalle CxC"/>
      <sheetName val="Cob. Post"/>
      <sheetName val="Det. Dic."/>
      <sheetName val="Det. Agos."/>
      <sheetName val="Abonados"/>
      <sheetName val="Rotación Abonados"/>
      <sheetName val=" Corresponsales"/>
      <sheetName val="Otras"/>
      <sheetName val="Selección Clientes"/>
      <sheetName val="Tráf.Entrante"/>
      <sheetName val="Tráf.Saliente"/>
      <sheetName val="Saldos"/>
      <sheetName val="Res.Ctas.T.Ent."/>
      <sheetName val="Res.Ctas.T.Sal."/>
      <sheetName val="Mov. Incob"/>
      <sheetName val="TiposCambio"/>
      <sheetName val="MMA Clientes"/>
      <sheetName val="Fac. Ptes. (Oct-03)"/>
      <sheetName val="Fact. Ptes. Inds, (Oct-03)"/>
      <sheetName val="Fact. Pendientes (sep 03)"/>
      <sheetName val="Fac. Ptes. Inds, (sep03)"/>
      <sheetName val="Detalle Incobrab 2002"/>
      <sheetName val="Castigo CXC (PPC) 2001"/>
      <sheetName val="Garantías"/>
      <sheetName val="Nota de Crédito"/>
      <sheetName val="Calc. Límites"/>
      <sheetName val="modRollFWD"/>
      <sheetName val="Detalle CXC 2002"/>
      <sheetName val="Fact. Ptes. (Final)"/>
      <sheetName val="Fact. Ptes. (Oct-02)"/>
      <sheetName val="Facturas Ptes. (Sep02)"/>
      <sheetName val="Detalle Incobrab"/>
      <sheetName val="Selecc. Clientes"/>
      <sheetName val="Antiguedad y Cobros"/>
      <sheetName val="Pagos Adventure"/>
      <sheetName val="Rel. MTI Final (PPC)"/>
      <sheetName val="Metrocorp"/>
      <sheetName val="Dep- flotantes"/>
      <sheetName val="Dep- previos"/>
      <sheetName val="Analisis Dep previos"/>
      <sheetName val="Antig Cartera"/>
      <sheetName val="Prov.Incobr."/>
      <sheetName val="Andinadatos"/>
      <sheetName val="Factura Andinada"/>
      <sheetName val="Antig, Cartera Andinada"/>
      <sheetName val="Hoja 1"/>
      <sheetName val="Base de Cartera Diciembre"/>
      <sheetName val="GLS"/>
      <sheetName val="CxC Clientes Preliminar "/>
      <sheetName val="CxC Clientes (Final)"/>
      <sheetName val="CXC Clientes"/>
      <sheetName val="Límite"/>
      <sheetName val="CXC"/>
      <sheetName val="CxC Relacionadas"/>
      <sheetName val="Análisis de validación cxc"/>
      <sheetName val="Resumen de Antigüedad"/>
      <sheetName val="Movimiento"/>
      <sheetName val="Base de cartera preliminar"/>
      <sheetName val="Análisis Relacionadas"/>
      <sheetName val="Mov Prov PxC Final"/>
      <sheetName val="Mov Prov PDoc Final"/>
      <sheetName val="Resumen Final"/>
      <sheetName val="317 DIC"/>
      <sheetName val="317-A DIC"/>
      <sheetName val="Refinanciamiento"/>
      <sheetName val="Mov Prov PxC"/>
      <sheetName val="Mov Prov PDoc"/>
      <sheetName val="Resumen Prel."/>
      <sheetName val="317 SEP"/>
      <sheetName val="317-A SEP"/>
      <sheetName val="Contragarantías"/>
      <sheetName val="317 Final"/>
      <sheetName val="317A Final"/>
      <sheetName val="317 A Sep"/>
      <sheetName val="Provisiones"/>
      <sheetName val="F. 317"/>
      <sheetName val="F. 317A"/>
      <sheetName val="Resumen Dic 13"/>
      <sheetName val="Form. 317"/>
      <sheetName val="Form. 317A."/>
      <sheetName val="Cobros Posteriores 2013"/>
      <sheetName val="Analisis Primas por Cobr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/>
      <sheetData sheetId="154"/>
      <sheetData sheetId="155" refreshError="1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 refreshError="1"/>
      <sheetData sheetId="269"/>
      <sheetData sheetId="270"/>
      <sheetData sheetId="271"/>
      <sheetData sheetId="272"/>
      <sheetData sheetId="273" refreshError="1"/>
      <sheetData sheetId="274" refreshError="1"/>
      <sheetData sheetId="275" refreshError="1"/>
      <sheetData sheetId="276"/>
      <sheetData sheetId="277" refreshError="1"/>
      <sheetData sheetId="278" refreshError="1"/>
      <sheetData sheetId="279" refreshError="1"/>
      <sheetData sheetId="280"/>
      <sheetData sheetId="281"/>
      <sheetData sheetId="282" refreshError="1"/>
      <sheetData sheetId="283"/>
      <sheetData sheetId="284"/>
      <sheetData sheetId="285" refreshError="1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s EEFF"/>
      <sheetName val="Riesgos"/>
      <sheetName val="Detalle"/>
      <sheetName val="Cruce Otros Activos"/>
      <sheetName val="Prov. Serv. NQIA"/>
      <sheetName val="XREF"/>
      <sheetName val="Tickmarks"/>
      <sheetName val="#REF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#REF"/>
    </sheetNames>
    <sheetDataSet>
      <sheetData sheetId="0">
        <row r="1">
          <cell r="A1" t="str">
            <v>Detalle de Gastos de Operación</v>
          </cell>
        </row>
        <row r="136">
          <cell r="E136" t="e">
            <v>#N/A</v>
          </cell>
        </row>
        <row r="144">
          <cell r="E144">
            <v>26217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45D5E-4A9E-42A6-A9BB-8CC0670599BE}">
  <sheetPr>
    <pageSetUpPr fitToPage="1"/>
  </sheetPr>
  <dimension ref="A3:XFD118"/>
  <sheetViews>
    <sheetView showGridLines="0" tabSelected="1" zoomScale="25" zoomScaleNormal="72" workbookViewId="0">
      <selection activeCell="I29" sqref="I29"/>
    </sheetView>
  </sheetViews>
  <sheetFormatPr baseColWidth="10" defaultColWidth="11.453125" defaultRowHeight="12.5"/>
  <cols>
    <col min="1" max="1" width="5.54296875" style="11" customWidth="1"/>
    <col min="2" max="2" width="31.7265625" style="11" customWidth="1"/>
    <col min="3" max="3" width="36.90625" style="11" customWidth="1"/>
    <col min="4" max="4" width="47.36328125" style="11" customWidth="1"/>
    <col min="5" max="5" width="52.453125" style="11" customWidth="1"/>
    <col min="6" max="6" width="63.26953125" style="11" customWidth="1"/>
    <col min="7" max="7" width="3.7265625" style="11" customWidth="1"/>
    <col min="8" max="8" width="16.90625" style="11" customWidth="1"/>
    <col min="9" max="9" width="20.1796875" style="11" bestFit="1" customWidth="1"/>
    <col min="10" max="10" width="14.453125" style="11" customWidth="1"/>
    <col min="11" max="11" width="28.26953125" style="11" bestFit="1" customWidth="1"/>
    <col min="12" max="12" width="16" style="11" customWidth="1"/>
    <col min="13" max="13" width="15.26953125" style="11" customWidth="1"/>
    <col min="14" max="14" width="35.54296875" style="11" bestFit="1" customWidth="1"/>
    <col min="15" max="247" width="11.453125" style="11"/>
    <col min="248" max="248" width="10.1796875" style="11" customWidth="1"/>
    <col min="249" max="249" width="11" style="11" customWidth="1"/>
    <col min="250" max="250" width="9.7265625" style="11" customWidth="1"/>
    <col min="251" max="251" width="12.7265625" style="11" customWidth="1"/>
    <col min="252" max="252" width="11.54296875" style="11" customWidth="1"/>
    <col min="253" max="253" width="10.7265625" style="11" customWidth="1"/>
    <col min="254" max="254" width="9.26953125" style="11" customWidth="1"/>
    <col min="255" max="256" width="10.1796875" style="11" customWidth="1"/>
    <col min="257" max="257" width="8.81640625" style="11" customWidth="1"/>
    <col min="258" max="258" width="7" style="11" customWidth="1"/>
    <col min="259" max="259" width="9.81640625" style="11" customWidth="1"/>
    <col min="260" max="260" width="9" style="11" customWidth="1"/>
    <col min="261" max="261" width="8.1796875" style="11" customWidth="1"/>
    <col min="262" max="262" width="13.1796875" style="11" customWidth="1"/>
    <col min="263" max="503" width="11.453125" style="11"/>
    <col min="504" max="504" width="10.1796875" style="11" customWidth="1"/>
    <col min="505" max="505" width="11" style="11" customWidth="1"/>
    <col min="506" max="506" width="9.7265625" style="11" customWidth="1"/>
    <col min="507" max="507" width="12.7265625" style="11" customWidth="1"/>
    <col min="508" max="508" width="11.54296875" style="11" customWidth="1"/>
    <col min="509" max="509" width="10.7265625" style="11" customWidth="1"/>
    <col min="510" max="510" width="9.26953125" style="11" customWidth="1"/>
    <col min="511" max="512" width="10.1796875" style="11" customWidth="1"/>
    <col min="513" max="513" width="8.81640625" style="11" customWidth="1"/>
    <col min="514" max="514" width="7" style="11" customWidth="1"/>
    <col min="515" max="515" width="9.81640625" style="11" customWidth="1"/>
    <col min="516" max="516" width="9" style="11" customWidth="1"/>
    <col min="517" max="517" width="8.1796875" style="11" customWidth="1"/>
    <col min="518" max="518" width="13.1796875" style="11" customWidth="1"/>
    <col min="519" max="759" width="11.453125" style="11"/>
    <col min="760" max="760" width="10.1796875" style="11" customWidth="1"/>
    <col min="761" max="761" width="11" style="11" customWidth="1"/>
    <col min="762" max="762" width="9.7265625" style="11" customWidth="1"/>
    <col min="763" max="763" width="12.7265625" style="11" customWidth="1"/>
    <col min="764" max="764" width="11.54296875" style="11" customWidth="1"/>
    <col min="765" max="765" width="10.7265625" style="11" customWidth="1"/>
    <col min="766" max="766" width="9.26953125" style="11" customWidth="1"/>
    <col min="767" max="768" width="10.1796875" style="11" customWidth="1"/>
    <col min="769" max="769" width="8.81640625" style="11" customWidth="1"/>
    <col min="770" max="770" width="7" style="11" customWidth="1"/>
    <col min="771" max="771" width="9.81640625" style="11" customWidth="1"/>
    <col min="772" max="772" width="9" style="11" customWidth="1"/>
    <col min="773" max="773" width="8.1796875" style="11" customWidth="1"/>
    <col min="774" max="774" width="13.1796875" style="11" customWidth="1"/>
    <col min="775" max="1015" width="11.453125" style="11"/>
    <col min="1016" max="1016" width="10.1796875" style="11" customWidth="1"/>
    <col min="1017" max="1017" width="11" style="11" customWidth="1"/>
    <col min="1018" max="1018" width="9.7265625" style="11" customWidth="1"/>
    <col min="1019" max="1019" width="12.7265625" style="11" customWidth="1"/>
    <col min="1020" max="1020" width="11.54296875" style="11" customWidth="1"/>
    <col min="1021" max="1021" width="10.7265625" style="11" customWidth="1"/>
    <col min="1022" max="1022" width="9.26953125" style="11" customWidth="1"/>
    <col min="1023" max="1024" width="10.1796875" style="11" customWidth="1"/>
    <col min="1025" max="1025" width="8.81640625" style="11" customWidth="1"/>
    <col min="1026" max="1026" width="7" style="11" customWidth="1"/>
    <col min="1027" max="1027" width="9.81640625" style="11" customWidth="1"/>
    <col min="1028" max="1028" width="9" style="11" customWidth="1"/>
    <col min="1029" max="1029" width="8.1796875" style="11" customWidth="1"/>
    <col min="1030" max="1030" width="13.1796875" style="11" customWidth="1"/>
    <col min="1031" max="1271" width="11.453125" style="11"/>
    <col min="1272" max="1272" width="10.1796875" style="11" customWidth="1"/>
    <col min="1273" max="1273" width="11" style="11" customWidth="1"/>
    <col min="1274" max="1274" width="9.7265625" style="11" customWidth="1"/>
    <col min="1275" max="1275" width="12.7265625" style="11" customWidth="1"/>
    <col min="1276" max="1276" width="11.54296875" style="11" customWidth="1"/>
    <col min="1277" max="1277" width="10.7265625" style="11" customWidth="1"/>
    <col min="1278" max="1278" width="9.26953125" style="11" customWidth="1"/>
    <col min="1279" max="1280" width="10.1796875" style="11" customWidth="1"/>
    <col min="1281" max="1281" width="8.81640625" style="11" customWidth="1"/>
    <col min="1282" max="1282" width="7" style="11" customWidth="1"/>
    <col min="1283" max="1283" width="9.81640625" style="11" customWidth="1"/>
    <col min="1284" max="1284" width="9" style="11" customWidth="1"/>
    <col min="1285" max="1285" width="8.1796875" style="11" customWidth="1"/>
    <col min="1286" max="1286" width="13.1796875" style="11" customWidth="1"/>
    <col min="1287" max="1527" width="11.453125" style="11"/>
    <col min="1528" max="1528" width="10.1796875" style="11" customWidth="1"/>
    <col min="1529" max="1529" width="11" style="11" customWidth="1"/>
    <col min="1530" max="1530" width="9.7265625" style="11" customWidth="1"/>
    <col min="1531" max="1531" width="12.7265625" style="11" customWidth="1"/>
    <col min="1532" max="1532" width="11.54296875" style="11" customWidth="1"/>
    <col min="1533" max="1533" width="10.7265625" style="11" customWidth="1"/>
    <col min="1534" max="1534" width="9.26953125" style="11" customWidth="1"/>
    <col min="1535" max="1536" width="10.1796875" style="11" customWidth="1"/>
    <col min="1537" max="1537" width="8.81640625" style="11" customWidth="1"/>
    <col min="1538" max="1538" width="7" style="11" customWidth="1"/>
    <col min="1539" max="1539" width="9.81640625" style="11" customWidth="1"/>
    <col min="1540" max="1540" width="9" style="11" customWidth="1"/>
    <col min="1541" max="1541" width="8.1796875" style="11" customWidth="1"/>
    <col min="1542" max="1542" width="13.1796875" style="11" customWidth="1"/>
    <col min="1543" max="1783" width="11.453125" style="11"/>
    <col min="1784" max="1784" width="10.1796875" style="11" customWidth="1"/>
    <col min="1785" max="1785" width="11" style="11" customWidth="1"/>
    <col min="1786" max="1786" width="9.7265625" style="11" customWidth="1"/>
    <col min="1787" max="1787" width="12.7265625" style="11" customWidth="1"/>
    <col min="1788" max="1788" width="11.54296875" style="11" customWidth="1"/>
    <col min="1789" max="1789" width="10.7265625" style="11" customWidth="1"/>
    <col min="1790" max="1790" width="9.26953125" style="11" customWidth="1"/>
    <col min="1791" max="1792" width="10.1796875" style="11" customWidth="1"/>
    <col min="1793" max="1793" width="8.81640625" style="11" customWidth="1"/>
    <col min="1794" max="1794" width="7" style="11" customWidth="1"/>
    <col min="1795" max="1795" width="9.81640625" style="11" customWidth="1"/>
    <col min="1796" max="1796" width="9" style="11" customWidth="1"/>
    <col min="1797" max="1797" width="8.1796875" style="11" customWidth="1"/>
    <col min="1798" max="1798" width="13.1796875" style="11" customWidth="1"/>
    <col min="1799" max="2039" width="11.453125" style="11"/>
    <col min="2040" max="2040" width="10.1796875" style="11" customWidth="1"/>
    <col min="2041" max="2041" width="11" style="11" customWidth="1"/>
    <col min="2042" max="2042" width="9.7265625" style="11" customWidth="1"/>
    <col min="2043" max="2043" width="12.7265625" style="11" customWidth="1"/>
    <col min="2044" max="2044" width="11.54296875" style="11" customWidth="1"/>
    <col min="2045" max="2045" width="10.7265625" style="11" customWidth="1"/>
    <col min="2046" max="2046" width="9.26953125" style="11" customWidth="1"/>
    <col min="2047" max="2048" width="10.1796875" style="11" customWidth="1"/>
    <col min="2049" max="2049" width="8.81640625" style="11" customWidth="1"/>
    <col min="2050" max="2050" width="7" style="11" customWidth="1"/>
    <col min="2051" max="2051" width="9.81640625" style="11" customWidth="1"/>
    <col min="2052" max="2052" width="9" style="11" customWidth="1"/>
    <col min="2053" max="2053" width="8.1796875" style="11" customWidth="1"/>
    <col min="2054" max="2054" width="13.1796875" style="11" customWidth="1"/>
    <col min="2055" max="2295" width="11.453125" style="11"/>
    <col min="2296" max="2296" width="10.1796875" style="11" customWidth="1"/>
    <col min="2297" max="2297" width="11" style="11" customWidth="1"/>
    <col min="2298" max="2298" width="9.7265625" style="11" customWidth="1"/>
    <col min="2299" max="2299" width="12.7265625" style="11" customWidth="1"/>
    <col min="2300" max="2300" width="11.54296875" style="11" customWidth="1"/>
    <col min="2301" max="2301" width="10.7265625" style="11" customWidth="1"/>
    <col min="2302" max="2302" width="9.26953125" style="11" customWidth="1"/>
    <col min="2303" max="2304" width="10.1796875" style="11" customWidth="1"/>
    <col min="2305" max="2305" width="8.81640625" style="11" customWidth="1"/>
    <col min="2306" max="2306" width="7" style="11" customWidth="1"/>
    <col min="2307" max="2307" width="9.81640625" style="11" customWidth="1"/>
    <col min="2308" max="2308" width="9" style="11" customWidth="1"/>
    <col min="2309" max="2309" width="8.1796875" style="11" customWidth="1"/>
    <col min="2310" max="2310" width="13.1796875" style="11" customWidth="1"/>
    <col min="2311" max="2551" width="11.453125" style="11"/>
    <col min="2552" max="2552" width="10.1796875" style="11" customWidth="1"/>
    <col min="2553" max="2553" width="11" style="11" customWidth="1"/>
    <col min="2554" max="2554" width="9.7265625" style="11" customWidth="1"/>
    <col min="2555" max="2555" width="12.7265625" style="11" customWidth="1"/>
    <col min="2556" max="2556" width="11.54296875" style="11" customWidth="1"/>
    <col min="2557" max="2557" width="10.7265625" style="11" customWidth="1"/>
    <col min="2558" max="2558" width="9.26953125" style="11" customWidth="1"/>
    <col min="2559" max="2560" width="10.1796875" style="11" customWidth="1"/>
    <col min="2561" max="2561" width="8.81640625" style="11" customWidth="1"/>
    <col min="2562" max="2562" width="7" style="11" customWidth="1"/>
    <col min="2563" max="2563" width="9.81640625" style="11" customWidth="1"/>
    <col min="2564" max="2564" width="9" style="11" customWidth="1"/>
    <col min="2565" max="2565" width="8.1796875" style="11" customWidth="1"/>
    <col min="2566" max="2566" width="13.1796875" style="11" customWidth="1"/>
    <col min="2567" max="2807" width="11.453125" style="11"/>
    <col min="2808" max="2808" width="10.1796875" style="11" customWidth="1"/>
    <col min="2809" max="2809" width="11" style="11" customWidth="1"/>
    <col min="2810" max="2810" width="9.7265625" style="11" customWidth="1"/>
    <col min="2811" max="2811" width="12.7265625" style="11" customWidth="1"/>
    <col min="2812" max="2812" width="11.54296875" style="11" customWidth="1"/>
    <col min="2813" max="2813" width="10.7265625" style="11" customWidth="1"/>
    <col min="2814" max="2814" width="9.26953125" style="11" customWidth="1"/>
    <col min="2815" max="2816" width="10.1796875" style="11" customWidth="1"/>
    <col min="2817" max="2817" width="8.81640625" style="11" customWidth="1"/>
    <col min="2818" max="2818" width="7" style="11" customWidth="1"/>
    <col min="2819" max="2819" width="9.81640625" style="11" customWidth="1"/>
    <col min="2820" max="2820" width="9" style="11" customWidth="1"/>
    <col min="2821" max="2821" width="8.1796875" style="11" customWidth="1"/>
    <col min="2822" max="2822" width="13.1796875" style="11" customWidth="1"/>
    <col min="2823" max="3063" width="11.453125" style="11"/>
    <col min="3064" max="3064" width="10.1796875" style="11" customWidth="1"/>
    <col min="3065" max="3065" width="11" style="11" customWidth="1"/>
    <col min="3066" max="3066" width="9.7265625" style="11" customWidth="1"/>
    <col min="3067" max="3067" width="12.7265625" style="11" customWidth="1"/>
    <col min="3068" max="3068" width="11.54296875" style="11" customWidth="1"/>
    <col min="3069" max="3069" width="10.7265625" style="11" customWidth="1"/>
    <col min="3070" max="3070" width="9.26953125" style="11" customWidth="1"/>
    <col min="3071" max="3072" width="10.1796875" style="11" customWidth="1"/>
    <col min="3073" max="3073" width="8.81640625" style="11" customWidth="1"/>
    <col min="3074" max="3074" width="7" style="11" customWidth="1"/>
    <col min="3075" max="3075" width="9.81640625" style="11" customWidth="1"/>
    <col min="3076" max="3076" width="9" style="11" customWidth="1"/>
    <col min="3077" max="3077" width="8.1796875" style="11" customWidth="1"/>
    <col min="3078" max="3078" width="13.1796875" style="11" customWidth="1"/>
    <col min="3079" max="3319" width="11.453125" style="11"/>
    <col min="3320" max="3320" width="10.1796875" style="11" customWidth="1"/>
    <col min="3321" max="3321" width="11" style="11" customWidth="1"/>
    <col min="3322" max="3322" width="9.7265625" style="11" customWidth="1"/>
    <col min="3323" max="3323" width="12.7265625" style="11" customWidth="1"/>
    <col min="3324" max="3324" width="11.54296875" style="11" customWidth="1"/>
    <col min="3325" max="3325" width="10.7265625" style="11" customWidth="1"/>
    <col min="3326" max="3326" width="9.26953125" style="11" customWidth="1"/>
    <col min="3327" max="3328" width="10.1796875" style="11" customWidth="1"/>
    <col min="3329" max="3329" width="8.81640625" style="11" customWidth="1"/>
    <col min="3330" max="3330" width="7" style="11" customWidth="1"/>
    <col min="3331" max="3331" width="9.81640625" style="11" customWidth="1"/>
    <col min="3332" max="3332" width="9" style="11" customWidth="1"/>
    <col min="3333" max="3333" width="8.1796875" style="11" customWidth="1"/>
    <col min="3334" max="3334" width="13.1796875" style="11" customWidth="1"/>
    <col min="3335" max="3575" width="11.453125" style="11"/>
    <col min="3576" max="3576" width="10.1796875" style="11" customWidth="1"/>
    <col min="3577" max="3577" width="11" style="11" customWidth="1"/>
    <col min="3578" max="3578" width="9.7265625" style="11" customWidth="1"/>
    <col min="3579" max="3579" width="12.7265625" style="11" customWidth="1"/>
    <col min="3580" max="3580" width="11.54296875" style="11" customWidth="1"/>
    <col min="3581" max="3581" width="10.7265625" style="11" customWidth="1"/>
    <col min="3582" max="3582" width="9.26953125" style="11" customWidth="1"/>
    <col min="3583" max="3584" width="10.1796875" style="11" customWidth="1"/>
    <col min="3585" max="3585" width="8.81640625" style="11" customWidth="1"/>
    <col min="3586" max="3586" width="7" style="11" customWidth="1"/>
    <col min="3587" max="3587" width="9.81640625" style="11" customWidth="1"/>
    <col min="3588" max="3588" width="9" style="11" customWidth="1"/>
    <col min="3589" max="3589" width="8.1796875" style="11" customWidth="1"/>
    <col min="3590" max="3590" width="13.1796875" style="11" customWidth="1"/>
    <col min="3591" max="3831" width="11.453125" style="11"/>
    <col min="3832" max="3832" width="10.1796875" style="11" customWidth="1"/>
    <col min="3833" max="3833" width="11" style="11" customWidth="1"/>
    <col min="3834" max="3834" width="9.7265625" style="11" customWidth="1"/>
    <col min="3835" max="3835" width="12.7265625" style="11" customWidth="1"/>
    <col min="3836" max="3836" width="11.54296875" style="11" customWidth="1"/>
    <col min="3837" max="3837" width="10.7265625" style="11" customWidth="1"/>
    <col min="3838" max="3838" width="9.26953125" style="11" customWidth="1"/>
    <col min="3839" max="3840" width="10.1796875" style="11" customWidth="1"/>
    <col min="3841" max="3841" width="8.81640625" style="11" customWidth="1"/>
    <col min="3842" max="3842" width="7" style="11" customWidth="1"/>
    <col min="3843" max="3843" width="9.81640625" style="11" customWidth="1"/>
    <col min="3844" max="3844" width="9" style="11" customWidth="1"/>
    <col min="3845" max="3845" width="8.1796875" style="11" customWidth="1"/>
    <col min="3846" max="3846" width="13.1796875" style="11" customWidth="1"/>
    <col min="3847" max="4087" width="11.453125" style="11"/>
    <col min="4088" max="4088" width="10.1796875" style="11" customWidth="1"/>
    <col min="4089" max="4089" width="11" style="11" customWidth="1"/>
    <col min="4090" max="4090" width="9.7265625" style="11" customWidth="1"/>
    <col min="4091" max="4091" width="12.7265625" style="11" customWidth="1"/>
    <col min="4092" max="4092" width="11.54296875" style="11" customWidth="1"/>
    <col min="4093" max="4093" width="10.7265625" style="11" customWidth="1"/>
    <col min="4094" max="4094" width="9.26953125" style="11" customWidth="1"/>
    <col min="4095" max="4096" width="10.1796875" style="11" customWidth="1"/>
    <col min="4097" max="4097" width="8.81640625" style="11" customWidth="1"/>
    <col min="4098" max="4098" width="7" style="11" customWidth="1"/>
    <col min="4099" max="4099" width="9.81640625" style="11" customWidth="1"/>
    <col min="4100" max="4100" width="9" style="11" customWidth="1"/>
    <col min="4101" max="4101" width="8.1796875" style="11" customWidth="1"/>
    <col min="4102" max="4102" width="13.1796875" style="11" customWidth="1"/>
    <col min="4103" max="4343" width="11.453125" style="11"/>
    <col min="4344" max="4344" width="10.1796875" style="11" customWidth="1"/>
    <col min="4345" max="4345" width="11" style="11" customWidth="1"/>
    <col min="4346" max="4346" width="9.7265625" style="11" customWidth="1"/>
    <col min="4347" max="4347" width="12.7265625" style="11" customWidth="1"/>
    <col min="4348" max="4348" width="11.54296875" style="11" customWidth="1"/>
    <col min="4349" max="4349" width="10.7265625" style="11" customWidth="1"/>
    <col min="4350" max="4350" width="9.26953125" style="11" customWidth="1"/>
    <col min="4351" max="4352" width="10.1796875" style="11" customWidth="1"/>
    <col min="4353" max="4353" width="8.81640625" style="11" customWidth="1"/>
    <col min="4354" max="4354" width="7" style="11" customWidth="1"/>
    <col min="4355" max="4355" width="9.81640625" style="11" customWidth="1"/>
    <col min="4356" max="4356" width="9" style="11" customWidth="1"/>
    <col min="4357" max="4357" width="8.1796875" style="11" customWidth="1"/>
    <col min="4358" max="4358" width="13.1796875" style="11" customWidth="1"/>
    <col min="4359" max="4599" width="11.453125" style="11"/>
    <col min="4600" max="4600" width="10.1796875" style="11" customWidth="1"/>
    <col min="4601" max="4601" width="11" style="11" customWidth="1"/>
    <col min="4602" max="4602" width="9.7265625" style="11" customWidth="1"/>
    <col min="4603" max="4603" width="12.7265625" style="11" customWidth="1"/>
    <col min="4604" max="4604" width="11.54296875" style="11" customWidth="1"/>
    <col min="4605" max="4605" width="10.7265625" style="11" customWidth="1"/>
    <col min="4606" max="4606" width="9.26953125" style="11" customWidth="1"/>
    <col min="4607" max="4608" width="10.1796875" style="11" customWidth="1"/>
    <col min="4609" max="4609" width="8.81640625" style="11" customWidth="1"/>
    <col min="4610" max="4610" width="7" style="11" customWidth="1"/>
    <col min="4611" max="4611" width="9.81640625" style="11" customWidth="1"/>
    <col min="4612" max="4612" width="9" style="11" customWidth="1"/>
    <col min="4613" max="4613" width="8.1796875" style="11" customWidth="1"/>
    <col min="4614" max="4614" width="13.1796875" style="11" customWidth="1"/>
    <col min="4615" max="4855" width="11.453125" style="11"/>
    <col min="4856" max="4856" width="10.1796875" style="11" customWidth="1"/>
    <col min="4857" max="4857" width="11" style="11" customWidth="1"/>
    <col min="4858" max="4858" width="9.7265625" style="11" customWidth="1"/>
    <col min="4859" max="4859" width="12.7265625" style="11" customWidth="1"/>
    <col min="4860" max="4860" width="11.54296875" style="11" customWidth="1"/>
    <col min="4861" max="4861" width="10.7265625" style="11" customWidth="1"/>
    <col min="4862" max="4862" width="9.26953125" style="11" customWidth="1"/>
    <col min="4863" max="4864" width="10.1796875" style="11" customWidth="1"/>
    <col min="4865" max="4865" width="8.81640625" style="11" customWidth="1"/>
    <col min="4866" max="4866" width="7" style="11" customWidth="1"/>
    <col min="4867" max="4867" width="9.81640625" style="11" customWidth="1"/>
    <col min="4868" max="4868" width="9" style="11" customWidth="1"/>
    <col min="4869" max="4869" width="8.1796875" style="11" customWidth="1"/>
    <col min="4870" max="4870" width="13.1796875" style="11" customWidth="1"/>
    <col min="4871" max="5111" width="11.453125" style="11"/>
    <col min="5112" max="5112" width="10.1796875" style="11" customWidth="1"/>
    <col min="5113" max="5113" width="11" style="11" customWidth="1"/>
    <col min="5114" max="5114" width="9.7265625" style="11" customWidth="1"/>
    <col min="5115" max="5115" width="12.7265625" style="11" customWidth="1"/>
    <col min="5116" max="5116" width="11.54296875" style="11" customWidth="1"/>
    <col min="5117" max="5117" width="10.7265625" style="11" customWidth="1"/>
    <col min="5118" max="5118" width="9.26953125" style="11" customWidth="1"/>
    <col min="5119" max="5120" width="10.1796875" style="11" customWidth="1"/>
    <col min="5121" max="5121" width="8.81640625" style="11" customWidth="1"/>
    <col min="5122" max="5122" width="7" style="11" customWidth="1"/>
    <col min="5123" max="5123" width="9.81640625" style="11" customWidth="1"/>
    <col min="5124" max="5124" width="9" style="11" customWidth="1"/>
    <col min="5125" max="5125" width="8.1796875" style="11" customWidth="1"/>
    <col min="5126" max="5126" width="13.1796875" style="11" customWidth="1"/>
    <col min="5127" max="5367" width="11.453125" style="11"/>
    <col min="5368" max="5368" width="10.1796875" style="11" customWidth="1"/>
    <col min="5369" max="5369" width="11" style="11" customWidth="1"/>
    <col min="5370" max="5370" width="9.7265625" style="11" customWidth="1"/>
    <col min="5371" max="5371" width="12.7265625" style="11" customWidth="1"/>
    <col min="5372" max="5372" width="11.54296875" style="11" customWidth="1"/>
    <col min="5373" max="5373" width="10.7265625" style="11" customWidth="1"/>
    <col min="5374" max="5374" width="9.26953125" style="11" customWidth="1"/>
    <col min="5375" max="5376" width="10.1796875" style="11" customWidth="1"/>
    <col min="5377" max="5377" width="8.81640625" style="11" customWidth="1"/>
    <col min="5378" max="5378" width="7" style="11" customWidth="1"/>
    <col min="5379" max="5379" width="9.81640625" style="11" customWidth="1"/>
    <col min="5380" max="5380" width="9" style="11" customWidth="1"/>
    <col min="5381" max="5381" width="8.1796875" style="11" customWidth="1"/>
    <col min="5382" max="5382" width="13.1796875" style="11" customWidth="1"/>
    <col min="5383" max="5623" width="11.453125" style="11"/>
    <col min="5624" max="5624" width="10.1796875" style="11" customWidth="1"/>
    <col min="5625" max="5625" width="11" style="11" customWidth="1"/>
    <col min="5626" max="5626" width="9.7265625" style="11" customWidth="1"/>
    <col min="5627" max="5627" width="12.7265625" style="11" customWidth="1"/>
    <col min="5628" max="5628" width="11.54296875" style="11" customWidth="1"/>
    <col min="5629" max="5629" width="10.7265625" style="11" customWidth="1"/>
    <col min="5630" max="5630" width="9.26953125" style="11" customWidth="1"/>
    <col min="5631" max="5632" width="10.1796875" style="11" customWidth="1"/>
    <col min="5633" max="5633" width="8.81640625" style="11" customWidth="1"/>
    <col min="5634" max="5634" width="7" style="11" customWidth="1"/>
    <col min="5635" max="5635" width="9.81640625" style="11" customWidth="1"/>
    <col min="5636" max="5636" width="9" style="11" customWidth="1"/>
    <col min="5637" max="5637" width="8.1796875" style="11" customWidth="1"/>
    <col min="5638" max="5638" width="13.1796875" style="11" customWidth="1"/>
    <col min="5639" max="5879" width="11.453125" style="11"/>
    <col min="5880" max="5880" width="10.1796875" style="11" customWidth="1"/>
    <col min="5881" max="5881" width="11" style="11" customWidth="1"/>
    <col min="5882" max="5882" width="9.7265625" style="11" customWidth="1"/>
    <col min="5883" max="5883" width="12.7265625" style="11" customWidth="1"/>
    <col min="5884" max="5884" width="11.54296875" style="11" customWidth="1"/>
    <col min="5885" max="5885" width="10.7265625" style="11" customWidth="1"/>
    <col min="5886" max="5886" width="9.26953125" style="11" customWidth="1"/>
    <col min="5887" max="5888" width="10.1796875" style="11" customWidth="1"/>
    <col min="5889" max="5889" width="8.81640625" style="11" customWidth="1"/>
    <col min="5890" max="5890" width="7" style="11" customWidth="1"/>
    <col min="5891" max="5891" width="9.81640625" style="11" customWidth="1"/>
    <col min="5892" max="5892" width="9" style="11" customWidth="1"/>
    <col min="5893" max="5893" width="8.1796875" style="11" customWidth="1"/>
    <col min="5894" max="5894" width="13.1796875" style="11" customWidth="1"/>
    <col min="5895" max="6135" width="11.453125" style="11"/>
    <col min="6136" max="6136" width="10.1796875" style="11" customWidth="1"/>
    <col min="6137" max="6137" width="11" style="11" customWidth="1"/>
    <col min="6138" max="6138" width="9.7265625" style="11" customWidth="1"/>
    <col min="6139" max="6139" width="12.7265625" style="11" customWidth="1"/>
    <col min="6140" max="6140" width="11.54296875" style="11" customWidth="1"/>
    <col min="6141" max="6141" width="10.7265625" style="11" customWidth="1"/>
    <col min="6142" max="6142" width="9.26953125" style="11" customWidth="1"/>
    <col min="6143" max="6144" width="10.1796875" style="11" customWidth="1"/>
    <col min="6145" max="6145" width="8.81640625" style="11" customWidth="1"/>
    <col min="6146" max="6146" width="7" style="11" customWidth="1"/>
    <col min="6147" max="6147" width="9.81640625" style="11" customWidth="1"/>
    <col min="6148" max="6148" width="9" style="11" customWidth="1"/>
    <col min="6149" max="6149" width="8.1796875" style="11" customWidth="1"/>
    <col min="6150" max="6150" width="13.1796875" style="11" customWidth="1"/>
    <col min="6151" max="6391" width="11.453125" style="11"/>
    <col min="6392" max="6392" width="10.1796875" style="11" customWidth="1"/>
    <col min="6393" max="6393" width="11" style="11" customWidth="1"/>
    <col min="6394" max="6394" width="9.7265625" style="11" customWidth="1"/>
    <col min="6395" max="6395" width="12.7265625" style="11" customWidth="1"/>
    <col min="6396" max="6396" width="11.54296875" style="11" customWidth="1"/>
    <col min="6397" max="6397" width="10.7265625" style="11" customWidth="1"/>
    <col min="6398" max="6398" width="9.26953125" style="11" customWidth="1"/>
    <col min="6399" max="6400" width="10.1796875" style="11" customWidth="1"/>
    <col min="6401" max="6401" width="8.81640625" style="11" customWidth="1"/>
    <col min="6402" max="6402" width="7" style="11" customWidth="1"/>
    <col min="6403" max="6403" width="9.81640625" style="11" customWidth="1"/>
    <col min="6404" max="6404" width="9" style="11" customWidth="1"/>
    <col min="6405" max="6405" width="8.1796875" style="11" customWidth="1"/>
    <col min="6406" max="6406" width="13.1796875" style="11" customWidth="1"/>
    <col min="6407" max="6647" width="11.453125" style="11"/>
    <col min="6648" max="6648" width="10.1796875" style="11" customWidth="1"/>
    <col min="6649" max="6649" width="11" style="11" customWidth="1"/>
    <col min="6650" max="6650" width="9.7265625" style="11" customWidth="1"/>
    <col min="6651" max="6651" width="12.7265625" style="11" customWidth="1"/>
    <col min="6652" max="6652" width="11.54296875" style="11" customWidth="1"/>
    <col min="6653" max="6653" width="10.7265625" style="11" customWidth="1"/>
    <col min="6654" max="6654" width="9.26953125" style="11" customWidth="1"/>
    <col min="6655" max="6656" width="10.1796875" style="11" customWidth="1"/>
    <col min="6657" max="6657" width="8.81640625" style="11" customWidth="1"/>
    <col min="6658" max="6658" width="7" style="11" customWidth="1"/>
    <col min="6659" max="6659" width="9.81640625" style="11" customWidth="1"/>
    <col min="6660" max="6660" width="9" style="11" customWidth="1"/>
    <col min="6661" max="6661" width="8.1796875" style="11" customWidth="1"/>
    <col min="6662" max="6662" width="13.1796875" style="11" customWidth="1"/>
    <col min="6663" max="6903" width="11.453125" style="11"/>
    <col min="6904" max="6904" width="10.1796875" style="11" customWidth="1"/>
    <col min="6905" max="6905" width="11" style="11" customWidth="1"/>
    <col min="6906" max="6906" width="9.7265625" style="11" customWidth="1"/>
    <col min="6907" max="6907" width="12.7265625" style="11" customWidth="1"/>
    <col min="6908" max="6908" width="11.54296875" style="11" customWidth="1"/>
    <col min="6909" max="6909" width="10.7265625" style="11" customWidth="1"/>
    <col min="6910" max="6910" width="9.26953125" style="11" customWidth="1"/>
    <col min="6911" max="6912" width="10.1796875" style="11" customWidth="1"/>
    <col min="6913" max="6913" width="8.81640625" style="11" customWidth="1"/>
    <col min="6914" max="6914" width="7" style="11" customWidth="1"/>
    <col min="6915" max="6915" width="9.81640625" style="11" customWidth="1"/>
    <col min="6916" max="6916" width="9" style="11" customWidth="1"/>
    <col min="6917" max="6917" width="8.1796875" style="11" customWidth="1"/>
    <col min="6918" max="6918" width="13.1796875" style="11" customWidth="1"/>
    <col min="6919" max="7159" width="11.453125" style="11"/>
    <col min="7160" max="7160" width="10.1796875" style="11" customWidth="1"/>
    <col min="7161" max="7161" width="11" style="11" customWidth="1"/>
    <col min="7162" max="7162" width="9.7265625" style="11" customWidth="1"/>
    <col min="7163" max="7163" width="12.7265625" style="11" customWidth="1"/>
    <col min="7164" max="7164" width="11.54296875" style="11" customWidth="1"/>
    <col min="7165" max="7165" width="10.7265625" style="11" customWidth="1"/>
    <col min="7166" max="7166" width="9.26953125" style="11" customWidth="1"/>
    <col min="7167" max="7168" width="10.1796875" style="11" customWidth="1"/>
    <col min="7169" max="7169" width="8.81640625" style="11" customWidth="1"/>
    <col min="7170" max="7170" width="7" style="11" customWidth="1"/>
    <col min="7171" max="7171" width="9.81640625" style="11" customWidth="1"/>
    <col min="7172" max="7172" width="9" style="11" customWidth="1"/>
    <col min="7173" max="7173" width="8.1796875" style="11" customWidth="1"/>
    <col min="7174" max="7174" width="13.1796875" style="11" customWidth="1"/>
    <col min="7175" max="7415" width="11.453125" style="11"/>
    <col min="7416" max="7416" width="10.1796875" style="11" customWidth="1"/>
    <col min="7417" max="7417" width="11" style="11" customWidth="1"/>
    <col min="7418" max="7418" width="9.7265625" style="11" customWidth="1"/>
    <col min="7419" max="7419" width="12.7265625" style="11" customWidth="1"/>
    <col min="7420" max="7420" width="11.54296875" style="11" customWidth="1"/>
    <col min="7421" max="7421" width="10.7265625" style="11" customWidth="1"/>
    <col min="7422" max="7422" width="9.26953125" style="11" customWidth="1"/>
    <col min="7423" max="7424" width="10.1796875" style="11" customWidth="1"/>
    <col min="7425" max="7425" width="8.81640625" style="11" customWidth="1"/>
    <col min="7426" max="7426" width="7" style="11" customWidth="1"/>
    <col min="7427" max="7427" width="9.81640625" style="11" customWidth="1"/>
    <col min="7428" max="7428" width="9" style="11" customWidth="1"/>
    <col min="7429" max="7429" width="8.1796875" style="11" customWidth="1"/>
    <col min="7430" max="7430" width="13.1796875" style="11" customWidth="1"/>
    <col min="7431" max="7671" width="11.453125" style="11"/>
    <col min="7672" max="7672" width="10.1796875" style="11" customWidth="1"/>
    <col min="7673" max="7673" width="11" style="11" customWidth="1"/>
    <col min="7674" max="7674" width="9.7265625" style="11" customWidth="1"/>
    <col min="7675" max="7675" width="12.7265625" style="11" customWidth="1"/>
    <col min="7676" max="7676" width="11.54296875" style="11" customWidth="1"/>
    <col min="7677" max="7677" width="10.7265625" style="11" customWidth="1"/>
    <col min="7678" max="7678" width="9.26953125" style="11" customWidth="1"/>
    <col min="7679" max="7680" width="10.1796875" style="11" customWidth="1"/>
    <col min="7681" max="7681" width="8.81640625" style="11" customWidth="1"/>
    <col min="7682" max="7682" width="7" style="11" customWidth="1"/>
    <col min="7683" max="7683" width="9.81640625" style="11" customWidth="1"/>
    <col min="7684" max="7684" width="9" style="11" customWidth="1"/>
    <col min="7685" max="7685" width="8.1796875" style="11" customWidth="1"/>
    <col min="7686" max="7686" width="13.1796875" style="11" customWidth="1"/>
    <col min="7687" max="7927" width="11.453125" style="11"/>
    <col min="7928" max="7928" width="10.1796875" style="11" customWidth="1"/>
    <col min="7929" max="7929" width="11" style="11" customWidth="1"/>
    <col min="7930" max="7930" width="9.7265625" style="11" customWidth="1"/>
    <col min="7931" max="7931" width="12.7265625" style="11" customWidth="1"/>
    <col min="7932" max="7932" width="11.54296875" style="11" customWidth="1"/>
    <col min="7933" max="7933" width="10.7265625" style="11" customWidth="1"/>
    <col min="7934" max="7934" width="9.26953125" style="11" customWidth="1"/>
    <col min="7935" max="7936" width="10.1796875" style="11" customWidth="1"/>
    <col min="7937" max="7937" width="8.81640625" style="11" customWidth="1"/>
    <col min="7938" max="7938" width="7" style="11" customWidth="1"/>
    <col min="7939" max="7939" width="9.81640625" style="11" customWidth="1"/>
    <col min="7940" max="7940" width="9" style="11" customWidth="1"/>
    <col min="7941" max="7941" width="8.1796875" style="11" customWidth="1"/>
    <col min="7942" max="7942" width="13.1796875" style="11" customWidth="1"/>
    <col min="7943" max="8183" width="11.453125" style="11"/>
    <col min="8184" max="8184" width="10.1796875" style="11" customWidth="1"/>
    <col min="8185" max="8185" width="11" style="11" customWidth="1"/>
    <col min="8186" max="8186" width="9.7265625" style="11" customWidth="1"/>
    <col min="8187" max="8187" width="12.7265625" style="11" customWidth="1"/>
    <col min="8188" max="8188" width="11.54296875" style="11" customWidth="1"/>
    <col min="8189" max="8189" width="10.7265625" style="11" customWidth="1"/>
    <col min="8190" max="8190" width="9.26953125" style="11" customWidth="1"/>
    <col min="8191" max="8192" width="10.1796875" style="11" customWidth="1"/>
    <col min="8193" max="8193" width="8.81640625" style="11" customWidth="1"/>
    <col min="8194" max="8194" width="7" style="11" customWidth="1"/>
    <col min="8195" max="8195" width="9.81640625" style="11" customWidth="1"/>
    <col min="8196" max="8196" width="9" style="11" customWidth="1"/>
    <col min="8197" max="8197" width="8.1796875" style="11" customWidth="1"/>
    <col min="8198" max="8198" width="13.1796875" style="11" customWidth="1"/>
    <col min="8199" max="8439" width="11.453125" style="11"/>
    <col min="8440" max="8440" width="10.1796875" style="11" customWidth="1"/>
    <col min="8441" max="8441" width="11" style="11" customWidth="1"/>
    <col min="8442" max="8442" width="9.7265625" style="11" customWidth="1"/>
    <col min="8443" max="8443" width="12.7265625" style="11" customWidth="1"/>
    <col min="8444" max="8444" width="11.54296875" style="11" customWidth="1"/>
    <col min="8445" max="8445" width="10.7265625" style="11" customWidth="1"/>
    <col min="8446" max="8446" width="9.26953125" style="11" customWidth="1"/>
    <col min="8447" max="8448" width="10.1796875" style="11" customWidth="1"/>
    <col min="8449" max="8449" width="8.81640625" style="11" customWidth="1"/>
    <col min="8450" max="8450" width="7" style="11" customWidth="1"/>
    <col min="8451" max="8451" width="9.81640625" style="11" customWidth="1"/>
    <col min="8452" max="8452" width="9" style="11" customWidth="1"/>
    <col min="8453" max="8453" width="8.1796875" style="11" customWidth="1"/>
    <col min="8454" max="8454" width="13.1796875" style="11" customWidth="1"/>
    <col min="8455" max="8695" width="11.453125" style="11"/>
    <col min="8696" max="8696" width="10.1796875" style="11" customWidth="1"/>
    <col min="8697" max="8697" width="11" style="11" customWidth="1"/>
    <col min="8698" max="8698" width="9.7265625" style="11" customWidth="1"/>
    <col min="8699" max="8699" width="12.7265625" style="11" customWidth="1"/>
    <col min="8700" max="8700" width="11.54296875" style="11" customWidth="1"/>
    <col min="8701" max="8701" width="10.7265625" style="11" customWidth="1"/>
    <col min="8702" max="8702" width="9.26953125" style="11" customWidth="1"/>
    <col min="8703" max="8704" width="10.1796875" style="11" customWidth="1"/>
    <col min="8705" max="8705" width="8.81640625" style="11" customWidth="1"/>
    <col min="8706" max="8706" width="7" style="11" customWidth="1"/>
    <col min="8707" max="8707" width="9.81640625" style="11" customWidth="1"/>
    <col min="8708" max="8708" width="9" style="11" customWidth="1"/>
    <col min="8709" max="8709" width="8.1796875" style="11" customWidth="1"/>
    <col min="8710" max="8710" width="13.1796875" style="11" customWidth="1"/>
    <col min="8711" max="8951" width="11.453125" style="11"/>
    <col min="8952" max="8952" width="10.1796875" style="11" customWidth="1"/>
    <col min="8953" max="8953" width="11" style="11" customWidth="1"/>
    <col min="8954" max="8954" width="9.7265625" style="11" customWidth="1"/>
    <col min="8955" max="8955" width="12.7265625" style="11" customWidth="1"/>
    <col min="8956" max="8956" width="11.54296875" style="11" customWidth="1"/>
    <col min="8957" max="8957" width="10.7265625" style="11" customWidth="1"/>
    <col min="8958" max="8958" width="9.26953125" style="11" customWidth="1"/>
    <col min="8959" max="8960" width="10.1796875" style="11" customWidth="1"/>
    <col min="8961" max="8961" width="8.81640625" style="11" customWidth="1"/>
    <col min="8962" max="8962" width="7" style="11" customWidth="1"/>
    <col min="8963" max="8963" width="9.81640625" style="11" customWidth="1"/>
    <col min="8964" max="8964" width="9" style="11" customWidth="1"/>
    <col min="8965" max="8965" width="8.1796875" style="11" customWidth="1"/>
    <col min="8966" max="8966" width="13.1796875" style="11" customWidth="1"/>
    <col min="8967" max="9207" width="11.453125" style="11"/>
    <col min="9208" max="9208" width="10.1796875" style="11" customWidth="1"/>
    <col min="9209" max="9209" width="11" style="11" customWidth="1"/>
    <col min="9210" max="9210" width="9.7265625" style="11" customWidth="1"/>
    <col min="9211" max="9211" width="12.7265625" style="11" customWidth="1"/>
    <col min="9212" max="9212" width="11.54296875" style="11" customWidth="1"/>
    <col min="9213" max="9213" width="10.7265625" style="11" customWidth="1"/>
    <col min="9214" max="9214" width="9.26953125" style="11" customWidth="1"/>
    <col min="9215" max="9216" width="10.1796875" style="11" customWidth="1"/>
    <col min="9217" max="9217" width="8.81640625" style="11" customWidth="1"/>
    <col min="9218" max="9218" width="7" style="11" customWidth="1"/>
    <col min="9219" max="9219" width="9.81640625" style="11" customWidth="1"/>
    <col min="9220" max="9220" width="9" style="11" customWidth="1"/>
    <col min="9221" max="9221" width="8.1796875" style="11" customWidth="1"/>
    <col min="9222" max="9222" width="13.1796875" style="11" customWidth="1"/>
    <col min="9223" max="9463" width="11.453125" style="11"/>
    <col min="9464" max="9464" width="10.1796875" style="11" customWidth="1"/>
    <col min="9465" max="9465" width="11" style="11" customWidth="1"/>
    <col min="9466" max="9466" width="9.7265625" style="11" customWidth="1"/>
    <col min="9467" max="9467" width="12.7265625" style="11" customWidth="1"/>
    <col min="9468" max="9468" width="11.54296875" style="11" customWidth="1"/>
    <col min="9469" max="9469" width="10.7265625" style="11" customWidth="1"/>
    <col min="9470" max="9470" width="9.26953125" style="11" customWidth="1"/>
    <col min="9471" max="9472" width="10.1796875" style="11" customWidth="1"/>
    <col min="9473" max="9473" width="8.81640625" style="11" customWidth="1"/>
    <col min="9474" max="9474" width="7" style="11" customWidth="1"/>
    <col min="9475" max="9475" width="9.81640625" style="11" customWidth="1"/>
    <col min="9476" max="9476" width="9" style="11" customWidth="1"/>
    <col min="9477" max="9477" width="8.1796875" style="11" customWidth="1"/>
    <col min="9478" max="9478" width="13.1796875" style="11" customWidth="1"/>
    <col min="9479" max="9719" width="11.453125" style="11"/>
    <col min="9720" max="9720" width="10.1796875" style="11" customWidth="1"/>
    <col min="9721" max="9721" width="11" style="11" customWidth="1"/>
    <col min="9722" max="9722" width="9.7265625" style="11" customWidth="1"/>
    <col min="9723" max="9723" width="12.7265625" style="11" customWidth="1"/>
    <col min="9724" max="9724" width="11.54296875" style="11" customWidth="1"/>
    <col min="9725" max="9725" width="10.7265625" style="11" customWidth="1"/>
    <col min="9726" max="9726" width="9.26953125" style="11" customWidth="1"/>
    <col min="9727" max="9728" width="10.1796875" style="11" customWidth="1"/>
    <col min="9729" max="9729" width="8.81640625" style="11" customWidth="1"/>
    <col min="9730" max="9730" width="7" style="11" customWidth="1"/>
    <col min="9731" max="9731" width="9.81640625" style="11" customWidth="1"/>
    <col min="9732" max="9732" width="9" style="11" customWidth="1"/>
    <col min="9733" max="9733" width="8.1796875" style="11" customWidth="1"/>
    <col min="9734" max="9734" width="13.1796875" style="11" customWidth="1"/>
    <col min="9735" max="9975" width="11.453125" style="11"/>
    <col min="9976" max="9976" width="10.1796875" style="11" customWidth="1"/>
    <col min="9977" max="9977" width="11" style="11" customWidth="1"/>
    <col min="9978" max="9978" width="9.7265625" style="11" customWidth="1"/>
    <col min="9979" max="9979" width="12.7265625" style="11" customWidth="1"/>
    <col min="9980" max="9980" width="11.54296875" style="11" customWidth="1"/>
    <col min="9981" max="9981" width="10.7265625" style="11" customWidth="1"/>
    <col min="9982" max="9982" width="9.26953125" style="11" customWidth="1"/>
    <col min="9983" max="9984" width="10.1796875" style="11" customWidth="1"/>
    <col min="9985" max="9985" width="8.81640625" style="11" customWidth="1"/>
    <col min="9986" max="9986" width="7" style="11" customWidth="1"/>
    <col min="9987" max="9987" width="9.81640625" style="11" customWidth="1"/>
    <col min="9988" max="9988" width="9" style="11" customWidth="1"/>
    <col min="9989" max="9989" width="8.1796875" style="11" customWidth="1"/>
    <col min="9990" max="9990" width="13.1796875" style="11" customWidth="1"/>
    <col min="9991" max="10231" width="11.453125" style="11"/>
    <col min="10232" max="10232" width="10.1796875" style="11" customWidth="1"/>
    <col min="10233" max="10233" width="11" style="11" customWidth="1"/>
    <col min="10234" max="10234" width="9.7265625" style="11" customWidth="1"/>
    <col min="10235" max="10235" width="12.7265625" style="11" customWidth="1"/>
    <col min="10236" max="10236" width="11.54296875" style="11" customWidth="1"/>
    <col min="10237" max="10237" width="10.7265625" style="11" customWidth="1"/>
    <col min="10238" max="10238" width="9.26953125" style="11" customWidth="1"/>
    <col min="10239" max="10240" width="10.1796875" style="11" customWidth="1"/>
    <col min="10241" max="10241" width="8.81640625" style="11" customWidth="1"/>
    <col min="10242" max="10242" width="7" style="11" customWidth="1"/>
    <col min="10243" max="10243" width="9.81640625" style="11" customWidth="1"/>
    <col min="10244" max="10244" width="9" style="11" customWidth="1"/>
    <col min="10245" max="10245" width="8.1796875" style="11" customWidth="1"/>
    <col min="10246" max="10246" width="13.1796875" style="11" customWidth="1"/>
    <col min="10247" max="10487" width="11.453125" style="11"/>
    <col min="10488" max="10488" width="10.1796875" style="11" customWidth="1"/>
    <col min="10489" max="10489" width="11" style="11" customWidth="1"/>
    <col min="10490" max="10490" width="9.7265625" style="11" customWidth="1"/>
    <col min="10491" max="10491" width="12.7265625" style="11" customWidth="1"/>
    <col min="10492" max="10492" width="11.54296875" style="11" customWidth="1"/>
    <col min="10493" max="10493" width="10.7265625" style="11" customWidth="1"/>
    <col min="10494" max="10494" width="9.26953125" style="11" customWidth="1"/>
    <col min="10495" max="10496" width="10.1796875" style="11" customWidth="1"/>
    <col min="10497" max="10497" width="8.81640625" style="11" customWidth="1"/>
    <col min="10498" max="10498" width="7" style="11" customWidth="1"/>
    <col min="10499" max="10499" width="9.81640625" style="11" customWidth="1"/>
    <col min="10500" max="10500" width="9" style="11" customWidth="1"/>
    <col min="10501" max="10501" width="8.1796875" style="11" customWidth="1"/>
    <col min="10502" max="10502" width="13.1796875" style="11" customWidth="1"/>
    <col min="10503" max="10743" width="11.453125" style="11"/>
    <col min="10744" max="10744" width="10.1796875" style="11" customWidth="1"/>
    <col min="10745" max="10745" width="11" style="11" customWidth="1"/>
    <col min="10746" max="10746" width="9.7265625" style="11" customWidth="1"/>
    <col min="10747" max="10747" width="12.7265625" style="11" customWidth="1"/>
    <col min="10748" max="10748" width="11.54296875" style="11" customWidth="1"/>
    <col min="10749" max="10749" width="10.7265625" style="11" customWidth="1"/>
    <col min="10750" max="10750" width="9.26953125" style="11" customWidth="1"/>
    <col min="10751" max="10752" width="10.1796875" style="11" customWidth="1"/>
    <col min="10753" max="10753" width="8.81640625" style="11" customWidth="1"/>
    <col min="10754" max="10754" width="7" style="11" customWidth="1"/>
    <col min="10755" max="10755" width="9.81640625" style="11" customWidth="1"/>
    <col min="10756" max="10756" width="9" style="11" customWidth="1"/>
    <col min="10757" max="10757" width="8.1796875" style="11" customWidth="1"/>
    <col min="10758" max="10758" width="13.1796875" style="11" customWidth="1"/>
    <col min="10759" max="10999" width="11.453125" style="11"/>
    <col min="11000" max="11000" width="10.1796875" style="11" customWidth="1"/>
    <col min="11001" max="11001" width="11" style="11" customWidth="1"/>
    <col min="11002" max="11002" width="9.7265625" style="11" customWidth="1"/>
    <col min="11003" max="11003" width="12.7265625" style="11" customWidth="1"/>
    <col min="11004" max="11004" width="11.54296875" style="11" customWidth="1"/>
    <col min="11005" max="11005" width="10.7265625" style="11" customWidth="1"/>
    <col min="11006" max="11006" width="9.26953125" style="11" customWidth="1"/>
    <col min="11007" max="11008" width="10.1796875" style="11" customWidth="1"/>
    <col min="11009" max="11009" width="8.81640625" style="11" customWidth="1"/>
    <col min="11010" max="11010" width="7" style="11" customWidth="1"/>
    <col min="11011" max="11011" width="9.81640625" style="11" customWidth="1"/>
    <col min="11012" max="11012" width="9" style="11" customWidth="1"/>
    <col min="11013" max="11013" width="8.1796875" style="11" customWidth="1"/>
    <col min="11014" max="11014" width="13.1796875" style="11" customWidth="1"/>
    <col min="11015" max="11255" width="11.453125" style="11"/>
    <col min="11256" max="11256" width="10.1796875" style="11" customWidth="1"/>
    <col min="11257" max="11257" width="11" style="11" customWidth="1"/>
    <col min="11258" max="11258" width="9.7265625" style="11" customWidth="1"/>
    <col min="11259" max="11259" width="12.7265625" style="11" customWidth="1"/>
    <col min="11260" max="11260" width="11.54296875" style="11" customWidth="1"/>
    <col min="11261" max="11261" width="10.7265625" style="11" customWidth="1"/>
    <col min="11262" max="11262" width="9.26953125" style="11" customWidth="1"/>
    <col min="11263" max="11264" width="10.1796875" style="11" customWidth="1"/>
    <col min="11265" max="11265" width="8.81640625" style="11" customWidth="1"/>
    <col min="11266" max="11266" width="7" style="11" customWidth="1"/>
    <col min="11267" max="11267" width="9.81640625" style="11" customWidth="1"/>
    <col min="11268" max="11268" width="9" style="11" customWidth="1"/>
    <col min="11269" max="11269" width="8.1796875" style="11" customWidth="1"/>
    <col min="11270" max="11270" width="13.1796875" style="11" customWidth="1"/>
    <col min="11271" max="11511" width="11.453125" style="11"/>
    <col min="11512" max="11512" width="10.1796875" style="11" customWidth="1"/>
    <col min="11513" max="11513" width="11" style="11" customWidth="1"/>
    <col min="11514" max="11514" width="9.7265625" style="11" customWidth="1"/>
    <col min="11515" max="11515" width="12.7265625" style="11" customWidth="1"/>
    <col min="11516" max="11516" width="11.54296875" style="11" customWidth="1"/>
    <col min="11517" max="11517" width="10.7265625" style="11" customWidth="1"/>
    <col min="11518" max="11518" width="9.26953125" style="11" customWidth="1"/>
    <col min="11519" max="11520" width="10.1796875" style="11" customWidth="1"/>
    <col min="11521" max="11521" width="8.81640625" style="11" customWidth="1"/>
    <col min="11522" max="11522" width="7" style="11" customWidth="1"/>
    <col min="11523" max="11523" width="9.81640625" style="11" customWidth="1"/>
    <col min="11524" max="11524" width="9" style="11" customWidth="1"/>
    <col min="11525" max="11525" width="8.1796875" style="11" customWidth="1"/>
    <col min="11526" max="11526" width="13.1796875" style="11" customWidth="1"/>
    <col min="11527" max="11767" width="11.453125" style="11"/>
    <col min="11768" max="11768" width="10.1796875" style="11" customWidth="1"/>
    <col min="11769" max="11769" width="11" style="11" customWidth="1"/>
    <col min="11770" max="11770" width="9.7265625" style="11" customWidth="1"/>
    <col min="11771" max="11771" width="12.7265625" style="11" customWidth="1"/>
    <col min="11772" max="11772" width="11.54296875" style="11" customWidth="1"/>
    <col min="11773" max="11773" width="10.7265625" style="11" customWidth="1"/>
    <col min="11774" max="11774" width="9.26953125" style="11" customWidth="1"/>
    <col min="11775" max="11776" width="10.1796875" style="11" customWidth="1"/>
    <col min="11777" max="11777" width="8.81640625" style="11" customWidth="1"/>
    <col min="11778" max="11778" width="7" style="11" customWidth="1"/>
    <col min="11779" max="11779" width="9.81640625" style="11" customWidth="1"/>
    <col min="11780" max="11780" width="9" style="11" customWidth="1"/>
    <col min="11781" max="11781" width="8.1796875" style="11" customWidth="1"/>
    <col min="11782" max="11782" width="13.1796875" style="11" customWidth="1"/>
    <col min="11783" max="12023" width="11.453125" style="11"/>
    <col min="12024" max="12024" width="10.1796875" style="11" customWidth="1"/>
    <col min="12025" max="12025" width="11" style="11" customWidth="1"/>
    <col min="12026" max="12026" width="9.7265625" style="11" customWidth="1"/>
    <col min="12027" max="12027" width="12.7265625" style="11" customWidth="1"/>
    <col min="12028" max="12028" width="11.54296875" style="11" customWidth="1"/>
    <col min="12029" max="12029" width="10.7265625" style="11" customWidth="1"/>
    <col min="12030" max="12030" width="9.26953125" style="11" customWidth="1"/>
    <col min="12031" max="12032" width="10.1796875" style="11" customWidth="1"/>
    <col min="12033" max="12033" width="8.81640625" style="11" customWidth="1"/>
    <col min="12034" max="12034" width="7" style="11" customWidth="1"/>
    <col min="12035" max="12035" width="9.81640625" style="11" customWidth="1"/>
    <col min="12036" max="12036" width="9" style="11" customWidth="1"/>
    <col min="12037" max="12037" width="8.1796875" style="11" customWidth="1"/>
    <col min="12038" max="12038" width="13.1796875" style="11" customWidth="1"/>
    <col min="12039" max="12279" width="11.453125" style="11"/>
    <col min="12280" max="12280" width="10.1796875" style="11" customWidth="1"/>
    <col min="12281" max="12281" width="11" style="11" customWidth="1"/>
    <col min="12282" max="12282" width="9.7265625" style="11" customWidth="1"/>
    <col min="12283" max="12283" width="12.7265625" style="11" customWidth="1"/>
    <col min="12284" max="12284" width="11.54296875" style="11" customWidth="1"/>
    <col min="12285" max="12285" width="10.7265625" style="11" customWidth="1"/>
    <col min="12286" max="12286" width="9.26953125" style="11" customWidth="1"/>
    <col min="12287" max="12288" width="10.1796875" style="11" customWidth="1"/>
    <col min="12289" max="12289" width="8.81640625" style="11" customWidth="1"/>
    <col min="12290" max="12290" width="7" style="11" customWidth="1"/>
    <col min="12291" max="12291" width="9.81640625" style="11" customWidth="1"/>
    <col min="12292" max="12292" width="9" style="11" customWidth="1"/>
    <col min="12293" max="12293" width="8.1796875" style="11" customWidth="1"/>
    <col min="12294" max="12294" width="13.1796875" style="11" customWidth="1"/>
    <col min="12295" max="12535" width="11.453125" style="11"/>
    <col min="12536" max="12536" width="10.1796875" style="11" customWidth="1"/>
    <col min="12537" max="12537" width="11" style="11" customWidth="1"/>
    <col min="12538" max="12538" width="9.7265625" style="11" customWidth="1"/>
    <col min="12539" max="12539" width="12.7265625" style="11" customWidth="1"/>
    <col min="12540" max="12540" width="11.54296875" style="11" customWidth="1"/>
    <col min="12541" max="12541" width="10.7265625" style="11" customWidth="1"/>
    <col min="12542" max="12542" width="9.26953125" style="11" customWidth="1"/>
    <col min="12543" max="12544" width="10.1796875" style="11" customWidth="1"/>
    <col min="12545" max="12545" width="8.81640625" style="11" customWidth="1"/>
    <col min="12546" max="12546" width="7" style="11" customWidth="1"/>
    <col min="12547" max="12547" width="9.81640625" style="11" customWidth="1"/>
    <col min="12548" max="12548" width="9" style="11" customWidth="1"/>
    <col min="12549" max="12549" width="8.1796875" style="11" customWidth="1"/>
    <col min="12550" max="12550" width="13.1796875" style="11" customWidth="1"/>
    <col min="12551" max="12791" width="11.453125" style="11"/>
    <col min="12792" max="12792" width="10.1796875" style="11" customWidth="1"/>
    <col min="12793" max="12793" width="11" style="11" customWidth="1"/>
    <col min="12794" max="12794" width="9.7265625" style="11" customWidth="1"/>
    <col min="12795" max="12795" width="12.7265625" style="11" customWidth="1"/>
    <col min="12796" max="12796" width="11.54296875" style="11" customWidth="1"/>
    <col min="12797" max="12797" width="10.7265625" style="11" customWidth="1"/>
    <col min="12798" max="12798" width="9.26953125" style="11" customWidth="1"/>
    <col min="12799" max="12800" width="10.1796875" style="11" customWidth="1"/>
    <col min="12801" max="12801" width="8.81640625" style="11" customWidth="1"/>
    <col min="12802" max="12802" width="7" style="11" customWidth="1"/>
    <col min="12803" max="12803" width="9.81640625" style="11" customWidth="1"/>
    <col min="12804" max="12804" width="9" style="11" customWidth="1"/>
    <col min="12805" max="12805" width="8.1796875" style="11" customWidth="1"/>
    <col min="12806" max="12806" width="13.1796875" style="11" customWidth="1"/>
    <col min="12807" max="13047" width="11.453125" style="11"/>
    <col min="13048" max="13048" width="10.1796875" style="11" customWidth="1"/>
    <col min="13049" max="13049" width="11" style="11" customWidth="1"/>
    <col min="13050" max="13050" width="9.7265625" style="11" customWidth="1"/>
    <col min="13051" max="13051" width="12.7265625" style="11" customWidth="1"/>
    <col min="13052" max="13052" width="11.54296875" style="11" customWidth="1"/>
    <col min="13053" max="13053" width="10.7265625" style="11" customWidth="1"/>
    <col min="13054" max="13054" width="9.26953125" style="11" customWidth="1"/>
    <col min="13055" max="13056" width="10.1796875" style="11" customWidth="1"/>
    <col min="13057" max="13057" width="8.81640625" style="11" customWidth="1"/>
    <col min="13058" max="13058" width="7" style="11" customWidth="1"/>
    <col min="13059" max="13059" width="9.81640625" style="11" customWidth="1"/>
    <col min="13060" max="13060" width="9" style="11" customWidth="1"/>
    <col min="13061" max="13061" width="8.1796875" style="11" customWidth="1"/>
    <col min="13062" max="13062" width="13.1796875" style="11" customWidth="1"/>
    <col min="13063" max="13303" width="11.453125" style="11"/>
    <col min="13304" max="13304" width="10.1796875" style="11" customWidth="1"/>
    <col min="13305" max="13305" width="11" style="11" customWidth="1"/>
    <col min="13306" max="13306" width="9.7265625" style="11" customWidth="1"/>
    <col min="13307" max="13307" width="12.7265625" style="11" customWidth="1"/>
    <col min="13308" max="13308" width="11.54296875" style="11" customWidth="1"/>
    <col min="13309" max="13309" width="10.7265625" style="11" customWidth="1"/>
    <col min="13310" max="13310" width="9.26953125" style="11" customWidth="1"/>
    <col min="13311" max="13312" width="10.1796875" style="11" customWidth="1"/>
    <col min="13313" max="13313" width="8.81640625" style="11" customWidth="1"/>
    <col min="13314" max="13314" width="7" style="11" customWidth="1"/>
    <col min="13315" max="13315" width="9.81640625" style="11" customWidth="1"/>
    <col min="13316" max="13316" width="9" style="11" customWidth="1"/>
    <col min="13317" max="13317" width="8.1796875" style="11" customWidth="1"/>
    <col min="13318" max="13318" width="13.1796875" style="11" customWidth="1"/>
    <col min="13319" max="13559" width="11.453125" style="11"/>
    <col min="13560" max="13560" width="10.1796875" style="11" customWidth="1"/>
    <col min="13561" max="13561" width="11" style="11" customWidth="1"/>
    <col min="13562" max="13562" width="9.7265625" style="11" customWidth="1"/>
    <col min="13563" max="13563" width="12.7265625" style="11" customWidth="1"/>
    <col min="13564" max="13564" width="11.54296875" style="11" customWidth="1"/>
    <col min="13565" max="13565" width="10.7265625" style="11" customWidth="1"/>
    <col min="13566" max="13566" width="9.26953125" style="11" customWidth="1"/>
    <col min="13567" max="13568" width="10.1796875" style="11" customWidth="1"/>
    <col min="13569" max="13569" width="8.81640625" style="11" customWidth="1"/>
    <col min="13570" max="13570" width="7" style="11" customWidth="1"/>
    <col min="13571" max="13571" width="9.81640625" style="11" customWidth="1"/>
    <col min="13572" max="13572" width="9" style="11" customWidth="1"/>
    <col min="13573" max="13573" width="8.1796875" style="11" customWidth="1"/>
    <col min="13574" max="13574" width="13.1796875" style="11" customWidth="1"/>
    <col min="13575" max="13815" width="11.453125" style="11"/>
    <col min="13816" max="13816" width="10.1796875" style="11" customWidth="1"/>
    <col min="13817" max="13817" width="11" style="11" customWidth="1"/>
    <col min="13818" max="13818" width="9.7265625" style="11" customWidth="1"/>
    <col min="13819" max="13819" width="12.7265625" style="11" customWidth="1"/>
    <col min="13820" max="13820" width="11.54296875" style="11" customWidth="1"/>
    <col min="13821" max="13821" width="10.7265625" style="11" customWidth="1"/>
    <col min="13822" max="13822" width="9.26953125" style="11" customWidth="1"/>
    <col min="13823" max="13824" width="10.1796875" style="11" customWidth="1"/>
    <col min="13825" max="13825" width="8.81640625" style="11" customWidth="1"/>
    <col min="13826" max="13826" width="7" style="11" customWidth="1"/>
    <col min="13827" max="13827" width="9.81640625" style="11" customWidth="1"/>
    <col min="13828" max="13828" width="9" style="11" customWidth="1"/>
    <col min="13829" max="13829" width="8.1796875" style="11" customWidth="1"/>
    <col min="13830" max="13830" width="13.1796875" style="11" customWidth="1"/>
    <col min="13831" max="14071" width="11.453125" style="11"/>
    <col min="14072" max="14072" width="10.1796875" style="11" customWidth="1"/>
    <col min="14073" max="14073" width="11" style="11" customWidth="1"/>
    <col min="14074" max="14074" width="9.7265625" style="11" customWidth="1"/>
    <col min="14075" max="14075" width="12.7265625" style="11" customWidth="1"/>
    <col min="14076" max="14076" width="11.54296875" style="11" customWidth="1"/>
    <col min="14077" max="14077" width="10.7265625" style="11" customWidth="1"/>
    <col min="14078" max="14078" width="9.26953125" style="11" customWidth="1"/>
    <col min="14079" max="14080" width="10.1796875" style="11" customWidth="1"/>
    <col min="14081" max="14081" width="8.81640625" style="11" customWidth="1"/>
    <col min="14082" max="14082" width="7" style="11" customWidth="1"/>
    <col min="14083" max="14083" width="9.81640625" style="11" customWidth="1"/>
    <col min="14084" max="14084" width="9" style="11" customWidth="1"/>
    <col min="14085" max="14085" width="8.1796875" style="11" customWidth="1"/>
    <col min="14086" max="14086" width="13.1796875" style="11" customWidth="1"/>
    <col min="14087" max="14327" width="11.453125" style="11"/>
    <col min="14328" max="14328" width="10.1796875" style="11" customWidth="1"/>
    <col min="14329" max="14329" width="11" style="11" customWidth="1"/>
    <col min="14330" max="14330" width="9.7265625" style="11" customWidth="1"/>
    <col min="14331" max="14331" width="12.7265625" style="11" customWidth="1"/>
    <col min="14332" max="14332" width="11.54296875" style="11" customWidth="1"/>
    <col min="14333" max="14333" width="10.7265625" style="11" customWidth="1"/>
    <col min="14334" max="14334" width="9.26953125" style="11" customWidth="1"/>
    <col min="14335" max="14336" width="10.1796875" style="11" customWidth="1"/>
    <col min="14337" max="14337" width="8.81640625" style="11" customWidth="1"/>
    <col min="14338" max="14338" width="7" style="11" customWidth="1"/>
    <col min="14339" max="14339" width="9.81640625" style="11" customWidth="1"/>
    <col min="14340" max="14340" width="9" style="11" customWidth="1"/>
    <col min="14341" max="14341" width="8.1796875" style="11" customWidth="1"/>
    <col min="14342" max="14342" width="13.1796875" style="11" customWidth="1"/>
    <col min="14343" max="14583" width="11.453125" style="11"/>
    <col min="14584" max="14584" width="10.1796875" style="11" customWidth="1"/>
    <col min="14585" max="14585" width="11" style="11" customWidth="1"/>
    <col min="14586" max="14586" width="9.7265625" style="11" customWidth="1"/>
    <col min="14587" max="14587" width="12.7265625" style="11" customWidth="1"/>
    <col min="14588" max="14588" width="11.54296875" style="11" customWidth="1"/>
    <col min="14589" max="14589" width="10.7265625" style="11" customWidth="1"/>
    <col min="14590" max="14590" width="9.26953125" style="11" customWidth="1"/>
    <col min="14591" max="14592" width="10.1796875" style="11" customWidth="1"/>
    <col min="14593" max="14593" width="8.81640625" style="11" customWidth="1"/>
    <col min="14594" max="14594" width="7" style="11" customWidth="1"/>
    <col min="14595" max="14595" width="9.81640625" style="11" customWidth="1"/>
    <col min="14596" max="14596" width="9" style="11" customWidth="1"/>
    <col min="14597" max="14597" width="8.1796875" style="11" customWidth="1"/>
    <col min="14598" max="14598" width="13.1796875" style="11" customWidth="1"/>
    <col min="14599" max="14839" width="11.453125" style="11"/>
    <col min="14840" max="14840" width="10.1796875" style="11" customWidth="1"/>
    <col min="14841" max="14841" width="11" style="11" customWidth="1"/>
    <col min="14842" max="14842" width="9.7265625" style="11" customWidth="1"/>
    <col min="14843" max="14843" width="12.7265625" style="11" customWidth="1"/>
    <col min="14844" max="14844" width="11.54296875" style="11" customWidth="1"/>
    <col min="14845" max="14845" width="10.7265625" style="11" customWidth="1"/>
    <col min="14846" max="14846" width="9.26953125" style="11" customWidth="1"/>
    <col min="14847" max="14848" width="10.1796875" style="11" customWidth="1"/>
    <col min="14849" max="14849" width="8.81640625" style="11" customWidth="1"/>
    <col min="14850" max="14850" width="7" style="11" customWidth="1"/>
    <col min="14851" max="14851" width="9.81640625" style="11" customWidth="1"/>
    <col min="14852" max="14852" width="9" style="11" customWidth="1"/>
    <col min="14853" max="14853" width="8.1796875" style="11" customWidth="1"/>
    <col min="14854" max="14854" width="13.1796875" style="11" customWidth="1"/>
    <col min="14855" max="15095" width="11.453125" style="11"/>
    <col min="15096" max="15096" width="10.1796875" style="11" customWidth="1"/>
    <col min="15097" max="15097" width="11" style="11" customWidth="1"/>
    <col min="15098" max="15098" width="9.7265625" style="11" customWidth="1"/>
    <col min="15099" max="15099" width="12.7265625" style="11" customWidth="1"/>
    <col min="15100" max="15100" width="11.54296875" style="11" customWidth="1"/>
    <col min="15101" max="15101" width="10.7265625" style="11" customWidth="1"/>
    <col min="15102" max="15102" width="9.26953125" style="11" customWidth="1"/>
    <col min="15103" max="15104" width="10.1796875" style="11" customWidth="1"/>
    <col min="15105" max="15105" width="8.81640625" style="11" customWidth="1"/>
    <col min="15106" max="15106" width="7" style="11" customWidth="1"/>
    <col min="15107" max="15107" width="9.81640625" style="11" customWidth="1"/>
    <col min="15108" max="15108" width="9" style="11" customWidth="1"/>
    <col min="15109" max="15109" width="8.1796875" style="11" customWidth="1"/>
    <col min="15110" max="15110" width="13.1796875" style="11" customWidth="1"/>
    <col min="15111" max="15351" width="11.453125" style="11"/>
    <col min="15352" max="15352" width="10.1796875" style="11" customWidth="1"/>
    <col min="15353" max="15353" width="11" style="11" customWidth="1"/>
    <col min="15354" max="15354" width="9.7265625" style="11" customWidth="1"/>
    <col min="15355" max="15355" width="12.7265625" style="11" customWidth="1"/>
    <col min="15356" max="15356" width="11.54296875" style="11" customWidth="1"/>
    <col min="15357" max="15357" width="10.7265625" style="11" customWidth="1"/>
    <col min="15358" max="15358" width="9.26953125" style="11" customWidth="1"/>
    <col min="15359" max="15360" width="10.1796875" style="11" customWidth="1"/>
    <col min="15361" max="15361" width="8.81640625" style="11" customWidth="1"/>
    <col min="15362" max="15362" width="7" style="11" customWidth="1"/>
    <col min="15363" max="15363" width="9.81640625" style="11" customWidth="1"/>
    <col min="15364" max="15364" width="9" style="11" customWidth="1"/>
    <col min="15365" max="15365" width="8.1796875" style="11" customWidth="1"/>
    <col min="15366" max="15366" width="13.1796875" style="11" customWidth="1"/>
    <col min="15367" max="15607" width="11.453125" style="11"/>
    <col min="15608" max="15608" width="10.1796875" style="11" customWidth="1"/>
    <col min="15609" max="15609" width="11" style="11" customWidth="1"/>
    <col min="15610" max="15610" width="9.7265625" style="11" customWidth="1"/>
    <col min="15611" max="15611" width="12.7265625" style="11" customWidth="1"/>
    <col min="15612" max="15612" width="11.54296875" style="11" customWidth="1"/>
    <col min="15613" max="15613" width="10.7265625" style="11" customWidth="1"/>
    <col min="15614" max="15614" width="9.26953125" style="11" customWidth="1"/>
    <col min="15615" max="15616" width="10.1796875" style="11" customWidth="1"/>
    <col min="15617" max="15617" width="8.81640625" style="11" customWidth="1"/>
    <col min="15618" max="15618" width="7" style="11" customWidth="1"/>
    <col min="15619" max="15619" width="9.81640625" style="11" customWidth="1"/>
    <col min="15620" max="15620" width="9" style="11" customWidth="1"/>
    <col min="15621" max="15621" width="8.1796875" style="11" customWidth="1"/>
    <col min="15622" max="15622" width="13.1796875" style="11" customWidth="1"/>
    <col min="15623" max="15863" width="11.453125" style="11"/>
    <col min="15864" max="15864" width="10.1796875" style="11" customWidth="1"/>
    <col min="15865" max="15865" width="11" style="11" customWidth="1"/>
    <col min="15866" max="15866" width="9.7265625" style="11" customWidth="1"/>
    <col min="15867" max="15867" width="12.7265625" style="11" customWidth="1"/>
    <col min="15868" max="15868" width="11.54296875" style="11" customWidth="1"/>
    <col min="15869" max="15869" width="10.7265625" style="11" customWidth="1"/>
    <col min="15870" max="15870" width="9.26953125" style="11" customWidth="1"/>
    <col min="15871" max="15872" width="10.1796875" style="11" customWidth="1"/>
    <col min="15873" max="15873" width="8.81640625" style="11" customWidth="1"/>
    <col min="15874" max="15874" width="7" style="11" customWidth="1"/>
    <col min="15875" max="15875" width="9.81640625" style="11" customWidth="1"/>
    <col min="15876" max="15876" width="9" style="11" customWidth="1"/>
    <col min="15877" max="15877" width="8.1796875" style="11" customWidth="1"/>
    <col min="15878" max="15878" width="13.1796875" style="11" customWidth="1"/>
    <col min="15879" max="16119" width="11.453125" style="11"/>
    <col min="16120" max="16120" width="10.1796875" style="11" customWidth="1"/>
    <col min="16121" max="16121" width="11" style="11" customWidth="1"/>
    <col min="16122" max="16122" width="9.7265625" style="11" customWidth="1"/>
    <col min="16123" max="16123" width="12.7265625" style="11" customWidth="1"/>
    <col min="16124" max="16124" width="11.54296875" style="11" customWidth="1"/>
    <col min="16125" max="16125" width="10.7265625" style="11" customWidth="1"/>
    <col min="16126" max="16126" width="9.26953125" style="11" customWidth="1"/>
    <col min="16127" max="16128" width="10.1796875" style="11" customWidth="1"/>
    <col min="16129" max="16129" width="8.81640625" style="11" customWidth="1"/>
    <col min="16130" max="16130" width="7" style="11" customWidth="1"/>
    <col min="16131" max="16131" width="9.81640625" style="11" customWidth="1"/>
    <col min="16132" max="16132" width="9" style="11" customWidth="1"/>
    <col min="16133" max="16133" width="8.1796875" style="11" customWidth="1"/>
    <col min="16134" max="16134" width="13.1796875" style="11" customWidth="1"/>
    <col min="16135" max="16384" width="11.453125" style="11"/>
  </cols>
  <sheetData>
    <row r="3" spans="2:12">
      <c r="H3" s="6" t="s">
        <v>0</v>
      </c>
      <c r="I3" s="6" t="s">
        <v>1</v>
      </c>
      <c r="J3" s="7" t="s">
        <v>5</v>
      </c>
    </row>
    <row r="4" spans="2:12">
      <c r="H4" s="26" t="s">
        <v>6</v>
      </c>
      <c r="I4" s="27" t="s">
        <v>6</v>
      </c>
      <c r="J4" s="8" t="s">
        <v>87</v>
      </c>
    </row>
    <row r="5" spans="2:12">
      <c r="B5" s="1" t="s">
        <v>3</v>
      </c>
      <c r="C5" s="12"/>
      <c r="D5" s="13"/>
      <c r="E5" s="13"/>
      <c r="F5" s="13"/>
      <c r="G5" s="13"/>
      <c r="H5" s="10"/>
      <c r="K5" s="10"/>
    </row>
    <row r="6" spans="2:12" ht="15" customHeight="1">
      <c r="B6" s="1" t="s">
        <v>86</v>
      </c>
      <c r="C6" s="12"/>
      <c r="D6" s="13"/>
      <c r="E6" s="13"/>
      <c r="F6" s="14"/>
      <c r="G6" s="14"/>
      <c r="H6" s="10"/>
      <c r="I6" s="10"/>
      <c r="J6" s="10"/>
      <c r="K6" s="10"/>
    </row>
    <row r="7" spans="2:12">
      <c r="B7" s="2" t="s">
        <v>4</v>
      </c>
      <c r="C7" s="12"/>
      <c r="D7" s="13"/>
      <c r="E7" s="13"/>
      <c r="F7" s="13"/>
      <c r="G7" s="13"/>
      <c r="H7" s="10"/>
      <c r="I7" s="10"/>
      <c r="J7" s="10"/>
      <c r="K7" s="10"/>
      <c r="L7" s="10"/>
    </row>
    <row r="8" spans="2:12">
      <c r="B8" s="3" t="s">
        <v>16</v>
      </c>
      <c r="C8" s="15"/>
      <c r="D8" s="15"/>
      <c r="E8" s="15"/>
      <c r="F8" s="15"/>
      <c r="G8" s="15"/>
      <c r="H8" s="15"/>
      <c r="I8" s="15"/>
      <c r="J8" s="15"/>
      <c r="K8" s="10"/>
      <c r="L8" s="10"/>
    </row>
    <row r="9" spans="2:12" ht="6.5" customHeight="1" thickBot="1">
      <c r="B9" s="4"/>
      <c r="C9" s="4"/>
      <c r="D9" s="4"/>
      <c r="E9" s="4"/>
      <c r="F9" s="4"/>
      <c r="G9" s="4"/>
      <c r="H9" s="4"/>
      <c r="I9" s="4"/>
      <c r="J9" s="4"/>
      <c r="K9" s="10"/>
      <c r="L9" s="10"/>
    </row>
    <row r="10" spans="2:12" ht="13" thickTop="1">
      <c r="B10" s="5"/>
      <c r="C10" s="5"/>
      <c r="D10" s="5"/>
      <c r="E10" s="5"/>
      <c r="F10" s="5"/>
      <c r="G10" s="5"/>
      <c r="H10" s="5"/>
      <c r="I10" s="5"/>
      <c r="J10" s="5"/>
      <c r="K10" s="10"/>
      <c r="L10" s="10"/>
    </row>
    <row r="11" spans="2:12">
      <c r="B11" s="9" t="s">
        <v>7</v>
      </c>
      <c r="K11" s="10"/>
      <c r="L11" s="10"/>
    </row>
    <row r="12" spans="2:12" ht="7" customHeight="1">
      <c r="B12" s="9"/>
      <c r="K12" s="10"/>
      <c r="L12" s="10"/>
    </row>
    <row r="13" spans="2:12" ht="12.5" customHeight="1">
      <c r="B13" s="34" t="s">
        <v>50</v>
      </c>
      <c r="K13" s="10"/>
      <c r="L13" s="10"/>
    </row>
    <row r="14" spans="2:12">
      <c r="B14" s="11" t="s">
        <v>44</v>
      </c>
    </row>
    <row r="16" spans="2:12">
      <c r="B16" s="47" t="s">
        <v>51</v>
      </c>
    </row>
    <row r="17" spans="1:4">
      <c r="B17" s="11" t="s">
        <v>52</v>
      </c>
    </row>
    <row r="19" spans="1:4">
      <c r="B19" s="9" t="s">
        <v>8</v>
      </c>
      <c r="C19" s="10"/>
      <c r="D19" s="5"/>
    </row>
    <row r="20" spans="1:4" ht="7" customHeight="1">
      <c r="B20" s="9"/>
      <c r="C20" s="10"/>
      <c r="D20" s="5"/>
    </row>
    <row r="21" spans="1:4">
      <c r="B21" s="28"/>
      <c r="C21" s="29" t="s">
        <v>17</v>
      </c>
      <c r="D21" s="29" t="s">
        <v>18</v>
      </c>
    </row>
    <row r="22" spans="1:4">
      <c r="B22" s="30" t="s">
        <v>9</v>
      </c>
      <c r="C22" s="31" t="s">
        <v>10</v>
      </c>
      <c r="D22" s="31" t="s">
        <v>10</v>
      </c>
    </row>
    <row r="23" spans="1:4">
      <c r="B23" s="30" t="s">
        <v>11</v>
      </c>
      <c r="C23" s="31" t="s">
        <v>10</v>
      </c>
      <c r="D23" s="31" t="s">
        <v>10</v>
      </c>
    </row>
    <row r="24" spans="1:4">
      <c r="B24" s="30" t="s">
        <v>12</v>
      </c>
      <c r="C24" s="31" t="s">
        <v>10</v>
      </c>
      <c r="D24" s="31" t="s">
        <v>10</v>
      </c>
    </row>
    <row r="26" spans="1:4">
      <c r="B26" s="9" t="s">
        <v>19</v>
      </c>
    </row>
    <row r="27" spans="1:4" ht="7" customHeight="1">
      <c r="B27" s="9"/>
    </row>
    <row r="28" spans="1:4">
      <c r="A28" s="36" t="s">
        <v>20</v>
      </c>
      <c r="B28" s="11" t="s">
        <v>26</v>
      </c>
    </row>
    <row r="29" spans="1:4">
      <c r="A29" s="36" t="s">
        <v>24</v>
      </c>
      <c r="B29" s="11" t="s">
        <v>53</v>
      </c>
    </row>
    <row r="30" spans="1:4">
      <c r="A30" s="36" t="s">
        <v>25</v>
      </c>
      <c r="B30" s="11" t="s">
        <v>27</v>
      </c>
    </row>
    <row r="31" spans="1:4">
      <c r="A31" s="36" t="s">
        <v>55</v>
      </c>
      <c r="B31" s="11" t="s">
        <v>54</v>
      </c>
    </row>
    <row r="32" spans="1:4">
      <c r="A32" s="36" t="s">
        <v>56</v>
      </c>
      <c r="B32" s="32" t="s">
        <v>21</v>
      </c>
    </row>
    <row r="34" spans="2:10">
      <c r="B34" s="45" t="s">
        <v>46</v>
      </c>
      <c r="C34" s="17"/>
      <c r="D34" s="17"/>
      <c r="E34" s="17"/>
      <c r="F34" s="22"/>
      <c r="G34" s="22"/>
      <c r="H34" s="17"/>
      <c r="I34" s="17"/>
      <c r="J34" s="17"/>
    </row>
    <row r="35" spans="2:10" ht="7" customHeight="1">
      <c r="B35" s="17"/>
      <c r="C35" s="17"/>
      <c r="D35" s="17"/>
      <c r="E35" s="17"/>
      <c r="F35" s="22"/>
      <c r="G35" s="22"/>
      <c r="H35" s="17"/>
      <c r="I35" s="17"/>
      <c r="J35" s="17"/>
    </row>
    <row r="36" spans="2:10" ht="14.5" customHeight="1">
      <c r="B36" s="50" t="s">
        <v>57</v>
      </c>
      <c r="C36" s="17"/>
      <c r="D36" s="17"/>
      <c r="E36" s="17"/>
      <c r="F36" s="22"/>
      <c r="G36" s="22"/>
      <c r="H36" s="17"/>
      <c r="I36" s="17"/>
      <c r="J36" s="17"/>
    </row>
    <row r="37" spans="2:10" ht="11.5" customHeight="1">
      <c r="B37" s="50"/>
      <c r="C37" s="17"/>
      <c r="D37" s="17"/>
      <c r="E37" s="17"/>
      <c r="F37" s="22"/>
      <c r="G37" s="22"/>
      <c r="H37" s="17"/>
      <c r="I37" s="17"/>
      <c r="J37" s="17"/>
    </row>
    <row r="38" spans="2:10" ht="35" customHeight="1">
      <c r="B38" s="77" t="s">
        <v>2</v>
      </c>
      <c r="C38" s="77"/>
      <c r="D38" s="77"/>
      <c r="E38" s="49"/>
      <c r="F38" s="49"/>
      <c r="G38" s="49"/>
      <c r="H38" s="49"/>
      <c r="I38" s="49"/>
      <c r="J38" s="49"/>
    </row>
    <row r="39" spans="2:10" ht="35" customHeight="1">
      <c r="B39" s="77"/>
      <c r="C39" s="77"/>
      <c r="D39" s="77"/>
      <c r="E39" s="46"/>
      <c r="F39" s="46"/>
      <c r="G39" s="46"/>
      <c r="H39" s="46"/>
      <c r="I39" s="46"/>
      <c r="J39" s="46"/>
    </row>
    <row r="40" spans="2:10" ht="28" customHeight="1">
      <c r="B40" s="79" t="s">
        <v>60</v>
      </c>
      <c r="C40" s="79"/>
      <c r="D40" s="79"/>
      <c r="E40" s="46"/>
      <c r="F40" s="46"/>
      <c r="G40" s="46"/>
      <c r="H40" s="46"/>
      <c r="I40" s="46"/>
      <c r="J40" s="46"/>
    </row>
    <row r="41" spans="2:10" ht="21" customHeight="1">
      <c r="B41" s="79"/>
      <c r="C41" s="79"/>
      <c r="D41" s="79"/>
      <c r="E41" s="46"/>
      <c r="F41" s="46"/>
      <c r="G41" s="46"/>
      <c r="H41" s="46"/>
      <c r="I41" s="46"/>
      <c r="J41" s="46"/>
    </row>
    <row r="42" spans="2:10" ht="17.5" customHeight="1">
      <c r="B42" s="46"/>
      <c r="C42" s="46"/>
      <c r="D42" s="46"/>
      <c r="E42" s="46"/>
      <c r="F42" s="46"/>
      <c r="G42" s="46"/>
      <c r="H42" s="46"/>
      <c r="I42" s="46"/>
      <c r="J42" s="46"/>
    </row>
    <row r="43" spans="2:10" ht="11" customHeight="1">
      <c r="B43" s="51" t="s">
        <v>58</v>
      </c>
      <c r="C43" s="46"/>
      <c r="D43" s="46"/>
      <c r="E43" s="46"/>
      <c r="F43" s="46"/>
      <c r="G43" s="46"/>
      <c r="H43" s="46"/>
      <c r="I43" s="46"/>
      <c r="J43" s="46"/>
    </row>
    <row r="44" spans="2:10" ht="11" customHeight="1">
      <c r="B44" s="48"/>
      <c r="C44" s="46"/>
      <c r="D44" s="46"/>
      <c r="E44" s="46"/>
      <c r="F44" s="46"/>
      <c r="G44" s="46"/>
      <c r="H44" s="46"/>
      <c r="I44" s="46"/>
      <c r="J44" s="46"/>
    </row>
    <row r="45" spans="2:10" ht="30" customHeight="1">
      <c r="B45" s="78" t="s">
        <v>59</v>
      </c>
      <c r="C45" s="78"/>
      <c r="D45" s="78"/>
      <c r="E45" s="52"/>
      <c r="F45" s="52"/>
      <c r="G45" s="46"/>
      <c r="H45" s="46"/>
      <c r="I45" s="46"/>
      <c r="J45" s="46"/>
    </row>
    <row r="46" spans="2:10" ht="30" customHeight="1">
      <c r="B46" s="78"/>
      <c r="C46" s="78"/>
      <c r="D46" s="78"/>
      <c r="E46" s="46"/>
      <c r="F46" s="46"/>
      <c r="G46" s="46"/>
      <c r="H46" s="46"/>
      <c r="I46" s="46"/>
      <c r="J46" s="46"/>
    </row>
    <row r="47" spans="2:10" ht="11" customHeight="1">
      <c r="B47" s="48"/>
      <c r="C47" s="46"/>
      <c r="D47" s="46"/>
      <c r="E47" s="46"/>
      <c r="F47" s="46"/>
      <c r="G47" s="46"/>
      <c r="H47" s="46"/>
      <c r="I47" s="46"/>
      <c r="J47" s="46"/>
    </row>
    <row r="49" spans="2:12 16384:16384">
      <c r="B49" s="9" t="s">
        <v>13</v>
      </c>
    </row>
    <row r="50" spans="2:12 16384:16384">
      <c r="B50" s="9"/>
    </row>
    <row r="51" spans="2:12 16384:16384" s="16" customFormat="1" ht="15.5" customHeight="1">
      <c r="B51" s="61" t="s">
        <v>68</v>
      </c>
      <c r="C51" s="35"/>
      <c r="D51" s="35"/>
      <c r="E51" s="35"/>
      <c r="F51" s="35"/>
      <c r="G51" s="35"/>
      <c r="H51" s="35"/>
      <c r="I51" s="35"/>
      <c r="J51" s="35"/>
    </row>
    <row r="52" spans="2:12 16384:16384" s="16" customFormat="1" ht="15.5" customHeight="1">
      <c r="B52" s="35"/>
      <c r="C52" s="35"/>
      <c r="D52" s="35"/>
      <c r="E52" s="35"/>
      <c r="F52" s="35"/>
      <c r="G52" s="35"/>
      <c r="H52" s="35"/>
      <c r="I52" s="35"/>
      <c r="J52" s="35"/>
    </row>
    <row r="53" spans="2:12 16384:16384">
      <c r="B53" s="17"/>
      <c r="C53" s="17"/>
      <c r="D53" s="17"/>
      <c r="E53" s="17"/>
      <c r="F53" s="17"/>
      <c r="G53" s="17"/>
      <c r="H53" s="17"/>
    </row>
    <row r="54" spans="2:12 16384:16384" ht="38.25" customHeight="1">
      <c r="B54" s="37" t="s">
        <v>41</v>
      </c>
      <c r="C54" s="37" t="s">
        <v>42</v>
      </c>
      <c r="D54" s="37" t="s">
        <v>39</v>
      </c>
      <c r="E54" s="37" t="s">
        <v>40</v>
      </c>
      <c r="F54" s="37" t="s">
        <v>45</v>
      </c>
      <c r="G54" s="53"/>
    </row>
    <row r="55" spans="2:12 16384:16384" ht="37.5" customHeight="1">
      <c r="B55" s="18">
        <v>0</v>
      </c>
      <c r="C55" s="19">
        <v>0.04</v>
      </c>
      <c r="D55" s="20">
        <f>+ROUNDDOWN(B55*C55,0)</f>
        <v>0</v>
      </c>
      <c r="E55" s="20">
        <v>0</v>
      </c>
      <c r="F55" s="55" t="str">
        <f>IF(E55&gt;=D55,"Cumple","No cumple")</f>
        <v>Cumple</v>
      </c>
      <c r="G55" s="54"/>
    </row>
    <row r="56" spans="2:12 16384:16384" ht="22" customHeight="1">
      <c r="B56" s="63"/>
      <c r="C56" s="64"/>
      <c r="D56" s="65"/>
      <c r="E56" s="65"/>
      <c r="F56" s="54"/>
      <c r="G56" s="54"/>
    </row>
    <row r="57" spans="2:12 16384:16384" ht="22" customHeight="1">
      <c r="B57" s="66" t="s">
        <v>71</v>
      </c>
      <c r="C57" s="17"/>
      <c r="D57" s="17"/>
      <c r="E57" s="17"/>
      <c r="F57" s="22"/>
      <c r="G57" s="54"/>
    </row>
    <row r="58" spans="2:12 16384:16384" ht="21" customHeight="1">
      <c r="B58" s="17"/>
      <c r="C58" s="17"/>
      <c r="D58" s="17"/>
      <c r="E58" s="17"/>
      <c r="F58" s="22"/>
      <c r="G58" s="54"/>
    </row>
    <row r="59" spans="2:12 16384:16384" ht="18.5" customHeight="1">
      <c r="B59" s="76" t="s">
        <v>49</v>
      </c>
      <c r="C59" s="76"/>
      <c r="D59" s="76"/>
      <c r="E59" s="76"/>
      <c r="F59" s="76"/>
      <c r="G59" s="54"/>
      <c r="H59" s="76" t="s">
        <v>38</v>
      </c>
      <c r="I59" s="76"/>
      <c r="J59" s="76"/>
      <c r="K59" s="69"/>
      <c r="L59" s="69"/>
    </row>
    <row r="60" spans="2:12 16384:16384" ht="18.5" customHeight="1">
      <c r="B60" s="37" t="s">
        <v>61</v>
      </c>
      <c r="C60" s="37" t="s">
        <v>62</v>
      </c>
      <c r="D60" s="60" t="s">
        <v>48</v>
      </c>
      <c r="E60" s="60" t="s">
        <v>63</v>
      </c>
      <c r="F60" s="37" t="s">
        <v>47</v>
      </c>
      <c r="G60" s="54"/>
      <c r="H60" s="75" t="s">
        <v>14</v>
      </c>
      <c r="I60" s="75" t="s">
        <v>28</v>
      </c>
      <c r="J60" s="75" t="s">
        <v>74</v>
      </c>
      <c r="K60" s="74"/>
      <c r="L60" s="74"/>
    </row>
    <row r="61" spans="2:12 16384:16384" ht="18.5" customHeight="1">
      <c r="B61" s="56"/>
      <c r="C61" s="57"/>
      <c r="D61" s="57"/>
      <c r="E61" s="57"/>
      <c r="F61" s="58"/>
      <c r="G61" s="54"/>
      <c r="H61" s="57"/>
      <c r="I61" s="57"/>
      <c r="J61" s="57"/>
      <c r="K61" s="71"/>
      <c r="L61" s="71"/>
      <c r="XFD61" s="11" t="s">
        <v>77</v>
      </c>
    </row>
    <row r="62" spans="2:12 16384:16384" ht="18.5" customHeight="1">
      <c r="B62" s="21"/>
      <c r="C62" s="57"/>
      <c r="D62" s="57"/>
      <c r="E62" s="57"/>
      <c r="F62" s="57"/>
      <c r="G62" s="54"/>
      <c r="H62" s="57"/>
      <c r="I62" s="57"/>
      <c r="J62" s="57"/>
      <c r="K62" s="71"/>
      <c r="L62" s="71"/>
      <c r="XFD62" s="11" t="s">
        <v>78</v>
      </c>
    </row>
    <row r="63" spans="2:12 16384:16384" ht="18.5" customHeight="1">
      <c r="B63" s="21"/>
      <c r="C63" s="57"/>
      <c r="D63" s="57"/>
      <c r="E63" s="57"/>
      <c r="F63" s="57"/>
      <c r="G63" s="54"/>
      <c r="H63" s="57"/>
      <c r="I63" s="57"/>
      <c r="J63" s="57"/>
      <c r="K63" s="71"/>
      <c r="L63" s="71"/>
    </row>
    <row r="64" spans="2:12 16384:16384" ht="18.5" customHeight="1">
      <c r="B64" s="21"/>
      <c r="C64" s="57"/>
      <c r="D64" s="57"/>
      <c r="E64" s="57"/>
      <c r="F64" s="21"/>
      <c r="G64" s="54"/>
      <c r="H64" s="57"/>
      <c r="I64" s="57"/>
      <c r="J64" s="57"/>
      <c r="K64" s="71"/>
      <c r="L64" s="71"/>
    </row>
    <row r="65" spans="2:12" ht="18.5" customHeight="1">
      <c r="B65" s="21"/>
      <c r="C65" s="21"/>
      <c r="D65" s="21"/>
      <c r="E65" s="21"/>
      <c r="F65" s="59"/>
      <c r="G65" s="54"/>
      <c r="H65" s="57"/>
      <c r="I65" s="57"/>
      <c r="J65" s="57"/>
      <c r="K65" s="71"/>
      <c r="L65" s="71"/>
    </row>
    <row r="66" spans="2:12" ht="18.5" customHeight="1">
      <c r="B66" s="63"/>
      <c r="C66" s="64"/>
      <c r="D66" s="65"/>
      <c r="E66" s="65"/>
      <c r="F66" s="54"/>
      <c r="G66" s="54"/>
    </row>
    <row r="67" spans="2:12" ht="17" customHeight="1">
      <c r="B67" s="17"/>
      <c r="C67" s="17"/>
      <c r="D67" s="17"/>
      <c r="E67" s="17"/>
      <c r="F67" s="22"/>
      <c r="G67" s="22"/>
      <c r="H67" s="17"/>
      <c r="I67" s="17"/>
      <c r="J67" s="17"/>
    </row>
    <row r="69" spans="2:12" ht="17" customHeight="1">
      <c r="C69" s="17"/>
      <c r="D69" s="62" t="s">
        <v>64</v>
      </c>
      <c r="E69" s="17"/>
      <c r="F69" s="22"/>
      <c r="G69" s="22"/>
      <c r="H69" s="17"/>
      <c r="I69" s="17"/>
      <c r="J69" s="17"/>
    </row>
    <row r="70" spans="2:12" ht="17" customHeight="1">
      <c r="B70" s="17"/>
      <c r="C70" s="17"/>
      <c r="D70" s="17"/>
      <c r="E70" s="17"/>
      <c r="F70" s="22"/>
      <c r="G70" s="22"/>
      <c r="H70" s="17"/>
      <c r="I70" s="17"/>
      <c r="J70" s="17"/>
    </row>
    <row r="71" spans="2:12" s="16" customFormat="1" ht="15.5" customHeight="1">
      <c r="B71" s="61" t="s">
        <v>69</v>
      </c>
      <c r="C71" s="35"/>
      <c r="D71" s="35"/>
      <c r="E71" s="35"/>
      <c r="F71" s="35"/>
      <c r="G71" s="35"/>
      <c r="H71" s="35"/>
      <c r="I71" s="35"/>
      <c r="J71" s="35"/>
    </row>
    <row r="72" spans="2:12" s="16" customFormat="1" ht="15.5" customHeight="1">
      <c r="B72" s="35"/>
      <c r="C72" s="35"/>
      <c r="D72" s="35"/>
      <c r="E72" s="35"/>
      <c r="F72" s="35"/>
      <c r="G72" s="35"/>
      <c r="H72" s="35"/>
      <c r="I72" s="35"/>
      <c r="J72" s="35"/>
    </row>
    <row r="73" spans="2:12">
      <c r="B73" s="17"/>
      <c r="C73" s="17"/>
      <c r="D73" s="17"/>
      <c r="E73" s="17"/>
      <c r="F73" s="17"/>
      <c r="G73" s="17"/>
      <c r="H73" s="17"/>
    </row>
    <row r="74" spans="2:12" ht="38.25" customHeight="1">
      <c r="B74" s="37" t="s">
        <v>70</v>
      </c>
      <c r="C74" s="37" t="s">
        <v>65</v>
      </c>
      <c r="D74" s="37" t="s">
        <v>66</v>
      </c>
      <c r="E74" s="37" t="s">
        <v>67</v>
      </c>
      <c r="F74" s="37" t="s">
        <v>45</v>
      </c>
      <c r="G74" s="53"/>
    </row>
    <row r="75" spans="2:12" ht="37.5" customHeight="1">
      <c r="B75" s="18">
        <v>0</v>
      </c>
      <c r="C75" s="19">
        <v>0.04</v>
      </c>
      <c r="D75" s="20">
        <f>+ROUNDDOWN(B75*C75,0)</f>
        <v>0</v>
      </c>
      <c r="E75" s="20">
        <v>0</v>
      </c>
      <c r="F75" s="55" t="str">
        <f>IF(E75&gt;=D75,"Cumple","No cumple")</f>
        <v>Cumple</v>
      </c>
      <c r="G75" s="54"/>
    </row>
    <row r="76" spans="2:12" ht="17" customHeight="1">
      <c r="B76" s="17"/>
      <c r="C76" s="17"/>
      <c r="D76" s="17"/>
      <c r="E76" s="17"/>
      <c r="F76" s="22"/>
      <c r="G76" s="22"/>
      <c r="H76" s="17"/>
      <c r="I76" s="17"/>
      <c r="J76" s="17"/>
    </row>
    <row r="77" spans="2:12">
      <c r="B77" s="67"/>
      <c r="C77" s="67"/>
      <c r="D77" s="67"/>
      <c r="E77" s="67"/>
      <c r="F77" s="68"/>
      <c r="G77" s="22"/>
      <c r="H77" s="17"/>
      <c r="I77" s="17"/>
      <c r="J77" s="17"/>
    </row>
    <row r="78" spans="2:12">
      <c r="C78" s="67"/>
      <c r="D78" s="67"/>
      <c r="E78" s="67"/>
      <c r="F78" s="68"/>
      <c r="G78" s="22"/>
      <c r="H78" s="17"/>
      <c r="I78" s="17"/>
      <c r="J78" s="17"/>
    </row>
    <row r="79" spans="2:12">
      <c r="C79" s="17"/>
      <c r="D79" s="17"/>
      <c r="E79" s="17"/>
      <c r="F79" s="22"/>
      <c r="G79" s="22"/>
      <c r="H79" s="17"/>
      <c r="I79" s="17"/>
      <c r="J79" s="17"/>
    </row>
    <row r="80" spans="2:12" ht="31" customHeight="1">
      <c r="B80" s="76" t="s">
        <v>72</v>
      </c>
      <c r="C80" s="76"/>
      <c r="D80" s="76"/>
      <c r="E80" s="76"/>
      <c r="F80" s="76"/>
      <c r="G80" s="70"/>
      <c r="H80" s="73" t="s">
        <v>38</v>
      </c>
      <c r="I80" s="69"/>
      <c r="J80" s="69"/>
      <c r="K80" s="69"/>
      <c r="L80" s="69"/>
    </row>
    <row r="81" spans="1:12" ht="19" customHeight="1">
      <c r="B81" s="37" t="s">
        <v>61</v>
      </c>
      <c r="C81" s="37" t="s">
        <v>61</v>
      </c>
      <c r="D81" s="37" t="s">
        <v>62</v>
      </c>
      <c r="E81" s="60" t="s">
        <v>73</v>
      </c>
      <c r="F81" s="60" t="s">
        <v>83</v>
      </c>
      <c r="G81" s="70"/>
      <c r="H81" s="75" t="s">
        <v>76</v>
      </c>
      <c r="I81" s="74"/>
      <c r="J81" s="74"/>
      <c r="K81" s="74"/>
      <c r="L81" s="74"/>
    </row>
    <row r="82" spans="1:12" ht="19" customHeight="1">
      <c r="B82" s="56"/>
      <c r="C82" s="56"/>
      <c r="D82" s="57"/>
      <c r="E82" s="57"/>
      <c r="F82" s="57"/>
      <c r="G82" s="70"/>
      <c r="H82" s="57"/>
      <c r="I82" s="71"/>
      <c r="J82" s="71"/>
      <c r="K82" s="71"/>
      <c r="L82" s="71"/>
    </row>
    <row r="83" spans="1:12" ht="19" customHeight="1">
      <c r="B83" s="21"/>
      <c r="C83" s="21"/>
      <c r="D83" s="57"/>
      <c r="E83" s="57"/>
      <c r="F83" s="57"/>
      <c r="G83" s="70"/>
      <c r="H83" s="57"/>
      <c r="I83" s="71"/>
      <c r="J83" s="71"/>
      <c r="K83" s="71"/>
      <c r="L83" s="71"/>
    </row>
    <row r="84" spans="1:12" ht="19" customHeight="1">
      <c r="B84" s="21"/>
      <c r="C84" s="21"/>
      <c r="D84" s="57"/>
      <c r="E84" s="57"/>
      <c r="F84" s="57"/>
      <c r="G84" s="71"/>
      <c r="H84" s="57"/>
      <c r="I84" s="71"/>
      <c r="J84" s="71"/>
      <c r="K84" s="71"/>
      <c r="L84" s="71"/>
    </row>
    <row r="85" spans="1:12" ht="19" customHeight="1">
      <c r="B85" s="21"/>
      <c r="C85" s="21"/>
      <c r="D85" s="57"/>
      <c r="E85" s="57"/>
      <c r="F85" s="57"/>
      <c r="G85" s="71"/>
      <c r="H85" s="57"/>
      <c r="I85" s="71"/>
      <c r="J85" s="71"/>
      <c r="K85" s="71"/>
      <c r="L85" s="71"/>
    </row>
    <row r="86" spans="1:12" ht="19" customHeight="1">
      <c r="B86" s="21"/>
      <c r="C86" s="21"/>
      <c r="D86" s="21"/>
      <c r="E86" s="21"/>
      <c r="F86" s="21"/>
      <c r="G86" s="71"/>
      <c r="H86" s="57"/>
      <c r="I86" s="71"/>
      <c r="J86" s="71"/>
      <c r="K86" s="71"/>
      <c r="L86" s="71"/>
    </row>
    <row r="87" spans="1:12" ht="19" customHeight="1">
      <c r="B87" s="17"/>
      <c r="C87" s="17"/>
      <c r="D87" s="17"/>
      <c r="E87" s="72"/>
      <c r="F87" s="70"/>
      <c r="G87" s="70"/>
      <c r="H87" s="17"/>
      <c r="I87" s="17"/>
      <c r="J87" s="17"/>
    </row>
    <row r="88" spans="1:12">
      <c r="B88" s="17"/>
      <c r="C88" s="17"/>
      <c r="D88" s="17"/>
      <c r="E88" s="17"/>
      <c r="F88" s="22"/>
      <c r="G88" s="22"/>
      <c r="H88" s="17"/>
      <c r="I88" s="17"/>
      <c r="J88" s="17"/>
    </row>
    <row r="90" spans="1:12">
      <c r="B90" s="9" t="s">
        <v>15</v>
      </c>
    </row>
    <row r="91" spans="1:12" ht="7" customHeight="1">
      <c r="B91" s="9"/>
    </row>
    <row r="92" spans="1:12">
      <c r="B92" s="33" t="s">
        <v>22</v>
      </c>
    </row>
    <row r="93" spans="1:12">
      <c r="B93" s="25" t="s">
        <v>81</v>
      </c>
    </row>
    <row r="94" spans="1:12">
      <c r="B94" s="23"/>
    </row>
    <row r="95" spans="1:12">
      <c r="A95" s="38"/>
      <c r="B95" s="9" t="s">
        <v>43</v>
      </c>
    </row>
    <row r="96" spans="1:12" ht="7" customHeight="1">
      <c r="A96" s="38"/>
      <c r="B96" s="10"/>
    </row>
    <row r="97" spans="1:10" ht="12.75" customHeight="1">
      <c r="A97" s="39" t="s">
        <v>14</v>
      </c>
      <c r="B97" s="11" t="s">
        <v>84</v>
      </c>
      <c r="C97" s="24"/>
      <c r="D97" s="24"/>
      <c r="E97" s="24"/>
      <c r="F97" s="24"/>
      <c r="G97" s="24"/>
      <c r="H97" s="24"/>
      <c r="I97" s="24"/>
      <c r="J97" s="24"/>
    </row>
    <row r="98" spans="1:10">
      <c r="A98" s="39" t="s">
        <v>28</v>
      </c>
      <c r="B98" s="10" t="s">
        <v>79</v>
      </c>
    </row>
    <row r="99" spans="1:10">
      <c r="A99" s="39" t="s">
        <v>74</v>
      </c>
      <c r="B99" s="10" t="s">
        <v>85</v>
      </c>
    </row>
    <row r="100" spans="1:10">
      <c r="A100" s="39" t="s">
        <v>75</v>
      </c>
      <c r="B100" s="10" t="s">
        <v>80</v>
      </c>
    </row>
    <row r="101" spans="1:10">
      <c r="A101" s="39" t="s">
        <v>76</v>
      </c>
      <c r="B101" s="10" t="s">
        <v>82</v>
      </c>
    </row>
    <row r="102" spans="1:10">
      <c r="A102" s="38"/>
      <c r="B102" s="10"/>
    </row>
    <row r="103" spans="1:10">
      <c r="A103" s="40"/>
      <c r="B103" s="9" t="s">
        <v>29</v>
      </c>
    </row>
    <row r="104" spans="1:10">
      <c r="A104" s="40"/>
      <c r="B104" s="9"/>
    </row>
    <row r="105" spans="1:10" ht="14.5" customHeight="1">
      <c r="A105" s="44" t="s">
        <v>30</v>
      </c>
    </row>
    <row r="106" spans="1:10" ht="14.5" customHeight="1">
      <c r="A106" s="39" t="s">
        <v>31</v>
      </c>
      <c r="B106" s="9"/>
    </row>
    <row r="107" spans="1:10" ht="14.5" customHeight="1">
      <c r="A107" s="39" t="s">
        <v>32</v>
      </c>
      <c r="B107" s="10"/>
    </row>
    <row r="108" spans="1:10">
      <c r="A108" s="40"/>
      <c r="B108" s="41"/>
    </row>
    <row r="109" spans="1:10">
      <c r="A109" s="40"/>
      <c r="B109" s="9" t="s">
        <v>33</v>
      </c>
    </row>
    <row r="110" spans="1:10">
      <c r="A110" s="40"/>
      <c r="B110" s="9"/>
    </row>
    <row r="111" spans="1:10">
      <c r="A111" s="39" t="s">
        <v>34</v>
      </c>
      <c r="B111" s="9"/>
    </row>
    <row r="112" spans="1:10">
      <c r="A112" s="39" t="s">
        <v>35</v>
      </c>
      <c r="B112" s="10"/>
    </row>
    <row r="113" spans="1:2">
      <c r="A113" s="39" t="s">
        <v>36</v>
      </c>
      <c r="B113" s="42"/>
    </row>
    <row r="114" spans="1:2">
      <c r="A114" s="39"/>
      <c r="B114" s="42"/>
    </row>
    <row r="115" spans="1:2">
      <c r="A115" s="43"/>
      <c r="B115" s="9" t="s">
        <v>37</v>
      </c>
    </row>
    <row r="116" spans="1:2">
      <c r="A116" s="43"/>
      <c r="B116" s="9"/>
    </row>
    <row r="117" spans="1:2">
      <c r="A117" s="43"/>
      <c r="B117" s="34" t="s">
        <v>23</v>
      </c>
    </row>
    <row r="118" spans="1:2">
      <c r="A118" s="38"/>
      <c r="B118" s="10"/>
    </row>
  </sheetData>
  <mergeCells count="6">
    <mergeCell ref="H59:J59"/>
    <mergeCell ref="B80:F80"/>
    <mergeCell ref="B38:D39"/>
    <mergeCell ref="B45:D46"/>
    <mergeCell ref="B40:D41"/>
    <mergeCell ref="B59:F59"/>
  </mergeCells>
  <dataValidations count="1">
    <dataValidation type="list" allowBlank="1" showInputMessage="1" showErrorMessage="1" sqref="H61:L65 H82:L86" xr:uid="{1B95F7B7-4AD5-43FE-B3A2-69961E2B6381}">
      <formula1>$XFD$61:$XFD$62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48" orientation="portrait" r:id="rId1"/>
  <headerFooter>
    <oddFooter>&amp;R
&amp;F
&amp;A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1600.09</vt:lpstr>
      <vt:lpstr>'1600.09'!Área_de_impresión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Admin</cp:lastModifiedBy>
  <dcterms:created xsi:type="dcterms:W3CDTF">2023-09-25T01:51:16Z</dcterms:created>
  <dcterms:modified xsi:type="dcterms:W3CDTF">2026-04-17T03:52:11Z</dcterms:modified>
</cp:coreProperties>
</file>