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echoe\Downloads\Papeles Modelo Kreston-20260416T233239Z-3-001\Papeles Modelo Kreston\02. Pruebas sustantivas 2024\02. Pruebas sustantivas\5. Gastos\Nómina\"/>
    </mc:Choice>
  </mc:AlternateContent>
  <xr:revisionPtr revIDLastSave="0" documentId="13_ncr:1_{950CFEC6-9232-4808-88D6-F99FD581F827}" xr6:coauthVersionLast="47" xr6:coauthVersionMax="47" xr10:uidLastSave="{00000000-0000-0000-0000-000000000000}"/>
  <bookViews>
    <workbookView xWindow="-110" yWindow="-110" windowWidth="19420" windowHeight="10300" xr2:uid="{C1E9D8D3-2DA2-4244-B324-4B185BF81824}"/>
  </bookViews>
  <sheets>
    <sheet name="1600.10"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s>
  <definedNames>
    <definedName name="\0">#REF!</definedName>
    <definedName name="\a">#REF!</definedName>
    <definedName name="\d">#REF!</definedName>
    <definedName name="\m">#REF!</definedName>
    <definedName name="\p">'[1]Bco. Internacional'!#REF!</definedName>
    <definedName name="__">#REF!</definedName>
    <definedName name="___A320000">#REF!</definedName>
    <definedName name="___A66000">#REF!</definedName>
    <definedName name="___A69000">#REF!</definedName>
    <definedName name="___A70000">#REF!</definedName>
    <definedName name="___A99999">#REF!</definedName>
    <definedName name="___M151060">#REF!</definedName>
    <definedName name="___M152040">#REF!</definedName>
    <definedName name="___M152050">'[2]Det. Rec. Prov. Locales {PPC}'!#REF!</definedName>
    <definedName name="___MM11055">#REF!</definedName>
    <definedName name="___MM23616">#REF!</definedName>
    <definedName name="___RSE1">#REF!</definedName>
    <definedName name="___RSE2">#REF!</definedName>
    <definedName name="__A320000">[3]CoberturaSeg!$A$32009</definedName>
    <definedName name="__A66000">[3]CoberturaSeg!$A$65009</definedName>
    <definedName name="__A69000">[3]CoberturaSeg!$A$65009</definedName>
    <definedName name="__A70000">[3]CoberturaSeg!$A$50009</definedName>
    <definedName name="__A99999">[3]CoberturaSeg!$A$32009</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M151060">#REF!</definedName>
    <definedName name="__M152040">#REF!</definedName>
    <definedName name="__M152050">'[2]Det. Rec. Prov. Locales {PPC}'!#REF!</definedName>
    <definedName name="__MM11055">#REF!</definedName>
    <definedName name="__MM23616">#REF!</definedName>
    <definedName name="__ND1">#REF!</definedName>
    <definedName name="__ND2" hidden="1">{#N/A,#N/A,FALSE,"Aging Summary";#N/A,#N/A,FALSE,"Ratio Analysis";#N/A,#N/A,FALSE,"Test 120 Day Accts";#N/A,#N/A,FALSE,"Tickmarks"}</definedName>
    <definedName name="__ND3" hidden="1">#REF!</definedName>
    <definedName name="__OB98008">'[4]OBB 31-dic-00'!#REF!</definedName>
    <definedName name="__OB98025">'[4]OBB 31-dic-00'!#REF!</definedName>
    <definedName name="__Pag1">#REF!</definedName>
    <definedName name="__pr1">#REF!</definedName>
    <definedName name="__RSE1">#REF!</definedName>
    <definedName name="__RSE2">#REF!</definedName>
    <definedName name="_02">#REF!</definedName>
    <definedName name="_10">#REF!</definedName>
    <definedName name="_1001">#REF!</definedName>
    <definedName name="_100101">#REF!</definedName>
    <definedName name="_10010101">#REF!</definedName>
    <definedName name="_1001010101">#REF!</definedName>
    <definedName name="_1001010102">#REF!</definedName>
    <definedName name="_10010102">#REF!</definedName>
    <definedName name="_1001010201">#REF!</definedName>
    <definedName name="_1001010202">#REF!</definedName>
    <definedName name="_10010103">#REF!</definedName>
    <definedName name="_1001010301">#REF!</definedName>
    <definedName name="_1001010302">#REF!</definedName>
    <definedName name="_10010104">#REF!</definedName>
    <definedName name="_1001010401">#REF!</definedName>
    <definedName name="_1001010402">#REF!</definedName>
    <definedName name="_100102">#REF!</definedName>
    <definedName name="_100103">#REF!</definedName>
    <definedName name="_100104">#REF!</definedName>
    <definedName name="_10010401">#REF!</definedName>
    <definedName name="_1001040101">#REF!</definedName>
    <definedName name="_1001040102">#REF!</definedName>
    <definedName name="_10010402">#REF!</definedName>
    <definedName name="_100105">#REF!</definedName>
    <definedName name="_100106">#REF!</definedName>
    <definedName name="_100107">#REF!</definedName>
    <definedName name="_100108">#REF!</definedName>
    <definedName name="_100109">#REF!</definedName>
    <definedName name="_10010901">#REF!</definedName>
    <definedName name="_1001090101">#REF!</definedName>
    <definedName name="_10010902">#REF!</definedName>
    <definedName name="_1001090201">#REF!</definedName>
    <definedName name="_1002">#REF!</definedName>
    <definedName name="_100201">#REF!</definedName>
    <definedName name="_10020101">#REF!</definedName>
    <definedName name="_1002010101">#REF!</definedName>
    <definedName name="_1002010102">#REF!</definedName>
    <definedName name="_100202">#REF!</definedName>
    <definedName name="_10020201">#REF!</definedName>
    <definedName name="_1002020101">#REF!</definedName>
    <definedName name="_1002020102">#REF!</definedName>
    <definedName name="_1002020103">#REF!</definedName>
    <definedName name="_1002020104">#REF!</definedName>
    <definedName name="_1002020105">#REF!</definedName>
    <definedName name="_10020202">#REF!</definedName>
    <definedName name="_1002020201">#REF!</definedName>
    <definedName name="_1002020202">#REF!</definedName>
    <definedName name="_1002020203">#REF!</definedName>
    <definedName name="_10020203">#REF!</definedName>
    <definedName name="_1002020301">#REF!</definedName>
    <definedName name="_10020204">#REF!</definedName>
    <definedName name="_1002020401">#REF!</definedName>
    <definedName name="_1002020402">#REF!</definedName>
    <definedName name="_1002020403">#REF!</definedName>
    <definedName name="_1002020404">#REF!</definedName>
    <definedName name="_1002020405">#REF!</definedName>
    <definedName name="_100203">#REF!</definedName>
    <definedName name="_100204">#REF!</definedName>
    <definedName name="_10020401">#REF!</definedName>
    <definedName name="_100205">#REF!</definedName>
    <definedName name="_10020501">#REF!</definedName>
    <definedName name="_1002050101">#REF!</definedName>
    <definedName name="_1002050102">#REF!</definedName>
    <definedName name="_1002050103">#REF!</definedName>
    <definedName name="_1002050104">#REF!</definedName>
    <definedName name="_1002050105">#REF!</definedName>
    <definedName name="_1002050106">#REF!</definedName>
    <definedName name="_10020502">#REF!</definedName>
    <definedName name="_1002050201">#REF!</definedName>
    <definedName name="_1002050202">#REF!</definedName>
    <definedName name="_1002050203">#REF!</definedName>
    <definedName name="_100206">#REF!</definedName>
    <definedName name="_10020601">#REF!</definedName>
    <definedName name="_1002060101">#REF!</definedName>
    <definedName name="_1002060102">#REF!</definedName>
    <definedName name="_1002060103">#REF!</definedName>
    <definedName name="_100207">#REF!</definedName>
    <definedName name="_10020701">#REF!</definedName>
    <definedName name="_1002070101">#REF!</definedName>
    <definedName name="_1002070102">#REF!</definedName>
    <definedName name="_1002070103">#REF!</definedName>
    <definedName name="_1002070104">#REF!</definedName>
    <definedName name="_1002070105">#REF!</definedName>
    <definedName name="_1002070106">#REF!</definedName>
    <definedName name="_10020702">#REF!</definedName>
    <definedName name="_1002070201">#REF!</definedName>
    <definedName name="_100208">#REF!</definedName>
    <definedName name="_15">[5]ER!$P$167</definedName>
    <definedName name="_20">#REF!</definedName>
    <definedName name="_2001">#REF!</definedName>
    <definedName name="_200101">#REF!</definedName>
    <definedName name="_20010101">#REF!</definedName>
    <definedName name="_2001010101">#REF!</definedName>
    <definedName name="_20010102">#REF!</definedName>
    <definedName name="_2001010201">#REF!</definedName>
    <definedName name="_20010103">#REF!</definedName>
    <definedName name="_2001010301">#REF!</definedName>
    <definedName name="_2001010302">#REF!</definedName>
    <definedName name="_200102">#REF!</definedName>
    <definedName name="_20010201">#REF!</definedName>
    <definedName name="_200103">#REF!</definedName>
    <definedName name="_20010301">#REF!</definedName>
    <definedName name="_2001030101">#REF!</definedName>
    <definedName name="_2001030102">#REF!</definedName>
    <definedName name="_200104">#REF!</definedName>
    <definedName name="_2002">#REF!</definedName>
    <definedName name="_200201">#REF!</definedName>
    <definedName name="_2003">#REF!</definedName>
    <definedName name="_200301">#REF!</definedName>
    <definedName name="_2004">#REF!</definedName>
    <definedName name="_200401">#REF!</definedName>
    <definedName name="_25">[5]ER!$P$166</definedName>
    <definedName name="_30">#REF!</definedName>
    <definedName name="_3001">#REF!</definedName>
    <definedName name="_300101">#REF!</definedName>
    <definedName name="_300102">#REF!</definedName>
    <definedName name="_300103">#REF!</definedName>
    <definedName name="_30010301">#REF!</definedName>
    <definedName name="_30010302">#REF!</definedName>
    <definedName name="_300104">#REF!</definedName>
    <definedName name="_300105">#REF!</definedName>
    <definedName name="_300106">#REF!</definedName>
    <definedName name="_3002">#REF!</definedName>
    <definedName name="_300201">#REF!</definedName>
    <definedName name="_30020101">#REF!</definedName>
    <definedName name="_30020102">#REF!</definedName>
    <definedName name="_30020103">#REF!</definedName>
    <definedName name="_3002010301">#REF!</definedName>
    <definedName name="_3002010302">#REF!</definedName>
    <definedName name="_3002010303">#REF!</definedName>
    <definedName name="_30020104">#REF!</definedName>
    <definedName name="_3002010401">#REF!</definedName>
    <definedName name="_30020105">#REF!</definedName>
    <definedName name="_3002010501">#REF!</definedName>
    <definedName name="_3002010502">#REF!</definedName>
    <definedName name="_3002010503">#REF!</definedName>
    <definedName name="_30020106">#REF!</definedName>
    <definedName name="_3002010601">#REF!</definedName>
    <definedName name="_3002010602">#REF!</definedName>
    <definedName name="_3002010603">#REF!</definedName>
    <definedName name="_30020107">#REF!</definedName>
    <definedName name="_3002010701">#REF!</definedName>
    <definedName name="_3002010702">#REF!</definedName>
    <definedName name="_3002010703">#REF!</definedName>
    <definedName name="_3002010704">#REF!</definedName>
    <definedName name="_300202">#REF!</definedName>
    <definedName name="_300203">#REF!</definedName>
    <definedName name="_300204">#REF!</definedName>
    <definedName name="_30020401">#REF!</definedName>
    <definedName name="_3002040101">#REF!</definedName>
    <definedName name="_3002040102">#REF!</definedName>
    <definedName name="_3002040103">#REF!</definedName>
    <definedName name="_3002040104">#REF!</definedName>
    <definedName name="_3002040105">#REF!</definedName>
    <definedName name="_3002040106">#REF!</definedName>
    <definedName name="_3002040107">#REF!</definedName>
    <definedName name="_3002040108">#REF!</definedName>
    <definedName name="_3002040109">#REF!</definedName>
    <definedName name="_3002040110">#REF!</definedName>
    <definedName name="_3002040111">#REF!</definedName>
    <definedName name="_3002040112">#REF!</definedName>
    <definedName name="_3002040113">#REF!</definedName>
    <definedName name="_3002040114">#REF!</definedName>
    <definedName name="_3002040115">#REF!</definedName>
    <definedName name="_3002040116">#REF!</definedName>
    <definedName name="_3002040117">#REF!</definedName>
    <definedName name="_3002040118">#REF!</definedName>
    <definedName name="_3002040119">#REF!</definedName>
    <definedName name="_3002040120">#REF!</definedName>
    <definedName name="_3002040121">#REF!</definedName>
    <definedName name="_3002040122">#REF!</definedName>
    <definedName name="_3002040123">#REF!</definedName>
    <definedName name="_30020402">#REF!</definedName>
    <definedName name="_3002040201">#REF!</definedName>
    <definedName name="_3002040202">#REF!</definedName>
    <definedName name="_3002040203">#REF!</definedName>
    <definedName name="_3002040204">#REF!</definedName>
    <definedName name="_3002040205">#REF!</definedName>
    <definedName name="_3002040206">#REF!</definedName>
    <definedName name="_3002040207">#REF!</definedName>
    <definedName name="_300205">#REF!</definedName>
    <definedName name="_30020501">#REF!</definedName>
    <definedName name="_3002050101">#REF!</definedName>
    <definedName name="_3002050102">#REF!</definedName>
    <definedName name="_3002050103">#REF!</definedName>
    <definedName name="_3002050104">#REF!</definedName>
    <definedName name="_300206">#REF!</definedName>
    <definedName name="_30020601">#REF!</definedName>
    <definedName name="_300207">#REF!</definedName>
    <definedName name="_30020701">#REF!</definedName>
    <definedName name="_3002070101">#REF!</definedName>
    <definedName name="_30020702">#REF!</definedName>
    <definedName name="_3002070201">#REF!</definedName>
    <definedName name="_3002070202">#REF!</definedName>
    <definedName name="_300208">#REF!</definedName>
    <definedName name="_40">[6]ER!$H$9</definedName>
    <definedName name="_4001">[5]ER!$P$9</definedName>
    <definedName name="_400101">#REF!</definedName>
    <definedName name="_40010101">#REF!</definedName>
    <definedName name="_40010102">#REF!</definedName>
    <definedName name="_400102">#REF!</definedName>
    <definedName name="_4002">[6]ER!$H$15</definedName>
    <definedName name="_400201">#REF!</definedName>
    <definedName name="_40020101">#REF!</definedName>
    <definedName name="_400202">#REF!</definedName>
    <definedName name="_40020201">#REF!</definedName>
    <definedName name="_50">[6]ER!$H$20</definedName>
    <definedName name="_5001">#REF!</definedName>
    <definedName name="_500101">#REF!</definedName>
    <definedName name="_50010101">[6]ER!$H$23</definedName>
    <definedName name="_5002">#REF!</definedName>
    <definedName name="_500201">#REF!</definedName>
    <definedName name="_50020101">#REF!</definedName>
    <definedName name="_50020102">#REF!</definedName>
    <definedName name="_50020103">#REF!</definedName>
    <definedName name="_50020104">#REF!</definedName>
    <definedName name="_50020105">#REF!</definedName>
    <definedName name="_50020106">#REF!</definedName>
    <definedName name="_50020107">#REF!</definedName>
    <definedName name="_50020108">#REF!</definedName>
    <definedName name="_50020109">#REF!</definedName>
    <definedName name="_50020110">#REF!</definedName>
    <definedName name="_50020111">#REF!</definedName>
    <definedName name="_5002011101">#REF!</definedName>
    <definedName name="_5002011102">#REF!</definedName>
    <definedName name="_50020112">#REF!</definedName>
    <definedName name="_50020113">#REF!</definedName>
    <definedName name="_50020114">#REF!</definedName>
    <definedName name="_50020115">#REF!</definedName>
    <definedName name="_50020116">#REF!</definedName>
    <definedName name="_50020117">#REF!</definedName>
    <definedName name="_50020118">#REF!</definedName>
    <definedName name="_50020119">#REF!</definedName>
    <definedName name="_50020120">#REF!</definedName>
    <definedName name="_50020121">#REF!</definedName>
    <definedName name="_50020122">#REF!</definedName>
    <definedName name="_50020123">#REF!</definedName>
    <definedName name="_5002012301">#REF!</definedName>
    <definedName name="_50020124">#REF!</definedName>
    <definedName name="_50020125">#REF!</definedName>
    <definedName name="_50020126">#REF!</definedName>
    <definedName name="_50020127">#REF!</definedName>
    <definedName name="_50020128">#REF!</definedName>
    <definedName name="_5002012801">#REF!</definedName>
    <definedName name="_5002012802">#REF!</definedName>
    <definedName name="_5002012803">#REF!</definedName>
    <definedName name="_5002012804">#REF!</definedName>
    <definedName name="_5002012805">#REF!</definedName>
    <definedName name="_5002012806">#REF!</definedName>
    <definedName name="_5002012807">#REF!</definedName>
    <definedName name="_5002012808">#REF!</definedName>
    <definedName name="_5002012809">#REF!</definedName>
    <definedName name="_5002012810">#REF!</definedName>
    <definedName name="_5002012811">#REF!</definedName>
    <definedName name="_5002012812">#REF!</definedName>
    <definedName name="_500202">#REF!</definedName>
    <definedName name="_50020201">#REF!</definedName>
    <definedName name="_50020202">#REF!</definedName>
    <definedName name="_50020203">#REF!</definedName>
    <definedName name="_50020204">#REF!</definedName>
    <definedName name="_50020205">#REF!</definedName>
    <definedName name="_50020206">#REF!</definedName>
    <definedName name="_50020207">#REF!</definedName>
    <definedName name="_50020208">#REF!</definedName>
    <definedName name="_50020209">#REF!</definedName>
    <definedName name="_50020210">#REF!</definedName>
    <definedName name="_5002021001">#REF!</definedName>
    <definedName name="_5002021002">#REF!</definedName>
    <definedName name="_5002021003">#REF!</definedName>
    <definedName name="_5002021004">#REF!</definedName>
    <definedName name="_5002021005">#REF!</definedName>
    <definedName name="_50020211">#REF!</definedName>
    <definedName name="_50020212">#REF!</definedName>
    <definedName name="_50020213">#REF!</definedName>
    <definedName name="_50020214">#REF!</definedName>
    <definedName name="_5002021401">#REF!</definedName>
    <definedName name="_5002021402">#REF!</definedName>
    <definedName name="_50020215">#REF!</definedName>
    <definedName name="_50020216">#REF!</definedName>
    <definedName name="_50020218">#REF!</definedName>
    <definedName name="_50020219">#REF!</definedName>
    <definedName name="_50020220">#REF!</definedName>
    <definedName name="_50020221">#REF!</definedName>
    <definedName name="_50020222">#REF!</definedName>
    <definedName name="_50020223">#REF!</definedName>
    <definedName name="_50020224">#REF!</definedName>
    <definedName name="_50020225">#REF!</definedName>
    <definedName name="_50020226">#REF!</definedName>
    <definedName name="_50020227">#REF!</definedName>
    <definedName name="_5002022701">#REF!</definedName>
    <definedName name="_5002022702">#REF!</definedName>
    <definedName name="_50020228">[5]ER!$P$105</definedName>
    <definedName name="_5002022801">#REF!</definedName>
    <definedName name="_5002022802">#REF!</definedName>
    <definedName name="_50020229">#REF!</definedName>
    <definedName name="_50020230">#REF!</definedName>
    <definedName name="_50020231">#REF!</definedName>
    <definedName name="_50020232">#REF!</definedName>
    <definedName name="_50020233">#REF!</definedName>
    <definedName name="_50020234">#REF!</definedName>
    <definedName name="_50020235">#REF!</definedName>
    <definedName name="_50020236">#REF!</definedName>
    <definedName name="_50020237">#REF!</definedName>
    <definedName name="_50020238">#REF!</definedName>
    <definedName name="_50020239">#REF!</definedName>
    <definedName name="_50020240">#REF!</definedName>
    <definedName name="_50020241">#REF!</definedName>
    <definedName name="_50020242">#REF!</definedName>
    <definedName name="_500203">#REF!</definedName>
    <definedName name="_50020301">#REF!</definedName>
    <definedName name="_50020302">#REF!</definedName>
    <definedName name="_50020303">#REF!</definedName>
    <definedName name="_50020304">#REF!</definedName>
    <definedName name="_50020305">#REF!</definedName>
    <definedName name="_50020306">#REF!</definedName>
    <definedName name="_50020307">#REF!</definedName>
    <definedName name="_50020308">#REF!</definedName>
    <definedName name="_50020309">#REF!</definedName>
    <definedName name="_50020310">#REF!</definedName>
    <definedName name="_5003">#REF!</definedName>
    <definedName name="_500301">#REF!</definedName>
    <definedName name="_50030101">#REF!</definedName>
    <definedName name="_50030102">#REF!</definedName>
    <definedName name="_500302">#REF!</definedName>
    <definedName name="_50030201">#REF!</definedName>
    <definedName name="_50030202">#REF!</definedName>
    <definedName name="_50030203">#REF!</definedName>
    <definedName name="_50030204">#REF!</definedName>
    <definedName name="_50030205">#REF!</definedName>
    <definedName name="_500303">[5]ER!$P$146</definedName>
    <definedName name="_500304">[5]ER!$P$147</definedName>
    <definedName name="_500305">[5]ER!$P$148</definedName>
    <definedName name="_a">#REF!</definedName>
    <definedName name="_a_1">#REF!</definedName>
    <definedName name="_a_12">#REF!</definedName>
    <definedName name="_a_13">#REF!</definedName>
    <definedName name="_a_15">#REF!</definedName>
    <definedName name="_a_16">#REF!</definedName>
    <definedName name="_a_16_1">#REF!</definedName>
    <definedName name="_a_22">#REF!</definedName>
    <definedName name="_a_8">#REF!</definedName>
    <definedName name="_A320000">[3]CoberturaSeg!$A$32009</definedName>
    <definedName name="_A66000">[3]CoberturaSeg!$A$65009</definedName>
    <definedName name="_A69000">[3]CoberturaSeg!$A$65009</definedName>
    <definedName name="_A70000">[3]CoberturaSeg!$A$50009</definedName>
    <definedName name="_A99999">[3]CoberturaSeg!$A$32009</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Fill" hidden="1">#REF!</definedName>
    <definedName name="_xlnm._FilterDatabase" localSheetId="0" hidden="1">'1600.10'!$A$55:$AK$61</definedName>
    <definedName name="_xlnm._FilterDatabase" hidden="1">#REF!</definedName>
    <definedName name="_Key1" hidden="1">#REF!</definedName>
    <definedName name="_Key2" hidden="1">#REF!</definedName>
    <definedName name="_M151060">#REF!</definedName>
    <definedName name="_M152040">#REF!</definedName>
    <definedName name="_M152050">'[2]Det. Rec. Prov. Locales {PPC}'!#REF!</definedName>
    <definedName name="_MM11055">#REF!</definedName>
    <definedName name="_MM23616">#REF!</definedName>
    <definedName name="_ND1">#REF!</definedName>
    <definedName name="_ND2" hidden="1">{#N/A,#N/A,FALSE,"Aging Summary";#N/A,#N/A,FALSE,"Ratio Analysis";#N/A,#N/A,FALSE,"Test 120 Day Accts";#N/A,#N/A,FALSE,"Tickmarks"}</definedName>
    <definedName name="_ND3" hidden="1">#REF!</definedName>
    <definedName name="_OB98008">'[4]OBB 31-dic-00'!#REF!</definedName>
    <definedName name="_OB98025">'[4]OBB 31-dic-00'!#REF!</definedName>
    <definedName name="_Order1" hidden="1">255</definedName>
    <definedName name="_Order2" hidden="1">255</definedName>
    <definedName name="_Pag1">#REF!</definedName>
    <definedName name="_pr1">#REF!</definedName>
    <definedName name="_RAN1">#REF!</definedName>
    <definedName name="_RAN2">#REF!</definedName>
    <definedName name="_RAN3">#REF!</definedName>
    <definedName name="_RAN4">#REF!</definedName>
    <definedName name="_Regression_Int" hidden="1">1</definedName>
    <definedName name="_RSE1">#REF!</definedName>
    <definedName name="_RSE2">#REF!</definedName>
    <definedName name="_RSE3">'[7]CMA Calculations- Figure 5440.1'!$I$201</definedName>
    <definedName name="_Sort" hidden="1">#REF!</definedName>
    <definedName name="a" hidden="1">{#N/A,#N/A,FALSE,"Aging Summary";#N/A,#N/A,FALSE,"Ratio Analysis";#N/A,#N/A,FALSE,"Test 120 Day Accts";#N/A,#N/A,FALSE,"Tickmarks"}</definedName>
    <definedName name="A_impresión_IM">#REF!</definedName>
    <definedName name="A_impresión_IM_16">#REF!</definedName>
    <definedName name="A_impresión_IM_22">#REF!</definedName>
    <definedName name="A_impresión_IM_8">#REF!</definedName>
    <definedName name="A_IMPRESIÝN_IM">#REF!</definedName>
    <definedName name="aa" hidden="1">{#N/A,#N/A,FALSE,"Aging Summary";#N/A,#N/A,FALSE,"Ratio Analysis";#N/A,#N/A,FALSE,"Test 120 Day Accts";#N/A,#N/A,FALSE,"Tickmarks"}</definedName>
    <definedName name="AB" hidden="1">{#N/A,#N/A,FALSE,"Aging Summary";#N/A,#N/A,FALSE,"Ratio Analysis";#N/A,#N/A,FALSE,"Test 120 Day Accts";#N/A,#N/A,FALSE,"Tickmarks"}</definedName>
    <definedName name="abei">#REF!</definedName>
    <definedName name="Abr">9100</definedName>
    <definedName name="Account_Balance">#REF!</definedName>
    <definedName name="Activos">#REF!</definedName>
    <definedName name="Acum.Dol.">'[8]LISTADO 09 01'!#REF!</definedName>
    <definedName name="Acum.Suc.">'[8]LISTADO 09 01'!#REF!</definedName>
    <definedName name="ACUMUL">[9]INDICES!$A$1:$AQ$50</definedName>
    <definedName name="ADC">#REF!</definedName>
    <definedName name="ADR">#REF!</definedName>
    <definedName name="afdsafdsa" hidden="1">{#N/A,#N/A,FALSE,"Aging Summary";#N/A,#N/A,FALSE,"Ratio Analysis";#N/A,#N/A,FALSE,"Test 120 Day Accts";#N/A,#N/A,FALSE,"Tickmarks"}</definedName>
    <definedName name="Ago">11000</definedName>
    <definedName name="Ajuste_en_ventas_para_EBTIDA_20">#REF!</definedName>
    <definedName name="ALCANCE">#REF!</definedName>
    <definedName name="alex" hidden="1">[10]XREF!$3:$3</definedName>
    <definedName name="amorper">#REF!</definedName>
    <definedName name="Amortización" hidden="1">{#N/A,#N/A,FALSE,"Aging Summary";#N/A,#N/A,FALSE,"Ratio Analysis";#N/A,#N/A,FALSE,"Test 120 Day Accts";#N/A,#N/A,FALSE,"Tickmarks"}</definedName>
    <definedName name="analadic">#REF!</definedName>
    <definedName name="Analiisis">#REF!</definedName>
    <definedName name="analisis">#REF!</definedName>
    <definedName name="Análisis" hidden="1">#REF!</definedName>
    <definedName name="analisisgastos" hidden="1">#REF!</definedName>
    <definedName name="anexo1">#REF!</definedName>
    <definedName name="anexodos">#REF!</definedName>
    <definedName name="anexos" hidden="1">[11]XREF!#REF!</definedName>
    <definedName name="Año">[5]ER!$N$154</definedName>
    <definedName name="APSUMMARY">#REF!</definedName>
    <definedName name="APT" hidden="1">{#N/A,#N/A,FALSE,"Aging Summary";#N/A,#N/A,FALSE,"Ratio Analysis";#N/A,#N/A,FALSE,"Test 120 Day Accts";#N/A,#N/A,FALSE,"Tickmarks"}</definedName>
    <definedName name="aptgastos" hidden="1">{#N/A,#N/A,FALSE,"Aging Summary";#N/A,#N/A,FALSE,"Ratio Analysis";#N/A,#N/A,FALSE,"Test 120 Day Accts";#N/A,#N/A,FALSE,"Tickmarks"}</definedName>
    <definedName name="AR">#REF!</definedName>
    <definedName name="ARA_Threshold">[12]Lead!$P$2</definedName>
    <definedName name="ARA_Threshold_12">#REF!</definedName>
    <definedName name="ARA_Threshold_13">#REF!</definedName>
    <definedName name="ARA_Threshold_15">#REF!</definedName>
    <definedName name="ARA_Threshold_16">#REF!</definedName>
    <definedName name="ARA_Threshold_2">#REF!</definedName>
    <definedName name="ARA_Threshold_8">#REF!</definedName>
    <definedName name="_xlnm.Print_Area">#REF!</definedName>
    <definedName name="ARP_Threshold">[12]Lead!$O$2</definedName>
    <definedName name="ARP_Threshold_12">#REF!</definedName>
    <definedName name="ARP_Threshold_13">#REF!</definedName>
    <definedName name="ARP_Threshold_15">#REF!</definedName>
    <definedName name="ARP_Threshold_16">#REF!</definedName>
    <definedName name="ARP_Threshold_2">#REF!</definedName>
    <definedName name="ARP_Threshold_8">#REF!</definedName>
    <definedName name="as" hidden="1">12</definedName>
    <definedName name="AS2DocOpenMode" hidden="1">"AS2DocumentEdit"</definedName>
    <definedName name="AS2HasNoAutoHeaderFooter" hidden="1">" "</definedName>
    <definedName name="AS2LinkLS" hidden="1">[13]Links!A1</definedName>
    <definedName name="AS2NamedRange" hidden="1">21</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d">'[14]Calc. dep.'!$A$1</definedName>
    <definedName name="asd" hidden="1">{#N/A,#N/A,FALSE,"Aging Summary";#N/A,#N/A,FALSE,"Ratio Analysis";#N/A,#N/A,FALSE,"Test 120 Day Accts";#N/A,#N/A,FALSE,"Tickmarks"}</definedName>
    <definedName name="ASDF" hidden="1">'[15]Detalle gastos Sep01-Ago02'!#REF!</definedName>
    <definedName name="asdsadsafc" hidden="1">4</definedName>
    <definedName name="axdsd" hidden="1">#REF!</definedName>
    <definedName name="az" hidden="1">7</definedName>
    <definedName name="B">#REF!</definedName>
    <definedName name="BA">[16]BALANCE!$B$3:$D$154</definedName>
    <definedName name="BAL">#N/A</definedName>
    <definedName name="_xlnm.Database">#REF!</definedName>
    <definedName name="basic_level">'[17]Tabla del Límite'!$A$6:$C$11</definedName>
    <definedName name="bb" hidden="1">#REF!</definedName>
    <definedName name="BC">20050</definedName>
    <definedName name="BELL" hidden="1">#REF!</definedName>
    <definedName name="BG_Del" hidden="1">15</definedName>
    <definedName name="BG_Ins" hidden="1">4</definedName>
    <definedName name="BG_Mod" hidden="1">6</definedName>
    <definedName name="BGR_INFRAESTRUCTURA">#REF!</definedName>
    <definedName name="BPM_CAPACITACION">[5]ER!$O$176</definedName>
    <definedName name="BPM_Cuenta_CAPACITACION">[5]ER!$B$176</definedName>
    <definedName name="BPM_Cuenta_VIATICOS_Y_MOV">[5]ER!$B$177</definedName>
    <definedName name="BPM_VIATICOS_Y_MOV">[5]ER!$O$177</definedName>
    <definedName name="BUV">#REF!</definedName>
    <definedName name="C_">#REF!</definedName>
    <definedName name="CALL_CENTER">#REF!</definedName>
    <definedName name="CARLOS">'[18]1134'!#REF!</definedName>
    <definedName name="CASH">#REF!</definedName>
    <definedName name="cc" hidden="1">#REF!</definedName>
    <definedName name="Centro_de_Costos_BPM">[5]ER!$B$178</definedName>
    <definedName name="CFRQ">#REF!</definedName>
    <definedName name="CHE">#REF!</definedName>
    <definedName name="cia">'[19]CON.BANC '!$A$1</definedName>
    <definedName name="Cierre">37590</definedName>
    <definedName name="Cierre_01_03">37652</definedName>
    <definedName name="Cierre_01_04">38017</definedName>
    <definedName name="Cierre_02_03">37680</definedName>
    <definedName name="Cierre_02_04">38046</definedName>
    <definedName name="Cierre_03_03">37711</definedName>
    <definedName name="Cierre_03_04">38077</definedName>
    <definedName name="Cierre_04_03">37741</definedName>
    <definedName name="Cierre_04_04">38107</definedName>
    <definedName name="Cierre_05_03">37772</definedName>
    <definedName name="Cierre_05_04">38138</definedName>
    <definedName name="Cierre_06_03">37802</definedName>
    <definedName name="Cierre_06_04">38168</definedName>
    <definedName name="Cierre_07_03">37833</definedName>
    <definedName name="Cierre_07_04">38199</definedName>
    <definedName name="Cierre_08_03">37864</definedName>
    <definedName name="Cierre_08_04">38230</definedName>
    <definedName name="Cierre_09_03">37894</definedName>
    <definedName name="Cierre_09_04">38260</definedName>
    <definedName name="Cierre_10_03">37925</definedName>
    <definedName name="Cierre_10_04">38291</definedName>
    <definedName name="Cierre_11_03">37955</definedName>
    <definedName name="Cierre_12_01">37256</definedName>
    <definedName name="Cierre_12_02">37621</definedName>
    <definedName name="Cierre_12_03">37986</definedName>
    <definedName name="clave">[20]Inicio!#REF!</definedName>
    <definedName name="cld" hidden="1">#REF!</definedName>
    <definedName name="client">[6]ER!$H$156</definedName>
    <definedName name="CLIENTES">'[21]PGO 1 ABR '!#REF!</definedName>
    <definedName name="Clients_Population_Total">#REF!</definedName>
    <definedName name="Codigo">#REF!</definedName>
    <definedName name="Código">#REF!</definedName>
    <definedName name="Computed_Sample_Population_Total">#REF!</definedName>
    <definedName name="concil.iva" hidden="1">{#N/A,#N/A,FALSE,"Aging Summary";#N/A,#N/A,FALSE,"Ratio Analysis";#N/A,#N/A,FALSE,"Test 120 Day Accts";#N/A,#N/A,FALSE,"Tickmarks"}</definedName>
    <definedName name="concil.renta" hidden="1">{#N/A,#N/A,FALSE,"Aging Summary";#N/A,#N/A,FALSE,"Ratio Analysis";#N/A,#N/A,FALSE,"Test 120 Day Accts";#N/A,#N/A,FALSE,"Tickmarks"}</definedName>
    <definedName name="Consulta1">#REF!</definedName>
    <definedName name="Correcion">#REF!</definedName>
    <definedName name="cost_of_sales">[6]ER!$H$149</definedName>
    <definedName name="COSTO_CORREGIDO">'[8]LISTADO 09 01'!#REF!</definedName>
    <definedName name="Costos">#REF!</definedName>
    <definedName name="costoss" hidden="1">{#N/A,#N/A,FALSE,"Aging Summary";#N/A,#N/A,FALSE,"Ratio Analysis";#N/A,#N/A,FALSE,"Test 120 Day Accts";#N/A,#N/A,FALSE,"Tickmarks"}</definedName>
    <definedName name="cris">#REF!</definedName>
    <definedName name="cs">#REF!</definedName>
    <definedName name="CT">'[22]CREDITO TRIBUTARIO'!$1:$1048576</definedName>
    <definedName name="CxCVARIOS">#REF!</definedName>
    <definedName name="CY_Accounts_Receivable">[23]Balance!$C$8</definedName>
    <definedName name="CY_Administration">'[23]Estado de Resultados'!$B$11</definedName>
    <definedName name="CY_Cash">[23]Balance!$C$6</definedName>
    <definedName name="CY_Cash_Div_Dec">'[24]Income Statement'!#REF!</definedName>
    <definedName name="CY_CASH_DIVIDENDS_DECLARED__per_common_share">'[24]Income Statement'!#REF!</definedName>
    <definedName name="CY_Common_Equity">[23]Balance!$C$32</definedName>
    <definedName name="CY_Cost_of_Sales">'[23]Estado de Resultados'!$B$7</definedName>
    <definedName name="CY_Current_Liabilities">[23]Balance!$C$24</definedName>
    <definedName name="CY_Depreciation">'[23]Estado de Resultados'!$B$15</definedName>
    <definedName name="CY_Disc._Ops.">'[25]Income Statement'!$C$28</definedName>
    <definedName name="CY_Earnings_per_share">[24]Ratios!#REF!</definedName>
    <definedName name="CY_Extraord.">'[25]Income Statement'!$C$32</definedName>
    <definedName name="CY_Gross_Profit">'[23]Estado de Resultados'!$B$9</definedName>
    <definedName name="CY_INC_AFT_TAX">'[25]Income Statement'!$C$26</definedName>
    <definedName name="CY_INC_BEF_EXTRAORD">'[25]Income Statement'!$C$30</definedName>
    <definedName name="CY_Inc_Bef_Tax">'[23]Estado de Resultados'!$B$22</definedName>
    <definedName name="CY_Intangible_Assets">[23]Balance!$C$18</definedName>
    <definedName name="CY_Interest_Expense">'[23]Estado de Resultados'!$B$19</definedName>
    <definedName name="CY_Inventory">[23]Balance!$C$12</definedName>
    <definedName name="CY_LIABIL_EQUITY">[23]Balance!$C$37</definedName>
    <definedName name="CY_lik_Equity">#REF!</definedName>
    <definedName name="CY_lik_Income">#REF!</definedName>
    <definedName name="CY_lik_Liabs">#REF!</definedName>
    <definedName name="CY_lik_RetEarn_bf">#REF!</definedName>
    <definedName name="CY_Long_term_Debt__excl_Dfd_Taxes">'[25]Balance Sheet'!$C$29</definedName>
    <definedName name="CY_LT_Debt">[23]Balance!$C$25</definedName>
    <definedName name="CY_Market_Value_of_Equity">'[23]Estado de Resultados'!$B$31</definedName>
    <definedName name="CY_Marketable_Sec">[23]Balance!$C$7</definedName>
    <definedName name="CY_NET_INCOME">'[25]Income Statement'!$C$34</definedName>
    <definedName name="CY_NET_PROFIT">'[23]Estado de Resultados'!$B$26</definedName>
    <definedName name="CY_Net_Revenue">'[23]Estado de Resultados'!$B$6</definedName>
    <definedName name="CY_Operating_Income">'[23]Estado de Resultados'!$B$17</definedName>
    <definedName name="CY_Other">'[23]Estado de Resultados'!$B$14</definedName>
    <definedName name="CY_Other_Curr_Assets">[23]Balance!$C$13</definedName>
    <definedName name="CY_Other_LT_Assets">[23]Balance!$C$19</definedName>
    <definedName name="CY_Other_LT_Liabilities">[23]Balance!$C$26</definedName>
    <definedName name="CY_Preferred_Stock">[23]Balance!$C$31</definedName>
    <definedName name="CY_QUICK_ASSETS">[23]Balance!$C$10</definedName>
    <definedName name="CY_Retained_Earnings">[23]Balance!$C$33</definedName>
    <definedName name="CY_Selling">'[23]Estado de Resultados'!$B$12</definedName>
    <definedName name="CY_Tangible_Assets">[23]Balance!$C$17</definedName>
    <definedName name="CY_Tangible_Net_Worth">'[23]Estado de Resultados'!$B$33</definedName>
    <definedName name="CY_Taxes">'[23]Estado de Resultados'!$B$24</definedName>
    <definedName name="CY_TOTAL_ASSETS">[23]Balance!$C$22</definedName>
    <definedName name="CY_TOTAL_CURR_ASSETS">[23]Balance!$C$15</definedName>
    <definedName name="CY_TOTAL_DEBT">[23]Balance!$C$29</definedName>
    <definedName name="CY_TOTAL_EQUITY">[23]Balance!$C$35</definedName>
    <definedName name="CY_Trade_Payables">'[25]Balance Sheet'!$C$27</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CY_Weighted_Average">'[24]Income Statement'!#REF!</definedName>
    <definedName name="CY_Working_Capital">'[23]Estado de Resultados'!$B$32</definedName>
    <definedName name="CY_Year_Income_Statement">'[25]Income Statement'!$C$3</definedName>
    <definedName name="D">#REF!</definedName>
    <definedName name="daara" hidden="1">#REF!</definedName>
    <definedName name="Dac">[26]Lead!$K$1:$K$95</definedName>
    <definedName name="dads">[27]CMA_Calculations!$H$10</definedName>
    <definedName name="dasdfdsafsa">[14]Costo!#REF!</definedName>
    <definedName name="Database_MI">#REF!</definedName>
    <definedName name="dc" hidden="1">#REF!</definedName>
    <definedName name="dd" hidden="1">#REF!</definedName>
    <definedName name="dddd">#REF!</definedName>
    <definedName name="ddfdf" hidden="1">{#N/A,#N/A,FALSE,"Aging Summary";#N/A,#N/A,FALSE,"Ratio Analysis";#N/A,#N/A,FALSE,"Test 120 Day Accts";#N/A,#N/A,FALSE,"Tickmarks"}</definedName>
    <definedName name="deae" hidden="1">#REF!</definedName>
    <definedName name="deg">#REF!</definedName>
    <definedName name="deloi" hidden="1">2</definedName>
    <definedName name="DEP">#REF!</definedName>
    <definedName name="Dep." hidden="1">[28]XREF!$3:$3</definedName>
    <definedName name="Dep.S_.">'[8]LISTADO 09 01'!#REF!</definedName>
    <definedName name="Dep.U_.">'[8]LISTADO 09 01'!#REF!</definedName>
    <definedName name="Depósitos">TextRefCopy43</definedName>
    <definedName name="DEPRECIACION_CORREGIDA">'[8]LISTADO 09 01'!#REF!</definedName>
    <definedName name="depreciaciones">[6]ER!$H$157</definedName>
    <definedName name="Descripcion">#REF!</definedName>
    <definedName name="DESDE" hidden="1">#REF!</definedName>
    <definedName name="DESS" hidden="1">#REF!</definedName>
    <definedName name="DEVOL_INFLACIÓN">#REF!</definedName>
    <definedName name="dfd" hidden="1">[29]XREF!$4:$4</definedName>
    <definedName name="dfdfd" hidden="1">3</definedName>
    <definedName name="dfdfdgdg" hidden="1">7</definedName>
    <definedName name="dfdff" hidden="1">[30]Detalle!#REF!</definedName>
    <definedName name="dfdkf" hidden="1">[29]XREF!$3:$3</definedName>
    <definedName name="Día_de_Cierre">#REF!</definedName>
    <definedName name="diana">'[31]Costo+Reexp'!#REF!</definedName>
    <definedName name="Dic">20050</definedName>
    <definedName name="dieg">#REF!</definedName>
    <definedName name="Diego">[26]Lead!$H$1:$H$95</definedName>
    <definedName name="diferences">#REF!</definedName>
    <definedName name="Diferenciaresidual">#REF!</definedName>
    <definedName name="Difference">#REF!</definedName>
    <definedName name="Disaggregations">#REF!</definedName>
    <definedName name="disgregadas">#REF!</definedName>
    <definedName name="djfiefj" hidden="1">2</definedName>
    <definedName name="dkfdk" hidden="1">[29]XREF!$2:$2</definedName>
    <definedName name="dkfie" hidden="1">11</definedName>
    <definedName name="DME_BeforeCloseCompleted" hidden="1">"Falso"</definedName>
    <definedName name="DME_Dirty" hidden="1">"Falso"</definedName>
    <definedName name="DME_DocumentFlags" hidden="1">"1"</definedName>
    <definedName name="DME_DocumentID" hidden="1">"::ODMA\DME-MSE\ECU1-33373"</definedName>
    <definedName name="DME_DocumentOpened" hidden="1">"Verdadero"</definedName>
    <definedName name="DME_DocumentTitle" hidden="1">"ECU1-33373 - Clientes y Deudores agosto-03"</definedName>
    <definedName name="DME_LocalFile" hidden="1">"Verdadero"</definedName>
    <definedName name="DME_NextWindowNumber" hidden="1">"2"</definedName>
    <definedName name="DME_ODMALinks1" hidden="1">"::ODMA\DME-MSE\ECU1-1176=C:\DOCUME~1\ec00065\CONFIG~1\Temp\Dme\ECU1-1176.xls"</definedName>
    <definedName name="DME_ODMALinks2" hidden="1">"::ODMA\DME-MSE\ECU1-4961=C:\WINDOWS\TEMP\Dme\ECU1-4961.xls"</definedName>
    <definedName name="DME_ODMALinks3" hidden="1">"::ODMA\DME-MSE\ECU1-41787=C:\DOCUME~1\ec00007\CONFIG~1\Temp\Dme\ECU1-41787.xls"</definedName>
    <definedName name="DME_ODMALinksCount" hidden="1">"1"</definedName>
    <definedName name="Dolares">'[8]LISTADO 09 01'!#REF!</definedName>
    <definedName name="Dollar_Threshold">[23]Balance!$F$3</definedName>
    <definedName name="dore" hidden="1">3</definedName>
    <definedName name="dsad" hidden="1">'[32]Balance Gral.'!#REF!</definedName>
    <definedName name="DTT">'[24]Income Statement'!#REF!</definedName>
    <definedName name="dvdve">#REF!</definedName>
    <definedName name="e">#REF!</definedName>
    <definedName name="EDYTH">#REF!</definedName>
    <definedName name="ee">#REF!</definedName>
    <definedName name="eere" hidden="1">[33]XREF!$A$2</definedName>
    <definedName name="ef">#REF!</definedName>
    <definedName name="efe">#REF!</definedName>
    <definedName name="efefe">#REF!</definedName>
    <definedName name="efefed" hidden="1">'[33]Seg.Act.Fijos (Prel.)'!#REF!</definedName>
    <definedName name="eggr">#REF!</definedName>
    <definedName name="eifjeifje">#REF!</definedName>
    <definedName name="electricity">[6]ER!$H$158</definedName>
    <definedName name="eli">#REF!</definedName>
    <definedName name="ELY">'[18]1134'!#REF!</definedName>
    <definedName name="Empresa">[20]Inicio!#REF!</definedName>
    <definedName name="Ene">25000</definedName>
    <definedName name="Ene00">25000</definedName>
    <definedName name="ENLACES">#REF!</definedName>
    <definedName name="er">'[34]Detalle Gtos.'!$J$60</definedName>
    <definedName name="er5_12" hidden="1">{#N/A,#N/A,FALSE,"Aging Summary";#N/A,#N/A,FALSE,"Ratio Analysis";#N/A,#N/A,FALSE,"Test 120 Day Accts";#N/A,#N/A,FALSE,"Tickmarks"}</definedName>
    <definedName name="erer" hidden="1">5</definedName>
    <definedName name="Excel_BuiltIn__FilterDatabase_12">'[35]Anexo 9'!#REF!</definedName>
    <definedName name="Excel_BuiltIn_Database">#REF!</definedName>
    <definedName name="Excel_BuiltIn_Database_15">#REF!</definedName>
    <definedName name="Excel_BuiltIn_Database_8">#REF!</definedName>
    <definedName name="Excel_BuiltIn_Print_Area">#REF!</definedName>
    <definedName name="Excel_BuiltIn_Print_Area_24">#REF!</definedName>
    <definedName name="Expected_balance">#REF!</definedName>
    <definedName name="FABY">'[18]1134'!#REF!</definedName>
    <definedName name="FactorR">#REF!</definedName>
    <definedName name="FEB">7300</definedName>
    <definedName name="fecha">#REF!</definedName>
    <definedName name="Fecha_Inicial">[20]Inicio!#REF!</definedName>
    <definedName name="fefe">#REF!</definedName>
    <definedName name="fefef">#REF!</definedName>
    <definedName name="FERDONOSO">'[18]1134'!#REF!</definedName>
    <definedName name="FERMUÑOZ">'[18]1134'!#REF!</definedName>
    <definedName name="ff">[36]Lead!$I$1:$I$371</definedName>
    <definedName name="FINANCIERO_PERU">#REF!</definedName>
    <definedName name="fkefief" hidden="1">[10]XREF!$2:$2</definedName>
    <definedName name="fr" hidden="1">#REF!</definedName>
    <definedName name="fs" hidden="1">18</definedName>
    <definedName name="funa">#REF!</definedName>
    <definedName name="funad">#REF!</definedName>
    <definedName name="fundagro">#REF!</definedName>
    <definedName name="fv" hidden="1">#REF!</definedName>
    <definedName name="fy" hidden="1">1</definedName>
    <definedName name="g">#REF!</definedName>
    <definedName name="Gast._.">'[8]LISTADO 09 01'!#REF!</definedName>
    <definedName name="Gast.S_.">'[8]LISTADO 09 01'!#REF!</definedName>
    <definedName name="GASTO_1995">'[8]LISTADO 09 01'!#REF!</definedName>
    <definedName name="gasto1">'[37]Det. Gastos'!$I$82</definedName>
    <definedName name="Gastos" hidden="1">[38]XREF!#REF!</definedName>
    <definedName name="gb" hidden="1">[39]XREF!#REF!</definedName>
    <definedName name="gbg" hidden="1">[39]XREF!#REF!</definedName>
    <definedName name="ge">#REF!</definedName>
    <definedName name="gfadg">[40]Dep.Consol!$R$11</definedName>
    <definedName name="GFHT">#REF!</definedName>
    <definedName name="gg" hidden="1">[10]XREF!$A$11</definedName>
    <definedName name="gggrr">#REF!</definedName>
    <definedName name="GILBER">'[18]1134'!#REF!</definedName>
    <definedName name="gn" hidden="1">#REF!</definedName>
    <definedName name="goofie">[41]Intercompany!#REF!</definedName>
    <definedName name="_xlnm.Recorder">#REF!</definedName>
    <definedName name="grupo">#REF!</definedName>
    <definedName name="h" hidden="1">17</definedName>
    <definedName name="HERNAN">'[18]1134'!#REF!</definedName>
    <definedName name="hh" hidden="1">5</definedName>
    <definedName name="hm">#REF!</definedName>
    <definedName name="hoja">#REF!</definedName>
    <definedName name="Hola">[26]Lead!$J$1:$J$95</definedName>
    <definedName name="HOLAÑALKW">#REF!</definedName>
    <definedName name="HORAS_DESARROLLO">#REF!</definedName>
    <definedName name="HTML_CodePage" hidden="1">1252</definedName>
    <definedName name="HTML_Control" hidden="1">{"'Borrador 30.11.2000'!$A$1:$BB$61"}</definedName>
    <definedName name="HTML_Description" hidden="1">""</definedName>
    <definedName name="HTML_Email" hidden="1">""</definedName>
    <definedName name="HTML_Header" hidden="1">"Borrador 30.11.2000"</definedName>
    <definedName name="HTML_LastUpdate" hidden="1">"05-12-2000"</definedName>
    <definedName name="HTML_LineAfter" hidden="1">FALSE</definedName>
    <definedName name="HTML_LineBefore" hidden="1">FALSE</definedName>
    <definedName name="HTML_Name" hidden="1">"Hernan Avalos"</definedName>
    <definedName name="HTML_OBDlg2" hidden="1">TRUE</definedName>
    <definedName name="HTML_OBDlg4" hidden="1">TRUE</definedName>
    <definedName name="HTML_OS" hidden="1">0</definedName>
    <definedName name="HTML_PathFile" hidden="1">"C:\Datos Hernan\BORRADOR\HTML.htm"</definedName>
    <definedName name="HTML_Title" hidden="1">"ADC_Dic_2000"</definedName>
    <definedName name="i">#REF!</definedName>
    <definedName name="ii">#REF!</definedName>
    <definedName name="iii">#REF!</definedName>
    <definedName name="imp">[6]ER!$H$161</definedName>
    <definedName name="importaciones">#REF!</definedName>
    <definedName name="importraciones" hidden="1">3</definedName>
    <definedName name="imprtacionsa" hidden="1">#REF!</definedName>
    <definedName name="IMPTRANSITO" hidden="1">#REF!</definedName>
    <definedName name="INCOME">#REF!</definedName>
    <definedName name="INCREMENTO_ENLACES">#REF!</definedName>
    <definedName name="Incremento_Sueldos">#REF!</definedName>
    <definedName name="Indice">'[8]LISTADO 09 01'!#REF!</definedName>
    <definedName name="insurance">[6]ER!$H$164</definedName>
    <definedName name="interm_level">'[17]Tabla del Límite'!$D$6:$F$11</definedName>
    <definedName name="Interval">#REF!</definedName>
    <definedName name="INV">[42]A!$H$25</definedName>
    <definedName name="INVENT">#REF!</definedName>
    <definedName name="Inventarios">[43]Selecc.!#REF!</definedName>
    <definedName name="j" hidden="1">{#N/A,#N/A,FALSE,"Aging Summary";#N/A,#N/A,FALSE,"Ratio Analysis";#N/A,#N/A,FALSE,"Test 120 Day Accts";#N/A,#N/A,FALSE,"Tickmarks"}</definedName>
    <definedName name="jaime">#REF!</definedName>
    <definedName name="jfrusa">#REF!</definedName>
    <definedName name="JHONNY">'[18]1134'!#REF!</definedName>
    <definedName name="jj" hidden="1">[10]XREF!$4:$4</definedName>
    <definedName name="jsdhcj" hidden="1">'[37]Det. Gastos'!$J:$J</definedName>
    <definedName name="juan" hidden="1">'[37]Det. Gastos'!$E$70</definedName>
    <definedName name="juju">[41]Intercompany!$J$24</definedName>
    <definedName name="Jul">11800</definedName>
    <definedName name="Jun">9600</definedName>
    <definedName name="jy">[44]Detalle!#REF!</definedName>
    <definedName name="k" hidden="1">{#N/A,#N/A,FALSE,"Aging Summary";#N/A,#N/A,FALSE,"Ratio Analysis";#N/A,#N/A,FALSE,"Test 120 Day Accts";#N/A,#N/A,FALSE,"Tickmarks"}</definedName>
    <definedName name="karla">#REF!</definedName>
    <definedName name="kjhlkhggjhj">#REF!</definedName>
    <definedName name="kk" hidden="1">[10]XREF!$5:$5</definedName>
    <definedName name="kkdf">#REF!</definedName>
    <definedName name="kkkkk" hidden="1">68</definedName>
    <definedName name="kl" hidden="1">3</definedName>
    <definedName name="kmkcd" hidden="1">[39]XREF!#REF!</definedName>
    <definedName name="KOKJ">#REF!</definedName>
    <definedName name="KSFJÑDSKF" hidden="1">{#N/A,#N/A,FALSE,"Aging Summary";#N/A,#N/A,FALSE,"Ratio Analysis";#N/A,#N/A,FALSE,"Test 120 Day Accts";#N/A,#N/A,FALSE,"Tickmarks"}</definedName>
    <definedName name="l">#REF!</definedName>
    <definedName name="L_AcctDes">[13]Links!$E:$E</definedName>
    <definedName name="L_Adjust">[12]Links!$H:$H</definedName>
    <definedName name="L_Adjust_15">NA()</definedName>
    <definedName name="L_Adjust_8">NA()</definedName>
    <definedName name="L_Adjust_GT">[13]Links!$H$19</definedName>
    <definedName name="L_AJE_Tot">[12]Links!$G:$G</definedName>
    <definedName name="L_AJE_Tot_15">NA()</definedName>
    <definedName name="L_AJE_Tot_8">NA()</definedName>
    <definedName name="L_AJE_Tot_GT">[13]Links!$G$19</definedName>
    <definedName name="L_CompNum">[13]Links!$B:$B</definedName>
    <definedName name="L_CY_Beg">[12]Links!$F:$F</definedName>
    <definedName name="L_CY_Beg_15">NA()</definedName>
    <definedName name="L_CY_Beg_8">NA()</definedName>
    <definedName name="L_CY_Beg_GT">[13]Links!$F$19</definedName>
    <definedName name="L_CY_End">[12]Links!$J:$J</definedName>
    <definedName name="L_CY_End_15">NA()</definedName>
    <definedName name="L_CY_End_8">NA()</definedName>
    <definedName name="L_CY_End_GT">[13]Links!$J$19</definedName>
    <definedName name="L_GrpNum">[13]Links!$C:$C</definedName>
    <definedName name="L_Headings">[13]Links!$1:$1</definedName>
    <definedName name="L_KeyValue">[13]Links!$A:$A</definedName>
    <definedName name="L_PY_End">[12]Links!$K:$K</definedName>
    <definedName name="L_PY_End_15">NA()</definedName>
    <definedName name="L_PY_End_8">NA()</definedName>
    <definedName name="L_PY_End_GT">[13]Links!$K$19</definedName>
    <definedName name="L_RJE_Tot">[12]Links!$I:$I</definedName>
    <definedName name="L_RJE_Tot_15">NA()</definedName>
    <definedName name="L_RJE_Tot_8">NA()</definedName>
    <definedName name="L_RJE_Tot_GT">[13]Links!$I$19</definedName>
    <definedName name="L_RowNum">[13]Links!$D:$D</definedName>
    <definedName name="le">[44]Detalle!$E$81</definedName>
    <definedName name="legal">[6]ER!$H$155</definedName>
    <definedName name="lekfeof">'[45]Reex.'!#REF!</definedName>
    <definedName name="limite">#REF!</definedName>
    <definedName name="ll" hidden="1">#REF!</definedName>
    <definedName name="lldoe" hidden="1">[39]XREF!#REF!</definedName>
    <definedName name="LLIOMAR">'[18]1134'!#REF!</definedName>
    <definedName name="lo" hidden="1">10</definedName>
    <definedName name="loja">#REF!</definedName>
    <definedName name="lore" hidden="1">3</definedName>
    <definedName name="lorena">#REF!</definedName>
    <definedName name="LUIS">#REF!</definedName>
    <definedName name="LYN">#REF!</definedName>
    <definedName name="m">'[45]Dep.Costo.'!#REF!</definedName>
    <definedName name="M.Dolares">'[8]LISTADO 09 01'!#REF!</definedName>
    <definedName name="M.Sucres">#REF!</definedName>
    <definedName name="M115105020">#REF!</definedName>
    <definedName name="M115202020">#REF!</definedName>
    <definedName name="M1155010">#REF!</definedName>
    <definedName name="M1189940">#REF!</definedName>
    <definedName name="M1262050">#REF!</definedName>
    <definedName name="M1262060">#REF!</definedName>
    <definedName name="M1262090">#REF!</definedName>
    <definedName name="M2311010">'[2]Det. Rec. Prov. Locales {PPC}'!#REF!</definedName>
    <definedName name="M2311030">'[2]Det. Rec. Prov. Locales {PPC}'!#REF!</definedName>
    <definedName name="M2311050">#REF!</definedName>
    <definedName name="M2312020">#REF!</definedName>
    <definedName name="M2351020">#REF!</definedName>
    <definedName name="M2395020">#REF!</definedName>
    <definedName name="mar">#REF!</definedName>
    <definedName name="MARTHY">'[18]1134'!#REF!</definedName>
    <definedName name="Materiality">#REF!</definedName>
    <definedName name="May">9200</definedName>
    <definedName name="menso" hidden="1">[39]XREF!#REF!</definedName>
    <definedName name="Mes_Final">[5]ER!$N$156</definedName>
    <definedName name="Mes_Inicial">[5]ER!$N$155</definedName>
    <definedName name="metro">#REF!</definedName>
    <definedName name="metrod">#REF!</definedName>
    <definedName name="mio">#REF!</definedName>
    <definedName name="mis">[6]ER!$H$151</definedName>
    <definedName name="mm" hidden="1">[10]XREF!$10:$10</definedName>
    <definedName name="MM1105010">#REF!</definedName>
    <definedName name="MM115202010">'[2]Det. Rec. Prov. Locales {PPC}'!#REF!</definedName>
    <definedName name="MM115202020">#REF!</definedName>
    <definedName name="MM1152050">'[2]Det. Rec. Prov. Locales {PPC}'!#REF!</definedName>
    <definedName name="MM1155010">#REF!</definedName>
    <definedName name="MM1183530">#REF!</definedName>
    <definedName name="MM118993060">'[2]Det. Rec. Prov. Locales {PPC}'!#REF!</definedName>
    <definedName name="MM1263030">#REF!</definedName>
    <definedName name="MMA" hidden="1">{#N/A,#N/A,FALSE,"Aging Summary";#N/A,#N/A,FALSE,"Ratio Analysis";#N/A,#N/A,FALSE,"Test 120 Day Accts";#N/A,#N/A,FALSE,"Tickmarks"}</definedName>
    <definedName name="MMAChGiradosDic" hidden="1">{#N/A,#N/A,FALSE,"Aging Summary";#N/A,#N/A,FALSE,"Ratio Analysis";#N/A,#N/A,FALSE,"Test 120 Day Accts";#N/A,#N/A,FALSE,"Tickmarks"}</definedName>
    <definedName name="MMADepósitosDic" hidden="1">{#N/A,#N/A,FALSE,"Aging Summary";#N/A,#N/A,FALSE,"Ratio Analysis";#N/A,#N/A,FALSE,"Test 120 Day Accts";#N/A,#N/A,FALSE,"Tickmarks"}</definedName>
    <definedName name="moderate_level">'[46]Threshold Table'!$E$11:$G$23</definedName>
    <definedName name="Monetary_Precision">#REF!</definedName>
    <definedName name="MONTO_CALL_CENTER">#REF!</definedName>
    <definedName name="MONTO_ENLACES">#REF!</definedName>
    <definedName name="MONTO_INCREMENTO">#REF!</definedName>
    <definedName name="motor">[6]ER!$H$159</definedName>
    <definedName name="Mov.Inv.Lecocem2" hidden="1">{#N/A,#N/A,FALSE,"Aging Summary";#N/A,#N/A,FALSE,"Ratio Analysis";#N/A,#N/A,FALSE,"Test 120 Day Accts";#N/A,#N/A,FALSE,"Tickmarks"}</definedName>
    <definedName name="Movdepr_Edificios" hidden="1">{#N/A,#N/A,FALSE,"Aging Summary";#N/A,#N/A,FALSE,"Ratio Analysis";#N/A,#N/A,FALSE,"Test 120 Day Accts";#N/A,#N/A,FALSE,"Tickmarks"}</definedName>
    <definedName name="MP">#REF!</definedName>
    <definedName name="Murrin">#REF!</definedName>
    <definedName name="myorellana_ñ" hidden="1">{#N/A,#N/A,FALSE,"Aging Summary";#N/A,#N/A,FALSE,"Ratio Analysis";#N/A,#N/A,FALSE,"Test 120 Day Accts";#N/A,#N/A,FALSE,"Tickmarks"}</definedName>
    <definedName name="MYR_TEC">#REF!</definedName>
    <definedName name="n">#REF!</definedName>
    <definedName name="nada">#REF!</definedName>
    <definedName name="nada2">#REF!</definedName>
    <definedName name="name">[36]Links!$F:$F</definedName>
    <definedName name="ND" hidden="1">{#N/A,#N/A,FALSE,"Aging Summary";#N/A,#N/A,FALSE,"Ratio Analysis";#N/A,#N/A,FALSE,"Test 120 Day Accts";#N/A,#N/A,FALSE,"Tickmarks"}</definedName>
    <definedName name="new">'[47]Proveed. Loc.'!$D$63</definedName>
    <definedName name="nmm" hidden="1">#REF!</definedName>
    <definedName name="nn" hidden="1">[10]XREF!$9:$9</definedName>
    <definedName name="NNK" hidden="1">34</definedName>
    <definedName name="no" hidden="1">#REF!</definedName>
    <definedName name="NonTop_Stratum_Value">#REF!</definedName>
    <definedName name="Nov">18000</definedName>
    <definedName name="NUEVO">#REF!</definedName>
    <definedName name="NUEVO_VALOR_COSTO">'[8]LISTADO 09 01'!#REF!</definedName>
    <definedName name="Number_of_Selections">#REF!</definedName>
    <definedName name="Numero_del_Activo">#REF!</definedName>
    <definedName name="NvsASD">"V1998-04-30"</definedName>
    <definedName name="NvsAutoDrillOk">"VN"</definedName>
    <definedName name="NvsElapsedTime">0.0000418981508119032</definedName>
    <definedName name="NvsEndTime">35929.4692549769</definedName>
    <definedName name="NvsInstSpec">"%,LREAL_S/,SYTD,FCURRENCY_CD,VECS,FDEPTID,TCENTROS_DE_COSTOS,NCOMERCIAL,FACCOUNT,TNIVELES_DE_CUENTAS,NGASTOS"</definedName>
    <definedName name="NvsLayoutType">"M3"</definedName>
    <definedName name="NvsNplSpec">"%,XZF.ACCOUNT.PSDetail"</definedName>
    <definedName name="NvsPanelEffdt">"V1992-12-10"</definedName>
    <definedName name="NvsPanelSetid">"VNEWGN"</definedName>
    <definedName name="NvsParentRef">[48]INCOME!$E$31</definedName>
    <definedName name="NvsReqBU">"VOTCEL"</definedName>
    <definedName name="NvsReqBUOnly">"VY"</definedName>
    <definedName name="NvsTransLed">"VN"</definedName>
    <definedName name="NvsTreeASD">"V1998-04-30"</definedName>
    <definedName name="NvsValTbl.ACCOUNT">"GL_ACCOUNT_TBL"</definedName>
    <definedName name="NvsValTbl.BUSINESS_UNIT">"BUS_UNIT_TBL_FS"</definedName>
    <definedName name="NvsValTbl.CURRENCY_CD">"CURRENCY_CD_TBL"</definedName>
    <definedName name="NvsValTbl.DEPTID">"DEPARTMENT_TBL"</definedName>
    <definedName name="ñ" hidden="1">#REF!</definedName>
    <definedName name="ññ" hidden="1">[10]XREF!$6:$6</definedName>
    <definedName name="o">#REF!</definedName>
    <definedName name="Oct">16000</definedName>
    <definedName name="office">[6]ER!$H$153</definedName>
    <definedName name="OI">'[49]Payment 02_06_2006'!$A$2:$R$21</definedName>
    <definedName name="ojo" hidden="1">[50]Costo!#REF!</definedName>
    <definedName name="oleoducto">#REF!</definedName>
    <definedName name="oo" hidden="1">22</definedName>
    <definedName name="oper">#REF!</definedName>
    <definedName name="OPER_SUC">#REF!</definedName>
    <definedName name="oper1">#REF!</definedName>
    <definedName name="orellana">#REF!</definedName>
    <definedName name="otros" hidden="1">{#N/A,#N/A,FALSE,"Aging Summary";#N/A,#N/A,FALSE,"Ratio Analysis";#N/A,#N/A,FALSE,"Test 120 Day Accts";#N/A,#N/A,FALSE,"Tickmarks"}</definedName>
    <definedName name="p">#REF!</definedName>
    <definedName name="Pagos">#REF!</definedName>
    <definedName name="PalAndes">#REF!</definedName>
    <definedName name="PalEcuador">#REF!</definedName>
    <definedName name="passwd">[20]Inicio!#REF!</definedName>
    <definedName name="Pat" hidden="1">{#N/A,#N/A,FALSE,"Aging Summary";#N/A,#N/A,FALSE,"Ratio Analysis";#N/A,#N/A,FALSE,"Test 120 Day Accts";#N/A,#N/A,FALSE,"Tickmarks"}</definedName>
    <definedName name="pato">#REF!</definedName>
    <definedName name="peralta">#REF!</definedName>
    <definedName name="Percent_Threshold">[23]Balance!$E$3</definedName>
    <definedName name="periodo">[20]Inicio!#REF!</definedName>
    <definedName name="PG" hidden="1">{#N/A,#N/A,FALSE,"Aging Summary";#N/A,#N/A,FALSE,"Ratio Analysis";#N/A,#N/A,FALSE,"Test 120 Day Accts";#N/A,#N/A,FALSE,"Tickmarks"}</definedName>
    <definedName name="PhasePercentage">[51]MasterTables!$B$2:$B$14</definedName>
    <definedName name="PL_Dollar_Threshold">'[23]Estado de Resultados'!$H$3</definedName>
    <definedName name="PL_Percent_Threshold">'[23]Estado de Resultados'!$G$3</definedName>
    <definedName name="pp" hidden="1">{#N/A,#N/A,FALSE,"Aging Summary";#N/A,#N/A,FALSE,"Ratio Analysis";#N/A,#N/A,FALSE,"Test 120 Day Accts";#N/A,#N/A,FALSE,"Tickmarks"}</definedName>
    <definedName name="Pre_tax_materiality">#REF!</definedName>
    <definedName name="Precisionmonetaria">#REF!</definedName>
    <definedName name="PRINT_AREA_MI">#REF!</definedName>
    <definedName name="Provis" hidden="1">{#N/A,#N/A,FALSE,"Aging Summary";#N/A,#N/A,FALSE,"Ratio Analysis";#N/A,#N/A,FALSE,"Test 120 Day Accts";#N/A,#N/A,FALSE,"Tickmarks"}</definedName>
    <definedName name="PY_Accounts_Receivable">[23]Balance!$D$8</definedName>
    <definedName name="PY_Administration">'[23]Estado de Resultados'!$C$11</definedName>
    <definedName name="PY_all_Equity">#REF!</definedName>
    <definedName name="PY_all_Income">#REF!</definedName>
    <definedName name="PY_all_RetEarn">#REF!</definedName>
    <definedName name="PY_Cash">[23]Balance!$D$6</definedName>
    <definedName name="PY_Cash_Div_Dec">'[24]Income Statement'!#REF!</definedName>
    <definedName name="PY_CASH_DIVIDENDS_DECLARED__per_common_share">'[24]Income Statement'!#REF!</definedName>
    <definedName name="PY_Common_Equity">[23]Balance!$D$32</definedName>
    <definedName name="PY_Cost_of_Sales">'[23]Estado de Resultados'!$C$7</definedName>
    <definedName name="PY_Current_Liabilities">[23]Balance!$D$24</definedName>
    <definedName name="PY_Depreciation">'[23]Estado de Resultados'!$C$15</definedName>
    <definedName name="PY_Disc._Ops.">'[25]Income Statement'!$E$28</definedName>
    <definedName name="PY_Earnings_per_share">[24]Ratios!#REF!</definedName>
    <definedName name="PY_Extraord.">'[25]Income Statement'!$E$32</definedName>
    <definedName name="PY_Gross_Profit">'[23]Estado de Resultados'!$C$9</definedName>
    <definedName name="PY_INC_AFT_TAX">'[25]Income Statement'!$E$26</definedName>
    <definedName name="PY_INC_BEF_EXTRAORD">'[25]Income Statement'!$E$30</definedName>
    <definedName name="PY_Inc_Bef_Tax">'[23]Estado de Resultados'!$C$22</definedName>
    <definedName name="PY_Intangible_Assets">[23]Balance!$D$18</definedName>
    <definedName name="PY_Interest_Expense">'[23]Estado de Resultados'!$C$19</definedName>
    <definedName name="PY_Inventory">[23]Balance!$D$12</definedName>
    <definedName name="PY_knw_Income">#REF!</definedName>
    <definedName name="PY_knw_RetEarn">#REF!</definedName>
    <definedName name="PY_LIABIL_EQUITY">[23]Balance!$D$37</definedName>
    <definedName name="PY_lik_Income">#REF!</definedName>
    <definedName name="PY_lik_RetEarn">#REF!</definedName>
    <definedName name="PY_Long_term_Debt__excl_Dfd_Taxes">'[25]Balance Sheet'!$D$29</definedName>
    <definedName name="PY_LT_Debt">[23]Balance!$D$25</definedName>
    <definedName name="PY_Market_Value_of_Equity">'[23]Estado de Resultados'!$C$31</definedName>
    <definedName name="PY_Marketable_Sec">[23]Balance!$D$7</definedName>
    <definedName name="PY_NET_INCOME">'[25]Income Statement'!$E$34</definedName>
    <definedName name="PY_NET_PROFIT">'[23]Estado de Resultados'!$C$26</definedName>
    <definedName name="PY_Net_Revenue">'[23]Estado de Resultados'!$C$6</definedName>
    <definedName name="PY_Operating_Inc">'[23]Estado de Resultados'!$C$17</definedName>
    <definedName name="PY_Operating_Income">'[23]Estado de Resultados'!$C$17</definedName>
    <definedName name="PY_Other_Curr_Assets">[23]Balance!$D$13</definedName>
    <definedName name="PY_Other_Exp">'[23]Estado de Resultados'!$C$14</definedName>
    <definedName name="PY_Other_LT_Assets">[23]Balance!$D$19</definedName>
    <definedName name="PY_Other_LT_Liabilities">[23]Balance!$D$26</definedName>
    <definedName name="PY_Preferred_Stock">[23]Balance!$D$31</definedName>
    <definedName name="PY_QUICK_ASSETS">[23]Balance!$D$10</definedName>
    <definedName name="PY_Retained_Earnings">[23]Balance!$D$33</definedName>
    <definedName name="PY_Selling">'[23]Estado de Resultados'!$C$12</definedName>
    <definedName name="PY_Tangible_Assets">[23]Balance!$D$17</definedName>
    <definedName name="PY_Tangible_Net_Worth">'[23]Estado de Resultados'!$C$33</definedName>
    <definedName name="PY_Taxes">'[23]Estado de Resultados'!$C$24</definedName>
    <definedName name="PY_tot_knw_Xfoot">#REF!</definedName>
    <definedName name="PY_tot_lik_Xfoot">#REF!</definedName>
    <definedName name="PY_TOTAL_ASSETS">[23]Balance!$D$22</definedName>
    <definedName name="PY_TOTAL_CURR_ASSETS">[23]Balance!$D$15</definedName>
    <definedName name="PY_TOTAL_DEBT">[23]Balance!$D$29</definedName>
    <definedName name="PY_TOTAL_EQUITY">[23]Balance!$D$35</definedName>
    <definedName name="PY_Trade_Payables">'[25]Balance Sheet'!$D$27</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Y_Weighted_Average">'[24]Income Statement'!#REF!</definedName>
    <definedName name="PY_Working_Capital">'[23]Estado de Resultados'!$C$32</definedName>
    <definedName name="PY_Year_Income_Statement">'[25]Income Statement'!$E$3</definedName>
    <definedName name="PY2_Accounts_Receivable">[23]Balance!$G$8</definedName>
    <definedName name="PY2_Administration">'[23]Estado de Resultados'!$I$11</definedName>
    <definedName name="PY2_Cash">[23]Balance!$G$6</definedName>
    <definedName name="PY2_Cash_Div_Dec">'[24]Income Statement'!#REF!</definedName>
    <definedName name="PY2_CASH_DIVIDENDS_DECLARED__per_common_share">'[24]Income Statement'!#REF!</definedName>
    <definedName name="PY2_Common_Equity">[23]Balance!$G$32</definedName>
    <definedName name="PY2_Cost_of_Sales">'[23]Estado de Resultados'!$I$7</definedName>
    <definedName name="PY2_Current_Liabilities">[23]Balance!$G$24</definedName>
    <definedName name="PY2_Depreciation">'[23]Estado de Resultados'!$I$15</definedName>
    <definedName name="PY2_Disc._Ops.">'[25]Income Statement'!$L$28</definedName>
    <definedName name="PY2_Earnings_per_share">[24]Ratios!#REF!</definedName>
    <definedName name="PY2_Extraord.">'[25]Income Statement'!$L$32</definedName>
    <definedName name="PY2_Gross_Profit">'[23]Estado de Resultados'!$I$9</definedName>
    <definedName name="PY2_INC_AFT_TAX">'[25]Income Statement'!$L$26</definedName>
    <definedName name="PY2_INC_BEF_EXTRAORD">'[25]Income Statement'!$L$30</definedName>
    <definedName name="PY2_Inc_Bef_Tax">'[23]Estado de Resultados'!$I$22</definedName>
    <definedName name="PY2_Intangible_Assets">[23]Balance!$G$18</definedName>
    <definedName name="PY2_Interest_Expense">'[23]Estado de Resultados'!$I$19</definedName>
    <definedName name="PY2_Inventory">[23]Balance!$G$12</definedName>
    <definedName name="PY2_LIABIL_EQUITY">[23]Balance!$G$37</definedName>
    <definedName name="PY2_Long_term_Debt__excl_Dfd_Taxes">'[25]Balance Sheet'!$J$29</definedName>
    <definedName name="PY2_LT_Debt">[23]Balance!$G$25</definedName>
    <definedName name="PY2_Market_Value_of_Equity">'[24]Income Statement'!#REF!</definedName>
    <definedName name="PY2_Marketable_Sec">[23]Balance!$G$7</definedName>
    <definedName name="PY2_NET_INCOME">'[25]Income Statement'!$L$34</definedName>
    <definedName name="PY2_NET_PROFIT">'[23]Estado de Resultados'!$I$26</definedName>
    <definedName name="PY2_Net_Revenue">'[23]Estado de Resultados'!$I$6</definedName>
    <definedName name="PY2_Operating_Inc">'[23]Estado de Resultados'!$I$17</definedName>
    <definedName name="PY2_Operating_Income">'[23]Estado de Resultados'!$I$17</definedName>
    <definedName name="PY2_Other_Curr_Assets">[23]Balance!$G$13</definedName>
    <definedName name="PY2_Other_Exp.">'[23]Estado de Resultados'!$I$14</definedName>
    <definedName name="PY2_Other_LT_Assets">[23]Balance!$G$19</definedName>
    <definedName name="PY2_Other_LT_Liabilities">[23]Balance!$G$26</definedName>
    <definedName name="PY2_Preferred_Stock">[23]Balance!$G$31</definedName>
    <definedName name="PY2_QUICK_ASSETS">[23]Balance!$G$10</definedName>
    <definedName name="PY2_Retained_Earnings">[23]Balance!$G$33</definedName>
    <definedName name="PY2_Selling">'[23]Estado de Resultados'!$I$12</definedName>
    <definedName name="PY2_Tangible_Assets">[23]Balance!$G$17</definedName>
    <definedName name="PY2_Tangible_Net_Worth">'[23]Estado de Resultados'!$I$33</definedName>
    <definedName name="PY2_Taxes">'[23]Estado de Resultados'!$I$24</definedName>
    <definedName name="PY2_TOTAL_ASSETS">[23]Balance!$G$22</definedName>
    <definedName name="PY2_TOTAL_CURR_ASSETS">[23]Balance!$G$15</definedName>
    <definedName name="PY2_TOTAL_DEBT">[23]Balance!$G$29</definedName>
    <definedName name="PY2_TOTAL_EQUITY">[23]Balance!$G$35</definedName>
    <definedName name="PY2_Trade_Payables">'[25]Balance Sheet'!$J$27</definedName>
    <definedName name="PY2_Weighted_Average">'[24]Income Statement'!#REF!</definedName>
    <definedName name="PY2_Working_Capital">'[23]Estado de Resultados'!$I$32</definedName>
    <definedName name="PY2_Year_Income_Statement">'[25]Income Statement'!$L$3</definedName>
    <definedName name="PY3_Administration">'[25]Income Statement'!$N$13</definedName>
    <definedName name="PY3_Cash">'[25]Balance Sheet'!$K$8</definedName>
    <definedName name="PY3_Common_Equity">'[25]Balance Sheet'!$K$35</definedName>
    <definedName name="PY3_Cost_of_Sales">'[25]Income Statement'!$N$9</definedName>
    <definedName name="PY3_Current_Liabilities">'[25]Balance Sheet'!$K$28</definedName>
    <definedName name="PY3_Depreciation">'[25]Income Statement'!$N$16</definedName>
    <definedName name="PY3_Disc._Ops.">'[25]Income Statement'!$N$28</definedName>
    <definedName name="PY3_Extraord.">'[25]Income Statement'!$N$32</definedName>
    <definedName name="PY3_Gross_Profit">'[25]Income Statement'!$N$11</definedName>
    <definedName name="PY3_INC_AFT_TAX">'[25]Income Statement'!$N$26</definedName>
    <definedName name="PY3_INC_BEF_EXTRAORD">'[25]Income Statement'!$N$30</definedName>
    <definedName name="PY3_Inc_Bef_Tax">'[25]Income Statement'!$N$22</definedName>
    <definedName name="PY3_Interest_Expense">'[25]Income Statement'!$N$20</definedName>
    <definedName name="PY3_LIABIL_EQUITY">'[25]Balance Sheet'!$K$40</definedName>
    <definedName name="PY3_Long_term_Debt__excl_Dfd_Taxes">'[25]Balance Sheet'!$K$29</definedName>
    <definedName name="PY3_NET_INCOME">'[25]Income Statement'!$N$34</definedName>
    <definedName name="PY3_Net_Revenue">'[25]Income Statement'!$N$8</definedName>
    <definedName name="PY3_Operating_Inc">'[25]Income Statement'!$N$18</definedName>
    <definedName name="PY3_Other_Exp.">'[25]Income Statement'!$N$15</definedName>
    <definedName name="PY3_QUICK_ASSETS">'[25]Balance Sheet'!$K$12</definedName>
    <definedName name="PY3_Selling">'[25]Income Statement'!$N$14</definedName>
    <definedName name="PY3_Taxes">'[25]Income Statement'!$N$24</definedName>
    <definedName name="PY3_TOTAL_ASSETS">'[25]Balance Sheet'!$K$25</definedName>
    <definedName name="PY3_TOTAL_CURR_ASSETS">'[25]Balance Sheet'!$K$18</definedName>
    <definedName name="PY3_TOTAL_DEBT">'[25]Balance Sheet'!$K$32</definedName>
    <definedName name="PY3_TOTAL_EQUITY">'[25]Balance Sheet'!$K$38</definedName>
    <definedName name="PY3_Trade_Payables">'[25]Balance Sheet'!$K$27</definedName>
    <definedName name="PY3_Year_Income_Statement">'[25]Income Statement'!$N$3</definedName>
    <definedName name="PY4_Administration">'[25]Income Statement'!#REF!</definedName>
    <definedName name="PY4_Common_Equity">'[25]Balance Sheet'!$L$35</definedName>
    <definedName name="PY4_Cost_of_Sales">'[25]Income Statement'!#REF!</definedName>
    <definedName name="PY4_Depreciation">'[25]Income Statement'!#REF!</definedName>
    <definedName name="PY4_Disc._Ops.">'[25]Income Statement'!#REF!</definedName>
    <definedName name="PY4_Extraord.">'[25]Income Statement'!#REF!</definedName>
    <definedName name="PY4_Gross_Profit">'[25]Income Statement'!#REF!</definedName>
    <definedName name="PY4_INC_AFT_TAX">'[25]Income Statement'!#REF!</definedName>
    <definedName name="PY4_INC_BEF_EXTRAORD">'[25]Income Statement'!#REF!</definedName>
    <definedName name="PY4_Inc_Bef_Tax">'[25]Income Statement'!#REF!</definedName>
    <definedName name="PY4_Interest_Expense">'[25]Income Statement'!#REF!</definedName>
    <definedName name="PY4_LIABIL_EQUITY">'[25]Balance Sheet'!$L$40</definedName>
    <definedName name="PY4_NET_INCOME">'[25]Income Statement'!#REF!</definedName>
    <definedName name="PY4_Net_Revenue">'[25]Income Statement'!#REF!</definedName>
    <definedName name="PY4_Operating_Inc">'[25]Income Statement'!#REF!</definedName>
    <definedName name="PY4_Other_Exp.">'[25]Income Statement'!#REF!</definedName>
    <definedName name="PY4_Selling">'[25]Income Statement'!#REF!</definedName>
    <definedName name="PY4_Taxes">'[25]Income Statement'!#REF!</definedName>
    <definedName name="PY4_TOTAL_ASSETS">'[25]Balance Sheet'!$L$25</definedName>
    <definedName name="PY4_TOTAL_DEBT">'[25]Balance Sheet'!$L$32</definedName>
    <definedName name="PY4_TOTAL_EQUITY">'[25]Balance Sheet'!$L$38</definedName>
    <definedName name="PY4_Year_Income_Statement">'[25]Income Statement'!#REF!</definedName>
    <definedName name="PY5_Accounts_Receivable">'[25]Balance Sheet'!#REF!</definedName>
    <definedName name="PY5_Administration">'[25]Income Statement'!#REF!</definedName>
    <definedName name="PY5_Cash">'[25]Balance Sheet'!#REF!</definedName>
    <definedName name="PY5_Common_Equity">'[25]Balance Sheet'!#REF!</definedName>
    <definedName name="PY5_Cost_of_Sales">'[25]Income Statement'!#REF!</definedName>
    <definedName name="PY5_Current_Liabilities">'[25]Balance Sheet'!#REF!</definedName>
    <definedName name="PY5_Depreciation">'[25]Income Statement'!#REF!</definedName>
    <definedName name="PY5_Disc._Ops.">'[25]Income Statement'!#REF!</definedName>
    <definedName name="PY5_Extraord.">'[25]Income Statement'!#REF!</definedName>
    <definedName name="PY5_Gross_Profit">'[25]Income Statement'!#REF!</definedName>
    <definedName name="PY5_INC_AFT_TAX">'[25]Income Statement'!#REF!</definedName>
    <definedName name="PY5_INC_BEF_EXTRAORD">'[25]Income Statement'!#REF!</definedName>
    <definedName name="PY5_Inc_Bef_Tax">'[25]Income Statement'!#REF!</definedName>
    <definedName name="PY5_Intangible_Assets">'[25]Balance Sheet'!#REF!</definedName>
    <definedName name="PY5_Interest_Expense">'[25]Income Statement'!#REF!</definedName>
    <definedName name="PY5_Inventory">'[25]Balance Sheet'!#REF!</definedName>
    <definedName name="PY5_LIABIL_EQUITY">'[25]Balance Sheet'!#REF!</definedName>
    <definedName name="PY5_Long_term_Debt__excl_Dfd_Taxes">'[25]Balance Sheet'!#REF!</definedName>
    <definedName name="PY5_Marketable_Sec">'[25]Balance Sheet'!#REF!</definedName>
    <definedName name="PY5_NET_INCOME">'[25]Income Statement'!#REF!</definedName>
    <definedName name="PY5_Net_Revenue">'[25]Income Statement'!#REF!</definedName>
    <definedName name="PY5_Operating_Inc">'[25]Income Statement'!#REF!</definedName>
    <definedName name="PY5_Other_Curr_Assets">'[25]Balance Sheet'!#REF!</definedName>
    <definedName name="PY5_Other_Exp.">'[25]Income Statement'!#REF!</definedName>
    <definedName name="PY5_Other_LT_Assets">'[25]Balance Sheet'!#REF!</definedName>
    <definedName name="PY5_Other_LT_Liabilities">'[25]Balance Sheet'!#REF!</definedName>
    <definedName name="PY5_Preferred_Stock">'[25]Balance Sheet'!#REF!</definedName>
    <definedName name="PY5_QUICK_ASSETS">'[25]Balance Sheet'!#REF!</definedName>
    <definedName name="PY5_Retained_Earnings">'[25]Balance Sheet'!#REF!</definedName>
    <definedName name="PY5_Selling">'[25]Income Statement'!#REF!</definedName>
    <definedName name="PY5_Tangible_Assets">'[25]Balance Sheet'!#REF!</definedName>
    <definedName name="PY5_Taxes">'[25]Income Statement'!#REF!</definedName>
    <definedName name="PY5_TOTAL_ASSETS">'[25]Balance Sheet'!#REF!</definedName>
    <definedName name="PY5_TOTAL_CURR_ASSETS">'[25]Balance Sheet'!#REF!</definedName>
    <definedName name="PY5_TOTAL_DEBT">'[25]Balance Sheet'!#REF!</definedName>
    <definedName name="PY5_TOTAL_EQUITY">'[25]Balance Sheet'!#REF!</definedName>
    <definedName name="PY5_Trade_Payables">'[25]Balance Sheet'!#REF!</definedName>
    <definedName name="PY5_Year_Income_Statement">'[25]Income Statement'!#REF!</definedName>
    <definedName name="Q">#REF!</definedName>
    <definedName name="qq">#REF!</definedName>
    <definedName name="R_Factor">#REF!</definedName>
    <definedName name="re">'[52]S4201-AP CO'!$A$2:$A$33</definedName>
    <definedName name="rebe">#REF!</definedName>
    <definedName name="Reemplazos">#REF!</definedName>
    <definedName name="Ref_1">#REF!</definedName>
    <definedName name="Ref_1_16">#REF!</definedName>
    <definedName name="Ref_1_22">#REF!</definedName>
    <definedName name="Ref_1_4">NA()</definedName>
    <definedName name="Ref_1_5">NA()</definedName>
    <definedName name="Ref_1_8">#REF!</definedName>
    <definedName name="Ref_10">'[31]Costo+Reexp'!#REF!</definedName>
    <definedName name="Ref_10_12">NA()</definedName>
    <definedName name="Ref_10_13">NA()</definedName>
    <definedName name="Ref_10_15">NA()</definedName>
    <definedName name="Ref_10_16">NA()</definedName>
    <definedName name="Ref_10_2">NA()</definedName>
    <definedName name="Ref_10_22">#REF!</definedName>
    <definedName name="Ref_100">#REF!</definedName>
    <definedName name="Ref_100_22">#REF!</definedName>
    <definedName name="Ref_101">#REF!</definedName>
    <definedName name="Ref_101_22">#REF!</definedName>
    <definedName name="Ref_102">#REF!</definedName>
    <definedName name="Ref_102_22">#REF!</definedName>
    <definedName name="Ref_103">#REF!</definedName>
    <definedName name="Ref_103_22">#REF!</definedName>
    <definedName name="Ref_104">#REF!</definedName>
    <definedName name="Ref_104_22">#REF!</definedName>
    <definedName name="Ref_105">#REF!</definedName>
    <definedName name="Ref_105_22">#REF!</definedName>
    <definedName name="Ref_106">#REF!</definedName>
    <definedName name="Ref_106_22">#REF!</definedName>
    <definedName name="Ref_107">#REF!</definedName>
    <definedName name="Ref_107_22">#REF!</definedName>
    <definedName name="Ref_108">#REF!</definedName>
    <definedName name="Ref_109">#REF!</definedName>
    <definedName name="Ref_109_22">#REF!</definedName>
    <definedName name="Ref_11">#REF!</definedName>
    <definedName name="Ref_11_16">#REF!</definedName>
    <definedName name="Ref_11_22">#REF!</definedName>
    <definedName name="Ref_11_8">#REF!</definedName>
    <definedName name="Ref_110">#REF!</definedName>
    <definedName name="Ref_111">#REF!</definedName>
    <definedName name="Ref_111_22">#REF!</definedName>
    <definedName name="Ref_112">#REF!</definedName>
    <definedName name="Ref_113">#REF!</definedName>
    <definedName name="Ref_113_22">#REF!</definedName>
    <definedName name="Ref_114">#REF!</definedName>
    <definedName name="Ref_114_22">#REF!</definedName>
    <definedName name="Ref_115">#REF!</definedName>
    <definedName name="Ref_116">#REF!</definedName>
    <definedName name="Ref_116_22">#REF!</definedName>
    <definedName name="Ref_117">#REF!</definedName>
    <definedName name="Ref_117_22">#REF!</definedName>
    <definedName name="Ref_118">#REF!</definedName>
    <definedName name="Ref_118_22">#REF!</definedName>
    <definedName name="Ref_119">#REF!</definedName>
    <definedName name="Ref_12">'[31]Costo+Reexp'!#REF!</definedName>
    <definedName name="Ref_12_12">NA()</definedName>
    <definedName name="Ref_12_13">NA()</definedName>
    <definedName name="Ref_12_15">NA()</definedName>
    <definedName name="Ref_12_16">NA()</definedName>
    <definedName name="Ref_12_2">NA()</definedName>
    <definedName name="Ref_12_22">#REF!</definedName>
    <definedName name="Ref_120">#REF!</definedName>
    <definedName name="Ref_120_22">#REF!</definedName>
    <definedName name="Ref_121">#REF!</definedName>
    <definedName name="Ref_122">#REF!</definedName>
    <definedName name="Ref_122_22">#REF!</definedName>
    <definedName name="Ref_123">#REF!</definedName>
    <definedName name="Ref_123_22">#REF!</definedName>
    <definedName name="Ref_124">#REF!</definedName>
    <definedName name="Ref_124_22">#REF!</definedName>
    <definedName name="Ref_125">#REF!</definedName>
    <definedName name="Ref_125_22">#REF!</definedName>
    <definedName name="Ref_126">#REF!</definedName>
    <definedName name="Ref_126_22">#REF!</definedName>
    <definedName name="Ref_127">#REF!</definedName>
    <definedName name="Ref_127_22">#REF!</definedName>
    <definedName name="Ref_128">#REF!</definedName>
    <definedName name="Ref_128_22">#REF!</definedName>
    <definedName name="Ref_129">#REF!</definedName>
    <definedName name="Ref_129_22">#REF!</definedName>
    <definedName name="Ref_13">#REF!</definedName>
    <definedName name="Ref_13_16">#REF!</definedName>
    <definedName name="Ref_13_22">#REF!</definedName>
    <definedName name="Ref_13_8">#REF!</definedName>
    <definedName name="Ref_130">#REF!</definedName>
    <definedName name="Ref_130_22">#REF!</definedName>
    <definedName name="Ref_131">#REF!</definedName>
    <definedName name="Ref_131_22">#REF!</definedName>
    <definedName name="Ref_132">#REF!</definedName>
    <definedName name="Ref_132_22">#REF!</definedName>
    <definedName name="Ref_133">#REF!</definedName>
    <definedName name="Ref_133_22">#REF!</definedName>
    <definedName name="Ref_134">#REF!</definedName>
    <definedName name="Ref_134_22">#REF!</definedName>
    <definedName name="Ref_135">#REF!</definedName>
    <definedName name="Ref_135_22">#REF!</definedName>
    <definedName name="Ref_136">#REF!</definedName>
    <definedName name="Ref_136_22">#REF!</definedName>
    <definedName name="Ref_137">#REF!</definedName>
    <definedName name="Ref_14">#REF!</definedName>
    <definedName name="Ref_14_16">#REF!</definedName>
    <definedName name="Ref_14_22">#REF!</definedName>
    <definedName name="Ref_14_8">#REF!</definedName>
    <definedName name="Ref_15">#REF!</definedName>
    <definedName name="Ref_15_16">#REF!</definedName>
    <definedName name="Ref_15_22">#REF!</definedName>
    <definedName name="Ref_15_8">#REF!</definedName>
    <definedName name="Ref_150">NA()</definedName>
    <definedName name="Ref_151">NA()</definedName>
    <definedName name="Ref_152">NA()</definedName>
    <definedName name="Ref_153">#REF!</definedName>
    <definedName name="Ref_154">NA()</definedName>
    <definedName name="Ref_155">NA()</definedName>
    <definedName name="Ref_156">#REF!</definedName>
    <definedName name="Ref_157">#REF!</definedName>
    <definedName name="Ref_158">#REF!</definedName>
    <definedName name="Ref_159">#REF!</definedName>
    <definedName name="Ref_16">#REF!</definedName>
    <definedName name="Ref_16_16">#REF!</definedName>
    <definedName name="Ref_16_22">#REF!</definedName>
    <definedName name="Ref_16_8">#REF!</definedName>
    <definedName name="Ref_160">#REF!</definedName>
    <definedName name="Ref_161">#REF!</definedName>
    <definedName name="Ref_162">#REF!</definedName>
    <definedName name="Ref_17">#REF!</definedName>
    <definedName name="Ref_17_16">#REF!</definedName>
    <definedName name="Ref_17_22">#REF!</definedName>
    <definedName name="Ref_17_8">#REF!</definedName>
    <definedName name="Ref_18">'[31]Costo+Reexp'!#REF!</definedName>
    <definedName name="Ref_18_12">NA()</definedName>
    <definedName name="Ref_18_13">NA()</definedName>
    <definedName name="Ref_18_15">NA()</definedName>
    <definedName name="Ref_18_16">NA()</definedName>
    <definedName name="Ref_18_2">NA()</definedName>
    <definedName name="Ref_18_22">#REF!</definedName>
    <definedName name="Ref_19">#REF!</definedName>
    <definedName name="Ref_19_16">#REF!</definedName>
    <definedName name="Ref_19_22">#REF!</definedName>
    <definedName name="Ref_19_8">#REF!</definedName>
    <definedName name="Ref_2">#REF!</definedName>
    <definedName name="Ref_2_16">#REF!</definedName>
    <definedName name="Ref_2_22">#REF!</definedName>
    <definedName name="Ref_2_8">#REF!</definedName>
    <definedName name="Ref_20">#REF!</definedName>
    <definedName name="Ref_20_16">#REF!</definedName>
    <definedName name="Ref_20_8">#REF!</definedName>
    <definedName name="Ref_21">'[31]Costo+Reexp'!#REF!</definedName>
    <definedName name="Ref_21_12">NA()</definedName>
    <definedName name="Ref_21_13">NA()</definedName>
    <definedName name="Ref_21_15">NA()</definedName>
    <definedName name="Ref_21_16">NA()</definedName>
    <definedName name="Ref_21_2">NA()</definedName>
    <definedName name="Ref_22">#REF!</definedName>
    <definedName name="Ref_22_16">#REF!</definedName>
    <definedName name="Ref_22_8">#REF!</definedName>
    <definedName name="Ref_23">#REF!</definedName>
    <definedName name="Ref_23_15">#REF!</definedName>
    <definedName name="Ref_23_8">#REF!</definedName>
    <definedName name="Ref_24">#REF!</definedName>
    <definedName name="Ref_24_16">#REF!</definedName>
    <definedName name="Ref_24_8">#REF!</definedName>
    <definedName name="Ref_25">'[31]Costo+Reexp'!#REF!</definedName>
    <definedName name="Ref_25_12">NA()</definedName>
    <definedName name="Ref_25_13">NA()</definedName>
    <definedName name="Ref_25_15">NA()</definedName>
    <definedName name="Ref_25_16">NA()</definedName>
    <definedName name="Ref_25_2">NA()</definedName>
    <definedName name="Ref_26">#REF!</definedName>
    <definedName name="Ref_26_16">#REF!</definedName>
    <definedName name="Ref_26_8">#REF!</definedName>
    <definedName name="Ref_27">'[31]Costo+Reexp'!#REF!</definedName>
    <definedName name="Ref_27_12">NA()</definedName>
    <definedName name="Ref_27_13">NA()</definedName>
    <definedName name="Ref_27_15">NA()</definedName>
    <definedName name="Ref_27_16">NA()</definedName>
    <definedName name="Ref_27_2">NA()</definedName>
    <definedName name="Ref_28">#REF!</definedName>
    <definedName name="Ref_28_16">#REF!</definedName>
    <definedName name="Ref_28_8">#REF!</definedName>
    <definedName name="Ref_29">#REF!</definedName>
    <definedName name="Ref_29_16">#REF!</definedName>
    <definedName name="Ref_29_8">#REF!</definedName>
    <definedName name="Ref_3">#REF!</definedName>
    <definedName name="Ref_3_15">#REF!</definedName>
    <definedName name="Ref_3_2">#REF!</definedName>
    <definedName name="Ref_3_22">#REF!</definedName>
    <definedName name="Ref_3_3">#REF!</definedName>
    <definedName name="Ref_3_8">#REF!</definedName>
    <definedName name="Ref_30">#REF!</definedName>
    <definedName name="Ref_30_16">#REF!</definedName>
    <definedName name="Ref_30_8">#REF!</definedName>
    <definedName name="Ref_31">#REF!</definedName>
    <definedName name="Ref_31_16">#REF!</definedName>
    <definedName name="Ref_31_8">#REF!</definedName>
    <definedName name="Ref_32">#REF!</definedName>
    <definedName name="Ref_32_16">#REF!</definedName>
    <definedName name="Ref_32_8">#REF!</definedName>
    <definedName name="Ref_33">#REF!</definedName>
    <definedName name="Ref_33_16">#REF!</definedName>
    <definedName name="Ref_33_8">#REF!</definedName>
    <definedName name="Ref_34">#REF!</definedName>
    <definedName name="Ref_34_16">#REF!</definedName>
    <definedName name="Ref_34_8">#REF!</definedName>
    <definedName name="Ref_35">#REF!</definedName>
    <definedName name="Ref_35_16">#REF!</definedName>
    <definedName name="Ref_35_8">#REF!</definedName>
    <definedName name="Ref_36">#REF!</definedName>
    <definedName name="Ref_36_16">#REF!</definedName>
    <definedName name="Ref_36_8">#REF!</definedName>
    <definedName name="Ref_37">'[31]Costo+Reexp'!#REF!</definedName>
    <definedName name="Ref_37_12">NA()</definedName>
    <definedName name="Ref_37_13">NA()</definedName>
    <definedName name="Ref_37_15">NA()</definedName>
    <definedName name="Ref_37_16">NA()</definedName>
    <definedName name="Ref_37_2">NA()</definedName>
    <definedName name="Ref_38">'[53]Dep.Costo.'!#REF!</definedName>
    <definedName name="Ref_38_15">#REF!</definedName>
    <definedName name="Ref_38_8">#REF!</definedName>
    <definedName name="Ref_39">#REF!</definedName>
    <definedName name="Ref_39_16">#REF!</definedName>
    <definedName name="Ref_39_8">#REF!</definedName>
    <definedName name="Ref_4">#REF!</definedName>
    <definedName name="Ref_4_16">#REF!</definedName>
    <definedName name="Ref_4_22">#REF!</definedName>
    <definedName name="Ref_4_8">#REF!</definedName>
    <definedName name="Ref_40">'[31]Costo+Reexp'!#REF!</definedName>
    <definedName name="Ref_40_12">NA()</definedName>
    <definedName name="Ref_40_13">NA()</definedName>
    <definedName name="Ref_40_15">NA()</definedName>
    <definedName name="Ref_40_16">NA()</definedName>
    <definedName name="Ref_40_2">NA()</definedName>
    <definedName name="Ref_41">#REF!</definedName>
    <definedName name="Ref_41_16">#REF!</definedName>
    <definedName name="Ref_41_8">#REF!</definedName>
    <definedName name="Ref_42">#REF!</definedName>
    <definedName name="Ref_42_16">#REF!</definedName>
    <definedName name="Ref_42_8">#REF!</definedName>
    <definedName name="Ref_43">#REF!</definedName>
    <definedName name="Ref_43_16">#REF!</definedName>
    <definedName name="Ref_43_8">#REF!</definedName>
    <definedName name="Ref_44">#REF!</definedName>
    <definedName name="Ref_44_16">#REF!</definedName>
    <definedName name="Ref_44_8">#REF!</definedName>
    <definedName name="Ref_45">#REF!</definedName>
    <definedName name="Ref_45_16">#REF!</definedName>
    <definedName name="Ref_45_8">#REF!</definedName>
    <definedName name="Ref_46">'[31]Costo+Reexp'!#REF!</definedName>
    <definedName name="Ref_46_12">NA()</definedName>
    <definedName name="Ref_46_13">NA()</definedName>
    <definedName name="Ref_46_15">NA()</definedName>
    <definedName name="Ref_46_16">NA()</definedName>
    <definedName name="Ref_46_2">NA()</definedName>
    <definedName name="Ref_47">'[31]Costo+Reexp'!#REF!</definedName>
    <definedName name="Ref_47_12">NA()</definedName>
    <definedName name="Ref_47_13">NA()</definedName>
    <definedName name="Ref_47_15">NA()</definedName>
    <definedName name="Ref_47_16">NA()</definedName>
    <definedName name="Ref_47_2">NA()</definedName>
    <definedName name="Ref_48">'[31]Costo+Reexp'!#REF!</definedName>
    <definedName name="Ref_48_12">NA()</definedName>
    <definedName name="Ref_48_13">NA()</definedName>
    <definedName name="Ref_48_15">NA()</definedName>
    <definedName name="Ref_48_16">NA()</definedName>
    <definedName name="Ref_48_2">NA()</definedName>
    <definedName name="Ref_49">#REF!</definedName>
    <definedName name="Ref_49_16">#REF!</definedName>
    <definedName name="Ref_49_8">#REF!</definedName>
    <definedName name="Ref_5">#REF!</definedName>
    <definedName name="Ref_5_16">#REF!</definedName>
    <definedName name="Ref_5_22">#REF!</definedName>
    <definedName name="Ref_5_8">#REF!</definedName>
    <definedName name="Ref_50">#REF!</definedName>
    <definedName name="Ref_50_16">#REF!</definedName>
    <definedName name="Ref_50_8">#REF!</definedName>
    <definedName name="Ref_51">#REF!</definedName>
    <definedName name="Ref_51_16">#REF!</definedName>
    <definedName name="Ref_51_8">#REF!</definedName>
    <definedName name="Ref_52">#REF!</definedName>
    <definedName name="Ref_52_16">#REF!</definedName>
    <definedName name="Ref_52_8">#REF!</definedName>
    <definedName name="Ref_53">#REF!</definedName>
    <definedName name="Ref_53_16">#REF!</definedName>
    <definedName name="Ref_53_8">#REF!</definedName>
    <definedName name="Ref_54">#REF!</definedName>
    <definedName name="Ref_54_16">#REF!</definedName>
    <definedName name="Ref_54_8">#REF!</definedName>
    <definedName name="Ref_55">#REF!</definedName>
    <definedName name="Ref_55_16">#REF!</definedName>
    <definedName name="Ref_55_8">#REF!</definedName>
    <definedName name="Ref_56">#REF!</definedName>
    <definedName name="Ref_56_16">#REF!</definedName>
    <definedName name="Ref_56_8">#REF!</definedName>
    <definedName name="Ref_57">#REF!</definedName>
    <definedName name="Ref_57_16">#REF!</definedName>
    <definedName name="Ref_57_8">#REF!</definedName>
    <definedName name="Ref_58">#REF!</definedName>
    <definedName name="Ref_58_16">#REF!</definedName>
    <definedName name="Ref_58_8">#REF!</definedName>
    <definedName name="Ref_59">#REF!</definedName>
    <definedName name="Ref_59_16">#REF!</definedName>
    <definedName name="Ref_59_8">#REF!</definedName>
    <definedName name="Ref_6">'[31]Costo+Reexp'!#REF!</definedName>
    <definedName name="Ref_6_12">NA()</definedName>
    <definedName name="Ref_6_13">NA()</definedName>
    <definedName name="Ref_6_15">NA()</definedName>
    <definedName name="Ref_6_16">NA()</definedName>
    <definedName name="Ref_6_2">NA()</definedName>
    <definedName name="Ref_6_22">#REF!</definedName>
    <definedName name="Ref_60">#REF!</definedName>
    <definedName name="Ref_60_16">#REF!</definedName>
    <definedName name="Ref_60_8">#REF!</definedName>
    <definedName name="Ref_61">#REF!</definedName>
    <definedName name="Ref_61_16">#REF!</definedName>
    <definedName name="Ref_61_8">#REF!</definedName>
    <definedName name="Ref_62">'[31]Costo+Reexp'!#REF!</definedName>
    <definedName name="Ref_62_12">NA()</definedName>
    <definedName name="Ref_62_13">NA()</definedName>
    <definedName name="Ref_62_15">NA()</definedName>
    <definedName name="Ref_62_16">NA()</definedName>
    <definedName name="Ref_62_2">NA()</definedName>
    <definedName name="Ref_63">'[31]Costo+Reexp'!#REF!</definedName>
    <definedName name="Ref_63_12">NA()</definedName>
    <definedName name="Ref_63_13">NA()</definedName>
    <definedName name="Ref_63_15">NA()</definedName>
    <definedName name="Ref_63_16">NA()</definedName>
    <definedName name="Ref_63_2">NA()</definedName>
    <definedName name="Ref_64">#REF!</definedName>
    <definedName name="Ref_64_16">#REF!</definedName>
    <definedName name="Ref_64_8">#REF!</definedName>
    <definedName name="Ref_65">#REF!</definedName>
    <definedName name="Ref_65_16">#REF!</definedName>
    <definedName name="Ref_65_8">#REF!</definedName>
    <definedName name="Ref_66">'[31]Costo+Reexp'!#REF!</definedName>
    <definedName name="Ref_66_12">NA()</definedName>
    <definedName name="Ref_66_13">NA()</definedName>
    <definedName name="Ref_66_15">NA()</definedName>
    <definedName name="Ref_66_16">NA()</definedName>
    <definedName name="Ref_66_2">NA()</definedName>
    <definedName name="Ref_67">#REF!</definedName>
    <definedName name="Ref_67_16">#REF!</definedName>
    <definedName name="Ref_67_8">#REF!</definedName>
    <definedName name="Ref_68">#REF!</definedName>
    <definedName name="Ref_68_16">#REF!</definedName>
    <definedName name="Ref_68_8">#REF!</definedName>
    <definedName name="Ref_69">#REF!</definedName>
    <definedName name="Ref_69_16">#REF!</definedName>
    <definedName name="Ref_69_8">#REF!</definedName>
    <definedName name="Ref_7">#REF!</definedName>
    <definedName name="Ref_7_16">#REF!</definedName>
    <definedName name="Ref_7_22">#REF!</definedName>
    <definedName name="Ref_7_8">#REF!</definedName>
    <definedName name="Ref_70">#REF!</definedName>
    <definedName name="Ref_70_16">#REF!</definedName>
    <definedName name="Ref_70_8">#REF!</definedName>
    <definedName name="Ref_71">#REF!</definedName>
    <definedName name="Ref_71_16">#REF!</definedName>
    <definedName name="Ref_71_8">#REF!</definedName>
    <definedName name="Ref_72">#REF!</definedName>
    <definedName name="Ref_72_16">#REF!</definedName>
    <definedName name="Ref_72_8">#REF!</definedName>
    <definedName name="Ref_73">#REF!</definedName>
    <definedName name="Ref_73_16">#REF!</definedName>
    <definedName name="Ref_73_8">#REF!</definedName>
    <definedName name="Ref_74">#REF!</definedName>
    <definedName name="Ref_74_16">#REF!</definedName>
    <definedName name="Ref_74_8">#REF!</definedName>
    <definedName name="Ref_75">#REF!</definedName>
    <definedName name="Ref_75_16">#REF!</definedName>
    <definedName name="Ref_75_8">#REF!</definedName>
    <definedName name="Ref_76">#REF!</definedName>
    <definedName name="Ref_76_16">#REF!</definedName>
    <definedName name="Ref_76_8">#REF!</definedName>
    <definedName name="Ref_77">#REF!</definedName>
    <definedName name="Ref_77_16">#REF!</definedName>
    <definedName name="Ref_77_22">NA()</definedName>
    <definedName name="Ref_77_8">#REF!</definedName>
    <definedName name="Ref_78">#REF!</definedName>
    <definedName name="Ref_78_16">#REF!</definedName>
    <definedName name="Ref_78_8">#REF!</definedName>
    <definedName name="Ref_79">'[31]Costo+Reexp'!#REF!</definedName>
    <definedName name="Ref_79_12">NA()</definedName>
    <definedName name="Ref_79_13">NA()</definedName>
    <definedName name="Ref_79_15">NA()</definedName>
    <definedName name="Ref_79_16">NA()</definedName>
    <definedName name="Ref_79_2">NA()</definedName>
    <definedName name="Ref_8">#REF!</definedName>
    <definedName name="Ref_8_16">#REF!</definedName>
    <definedName name="Ref_8_22">#REF!</definedName>
    <definedName name="Ref_8_8">#REF!</definedName>
    <definedName name="Ref_80">'[31]Costo+Reexp'!#REF!</definedName>
    <definedName name="Ref_80_12">NA()</definedName>
    <definedName name="Ref_80_13">NA()</definedName>
    <definedName name="Ref_80_15">NA()</definedName>
    <definedName name="Ref_80_16">NA()</definedName>
    <definedName name="Ref_80_2">NA()</definedName>
    <definedName name="Ref_81">#REF!</definedName>
    <definedName name="Ref_82">#REF!</definedName>
    <definedName name="Ref_83">#REF!</definedName>
    <definedName name="Ref_84">#REF!</definedName>
    <definedName name="Ref_84_22">#REF!</definedName>
    <definedName name="Ref_85">#REF!</definedName>
    <definedName name="Ref_85_15">#REF!</definedName>
    <definedName name="Ref_85_22">#REF!</definedName>
    <definedName name="Ref_85_8">#REF!</definedName>
    <definedName name="Ref_86">#REF!</definedName>
    <definedName name="Ref_86_15">#REF!</definedName>
    <definedName name="Ref_86_22">#REF!</definedName>
    <definedName name="Ref_86_8">#REF!</definedName>
    <definedName name="Ref_87">#REF!</definedName>
    <definedName name="Ref_87_15">#REF!</definedName>
    <definedName name="Ref_87_22">#REF!</definedName>
    <definedName name="Ref_87_8">#REF!</definedName>
    <definedName name="Ref_88">#REF!</definedName>
    <definedName name="Ref_88_22">#REF!</definedName>
    <definedName name="Ref_89">#REF!</definedName>
    <definedName name="Ref_89_22">#REF!</definedName>
    <definedName name="Ref_9">#REF!</definedName>
    <definedName name="Ref_9_16">#REF!</definedName>
    <definedName name="Ref_9_22">#REF!</definedName>
    <definedName name="Ref_9_8">#REF!</definedName>
    <definedName name="Ref_90">#REF!</definedName>
    <definedName name="Ref_91">#REF!</definedName>
    <definedName name="Ref_92">#REF!</definedName>
    <definedName name="Ref_93">#REF!</definedName>
    <definedName name="Ref_93_22">#REF!</definedName>
    <definedName name="Ref_94">#REF!</definedName>
    <definedName name="Ref_94_22">#REF!</definedName>
    <definedName name="Ref_95">#REF!</definedName>
    <definedName name="Ref_95_22">#REF!</definedName>
    <definedName name="Ref_96">#REF!</definedName>
    <definedName name="Ref_96_22">#REF!</definedName>
    <definedName name="Ref_97">#REF!</definedName>
    <definedName name="Ref_97_22">#REF!</definedName>
    <definedName name="Ref_98">#REF!</definedName>
    <definedName name="Ref_98_22">#REF!</definedName>
    <definedName name="Ref_99">#REF!</definedName>
    <definedName name="Ref_99_22">#REF!</definedName>
    <definedName name="Referencia">#REF!</definedName>
    <definedName name="rent">[6]ER!$H$154</definedName>
    <definedName name="Resid.S_.">'[8]LISTADO 09 01'!#REF!</definedName>
    <definedName name="Resid.U_.">'[8]LISTADO 09 01'!#REF!</definedName>
    <definedName name="Residual_difference">#REF!</definedName>
    <definedName name="resumen">#REF!</definedName>
    <definedName name="Retroactivo_A_MAYO">#REF!</definedName>
    <definedName name="REV._COSTO">'[8]LISTADO 09 01'!#REF!</definedName>
    <definedName name="REV._DEP.">'[8]LISTADO 09 01'!#REF!</definedName>
    <definedName name="RID">#REF!</definedName>
    <definedName name="ROCIO">'[18]1134'!#REF!</definedName>
    <definedName name="rr">#REF!</definedName>
    <definedName name="s">#REF!</definedName>
    <definedName name="S_AcctDes">#REF!</definedName>
    <definedName name="S_AcctDes_16">#REF!</definedName>
    <definedName name="S_AcctDes_8">#REF!</definedName>
    <definedName name="S_AcctNum">#REF!</definedName>
    <definedName name="S_AcctNum_16">#REF!</definedName>
    <definedName name="S_AcctNum_8">#REF!</definedName>
    <definedName name="S_Adjust">'[54]Costos y Gastos - final'!#REF!</definedName>
    <definedName name="S_Adjust_15">#REF!</definedName>
    <definedName name="S_Adjust_8">#REF!</definedName>
    <definedName name="S_Adjust_Data">[12]Lead!$I$1:$I$7</definedName>
    <definedName name="S_Adjust_Data_15">NA()</definedName>
    <definedName name="S_Adjust_Data_8">NA()</definedName>
    <definedName name="S_Adjust_GT">'[54]Costos y Gastos - final'!#REF!</definedName>
    <definedName name="S_Adjust_GT_15">#REF!</definedName>
    <definedName name="S_Adjust_GT_8">#REF!</definedName>
    <definedName name="S_AJE_Tot">'[54]Costos y Gastos - final'!#REF!</definedName>
    <definedName name="S_AJE_Tot_15">#REF!</definedName>
    <definedName name="S_AJE_Tot_8">#REF!</definedName>
    <definedName name="S_AJE_Tot_Data">[12]Lead!$H$1:$H$7</definedName>
    <definedName name="S_AJE_Tot_Data_15">NA()</definedName>
    <definedName name="S_AJE_Tot_Data_8">NA()</definedName>
    <definedName name="S_AJE_Tot_GT">'[54]Costos y Gastos - final'!#REF!</definedName>
    <definedName name="S_AJE_Tot_GT_15">#REF!</definedName>
    <definedName name="S_AJE_Tot_GT_8">#REF!</definedName>
    <definedName name="S_CompNum">'[54]Costos y Gastos - final'!#REF!</definedName>
    <definedName name="S_CompNum_15">#REF!</definedName>
    <definedName name="S_CompNum_8">#REF!</definedName>
    <definedName name="S_CY_Beg">#REF!</definedName>
    <definedName name="S_CY_Beg_16">#REF!</definedName>
    <definedName name="S_CY_Beg_8">#REF!</definedName>
    <definedName name="S_CY_Beg_Data">[12]Lead!$F$1:$F$7</definedName>
    <definedName name="S_CY_Beg_Data_15">NA()</definedName>
    <definedName name="S_CY_Beg_Data_8">NA()</definedName>
    <definedName name="S_CY_Beg_GT">#REF!</definedName>
    <definedName name="S_CY_Beg_GT_15">#REF!</definedName>
    <definedName name="S_CY_Beg_GT_8">#REF!</definedName>
    <definedName name="S_CY_End">#REF!</definedName>
    <definedName name="S_CY_End_12">#REF!</definedName>
    <definedName name="S_CY_End_13">#REF!</definedName>
    <definedName name="S_CY_End_15">#REF!</definedName>
    <definedName name="S_CY_End_16">#REF!</definedName>
    <definedName name="S_CY_End_2">#REF!</definedName>
    <definedName name="S_CY_End_8">#REF!</definedName>
    <definedName name="S_CY_End_Data">[12]Lead!$K$1:$K$7</definedName>
    <definedName name="S_CY_End_Data_15">NA()</definedName>
    <definedName name="S_CY_End_Data_8">NA()</definedName>
    <definedName name="S_CY_End_GT">'[54]Costos y Gastos - final'!#REF!</definedName>
    <definedName name="S_CY_End_GT_15">#REF!</definedName>
    <definedName name="S_CY_End_GT_8">#REF!</definedName>
    <definedName name="S_Diff_Amt">#REF!</definedName>
    <definedName name="S_Diff_Amt_12">#REF!</definedName>
    <definedName name="S_Diff_Amt_13">#REF!</definedName>
    <definedName name="S_Diff_Amt_15">#REF!</definedName>
    <definedName name="S_Diff_Amt_16">#REF!</definedName>
    <definedName name="S_Diff_Amt_2">#REF!</definedName>
    <definedName name="S_Diff_Amt_8">#REF!</definedName>
    <definedName name="S_Diff_Pct">#REF!</definedName>
    <definedName name="S_Diff_Pct_12">#REF!</definedName>
    <definedName name="S_Diff_Pct_13">#REF!</definedName>
    <definedName name="S_Diff_Pct_15">#REF!</definedName>
    <definedName name="S_Diff_Pct_16">#REF!</definedName>
    <definedName name="S_Diff_Pct_2">#REF!</definedName>
    <definedName name="S_Diff_Pct_8">#REF!</definedName>
    <definedName name="S_GrpNum">'[54]Costos y Gastos - final'!#REF!</definedName>
    <definedName name="S_GrpNum_15">#REF!</definedName>
    <definedName name="S_GrpNum_8">#REF!</definedName>
    <definedName name="S_Headings">#REF!</definedName>
    <definedName name="S_Headings_16">#REF!</definedName>
    <definedName name="S_Headings_8">#REF!</definedName>
    <definedName name="S_KeyValue">#REF!</definedName>
    <definedName name="S_KeyValue_15">#REF!</definedName>
    <definedName name="S_KeyValue_8">#REF!</definedName>
    <definedName name="S_LSRange1">#REF!</definedName>
    <definedName name="S_LSRange1_16">#REF!</definedName>
    <definedName name="S_LSRange1_8">#REF!</definedName>
    <definedName name="S_LSRange1Balance">#REF!</definedName>
    <definedName name="S_LSRange1Balance_16">#REF!</definedName>
    <definedName name="S_LSRange1Balance_8">#REF!</definedName>
    <definedName name="S_LSRange1Balance1">#REF!</definedName>
    <definedName name="S_LSRange1Balance1_16">#REF!</definedName>
    <definedName name="S_LSRange1Balance1_8">#REF!</definedName>
    <definedName name="S_LSRange1Balance2">#REF!</definedName>
    <definedName name="S_LSRange1Balance2_12">#REF!</definedName>
    <definedName name="S_LSRange1Balance2_13">#REF!</definedName>
    <definedName name="S_LSRange1Balance2_15">#REF!</definedName>
    <definedName name="S_LSRange1Balance2_16">#REF!</definedName>
    <definedName name="S_LSRange1Balance2_2">#REF!</definedName>
    <definedName name="S_LSRange1Balance2_8">#REF!</definedName>
    <definedName name="S_LSRange1Balance3">#REF!</definedName>
    <definedName name="S_LSRange1Balance3_12">#REF!</definedName>
    <definedName name="S_LSRange1Balance3_13">#REF!</definedName>
    <definedName name="S_LSRange1Balance3_15">#REF!</definedName>
    <definedName name="S_LSRange1Balance3_16">#REF!</definedName>
    <definedName name="S_LSRange1Balance3_2">#REF!</definedName>
    <definedName name="S_LSRange1Balance3_8">#REF!</definedName>
    <definedName name="S_LSRange2">#REF!</definedName>
    <definedName name="S_LSRange2_16">#REF!</definedName>
    <definedName name="S_LSRange2_8">#REF!</definedName>
    <definedName name="S_LSRange2Balance">#REF!</definedName>
    <definedName name="S_LSRange2Balance_16">#REF!</definedName>
    <definedName name="S_LSRange2Balance_8">#REF!</definedName>
    <definedName name="S_LSRange2Balance1">#REF!</definedName>
    <definedName name="S_LSRange2Balance1_16">#REF!</definedName>
    <definedName name="S_LSRange2Balance1_8">#REF!</definedName>
    <definedName name="S_LSRange2Balance2">#REF!</definedName>
    <definedName name="S_LSRange2Balance2_12">#REF!</definedName>
    <definedName name="S_LSRange2Balance2_13">#REF!</definedName>
    <definedName name="S_LSRange2Balance2_15">#REF!</definedName>
    <definedName name="S_LSRange2Balance2_16">#REF!</definedName>
    <definedName name="S_LSRange2Balance2_2">#REF!</definedName>
    <definedName name="S_LSRange2Balance2_8">#REF!</definedName>
    <definedName name="S_LSRange2Balance3">#REF!</definedName>
    <definedName name="S_LSRange2Balance3_12">#REF!</definedName>
    <definedName name="S_LSRange2Balance3_13">#REF!</definedName>
    <definedName name="S_LSRange2Balance3_15">#REF!</definedName>
    <definedName name="S_LSRange2Balance3_16">#REF!</definedName>
    <definedName name="S_LSRange2Balance3_2">#REF!</definedName>
    <definedName name="S_LSRange2Balance3_8">#REF!</definedName>
    <definedName name="S_LSRange3">#REF!</definedName>
    <definedName name="S_LSRange3_16">#REF!</definedName>
    <definedName name="S_LSRange3_8">#REF!</definedName>
    <definedName name="S_LSRange3Balance">#REF!</definedName>
    <definedName name="S_LSRange3Balance_16">#REF!</definedName>
    <definedName name="S_LSRange3Balance_8">#REF!</definedName>
    <definedName name="S_LSRange3Balance1">#REF!</definedName>
    <definedName name="S_LSRange3Balance1_16">#REF!</definedName>
    <definedName name="S_LSRange3Balance1_8">#REF!</definedName>
    <definedName name="S_LSRange3Balance2">#REF!</definedName>
    <definedName name="S_LSRange3Balance2_12">#REF!</definedName>
    <definedName name="S_LSRange3Balance2_13">#REF!</definedName>
    <definedName name="S_LSRange3Balance2_15">#REF!</definedName>
    <definedName name="S_LSRange3Balance2_16">#REF!</definedName>
    <definedName name="S_LSRange3Balance2_2">#REF!</definedName>
    <definedName name="S_LSRange3Balance2_8">#REF!</definedName>
    <definedName name="S_LSRange3Balance3">#REF!</definedName>
    <definedName name="S_LSRange3Balance3_12">#REF!</definedName>
    <definedName name="S_LSRange3Balance3_13">#REF!</definedName>
    <definedName name="S_LSRange3Balance3_15">#REF!</definedName>
    <definedName name="S_LSRange3Balance3_16">#REF!</definedName>
    <definedName name="S_LSRange3Balance3_2">#REF!</definedName>
    <definedName name="S_LSRange3Balance3_8">#REF!</definedName>
    <definedName name="S_LSRange4">#REF!</definedName>
    <definedName name="S_LSRange4_16">#REF!</definedName>
    <definedName name="S_LSRange4_8">#REF!</definedName>
    <definedName name="S_LSRange4Balance">#REF!</definedName>
    <definedName name="S_LSRange4Balance_16">#REF!</definedName>
    <definedName name="S_LSRange4Balance_8">#REF!</definedName>
    <definedName name="S_LSRange4Balance1">#REF!</definedName>
    <definedName name="S_LSRange4Balance1_16">#REF!</definedName>
    <definedName name="S_LSRange4Balance1_8">#REF!</definedName>
    <definedName name="S_LSRange4Balance2">#REF!</definedName>
    <definedName name="S_LSRange4Balance2_12">#REF!</definedName>
    <definedName name="S_LSRange4Balance2_13">#REF!</definedName>
    <definedName name="S_LSRange4Balance2_15">#REF!</definedName>
    <definedName name="S_LSRange4Balance2_16">#REF!</definedName>
    <definedName name="S_LSRange4Balance2_2">#REF!</definedName>
    <definedName name="S_LSRange4Balance2_8">#REF!</definedName>
    <definedName name="S_LSRange4Balance3">#REF!</definedName>
    <definedName name="S_LSRange4Balance3_12">#REF!</definedName>
    <definedName name="S_LSRange4Balance3_13">#REF!</definedName>
    <definedName name="S_LSRange4Balance3_15">#REF!</definedName>
    <definedName name="S_LSRange4Balance3_16">#REF!</definedName>
    <definedName name="S_LSRange4Balance3_2">#REF!</definedName>
    <definedName name="S_LSRange4Balance3_8">#REF!</definedName>
    <definedName name="S_LSRange5">#REF!</definedName>
    <definedName name="S_LSRange5_16">#REF!</definedName>
    <definedName name="S_LSRange5_8">#REF!</definedName>
    <definedName name="S_LSRange5Balance">#REF!</definedName>
    <definedName name="S_LSRange5Balance_16">#REF!</definedName>
    <definedName name="S_LSRange5Balance_8">#REF!</definedName>
    <definedName name="S_LSRange5Balance1">#REF!</definedName>
    <definedName name="S_LSRange5Balance1_16">#REF!</definedName>
    <definedName name="S_LSRange5Balance1_8">#REF!</definedName>
    <definedName name="S_LSRange5Balance2">#REF!</definedName>
    <definedName name="S_LSRange5Balance2_12">#REF!</definedName>
    <definedName name="S_LSRange5Balance2_13">#REF!</definedName>
    <definedName name="S_LSRange5Balance2_15">#REF!</definedName>
    <definedName name="S_LSRange5Balance2_16">#REF!</definedName>
    <definedName name="S_LSRange5Balance2_2">#REF!</definedName>
    <definedName name="S_LSRange5Balance2_8">#REF!</definedName>
    <definedName name="S_LSRange5Balance3">#REF!</definedName>
    <definedName name="S_LSRange5Balance3_12">#REF!</definedName>
    <definedName name="S_LSRange5Balance3_13">#REF!</definedName>
    <definedName name="S_LSRange5Balance3_15">#REF!</definedName>
    <definedName name="S_LSRange5Balance3_16">#REF!</definedName>
    <definedName name="S_LSRange5Balance3_2">#REF!</definedName>
    <definedName name="S_LSRange5Balance3_8">#REF!</definedName>
    <definedName name="S_LSRange6">#REF!</definedName>
    <definedName name="S_LSRange6_16">#REF!</definedName>
    <definedName name="S_LSRange6_8">#REF!</definedName>
    <definedName name="S_LSRange6Balance">#REF!</definedName>
    <definedName name="S_LSRange6Balance_16">#REF!</definedName>
    <definedName name="S_LSRange6Balance_8">#REF!</definedName>
    <definedName name="S_LSRange6Balance1">#REF!</definedName>
    <definedName name="S_LSRange6Balance1_16">#REF!</definedName>
    <definedName name="S_LSRange6Balance1_8">#REF!</definedName>
    <definedName name="S_LSRange6Balance2">#REF!</definedName>
    <definedName name="S_LSRange6Balance2_12">#REF!</definedName>
    <definedName name="S_LSRange6Balance2_13">#REF!</definedName>
    <definedName name="S_LSRange6Balance2_15">#REF!</definedName>
    <definedName name="S_LSRange6Balance2_16">#REF!</definedName>
    <definedName name="S_LSRange6Balance2_2">#REF!</definedName>
    <definedName name="S_LSRange6Balance2_8">#REF!</definedName>
    <definedName name="S_LSRange6Balance3">#REF!</definedName>
    <definedName name="S_LSRange6Balance3_12">#REF!</definedName>
    <definedName name="S_LSRange6Balance3_13">#REF!</definedName>
    <definedName name="S_LSRange6Balance3_15">#REF!</definedName>
    <definedName name="S_LSRange6Balance3_16">#REF!</definedName>
    <definedName name="S_LSRange6Balance3_2">#REF!</definedName>
    <definedName name="S_LSRange6Balance3_8">#REF!</definedName>
    <definedName name="S_LSRange7">#REF!</definedName>
    <definedName name="S_LSRange7_16">#REF!</definedName>
    <definedName name="S_LSRange7_8">#REF!</definedName>
    <definedName name="S_LSRange7Balance">#REF!</definedName>
    <definedName name="S_LSRange7Balance_16">#REF!</definedName>
    <definedName name="S_LSRange7Balance_8">#REF!</definedName>
    <definedName name="S_LSRange7Balance1">#REF!</definedName>
    <definedName name="S_LSRange7Balance1_16">#REF!</definedName>
    <definedName name="S_LSRange7Balance1_8">#REF!</definedName>
    <definedName name="S_LSRange7Balance2">#REF!</definedName>
    <definedName name="S_LSRange7Balance2_12">#REF!</definedName>
    <definedName name="S_LSRange7Balance2_13">#REF!</definedName>
    <definedName name="S_LSRange7Balance2_15">#REF!</definedName>
    <definedName name="S_LSRange7Balance2_16">#REF!</definedName>
    <definedName name="S_LSRange7Balance2_2">#REF!</definedName>
    <definedName name="S_LSRange7Balance2_8">#REF!</definedName>
    <definedName name="S_LSRange7Balance3">#REF!</definedName>
    <definedName name="S_LSRange7Balance3_12">#REF!</definedName>
    <definedName name="S_LSRange7Balance3_13">#REF!</definedName>
    <definedName name="S_LSRange7Balance3_15">#REF!</definedName>
    <definedName name="S_LSRange7Balance3_16">#REF!</definedName>
    <definedName name="S_LSRange7Balance3_2">#REF!</definedName>
    <definedName name="S_LSRange7Balance3_8">#REF!</definedName>
    <definedName name="S_LSRange8">#REF!</definedName>
    <definedName name="S_LSRange8_16">#REF!</definedName>
    <definedName name="S_LSRange8_8">#REF!</definedName>
    <definedName name="S_LSRange8Balance">#REF!</definedName>
    <definedName name="S_LSRange8Balance_16">#REF!</definedName>
    <definedName name="S_LSRange8Balance_8">#REF!</definedName>
    <definedName name="S_LSRange8Balance1">#REF!</definedName>
    <definedName name="S_LSRange8Balance1_16">#REF!</definedName>
    <definedName name="S_LSRange8Balance1_8">#REF!</definedName>
    <definedName name="S_LSRange8Balance2">#REF!</definedName>
    <definedName name="S_LSRange8Balance2_12">#REF!</definedName>
    <definedName name="S_LSRange8Balance2_13">#REF!</definedName>
    <definedName name="S_LSRange8Balance2_15">#REF!</definedName>
    <definedName name="S_LSRange8Balance2_16">#REF!</definedName>
    <definedName name="S_LSRange8Balance2_2">#REF!</definedName>
    <definedName name="S_LSRange8Balance2_8">#REF!</definedName>
    <definedName name="S_LSRange8Balance3">#REF!</definedName>
    <definedName name="S_LSRange8Balance3_12">#REF!</definedName>
    <definedName name="S_LSRange8Balance3_13">#REF!</definedName>
    <definedName name="S_LSRange8Balance3_15">#REF!</definedName>
    <definedName name="S_LSRange8Balance3_16">#REF!</definedName>
    <definedName name="S_LSRange8Balance3_2">#REF!</definedName>
    <definedName name="S_LSRange8Balance3_8">#REF!</definedName>
    <definedName name="S_PY_End">#REF!</definedName>
    <definedName name="S_PY_End_12">#REF!</definedName>
    <definedName name="S_PY_End_13">#REF!</definedName>
    <definedName name="S_PY_End_15">#REF!</definedName>
    <definedName name="S_PY_End_16">#REF!</definedName>
    <definedName name="S_PY_End_2">#REF!</definedName>
    <definedName name="S_PY_End_8">#REF!</definedName>
    <definedName name="S_PY_End_Data">[12]Lead!$N$1:$N$7</definedName>
    <definedName name="S_PY_End_Data_15">NA()</definedName>
    <definedName name="S_PY_End_Data_8">NA()</definedName>
    <definedName name="S_PY_End_GT">'[54]Costos y Gastos - final'!#REF!</definedName>
    <definedName name="S_PY_End_GT_15">#REF!</definedName>
    <definedName name="S_PY_End_GT_8">#REF!</definedName>
    <definedName name="S_RJE_Tot">'[54]Costos y Gastos - final'!#REF!</definedName>
    <definedName name="S_RJE_Tot_15">#REF!</definedName>
    <definedName name="S_RJE_Tot_8">#REF!</definedName>
    <definedName name="S_RJE_Tot_Data">[12]Lead!$J$1:$J$7</definedName>
    <definedName name="S_RJE_Tot_Data_15">NA()</definedName>
    <definedName name="S_RJE_Tot_Data_8">NA()</definedName>
    <definedName name="S_RJE_Tot_GT">'[54]Costos y Gastos - final'!#REF!</definedName>
    <definedName name="S_RJE_Tot_GT_15">#REF!</definedName>
    <definedName name="S_RJE_Tot_GT_8">#REF!</definedName>
    <definedName name="S_RowNum">#REF!</definedName>
    <definedName name="S_RowNum_15">#REF!</definedName>
    <definedName name="S_RowNum_8">#REF!</definedName>
    <definedName name="S_Total">#REF!</definedName>
    <definedName name="S_Total_16">#REF!</definedName>
    <definedName name="S_Total_8">#REF!</definedName>
    <definedName name="S_Total1">#REF!</definedName>
    <definedName name="S_Total1_16">#REF!</definedName>
    <definedName name="S_Total1_8">#REF!</definedName>
    <definedName name="S_Total2">#REF!</definedName>
    <definedName name="S_Total2_12">#REF!</definedName>
    <definedName name="S_Total2_13">#REF!</definedName>
    <definedName name="S_Total2_15">#REF!</definedName>
    <definedName name="S_Total2_16">#REF!</definedName>
    <definedName name="S_Total2_2">#REF!</definedName>
    <definedName name="S_Total2_8">#REF!</definedName>
    <definedName name="S_Total3">#REF!</definedName>
    <definedName name="S_Total3_12">#REF!</definedName>
    <definedName name="S_Total3_13">#REF!</definedName>
    <definedName name="S_Total3_15">#REF!</definedName>
    <definedName name="S_Total3_16">#REF!</definedName>
    <definedName name="S_Total3_2">#REF!</definedName>
    <definedName name="S_Total3_8">#REF!</definedName>
    <definedName name="SA">#REF!</definedName>
    <definedName name="safdsdafasf" hidden="1">{#N/A,#N/A,FALSE,"Aging Summary";#N/A,#N/A,FALSE,"Ratio Analysis";#N/A,#N/A,FALSE,"Test 120 Day Accts";#N/A,#N/A,FALSE,"Tickmarks"}</definedName>
    <definedName name="salaries">[6]ER!$H$150</definedName>
    <definedName name="saldocontable">#REF!</definedName>
    <definedName name="saldoesperado">#REF!</definedName>
    <definedName name="SALESAGU">#REF!</definedName>
    <definedName name="SALESM">#REF!</definedName>
    <definedName name="SANDRY">'[18]1134'!#REF!</definedName>
    <definedName name="sasa" hidden="1">#REF!</definedName>
    <definedName name="sdas">'[55]APT Compras de Inventario'!#REF!</definedName>
    <definedName name="sdf">#REF!</definedName>
    <definedName name="SE">#REF!</definedName>
    <definedName name="SEGUROS">#REF!</definedName>
    <definedName name="Selec.APT.Junio" hidden="1">{#N/A,#N/A,FALSE,"Aging Summary";#N/A,#N/A,FALSE,"Ratio Analysis";#N/A,#N/A,FALSE,"Test 120 Day Accts";#N/A,#N/A,FALSE,"Tickmarks"}</definedName>
    <definedName name="Seleccion_Randomica_Econofarm">#REF!</definedName>
    <definedName name="Selección_Randomica_Farcomed">#REF!</definedName>
    <definedName name="Selected_Materiality">[56]Detalle!#REF!</definedName>
    <definedName name="Selection_Remainder">#REF!</definedName>
    <definedName name="Sep">11400</definedName>
    <definedName name="ser_ban">[6]ER!$H$160</definedName>
    <definedName name="sjav">'[33]Cobertura de Seguros Prel.'!$A$1</definedName>
    <definedName name="spo">'[57]119 - SPO'!#REF!</definedName>
    <definedName name="SS">#REF!</definedName>
    <definedName name="sss">NA()</definedName>
    <definedName name="Starting_Point">#REF!</definedName>
    <definedName name="Sucres">#REF!</definedName>
    <definedName name="Sueldos">#REF!</definedName>
    <definedName name="SUPERAVIT">'[8]LISTADO 09 01'!#REF!</definedName>
    <definedName name="sx" hidden="1">#REF!</definedName>
    <definedName name="sxs" hidden="1">11</definedName>
    <definedName name="t">#REF!</definedName>
    <definedName name="TABLA">'[58]BAL SEPTIEMBRE'!$E$9:$S$469</definedName>
    <definedName name="TableName">"Dummy"</definedName>
    <definedName name="taryn" hidden="1">{#N/A,#N/A,FALSE,"Aging Summary";#N/A,#N/A,FALSE,"Ratio Analysis";#N/A,#N/A,FALSE,"Test 120 Day Accts";#N/A,#N/A,FALSE,"Tickmarks"}</definedName>
    <definedName name="tatiana">#REF!</definedName>
    <definedName name="Tax_Effect_Income">#REF!</definedName>
    <definedName name="Tax_Effect_Liabs">#REF!</definedName>
    <definedName name="Tax_Effect_RetEarn">#REF!</definedName>
    <definedName name="Tax_Rate">#REF!</definedName>
    <definedName name="TC">25000</definedName>
    <definedName name="TCS_URUGUAY">#REF!</definedName>
    <definedName name="TEST0">[59]SAP!$A$2:$E$88</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xtRef">[53]Costo!#REF!</definedName>
    <definedName name="TextRefCopy1">#REF!</definedName>
    <definedName name="TextRefCopy1_12">NA()</definedName>
    <definedName name="TextRefCopy1_13">NA()</definedName>
    <definedName name="TextRefCopy1_15">NA()</definedName>
    <definedName name="TextRefCopy1_16">NA()</definedName>
    <definedName name="TextRefCopy1_22">#REF!</definedName>
    <definedName name="TextRefCopy1_4">#REF!</definedName>
    <definedName name="TextRefCopy1_5">#REF!</definedName>
    <definedName name="TextRefCopy10">#REF!</definedName>
    <definedName name="TextRefCopy10_16">#REF!</definedName>
    <definedName name="TextRefCopy10_22">#REF!</definedName>
    <definedName name="TextRefCopy10_25">#REF!</definedName>
    <definedName name="TextRefCopy10_4">#REF!</definedName>
    <definedName name="TextRefCopy10_5">#REF!</definedName>
    <definedName name="TextRefCopy100">#REF!</definedName>
    <definedName name="TextRefCopy101">#REF!</definedName>
    <definedName name="TextRefCopy102">#REF!</definedName>
    <definedName name="TextRefCopy103">#REF!</definedName>
    <definedName name="TextRefCopy104">#REF!</definedName>
    <definedName name="TextRefCopy105">#REF!</definedName>
    <definedName name="TextRefCopy106">#REF!</definedName>
    <definedName name="TextRefCopy107">#REF!</definedName>
    <definedName name="TextRefCopy108">#REF!</definedName>
    <definedName name="TextRefCopy109">#REF!</definedName>
    <definedName name="TextRefCopy11">#REF!</definedName>
    <definedName name="TextRefCopy11_16">#REF!</definedName>
    <definedName name="TextRefCopy11_22">#REF!</definedName>
    <definedName name="TextRefCopy11_4">#REF!</definedName>
    <definedName name="TextRefCopy11_5">#REF!</definedName>
    <definedName name="TextRefCopy110">#REF!</definedName>
    <definedName name="TextRefCopy111">#REF!</definedName>
    <definedName name="TextRefCopy112">#REF!</definedName>
    <definedName name="TextRefCopy113">#REF!</definedName>
    <definedName name="TextRefCopy114">#REF!</definedName>
    <definedName name="TextRefCopy115">#REF!</definedName>
    <definedName name="TextRefCopy116">#REF!</definedName>
    <definedName name="TextRefCopy117">#REF!</definedName>
    <definedName name="TextRefCopy118">#REF!</definedName>
    <definedName name="TextRefCopy119">#REF!</definedName>
    <definedName name="TextRefCopy12">'[30]Revisión conc. bancarias'!#REF!</definedName>
    <definedName name="TextRefCopy12_16">#REF!</definedName>
    <definedName name="TextRefCopy12_22">#REF!</definedName>
    <definedName name="TextRefCopy12_4">#REF!</definedName>
    <definedName name="TextRefCopy12_5">#REF!</definedName>
    <definedName name="TextRefCopy120">#REF!</definedName>
    <definedName name="TextRefCopy121">#REF!</definedName>
    <definedName name="TextRefCopy122">#REF!</definedName>
    <definedName name="TextRefCopy123">#REF!</definedName>
    <definedName name="TextRefCopy124">#REF!</definedName>
    <definedName name="TextRefCopy125">#REF!</definedName>
    <definedName name="TextRefCopy126">#REF!</definedName>
    <definedName name="TextRefCopy127">#REF!</definedName>
    <definedName name="TextRefCopy128">#REF!</definedName>
    <definedName name="TextRefCopy129">#REF!</definedName>
    <definedName name="TextRefCopy13">#REF!</definedName>
    <definedName name="TextRefCopy13_16">#REF!</definedName>
    <definedName name="TextRefCopy13_22">#REF!</definedName>
    <definedName name="TextRefCopy13_4">#REF!</definedName>
    <definedName name="TextRefCopy13_5">#REF!</definedName>
    <definedName name="TextRefCopy13_8">#REF!</definedName>
    <definedName name="TextRefCopy130">#REF!</definedName>
    <definedName name="TextRefCopy131">#REF!</definedName>
    <definedName name="TextRefCopy132">#REF!</definedName>
    <definedName name="TextRefCopy133">#REF!</definedName>
    <definedName name="TextRefCopy134">#REF!</definedName>
    <definedName name="TextRefCopy135">#REF!</definedName>
    <definedName name="TextRefCopy136">#REF!</definedName>
    <definedName name="TextRefCopy137">#REF!</definedName>
    <definedName name="TextRefCopy138">#REF!</definedName>
    <definedName name="TextRefCopy139">#REF!</definedName>
    <definedName name="TextRefCopy14">#REF!</definedName>
    <definedName name="TextRefCopy14_2">NA()</definedName>
    <definedName name="TextRefCopy14_22">#REF!</definedName>
    <definedName name="TextRefCopy14_3">NA()</definedName>
    <definedName name="TextRefCopy14_8">#REF!</definedName>
    <definedName name="TextRefCopy140">#REF!</definedName>
    <definedName name="TextRefCopy141">#REF!</definedName>
    <definedName name="TextRefCopy142">#REF!</definedName>
    <definedName name="TextRefCopy143">#REF!</definedName>
    <definedName name="TextRefCopy144">#REF!</definedName>
    <definedName name="TextRefCopy145">#REF!</definedName>
    <definedName name="TextRefCopy146">#REF!</definedName>
    <definedName name="TextRefCopy147">#REF!</definedName>
    <definedName name="TextRefCopy148">#REF!</definedName>
    <definedName name="TextRefCopy149">#REF!</definedName>
    <definedName name="TextRefCopy15">[60]Detalle!$Q$301</definedName>
    <definedName name="TextRefCopy15_12">NA()</definedName>
    <definedName name="TextRefCopy15_13">NA()</definedName>
    <definedName name="TextRefCopy15_16">NA()</definedName>
    <definedName name="TextRefCopy15_2">NA()</definedName>
    <definedName name="TextRefCopy15_22">#REF!</definedName>
    <definedName name="TextRefCopy15_4">#REF!</definedName>
    <definedName name="TextRefCopy15_5">#REF!</definedName>
    <definedName name="TextRefCopy15_8">NA()</definedName>
    <definedName name="TextRefCopy150">#REF!</definedName>
    <definedName name="TextRefCopy151">#REF!</definedName>
    <definedName name="TextRefCopy152">#REF!</definedName>
    <definedName name="TextRefCopy153">#REF!</definedName>
    <definedName name="TextRefCopy154">#REF!</definedName>
    <definedName name="TextRefCopy16">[61]APT!#REF!</definedName>
    <definedName name="TextRefCopy16_13">NA()</definedName>
    <definedName name="TextRefCopy16_15">NA()</definedName>
    <definedName name="TextRefCopy16_16">#REF!</definedName>
    <definedName name="TextRefCopy16_2">NA()</definedName>
    <definedName name="TextRefCopy16_22">#REF!</definedName>
    <definedName name="TextRefCopy166">#REF!</definedName>
    <definedName name="TextRefCopy168">'[62]Detalle G.Ad.Vta'!#REF!</definedName>
    <definedName name="TextRefCopy169">'[62]Detalle G.Ad.Vta'!#REF!</definedName>
    <definedName name="TextRefCopy17">#REF!</definedName>
    <definedName name="TextRefCopy17_12">NA()</definedName>
    <definedName name="TextRefCopy17_13">NA()</definedName>
    <definedName name="TextRefCopy17_16">#REF!</definedName>
    <definedName name="TextRefCopy17_2">NA()</definedName>
    <definedName name="TextRefCopy17_22">#REF!</definedName>
    <definedName name="TextRefCopy170">'[62]Detalle G.Ad.Vta'!#REF!</definedName>
    <definedName name="TextRefCopy171">'[62]Detalle G.Ad.Vta'!#REF!</definedName>
    <definedName name="TextRefCopy18">'[63]Detalle de Costos'!#REF!</definedName>
    <definedName name="TextRefCopy18_12">NA()</definedName>
    <definedName name="TextRefCopy18_13">NA()</definedName>
    <definedName name="TextRefCopy18_15">NA()</definedName>
    <definedName name="TextRefCopy18_16">NA()</definedName>
    <definedName name="TextRefCopy18_2">NA()</definedName>
    <definedName name="TextRefCopy18_22">#REF!</definedName>
    <definedName name="TextRefCopy18_3">NA()</definedName>
    <definedName name="TextRefCopy186">'[64]Cálculo sueldos'!#REF!</definedName>
    <definedName name="TextRefCopy19">#REF!</definedName>
    <definedName name="TextRefCopy19_16">#REF!</definedName>
    <definedName name="TextRefCopy2">#REF!</definedName>
    <definedName name="TextRefCopy2_12">NA()</definedName>
    <definedName name="TextRefCopy2_13">NA()</definedName>
    <definedName name="TextRefCopy2_15">NA()</definedName>
    <definedName name="TextRefCopy2_16">NA()</definedName>
    <definedName name="TextRefCopy2_22">#REF!</definedName>
    <definedName name="TextRefCopy2_4">#REF!</definedName>
    <definedName name="TextRefCopy2_5">#REF!</definedName>
    <definedName name="TextRefCopy20">#REF!</definedName>
    <definedName name="TextRefCopy20_12">NA()</definedName>
    <definedName name="TextRefCopy20_13">NA()</definedName>
    <definedName name="TextRefCopy20_15">NA()</definedName>
    <definedName name="TextRefCopy20_16">#REF!</definedName>
    <definedName name="TextRefCopy20_2">NA()</definedName>
    <definedName name="TextRefCopy20_3">NA()</definedName>
    <definedName name="TextRefCopy200">#REF!</definedName>
    <definedName name="TextRefCopy201">#REF!</definedName>
    <definedName name="TextRefCopy204">'[65]Cálculo sueldos'!#REF!</definedName>
    <definedName name="TextRefCopy205">'[65]Cálculo sueldos'!#REF!</definedName>
    <definedName name="TextRefCopy206">'[65]Cálculo sueldos'!#REF!</definedName>
    <definedName name="TextRefCopy21">[53]Costo!#REF!</definedName>
    <definedName name="TextRefCopy21_12">NA()</definedName>
    <definedName name="TextRefCopy21_13">NA()</definedName>
    <definedName name="TextRefCopy21_15">NA()</definedName>
    <definedName name="TextRefCopy21_16">NA()</definedName>
    <definedName name="TextRefCopy21_2">NA()</definedName>
    <definedName name="TextRefCopy22">#REF!</definedName>
    <definedName name="TextRefCopy22_12">NA()</definedName>
    <definedName name="TextRefCopy22_13">NA()</definedName>
    <definedName name="TextRefCopy22_15">NA()</definedName>
    <definedName name="TextRefCopy22_16">NA()</definedName>
    <definedName name="TextRefCopy22_2">NA()</definedName>
    <definedName name="TextRefCopy22_22">#REF!</definedName>
    <definedName name="TextRefCopy23">'[53]Calc.global deprec'!#REF!</definedName>
    <definedName name="TextRefCopy23_22">#REF!</definedName>
    <definedName name="TextRefCopy233">[66]Detalle!$E$299</definedName>
    <definedName name="TextRefCopy24">#REF!</definedName>
    <definedName name="TextRefCopy24_22">#REF!</definedName>
    <definedName name="TextRefCopy25">#REF!</definedName>
    <definedName name="TextRefCopy25_22">#REF!</definedName>
    <definedName name="TextRefCopy26">#REF!</definedName>
    <definedName name="TextRefCopy26_22">#REF!</definedName>
    <definedName name="TextRefCopy27">#REF!</definedName>
    <definedName name="TextRefCopy27_22">#REF!</definedName>
    <definedName name="TextRefCopy28">#REF!</definedName>
    <definedName name="TextRefCopy28_22">#REF!</definedName>
    <definedName name="TextRefCopy29">#REF!</definedName>
    <definedName name="TextRefCopy29_22">#REF!</definedName>
    <definedName name="TextRefCopy3">#REF!</definedName>
    <definedName name="TextRefCopy3_12">NA()</definedName>
    <definedName name="TextRefCopy3_13">NA()</definedName>
    <definedName name="TextRefCopy3_15">NA()</definedName>
    <definedName name="TextRefCopy3_16">NA()</definedName>
    <definedName name="TextRefCopy3_22">#REF!</definedName>
    <definedName name="TextRefCopy3_4">#REF!</definedName>
    <definedName name="TextRefCopy3_5">#REF!</definedName>
    <definedName name="TextRefCopy30">#REF!</definedName>
    <definedName name="TextRefCopy30_22">#REF!</definedName>
    <definedName name="TextRefCopy31">[67]Detalle!#REF!</definedName>
    <definedName name="TextRefCopy31_22">#REF!</definedName>
    <definedName name="TextRefCopy32">#REF!</definedName>
    <definedName name="TextRefCopy32_12">NA()</definedName>
    <definedName name="TextRefCopy32_13">NA()</definedName>
    <definedName name="TextRefCopy32_15">NA()</definedName>
    <definedName name="TextRefCopy32_16">NA()</definedName>
    <definedName name="TextRefCopy32_2">NA()</definedName>
    <definedName name="TextRefCopy33">#REF!</definedName>
    <definedName name="TextRefCopy34">[67]Detalle!#REF!</definedName>
    <definedName name="TextRefCopy34_22">#REF!</definedName>
    <definedName name="TextRefCopy35">#REF!</definedName>
    <definedName name="TextRefCopy36">#REF!</definedName>
    <definedName name="TextRefCopy37">#REF!</definedName>
    <definedName name="TextRefCopy38">#REF!</definedName>
    <definedName name="TextRefCopy39">#REF!</definedName>
    <definedName name="TextRefCopy39_16">#REF!</definedName>
    <definedName name="TextRefCopy39_22">#REF!</definedName>
    <definedName name="TextRefCopy39_8">#REF!</definedName>
    <definedName name="TextRefCopy4">#REF!</definedName>
    <definedName name="TextRefCopy4_12">NA()</definedName>
    <definedName name="TextRefCopy4_13">NA()</definedName>
    <definedName name="TextRefCopy4_15">NA()</definedName>
    <definedName name="TextRefCopy4_16">NA()</definedName>
    <definedName name="TextRefCopy4_2">NA()</definedName>
    <definedName name="TextRefCopy4_22">#REF!</definedName>
    <definedName name="TextRefCopy4_4">#REF!</definedName>
    <definedName name="TextRefCopy4_5">#REF!</definedName>
    <definedName name="TextRefCopy40">#REF!</definedName>
    <definedName name="TextRefCopy41">#REF!</definedName>
    <definedName name="TextRefCopy42">#REF!</definedName>
    <definedName name="TextRefCopy43">#REF!</definedName>
    <definedName name="TextRefCopy43_15">#REF!</definedName>
    <definedName name="TextRefCopy43_8">#REF!</definedName>
    <definedName name="TextRefCopy44">#REF!</definedName>
    <definedName name="TextRefCopy44___0">NA()</definedName>
    <definedName name="TextRefCopy44_12">#REF!</definedName>
    <definedName name="TextRefCopy44_13">NA()</definedName>
    <definedName name="TextRefCopy44_15">NA()</definedName>
    <definedName name="TextRefCopy44_16">NA()</definedName>
    <definedName name="TextRefCopy44_2">#REF!</definedName>
    <definedName name="TextRefCopy44_22">#REF!</definedName>
    <definedName name="TextRefCopy44_4">#REF!</definedName>
    <definedName name="TextRefCopy44_5">#REF!</definedName>
    <definedName name="TextRefCopy45">#REF!</definedName>
    <definedName name="TextRefCopy45_12">NA()</definedName>
    <definedName name="TextRefCopy45_13">NA()</definedName>
    <definedName name="TextRefCopy45_15">NA()</definedName>
    <definedName name="TextRefCopy45_16">NA()</definedName>
    <definedName name="TextRefCopy45_2">NA()</definedName>
    <definedName name="TextRefCopy45_3">NA()</definedName>
    <definedName name="TextRefCopy45_8">NA()</definedName>
    <definedName name="TextRefCopy46">#REF!</definedName>
    <definedName name="TextRefCopy47">#REF!</definedName>
    <definedName name="TextRefCopy47_16">#REF!</definedName>
    <definedName name="TextRefCopy47_8">#REF!</definedName>
    <definedName name="TextRefCopy48">#REF!</definedName>
    <definedName name="TextRefCopy49">[67]Detalle!$A$1</definedName>
    <definedName name="TextRefCopy49_12">NA()</definedName>
    <definedName name="TextRefCopy49_13">NA()</definedName>
    <definedName name="TextRefCopy49_15">NA()</definedName>
    <definedName name="TextRefCopy49_16">NA()</definedName>
    <definedName name="TextRefCopy49_2">NA()</definedName>
    <definedName name="TextRefCopy49_3">NA()</definedName>
    <definedName name="TextRefCopy49_8">NA()</definedName>
    <definedName name="TextRefCopy5">#REF!</definedName>
    <definedName name="TextRefCopy5_15">#REF!</definedName>
    <definedName name="TextRefCopy5_2">#REF!</definedName>
    <definedName name="TextRefCopy5_22">#REF!</definedName>
    <definedName name="TextRefCopy5_3">#REF!</definedName>
    <definedName name="TextRefCopy50">#REF!</definedName>
    <definedName name="TextRefCopy50_12">NA()</definedName>
    <definedName name="TextRefCopy50_13">NA()</definedName>
    <definedName name="TextRefCopy50_15">NA()</definedName>
    <definedName name="TextRefCopy50_16">NA()</definedName>
    <definedName name="TextRefCopy50_2">NA()</definedName>
    <definedName name="TextRefCopy51">#REF!</definedName>
    <definedName name="TextRefCopy51_16">#REF!</definedName>
    <definedName name="TextRefCopy51_8">#REF!</definedName>
    <definedName name="TextRefCopy52">#REF!</definedName>
    <definedName name="TextRefCopy52_12">NA()</definedName>
    <definedName name="TextRefCopy52_13">NA()</definedName>
    <definedName name="TextRefCopy52_15">NA()</definedName>
    <definedName name="TextRefCopy52_16">NA()</definedName>
    <definedName name="TextRefCopy52_2">NA()</definedName>
    <definedName name="TextRefCopy53">[67]Detalle!#REF!</definedName>
    <definedName name="TextRefCopy53_12">NA()</definedName>
    <definedName name="TextRefCopy53_13">NA()</definedName>
    <definedName name="TextRefCopy53_15">NA()</definedName>
    <definedName name="TextRefCopy53_16">NA()</definedName>
    <definedName name="TextRefCopy53_2">NA()</definedName>
    <definedName name="TextRefCopy54">TextRefCopy49</definedName>
    <definedName name="TextRefCopy55">#REF!</definedName>
    <definedName name="TextRefCopy56">#REF!</definedName>
    <definedName name="TextRefCopy56_15">#REF!</definedName>
    <definedName name="TextRefCopy56_8">#REF!</definedName>
    <definedName name="TextRefCopy57">#REF!</definedName>
    <definedName name="TextRefCopy58">#REF!</definedName>
    <definedName name="TextRefCopy59">#REF!</definedName>
    <definedName name="TextRefCopy6">#REF!</definedName>
    <definedName name="TextRefCopy6_16">#REF!</definedName>
    <definedName name="TextRefCopy6_22">#REF!</definedName>
    <definedName name="TextRefCopy6_4">#REF!</definedName>
    <definedName name="TextRefCopy6_5">#REF!</definedName>
    <definedName name="TextRefCopy60">#REF!</definedName>
    <definedName name="TextRefCopy61">#REF!</definedName>
    <definedName name="TextRefCopy62">#REF!</definedName>
    <definedName name="TextRefCopy62_15">#REF!</definedName>
    <definedName name="TextRefCopy62_8">#REF!</definedName>
    <definedName name="TextRefCopy63">#REF!</definedName>
    <definedName name="TextRefCopy64">'[40]Prueba de Corte'!#REF!</definedName>
    <definedName name="TextRefCopy65">#REF!</definedName>
    <definedName name="TextRefCopy66">#REF!</definedName>
    <definedName name="TextRefCopy67">#REF!</definedName>
    <definedName name="TextRefCopy68">'[67]Cálculo Interes Sponsors'!#REF!</definedName>
    <definedName name="TextRefCopy69">#REF!</definedName>
    <definedName name="TextRefCopy7">#REF!</definedName>
    <definedName name="TextRefCopy7_15">#REF!</definedName>
    <definedName name="TextRefCopy7_16">#REF!</definedName>
    <definedName name="TextRefCopy7_2">#REF!</definedName>
    <definedName name="TextRefCopy7_22">#REF!</definedName>
    <definedName name="TextRefCopy7_3">#REF!</definedName>
    <definedName name="TextRefCopy7_4">#REF!</definedName>
    <definedName name="TextRefCopy7_5">#REF!</definedName>
    <definedName name="TextRefCopy70">'[67]Cálculo Interes Sponsors'!#REF!</definedName>
    <definedName name="TextRefCopy71">'[67]Cálculo Interes Sponsors'!#REF!</definedName>
    <definedName name="TextRefCopy72">#REF!</definedName>
    <definedName name="TextRefCopy73">#REF!</definedName>
    <definedName name="TextRefCopy74">#REF!</definedName>
    <definedName name="TextRefCopy75">#REF!</definedName>
    <definedName name="TextRefCopy76">#REF!</definedName>
    <definedName name="TextRefCopy77">#REF!</definedName>
    <definedName name="TextRefCopy78">#REF!</definedName>
    <definedName name="TextRefCopy79">#REF!</definedName>
    <definedName name="TextRefCopy8">#REF!</definedName>
    <definedName name="TextRefCopy8_12">NA()</definedName>
    <definedName name="TextRefCopy8_13">NA()</definedName>
    <definedName name="TextRefCopy8_15">NA()</definedName>
    <definedName name="TextRefCopy8_16">NA()</definedName>
    <definedName name="TextRefCopy8_2">NA()</definedName>
    <definedName name="TextRefCopy8_22">#REF!</definedName>
    <definedName name="TextRefCopy8_3">NA()</definedName>
    <definedName name="TextRefCopy8_4">#REF!</definedName>
    <definedName name="TextRefCopy8_5">#REF!</definedName>
    <definedName name="TextRefCopy80">#REF!</definedName>
    <definedName name="TextRefCopy81">#REF!</definedName>
    <definedName name="TextRefCopy82">#REF!</definedName>
    <definedName name="TextRefCopy83">#REF!</definedName>
    <definedName name="TextRefCopy84">#REF!</definedName>
    <definedName name="TextRefCopy85">#REF!</definedName>
    <definedName name="TextRefCopy86">#REF!</definedName>
    <definedName name="TextRefCopy87">#REF!</definedName>
    <definedName name="TextRefCopy88">#REF!</definedName>
    <definedName name="TextRefCopy89">'[68]Detalle G. Adm.'!#REF!</definedName>
    <definedName name="TextRefCopy9">#REF!</definedName>
    <definedName name="TextRefCopy9_16">#REF!</definedName>
    <definedName name="TextRefCopy9_22">#REF!</definedName>
    <definedName name="TextRefCopy9_4">#REF!</definedName>
    <definedName name="TextRefCopy9_5">#REF!</definedName>
    <definedName name="TextRefCopy90">#REF!</definedName>
    <definedName name="TextRefCopy91">#REF!</definedName>
    <definedName name="TextRefCopy92">#REF!</definedName>
    <definedName name="TextRefCopy93">#REF!</definedName>
    <definedName name="TextRefCopy94">#REF!</definedName>
    <definedName name="TextRefCopy95">#REF!</definedName>
    <definedName name="TextRefCopy96">#REF!</definedName>
    <definedName name="TextRefCopy97">#REF!</definedName>
    <definedName name="TextRefCopy98">#REF!</definedName>
    <definedName name="TextRefCopy99">#REF!</definedName>
    <definedName name="TextRefCopyRangeCount" hidden="1">16</definedName>
    <definedName name="Threshold">#REF!</definedName>
    <definedName name="ticmarks" hidden="1">4</definedName>
    <definedName name="TITULOS">#REF!</definedName>
    <definedName name="_xlnm.Print_Titles">#N/A</definedName>
    <definedName name="Títulos_a_imprimir_IM">#REF!</definedName>
    <definedName name="todo">#REF!</definedName>
    <definedName name="Top_Stratum_Number">#REF!</definedName>
    <definedName name="Top_Stratum_Value">#REF!</definedName>
    <definedName name="Tot_knw_Xfoot">#REF!</definedName>
    <definedName name="Tot_lik_Xfoot">#REF!</definedName>
    <definedName name="TOTAL">#REF!</definedName>
    <definedName name="Total_Amount">#REF!</definedName>
    <definedName name="Total_anticipated_uncorrected_misstatements">[56]Detalle!#REF!</definedName>
    <definedName name="Total_Number_Selections">#REF!</definedName>
    <definedName name="Total_Population2">'[7]CMA Calculations- Figure 5440.1'!$D$201</definedName>
    <definedName name="TOTAL2">#REF!</definedName>
    <definedName name="Transito" hidden="1">{#N/A,#N/A,FALSE,"Aging Summary";#N/A,#N/A,FALSE,"Ratio Analysis";#N/A,#N/A,FALSE,"Test 120 Day Accts";#N/A,#N/A,FALSE,"Tickmarks"}</definedName>
    <definedName name="trave">[6]ER!$H$152</definedName>
    <definedName name="tt">#REF!</definedName>
    <definedName name="tttttt">'[69]Cálculo Correción Costo Plant'!#REF!</definedName>
    <definedName name="u">#REF!</definedName>
    <definedName name="ummm">'[70]Detalle Ant comp terr'!#REF!</definedName>
    <definedName name="usuario">[20]Inicio!#REF!</definedName>
    <definedName name="uu">#REF!</definedName>
    <definedName name="v">#REF!</definedName>
    <definedName name="VALOR_RESIDUAL">'[8]LISTADO 09 01'!#REF!</definedName>
    <definedName name="values">'[71]Determinación del Limite'!$B$3,'[71]Determinación del Limite'!$B$4,'[71]Determinación del Limite'!$B$15</definedName>
    <definedName name="verito" hidden="1">2</definedName>
    <definedName name="vero" hidden="1">2</definedName>
    <definedName name="vv" hidden="1">[10]XREF!$8:$8</definedName>
    <definedName name="vvvvv" hidden="1">'[69]Mov.Costo y Reexp Plant.'!$F$46</definedName>
    <definedName name="w">#REF!</definedName>
    <definedName name="war">#REF!</definedName>
    <definedName name="wdasdfsadfas" hidden="1">{#N/A,#N/A,FALSE,"Aging Summary";#N/A,#N/A,FALSE,"Ratio Analysis";#N/A,#N/A,FALSE,"Test 120 Day Accts";#N/A,#N/A,FALSE,"Tickmarks"}</definedName>
    <definedName name="we">#REF!</definedName>
    <definedName name="wrn"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2." hidden="1">{#N/A,#N/A,FALSE,"Aging Summary";#N/A,#N/A,FALSE,"Ratio Analysis";#N/A,#N/A,FALSE,"Test 120 Day Accts";#N/A,#N/A,FALSE,"Tickmarks"}</definedName>
    <definedName name="wrn.ANALISIS98." hidden="1">{#N/A,#N/A,FALSE,"1998";#N/A,#N/A,FALSE,"1998"}</definedName>
    <definedName name="wrn.Datos._.Input." hidden="1">{"volúmenes",#N/A,FALSE,"Consolidado";"precios",#N/A,FALSE,"Consolidado";"costo producto",#N/A,FALSE,"Consolidado";"costos fijos",#N/A,FALSE,"Consolidado";"invesiones",#N/A,FALSE,"Consolidado"}</definedName>
    <definedName name="wrtt3" hidden="1">2</definedName>
    <definedName name="ww">#REF!</definedName>
    <definedName name="x">#REF!</definedName>
    <definedName name="xre" hidden="1">#REF!</definedName>
    <definedName name="Xref">#REF!</definedName>
    <definedName name="XREF_COLUMN_1" hidden="1">#REF!</definedName>
    <definedName name="XREF_COLUMN_10" hidden="1">[30]Detalle!#REF!</definedName>
    <definedName name="XREF_COLUMN_11" hidden="1">[30]Detalle!#REF!</definedName>
    <definedName name="XREF_COLUMN_12" hidden="1">#REF!</definedName>
    <definedName name="XREF_COLUMN_13" hidden="1">[30]Detalle!#REF!</definedName>
    <definedName name="XREF_COLUMN_14" hidden="1">[30]Detalle!#REF!</definedName>
    <definedName name="XREF_COLUMN_15" hidden="1">[30]Detalle!#REF!</definedName>
    <definedName name="XREF_COLUMN_16" hidden="1">[30]Detalle!#REF!</definedName>
    <definedName name="XREF_COLUMN_17" hidden="1">[30]Detalle!#REF!</definedName>
    <definedName name="XREF_COLUMN_18" hidden="1">#REF!</definedName>
    <definedName name="XREF_COLUMN_19" hidden="1">[30]Detalle!#REF!</definedName>
    <definedName name="XREF_COLUMN_2" hidden="1">#REF!</definedName>
    <definedName name="XREF_COLUMN_20" hidden="1">[30]Detalle!#REF!</definedName>
    <definedName name="XREF_COLUMN_21" hidden="1">#REF!</definedName>
    <definedName name="XREF_COLUMN_22" hidden="1">'[72]Mvto. Costo'!#REF!</definedName>
    <definedName name="XREF_COLUMN_23" hidden="1">[73]Detalle!#REF!</definedName>
    <definedName name="XREF_COLUMN_24" hidden="1">#REF!</definedName>
    <definedName name="XREF_COLUMN_25" hidden="1">#REF!</definedName>
    <definedName name="XREF_COLUMN_26" hidden="1">[73]Detalle!#REF!</definedName>
    <definedName name="XREF_COLUMN_27" hidden="1">#REF!</definedName>
    <definedName name="XREF_COLUMN_28" hidden="1">[73]Detalle!#REF!</definedName>
    <definedName name="XREF_COLUMN_29" hidden="1">[73]Detalle!#REF!</definedName>
    <definedName name="XREF_COLUMN_3" hidden="1">#REF!</definedName>
    <definedName name="XREF_COLUMN_30" hidden="1">#REF!</definedName>
    <definedName name="XREF_COLUMN_31" hidden="1">[74]Detalle!#REF!</definedName>
    <definedName name="XREF_COLUMN_32" hidden="1">'[62]Detalle G.Ad.Vta'!#REF!</definedName>
    <definedName name="XREF_COLUMN_33" hidden="1">#REF!</definedName>
    <definedName name="XREF_COLUMN_34" hidden="1">'[75]1000 '!#REF!</definedName>
    <definedName name="XREF_COLUMN_35" hidden="1">#REF!</definedName>
    <definedName name="XREF_COLUMN_36" hidden="1">'[75]1000 '!#REF!</definedName>
    <definedName name="XREF_COLUMN_37" hidden="1">'[75]1000 '!#REF!</definedName>
    <definedName name="XREF_COLUMN_38" hidden="1">'[75]1000 '!#REF!</definedName>
    <definedName name="XREF_COLUMN_39" hidden="1">'[75]1000 '!#REF!</definedName>
    <definedName name="XREF_COLUMN_4" hidden="1">#REF!</definedName>
    <definedName name="XREF_COLUMN_40" hidden="1">'[75]1000 '!#REF!</definedName>
    <definedName name="XREF_COLUMN_41" hidden="1">'[75]1000 '!#REF!</definedName>
    <definedName name="XREF_COLUMN_42" hidden="1">'[75]1000 '!#REF!</definedName>
    <definedName name="XREF_COLUMN_43" hidden="1">'[75]1000 '!#REF!</definedName>
    <definedName name="XREF_COLUMN_44" hidden="1">[76]Detalle!#REF!</definedName>
    <definedName name="XREF_COLUMN_45" hidden="1">[76]Detalle!#REF!</definedName>
    <definedName name="XREF_COLUMN_46" hidden="1">[76]Detalle!#REF!</definedName>
    <definedName name="XREF_COLUMN_47" hidden="1">[76]Detalle!#REF!</definedName>
    <definedName name="XREF_COLUMN_48" hidden="1">'[75]5000'!#REF!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'[75]8000'!#REF!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1"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2" hidden="1">'[77]Arriend.Prep.'!#REF!</definedName>
    <definedName name="XREF_COLUMN_73" hidden="1">#REF!</definedName>
    <definedName name="XREF_COLUMN_74" hidden="1">#REF!</definedName>
    <definedName name="XREF_COLUMN_75" hidden="1">#REF!</definedName>
    <definedName name="XREF_COLUMN_78" hidden="1">#REF!</definedName>
    <definedName name="XREF_COLUMN_8" hidden="1">[30]Detalle!#REF!</definedName>
    <definedName name="XREF_COLUMN_9" hidden="1">[30]Detalle!#REF!</definedName>
    <definedName name="XRefActiveRow" hidden="1">#REF!</definedName>
    <definedName name="xrefcolumnscou" hidden="1">2</definedName>
    <definedName name="XRefColumnsCount" hidden="1">7</definedName>
    <definedName name="XREFCOPY" hidden="1">#REF!</definedName>
    <definedName name="XRefCopy1" hidden="1">#REF!</definedName>
    <definedName name="XRefCopy10" hidden="1">[12]Detalle!#REF!</definedName>
    <definedName name="XRefCopy100" hidden="1">#REF!</definedName>
    <definedName name="XRefCopy101" hidden="1">[75]Resumen!#REF!</definedName>
    <definedName name="XRefCopy102" hidden="1">[78]Resultados!#REF!</definedName>
    <definedName name="XRefCopy104" hidden="1">[75]Resumen!#REF!</definedName>
    <definedName name="XRefCopy104Row" hidden="1">[75]XREF!#REF!</definedName>
    <definedName name="XRefCopy105" hidden="1">[65]Detalle!#REF!</definedName>
    <definedName name="XRefCopy106" hidden="1">[65]Detalle!#REF!</definedName>
    <definedName name="XRefCopy107" hidden="1">'[44]Cálculo sueldos'!#REF!</definedName>
    <definedName name="XRefCopy109" hidden="1">#REF!</definedName>
    <definedName name="XRefCopy10Row" hidden="1">#REF!</definedName>
    <definedName name="XRefCopy11" hidden="1">#REF!</definedName>
    <definedName name="XRefCopy110" hidden="1">[65]Detalle!#REF!</definedName>
    <definedName name="XRefCopy111" hidden="1">#REF!</definedName>
    <definedName name="XRefCopy112" hidden="1">[65]Detalle!#REF!</definedName>
    <definedName name="XRefCopy113" hidden="1">[65]Detalle!#REF!</definedName>
    <definedName name="XRefCopy114" hidden="1">#REF!</definedName>
    <definedName name="XRefCopy115" hidden="1">#REF!</definedName>
    <definedName name="XRefCopy116" hidden="1">[65]Detalle!#REF!</definedName>
    <definedName name="XRefCopy117" hidden="1">[65]Detalle!#REF!</definedName>
    <definedName name="XRefCopy118" hidden="1">'[44]Cálculo sueldos'!#REF!</definedName>
    <definedName name="XRefCopy119" hidden="1">[65]Detalle!#REF!</definedName>
    <definedName name="XRefCopy11Row" hidden="1">#REF!</definedName>
    <definedName name="XRefCopy12" hidden="1">[12]Detalle!#REF!</definedName>
    <definedName name="XRefCopy120" hidden="1">[65]Detalle!#REF!</definedName>
    <definedName name="XRefCopy122" hidden="1">[65]Detalle!#REF!</definedName>
    <definedName name="XRefCopy123" hidden="1">[65]Detalle!#REF!</definedName>
    <definedName name="XRefCopy124" hidden="1">[65]Detalle!#REF!</definedName>
    <definedName name="XRefCopy125" hidden="1">#REF!</definedName>
    <definedName name="XRefCopy126" hidden="1">#REF!</definedName>
    <definedName name="XRefCopy128" hidden="1">#REF!</definedName>
    <definedName name="XRefCopy12Row" hidden="1">#REF!</definedName>
    <definedName name="XRefCopy13" hidden="1">[12]Detalle!#REF!</definedName>
    <definedName name="XRefCopy13Row" hidden="1">#REF!</definedName>
    <definedName name="XRefCopy14" hidden="1">[12]Detalle!#REF!</definedName>
    <definedName name="XRefCopy14Row" hidden="1">#REF!</definedName>
    <definedName name="XRefCopy15" hidden="1">[12]Detalle!#REF!</definedName>
    <definedName name="XRefCopy15Row" hidden="1">#REF!</definedName>
    <definedName name="XRefCopy16" hidden="1">[79]Detalle!#REF!</definedName>
    <definedName name="XRefCopy165" hidden="1">#REF!</definedName>
    <definedName name="XRefCopy165Row" hidden="1">#REF!</definedName>
    <definedName name="XRefCopy166" hidden="1">#REF!</definedName>
    <definedName name="XRefCopy166Row" hidden="1">#REF!</definedName>
    <definedName name="XRefCopy167" hidden="1">#REF!</definedName>
    <definedName name="XRefCopy167Row" hidden="1">#REF!</definedName>
    <definedName name="XRefCopy168" hidden="1">#REF!</definedName>
    <definedName name="XRefCopy168Row" hidden="1">#REF!</definedName>
    <definedName name="XRefCopy169" hidden="1">#REF!</definedName>
    <definedName name="XRefCopy169Row" hidden="1">#REF!</definedName>
    <definedName name="XRefCopy16Row" hidden="1">#REF!</definedName>
    <definedName name="XRefCopy17" hidden="1">#REF!</definedName>
    <definedName name="XRefCopy170" hidden="1">#REF!</definedName>
    <definedName name="XRefCopy170Row" hidden="1">#REF!</definedName>
    <definedName name="XRefCopy171" hidden="1">#REF!</definedName>
    <definedName name="XRefCopy171Row" hidden="1">#REF!</definedName>
    <definedName name="XRefCopy172" hidden="1">#REF!</definedName>
    <definedName name="XRefCopy172Row" hidden="1">#REF!</definedName>
    <definedName name="XRefCopy173" hidden="1">#REF!</definedName>
    <definedName name="XRefCopy173Row" hidden="1">#REF!</definedName>
    <definedName name="XRefCopy174" hidden="1">#REF!</definedName>
    <definedName name="XRefCopy174Row" hidden="1">#REF!</definedName>
    <definedName name="XRefCopy175" hidden="1">#REF!</definedName>
    <definedName name="XRefCopy175Row" hidden="1">#REF!</definedName>
    <definedName name="XRefCopy176" hidden="1">#REF!</definedName>
    <definedName name="XRefCopy176Row" hidden="1">#REF!</definedName>
    <definedName name="XRefCopy177" hidden="1">#REF!</definedName>
    <definedName name="XRefCopy177Row" hidden="1">#REF!</definedName>
    <definedName name="XRefCopy178" hidden="1">#REF!</definedName>
    <definedName name="XRefCopy178Row" hidden="1">#REF!</definedName>
    <definedName name="XRefCopy179" hidden="1">#REF!</definedName>
    <definedName name="XRefCopy179Row" hidden="1">#REF!</definedName>
    <definedName name="XRefCopy17Row" hidden="1">#REF!</definedName>
    <definedName name="XRefCopy18" hidden="1">[30]Detalle!#REF!</definedName>
    <definedName name="XRefCopy180" hidden="1">#REF!</definedName>
    <definedName name="XRefCopy180Row" hidden="1">#REF!</definedName>
    <definedName name="XRefCopy181" hidden="1">#REF!</definedName>
    <definedName name="XRefCopy181Row" hidden="1">#REF!</definedName>
    <definedName name="XRefCopy182" hidden="1">#REF!</definedName>
    <definedName name="XRefCopy182Row" hidden="1">#REF!</definedName>
    <definedName name="XRefCopy183Row" hidden="1">#REF!</definedName>
    <definedName name="XRefCopy184Row" hidden="1">#REF!</definedName>
    <definedName name="XRefCopy185Row" hidden="1">#REF!</definedName>
    <definedName name="XRefCopy186Row" hidden="1">#REF!</definedName>
    <definedName name="XRefCopy188" hidden="1">#REF!</definedName>
    <definedName name="XRefCopy189" hidden="1">#REF!</definedName>
    <definedName name="XRefCopy18Row" hidden="1">#REF!</definedName>
    <definedName name="XRefCopy19" hidden="1">#REF!</definedName>
    <definedName name="XRefCopy190" hidden="1">#REF!</definedName>
    <definedName name="XRefCopy191" hidden="1">#REF!</definedName>
    <definedName name="XRefCopy192" hidden="1">#REF!</definedName>
    <definedName name="XRefCopy193" hidden="1">#REF!</definedName>
    <definedName name="XRefCopy194" hidden="1">#REF!</definedName>
    <definedName name="XRefCopy195" hidden="1">#REF!</definedName>
    <definedName name="XRefCopy196" hidden="1">#REF!</definedName>
    <definedName name="XRefCopy197" hidden="1">#REF!</definedName>
    <definedName name="XRefCopy198" hidden="1">#REF!</definedName>
    <definedName name="XRefCopy199" hidden="1">#REF!</definedName>
    <definedName name="XRefCopy19Row" hidden="1">#REF!</definedName>
    <definedName name="XRefCopy1Row" hidden="1">#REF!</definedName>
    <definedName name="XRefCopy2" hidden="1">#REF!</definedName>
    <definedName name="XRefCopy20" hidden="1">#REF!</definedName>
    <definedName name="XRefCopy208" hidden="1">#REF!</definedName>
    <definedName name="XRefCopy209" hidden="1">#REF!</definedName>
    <definedName name="XRefCopy20Row" hidden="1">#REF!</definedName>
    <definedName name="XRefCopy21" hidden="1">#REF!</definedName>
    <definedName name="XRefCopy210" hidden="1">[80]Detalle!#REF!</definedName>
    <definedName name="XRefCopy210Row" hidden="1">[81]XREF!#REF!</definedName>
    <definedName name="XRefCopy211" hidden="1">#REF!</definedName>
    <definedName name="XRefCopy211Row" hidden="1">[81]XREF!#REF!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[82]Detalle!#REF!</definedName>
    <definedName name="XRefCopy28Row" hidden="1">#REF!</definedName>
    <definedName name="XRefCopy29" hidden="1">#REF!</definedName>
    <definedName name="XRefCopy29Row" hidden="1">[83]XREF!#REF!</definedName>
    <definedName name="XRefCopy2Row" hidden="1">#REF!</definedName>
    <definedName name="XRefCopy3" hidden="1">#REF!</definedName>
    <definedName name="XRefCopy30" hidden="1">[30]Detalle!#REF!</definedName>
    <definedName name="XRefCopy30Row" hidden="1">#REF!</definedName>
    <definedName name="XRefCopy31" hidden="1">[30]Detalle!#REF!</definedName>
    <definedName name="XRefCopy31Row" hidden="1">#REF!</definedName>
    <definedName name="XRefCopy32" hidden="1">[30]Detalle!#REF!</definedName>
    <definedName name="XRefCopy32Row" hidden="1">#REF!</definedName>
    <definedName name="XRefCopy33" hidden="1">[30]Detalle!#REF!</definedName>
    <definedName name="XRefCopy33Row" hidden="1">#REF!</definedName>
    <definedName name="XRefCopy34" hidden="1">#REF!</definedName>
    <definedName name="XRefCopy34Row" hidden="1">#REF!</definedName>
    <definedName name="XRefCopy35" hidden="1">[67]Detalle!#REF!</definedName>
    <definedName name="XRefCopy35Row" hidden="1">[60]XREF!#REF!</definedName>
    <definedName name="XRefCopy36" hidden="1">[30]Detalle!#REF!</definedName>
    <definedName name="XRefCopy36Row" hidden="1">#REF!</definedName>
    <definedName name="XRefCopy37" hidden="1">[30]Detalle!#REF!</definedName>
    <definedName name="XRefCopy37Row" hidden="1">#REF!</definedName>
    <definedName name="XRefCopy38" hidden="1">[30]Detalle!#REF!</definedName>
    <definedName name="XRefCopy38Row" hidden="1">#REF!</definedName>
    <definedName name="XRefCopy39" hidden="1">#REF!</definedName>
    <definedName name="XRefCopy39Row" hidden="1">#REF!</definedName>
    <definedName name="XRefCopy3Row" hidden="1">#REF!</definedName>
    <definedName name="XRefCopy4" hidden="1">'[84]2130-1 Conciliación Bancaria'!#REF!</definedName>
    <definedName name="XRefCopy4_8">#REF!</definedName>
    <definedName name="XRefCopy40" hidden="1">[30]Detalle!#REF!</definedName>
    <definedName name="XRefCopy40Row" hidden="1">#REF!</definedName>
    <definedName name="XRefCopy41" hidden="1">[30]Detalle!#REF!</definedName>
    <definedName name="XRefCopy41Row" hidden="1">#REF!</definedName>
    <definedName name="XRefCopy42" hidden="1">#REF!</definedName>
    <definedName name="XRefCopy42Row" hidden="1">[85]XREF!#REF!</definedName>
    <definedName name="XRefCopy43" hidden="1">#REF!</definedName>
    <definedName name="XRefCopy43Row" hidden="1">#REF!</definedName>
    <definedName name="XRefCopy44" hidden="1">[67]Detalle!#REF!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[60]XREF!#REF!</definedName>
    <definedName name="XRefCopy51" hidden="1">#REF!</definedName>
    <definedName name="XRefCopy51Row" hidden="1">#REF!</definedName>
    <definedName name="XRefCopy52" hidden="1">[67]Detalle!#REF!</definedName>
    <definedName name="XRefCopy52Row" hidden="1">#REF!</definedName>
    <definedName name="XRefCopy53" hidden="1">[30]Detalle!#REF!</definedName>
    <definedName name="XRefCopy53Row" hidden="1">#REF!</definedName>
    <definedName name="XRefCopy54" hidden="1">[30]Detalle!#REF!</definedName>
    <definedName name="XRefCopy54Row" hidden="1">#REF!</definedName>
    <definedName name="XRefCopy55" hidden="1">[30]Detalle!#REF!</definedName>
    <definedName name="XRefCopy55Row" hidden="1">#REF!</definedName>
    <definedName name="XRefCopy56" hidden="1">[30]Detalle!#REF!</definedName>
    <definedName name="XRefCopy56Row" hidden="1">#REF!</definedName>
    <definedName name="XRefCopy57" hidden="1">[30]Detalle!#REF!</definedName>
    <definedName name="XRefCopy57Row" hidden="1">#REF!</definedName>
    <definedName name="XRefCopy58" hidden="1">[30]Detalle!#REF!</definedName>
    <definedName name="XRefCopy58Row" hidden="1">#REF!</definedName>
    <definedName name="XRefCopy59" hidden="1">[30]Detalle!#REF!</definedName>
    <definedName name="XRefCopy59Row" hidden="1">#REF!</definedName>
    <definedName name="XRefCopy5Row" hidden="1">#REF!</definedName>
    <definedName name="XRefCopy6" hidden="1">#REF!</definedName>
    <definedName name="XRefCopy60" hidden="1">[30]Detalle!#REF!</definedName>
    <definedName name="XRefCopy60Row" hidden="1">#REF!</definedName>
    <definedName name="XRefCopy61" hidden="1">[30]Detalle!#REF!</definedName>
    <definedName name="XRefCopy61Row" hidden="1">#REF!</definedName>
    <definedName name="XRefCopy62" hidden="1">[30]Detalle!#REF!</definedName>
    <definedName name="XRefCopy62Row" hidden="1">#REF!</definedName>
    <definedName name="XRefCopy63" hidden="1">[86]Detalle!#REF!</definedName>
    <definedName name="XRefCopy63Row" hidden="1">#REF!</definedName>
    <definedName name="XRefCopy64" hidden="1">[67]Detalle!#REF!</definedName>
    <definedName name="XRefCopy64Row" hidden="1">#REF!</definedName>
    <definedName name="XRefCopy65" hidden="1">[30]Detalle!#REF!</definedName>
    <definedName name="XRefCopy65Row" hidden="1">#REF!</definedName>
    <definedName name="XRefCopy66" hidden="1">[30]Detalle!#REF!</definedName>
    <definedName name="XRefCopy66Row" hidden="1">#REF!</definedName>
    <definedName name="XRefCopy67" hidden="1">[87]Movdep!#REF!</definedName>
    <definedName name="XRefCopy67Row" hidden="1">[87]XREF!#REF!</definedName>
    <definedName name="XRefCopy68" hidden="1">[30]Detalle!#REF!</definedName>
    <definedName name="XRefCopy68Row" hidden="1">#REF!</definedName>
    <definedName name="XRefCopy69" hidden="1">[30]Detalle!#REF!</definedName>
    <definedName name="XRefCopy69Row" hidden="1">#REF!</definedName>
    <definedName name="XRefCopy6Row" hidden="1">#REF!</definedName>
    <definedName name="XRefCopy7" hidden="1">#REF!</definedName>
    <definedName name="XRefCopy70" hidden="1">[30]Detalle!#REF!</definedName>
    <definedName name="XRefCopy70Row" hidden="1">#REF!</definedName>
    <definedName name="XRefCopy71" hidden="1">#REF!</definedName>
    <definedName name="XRefCopy71Row" hidden="1">[88]XREF!#REF!</definedName>
    <definedName name="XRefCopy72" hidden="1">#REF!</definedName>
    <definedName name="XRefCopy72Row" hidden="1">[66]XREF!#REF!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[89]XREF!#REF!</definedName>
    <definedName name="XRefCopy76" hidden="1">'[67]Cálculo Interes Sponsors'!#REF!</definedName>
    <definedName name="XRefCopy76Row" hidden="1">#REF!</definedName>
    <definedName name="XRefCopy77" hidden="1">'[67]Cálculo Interes Sponsors'!#REF!</definedName>
    <definedName name="XRefCopy77Row" hidden="1">#REF!</definedName>
    <definedName name="XRefCopy78" hidden="1">#REF!</definedName>
    <definedName name="XRefCopy78Row" hidden="1">#REF!</definedName>
    <definedName name="XRefCopy79" hidden="1">[67]Detalle!#REF!</definedName>
    <definedName name="XRefCopy79Row" hidden="1">#REF!</definedName>
    <definedName name="XRefCopy7Row" hidden="1">#REF!</definedName>
    <definedName name="XRefCopy8" hidden="1">#REF!</definedName>
    <definedName name="XRefCopy80" hidden="1">[67]Detalle!#REF!</definedName>
    <definedName name="XRefCopy80Row" hidden="1">#REF!</definedName>
    <definedName name="XRefCopy81" hidden="1">#REF!</definedName>
    <definedName name="XRefCopy82" hidden="1">#REF!</definedName>
    <definedName name="XRefCopy82Row" hidden="1">[90]XREF!#REF!</definedName>
    <definedName name="XRefCopy83" hidden="1">#REF!</definedName>
    <definedName name="XRefCopy85" hidden="1">'[32]Balance Gral.'!#REF!</definedName>
    <definedName name="XRefCopy86" hidden="1">'[32]Balance Gral.'!#REF!</definedName>
    <definedName name="XRefCopy87" hidden="1">'[32]Balance Gral.'!#REF!</definedName>
    <definedName name="XRefCopy88" hidden="1">'[91]Saldos iniciales'!#REF!</definedName>
    <definedName name="XRefCopy89" hidden="1">'[32]Balance Gral.'!#REF!</definedName>
    <definedName name="XRefCopy8Row" hidden="1">#REF!</definedName>
    <definedName name="XRefCopy9" hidden="1">[30]Detalle!#REF!</definedName>
    <definedName name="XRefCopy90" hidden="1">#REF!</definedName>
    <definedName name="XRefCopy91" hidden="1">'[92]Est. Result.'!#REF!</definedName>
    <definedName name="XRefCopy92" hidden="1">[93]Detalle!#REF!</definedName>
    <definedName name="XRefCopy94" hidden="1">[93]Detalle!#REF!</definedName>
    <definedName name="XRefCopy98" hidden="1">#REF!</definedName>
    <definedName name="XRefCopy99" hidden="1">#REF!</definedName>
    <definedName name="XRefCopy9Row" hidden="1">#REF!</definedName>
    <definedName name="XRefCopy9Row_8">#REF!</definedName>
    <definedName name="XRefCopyRangeCount" hidden="1">8</definedName>
    <definedName name="XRefPaste1" hidden="1">#REF!</definedName>
    <definedName name="XRefPaste10" hidden="1">#REF!</definedName>
    <definedName name="XRefPaste100" hidden="1">'[32]Balance Gral.'!#REF!</definedName>
    <definedName name="XRefPaste101" hidden="1">'[32]Balance Gral.'!#REF!</definedName>
    <definedName name="XRefPaste102" hidden="1">'[32]Balance Gral.'!#REF!</definedName>
    <definedName name="XRefPaste104" hidden="1">'[32]Balance Gral.'!#REF!</definedName>
    <definedName name="XRefPaste108" hidden="1">'[32]Balance Gral.'!#REF!</definedName>
    <definedName name="XRefPaste109" hidden="1">'[32]Balance Gral.'!#REF!</definedName>
    <definedName name="XRefPaste10Row" hidden="1">#REF!</definedName>
    <definedName name="XRefPaste11" hidden="1">[30]Detalle!#REF!</definedName>
    <definedName name="XRefPaste110" hidden="1">'[32]Balance Gral.'!#REF!</definedName>
    <definedName name="XRefPaste111" hidden="1">'[32]Balance Gral.'!#REF!</definedName>
    <definedName name="XRefPaste113" hidden="1">'[32]Balance Gral.'!#REF!</definedName>
    <definedName name="XRefPaste114" hidden="1">'[32]Balance Gral.'!#REF!</definedName>
    <definedName name="XRefPaste115" hidden="1">'[32]Balance Gral.'!#REF!</definedName>
    <definedName name="XRefPaste116" hidden="1">'[32]Balance Gral.'!#REF!</definedName>
    <definedName name="XRefPaste117" hidden="1">'[92]Est. Result.'!#REF!</definedName>
    <definedName name="XRefPaste118" hidden="1">[78]Resultados!#REF!</definedName>
    <definedName name="XRefPaste118Row" hidden="1">#REF!</definedName>
    <definedName name="XRefPaste119" hidden="1">[78]Resultados!#REF!</definedName>
    <definedName name="XRefPaste119Row" hidden="1">#REF!</definedName>
    <definedName name="XRefPaste11Row" hidden="1">#REF!</definedName>
    <definedName name="XRefPaste12" hidden="1">[30]Detalle!#REF!</definedName>
    <definedName name="XRefPaste12Row" hidden="1">#REF!</definedName>
    <definedName name="XRefPaste13" hidden="1">[30]Detalle!#REF!</definedName>
    <definedName name="XRefPaste13Row" hidden="1">#REF!</definedName>
    <definedName name="XRefPaste14" hidden="1">[30]Detalle!#REF!</definedName>
    <definedName name="XRefPaste14Row" hidden="1">#REF!</definedName>
    <definedName name="XRefPaste15" hidden="1">[30]Detalle!#REF!</definedName>
    <definedName name="XRefPaste15Row" hidden="1">#REF!</definedName>
    <definedName name="XRefPaste16" hidden="1">[30]Detalle!#REF!</definedName>
    <definedName name="XRefPaste16Row" hidden="1">#REF!</definedName>
    <definedName name="XRefPaste17" hidden="1">[30]Detalle!#REF!</definedName>
    <definedName name="XRefPaste17Row" hidden="1">#REF!</definedName>
    <definedName name="XRefPaste18" hidden="1">[30]Detalle!#REF!</definedName>
    <definedName name="XRefPaste18Row" hidden="1">#REF!</definedName>
    <definedName name="XRefPaste19" hidden="1">[30]Detalle!#REF!</definedName>
    <definedName name="XRefPaste19Row" hidden="1">#REF!</definedName>
    <definedName name="XRefPaste1Row" hidden="1">#REF!</definedName>
    <definedName name="XRefPaste2" hidden="1">#REF!</definedName>
    <definedName name="XRefPaste20" hidden="1">[30]Detalle!#REF!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 hidden="1">#REF!</definedName>
    <definedName name="XRefPaste245Row" hidden="1">#REF!</definedName>
    <definedName name="XRefPaste246" hidden="1">#REF!</definedName>
    <definedName name="XRefPaste246Row" hidden="1">#REF!</definedName>
    <definedName name="XRefPaste247" hidden="1">#REF!</definedName>
    <definedName name="XRefPaste247Row" hidden="1">#REF!</definedName>
    <definedName name="XRefPaste248" hidden="1">#REF!</definedName>
    <definedName name="XRefPaste248Row" hidden="1">#REF!</definedName>
    <definedName name="XRefPaste249" hidden="1">#REF!</definedName>
    <definedName name="XRefPaste249Row" hidden="1">#REF!</definedName>
    <definedName name="XRefPaste24Row" hidden="1">#REF!</definedName>
    <definedName name="XRefPaste25" hidden="1">#REF!</definedName>
    <definedName name="XRefPaste250" hidden="1">#REF!</definedName>
    <definedName name="XRefPaste250Row" hidden="1">#REF!</definedName>
    <definedName name="XRefPaste251" hidden="1">#REF!</definedName>
    <definedName name="XRefPaste251Row" hidden="1">#REF!</definedName>
    <definedName name="XRefPaste252" hidden="1">#REF!</definedName>
    <definedName name="XRefPaste252Row" hidden="1">#REF!</definedName>
    <definedName name="XRefPaste253" hidden="1">#REF!</definedName>
    <definedName name="XRefPaste253Row" hidden="1">#REF!</definedName>
    <definedName name="XRefPaste254" hidden="1">#REF!</definedName>
    <definedName name="XRefPaste254Row" hidden="1">#REF!</definedName>
    <definedName name="XRefPaste255" hidden="1">#REF!</definedName>
    <definedName name="XRefPaste255Row" hidden="1">#REF!</definedName>
    <definedName name="XRefPaste256" hidden="1">#REF!</definedName>
    <definedName name="XRefPaste256Row" hidden="1">#REF!</definedName>
    <definedName name="XRefPaste257Row" hidden="1">#REF!</definedName>
    <definedName name="XRefPaste258Row" hidden="1">#REF!</definedName>
    <definedName name="XRefPaste259Row" hidden="1">#REF!</definedName>
    <definedName name="XRefPaste25Row" hidden="1">#REF!</definedName>
    <definedName name="XRefPaste26" hidden="1">[30]Detalle!#REF!</definedName>
    <definedName name="XRefPaste260Row" hidden="1">#REF!</definedName>
    <definedName name="XRefPaste261Row" hidden="1">#REF!</definedName>
    <definedName name="XRefPaste262Row" hidden="1">#REF!</definedName>
    <definedName name="XRefPaste263Row" hidden="1">#REF!</definedName>
    <definedName name="XRefPaste264Row" hidden="1">#REF!</definedName>
    <definedName name="XRefPaste266" hidden="1">#REF!</definedName>
    <definedName name="XRefPaste267" hidden="1">#REF!</definedName>
    <definedName name="XRefPaste268" hidden="1">#REF!</definedName>
    <definedName name="XRefPaste269" hidden="1">#REF!</definedName>
    <definedName name="XRefPaste26Row" hidden="1">#REF!</definedName>
    <definedName name="XRefPaste27" hidden="1">[30]Detalle!#REF!</definedName>
    <definedName name="XRefPaste270" hidden="1">#REF!</definedName>
    <definedName name="XRefPaste271" hidden="1">#REF!</definedName>
    <definedName name="XRefPaste272" hidden="1">#REF!</definedName>
    <definedName name="XRefPaste275" hidden="1">#REF!</definedName>
    <definedName name="XRefPaste276" hidden="1">#REF!</definedName>
    <definedName name="XRefPaste277" hidden="1">#REF!</definedName>
    <definedName name="XRefPaste27Row" hidden="1">#REF!</definedName>
    <definedName name="XRefPaste28" hidden="1">[30]Detalle!#REF!</definedName>
    <definedName name="XRefPaste282" hidden="1">[80]Detalle!#REF!</definedName>
    <definedName name="XRefPaste282Row" hidden="1">[81]XREF!#REF!</definedName>
    <definedName name="XRefPaste283" hidden="1">#REF!</definedName>
    <definedName name="XRefPaste283Row" hidden="1">[81]XREF!#REF!</definedName>
    <definedName name="XRefPaste28Row" hidden="1">#REF!</definedName>
    <definedName name="XRefPaste29" hidden="1">[30]Detalle!#REF!</definedName>
    <definedName name="XRefPaste29Row" hidden="1">#REF!</definedName>
    <definedName name="XRefPaste2Row" hidden="1">#REF!</definedName>
    <definedName name="XRefPaste3" hidden="1">#REF!</definedName>
    <definedName name="XRefPaste30" hidden="1">'[94]Detalle '!#REF!</definedName>
    <definedName name="XRefPaste30Row" hidden="1">#REF!</definedName>
    <definedName name="XRefPaste31" hidden="1">[30]Detalle!#REF!</definedName>
    <definedName name="XRefPaste31Row" hidden="1">#REF!</definedName>
    <definedName name="XRefPaste32" hidden="1">[30]Detalle!#REF!</definedName>
    <definedName name="XRefPaste32Row" hidden="1">#REF!</definedName>
    <definedName name="XRefPaste33" hidden="1">[30]Detalle!#REF!</definedName>
    <definedName name="XRefPaste33Row" hidden="1">#REF!</definedName>
    <definedName name="XRefPaste34" hidden="1">#REF!</definedName>
    <definedName name="XRefPaste34Row" hidden="1">#REF!</definedName>
    <definedName name="XRefPaste35" hidden="1">[30]Detalle!#REF!</definedName>
    <definedName name="XRefPaste35Row" hidden="1">#REF!</definedName>
    <definedName name="XRefPaste36" hidden="1">[30]Detalle!#REF!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[95]Detalle!#REF!</definedName>
    <definedName name="XRefPaste40Row" hidden="1">#REF!</definedName>
    <definedName name="XRefPaste41" hidden="1">#REF!</definedName>
    <definedName name="XRefPaste41_8">#REF!</definedName>
    <definedName name="XRefPaste41Row" hidden="1">#REF!</definedName>
    <definedName name="XRefPaste42" hidden="1">[30]Detalle!#REF!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[30]Detalle!#REF!</definedName>
    <definedName name="XRefPaste45Row" hidden="1">#REF!</definedName>
    <definedName name="XRefPaste46" hidden="1">[30]Detalle!#REF!</definedName>
    <definedName name="XRefPaste46Row" hidden="1">#REF!</definedName>
    <definedName name="XRefPaste47" hidden="1">[30]Detalle!#REF!</definedName>
    <definedName name="XRefPaste47Row" hidden="1">#REF!</definedName>
    <definedName name="XRefPaste48" hidden="1">#REF!</definedName>
    <definedName name="XRefPaste48Row" hidden="1">#REF!</definedName>
    <definedName name="XRefPaste49" hidden="1">[75]Resumen!#REF!</definedName>
    <definedName name="XRefPaste49Row" hidden="1">#REF!</definedName>
    <definedName name="XRefPaste4Row" hidden="1">#REF!</definedName>
    <definedName name="XRefPaste5" hidden="1">#REF!</definedName>
    <definedName name="XRefPaste50" hidden="1">#REF!</definedName>
    <definedName name="XRefPaste50Row" hidden="1">[66]XREF!#REF!</definedName>
    <definedName name="XRefPaste51" hidden="1">#REF!</definedName>
    <definedName name="XRefPaste51Row" hidden="1">[66]XREF!#REF!</definedName>
    <definedName name="XRefPaste52" hidden="1">#REF!</definedName>
    <definedName name="XRefPaste52Row" hidden="1">[66]XREF!#REF!</definedName>
    <definedName name="XRefPaste53" hidden="1">#REF!</definedName>
    <definedName name="XRefPaste53Row" hidden="1">[66]XREF!#REF!</definedName>
    <definedName name="XRefPaste54" hidden="1">#REF!</definedName>
    <definedName name="XRefPaste54Row" hidden="1">[66]XREF!#REF!</definedName>
    <definedName name="XRefPaste55" hidden="1">#REF!</definedName>
    <definedName name="XRefPaste55Row" hidden="1">[66]XREF!#REF!</definedName>
    <definedName name="XRefPaste56" hidden="1">#REF!</definedName>
    <definedName name="XRefPaste56Row" hidden="1">[66]XREF!#REF!</definedName>
    <definedName name="XRefPaste57" hidden="1">#REF!</definedName>
    <definedName name="XRefPaste57Row" hidden="1">[66]XREF!#REF!</definedName>
    <definedName name="XRefPaste58" hidden="1">#REF!</definedName>
    <definedName name="XRefPaste58Row" hidden="1">[66]XREF!#REF!</definedName>
    <definedName name="XRefPaste59" hidden="1">'[94]Detalle '!#REF!</definedName>
    <definedName name="XRefPaste59Row" hidden="1">#REF!</definedName>
    <definedName name="XRefPaste5Row" hidden="1">#REF!</definedName>
    <definedName name="XRefPaste6" hidden="1">#REF!</definedName>
    <definedName name="XRefPaste60" hidden="1">#REF!</definedName>
    <definedName name="XRefPaste60Row" hidden="1">[66]XREF!#REF!</definedName>
    <definedName name="XRefPaste61" hidden="1">'[94]Detalle '!#REF!</definedName>
    <definedName name="XRefPaste61Row" hidden="1">#REF!</definedName>
    <definedName name="XRefPaste62" hidden="1">'[75]1000 '!#REF!</definedName>
    <definedName name="XRefPaste62Row" hidden="1">#REF!</definedName>
    <definedName name="XRefPaste63" hidden="1">'[75]1000 '!#REF!</definedName>
    <definedName name="XRefPaste63Row" hidden="1">#REF!</definedName>
    <definedName name="XRefPaste64" hidden="1">'[75]1000 '!#REF!</definedName>
    <definedName name="XRefPaste64Row" hidden="1">#REF!</definedName>
    <definedName name="XRefPaste65" hidden="1">[96]Detalle!#REF!</definedName>
    <definedName name="XRefPaste65Row" hidden="1">#REF!</definedName>
    <definedName name="XRefPaste66" hidden="1">[96]Detalle!#REF!</definedName>
    <definedName name="XRefPaste66Row" hidden="1">#REF!</definedName>
    <definedName name="XRefPaste67" hidden="1">[97]Detalle!$E$144</definedName>
    <definedName name="XRefPaste67Row" hidden="1">#REF!</definedName>
    <definedName name="XRefPaste68" hidden="1">[97]Detalle!$E$136</definedName>
    <definedName name="XRefPaste68Row" hidden="1">#REF!</definedName>
    <definedName name="XRefPaste69Row" hidden="1">[89]XREF!#REF!</definedName>
    <definedName name="XRefPaste6Row" hidden="1">#REF!</definedName>
    <definedName name="XRefPaste7" hidden="1">#REF!</definedName>
    <definedName name="XRefPaste70" hidden="1">[65]Detalle!#REF!</definedName>
    <definedName name="XRefPaste70Row" hidden="1">[89]XREF!#REF!</definedName>
    <definedName name="XRefPaste71" hidden="1">[65]Detalle!#REF!</definedName>
    <definedName name="XRefPaste71Row" hidden="1">[75]XREF!#REF!</definedName>
    <definedName name="XRefPaste72Row" hidden="1">#REF!</definedName>
    <definedName name="XRefPaste73" hidden="1">#REF!</definedName>
    <definedName name="XRefPaste73Row" hidden="1">#REF!</definedName>
    <definedName name="XRefPaste75" hidden="1">[65]Detalle!#REF!</definedName>
    <definedName name="XRefPaste75Row" hidden="1">[75]XREF!#REF!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[96]Detalle!#REF!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'[32]Balance Gral.'!#REF!</definedName>
    <definedName name="XRefPaste88" hidden="1">[65]Detalle!#REF!</definedName>
    <definedName name="XRefPaste89" hidden="1">#REF!</definedName>
    <definedName name="XRefPaste8Row" hidden="1">#REF!</definedName>
    <definedName name="XRefPaste9" hidden="1">#REF!</definedName>
    <definedName name="XRefPaste90" hidden="1">#REF!</definedName>
    <definedName name="XRefPaste91" hidden="1">#REF!</definedName>
    <definedName name="XRefPaste92" hidden="1">'[92]Est. Result.'!#REF!</definedName>
    <definedName name="XRefPaste93" hidden="1">'[92]Est. Result.'!#REF!</definedName>
    <definedName name="XRefPaste93Row" hidden="1">#REF!</definedName>
    <definedName name="XRefPaste94" hidden="1">'[92]Est. Result.'!#REF!</definedName>
    <definedName name="XRefPaste95" hidden="1">'[92]Est. Result.'!#REF!</definedName>
    <definedName name="XRefPaste95Row" hidden="1">#REF!</definedName>
    <definedName name="XRefPaste96" hidden="1">#REF!</definedName>
    <definedName name="XRefPaste97" hidden="1">'[32]Balance Gral.'!#REF!</definedName>
    <definedName name="XRefPaste99" hidden="1">'[32]Balance Gral.'!#REF!</definedName>
    <definedName name="XRefPaste9Row" hidden="1">#REF!</definedName>
    <definedName name="XRefPasteRangeCount" hidden="1">8</definedName>
    <definedName name="xrevcopy19" hidden="1">#REF!</definedName>
    <definedName name="xs">#REF!</definedName>
    <definedName name="xx" hidden="1">[10]XREF!$7:$7</definedName>
    <definedName name="y" hidden="1">[53]Costo!#REF!</definedName>
    <definedName name="yy">#REF!</definedName>
    <definedName name="z">#REF!</definedName>
    <definedName name="zz"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61" i="1" l="1"/>
  <c r="AC61" i="1" s="1"/>
  <c r="AB60" i="1"/>
  <c r="AB59" i="1"/>
  <c r="AB58" i="1"/>
  <c r="AB57" i="1"/>
  <c r="AC57" i="1" s="1"/>
  <c r="AB56" i="1"/>
  <c r="AC56" i="1" s="1"/>
  <c r="Y56" i="1"/>
  <c r="AC60" i="1"/>
  <c r="AC59" i="1"/>
  <c r="AC58" i="1"/>
  <c r="Z61" i="1"/>
  <c r="AA61" i="1" s="1"/>
  <c r="Z60" i="1"/>
  <c r="AA60" i="1" s="1"/>
  <c r="Z59" i="1"/>
  <c r="AA59" i="1" s="1"/>
  <c r="Z58" i="1"/>
  <c r="AA58" i="1" s="1"/>
  <c r="Z57" i="1"/>
  <c r="AA57" i="1" s="1"/>
  <c r="Z56" i="1"/>
  <c r="AA56" i="1" s="1"/>
  <c r="AH56" i="1"/>
  <c r="D77" i="1"/>
  <c r="Y61" i="1"/>
  <c r="AH61" i="1" s="1"/>
  <c r="X63" i="1"/>
  <c r="W63" i="1"/>
  <c r="V63" i="1"/>
  <c r="U63" i="1"/>
  <c r="R63" i="1"/>
  <c r="Q63" i="1"/>
  <c r="P63" i="1"/>
  <c r="O63" i="1"/>
  <c r="N63" i="1"/>
  <c r="T63" i="1"/>
  <c r="M63" i="1"/>
  <c r="Y60" i="1"/>
  <c r="AH60" i="1" s="1"/>
  <c r="Y59" i="1"/>
  <c r="AH59" i="1" s="1"/>
  <c r="Y58" i="1"/>
  <c r="AH58" i="1" s="1"/>
  <c r="Y57" i="1"/>
  <c r="AH57" i="1" s="1"/>
  <c r="Y63" i="1" l="1"/>
  <c r="D79" i="1" s="1"/>
  <c r="D80" i="1" s="1"/>
  <c r="S63" i="1"/>
</calcChain>
</file>

<file path=xl/sharedStrings.xml><?xml version="1.0" encoding="utf-8"?>
<sst xmlns="http://schemas.openxmlformats.org/spreadsheetml/2006/main" count="119" uniqueCount="110">
  <si>
    <t>Preparado por:</t>
  </si>
  <si>
    <t>Revisado por:</t>
  </si>
  <si>
    <t>1.-</t>
  </si>
  <si>
    <t>A</t>
  </si>
  <si>
    <t>2.-</t>
  </si>
  <si>
    <t>B</t>
  </si>
  <si>
    <t>3.-</t>
  </si>
  <si>
    <t>C</t>
  </si>
  <si>
    <t>Ingresos</t>
  </si>
  <si>
    <t>Otros Ingresos</t>
  </si>
  <si>
    <t>Descuentos</t>
  </si>
  <si>
    <t>Verificaciones</t>
  </si>
  <si>
    <t>No.</t>
  </si>
  <si>
    <t>Salario</t>
  </si>
  <si>
    <t>Desahucio</t>
  </si>
  <si>
    <t>Indemnización</t>
  </si>
  <si>
    <t>Sueldo</t>
  </si>
  <si>
    <t>Vacaciones</t>
  </si>
  <si>
    <t>Otros descuentos</t>
  </si>
  <si>
    <t>Neto a recibir</t>
  </si>
  <si>
    <t>Diferencia</t>
  </si>
  <si>
    <t xml:space="preserve">COMPAÑÍA MODELO S.A. </t>
  </si>
  <si>
    <t>AL 31 DE DICIEMBRE DE 20XX</t>
  </si>
  <si>
    <t xml:space="preserve">REVISIÓN ACTAS DE FINIQUITO </t>
  </si>
  <si>
    <t>Ref.</t>
  </si>
  <si>
    <t>XX</t>
  </si>
  <si>
    <t>Objetivo:</t>
  </si>
  <si>
    <t>4.-</t>
  </si>
  <si>
    <t>5.-</t>
  </si>
  <si>
    <t xml:space="preserve">Desarrollo: </t>
  </si>
  <si>
    <t>General</t>
  </si>
  <si>
    <t>XXX.XXX</t>
  </si>
  <si>
    <t>Desempeño</t>
  </si>
  <si>
    <t>Errores Triviales</t>
  </si>
  <si>
    <t>Base de decisión: Materialidad</t>
  </si>
  <si>
    <t>*** El número de filas depende del personal que se ha desvinculado la Compañía Modelo S.A.</t>
  </si>
  <si>
    <t>*** El formato depende del anexo entregado por la Compañía Modelo S.A.</t>
  </si>
  <si>
    <t>Marcas de auditoría:</t>
  </si>
  <si>
    <t>Monto pagado</t>
  </si>
  <si>
    <t xml:space="preserve">Sumatoria </t>
  </si>
  <si>
    <t>FECHA DE CORTE: _/_/20XX</t>
  </si>
  <si>
    <t>Preliminar</t>
  </si>
  <si>
    <t xml:space="preserve">Final </t>
  </si>
  <si>
    <t>Procedimientos:</t>
  </si>
  <si>
    <t xml:space="preserve">Verificar que las actas de finiquito se hayan generado y pagado de acuerdo a lo establecido por la ley vigente. </t>
  </si>
  <si>
    <t>Documentar el papel de trabajo y concluir en base al objetivo.</t>
  </si>
  <si>
    <t>Detalle del personal que ha salido de la Compañía</t>
  </si>
  <si>
    <t>Apellido y nombres</t>
  </si>
  <si>
    <t>Fecha de entrada</t>
  </si>
  <si>
    <t>Fecha de salida</t>
  </si>
  <si>
    <t>Fecha emisión cheque / transferencia</t>
  </si>
  <si>
    <t>No. cheque / transferencia</t>
  </si>
  <si>
    <t>Comprobante de egreso</t>
  </si>
  <si>
    <t>Causa salida</t>
  </si>
  <si>
    <t>Fecha acta finiquito</t>
  </si>
  <si>
    <t>Fondo de reserva</t>
  </si>
  <si>
    <t>Decimo tercer sueldo</t>
  </si>
  <si>
    <t>Decimo cuarto sueldo</t>
  </si>
  <si>
    <t>Otros ingresos</t>
  </si>
  <si>
    <t>Bono voluntario</t>
  </si>
  <si>
    <t>Aporte personal</t>
  </si>
  <si>
    <t>Préstamo quirografario</t>
  </si>
  <si>
    <t>Cruce con movimiento</t>
  </si>
  <si>
    <t xml:space="preserve">Código cuenta contable </t>
  </si>
  <si>
    <t xml:space="preserve">Nombre cuenta contable </t>
  </si>
  <si>
    <t>Saldo según movimiento al _/_/20XX</t>
  </si>
  <si>
    <t>[1]</t>
  </si>
  <si>
    <t xml:space="preserve">Diferencia </t>
  </si>
  <si>
    <t xml:space="preserve">1) Cruce saldos actas de finiquito vs movimiento de beneficios sociales por pagar </t>
  </si>
  <si>
    <t xml:space="preserve">Saldo según acta de finiquito </t>
  </si>
  <si>
    <t>Información proporcionada por el cliente</t>
  </si>
  <si>
    <t xml:space="preserve">Documentación de sustento </t>
  </si>
  <si>
    <t>Cálculos de Auditoría</t>
  </si>
  <si>
    <t>Notas aclaratorias:</t>
  </si>
  <si>
    <t>a)</t>
  </si>
  <si>
    <t>b)</t>
  </si>
  <si>
    <t>c)</t>
  </si>
  <si>
    <t>Observaciones:</t>
  </si>
  <si>
    <t>Obs.1</t>
  </si>
  <si>
    <t>Obs.2</t>
  </si>
  <si>
    <t>Obs.3</t>
  </si>
  <si>
    <t>Conclusión:</t>
  </si>
  <si>
    <t>***Concluir en función al objetivo</t>
  </si>
  <si>
    <t>Verificar la generación y pago de las actas de finiquito del personal que se ha desvinculado de la Compañía al _/_/20XX.</t>
  </si>
  <si>
    <t>Solicitar a la Compañía el listado del personal devinculado del año 20XX.</t>
  </si>
  <si>
    <t>Solicitar las actas finiquitos del personal desvinculado.</t>
  </si>
  <si>
    <t>Verificaciones:</t>
  </si>
  <si>
    <t>Dias transcuridos para el registro de aviso de salida</t>
  </si>
  <si>
    <r>
      <t xml:space="preserve">Conciliar los saldos que se presentan en el acta de finiquito con el movimiento de los beneficios sociales por pagar en </t>
    </r>
    <r>
      <rPr>
        <sz val="10"/>
        <color rgb="FFFF0000"/>
        <rFont val="Tahoma"/>
        <family val="2"/>
      </rPr>
      <t>p/t 1600.07</t>
    </r>
  </si>
  <si>
    <t>p/t 1600.07</t>
  </si>
  <si>
    <t>Nro. acta</t>
  </si>
  <si>
    <t>Que salga correcto o incorrecto</t>
  </si>
  <si>
    <t>1600.10</t>
  </si>
  <si>
    <t>Cédula</t>
  </si>
  <si>
    <t>Base Legal:</t>
  </si>
  <si>
    <t>Ley de Seguridad Social</t>
  </si>
  <si>
    <t xml:space="preserve">El empleador está obligado, bajo su responsabilidad y sin necesidad de reconvención, a inscribir al trabajador o servidor como afiliado del Seguro General Obligatorio desde el primer día de labor, y a remitir al IESS el aviso de entrada dentro de los primeros quince (15) días, con excepción de los empleadores del sector agrícola que están exentos de remitir los avisos de entrada y de salida, acreditándose el tiempo de servicio de los trabajadores. El incumplimiento de esta obligación será sancionado de conformidad con el Reglamento General de Responsabilidad Patronal. El empleador dará aviso al IESS de la modificación del sueldo o salario, la enfermedad, la separación del trabajador, u otra novedad relevante para la historia laboral del asegurado, dentro del término de tres (3) días posteriores a la ocurrencia del hecho. </t>
  </si>
  <si>
    <t>Artículo 73.- Inscripción del afiliado y pago de aportes</t>
  </si>
  <si>
    <t>Código de Trabajo</t>
  </si>
  <si>
    <t>Art. 185.- Bonificaciones por desahucio</t>
  </si>
  <si>
    <t>Indemnización despido intempestivo</t>
  </si>
  <si>
    <t>Elaborar acta de finiquito y realizar el pago dentro de 30 días de terminada la relación laboral.</t>
  </si>
  <si>
    <t>Elaborar acta de finiquito y realizar el pago dentro de 15 días de terminada la relación laboral.</t>
  </si>
  <si>
    <r>
      <t xml:space="preserve">En los casos de terminación de la relación laboral por desahucio solicitado por el empleador o por el trabajador, el empleador bonificará al trabajador con el veinticinco por ciento del equivalente a la última remuneración mensual por cada uno de los años de servicio prestados a la misma empresa o empleador. Mientras transcurra el </t>
    </r>
    <r>
      <rPr>
        <u/>
        <sz val="10"/>
        <color theme="1"/>
        <rFont val="Tahoma"/>
        <family val="2"/>
      </rPr>
      <t>plazo de treinta días</t>
    </r>
    <r>
      <rPr>
        <sz val="10"/>
        <color theme="1"/>
        <rFont val="Tahoma"/>
        <family val="2"/>
      </rPr>
      <t xml:space="preserve"> en el caso de la notificación de terminación del contrato de que se habla en el artículo anterior pedido por el empleador, y de </t>
    </r>
    <r>
      <rPr>
        <u/>
        <sz val="10"/>
        <color theme="1"/>
        <rFont val="Tahoma"/>
        <family val="2"/>
      </rPr>
      <t>quince días en el caso del desahucio solicitado por el trabajador</t>
    </r>
    <r>
      <rPr>
        <sz val="10"/>
        <color theme="1"/>
        <rFont val="Tahoma"/>
        <family val="2"/>
      </rPr>
      <t>, el inspector de trabajo procederá a liquidar el valor que representan las bonificaciones y la notificación del empleador no tendrá efecto alguno si al término del plazo no consignare el valor de la liquidación que se hubiere realizado.</t>
    </r>
  </si>
  <si>
    <t>Fecha de aviso salida</t>
  </si>
  <si>
    <t>Días transcurridos actas de finiquito y pago</t>
  </si>
  <si>
    <t>*** El cálculo varía de acuerdo a la terminación laboral</t>
  </si>
  <si>
    <t>Cumple con el art. 73 Ley de Seguridad Social</t>
  </si>
  <si>
    <t>Cumple con el art. 185 Código de Trabajo</t>
  </si>
  <si>
    <t>El acta de finiquito se encuentra con las firmas del Representante legal y el extrabajador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</si>
</sst>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dd/mm/yyyy;@"/>
    <numFmt numFmtId="165" formatCode="_(* #,##0.00_);_(* \(#,##0.00\);_(* &quot;-&quot;??_);_(@_)"/>
    <numFmt numFmtId="166" formatCode="?,??0.00"/>
    <numFmt numFmtId="167" formatCode="_(* #,##0_);_(* \(#,##0\);_(* &quot;-&quot;??_);_(@_)"/>
    <numFmt numFmtId="168" formatCode="_(* #,##0_);_(* \(#,##0\);_(* &quot;-&quot;_);_(@_)"/>
  </numFmts>
  <fonts count="25">
    <font>
      <sz val="11"/>
      <color theme="1"/>
      <name val="Calibri"/>
      <family val="2"/>
      <scheme val="minor"/>
    </font>
    <font>
      <sz val="10"/>
      <color theme="1"/>
      <name val="Tahoma"/>
      <family val="2"/>
    </font>
    <font>
      <sz val="11"/>
      <color theme="1"/>
      <name val="Calibri"/>
      <family val="2"/>
      <scheme val="minor"/>
    </font>
    <font>
      <sz val="10"/>
      <color theme="1"/>
      <name val="Tahoma"/>
      <family val="2"/>
    </font>
    <font>
      <sz val="10"/>
      <name val="Arial"/>
      <family val="2"/>
    </font>
    <font>
      <sz val="10"/>
      <name val="Tahoma"/>
      <family val="2"/>
    </font>
    <font>
      <b/>
      <sz val="10"/>
      <name val="Tahoma"/>
      <family val="2"/>
    </font>
    <font>
      <b/>
      <sz val="10"/>
      <color rgb="FFFF0000"/>
      <name val="Tahoma"/>
      <family val="2"/>
    </font>
    <font>
      <sz val="8"/>
      <color theme="1"/>
      <name val="Futura-Book"/>
      <family val="2"/>
    </font>
    <font>
      <b/>
      <sz val="10"/>
      <color theme="1"/>
      <name val="Tahoma"/>
      <family val="2"/>
    </font>
    <font>
      <sz val="8"/>
      <color theme="1"/>
      <name val="Arial"/>
      <family val="2"/>
    </font>
    <font>
      <b/>
      <u/>
      <sz val="10"/>
      <color rgb="FF0000CC"/>
      <name val="Tahoma"/>
      <family val="2"/>
    </font>
    <font>
      <b/>
      <sz val="10"/>
      <color theme="8" tint="-0.499984740745262"/>
      <name val="Tahoma"/>
      <family val="2"/>
    </font>
    <font>
      <b/>
      <sz val="10"/>
      <color rgb="FF002060"/>
      <name val="Tahoma"/>
      <family val="2"/>
    </font>
    <font>
      <sz val="11"/>
      <color theme="1"/>
      <name val="Calibri"/>
      <family val="2"/>
    </font>
    <font>
      <b/>
      <u/>
      <sz val="10"/>
      <color rgb="FF0000FF"/>
      <name val="Tahoma"/>
      <family val="2"/>
    </font>
    <font>
      <sz val="11"/>
      <color indexed="8"/>
      <name val="Calibri"/>
      <family val="2"/>
    </font>
    <font>
      <sz val="10"/>
      <color rgb="FFFF0000"/>
      <name val="Tahoma"/>
      <family val="2"/>
    </font>
    <font>
      <b/>
      <u/>
      <sz val="10"/>
      <color theme="1"/>
      <name val="Tahoma"/>
      <family val="2"/>
    </font>
    <font>
      <sz val="10"/>
      <color indexed="8"/>
      <name val="Tahoma"/>
      <family val="2"/>
    </font>
    <font>
      <sz val="10"/>
      <color rgb="FF002060"/>
      <name val="Tahoma"/>
      <family val="2"/>
    </font>
    <font>
      <b/>
      <sz val="10"/>
      <color indexed="8"/>
      <name val="Tahoma"/>
      <family val="2"/>
    </font>
    <font>
      <b/>
      <sz val="10"/>
      <color rgb="FF0000FF"/>
      <name val="Tahoma"/>
      <family val="2"/>
    </font>
    <font>
      <sz val="7"/>
      <color rgb="FF797977"/>
      <name val="Arial"/>
      <family val="2"/>
    </font>
    <font>
      <u/>
      <sz val="10"/>
      <color theme="1"/>
      <name val="Tahoma"/>
      <family val="2"/>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indexed="9"/>
        <bgColor indexed="64"/>
      </patternFill>
    </fill>
    <fill>
      <patternFill patternType="solid">
        <fgColor theme="8" tint="0.39997558519241921"/>
        <bgColor indexed="64"/>
      </patternFill>
    </fill>
    <fill>
      <patternFill patternType="solid">
        <fgColor theme="4" tint="0.79998168889431442"/>
        <bgColor theme="4" tint="0.79998168889431442"/>
      </patternFill>
    </fill>
  </fills>
  <borders count="7">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ck">
        <color theme="8" tint="-0.499984740745262"/>
      </bottom>
      <diagonal/>
    </border>
    <border>
      <left/>
      <right/>
      <top style="thin">
        <color indexed="64"/>
      </top>
      <bottom style="double">
        <color indexed="64"/>
      </bottom>
      <diagonal/>
    </border>
  </borders>
  <cellStyleXfs count="13">
    <xf numFmtId="0" fontId="0" fillId="0" borderId="0"/>
    <xf numFmtId="165" fontId="2" fillId="0" borderId="0" applyFont="0" applyFill="0" applyBorder="0" applyAlignment="0" applyProtection="0"/>
    <xf numFmtId="0" fontId="4" fillId="0" borderId="0"/>
    <xf numFmtId="0" fontId="4" fillId="0" borderId="0"/>
    <xf numFmtId="0" fontId="4" fillId="0" borderId="0"/>
    <xf numFmtId="0" fontId="8" fillId="0" borderId="0"/>
    <xf numFmtId="0" fontId="10" fillId="0" borderId="0"/>
    <xf numFmtId="43" fontId="2" fillId="0" borderId="0" applyFont="0" applyFill="0" applyBorder="0" applyAlignment="0" applyProtection="0"/>
    <xf numFmtId="0" fontId="14" fillId="0" borderId="0"/>
    <xf numFmtId="0" fontId="4" fillId="0" borderId="0"/>
    <xf numFmtId="0" fontId="16" fillId="0" borderId="0"/>
    <xf numFmtId="0" fontId="4" fillId="0" borderId="0"/>
    <xf numFmtId="0" fontId="4" fillId="0" borderId="0"/>
  </cellStyleXfs>
  <cellXfs count="134">
    <xf numFmtId="0" fontId="0" fillId="0" borderId="0" xfId="0"/>
    <xf numFmtId="0" fontId="3" fillId="0" borderId="0" xfId="0" applyFont="1"/>
    <xf numFmtId="0" fontId="5" fillId="0" borderId="0" xfId="2" applyFont="1"/>
    <xf numFmtId="0" fontId="3" fillId="2" borderId="0" xfId="0" applyFont="1" applyFill="1"/>
    <xf numFmtId="0" fontId="6" fillId="2" borderId="0" xfId="3" applyFont="1" applyFill="1" applyAlignment="1">
      <alignment horizontal="left" vertical="center" indent="1"/>
    </xf>
    <xf numFmtId="2" fontId="5" fillId="2" borderId="0" xfId="3" applyNumberFormat="1" applyFont="1" applyFill="1" applyAlignment="1">
      <alignment horizontal="left" vertical="center" indent="1"/>
    </xf>
    <xf numFmtId="2" fontId="5" fillId="2" borderId="0" xfId="3" applyNumberFormat="1" applyFont="1" applyFill="1" applyAlignment="1">
      <alignment horizontal="left" vertical="center"/>
    </xf>
    <xf numFmtId="0" fontId="9" fillId="0" borderId="0" xfId="0" applyFont="1"/>
    <xf numFmtId="14" fontId="5" fillId="2" borderId="0" xfId="4" applyNumberFormat="1" applyFont="1" applyFill="1" applyAlignment="1">
      <alignment horizontal="center" vertical="center"/>
    </xf>
    <xf numFmtId="0" fontId="7" fillId="0" borderId="0" xfId="5" applyFont="1" applyAlignment="1">
      <alignment horizontal="center"/>
    </xf>
    <xf numFmtId="0" fontId="3" fillId="0" borderId="0" xfId="6" applyFont="1"/>
    <xf numFmtId="0" fontId="11" fillId="0" borderId="0" xfId="2" applyFont="1"/>
    <xf numFmtId="0" fontId="3" fillId="0" borderId="0" xfId="2" applyFont="1"/>
    <xf numFmtId="0" fontId="7" fillId="0" borderId="0" xfId="0" applyFont="1" applyAlignment="1">
      <alignment horizontal="right"/>
    </xf>
    <xf numFmtId="0" fontId="3" fillId="0" borderId="0" xfId="0" applyFont="1" applyAlignment="1">
      <alignment wrapText="1"/>
    </xf>
    <xf numFmtId="0" fontId="3" fillId="0" borderId="0" xfId="0" applyFont="1" applyAlignment="1">
      <alignment vertical="center"/>
    </xf>
    <xf numFmtId="165" fontId="3" fillId="0" borderId="0" xfId="1" applyFont="1" applyAlignment="1">
      <alignment horizontal="right" vertical="center"/>
    </xf>
    <xf numFmtId="165" fontId="3" fillId="0" borderId="0" xfId="1" applyFont="1" applyAlignment="1">
      <alignment vertical="center"/>
    </xf>
    <xf numFmtId="165" fontId="3" fillId="0" borderId="0" xfId="1" applyFont="1"/>
    <xf numFmtId="165" fontId="3" fillId="0" borderId="0" xfId="1" applyFont="1" applyFill="1" applyAlignment="1">
      <alignment horizontal="right" vertical="center"/>
    </xf>
    <xf numFmtId="165" fontId="3" fillId="0" borderId="0" xfId="1" applyFont="1" applyFill="1"/>
    <xf numFmtId="0" fontId="7" fillId="0" borderId="0" xfId="0" applyFont="1"/>
    <xf numFmtId="43" fontId="9" fillId="0" borderId="0" xfId="0" applyNumberFormat="1" applyFont="1"/>
    <xf numFmtId="43" fontId="3" fillId="0" borderId="0" xfId="0" applyNumberFormat="1" applyFont="1"/>
    <xf numFmtId="165" fontId="3" fillId="0" borderId="0" xfId="0" applyNumberFormat="1" applyFont="1"/>
    <xf numFmtId="0" fontId="5" fillId="0" borderId="0" xfId="0" applyFont="1"/>
    <xf numFmtId="0" fontId="13" fillId="2" borderId="0" xfId="0" applyFont="1" applyFill="1" applyAlignment="1" applyProtection="1">
      <alignment horizontal="left" vertical="center"/>
      <protection hidden="1"/>
    </xf>
    <xf numFmtId="0" fontId="12" fillId="2" borderId="0" xfId="0" applyFont="1" applyFill="1" applyAlignment="1" applyProtection="1">
      <alignment horizontal="left" vertical="center"/>
      <protection hidden="1"/>
    </xf>
    <xf numFmtId="0" fontId="13" fillId="0" borderId="0" xfId="8" applyFont="1" applyAlignment="1" applyProtection="1">
      <alignment horizontal="left" vertical="center"/>
      <protection hidden="1"/>
    </xf>
    <xf numFmtId="0" fontId="13" fillId="2" borderId="0" xfId="0" applyFont="1" applyFill="1" applyAlignment="1">
      <alignment horizontal="left" vertical="top"/>
    </xf>
    <xf numFmtId="0" fontId="9" fillId="2" borderId="0" xfId="5" applyFont="1" applyFill="1" applyBorder="1" applyAlignment="1">
      <alignment horizontal="left" indent="1"/>
    </xf>
    <xf numFmtId="0" fontId="13" fillId="2" borderId="5" xfId="0" applyFont="1" applyFill="1" applyBorder="1" applyAlignment="1" applyProtection="1">
      <alignment horizontal="left" vertical="center"/>
      <protection hidden="1"/>
    </xf>
    <xf numFmtId="0" fontId="5" fillId="2" borderId="0" xfId="0" applyFont="1" applyFill="1"/>
    <xf numFmtId="0" fontId="13" fillId="3" borderId="2" xfId="0" applyFont="1" applyFill="1" applyBorder="1" applyAlignment="1" applyProtection="1">
      <alignment horizontal="center" vertical="center"/>
      <protection hidden="1"/>
    </xf>
    <xf numFmtId="0" fontId="13" fillId="3" borderId="1" xfId="0" applyFont="1" applyFill="1" applyBorder="1" applyAlignment="1" applyProtection="1">
      <alignment horizontal="center" vertical="center"/>
      <protection hidden="1"/>
    </xf>
    <xf numFmtId="49" fontId="7" fillId="0" borderId="1" xfId="0" applyNumberFormat="1" applyFont="1" applyBorder="1" applyAlignment="1" applyProtection="1">
      <alignment horizontal="center" vertical="center"/>
      <protection hidden="1"/>
    </xf>
    <xf numFmtId="0" fontId="15" fillId="0" borderId="0" xfId="0" applyFont="1"/>
    <xf numFmtId="0" fontId="3" fillId="0" borderId="0" xfId="6" applyFont="1" applyAlignment="1">
      <alignment horizontal="right"/>
    </xf>
    <xf numFmtId="0" fontId="3" fillId="0" borderId="0" xfId="0" applyFont="1" applyAlignment="1">
      <alignment horizontal="right"/>
    </xf>
    <xf numFmtId="0" fontId="3" fillId="0" borderId="0" xfId="0" applyFont="1" applyBorder="1"/>
    <xf numFmtId="14" fontId="3" fillId="0" borderId="0" xfId="0" applyNumberFormat="1" applyFont="1" applyBorder="1"/>
    <xf numFmtId="0" fontId="3" fillId="0" borderId="0" xfId="0" applyFont="1" applyBorder="1" applyAlignment="1">
      <alignment horizontal="left"/>
    </xf>
    <xf numFmtId="165" fontId="3" fillId="0" borderId="0" xfId="1" applyFont="1" applyBorder="1"/>
    <xf numFmtId="0" fontId="9" fillId="0" borderId="0" xfId="0" applyFont="1" applyBorder="1"/>
    <xf numFmtId="0" fontId="17" fillId="0" borderId="0" xfId="0" applyFont="1"/>
    <xf numFmtId="165" fontId="9" fillId="0" borderId="6" xfId="1" applyFont="1" applyBorder="1"/>
    <xf numFmtId="0" fontId="18" fillId="2" borderId="0" xfId="10" applyFont="1" applyFill="1" applyAlignment="1">
      <alignment horizontal="left"/>
    </xf>
    <xf numFmtId="0" fontId="3" fillId="3" borderId="1" xfId="0" applyFont="1" applyFill="1" applyBorder="1" applyAlignment="1">
      <alignment horizontal="center"/>
    </xf>
    <xf numFmtId="0" fontId="3" fillId="3" borderId="1" xfId="0" applyFont="1" applyFill="1" applyBorder="1"/>
    <xf numFmtId="0" fontId="3" fillId="0" borderId="1" xfId="11" applyFont="1" applyBorder="1" applyAlignment="1">
      <alignment horizontal="center"/>
    </xf>
    <xf numFmtId="0" fontId="5" fillId="0" borderId="0" xfId="12" applyFont="1"/>
    <xf numFmtId="166" fontId="19" fillId="0" borderId="0" xfId="1" applyNumberFormat="1" applyFont="1" applyAlignment="1">
      <alignment horizontal="right" vertical="top"/>
    </xf>
    <xf numFmtId="0" fontId="3" fillId="0" borderId="1" xfId="0" applyFont="1" applyBorder="1" applyAlignment="1">
      <alignment vertical="center"/>
    </xf>
    <xf numFmtId="164" fontId="3" fillId="0" borderId="1" xfId="0" applyNumberFormat="1" applyFont="1" applyBorder="1" applyAlignment="1">
      <alignment horizontal="right" vertical="center"/>
    </xf>
    <xf numFmtId="165" fontId="3" fillId="0" borderId="1" xfId="1" applyFont="1" applyBorder="1" applyAlignment="1">
      <alignment horizontal="right" vertical="center"/>
    </xf>
    <xf numFmtId="0" fontId="17" fillId="0" borderId="1" xfId="0" applyFont="1" applyBorder="1"/>
    <xf numFmtId="0" fontId="3" fillId="0" borderId="1" xfId="0" applyFont="1" applyBorder="1"/>
    <xf numFmtId="165" fontId="3" fillId="0" borderId="1" xfId="1" applyFont="1" applyFill="1" applyBorder="1" applyAlignment="1">
      <alignment horizontal="right" vertical="center"/>
    </xf>
    <xf numFmtId="0" fontId="3" fillId="0" borderId="0" xfId="0" applyFont="1" applyAlignment="1">
      <alignment horizontal="center"/>
    </xf>
    <xf numFmtId="164" fontId="5" fillId="0" borderId="1" xfId="1" applyNumberFormat="1" applyFont="1" applyBorder="1" applyAlignment="1">
      <alignment horizontal="center" vertical="center"/>
    </xf>
    <xf numFmtId="164" fontId="5" fillId="0" borderId="1" xfId="1" applyNumberFormat="1" applyFont="1" applyBorder="1" applyAlignment="1">
      <alignment horizontal="left" vertical="center"/>
    </xf>
    <xf numFmtId="164" fontId="3" fillId="0" borderId="1" xfId="0" applyNumberFormat="1" applyFont="1" applyBorder="1" applyAlignment="1">
      <alignment horizontal="center" vertical="center"/>
    </xf>
    <xf numFmtId="14" fontId="3" fillId="0" borderId="1" xfId="0" applyNumberFormat="1" applyFont="1" applyBorder="1" applyAlignment="1">
      <alignment vertical="center"/>
    </xf>
    <xf numFmtId="165" fontId="3" fillId="0" borderId="1" xfId="1" applyFont="1" applyBorder="1" applyAlignment="1">
      <alignment vertical="center"/>
    </xf>
    <xf numFmtId="0" fontId="3" fillId="0" borderId="1" xfId="1" applyNumberFormat="1" applyFont="1" applyBorder="1"/>
    <xf numFmtId="164" fontId="5" fillId="0" borderId="1" xfId="1" applyNumberFormat="1" applyFont="1" applyFill="1" applyBorder="1" applyAlignment="1">
      <alignment horizontal="center" vertical="center"/>
    </xf>
    <xf numFmtId="164" fontId="5" fillId="0" borderId="1" xfId="1" applyNumberFormat="1" applyFont="1" applyFill="1" applyBorder="1" applyAlignment="1">
      <alignment horizontal="left" vertical="center"/>
    </xf>
    <xf numFmtId="165" fontId="3" fillId="0" borderId="1" xfId="1" applyFont="1" applyFill="1" applyBorder="1" applyAlignment="1">
      <alignment vertical="center"/>
    </xf>
    <xf numFmtId="0" fontId="3" fillId="0" borderId="1" xfId="1" applyNumberFormat="1" applyFont="1" applyBorder="1" applyAlignment="1">
      <alignment horizontal="right" vertical="center" wrapText="1"/>
    </xf>
    <xf numFmtId="164" fontId="3" fillId="0" borderId="1" xfId="1" applyNumberFormat="1" applyFont="1" applyBorder="1"/>
    <xf numFmtId="165" fontId="3" fillId="0" borderId="1" xfId="1" applyFont="1" applyBorder="1"/>
    <xf numFmtId="164" fontId="3" fillId="0" borderId="1" xfId="1" applyNumberFormat="1" applyFont="1" applyFill="1" applyBorder="1"/>
    <xf numFmtId="49" fontId="3" fillId="0" borderId="1" xfId="1" applyNumberFormat="1" applyFont="1" applyFill="1" applyBorder="1" applyAlignment="1">
      <alignment horizontal="right"/>
    </xf>
    <xf numFmtId="165" fontId="3" fillId="0" borderId="1" xfId="1" applyFont="1" applyFill="1" applyBorder="1"/>
    <xf numFmtId="0" fontId="7" fillId="0" borderId="1" xfId="0" applyFont="1" applyBorder="1" applyAlignment="1">
      <alignment horizontal="center" vertical="center"/>
    </xf>
    <xf numFmtId="0" fontId="7" fillId="0" borderId="1" xfId="0" applyFont="1" applyBorder="1" applyAlignment="1">
      <alignment horizontal="center"/>
    </xf>
    <xf numFmtId="165" fontId="9" fillId="0" borderId="0" xfId="1" applyFont="1" applyBorder="1"/>
    <xf numFmtId="0" fontId="13" fillId="0" borderId="0" xfId="0" applyFont="1" applyAlignment="1">
      <alignment horizontal="center"/>
    </xf>
    <xf numFmtId="0" fontId="9" fillId="0" borderId="0" xfId="0" applyFont="1" applyAlignment="1">
      <alignment vertical="center"/>
    </xf>
    <xf numFmtId="0" fontId="20" fillId="0" borderId="0" xfId="0" applyFont="1" applyAlignment="1">
      <alignment vertical="center"/>
    </xf>
    <xf numFmtId="0" fontId="13" fillId="3"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9" fillId="2" borderId="1" xfId="0" applyFont="1" applyFill="1" applyBorder="1" applyAlignment="1">
      <alignment horizontal="center" vertical="center"/>
    </xf>
    <xf numFmtId="0" fontId="19" fillId="2" borderId="1" xfId="0" applyFont="1" applyFill="1" applyBorder="1" applyAlignment="1">
      <alignment horizontal="left" vertical="center"/>
    </xf>
    <xf numFmtId="167" fontId="19" fillId="2" borderId="1" xfId="1" applyNumberFormat="1" applyFont="1" applyFill="1" applyBorder="1" applyAlignment="1">
      <alignment horizontal="right" vertical="center" wrapText="1"/>
    </xf>
    <xf numFmtId="0" fontId="19" fillId="2" borderId="0" xfId="0" applyFont="1" applyFill="1" applyAlignment="1">
      <alignment horizontal="center" vertical="center"/>
    </xf>
    <xf numFmtId="0" fontId="19" fillId="2" borderId="0" xfId="0" applyFont="1" applyFill="1" applyAlignment="1">
      <alignment horizontal="left" vertical="center"/>
    </xf>
    <xf numFmtId="167" fontId="19" fillId="2" borderId="0" xfId="1" applyNumberFormat="1" applyFont="1" applyFill="1" applyBorder="1" applyAlignment="1">
      <alignment horizontal="right" vertical="center" wrapText="1"/>
    </xf>
    <xf numFmtId="0" fontId="21" fillId="2" borderId="0" xfId="0" applyFont="1" applyFill="1" applyAlignment="1">
      <alignment horizontal="center" vertical="center" wrapText="1"/>
    </xf>
    <xf numFmtId="167" fontId="21" fillId="2" borderId="6" xfId="1" applyNumberFormat="1" applyFont="1" applyFill="1" applyBorder="1" applyAlignment="1">
      <alignment horizontal="right" vertical="center" wrapText="1"/>
    </xf>
    <xf numFmtId="0" fontId="19" fillId="2" borderId="0" xfId="0" applyFont="1" applyFill="1" applyAlignment="1">
      <alignment vertical="center"/>
    </xf>
    <xf numFmtId="0" fontId="19" fillId="2" borderId="0" xfId="0" applyFont="1" applyFill="1" applyAlignment="1">
      <alignment horizontal="right" vertical="center" wrapText="1"/>
    </xf>
    <xf numFmtId="168" fontId="7" fillId="0" borderId="0" xfId="0" applyNumberFormat="1" applyFont="1" applyAlignment="1">
      <alignment horizontal="center" vertical="center"/>
    </xf>
    <xf numFmtId="0" fontId="3" fillId="2" borderId="0" xfId="0" applyFont="1" applyFill="1" applyAlignment="1">
      <alignment vertical="center"/>
    </xf>
    <xf numFmtId="0" fontId="19" fillId="2" borderId="0" xfId="0" applyFont="1" applyFill="1" applyAlignment="1">
      <alignment horizontal="right" vertical="center"/>
    </xf>
    <xf numFmtId="168" fontId="9" fillId="0" borderId="0" xfId="0" applyNumberFormat="1" applyFont="1" applyAlignment="1">
      <alignment horizontal="center" vertical="center"/>
    </xf>
    <xf numFmtId="0" fontId="22" fillId="2" borderId="0" xfId="4" applyFont="1" applyFill="1" applyAlignment="1">
      <alignment horizontal="left"/>
    </xf>
    <xf numFmtId="168" fontId="21" fillId="2" borderId="6" xfId="0" applyNumberFormat="1" applyFont="1" applyFill="1" applyBorder="1" applyAlignment="1">
      <alignment horizontal="right" vertical="center" wrapText="1"/>
    </xf>
    <xf numFmtId="0" fontId="22" fillId="2" borderId="0" xfId="4" applyFont="1" applyFill="1" applyAlignment="1">
      <alignment horizontal="center"/>
    </xf>
    <xf numFmtId="0" fontId="5" fillId="0" borderId="0" xfId="2" applyFont="1" applyBorder="1"/>
    <xf numFmtId="0" fontId="7" fillId="0" borderId="0" xfId="4" applyFont="1" applyAlignment="1">
      <alignment horizontal="center" vertical="center"/>
    </xf>
    <xf numFmtId="0" fontId="7" fillId="2" borderId="0" xfId="11" applyFont="1" applyFill="1" applyAlignment="1">
      <alignment horizontal="center"/>
    </xf>
    <xf numFmtId="0" fontId="3" fillId="0" borderId="0" xfId="0" applyFont="1" applyAlignment="1">
      <alignment horizontal="left"/>
    </xf>
    <xf numFmtId="0" fontId="3" fillId="0" borderId="1" xfId="9" applyFont="1" applyBorder="1" applyAlignment="1">
      <alignment horizontal="center" vertical="center" wrapText="1"/>
    </xf>
    <xf numFmtId="0" fontId="3" fillId="4" borderId="1" xfId="9" applyFont="1" applyFill="1" applyBorder="1" applyAlignment="1">
      <alignment horizontal="center" vertical="center" wrapText="1"/>
    </xf>
    <xf numFmtId="0" fontId="3" fillId="0" borderId="0" xfId="0" applyFont="1" applyFill="1"/>
    <xf numFmtId="168" fontId="7" fillId="0" borderId="0" xfId="0" applyNumberFormat="1" applyFont="1" applyFill="1" applyAlignment="1">
      <alignment horizontal="left" vertical="center"/>
    </xf>
    <xf numFmtId="0" fontId="13" fillId="3" borderId="1" xfId="0" applyFont="1" applyFill="1" applyBorder="1" applyAlignment="1">
      <alignment horizontal="center" vertical="center" wrapText="1"/>
    </xf>
    <xf numFmtId="0" fontId="7" fillId="0" borderId="0" xfId="6" applyFont="1" applyAlignment="1">
      <alignment horizontal="center"/>
    </xf>
    <xf numFmtId="0" fontId="7" fillId="0" borderId="0" xfId="0" applyFont="1" applyAlignment="1">
      <alignment horizontal="center"/>
    </xf>
    <xf numFmtId="0" fontId="13" fillId="3"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7" fillId="2" borderId="0" xfId="0" applyFont="1" applyFill="1" applyAlignment="1">
      <alignment horizontal="right" vertical="center" wrapText="1"/>
    </xf>
    <xf numFmtId="0" fontId="23" fillId="0" borderId="0" xfId="0" applyFont="1" applyAlignment="1">
      <alignment wrapText="1"/>
    </xf>
    <xf numFmtId="0" fontId="3" fillId="0" borderId="0" xfId="0" applyFont="1" applyBorder="1" applyAlignment="1">
      <alignment wrapText="1"/>
    </xf>
    <xf numFmtId="0" fontId="9" fillId="0" borderId="0" xfId="0" applyFont="1" applyBorder="1" applyAlignment="1">
      <alignment wrapText="1"/>
    </xf>
    <xf numFmtId="165" fontId="9" fillId="0" borderId="0" xfId="1" applyFont="1" applyBorder="1" applyAlignment="1">
      <alignment wrapText="1"/>
    </xf>
    <xf numFmtId="0" fontId="7" fillId="0" borderId="0" xfId="0" applyFont="1" applyAlignment="1">
      <alignment wrapText="1"/>
    </xf>
    <xf numFmtId="0" fontId="9" fillId="0" borderId="0" xfId="0" applyFont="1" applyAlignment="1">
      <alignment wrapText="1"/>
    </xf>
    <xf numFmtId="0" fontId="6" fillId="0" borderId="0" xfId="12" applyFont="1"/>
    <xf numFmtId="164" fontId="3" fillId="0" borderId="1" xfId="1" applyNumberFormat="1" applyFont="1" applyBorder="1" applyAlignment="1">
      <alignment horizontal="center" vertical="center"/>
    </xf>
    <xf numFmtId="167" fontId="3" fillId="0" borderId="1" xfId="1" applyNumberFormat="1" applyFont="1" applyBorder="1" applyAlignment="1">
      <alignment vertical="center"/>
    </xf>
    <xf numFmtId="0" fontId="13" fillId="5" borderId="1" xfId="0" applyFont="1" applyFill="1" applyBorder="1" applyAlignment="1">
      <alignment horizontal="center" vertical="center"/>
    </xf>
    <xf numFmtId="0" fontId="9" fillId="0" borderId="1" xfId="0" applyFont="1" applyBorder="1"/>
    <xf numFmtId="0" fontId="5" fillId="0" borderId="1" xfId="0" applyFont="1" applyBorder="1" applyAlignment="1">
      <alignment horizontal="center" vertical="center" wrapText="1"/>
    </xf>
    <xf numFmtId="0" fontId="13" fillId="5" borderId="1" xfId="0" applyFont="1" applyFill="1" applyBorder="1" applyAlignment="1">
      <alignment horizontal="center"/>
    </xf>
    <xf numFmtId="0" fontId="13" fillId="3" borderId="1" xfId="0" applyFont="1" applyFill="1" applyBorder="1" applyAlignment="1">
      <alignment horizontal="center" vertical="center" wrapText="1"/>
    </xf>
    <xf numFmtId="0" fontId="13" fillId="5" borderId="2" xfId="0" applyFont="1" applyFill="1" applyBorder="1" applyAlignment="1">
      <alignment horizontal="center"/>
    </xf>
    <xf numFmtId="0" fontId="13" fillId="5" borderId="4" xfId="0" applyFont="1" applyFill="1" applyBorder="1" applyAlignment="1">
      <alignment horizontal="center"/>
    </xf>
    <xf numFmtId="0" fontId="13" fillId="5" borderId="3" xfId="0" applyFont="1" applyFill="1" applyBorder="1" applyAlignment="1">
      <alignment horizontal="center"/>
    </xf>
    <xf numFmtId="0" fontId="13" fillId="5" borderId="2" xfId="0" applyFont="1" applyFill="1" applyBorder="1" applyAlignment="1">
      <alignment horizontal="center" vertical="center"/>
    </xf>
    <xf numFmtId="0" fontId="13" fillId="5" borderId="4" xfId="0" applyFont="1" applyFill="1" applyBorder="1" applyAlignment="1">
      <alignment horizontal="center" vertical="center"/>
    </xf>
    <xf numFmtId="0" fontId="13" fillId="5" borderId="3" xfId="0" applyFont="1" applyFill="1" applyBorder="1" applyAlignment="1">
      <alignment horizontal="center" vertical="center"/>
    </xf>
    <xf numFmtId="0" fontId="3" fillId="0" borderId="1" xfId="0" applyFont="1" applyBorder="1" applyAlignment="1">
      <alignment horizontal="left" vertical="center" wrapText="1"/>
    </xf>
  </cellXfs>
  <cellStyles count="13">
    <cellStyle name="Millares" xfId="1" builtinId="3"/>
    <cellStyle name="Millares 2 2" xfId="7" xr:uid="{B8E74031-42AF-4154-AF56-60B7AAF86376}"/>
    <cellStyle name="Normal" xfId="0" builtinId="0"/>
    <cellStyle name="Normal 17 2" xfId="2" xr:uid="{E3C7ABCA-8F7B-481E-9156-5262FB9D584E}"/>
    <cellStyle name="Normal 2 10" xfId="11" xr:uid="{01398520-AF3B-4096-BEEA-5D104FE35BCF}"/>
    <cellStyle name="Normal 2 2" xfId="3" xr:uid="{A2630017-F675-4248-80E7-9A74935B1615}"/>
    <cellStyle name="Normal 2 2 2 10" xfId="4" xr:uid="{93FEBB56-35E6-42A3-A481-CFC1ED16775C}"/>
    <cellStyle name="Normal 2 2 2 2" xfId="9" xr:uid="{8F1EB45A-BBD0-486C-883C-F145AF55AED8}"/>
    <cellStyle name="Normal 2 3 2 5" xfId="12" xr:uid="{66352DD5-1EDE-48AB-902F-338A7363F61D}"/>
    <cellStyle name="Normal 3 2" xfId="6" xr:uid="{0B8AD46A-0236-4F3F-84B1-939AA54E52D3}"/>
    <cellStyle name="Normal 50" xfId="5" xr:uid="{DECE7E51-2370-4BB9-B336-BB4F09115C95}"/>
    <cellStyle name="Normal 7" xfId="8" xr:uid="{4AC18CBB-04EB-4744-BFFB-FA1236FBD9C0}"/>
    <cellStyle name="Normal_2102.1.1 Analisis de Partidas Conciliatorias" xfId="10" xr:uid="{F3C4A665-825A-4BCF-A36C-7191CB51532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76" Type="http://schemas.openxmlformats.org/officeDocument/2006/relationships/externalLink" Target="externalLinks/externalLink75.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97" Type="http://schemas.openxmlformats.org/officeDocument/2006/relationships/externalLink" Target="externalLinks/externalLink96.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87" Type="http://schemas.openxmlformats.org/officeDocument/2006/relationships/externalLink" Target="externalLinks/externalLink86.xml"/><Relationship Id="rId102" Type="http://schemas.openxmlformats.org/officeDocument/2006/relationships/calcChain" Target="calcChain.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90" Type="http://schemas.openxmlformats.org/officeDocument/2006/relationships/externalLink" Target="externalLinks/externalLink89.xml"/><Relationship Id="rId95" Type="http://schemas.openxmlformats.org/officeDocument/2006/relationships/externalLink" Target="externalLinks/externalLink94.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77" Type="http://schemas.openxmlformats.org/officeDocument/2006/relationships/externalLink" Target="externalLinks/externalLink76.xml"/><Relationship Id="rId100" Type="http://schemas.openxmlformats.org/officeDocument/2006/relationships/styles" Target="styles.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93" Type="http://schemas.openxmlformats.org/officeDocument/2006/relationships/externalLink" Target="externalLinks/externalLink92.xml"/><Relationship Id="rId98" Type="http://schemas.openxmlformats.org/officeDocument/2006/relationships/externalLink" Target="externalLinks/externalLink97.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91" Type="http://schemas.openxmlformats.org/officeDocument/2006/relationships/externalLink" Target="externalLinks/externalLink90.xml"/><Relationship Id="rId96" Type="http://schemas.openxmlformats.org/officeDocument/2006/relationships/externalLink" Target="externalLinks/externalLink95.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94" Type="http://schemas.openxmlformats.org/officeDocument/2006/relationships/externalLink" Target="externalLinks/externalLink93.xml"/><Relationship Id="rId99" Type="http://schemas.openxmlformats.org/officeDocument/2006/relationships/theme" Target="theme/theme1.xml"/><Relationship Id="rId101"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328288</xdr:colOff>
      <xdr:row>51</xdr:row>
      <xdr:rowOff>121911</xdr:rowOff>
    </xdr:from>
    <xdr:to>
      <xdr:col>1</xdr:col>
      <xdr:colOff>232178</xdr:colOff>
      <xdr:row>53</xdr:row>
      <xdr:rowOff>36839</xdr:rowOff>
    </xdr:to>
    <xdr:pic>
      <xdr:nvPicPr>
        <xdr:cNvPr id="7" name="Imagen 6">
          <a:extLst>
            <a:ext uri="{FF2B5EF4-FFF2-40B4-BE49-F238E27FC236}">
              <a16:creationId xmlns:a16="http://schemas.microsoft.com/office/drawing/2014/main" id="{A2D60215-AAEE-4F7C-84C1-849F1581DC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8288" y="4693911"/>
          <a:ext cx="232427" cy="232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227340</xdr:colOff>
      <xdr:row>52</xdr:row>
      <xdr:rowOff>47626</xdr:rowOff>
    </xdr:from>
    <xdr:to>
      <xdr:col>6</xdr:col>
      <xdr:colOff>1087438</xdr:colOff>
      <xdr:row>52</xdr:row>
      <xdr:rowOff>55563</xdr:rowOff>
    </xdr:to>
    <xdr:cxnSp macro="">
      <xdr:nvCxnSpPr>
        <xdr:cNvPr id="9" name="Conector recto de flecha 8">
          <a:extLst>
            <a:ext uri="{FF2B5EF4-FFF2-40B4-BE49-F238E27FC236}">
              <a16:creationId xmlns:a16="http://schemas.microsoft.com/office/drawing/2014/main" id="{90B7A382-2943-4EF8-90B6-AB7DA78C26BB}"/>
            </a:ext>
          </a:extLst>
        </xdr:cNvPr>
        <xdr:cNvCxnSpPr>
          <a:stCxn id="7" idx="3"/>
        </xdr:cNvCxnSpPr>
      </xdr:nvCxnSpPr>
      <xdr:spPr>
        <a:xfrm flipV="1">
          <a:off x="560715" y="4778376"/>
          <a:ext cx="7924473" cy="793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307102</xdr:colOff>
      <xdr:row>51</xdr:row>
      <xdr:rowOff>156290</xdr:rowOff>
    </xdr:from>
    <xdr:to>
      <xdr:col>8</xdr:col>
      <xdr:colOff>185024</xdr:colOff>
      <xdr:row>53</xdr:row>
      <xdr:rowOff>50088</xdr:rowOff>
    </xdr:to>
    <xdr:pic>
      <xdr:nvPicPr>
        <xdr:cNvPr id="10" name="Imagen 9">
          <a:extLst>
            <a:ext uri="{FF2B5EF4-FFF2-40B4-BE49-F238E27FC236}">
              <a16:creationId xmlns:a16="http://schemas.microsoft.com/office/drawing/2014/main" id="{0057DAEE-0182-47B0-A3E8-A6362CAB2A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46165" y="4950540"/>
          <a:ext cx="211297" cy="2112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185024</xdr:colOff>
      <xdr:row>52</xdr:row>
      <xdr:rowOff>71437</xdr:rowOff>
    </xdr:from>
    <xdr:to>
      <xdr:col>23</xdr:col>
      <xdr:colOff>1222375</xdr:colOff>
      <xdr:row>52</xdr:row>
      <xdr:rowOff>79376</xdr:rowOff>
    </xdr:to>
    <xdr:cxnSp macro="">
      <xdr:nvCxnSpPr>
        <xdr:cNvPr id="12" name="Conector recto de flecha 11">
          <a:extLst>
            <a:ext uri="{FF2B5EF4-FFF2-40B4-BE49-F238E27FC236}">
              <a16:creationId xmlns:a16="http://schemas.microsoft.com/office/drawing/2014/main" id="{2819FDB3-82D0-4F51-AAAE-E3A0773C7997}"/>
            </a:ext>
          </a:extLst>
        </xdr:cNvPr>
        <xdr:cNvCxnSpPr>
          <a:stCxn id="10" idx="3"/>
        </xdr:cNvCxnSpPr>
      </xdr:nvCxnSpPr>
      <xdr:spPr>
        <a:xfrm flipV="1">
          <a:off x="8257462" y="5048250"/>
          <a:ext cx="19261851" cy="7939"/>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96582</xdr:colOff>
      <xdr:row>84</xdr:row>
      <xdr:rowOff>145712</xdr:rowOff>
    </xdr:from>
    <xdr:to>
      <xdr:col>0</xdr:col>
      <xdr:colOff>271207</xdr:colOff>
      <xdr:row>86</xdr:row>
      <xdr:rowOff>4350</xdr:rowOff>
    </xdr:to>
    <xdr:pic>
      <xdr:nvPicPr>
        <xdr:cNvPr id="14" name="Imagen 13">
          <a:extLst>
            <a:ext uri="{FF2B5EF4-FFF2-40B4-BE49-F238E27FC236}">
              <a16:creationId xmlns:a16="http://schemas.microsoft.com/office/drawing/2014/main" id="{90F91A18-A387-4373-9734-9C08F93BE2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582" y="10517379"/>
          <a:ext cx="174625" cy="173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103365</xdr:colOff>
      <xdr:row>84</xdr:row>
      <xdr:rowOff>5086</xdr:rowOff>
    </xdr:from>
    <xdr:to>
      <xdr:col>0</xdr:col>
      <xdr:colOff>262115</xdr:colOff>
      <xdr:row>85</xdr:row>
      <xdr:rowOff>5085</xdr:rowOff>
    </xdr:to>
    <xdr:pic>
      <xdr:nvPicPr>
        <xdr:cNvPr id="15" name="Imagen 14">
          <a:extLst>
            <a:ext uri="{FF2B5EF4-FFF2-40B4-BE49-F238E27FC236}">
              <a16:creationId xmlns:a16="http://schemas.microsoft.com/office/drawing/2014/main" id="{55C5F7BB-4F8C-49C1-A329-A7B67A224A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365" y="10376753"/>
          <a:ext cx="158750" cy="1572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45165</xdr:colOff>
      <xdr:row>51</xdr:row>
      <xdr:rowOff>156290</xdr:rowOff>
    </xdr:from>
    <xdr:to>
      <xdr:col>24</xdr:col>
      <xdr:colOff>256462</xdr:colOff>
      <xdr:row>53</xdr:row>
      <xdr:rowOff>50088</xdr:rowOff>
    </xdr:to>
    <xdr:pic>
      <xdr:nvPicPr>
        <xdr:cNvPr id="17" name="Imagen 16">
          <a:extLst>
            <a:ext uri="{FF2B5EF4-FFF2-40B4-BE49-F238E27FC236}">
              <a16:creationId xmlns:a16="http://schemas.microsoft.com/office/drawing/2014/main" id="{B27F04C8-1C64-4A6C-95B6-8C3C3276BCE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80353" y="4950540"/>
          <a:ext cx="211297" cy="2112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88644</xdr:colOff>
      <xdr:row>85</xdr:row>
      <xdr:rowOff>153272</xdr:rowOff>
    </xdr:from>
    <xdr:to>
      <xdr:col>0</xdr:col>
      <xdr:colOff>263269</xdr:colOff>
      <xdr:row>87</xdr:row>
      <xdr:rowOff>10399</xdr:rowOff>
    </xdr:to>
    <xdr:pic>
      <xdr:nvPicPr>
        <xdr:cNvPr id="18" name="Imagen 17">
          <a:extLst>
            <a:ext uri="{FF2B5EF4-FFF2-40B4-BE49-F238E27FC236}">
              <a16:creationId xmlns:a16="http://schemas.microsoft.com/office/drawing/2014/main" id="{ED5C8C16-EC9C-468D-90BF-4CC81D0382C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8644" y="10682177"/>
          <a:ext cx="174625" cy="171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24</xdr:col>
      <xdr:colOff>256462</xdr:colOff>
      <xdr:row>52</xdr:row>
      <xdr:rowOff>79375</xdr:rowOff>
    </xdr:from>
    <xdr:to>
      <xdr:col>28</xdr:col>
      <xdr:colOff>960437</xdr:colOff>
      <xdr:row>52</xdr:row>
      <xdr:rowOff>79376</xdr:rowOff>
    </xdr:to>
    <xdr:cxnSp macro="">
      <xdr:nvCxnSpPr>
        <xdr:cNvPr id="20" name="Conector recto de flecha 19">
          <a:extLst>
            <a:ext uri="{FF2B5EF4-FFF2-40B4-BE49-F238E27FC236}">
              <a16:creationId xmlns:a16="http://schemas.microsoft.com/office/drawing/2014/main" id="{4C5EC602-F260-4EB5-BD27-8862D4ABFF69}"/>
            </a:ext>
          </a:extLst>
        </xdr:cNvPr>
        <xdr:cNvCxnSpPr>
          <a:stCxn id="17" idx="3"/>
        </xdr:cNvCxnSpPr>
      </xdr:nvCxnSpPr>
      <xdr:spPr>
        <a:xfrm flipV="1">
          <a:off x="27791650" y="5056188"/>
          <a:ext cx="1942225" cy="1"/>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815102</xdr:colOff>
      <xdr:row>61</xdr:row>
      <xdr:rowOff>68977</xdr:rowOff>
    </xdr:from>
    <xdr:ext cx="211297" cy="211297"/>
    <xdr:pic>
      <xdr:nvPicPr>
        <xdr:cNvPr id="23" name="Imagen 22">
          <a:extLst>
            <a:ext uri="{FF2B5EF4-FFF2-40B4-BE49-F238E27FC236}">
              <a16:creationId xmlns:a16="http://schemas.microsoft.com/office/drawing/2014/main" id="{D4AEA0A8-3F9F-4822-9EAE-6248C544F99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554665" y="7046040"/>
          <a:ext cx="211297" cy="21129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94122</xdr:colOff>
      <xdr:row>87</xdr:row>
      <xdr:rowOff>0</xdr:rowOff>
    </xdr:from>
    <xdr:ext cx="158750" cy="158750"/>
    <xdr:pic>
      <xdr:nvPicPr>
        <xdr:cNvPr id="24" name="Imagen 23">
          <a:extLst>
            <a:ext uri="{FF2B5EF4-FFF2-40B4-BE49-F238E27FC236}">
              <a16:creationId xmlns:a16="http://schemas.microsoft.com/office/drawing/2014/main" id="{9F9E9E42-FD4D-43A8-AFA9-1AA313C31C5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4122" y="10843381"/>
          <a:ext cx="158750" cy="158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33</xdr:col>
      <xdr:colOff>547687</xdr:colOff>
      <xdr:row>51</xdr:row>
      <xdr:rowOff>134938</xdr:rowOff>
    </xdr:from>
    <xdr:to>
      <xdr:col>33</xdr:col>
      <xdr:colOff>758984</xdr:colOff>
      <xdr:row>53</xdr:row>
      <xdr:rowOff>28736</xdr:rowOff>
    </xdr:to>
    <xdr:pic>
      <xdr:nvPicPr>
        <xdr:cNvPr id="25" name="Imagen 24">
          <a:extLst>
            <a:ext uri="{FF2B5EF4-FFF2-40B4-BE49-F238E27FC236}">
              <a16:creationId xmlns:a16="http://schemas.microsoft.com/office/drawing/2014/main" id="{43AC8CC5-EB90-408E-BB4E-53D57FBE0EC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234562" y="4706938"/>
          <a:ext cx="211297" cy="2112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51</xdr:row>
      <xdr:rowOff>111122</xdr:rowOff>
    </xdr:from>
    <xdr:to>
      <xdr:col>30</xdr:col>
      <xdr:colOff>211297</xdr:colOff>
      <xdr:row>53</xdr:row>
      <xdr:rowOff>4920</xdr:rowOff>
    </xdr:to>
    <xdr:pic>
      <xdr:nvPicPr>
        <xdr:cNvPr id="19" name="Imagen 18">
          <a:extLst>
            <a:ext uri="{FF2B5EF4-FFF2-40B4-BE49-F238E27FC236}">
              <a16:creationId xmlns:a16="http://schemas.microsoft.com/office/drawing/2014/main" id="{1E2CE468-474F-449F-A0CD-D1A6EE2550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972125" y="4683122"/>
          <a:ext cx="211297" cy="2112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755648</xdr:colOff>
      <xdr:row>76</xdr:row>
      <xdr:rowOff>33867</xdr:rowOff>
    </xdr:from>
    <xdr:ext cx="174625" cy="174625"/>
    <xdr:pic>
      <xdr:nvPicPr>
        <xdr:cNvPr id="27" name="Imagen 26">
          <a:extLst>
            <a:ext uri="{FF2B5EF4-FFF2-40B4-BE49-F238E27FC236}">
              <a16:creationId xmlns:a16="http://schemas.microsoft.com/office/drawing/2014/main" id="{02D0B1C1-2685-4F7F-BB93-AE2AE10A5CB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248148" y="10403417"/>
          <a:ext cx="174625" cy="174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30</xdr:col>
      <xdr:colOff>222926</xdr:colOff>
      <xdr:row>52</xdr:row>
      <xdr:rowOff>54042</xdr:rowOff>
    </xdr:from>
    <xdr:to>
      <xdr:col>32</xdr:col>
      <xdr:colOff>1163337</xdr:colOff>
      <xdr:row>52</xdr:row>
      <xdr:rowOff>54043</xdr:rowOff>
    </xdr:to>
    <xdr:cxnSp macro="">
      <xdr:nvCxnSpPr>
        <xdr:cNvPr id="21" name="Conector recto de flecha 20">
          <a:extLst>
            <a:ext uri="{FF2B5EF4-FFF2-40B4-BE49-F238E27FC236}">
              <a16:creationId xmlns:a16="http://schemas.microsoft.com/office/drawing/2014/main" id="{0BF1AFE6-9FA1-4DFE-B620-105280CDF48E}"/>
            </a:ext>
          </a:extLst>
        </xdr:cNvPr>
        <xdr:cNvCxnSpPr/>
      </xdr:nvCxnSpPr>
      <xdr:spPr>
        <a:xfrm flipV="1">
          <a:off x="33384788" y="5005691"/>
          <a:ext cx="3412858" cy="1"/>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464403</xdr:colOff>
      <xdr:row>49</xdr:row>
      <xdr:rowOff>113732</xdr:rowOff>
    </xdr:from>
    <xdr:to>
      <xdr:col>28</xdr:col>
      <xdr:colOff>464403</xdr:colOff>
      <xdr:row>52</xdr:row>
      <xdr:rowOff>0</xdr:rowOff>
    </xdr:to>
    <xdr:cxnSp macro="">
      <xdr:nvCxnSpPr>
        <xdr:cNvPr id="4" name="Conector recto de flecha 3">
          <a:extLst>
            <a:ext uri="{FF2B5EF4-FFF2-40B4-BE49-F238E27FC236}">
              <a16:creationId xmlns:a16="http://schemas.microsoft.com/office/drawing/2014/main" id="{221BF1F4-DD97-4BAB-866C-288080253D92}"/>
            </a:ext>
          </a:extLst>
        </xdr:cNvPr>
        <xdr:cNvCxnSpPr/>
      </xdr:nvCxnSpPr>
      <xdr:spPr>
        <a:xfrm>
          <a:off x="36858433" y="9970448"/>
          <a:ext cx="0" cy="36962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C)%205130%20An&#225;lisis%20de%20Caja%20y%20Bancos%202005"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530%20An&#225;lisis%20de%20Gatos%20Anticipado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530%20An&#225;lisis%20de%20Gastos%20Anticipado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My%20Documents\DTT%20CLIENTES\Omnibus%20BB\Auditor&#237;a%202001\Proyectos%20finales%20OBB.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Documents%20and%20Settings\anabad\Escritorio\FINANZAS\RESPALDOS%20CJARA\TCS\Financiero\REPORTES\Proyeccion%20Q2\Ejecuci&#243;n%20y%20Proyecci&#243;n%202nd%20Quarter%2008%20(2)PRUEB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Documents%20and%20Settings\anabad\Escritorio\FINANZAS\Tata%20Balance%20Sheet%20V3%20COMPARATIVO%20JULAA.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8430-1%20Selecci&#243;n%20de%20Gastos%20Bancarios%20y%20Divis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ocuments%20and%20Settings\AMENA\My%20Documents\CLIENTES\BJ%20SERVICES\My%20Documents\CLIENTES\BJ%20Services\MOV%20ACTIVOS%20FIJOS%20%2009%2001%20LOCA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windows\TEMP\VISCAYA1.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Worksheet%20in%205530%20An&#225;lisis%20de%20Activo%20Fijo"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Worksheet%20in%206430%20An&#225;lisis%20de%20Retenciones%20en%20la%20Fuente%20y%20del%20Impuesto%20al%20Valor%20Agregado"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Users\jebeltran\Desktop\inversiones%20bien.xlsx"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Worksheet%20in%205130%20An&#225;lisis%20de%20Caja%20y%20Equivalentes%20de%20Caja%202"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5630%20An&#225;lisis%20de%20activos%20fijos%202000"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8230%20An&#225;lisis%20de%20gasto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Clientes\Clientes%202014\Champion\Planeaci&#243;n\CHAMPION\CONCILIACIONES%202014\ECUADOR%20CONCILIACIONES%20DE%20CUENTAS%20AGO%20%20%202014.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Worksheet%20in%20%20%20Revisi&#243;n%20Anal&#237;tica%20Sustantiva%20-%20Poblaciones%20Disgregadas%20(07-03)%20%20S%20"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My%20Documents\Clientes\Baker\AUDITORI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ocuments%20and%20Settings\GUPEREZ\My%20Documents\Deloitte\Clientes\2007\Erco\Requerimientos\02%20Requerimiento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G:\Clientes\Clientes%202013\1.%20Champion\2.%20Ejecuci&#243;n\Ejecuci&#243;n%20Preliminar\3500%20Provisiones\Documents%20and%20Settings\Administrador\Desktop\mayor.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Vvasquez\A&#241;o%202.004\Documents%20and%20Settings\sgalarraga\Configuraci&#243;n%20local\Archivos%20temporales%20de%20Internet\OLK4\An&#225;lisis%20de%20Abril%202003.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E:\Documents%20and%20Settings\MMunoz\Local%20Settings\Temporary%20Internet%20Files\OLK8\IVA%20COMPRAS%20MAYO.xls"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Worksheet%20in%201611%20Ejecutar%20Procedimientos%20Anal&#237;ticos%20Preliminare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Worksheet%20in%201611%20Perform%20Preliminary%20Analytical%20Review%20Workbook%20(adjusted%20for%20new%20pack)"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Worksheet%20in%20(C)%201801%20Realizar%20Libro%20de%20Trabajo%20de%20Revisi&#243;n%20Anal&#237;tica%20Preliminar%20May-10"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Worksheet%20in%205510%20Hoja%20Resumen%20de%20Gastos%20pagados%20por%20anticipado"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Worksheet%20in%20%20%20PLANTILLA%20CMA"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Worksheet%20in%205830%20An&#225;lisis%20de%20Activos%20Fijos%202"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Worksheet%20in%208330%20An&#225;lisis%20de%20Gastos%20de%20Administraci&#243;n%202"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Users\jebeltran\Desktop\inversiones.x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Worksheet%20in%20(C)%205730%20An&#225;lisis%20de%20Plantacione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Worksheet%20in%20(C)%208410-10%20Parque%20Nacional%20Machalill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Worksheet%20in%205530%20An&#225;lisis%20de%20Gastos%20Pagados%20por%20Anticipado%20y%20Otras%20Cuentas%20por%20Cobrar"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Worksheet%20in%208330%20An&#225;lisis%20de%20resultados%20gastos%20textil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Users\FERMALDONADO\Desktop\Empresa%20El&#233;ctrica\Informaci&#243;n%20definitiva%20EEQSA\DELOITTE%202\REQUERIMIENTOS%202009.xls"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Worksheet%20in%208310%20Hoja%20Resumen%20de%20%20Gastos%20administrativos"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Worksheet%20in%20000%20An&#225;lisis%20de%20Gastos%20de%20Administraci&#243;n%20y%20Ventas"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Worksheet%20in%206130%20An&#225;lisis%20de%20cuentas%20por%20pagar"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Worksheet%20in%20B208634D826240ED8FF96B68185292DE" TargetMode="External"/></Relationships>
</file>

<file path=xl/externalLinks/_rels/externalLink40.xml.rels><?xml version="1.0" encoding="UTF-8" standalone="yes"?>
<Relationships xmlns="http://schemas.openxmlformats.org/package/2006/relationships"><Relationship Id="rId1" Type="http://schemas.microsoft.com/office/2006/relationships/xlExternalLinkPath/xlPathMissing" Target="Worksheet%20in%20%20%20Papel%20de%20trabajo%20Excel%20en%20blanco" TargetMode="External"/></Relationships>
</file>

<file path=xl/externalLinks/_rels/externalLink41.xml.rels><?xml version="1.0" encoding="UTF-8" standalone="yes"?>
<Relationships xmlns="http://schemas.openxmlformats.org/package/2006/relationships"><Relationship Id="rId1" Type="http://schemas.microsoft.com/office/2006/relationships/xlExternalLinkPath/xlPathMissing" Target="Worksheet%20in%205330-2%20An&#225;lisis%20de%20cuentas%20por%20cobrar"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WINDOWS\TEMP\Formato%20de%20requerimientos.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G:\Toyota\Worksheet%20in%208230%20APT%20de%20Gastos" TargetMode="External"/></Relationships>
</file>

<file path=xl/externalLinks/_rels/externalLink44.xml.rels><?xml version="1.0" encoding="UTF-8" standalone="yes"?>
<Relationships xmlns="http://schemas.openxmlformats.org/package/2006/relationships"><Relationship Id="rId1" Type="http://schemas.microsoft.com/office/2006/relationships/xlExternalLinkPath/xlPathMissing" Target="Worksheet%20in%208330%20An&#225;lisis%20de%20Gastos%20de%20Administraci&#243;n%20y%20Ventas" TargetMode="External"/></Relationships>
</file>

<file path=xl/externalLinks/_rels/externalLink45.xml.rels><?xml version="1.0" encoding="UTF-8" standalone="yes"?>
<Relationships xmlns="http://schemas.openxmlformats.org/package/2006/relationships"><Relationship Id="rId1" Type="http://schemas.microsoft.com/office/2006/relationships/xlExternalLinkPath/xlPathMissing" Target="Worksheet%20in%205430%20An&#225;lisis%20de%20Activo%20Fijo" TargetMode="External"/></Relationships>
</file>

<file path=xl/externalLinks/_rels/externalLink46.xml.rels><?xml version="1.0" encoding="UTF-8" standalone="yes"?>
<Relationships xmlns="http://schemas.openxmlformats.org/package/2006/relationships"><Relationship Id="rId1" Type="http://schemas.microsoft.com/office/2006/relationships/xlExternalLinkPath/xlPathMissing" Target="Worksheet%20in%20%20%20%20%20Plantilla%20de%20Procedimientos%20Anal&#237;ticos%20Sustantivo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E:\Documents%20and%20Settings\AMENA\My%20Documents\CLIENTES\BJ%20SERVICES\cobrospos.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Mis%20documentos\1998\REAL98\abr98\INCOME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FIN001%20-%2010%20ANOS%20-%20LAAM\2006\Aliadas\718%20-%20Colombia\maria.faria\07_06\Invoices%20paid.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A:\adiciones.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Tcsuywt060\my%20documents\DOCUME~1\804120\LOCALS~1\Temp\Temporary%20Directory%201%20for%20FORECAST-TCSBRZ-20080414.zip\FORECAST-TCSBRZ-2008041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DOCUME~1\JOAQUI~1.PEL\LOCALS~1\Temp\notesE8430C\S4201-OBB.xls" TargetMode="External"/></Relationships>
</file>

<file path=xl/externalLinks/_rels/externalLink53.xml.rels><?xml version="1.0" encoding="UTF-8" standalone="yes"?>
<Relationships xmlns="http://schemas.openxmlformats.org/package/2006/relationships"><Relationship Id="rId1" Type="http://schemas.microsoft.com/office/2006/relationships/xlExternalLinkPath/xlPathMissing" Target="Worksheet%20in%20OAA%205630%20An&#225;lisis%20de%20Activo%20Fijo" TargetMode="External"/></Relationships>
</file>

<file path=xl/externalLinks/_rels/externalLink54.xml.rels><?xml version="1.0" encoding="UTF-8" standalone="yes"?>
<Relationships xmlns="http://schemas.openxmlformats.org/package/2006/relationships"><Relationship Id="rId1" Type="http://schemas.microsoft.com/office/2006/relationships/xlExternalLinkPath/xlPathMissing" Target="Worksheet%20in%208230%20An&#225;lisis%20del%20Costo%20de%20Ventas" TargetMode="External"/></Relationships>
</file>

<file path=xl/externalLinks/_rels/externalLink55.xml.rels><?xml version="1.0" encoding="UTF-8" standalone="yes"?>
<Relationships xmlns="http://schemas.openxmlformats.org/package/2006/relationships"><Relationship Id="rId1" Type="http://schemas.microsoft.com/office/2006/relationships/xlExternalLinkPath/xlPathMissing" Target="Worksheet%20in%20(C)%2054XX%20An&#225;lisis%20de%20Inventario%202006"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E:\Users\jebeltran\Desktop\cobros%20posteriores.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N:\ILM\Foreign%20Accounts%20Payable\Fin001%20-%203%20anos\2006\Fechamento\04%20-%20Abr%2006\Reconcilia&#231;&#227;o\Aliadas%2012-2005\R1-NOVO%20FORMATO%20DE%20AN&#193;LISE%202.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E:\DAVID\OILTRADER\BAL%20SEPTIEMBRE.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E:\DOCUME~1\LUCIMA~1.SAN\CONFIG~1\Temp\notes175B27\SAP%2031-08-05.xls" TargetMode="External"/></Relationships>
</file>

<file path=xl/externalLinks/_rels/externalLink60.xml.rels><?xml version="1.0" encoding="UTF-8" standalone="yes"?>
<Relationships xmlns="http://schemas.openxmlformats.org/package/2006/relationships"><Relationship Id="rId1" Type="http://schemas.microsoft.com/office/2006/relationships/xlExternalLinkPath/xlPathMissing" Target="Worksheet%20in%205730%20An&#225;lisis%20de%20Intangibles%20y%20Otros%20Activos" TargetMode="External"/></Relationships>
</file>

<file path=xl/externalLinks/_rels/externalLink61.xml.rels><?xml version="1.0" encoding="UTF-8" standalone="yes"?>
<Relationships xmlns="http://schemas.openxmlformats.org/package/2006/relationships"><Relationship Id="rId1" Type="http://schemas.microsoft.com/office/2006/relationships/xlExternalLinkPath/xlPathMissing" Target="Worksheet%20in%20(C)%208430%20An&#225;lisis%20Gastos%20de%20Operaci&#243;n" TargetMode="External"/></Relationships>
</file>

<file path=xl/externalLinks/_rels/externalLink62.xml.rels><?xml version="1.0" encoding="UTF-8" standalone="yes"?>
<Relationships xmlns="http://schemas.openxmlformats.org/package/2006/relationships"><Relationship Id="rId1" Type="http://schemas.microsoft.com/office/2006/relationships/xlExternalLinkPath/xlPathMissing" Target="Worksheet%20in%20%20%20%20%20An&#225;lisis%20de%20Gastos%20de%20Operacionales" TargetMode="External"/></Relationships>
</file>

<file path=xl/externalLinks/_rels/externalLink63.xml.rels><?xml version="1.0" encoding="UTF-8" standalone="yes"?>
<Relationships xmlns="http://schemas.openxmlformats.org/package/2006/relationships"><Relationship Id="rId1" Type="http://schemas.microsoft.com/office/2006/relationships/xlExternalLinkPath/xlPathMissing" Target="Worksheet%20in%20xxxxxx%20An&#225;lisis%20de%20Costo%20de%20Ventas" TargetMode="External"/></Relationships>
</file>

<file path=xl/externalLinks/_rels/externalLink64.xml.rels><?xml version="1.0" encoding="UTF-8" standalone="yes"?>
<Relationships xmlns="http://schemas.openxmlformats.org/package/2006/relationships"><Relationship Id="rId1" Type="http://schemas.microsoft.com/office/2006/relationships/xlExternalLinkPath/xlPathMissing" Target="Worksheet%20in%208330%20An&#225;lisis%20de%20Gastos%20Operacionales%20%20%20Imprenta%20Mariscal" TargetMode="External"/></Relationships>
</file>

<file path=xl/externalLinks/_rels/externalLink65.xml.rels><?xml version="1.0" encoding="UTF-8" standalone="yes"?>
<Relationships xmlns="http://schemas.openxmlformats.org/package/2006/relationships"><Relationship Id="rId1" Type="http://schemas.microsoft.com/office/2006/relationships/xlExternalLinkPath/xlPathMissing" Target="Worksheet%20in%208330%20An&#225;lisis%20Gastos%20de%20Operaci&#243;n" TargetMode="External"/></Relationships>
</file>

<file path=xl/externalLinks/_rels/externalLink66.xml.rels><?xml version="1.0" encoding="UTF-8" standalone="yes"?>
<Relationships xmlns="http://schemas.openxmlformats.org/package/2006/relationships"><Relationship Id="rId1" Type="http://schemas.microsoft.com/office/2006/relationships/xlExternalLinkPath/xlPathMissing" Target="Worksheet%20in%208330%20An&#225;lisis%20de%20Gastos%20de%20Operaci&#243;n" TargetMode="External"/></Relationships>
</file>

<file path=xl/externalLinks/_rels/externalLink67.xml.rels><?xml version="1.0" encoding="UTF-8" standalone="yes"?>
<Relationships xmlns="http://schemas.openxmlformats.org/package/2006/relationships"><Relationship Id="rId1" Type="http://schemas.microsoft.com/office/2006/relationships/xlExternalLinkPath/xlPathMissing" Target="Worksheet%20in%20(C)%206330%20An&#225;lisis%20Pasivos%20a%20Largo%20Plazo" TargetMode="External"/></Relationships>
</file>

<file path=xl/externalLinks/_rels/externalLink68.xml.rels><?xml version="1.0" encoding="UTF-8" standalone="yes"?>
<Relationships xmlns="http://schemas.openxmlformats.org/package/2006/relationships"><Relationship Id="rId1" Type="http://schemas.microsoft.com/office/2006/relationships/xlExternalLinkPath/xlPathMissing" Target="Worksheet%20in%208330%20An&#225;lisis%20de%20Gastos%20Administrativos%20y%20de%20Ventas" TargetMode="External"/></Relationships>
</file>

<file path=xl/externalLinks/_rels/externalLink69.xml.rels><?xml version="1.0" encoding="UTF-8" standalone="yes"?>
<Relationships xmlns="http://schemas.openxmlformats.org/package/2006/relationships"><Relationship Id="rId1" Type="http://schemas.microsoft.com/office/2006/relationships/xlExternalLinkPath/xlPathMissing" Target="Worksheet%20in%205730%20An&#225;lisis%20de%20Plantaciones" TargetMode="External"/></Relationships>
</file>

<file path=xl/externalLinks/_rels/externalLink70.xml.rels><?xml version="1.0" encoding="UTF-8" standalone="yes"?>
<Relationships xmlns="http://schemas.openxmlformats.org/package/2006/relationships"><Relationship Id="rId1" Type="http://schemas.microsoft.com/office/2006/relationships/xlExternalLinkPath/xlPathMissing" Target="Worksheet%20in%205530%20Detalle%20de%20anticipo%20de%20compra%20de%20terrenos" TargetMode="External"/></Relationships>
</file>

<file path=xl/externalLinks/_rels/externalLink71.xml.rels><?xml version="1.0" encoding="UTF-8" standalone="yes"?>
<Relationships xmlns="http://schemas.openxmlformats.org/package/2006/relationships"><Relationship Id="rId1" Type="http://schemas.microsoft.com/office/2006/relationships/xlExternalLinkPath/xlPathMissing" Target="Worksheet%20in%20%20%20%20%20Revisi&#243;n%20Anal&#237;tica%20Sustantiva%20-%20Pobl.%20Disgregadas" TargetMode="External"/></Relationships>
</file>

<file path=xl/externalLinks/_rels/externalLink72.xml.rels><?xml version="1.0" encoding="UTF-8" standalone="yes"?>
<Relationships xmlns="http://schemas.openxmlformats.org/package/2006/relationships"><Relationship Id="rId1" Type="http://schemas.microsoft.com/office/2006/relationships/xlExternalLinkPath/xlPathMissing" Target="Worksheet%20in%205630%20An&#225;lisis%20de%20Activos%20fijos%20pro" TargetMode="External"/></Relationships>
</file>

<file path=xl/externalLinks/_rels/externalLink73.xml.rels><?xml version="1.0" encoding="UTF-8" standalone="yes"?>
<Relationships xmlns="http://schemas.openxmlformats.org/package/2006/relationships"><Relationship Id="rId1" Type="http://schemas.microsoft.com/office/2006/relationships/xlExternalLinkPath/xlPathMissing" Target="Worksheet%20in%20(C)%208330%20An&#225;lisis%20de%20Gastos" TargetMode="External"/></Relationships>
</file>

<file path=xl/externalLinks/_rels/externalLink74.xml.rels><?xml version="1.0" encoding="UTF-8" standalone="yes"?>
<Relationships xmlns="http://schemas.openxmlformats.org/package/2006/relationships"><Relationship Id="rId1" Type="http://schemas.microsoft.com/office/2006/relationships/xlExternalLinkPath/xlPathMissing" Target="Worksheet%20in%208230%20An&#225;lisis%20de%20Costo%20de%20Ventas%20y%20Gastos%20de%20Operaci&#243;n" TargetMode="External"/></Relationships>
</file>

<file path=xl/externalLinks/_rels/externalLink75.xml.rels><?xml version="1.0" encoding="UTF-8" standalone="yes"?>
<Relationships xmlns="http://schemas.openxmlformats.org/package/2006/relationships"><Relationship Id="rId1" Type="http://schemas.microsoft.com/office/2006/relationships/xlExternalLinkPath/xlPathMissing" Target="Worksheet%20in%208330%20An&#225;lisis%20de%20Gastos%20Operacionales-a&#241;o%20anterior" TargetMode="External"/></Relationships>
</file>

<file path=xl/externalLinks/_rels/externalLink76.xml.rels><?xml version="1.0" encoding="UTF-8" standalone="yes"?>
<Relationships xmlns="http://schemas.openxmlformats.org/package/2006/relationships"><Relationship Id="rId1" Type="http://schemas.microsoft.com/office/2006/relationships/xlExternalLinkPath/xlPathMissing" Target="Worksheet%20in%20(C)%208330%20An&#225;lisis%20de%20Gastos%20de%20Operaci&#243;n" TargetMode="External"/></Relationships>
</file>

<file path=xl/externalLinks/_rels/externalLink77.xml.rels><?xml version="1.0" encoding="UTF-8" standalone="yes"?>
<Relationships xmlns="http://schemas.openxmlformats.org/package/2006/relationships"><Relationship Id="rId1" Type="http://schemas.microsoft.com/office/2006/relationships/xlExternalLinkPath/xlPathMissing" Target="Worksheet%20in%20(C)%205530%20An&#225;lisis%20de%20Gastos%20Anticipados%20y%20otras%20cuentas%20por%20cobrar" TargetMode="External"/></Relationships>
</file>

<file path=xl/externalLinks/_rels/externalLink78.xml.rels><?xml version="1.0" encoding="UTF-8" standalone="yes"?>
<Relationships xmlns="http://schemas.openxmlformats.org/package/2006/relationships"><Relationship Id="rId1" Type="http://schemas.microsoft.com/office/2006/relationships/xlExternalLinkPath/xlPathMissing" Target="Worksheet%20in%202680-1%20Estados%20Financieros" TargetMode="External"/></Relationships>
</file>

<file path=xl/externalLinks/_rels/externalLink79.xml.rels><?xml version="1.0" encoding="UTF-8" standalone="yes"?>
<Relationships xmlns="http://schemas.openxmlformats.org/package/2006/relationships"><Relationship Id="rId1" Type="http://schemas.microsoft.com/office/2006/relationships/xlExternalLinkPath/xlPathMissing" Target="Worksheet%20in%208330%20%20An&#225;lisis%20de%20Gastos%20de%20Operaci&#243;n"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E:\Users\jebeltran\Desktop\COLOMBINA\8130%20An&#225;lisis%20Ingresos.xls" TargetMode="External"/></Relationships>
</file>

<file path=xl/externalLinks/_rels/externalLink81.xml.rels><?xml version="1.0" encoding="UTF-8" standalone="yes"?>
<Relationships xmlns="http://schemas.openxmlformats.org/package/2006/relationships"><Relationship Id="rId1" Type="http://schemas.microsoft.com/office/2006/relationships/xlExternalLinkPath/xlPathMissing" Target="Worksheet%20in%205130%20An&#225;lisis%20de%20Efectivo%20y%20Equivalentes%20de%20Efectivo" TargetMode="External"/></Relationships>
</file>

<file path=xl/externalLinks/_rels/externalLink82.xml.rels><?xml version="1.0" encoding="UTF-8" standalone="yes"?>
<Relationships xmlns="http://schemas.openxmlformats.org/package/2006/relationships"><Relationship Id="rId1" Type="http://schemas.microsoft.com/office/2006/relationships/xlExternalLinkPath/xlPathMissing" Target="Worksheet%20in%205130%20An&#225;lsis%20de%20Efectivo%20y%20Equivalentes%20de%20Efectivo%20Petrosud" TargetMode="External"/></Relationships>
</file>

<file path=xl/externalLinks/_rels/externalLink83.xml.rels><?xml version="1.0" encoding="UTF-8" standalone="yes"?>
<Relationships xmlns="http://schemas.openxmlformats.org/package/2006/relationships"><Relationship Id="rId1" Type="http://schemas.microsoft.com/office/2006/relationships/xlExternalLinkPath/xlPathMissing" Target="Worksheet%20in%205130%20An&#225;lsis%20de%20Efectivo%20y%20Equivalentes%20de%20Efectivo%20Palanda"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F:\1.%20KRESTON%20ECUADOR%20AS\2.%20Ejecuci&#243;n\2100%20-%20Efectivo%20y%20equivalente\2130%20Sumaria%20Efectivo%20y%20Equivalentes%20de%20Efectivo.xlsx"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Users\JEBELTRAN\Desktop\Worksheet%20in%205130%20An&#225;lsis%20de%20Efectivo%20y%20Equivalentes%20de%20Efectivo%20Petrosud.xls" TargetMode="External"/></Relationships>
</file>

<file path=xl/externalLinks/_rels/externalLink86.xml.rels><?xml version="1.0" encoding="UTF-8" standalone="yes"?>
<Relationships xmlns="http://schemas.openxmlformats.org/package/2006/relationships"><Relationship Id="rId1" Type="http://schemas.microsoft.com/office/2006/relationships/xlExternalLinkPath/xlPathMissing" Target="Worksheet%20in%205931%20Detalle%20y%20An&#225;lisis%20de%20Otros%20Activos%2002%2028%2099" TargetMode="External"/></Relationships>
</file>

<file path=xl/externalLinks/_rels/externalLink87.xml.rels><?xml version="1.0" encoding="UTF-8" standalone="yes"?>
<Relationships xmlns="http://schemas.openxmlformats.org/package/2006/relationships"><Relationship Id="rId1" Type="http://schemas.microsoft.com/office/2006/relationships/xlExternalLinkPath/xlPathMissing" Target="Worksheet%20in%205630%20Revisi&#243;n%20de%20activos%20fijo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PathMissing" Target="Worksheet%20in%20xxxxx8330%20An&#225;lisis%20de%20Gastos%20de%20Operaci&#243;n" TargetMode="External"/></Relationships>
</file>

<file path=xl/externalLinks/_rels/externalLink89.xml.rels><?xml version="1.0" encoding="UTF-8" standalone="yes"?>
<Relationships xmlns="http://schemas.openxmlformats.org/package/2006/relationships"><Relationship Id="rId1" Type="http://schemas.microsoft.com/office/2006/relationships/xlExternalLinkPath/xlPathMissing" Target="Worksheet%20in%202281%20Estados%20Financieros%202" TargetMode="External"/></Relationships>
</file>

<file path=xl/externalLinks/_rels/externalLink90.xml.rels><?xml version="1.0" encoding="UTF-8" standalone="yes"?>
<Relationships xmlns="http://schemas.openxmlformats.org/package/2006/relationships"><Relationship Id="rId1" Type="http://schemas.microsoft.com/office/2006/relationships/xlExternalLinkPath/xlPathMissing" Target="Worksheet%20in%205930%20Ejemplo%20Otros%20activos" TargetMode="External"/></Relationships>
</file>

<file path=xl/externalLinks/_rels/externalLink91.xml.rels><?xml version="1.0" encoding="UTF-8" standalone="yes"?>
<Relationships xmlns="http://schemas.openxmlformats.org/package/2006/relationships"><Relationship Id="rId1" Type="http://schemas.microsoft.com/office/2006/relationships/xlExternalLinkPath/xlPathMissing" Target="Worksheet%20in%205630-C%20An&#225;lisis%20de%20Activo%20Fijo%20-%20Oleocastillo%20S.A." TargetMode="External"/></Relationships>
</file>

<file path=xl/externalLinks/_rels/externalLink92.xml.rels><?xml version="1.0" encoding="UTF-8" standalone="yes"?>
<Relationships xmlns="http://schemas.openxmlformats.org/package/2006/relationships"><Relationship Id="rId1" Type="http://schemas.microsoft.com/office/2006/relationships/xlExternalLinkPath/xlPathMissing" Target="Worksheet%20in%208410-3.1%20Revisi&#243;n%20visita%20Parque%20Nacional%20Yasun&#237;" TargetMode="External"/></Relationships>
</file>

<file path=xl/externalLinks/_rels/externalLink93.xml.rels><?xml version="1.0" encoding="UTF-8" standalone="yes"?>
<Relationships xmlns="http://schemas.openxmlformats.org/package/2006/relationships"><Relationship Id="rId1" Type="http://schemas.microsoft.com/office/2006/relationships/xlExternalLinkPath/xlPathMissing" Target="Worksheet%20in%208330%20An&#225;lisis%20de%20Gastos%20operacionale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E:\transfer\8330%20An&#225;lisis%20de%20Gastos%20Operacionales.xls" TargetMode="External"/></Relationships>
</file>

<file path=xl/externalLinks/_rels/externalLink95.xml.rels><?xml version="1.0" encoding="UTF-8" standalone="yes"?>
<Relationships xmlns="http://schemas.openxmlformats.org/package/2006/relationships"><Relationship Id="rId1" Type="http://schemas.microsoft.com/office/2006/relationships/xlExternalLinkPath/xlPathMissing" Target="Worksheet%20in%20(C)%205330%20An&#225;lisis%20de%20Cuentas%20por%20Cobrar" TargetMode="External"/></Relationships>
</file>

<file path=xl/externalLinks/_rels/externalLink96.xml.rels><?xml version="1.0" encoding="UTF-8" standalone="yes"?>
<Relationships xmlns="http://schemas.openxmlformats.org/package/2006/relationships"><Relationship Id="rId1" Type="http://schemas.microsoft.com/office/2006/relationships/xlExternalLinkPath/xlPathMissing" Target="Worksheet%20in%206230%20An&#225;lisis%20de%20Gastos%20Acumulados%20Sep%2010"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ocuments%20and%20Settings\ACRUZ\My%20Documents\Deloitte\P&amp;S\Gastos\Detalle%20de%20gastos%2020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 Bancar."/>
      <sheetName val="Detalle de Mov 1 al 4 dic"/>
      <sheetName val="Produbanco"/>
      <sheetName val="Bco. Internacional"/>
      <sheetName val="Banco Pichincha"/>
      <sheetName val="Produbanco Ahorros"/>
      <sheetName val="CMA Produbanco (2)"/>
      <sheetName val="CMA Pichincha (2)"/>
      <sheetName val="Pasivos No registrados"/>
      <sheetName val="XREF"/>
      <sheetName val="Tickmarks"/>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 Varias."/>
      <sheetName val="Det.Rec"/>
      <sheetName val="Det. Rec. Prov. Locales {PPC}"/>
      <sheetName val="Det. Rec. Prov. Exterior {PPC}"/>
      <sheetName val="Det.Ant."/>
      <sheetName val="Det. 18-10"/>
      <sheetName val="Det. seguros"/>
      <sheetName val="Seguros Año Ant."/>
      <sheetName val="Calc. Seguros"/>
      <sheetName val="Límites"/>
      <sheetName val="Tickmarks"/>
      <sheetName val="XREF"/>
    </sheetNames>
    <sheetDataSet>
      <sheetData sheetId="0"/>
      <sheetData sheetId="1"/>
      <sheetData sheetId="2"/>
      <sheetData sheetId="3" refreshError="1"/>
      <sheetData sheetId="4"/>
      <sheetData sheetId="5" refreshError="1"/>
      <sheetData sheetId="6"/>
      <sheetData sheetId="7" refreshError="1"/>
      <sheetData sheetId="8"/>
      <sheetData sheetId="9" refreshError="1"/>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O CxC"/>
      <sheetName val="Detalle Anticipos"/>
      <sheetName val="V.G."/>
      <sheetName val="Insum.Ganad."/>
      <sheetName val="Analisis Anticipos"/>
      <sheetName val="CoberturaSeg"/>
      <sheetName val="Tildes"/>
      <sheetName val="XREF"/>
      <sheetName val="#REF"/>
      <sheetName val="Cobertura Seguros"/>
      <sheetName val="Tickmarks"/>
      <sheetName val="Detalle"/>
      <sheetName val="Seguros"/>
      <sheetName val="Ret.Fte."/>
      <sheetName val="imptos. anticipados"/>
      <sheetName val="Otros activos circul"/>
      <sheetName val="gtos pag x antici"/>
      <sheetName val="dctos x cobrar"/>
      <sheetName val="Nota"/>
      <sheetName val="Prést. emplea"/>
      <sheetName val="Otras CxC"/>
      <sheetName val="Gastos Anticipados"/>
      <sheetName val="Var. CxC prel"/>
      <sheetName val="Var. CxC fin"/>
      <sheetName val="Det Val a desc. Rol"/>
      <sheetName val="Det. Dep en Gar"/>
      <sheetName val="Gastos Diferidos"/>
      <sheetName val="Accionistas"/>
      <sheetName val="Garantias"/>
      <sheetName val="Empleados"/>
      <sheetName val="Transitoria"/>
      <sheetName val="Seguros sept"/>
      <sheetName val="Seguros nov"/>
      <sheetName val="Detalle Otr"/>
      <sheetName val="Det. Varias Ctas por Cob"/>
      <sheetName val="Det. Pólizas"/>
      <sheetName val="Det. Varias Ctas por Pag"/>
      <sheetName val="Dep en Gar CP"/>
      <sheetName val="Int x C Bancos y Fin"/>
      <sheetName val="A. Seguros"/>
      <sheetName val="Anticipos"/>
      <sheetName val="Gasto anticipados LP"/>
      <sheetName val="CG Amor. "/>
      <sheetName val="Anticipo Acreedores"/>
      <sheetName val="Detalle cuentas varias"/>
      <sheetName val="Viáticos"/>
      <sheetName val="Anticipos Prov."/>
      <sheetName val="Detalle otros deudores"/>
      <sheetName val="Anal Vh Taxi"/>
      <sheetName val="SEGUROS 3"/>
      <sheetName val="Imptos"/>
      <sheetName val="Cálculo Seguros"/>
      <sheetName val="Análisis de Seguros"/>
      <sheetName val="Sheet1"/>
      <sheetName val="Det. CxC"/>
      <sheetName val="Imptos y Contr"/>
      <sheetName val="Análisis Com"/>
      <sheetName val="Cob. Seguros Prelim"/>
      <sheetName val="Fondo Garantía"/>
      <sheetName val="CXC Empleados"/>
      <sheetName val="CXC Accionistas"/>
      <sheetName val="Ant transpo"/>
      <sheetName val="Otros Gtos antic"/>
      <sheetName val="Tick2002"/>
      <sheetName val="Imp. y Contrib."/>
      <sheetName val="Empleados y Accionist."/>
      <sheetName val="Otros Anticipados"/>
      <sheetName val="Cob. Seguros Final"/>
      <sheetName val="Nota a los EEFF"/>
      <sheetName val="Operación"/>
      <sheetName val="Seguros "/>
      <sheetName val="impuestos"/>
      <sheetName val="anticipos proveedores"/>
      <sheetName val="otras cuentas por cobrar"/>
      <sheetName val="Detalle Ant"/>
      <sheetName val="Detalle Ant.Impues"/>
      <sheetName val="Ant.Gast. Ant."/>
      <sheetName val="Análisis Gtos Antic."/>
      <sheetName val="Reclam proveed"/>
      <sheetName val="Otras ctas x cobrar"/>
      <sheetName val="AnticiposProveedores"/>
      <sheetName val="CxC Varias"/>
      <sheetName val="Prestamos Empleados"/>
      <sheetName val="seguros auditoria 31-dic-2004"/>
      <sheetName val="Seguros (2003)"/>
      <sheetName val="ANTICIPOSEMP"/>
      <sheetName val="CXC Varios"/>
      <sheetName val="Ant.Proveedores"/>
      <sheetName val="Trámites Legales"/>
      <sheetName val="Revision Comp.Ret"/>
      <sheetName val="MMA"/>
      <sheetName val="Seguros prepagados"/>
      <sheetName val="Cálculo del umbral"/>
      <sheetName val="Cobros posteriores"/>
      <sheetName val="Cob.Seguros"/>
      <sheetName val="Seguros vane"/>
      <sheetName val="Cobertura de Seguros"/>
      <sheetName val="Anticipo Emp."/>
      <sheetName val="Préstamo Emp."/>
      <sheetName val="Mrdo. Emp."/>
      <sheetName val="Otras cxc emp."/>
      <sheetName val="Anticipo provee"/>
      <sheetName val="Gts. pag. ant"/>
      <sheetName val="Cxc relacion"/>
      <sheetName val="Marcas"/>
      <sheetName val="Análisis MMA"/>
      <sheetName val="Detalle Gtos Anticipados"/>
      <sheetName val="ASSA"/>
      <sheetName val="Transferencias"/>
      <sheetName val="Análisis de Seguros "/>
      <sheetName val="Empleados y estudiantes"/>
      <sheetName val="Detalle de Seguros"/>
      <sheetName val="Cálculo de Seguros"/>
      <sheetName val="0303-001 Prep. exp. other"/>
      <sheetName val="0420-001 Deposit"/>
      <sheetName val="0490-001 Other Current Assets"/>
      <sheetName val="Prepaid expense Other"/>
      <sheetName val="Other school fees"/>
      <sheetName val="Reimbursable Expenses"/>
      <sheetName val="Employee Loans"/>
      <sheetName val="Retención  garantías"/>
      <sheetName val="Prepiad Expenses"/>
      <sheetName val="Anticipo  Proved.Ext"/>
      <sheetName val="Anticipo Prov. Locales"/>
      <sheetName val="Límite"/>
      <sheetName val="Anticipo  Provee.Locales"/>
      <sheetName val="Anticipo Prov.Ext."/>
      <sheetName val="Detalle Otras CtasxCobrar"/>
      <sheetName val="Seguros Final"/>
      <sheetName val="Detalle Arriedos"/>
      <sheetName val="Otros corrientes"/>
      <sheetName val="Otros por realizarse"/>
      <sheetName val="Petroproducción"/>
      <sheetName val="Detalle Otros"/>
      <sheetName val="Tarjetas de crédito"/>
      <sheetName val="laroux"/>
      <sheetName val="Detalle Varios deudores"/>
      <sheetName val="Cobros Posteriores Telefónicas"/>
      <sheetName val="Mov. Cta Municipal"/>
      <sheetName val="Análsis del IVA"/>
      <sheetName val="Detalle EEQ"/>
      <sheetName val="Anticipos Importaciones"/>
      <sheetName val="Anticipos Empleados "/>
      <sheetName val="Tabla del Limite"/>
      <sheetName val="Ant. Proveedores"/>
      <sheetName val="Ant. Construcc"/>
      <sheetName val="APT Anticipos"/>
      <sheetName val="1"/>
      <sheetName val="Hoja 1"/>
      <sheetName val="Nota EEFF"/>
      <sheetName val="Otras CxC Final"/>
      <sheetName val="Anticip.Empl. Final"/>
      <sheetName val="Refactur.Inter Final"/>
      <sheetName val="Anticip.Empl."/>
      <sheetName val="Refactur.Inter"/>
      <sheetName val="Arriendos"/>
      <sheetName val="Detalle Arriedos "/>
      <sheetName val="Otros corrientes "/>
      <sheetName val="Detalle Imp Retenidos"/>
      <sheetName val="Análisis Impuetos Ret."/>
      <sheetName val="Anticipos_Publicidad"/>
      <sheetName val="DETALLE 1140200000008"/>
      <sheetName val="Detalle de Gastos Anticipados"/>
      <sheetName val="Ant. Prov. Fin."/>
      <sheetName val="Var. Cuent. Liq.Fin."/>
      <sheetName val="Ant. Prov. Prel."/>
      <sheetName val="Ant. Chatarr.Prel."/>
      <sheetName val="Ant. Chat. Sucur.Prel."/>
      <sheetName val="Var. Cuent. Liq.Prel."/>
      <sheetName val="Ctas.x Cobrar FEDEPAL"/>
      <sheetName val="Antic.Nacionales"/>
      <sheetName val="Antipos Proveed."/>
      <sheetName val="CMA_Selections"/>
      <sheetName val="Anti."/>
      <sheetName val="Gastos.Nacionales"/>
      <sheetName val="Ant.chatarra"/>
      <sheetName val="Ctas. por liquidar"/>
      <sheetName val="Anti Sucursal.Chata"/>
      <sheetName val="Antic.Nacionales (2)"/>
      <sheetName val="CxC Ing. Mihail"/>
      <sheetName val="Proveedores"/>
      <sheetName val=" CxC Varios."/>
      <sheetName val="Provisión"/>
      <sheetName val="Ant. Construcciones"/>
      <sheetName val="Ant. Directivos"/>
      <sheetName val="Doc por Cobrar LP"/>
      <sheetName val="MMA "/>
      <sheetName val="MMA sub"/>
      <sheetName val="Anticipos "/>
      <sheetName val="Sobregiros"/>
      <sheetName val="Honorarios"/>
      <sheetName val="Mantenimiento"/>
      <sheetName val="Reclamos"/>
      <sheetName val="Seguros (2)"/>
      <sheetName val="Seguros (3)"/>
      <sheetName val="ETICA-ARRIENDOS-FINAL"/>
      <sheetName val="Inventarios"/>
      <sheetName val="Anticipo empleados"/>
      <sheetName val="Anticipos al 31-mar-06"/>
      <sheetName val="Adiciones"/>
      <sheetName val="Selección Ant. Prov."/>
      <sheetName val="Análisis de anticipos"/>
      <sheetName val="Provisión de ingresos"/>
      <sheetName val="Varias por liquidar"/>
      <sheetName val="Provmetálica"/>
      <sheetName val="Anticipos a proveedores"/>
      <sheetName val="Nota EF"/>
      <sheetName val="Solicitud IVA "/>
      <sheetName val="Dept"/>
      <sheetName val="ReimbExp"/>
      <sheetName val="AntEmple"/>
      <sheetName val="PrepaidExpOth"/>
      <sheetName val="Préstamos Empleados CP"/>
      <sheetName val="Análisis de Seguros FINAL"/>
      <sheetName val="Análisis de Seguros PRELIM"/>
      <sheetName val="Cxc Diversos"/>
      <sheetName val="Anticipo Prov."/>
      <sheetName val="Prestamo Emplead."/>
      <sheetName val="Otros Cargos Diferidos"/>
      <sheetName val="Ant. util. Trab"/>
      <sheetName val="Pre. emple"/>
      <sheetName val="Anticipo Proveedores"/>
      <sheetName val="APT Anticipo Prov"/>
      <sheetName val="Selección Anticipos"/>
      <sheetName val="Anticipo Sueldo"/>
      <sheetName val="Garantías"/>
      <sheetName val="MatrizIntercomp"/>
      <sheetName val="Gen Receivables"/>
      <sheetName val="AR Petroecuador-Final"/>
      <sheetName val="AR Petroecuador"/>
      <sheetName val="Empl. Loans"/>
      <sheetName val="Otros Prepag."/>
      <sheetName val="Movimiento"/>
      <sheetName val="AnticpEntrgFinal"/>
      <sheetName val="DetalAntEntrg"/>
      <sheetName val="GastPagAnticpFin"/>
      <sheetName val="AnticipSueldFin"/>
      <sheetName val="Land"/>
      <sheetName val="Galápagos"/>
      <sheetName val="Anticipos Entregados"/>
      <sheetName val="Arriendo"/>
      <sheetName val="anticipos proveedores (2)"/>
      <sheetName val="MMA Tarjetas de Crédito"/>
      <sheetName val="MMA Anticipos"/>
      <sheetName val="Antic. Sueldo"/>
      <sheetName val="Sobreg. Nómina"/>
      <sheetName val="Notas de Débito"/>
      <sheetName val="Anticip entreg"/>
      <sheetName val="Comisiones Pagadas por A Dic-08"/>
      <sheetName val="Comisiones Pagadas por A Sep-08"/>
      <sheetName val="Comisiones Diferidas y Vistotal"/>
      <sheetName val="Gastos Comp. Licencias"/>
      <sheetName val="Otros"/>
      <sheetName val="Intermediarios de Seguros"/>
      <sheetName val="BMI GEN RE"/>
      <sheetName val="Varios"/>
      <sheetName val="Listado"/>
      <sheetName val="Movmejoras.amort."/>
      <sheetName val="Ant. Prove"/>
      <sheetName val="CxC  Varias"/>
      <sheetName val="Ag. en el exterior"/>
      <sheetName val="Aut.Portuarias"/>
      <sheetName val="Transporte Marítimo"/>
      <sheetName val="Análisis APT"/>
      <sheetName val="Detalle "/>
      <sheetName val="Detalle CxC varias"/>
      <sheetName val="Prést. y Ant. Empleados"/>
      <sheetName val="Gastos Compartidos"/>
      <sheetName val="Seguros Vigentes Final"/>
      <sheetName val="Mov. Impto Rta"/>
      <sheetName val="Ret. Fte. Pagadas"/>
      <sheetName val="Cuenta por Cobrar Varias"/>
      <sheetName val="Detalle varios"/>
      <sheetName val="Otras Lar. plazo"/>
      <sheetName val="Refact. Interc."/>
      <sheetName val="Anal. Segu"/>
      <sheetName val="Ant. Chat. Sucur.Fin"/>
      <sheetName val="Ant. Prov."/>
      <sheetName val="Ant. Chatarr."/>
      <sheetName val="Ant. Chat. Sucur."/>
      <sheetName val="Var. Cuent. Liq."/>
      <sheetName val="Retenciones"/>
      <sheetName val="Cobros posteriores IVA"/>
      <sheetName val="Pagos anticipados"/>
      <sheetName val="Anticipos Empleados 00"/>
      <sheetName val="Mov. Activos Fijos&amp;Intangibles"/>
      <sheetName val="Mejoras"/>
      <sheetName val="Hoja1"/>
      <sheetName val=" Límite Gasto Seguros"/>
      <sheetName val="Analisis Apt"/>
      <sheetName val="Movimiento I.R"/>
      <sheetName val="Empleados final"/>
      <sheetName val="Préstamos final"/>
      <sheetName val="Ant. Utilidades"/>
      <sheetName val="Prést. empl prelim"/>
      <sheetName val="Otras Garantías"/>
      <sheetName val="Varias CxC"/>
      <sheetName val="Fondo Viaje"/>
      <sheetName val="Abonos Clientes"/>
      <sheetName val="Análisis Clientes"/>
      <sheetName val="Depósitos en garantía"/>
      <sheetName val="Anticipo Clientes"/>
      <sheetName val="D. Otras Ctas. por Cobrar"/>
      <sheetName val="Reten"/>
      <sheetName val="Deli soda Husky"/>
      <sheetName val="Tablas de Amortización"/>
      <sheetName val="Segunda opinion"/>
      <sheetName val="Préstamos"/>
      <sheetName val="Anticipos contratistas"/>
      <sheetName val="Análisis Ant. Contratistas"/>
      <sheetName val="Otras CxC Contratistas"/>
      <sheetName val="Anticipos Contratistas Final"/>
      <sheetName val="Otras CxC Cont. Final"/>
      <sheetName val="Análisis Contratistas Final"/>
      <sheetName val="Retencion"/>
      <sheetName val="APT"/>
      <sheetName val="Sheet2"/>
      <sheetName val="Sheet3"/>
      <sheetName val="CMA Calculations- R Factor"/>
      <sheetName val="Garantía Punto Fa"/>
      <sheetName val="Otras Ctas. x Cobrar"/>
      <sheetName val="Anticipos Punto FA"/>
      <sheetName val="Confirmaciones relacionadas"/>
      <sheetName val="Notas EEFF"/>
      <sheetName val="Relacionadas"/>
      <sheetName val="Préstamos Accionistas"/>
      <sheetName val="Préstamos Empleados"/>
      <sheetName val="Detalle de Anticipos Varios"/>
      <sheetName val="APT Anticipos Varios"/>
      <sheetName val="Detalle de Servicios"/>
      <sheetName val="Análisis Amortización Anticipos"/>
      <sheetName val="Mov. Retenciones en la Fte."/>
      <sheetName val="Mov. Imp. Ren"/>
      <sheetName val="Mov. Imp. Renta"/>
      <sheetName val="G.AnticipCMA"/>
      <sheetName val="Límites"/>
      <sheetName val="Anticip Sueldos"/>
      <sheetName val="Anticip. entreg"/>
      <sheetName val="Land Tour"/>
      <sheetName val="Galápagos Operación"/>
      <sheetName val="ArriendFin"/>
      <sheetName val="Segros"/>
      <sheetName val="Sueldos"/>
      <sheetName val="Anticipo Sueldos"/>
      <sheetName val="Sobregiro de Nómina"/>
      <sheetName val="BSP"/>
      <sheetName val="Salmor"/>
      <sheetName val="ND Error Boletos"/>
      <sheetName val="CXC Boletos No FAct"/>
      <sheetName val="Anticipos empleados"/>
      <sheetName val="Deudores Varios"/>
      <sheetName val="CMA Calculations- Figure 5440.1"/>
      <sheetName val="Detalle Provmetalica"/>
      <sheetName val="Detalle Sucursales Chatarra"/>
      <sheetName val="Detalle de Garantías Grales."/>
      <sheetName val="Anticip"/>
      <sheetName val="Detalle (2)"/>
      <sheetName val="Varias cuentas por liquidar"/>
      <sheetName val="Otras Ctas por pagar"/>
      <sheetName val="deuda Mega Ltd"/>
      <sheetName val="Resumen Comisiones"/>
      <sheetName val="IC Advance"/>
      <sheetName val="Coverturas Seguros"/>
      <sheetName val="Detalle de póliza"/>
      <sheetName val="Análisis C. Tributario"/>
      <sheetName val="NC Aduana"/>
      <sheetName val="Ctas x Liquidar"/>
      <sheetName val="Detalle anticipo provedores"/>
      <sheetName val="CMA Calculations- Figure 54 (2)"/>
      <sheetName val="Anticipo Emplead."/>
      <sheetName val="Detalle avances"/>
      <sheetName val="Proveedores Final"/>
      <sheetName val="Notas"/>
      <sheetName val="Gastos APT"/>
      <sheetName val="Detalle Prov."/>
      <sheetName val="GRUFUSA"/>
      <sheetName val="Voucheo"/>
      <sheetName val="analisis prestamos"/>
      <sheetName val="CxC varios UIO"/>
      <sheetName val="Selección para MMA"/>
      <sheetName val="Cías Relacionadas"/>
      <sheetName val="Amortizaciones"/>
      <sheetName val="Cuentas Varias  Quito"/>
      <sheetName val="Análisis capital e intereses"/>
      <sheetName val="Movimiento Colocación Títulos"/>
      <sheetName val="Cálculo de amort. pérdida"/>
      <sheetName val="Funcionarios empleados"/>
      <sheetName val="Anticipo Proveedores(F) "/>
      <sheetName val="Anticipo Proveedores(P)"/>
      <sheetName val="Funcionarios empleados(P)"/>
      <sheetName val="Pólizas 2011 Consorcio (final)"/>
      <sheetName val="Pólizas 2011 Consorcio GLP"/>
      <sheetName val="Anticipos Prov. Final"/>
      <sheetName val="Analisis - APT"/>
      <sheetName val="Anticipos Prov. Prel."/>
      <sheetName val="Anticipos Contratistas Prel."/>
      <sheetName val="Análisis Anticipos Proveedores"/>
      <sheetName val="Análisis Anticipos Contratistas"/>
      <sheetName val="Análisis Gtos. Anticipados Sel."/>
      <sheetName val="Detalle de Préstamos a Empleado"/>
      <sheetName val="Selec"/>
      <sheetName val="Pres. Emp"/>
      <sheetName val="Cheq. Garant."/>
      <sheetName val="Anticipo renta"/>
      <sheetName val="Prest. Empleados Final"/>
      <sheetName val="Prest. Empleados Prel."/>
      <sheetName val="Revisión Prestamos Empleados"/>
      <sheetName val="Tickmarks (2)"/>
      <sheetName val="Anticipo"/>
      <sheetName val="Instalación Prof."/>
      <sheetName val="Membresías"/>
      <sheetName val="Inversión LP"/>
      <sheetName val="Límite buses"/>
      <sheetName val="Seguro"/>
      <sheetName val="Ant proveed"/>
      <sheetName val="Anti proveed"/>
      <sheetName val="Anticipo Construcciones"/>
      <sheetName val="Anticipos Compras especiales"/>
      <sheetName val="Subdetalles"/>
      <sheetName val="Transp. Marítimo"/>
      <sheetName val="Subdetalle"/>
      <sheetName val="Panamax"/>
      <sheetName val="CMA Calculations"/>
      <sheetName val="CMA Selections"/>
      <sheetName val="Movimiento Retenciones"/>
      <sheetName val="anticipo Prov. exterior"/>
      <sheetName val="ver"/>
      <sheetName val="Varios clientes"/>
      <sheetName val="Resumen"/>
      <sheetName val="Mov. Intereses Antic."/>
      <sheetName val="Anticipo a Contratistas"/>
      <sheetName val="Anticipo Prov. Nac. Final"/>
      <sheetName val="Lista"/>
      <sheetName val="Notas a los EEFF"/>
      <sheetName val="Avances proveedores"/>
      <sheetName val="Análisis Otros Diferidos (Prel)"/>
      <sheetName val="Análisis Otros Diferidos (fin)"/>
      <sheetName val="Análisis Otros Diferidos"/>
      <sheetName val="Anticipo Prov. Nac. Prel."/>
      <sheetName val="Seg. prel"/>
      <sheetName val="Seg. final"/>
      <sheetName val="Cuentas seleccionadas"/>
      <sheetName val="P.1. Detalle"/>
      <sheetName val="P.2.Anticipos Varios"/>
      <sheetName val="Anticipo Vs. Proveedores"/>
      <sheetName val="Anticipo Prov. Nacionales"/>
      <sheetName val="Análisis Anticipos Selecc. MMA"/>
      <sheetName val="Detalle anticipo proveedores "/>
      <sheetName val="Rev. Anticipo Proveedores"/>
      <sheetName val="Detalle anticipo sueldos "/>
      <sheetName val="Rev. Anticipo Sueldos"/>
      <sheetName val="Detalle Garantias "/>
      <sheetName val="Antic. Dic"/>
      <sheetName val="Anticipos Comisionistas Dec"/>
      <sheetName val="Anticipos Comisionistas Oct."/>
      <sheetName val="Anticipos Comisionistas"/>
      <sheetName val="CxC Egipto Sep"/>
      <sheetName val="CxC Egipto Jun"/>
      <sheetName val="Ant. Proveedores Sep"/>
      <sheetName val="Ant. IR"/>
      <sheetName val="Arriendos Antic"/>
      <sheetName val="Ant Utilidades"/>
      <sheetName val="Deudores  Varios"/>
      <sheetName val="Anexo"/>
      <sheetName val="Impuesto a la renta"/>
      <sheetName val="Procedimiento"/>
      <sheetName val="Observaciones"/>
      <sheetName val="Análisis de antiguedad"/>
      <sheetName val="CT Imp Retenidos"/>
      <sheetName val="Limites"/>
      <sheetName val="Detalle Otros Imp."/>
      <sheetName val="Detalle de IR"/>
      <sheetName val="General"/>
      <sheetName val="Anticipo Final"/>
      <sheetName val="Anticipo Prel."/>
      <sheetName val="Anticipos Comisionistas CP"/>
      <sheetName val="Préstamos al Personal"/>
      <sheetName val="Anticipo Acreedores Varios"/>
      <sheetName val="Dividendos"/>
      <sheetName val="Sublevante"/>
      <sheetName val="Diferencias"/>
      <sheetName val="Otras Ctas por cobrar"/>
      <sheetName val="Comisiones Final"/>
      <sheetName val="Comi. Prel"/>
      <sheetName val="Notas EF"/>
      <sheetName val="Prést. y Ant. Personal"/>
      <sheetName val="Avances a Proveedores"/>
      <sheetName val="Diferidos"/>
      <sheetName val="Calculo global IR"/>
      <sheetName val="Procedimientos"/>
      <sheetName val="Comentarios"/>
      <sheetName val="Detalle Boletos no factur. Dic."/>
      <sheetName val="Coteja Boletos no fact. 2012"/>
      <sheetName val="Mov. Provi. Boletos no factura."/>
      <sheetName val="Anticipo Proveedores Final"/>
      <sheetName val="Anticipo Proveedores Prel."/>
      <sheetName val="Gastos Antic. APT"/>
      <sheetName val="Gastos Antic. Proveed. Final"/>
      <sheetName val="Gastos Antic. Proveed. Prel."/>
      <sheetName val="ND Errores Boletos Fin."/>
      <sheetName val="ND Errores Boletos Prel."/>
      <sheetName val="Transitoria Cobranzas"/>
      <sheetName val="Anticipo Sueldos Final."/>
      <sheetName val="Anticipo Sueldos Prel."/>
      <sheetName val="Empleados a Noviembre 11"/>
      <sheetName val="Empleados a Diciembre 11"/>
    </sheetNames>
    <sheetDataSet>
      <sheetData sheetId="0"/>
      <sheetData sheetId="1"/>
      <sheetData sheetId="2"/>
      <sheetData sheetId="3"/>
      <sheetData sheetId="4"/>
      <sheetData sheetId="5"/>
      <sheetData sheetId="6"/>
      <sheetData sheetId="7"/>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refreshError="1"/>
      <sheetData sheetId="86" refreshError="1"/>
      <sheetData sheetId="87" refreshError="1"/>
      <sheetData sheetId="88" refreshError="1"/>
      <sheetData sheetId="89"/>
      <sheetData sheetId="90"/>
      <sheetData sheetId="91"/>
      <sheetData sheetId="92"/>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refreshError="1"/>
      <sheetData sheetId="121" refreshError="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refreshError="1"/>
      <sheetData sheetId="145" refreshError="1"/>
      <sheetData sheetId="146" refreshError="1"/>
      <sheetData sheetId="147" refreshError="1"/>
      <sheetData sheetId="148"/>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sheetData sheetId="163"/>
      <sheetData sheetId="164"/>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refreshError="1"/>
      <sheetData sheetId="236"/>
      <sheetData sheetId="237" refreshError="1"/>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refreshError="1"/>
      <sheetData sheetId="336" refreshError="1"/>
      <sheetData sheetId="337" refreshError="1"/>
      <sheetData sheetId="338" refreshError="1"/>
      <sheetData sheetId="339" refreshError="1"/>
      <sheetData sheetId="340"/>
      <sheetData sheetId="341" refreshError="1"/>
      <sheetData sheetId="342" refreshError="1"/>
      <sheetData sheetId="343"/>
      <sheetData sheetId="344"/>
      <sheetData sheetId="345"/>
      <sheetData sheetId="346"/>
      <sheetData sheetId="347" refreshError="1"/>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sheetData sheetId="378"/>
      <sheetData sheetId="379" refreshError="1"/>
      <sheetData sheetId="380"/>
      <sheetData sheetId="381"/>
      <sheetData sheetId="382"/>
      <sheetData sheetId="383"/>
      <sheetData sheetId="384"/>
      <sheetData sheetId="385" refreshError="1"/>
      <sheetData sheetId="386" refreshError="1"/>
      <sheetData sheetId="387"/>
      <sheetData sheetId="388"/>
      <sheetData sheetId="389"/>
      <sheetData sheetId="390" refreshError="1"/>
      <sheetData sheetId="391" refreshError="1"/>
      <sheetData sheetId="392"/>
      <sheetData sheetId="393"/>
      <sheetData sheetId="394"/>
      <sheetData sheetId="395"/>
      <sheetData sheetId="396" refreshError="1"/>
      <sheetData sheetId="397" refreshError="1"/>
      <sheetData sheetId="398"/>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refreshError="1"/>
      <sheetData sheetId="410" refreshError="1"/>
      <sheetData sheetId="411" refreshError="1"/>
      <sheetData sheetId="412"/>
      <sheetData sheetId="413"/>
      <sheetData sheetId="414" refreshError="1"/>
      <sheetData sheetId="415"/>
      <sheetData sheetId="416"/>
      <sheetData sheetId="417"/>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refreshError="1"/>
      <sheetData sheetId="433"/>
      <sheetData sheetId="434"/>
      <sheetData sheetId="435" refreshError="1"/>
      <sheetData sheetId="436" refreshError="1"/>
      <sheetData sheetId="437"/>
      <sheetData sheetId="438"/>
      <sheetData sheetId="439" refreshError="1"/>
      <sheetData sheetId="440" refreshError="1"/>
      <sheetData sheetId="441" refreshError="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sheetData sheetId="457"/>
      <sheetData sheetId="458"/>
      <sheetData sheetId="459"/>
      <sheetData sheetId="460"/>
      <sheetData sheetId="461"/>
      <sheetData sheetId="462"/>
      <sheetData sheetId="463"/>
      <sheetData sheetId="464"/>
      <sheetData sheetId="465"/>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BB 31-dic-00"/>
      <sheetName val="OBB"/>
      <sheetName val="RESUMEN OBB"/>
      <sheetName val="CONCILIACION"/>
      <sheetName val="#REF"/>
    </sheetNames>
    <sheetDataSet>
      <sheetData sheetId="0"/>
      <sheetData sheetId="1"/>
      <sheetData sheetId="2"/>
      <sheetData sheetId="3"/>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TD"/>
      <sheetName val="Resumen Inflación"/>
      <sheetName val="INGRESOS"/>
      <sheetName val="FORECAST"/>
      <sheetName val="COS &amp; Expenses"/>
      <sheetName val="ER"/>
      <sheetName val="RESUMEN"/>
      <sheetName val="Hoja1 (2)"/>
      <sheetName val="DETALLE INGRESOS"/>
      <sheetName val="DETALLE GASTOS"/>
      <sheetName val="CC"/>
      <sheetName val="MyR Tec - Inlfación"/>
      <sheetName val="Ingresos Otros"/>
      <sheetName val="Detalle Otros Ingresos"/>
      <sheetName val="Hoja1"/>
      <sheetName val="Seguros"/>
      <sheetName val="DATOS182707"/>
    </sheetNames>
    <sheetDataSet>
      <sheetData sheetId="0"/>
      <sheetData sheetId="1"/>
      <sheetData sheetId="2"/>
      <sheetData sheetId="3"/>
      <sheetData sheetId="4"/>
      <sheetData sheetId="5">
        <row r="9">
          <cell r="P9" t="e">
            <v>#NAME?</v>
          </cell>
        </row>
        <row r="105">
          <cell r="P105" t="e">
            <v>#NAME?</v>
          </cell>
        </row>
        <row r="146">
          <cell r="P146" t="e">
            <v>#NAME?</v>
          </cell>
        </row>
        <row r="147">
          <cell r="P147" t="e">
            <v>#NAME?</v>
          </cell>
        </row>
        <row r="148">
          <cell r="P148" t="e">
            <v>#NAME?</v>
          </cell>
        </row>
        <row r="154">
          <cell r="N154">
            <v>2008</v>
          </cell>
        </row>
        <row r="155">
          <cell r="N155">
            <v>7</v>
          </cell>
        </row>
        <row r="156">
          <cell r="N156">
            <v>7</v>
          </cell>
        </row>
        <row r="166">
          <cell r="P166" t="e">
            <v>#NAME?</v>
          </cell>
        </row>
        <row r="167">
          <cell r="P167" t="e">
            <v>#NAME?</v>
          </cell>
        </row>
        <row r="176">
          <cell r="B176" t="str">
            <v>50020105</v>
          </cell>
          <cell r="O176" t="e">
            <v>#NAME?</v>
          </cell>
        </row>
        <row r="177">
          <cell r="B177" t="str">
            <v>50020125</v>
          </cell>
          <cell r="O177" t="e">
            <v>#NAME?</v>
          </cell>
        </row>
        <row r="178">
          <cell r="B178" t="str">
            <v>543</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arativo"/>
      <sheetName val="BG"/>
      <sheetName val="ER"/>
      <sheetName val="Datos Iniciales"/>
    </sheetNames>
    <sheetDataSet>
      <sheetData sheetId="0"/>
      <sheetData sheetId="1"/>
      <sheetData sheetId="2">
        <row r="9">
          <cell r="H9">
            <v>-3248215.24</v>
          </cell>
        </row>
        <row r="15">
          <cell r="H15">
            <v>-5843.53</v>
          </cell>
        </row>
        <row r="20">
          <cell r="H20">
            <v>2876347.0199999996</v>
          </cell>
        </row>
        <row r="23">
          <cell r="H23">
            <v>1225568.6200000001</v>
          </cell>
        </row>
        <row r="149">
          <cell r="H149">
            <v>2310114.2900000005</v>
          </cell>
        </row>
        <row r="150">
          <cell r="H150">
            <v>176313.02999999974</v>
          </cell>
        </row>
        <row r="151">
          <cell r="H151">
            <v>25785.289999999994</v>
          </cell>
        </row>
        <row r="152">
          <cell r="H152">
            <v>14701.310000000001</v>
          </cell>
        </row>
        <row r="153">
          <cell r="H153">
            <v>29322.13</v>
          </cell>
        </row>
        <row r="154">
          <cell r="H154">
            <v>36246.950000000004</v>
          </cell>
        </row>
        <row r="155">
          <cell r="H155">
            <v>0</v>
          </cell>
        </row>
        <row r="156">
          <cell r="H156">
            <v>0</v>
          </cell>
        </row>
        <row r="157">
          <cell r="H157">
            <v>75057.58</v>
          </cell>
        </row>
        <row r="158">
          <cell r="H158">
            <v>21285.11</v>
          </cell>
        </row>
        <row r="159">
          <cell r="H159">
            <v>0</v>
          </cell>
        </row>
        <row r="160">
          <cell r="H160">
            <v>486.5</v>
          </cell>
        </row>
        <row r="161">
          <cell r="H161">
            <v>140.5</v>
          </cell>
        </row>
        <row r="164">
          <cell r="H164">
            <v>4629.8600000000006</v>
          </cell>
        </row>
      </sheetData>
      <sheetData sheetId="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
      <sheetName val="Determinación de la muestra"/>
      <sheetName val="CMA Calculations- Figure 5440.1"/>
      <sheetName val="CMA Selections"/>
      <sheetName val="XREF"/>
      <sheetName val="Tickmarks"/>
      <sheetName val="CMA_SampleDesign"/>
      <sheetName val="DialogInsert"/>
      <sheetName val="Selección del Metodo"/>
      <sheetName val="#REF"/>
    </sheetNames>
    <sheetDataSet>
      <sheetData sheetId="0" refreshError="1"/>
      <sheetData sheetId="1" refreshError="1"/>
      <sheetData sheetId="2">
        <row r="201">
          <cell r="D201">
            <v>58745</v>
          </cell>
          <cell r="I201">
            <v>-9994.3799999999974</v>
          </cell>
        </row>
      </sheetData>
      <sheetData sheetId="3" refreshError="1"/>
      <sheetData sheetId="4" refreshError="1"/>
      <sheetData sheetId="5" refreshError="1"/>
      <sheetData sheetId="6" refreshError="1"/>
      <sheetData sheetId="7" refreshError="1"/>
      <sheetData sheetId="8"/>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09 01"/>
      <sheetName val="LISTADO 09 01"/>
      <sheetName val="DEPRECIADOS TOTALMENTE"/>
      <sheetName val="Import Transito"/>
      <sheetName val="DIARIO"/>
    </sheetNames>
    <sheetDataSet>
      <sheetData sheetId="0" refreshError="1"/>
      <sheetData sheetId="1"/>
      <sheetData sheetId="2" refreshError="1"/>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AMORTIZAC."/>
      <sheetName val="INDICES"/>
    </sheetNames>
    <sheetDataSet>
      <sheetData sheetId="0" refreshError="1"/>
      <sheetData sheetId="1">
        <row r="1">
          <cell r="A1" t="str">
            <v>FECHA</v>
          </cell>
          <cell r="C1" t="str">
            <v>INDICE</v>
          </cell>
          <cell r="D1">
            <v>35431</v>
          </cell>
          <cell r="E1">
            <v>35462</v>
          </cell>
          <cell r="F1">
            <v>35490</v>
          </cell>
          <cell r="G1">
            <v>35521</v>
          </cell>
          <cell r="H1">
            <v>35551</v>
          </cell>
          <cell r="I1">
            <v>35582</v>
          </cell>
          <cell r="J1">
            <v>35612</v>
          </cell>
          <cell r="K1">
            <v>35643</v>
          </cell>
          <cell r="L1">
            <v>35674</v>
          </cell>
          <cell r="M1">
            <v>35704</v>
          </cell>
          <cell r="N1">
            <v>35735</v>
          </cell>
          <cell r="O1">
            <v>35765</v>
          </cell>
          <cell r="P1">
            <v>35796</v>
          </cell>
          <cell r="Q1">
            <v>35827</v>
          </cell>
          <cell r="R1">
            <v>35855</v>
          </cell>
          <cell r="S1">
            <v>35886</v>
          </cell>
          <cell r="T1">
            <v>35916</v>
          </cell>
          <cell r="U1">
            <v>35947</v>
          </cell>
          <cell r="V1">
            <v>35977</v>
          </cell>
          <cell r="W1">
            <v>36008</v>
          </cell>
          <cell r="X1">
            <v>36039</v>
          </cell>
          <cell r="Y1">
            <v>36069</v>
          </cell>
          <cell r="Z1">
            <v>36100</v>
          </cell>
          <cell r="AA1">
            <v>36130</v>
          </cell>
          <cell r="AB1">
            <v>36161</v>
          </cell>
          <cell r="AC1">
            <v>36192</v>
          </cell>
          <cell r="AD1">
            <v>36220</v>
          </cell>
          <cell r="AE1">
            <v>36251</v>
          </cell>
          <cell r="AF1">
            <v>36281</v>
          </cell>
          <cell r="AG1">
            <v>36312</v>
          </cell>
          <cell r="AH1">
            <v>36342</v>
          </cell>
          <cell r="AI1">
            <v>36373</v>
          </cell>
          <cell r="AJ1">
            <v>36404</v>
          </cell>
          <cell r="AK1">
            <v>36434</v>
          </cell>
          <cell r="AL1">
            <v>36465</v>
          </cell>
          <cell r="AM1">
            <v>36495</v>
          </cell>
          <cell r="AN1">
            <v>36526</v>
          </cell>
          <cell r="AO1">
            <v>36557</v>
          </cell>
          <cell r="AP1">
            <v>36586</v>
          </cell>
          <cell r="AQ1">
            <v>36617</v>
          </cell>
        </row>
        <row r="2">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row>
        <row r="3">
          <cell r="A3">
            <v>35431</v>
          </cell>
          <cell r="B3">
            <v>3</v>
          </cell>
          <cell r="C3">
            <v>0.04</v>
          </cell>
          <cell r="D3">
            <v>0.04</v>
          </cell>
        </row>
        <row r="4">
          <cell r="A4">
            <v>35462</v>
          </cell>
          <cell r="B4">
            <v>4</v>
          </cell>
          <cell r="C4">
            <v>0.06</v>
          </cell>
          <cell r="D4">
            <v>0.10240000000000005</v>
          </cell>
          <cell r="E4">
            <v>0.06</v>
          </cell>
        </row>
        <row r="5">
          <cell r="A5">
            <v>35490</v>
          </cell>
          <cell r="B5">
            <v>5</v>
          </cell>
          <cell r="C5">
            <v>3.4700000000000002E-2</v>
          </cell>
          <cell r="D5">
            <v>0.14065327999999999</v>
          </cell>
          <cell r="E5">
            <v>9.6781999999999924E-2</v>
          </cell>
          <cell r="F5">
            <v>3.4700000000000002E-2</v>
          </cell>
        </row>
        <row r="6">
          <cell r="A6">
            <v>35521</v>
          </cell>
          <cell r="B6">
            <v>6</v>
          </cell>
          <cell r="C6">
            <v>1.46E-2</v>
          </cell>
          <cell r="D6">
            <v>0.15730681788799994</v>
          </cell>
          <cell r="E6">
            <v>0.11279501719999985</v>
          </cell>
          <cell r="F6">
            <v>4.9806619999999802E-2</v>
          </cell>
          <cell r="G6">
            <v>1.46E-2</v>
          </cell>
        </row>
        <row r="7">
          <cell r="A7">
            <v>35551</v>
          </cell>
          <cell r="B7">
            <v>7</v>
          </cell>
          <cell r="C7">
            <v>2.0400000000000001E-2</v>
          </cell>
          <cell r="D7">
            <v>0.18091587697291511</v>
          </cell>
          <cell r="E7">
            <v>0.13549603555087986</v>
          </cell>
          <cell r="F7">
            <v>7.1222675047999839E-2</v>
          </cell>
          <cell r="G7">
            <v>3.5297839999999914E-2</v>
          </cell>
          <cell r="H7">
            <v>2.0400000000000001E-2</v>
          </cell>
        </row>
        <row r="8">
          <cell r="A8">
            <v>35582</v>
          </cell>
          <cell r="B8">
            <v>8</v>
          </cell>
          <cell r="C8">
            <v>1.5299999999999999E-2</v>
          </cell>
          <cell r="D8">
            <v>0.1989838898906009</v>
          </cell>
          <cell r="E8">
            <v>0.15286912489480842</v>
          </cell>
          <cell r="F8">
            <v>8.7612381976234444E-2</v>
          </cell>
          <cell r="G8">
            <v>5.1137896951999995E-2</v>
          </cell>
          <cell r="H8">
            <v>3.6012120000000092E-2</v>
          </cell>
          <cell r="I8">
            <v>1.5299999999999999E-2</v>
          </cell>
        </row>
        <row r="9">
          <cell r="A9">
            <v>35612</v>
          </cell>
          <cell r="B9">
            <v>9</v>
          </cell>
          <cell r="C9">
            <v>1.3899999999999999E-2</v>
          </cell>
          <cell r="D9">
            <v>0.21564976596008023</v>
          </cell>
          <cell r="E9">
            <v>0.16889400573084634</v>
          </cell>
          <cell r="F9">
            <v>0.10273019408570416</v>
          </cell>
          <cell r="G9">
            <v>6.5748713719632867E-2</v>
          </cell>
          <cell r="H9">
            <v>5.0412688468000066E-2</v>
          </cell>
          <cell r="I9">
            <v>2.9412670000000141E-2</v>
          </cell>
          <cell r="J9">
            <v>1.3899999999999999E-2</v>
          </cell>
        </row>
        <row r="10">
          <cell r="A10">
            <v>35643</v>
          </cell>
          <cell r="B10">
            <v>10</v>
          </cell>
          <cell r="C10">
            <v>2.06E-2</v>
          </cell>
          <cell r="D10">
            <v>0.24069215113885778</v>
          </cell>
          <cell r="E10">
            <v>0.19297322224890179</v>
          </cell>
          <cell r="F10">
            <v>0.12544643608386963</v>
          </cell>
          <cell r="G10">
            <v>8.7703137222257199E-2</v>
          </cell>
          <cell r="H10">
            <v>7.2051189850440789E-2</v>
          </cell>
          <cell r="I10">
            <v>5.0618571002000179E-2</v>
          </cell>
          <cell r="J10">
            <v>3.4786339999999916E-2</v>
          </cell>
          <cell r="K10">
            <v>2.06E-2</v>
          </cell>
        </row>
        <row r="11">
          <cell r="A11">
            <v>35674</v>
          </cell>
          <cell r="B11">
            <v>11</v>
          </cell>
          <cell r="C11">
            <v>1.2999999999999999E-2</v>
          </cell>
          <cell r="D11">
            <v>0.25682114910366272</v>
          </cell>
          <cell r="E11">
            <v>0.20848187413813735</v>
          </cell>
          <cell r="F11">
            <v>0.14007723975295971</v>
          </cell>
          <cell r="G11">
            <v>0.10184327800614645</v>
          </cell>
          <cell r="H11">
            <v>8.5987855318496509E-2</v>
          </cell>
          <cell r="I11">
            <v>6.4276612425026025E-2</v>
          </cell>
          <cell r="J11">
            <v>4.8238562419999909E-2</v>
          </cell>
          <cell r="K11">
            <v>3.3867799999999892E-2</v>
          </cell>
          <cell r="L11">
            <v>1.2999999999999999E-2</v>
          </cell>
        </row>
        <row r="12">
          <cell r="A12">
            <v>35704</v>
          </cell>
          <cell r="B12">
            <v>12</v>
          </cell>
          <cell r="C12">
            <v>2.3E-2</v>
          </cell>
          <cell r="D12">
            <v>0.28572803553304693</v>
          </cell>
          <cell r="E12">
            <v>0.23627695724331432</v>
          </cell>
          <cell r="F12">
            <v>0.16629901626727772</v>
          </cell>
          <cell r="G12">
            <v>0.12718567340028764</v>
          </cell>
          <cell r="H12">
            <v>0.11096557599082191</v>
          </cell>
          <cell r="I12">
            <v>8.875497451080161E-2</v>
          </cell>
          <cell r="J12">
            <v>7.234804935565986E-2</v>
          </cell>
          <cell r="K12">
            <v>5.7646759399999858E-2</v>
          </cell>
          <cell r="L12">
            <v>3.6298999999999859E-2</v>
          </cell>
          <cell r="M12">
            <v>2.3E-2</v>
          </cell>
        </row>
        <row r="13">
          <cell r="A13">
            <v>35735</v>
          </cell>
          <cell r="B13">
            <v>13</v>
          </cell>
          <cell r="C13">
            <v>1.7999999999999999E-2</v>
          </cell>
          <cell r="D13">
            <v>0.30887114017264183</v>
          </cell>
          <cell r="E13">
            <v>0.25852994247369399</v>
          </cell>
          <cell r="F13">
            <v>0.18729239856008872</v>
          </cell>
          <cell r="G13">
            <v>0.14747501552149278</v>
          </cell>
          <cell r="H13">
            <v>0.13096295635865673</v>
          </cell>
          <cell r="I13">
            <v>0.108352564051996</v>
          </cell>
          <cell r="J13">
            <v>9.165031424406167E-2</v>
          </cell>
          <cell r="K13">
            <v>7.6684401069199826E-2</v>
          </cell>
          <cell r="L13">
            <v>5.4952381999999966E-2</v>
          </cell>
          <cell r="M13">
            <v>4.141399999999984E-2</v>
          </cell>
          <cell r="N13">
            <v>1.7999999999999999E-2</v>
          </cell>
        </row>
        <row r="14">
          <cell r="A14">
            <v>35765</v>
          </cell>
          <cell r="B14">
            <v>14</v>
          </cell>
          <cell r="C14">
            <v>1.4E-2</v>
          </cell>
          <cell r="D14">
            <v>0.3271953361350588</v>
          </cell>
          <cell r="E14">
            <v>0.27614936166832571</v>
          </cell>
          <cell r="F14">
            <v>0.20391449213993007</v>
          </cell>
          <cell r="G14">
            <v>0.16353966573879375</v>
          </cell>
          <cell r="H14">
            <v>0.14679643774767803</v>
          </cell>
          <cell r="I14">
            <v>0.12386949994872398</v>
          </cell>
          <cell r="J14">
            <v>0.1069334186434785</v>
          </cell>
          <cell r="K14">
            <v>9.1757982684168571E-2</v>
          </cell>
          <cell r="L14">
            <v>6.9721715347999869E-2</v>
          </cell>
          <cell r="M14">
            <v>5.5993795999999874E-2</v>
          </cell>
          <cell r="N14">
            <v>3.2251999999999947E-2</v>
          </cell>
          <cell r="O14">
            <v>1.4E-2</v>
          </cell>
        </row>
        <row r="15">
          <cell r="A15">
            <v>35796</v>
          </cell>
          <cell r="B15">
            <v>15</v>
          </cell>
          <cell r="C15">
            <v>1.9E-2</v>
          </cell>
          <cell r="D15">
            <v>0.3524120475216248</v>
          </cell>
          <cell r="E15">
            <v>0.30039619954002372</v>
          </cell>
          <cell r="F15">
            <v>0.22678886749058869</v>
          </cell>
          <cell r="G15">
            <v>0.18564691938783073</v>
          </cell>
          <cell r="H15">
            <v>0.16858557006488373</v>
          </cell>
          <cell r="I15">
            <v>0.1452230204477496</v>
          </cell>
          <cell r="J15">
            <v>0.12796515359770444</v>
          </cell>
          <cell r="K15">
            <v>0.11250138435516766</v>
          </cell>
          <cell r="L15">
            <v>9.0046427939611817E-2</v>
          </cell>
          <cell r="M15">
            <v>7.6057678123999661E-2</v>
          </cell>
          <cell r="N15">
            <v>5.1864787999999828E-2</v>
          </cell>
          <cell r="O15">
            <v>3.3266000000000018E-2</v>
          </cell>
          <cell r="P15">
            <v>1.9E-2</v>
          </cell>
        </row>
        <row r="16">
          <cell r="A16">
            <v>35827</v>
          </cell>
          <cell r="B16">
            <v>16</v>
          </cell>
          <cell r="C16">
            <v>0.04</v>
          </cell>
          <cell r="D16">
            <v>0.40650852942248994</v>
          </cell>
          <cell r="E16">
            <v>0.3524120475216248</v>
          </cell>
          <cell r="F16">
            <v>0.27586042219021234</v>
          </cell>
          <cell r="G16">
            <v>0.23307279616334409</v>
          </cell>
          <cell r="H16">
            <v>0.21532899286747909</v>
          </cell>
          <cell r="I16">
            <v>0.19103194126565959</v>
          </cell>
          <cell r="J16">
            <v>0.17308375974161261</v>
          </cell>
          <cell r="K16">
            <v>0.15700143972937441</v>
          </cell>
          <cell r="L16">
            <v>0.13364828505719628</v>
          </cell>
          <cell r="M16">
            <v>0.11909998524895959</v>
          </cell>
          <cell r="N16">
            <v>9.3939379519999866E-2</v>
          </cell>
          <cell r="O16">
            <v>7.4596639999999992E-2</v>
          </cell>
          <cell r="P16">
            <v>5.9760000000000035E-2</v>
          </cell>
          <cell r="Q16">
            <v>0.04</v>
          </cell>
        </row>
        <row r="17">
          <cell r="A17">
            <v>35855</v>
          </cell>
          <cell r="B17">
            <v>17</v>
          </cell>
          <cell r="C17">
            <v>4.4999999999999998E-2</v>
          </cell>
          <cell r="D17">
            <v>0.46980141324650182</v>
          </cell>
          <cell r="E17">
            <v>0.41327058966009789</v>
          </cell>
          <cell r="F17">
            <v>0.33327414118877186</v>
          </cell>
          <cell r="G17">
            <v>0.28856107199069458</v>
          </cell>
          <cell r="H17">
            <v>0.27001879754651559</v>
          </cell>
          <cell r="I17">
            <v>0.24462837862261422</v>
          </cell>
          <cell r="J17">
            <v>0.22587252892998499</v>
          </cell>
          <cell r="K17">
            <v>0.20906650451719622</v>
          </cell>
          <cell r="L17">
            <v>0.18466245788476998</v>
          </cell>
          <cell r="M17">
            <v>0.16945948458516269</v>
          </cell>
          <cell r="N17">
            <v>0.14316665159839981</v>
          </cell>
          <cell r="O17">
            <v>0.1229534887999999</v>
          </cell>
          <cell r="P17">
            <v>0.10744920000000002</v>
          </cell>
          <cell r="Q17">
            <v>8.6799999999999988E-2</v>
          </cell>
          <cell r="R17">
            <v>4.4999999999999998E-2</v>
          </cell>
        </row>
        <row r="18">
          <cell r="A18">
            <v>35886</v>
          </cell>
          <cell r="B18">
            <v>18</v>
          </cell>
          <cell r="C18">
            <v>2.7E-2</v>
          </cell>
          <cell r="D18">
            <v>0.50948605140415726</v>
          </cell>
          <cell r="E18">
            <v>0.45142889558092048</v>
          </cell>
          <cell r="F18">
            <v>0.36927254300086854</v>
          </cell>
          <cell r="G18">
            <v>0.32335222093444327</v>
          </cell>
          <cell r="H18">
            <v>0.30430930508027143</v>
          </cell>
          <cell r="I18">
            <v>0.27823334484542461</v>
          </cell>
          <cell r="J18">
            <v>0.25897108721109441</v>
          </cell>
          <cell r="K18">
            <v>0.24171130013916042</v>
          </cell>
          <cell r="L18">
            <v>0.21664834424765878</v>
          </cell>
          <cell r="M18">
            <v>0.20103489066896207</v>
          </cell>
          <cell r="N18">
            <v>0.17403215119155657</v>
          </cell>
          <cell r="O18">
            <v>0.15327323299759987</v>
          </cell>
          <cell r="P18">
            <v>0.13735032839999994</v>
          </cell>
          <cell r="Q18">
            <v>0.11614359999999979</v>
          </cell>
          <cell r="R18">
            <v>7.3214999999999808E-2</v>
          </cell>
          <cell r="S18">
            <v>2.7E-2</v>
          </cell>
        </row>
        <row r="19">
          <cell r="A19">
            <v>35916</v>
          </cell>
          <cell r="B19">
            <v>19</v>
          </cell>
          <cell r="C19">
            <v>4.3999999999999997E-2</v>
          </cell>
          <cell r="D19">
            <v>0.57590343766594021</v>
          </cell>
          <cell r="E19">
            <v>0.51529176698648094</v>
          </cell>
          <cell r="F19">
            <v>0.42952053489290676</v>
          </cell>
          <cell r="G19">
            <v>0.38157971865555873</v>
          </cell>
          <cell r="H19">
            <v>0.36169891450380343</v>
          </cell>
          <cell r="I19">
            <v>0.33447561201862341</v>
          </cell>
          <cell r="J19">
            <v>0.31436581504838257</v>
          </cell>
          <cell r="K19">
            <v>0.29634659734528346</v>
          </cell>
          <cell r="L19">
            <v>0.27018087139455571</v>
          </cell>
          <cell r="M19">
            <v>0.25388042585839643</v>
          </cell>
          <cell r="N19">
            <v>0.22568956584398503</v>
          </cell>
          <cell r="O19">
            <v>0.20401725524949432</v>
          </cell>
          <cell r="P19">
            <v>0.18739374284959998</v>
          </cell>
          <cell r="Q19">
            <v>0.16525391839999992</v>
          </cell>
          <cell r="R19">
            <v>0.12043645999999986</v>
          </cell>
          <cell r="S19">
            <v>7.2187999999999919E-2</v>
          </cell>
          <cell r="T19">
            <v>4.3999999999999997E-2</v>
          </cell>
        </row>
        <row r="20">
          <cell r="A20">
            <v>35947</v>
          </cell>
          <cell r="B20">
            <v>20</v>
          </cell>
          <cell r="C20">
            <v>1.7999999999999999E-2</v>
          </cell>
          <cell r="D20">
            <v>0.60426969954392717</v>
          </cell>
          <cell r="E20">
            <v>0.54256701879223757</v>
          </cell>
          <cell r="F20">
            <v>0.45525190452097908</v>
          </cell>
          <cell r="G20">
            <v>0.40644815359135888</v>
          </cell>
          <cell r="H20">
            <v>0.386209494964872</v>
          </cell>
          <cell r="I20">
            <v>0.35849617303495873</v>
          </cell>
          <cell r="J20">
            <v>0.33802439971925358</v>
          </cell>
          <cell r="K20">
            <v>0.31968083609749853</v>
          </cell>
          <cell r="L20">
            <v>0.29304412707965777</v>
          </cell>
          <cell r="M20">
            <v>0.27645027352384766</v>
          </cell>
          <cell r="N20">
            <v>0.24775197802917681</v>
          </cell>
          <cell r="O20">
            <v>0.22568956584398525</v>
          </cell>
          <cell r="P20">
            <v>0.20876683022089271</v>
          </cell>
          <cell r="Q20">
            <v>0.18622848893120003</v>
          </cell>
          <cell r="R20">
            <v>0.14060431627999992</v>
          </cell>
          <cell r="S20">
            <v>9.1487383999999894E-2</v>
          </cell>
          <cell r="T20">
            <v>6.2791999999999959E-2</v>
          </cell>
          <cell r="U20">
            <v>1.8000000000000016E-2</v>
          </cell>
        </row>
        <row r="21">
          <cell r="A21">
            <v>35977</v>
          </cell>
          <cell r="B21">
            <v>21</v>
          </cell>
          <cell r="C21">
            <v>2.9000000000000001E-2</v>
          </cell>
          <cell r="D21">
            <v>0.65079352083070097</v>
          </cell>
          <cell r="E21">
            <v>0.58730146233721237</v>
          </cell>
          <cell r="F21">
            <v>0.49745420975208732</v>
          </cell>
          <cell r="G21">
            <v>0.44723515004550807</v>
          </cell>
          <cell r="H21">
            <v>0.42640957031885307</v>
          </cell>
          <cell r="I21">
            <v>0.39789256205297252</v>
          </cell>
          <cell r="J21">
            <v>0.3768271073111118</v>
          </cell>
          <cell r="K21">
            <v>0.35795158034432584</v>
          </cell>
          <cell r="L21">
            <v>0.33054240676496782</v>
          </cell>
          <cell r="M21">
            <v>0.31346733145603922</v>
          </cell>
          <cell r="N21">
            <v>0.28393678539202294</v>
          </cell>
          <cell r="O21">
            <v>0.26123456325346073</v>
          </cell>
          <cell r="P21">
            <v>0.24382106829729855</v>
          </cell>
          <cell r="Q21">
            <v>0.22062911511020467</v>
          </cell>
          <cell r="R21">
            <v>0.17368184145211973</v>
          </cell>
          <cell r="S21">
            <v>0.12314051813599969</v>
          </cell>
          <cell r="T21">
            <v>9.3612967999999963E-2</v>
          </cell>
          <cell r="U21">
            <v>4.7521999999999842E-2</v>
          </cell>
          <cell r="V21">
            <v>2.8999999999999915E-2</v>
          </cell>
        </row>
        <row r="22">
          <cell r="A22">
            <v>36008</v>
          </cell>
          <cell r="B22">
            <v>22</v>
          </cell>
          <cell r="C22">
            <v>8.0000000000000002E-3</v>
          </cell>
          <cell r="D22">
            <v>0.66399986899734653</v>
          </cell>
          <cell r="E22">
            <v>0.59999987403591004</v>
          </cell>
          <cell r="F22">
            <v>0.50943384343010401</v>
          </cell>
          <cell r="G22">
            <v>0.45881303124587225</v>
          </cell>
          <cell r="H22">
            <v>0.43782084688140399</v>
          </cell>
          <cell r="I22">
            <v>0.40907570254939629</v>
          </cell>
          <cell r="J22">
            <v>0.38784172416960061</v>
          </cell>
          <cell r="K22">
            <v>0.36881519298708043</v>
          </cell>
          <cell r="L22">
            <v>0.34118674601908761</v>
          </cell>
          <cell r="M22">
            <v>0.32397507010768756</v>
          </cell>
          <cell r="N22">
            <v>0.29420827967515906</v>
          </cell>
          <cell r="O22">
            <v>0.2713244397594885</v>
          </cell>
          <cell r="P22">
            <v>0.25377163684367687</v>
          </cell>
          <cell r="Q22">
            <v>0.23039414803108627</v>
          </cell>
          <cell r="R22">
            <v>0.18307129618373663</v>
          </cell>
          <cell r="S22">
            <v>0.1321256422810877</v>
          </cell>
          <cell r="T22">
            <v>0.10236187174400002</v>
          </cell>
          <cell r="U22">
            <v>5.5902175999999804E-2</v>
          </cell>
          <cell r="V22">
            <v>3.7231999999999932E-2</v>
          </cell>
          <cell r="W22">
            <v>8.0000000000000071E-3</v>
          </cell>
        </row>
        <row r="23">
          <cell r="A23">
            <v>36039</v>
          </cell>
          <cell r="B23">
            <v>23</v>
          </cell>
          <cell r="C23">
            <v>1.2999999999999999E-2</v>
          </cell>
          <cell r="D23">
            <v>0.6856318672943118</v>
          </cell>
          <cell r="E23">
            <v>0.62079987239837675</v>
          </cell>
          <cell r="F23">
            <v>0.52905648339469513</v>
          </cell>
          <cell r="G23">
            <v>0.47777760065206842</v>
          </cell>
          <cell r="H23">
            <v>0.456512517890862</v>
          </cell>
          <cell r="I23">
            <v>0.4273936866825383</v>
          </cell>
          <cell r="J23">
            <v>0.40588366658380526</v>
          </cell>
          <cell r="K23">
            <v>0.38660979049591226</v>
          </cell>
          <cell r="L23">
            <v>0.35862217371733562</v>
          </cell>
          <cell r="M23">
            <v>0.34118674601908738</v>
          </cell>
          <cell r="N23">
            <v>0.31103298731093609</v>
          </cell>
          <cell r="O23">
            <v>0.28785165747636166</v>
          </cell>
          <cell r="P23">
            <v>0.27007066812264457</v>
          </cell>
          <cell r="Q23">
            <v>0.24638927195549032</v>
          </cell>
          <cell r="R23">
            <v>0.1984512230341251</v>
          </cell>
          <cell r="S23">
            <v>0.14684327563074162</v>
          </cell>
          <cell r="T23">
            <v>0.11669257607667194</v>
          </cell>
          <cell r="U23">
            <v>6.9628904287999616E-2</v>
          </cell>
          <cell r="V23">
            <v>5.0716015999999753E-2</v>
          </cell>
          <cell r="W23">
            <v>2.1104000000000012E-2</v>
          </cell>
          <cell r="X23">
            <v>1.2999999999999901E-2</v>
          </cell>
        </row>
        <row r="24">
          <cell r="A24">
            <v>36069</v>
          </cell>
          <cell r="B24">
            <v>24</v>
          </cell>
          <cell r="C24">
            <v>5.0999999999999997E-2</v>
          </cell>
          <cell r="D24">
            <v>0.77159909252632164</v>
          </cell>
          <cell r="E24">
            <v>0.70346066589069389</v>
          </cell>
          <cell r="F24">
            <v>0.60703836404782452</v>
          </cell>
          <cell r="G24">
            <v>0.55314425828532388</v>
          </cell>
          <cell r="H24">
            <v>0.53079465630329592</v>
          </cell>
          <cell r="I24">
            <v>0.50019076470334767</v>
          </cell>
          <cell r="J24">
            <v>0.47758373357957917</v>
          </cell>
          <cell r="K24">
            <v>0.45732688981120373</v>
          </cell>
          <cell r="L24">
            <v>0.42791190457691974</v>
          </cell>
          <cell r="M24">
            <v>0.40958727006606077</v>
          </cell>
          <cell r="N24">
            <v>0.37789566966379384</v>
          </cell>
          <cell r="O24">
            <v>0.35353209200765612</v>
          </cell>
          <cell r="P24">
            <v>0.33484427219689938</v>
          </cell>
          <cell r="Q24">
            <v>0.30995512482522014</v>
          </cell>
          <cell r="R24">
            <v>0.25957223540886543</v>
          </cell>
          <cell r="S24">
            <v>0.20533228268790937</v>
          </cell>
          <cell r="T24">
            <v>0.17364389745658215</v>
          </cell>
          <cell r="U24">
            <v>0.12417997840668749</v>
          </cell>
          <cell r="V24">
            <v>0.10430253281599966</v>
          </cell>
          <cell r="W24">
            <v>7.3180303999999863E-2</v>
          </cell>
          <cell r="X24">
            <v>6.4662999999999915E-2</v>
          </cell>
          <cell r="Y24">
            <v>5.0999999999999934E-2</v>
          </cell>
        </row>
        <row r="25">
          <cell r="A25">
            <v>36100</v>
          </cell>
          <cell r="B25">
            <v>25</v>
          </cell>
          <cell r="C25">
            <v>6.5000000000000002E-2</v>
          </cell>
          <cell r="D25">
            <v>0.88675303354053248</v>
          </cell>
          <cell r="E25">
            <v>0.81418560917358884</v>
          </cell>
          <cell r="F25">
            <v>0.71149585771093293</v>
          </cell>
          <cell r="G25">
            <v>0.65409863507386978</v>
          </cell>
          <cell r="H25">
            <v>0.63029630896301003</v>
          </cell>
          <cell r="I25">
            <v>0.59770316440906512</v>
          </cell>
          <cell r="J25">
            <v>0.57362667626225172</v>
          </cell>
          <cell r="K25">
            <v>0.55205313764893194</v>
          </cell>
          <cell r="L25">
            <v>0.52072617837441948</v>
          </cell>
          <cell r="M25">
            <v>0.50121044262035475</v>
          </cell>
          <cell r="N25">
            <v>0.46745888819194037</v>
          </cell>
          <cell r="O25">
            <v>0.44151167798815361</v>
          </cell>
          <cell r="P25">
            <v>0.42160914988969767</v>
          </cell>
          <cell r="Q25">
            <v>0.39510220793885931</v>
          </cell>
          <cell r="R25">
            <v>0.34144443071044162</v>
          </cell>
          <cell r="S25">
            <v>0.2836788810626234</v>
          </cell>
          <cell r="T25">
            <v>0.24993075079126004</v>
          </cell>
          <cell r="U25">
            <v>0.19725167700312207</v>
          </cell>
          <cell r="V25">
            <v>0.17608219744903963</v>
          </cell>
          <cell r="W25">
            <v>0.14293702375999984</v>
          </cell>
          <cell r="X25">
            <v>0.13386609499999991</v>
          </cell>
          <cell r="Y25">
            <v>0.11931499999999984</v>
          </cell>
          <cell r="Z25">
            <v>6.4999999999999947E-2</v>
          </cell>
        </row>
        <row r="26">
          <cell r="A26">
            <v>36130</v>
          </cell>
          <cell r="B26">
            <v>26</v>
          </cell>
          <cell r="C26">
            <v>2.1000000000000001E-2</v>
          </cell>
          <cell r="D26">
            <v>0.92637484724488339</v>
          </cell>
          <cell r="E26">
            <v>0.85228350696623401</v>
          </cell>
          <cell r="F26">
            <v>0.74743727072286226</v>
          </cell>
          <cell r="G26">
            <v>0.68883470641042099</v>
          </cell>
          <cell r="H26">
            <v>0.66453253145123314</v>
          </cell>
          <cell r="I26">
            <v>0.63125493086165529</v>
          </cell>
          <cell r="J26">
            <v>0.6066728364637588</v>
          </cell>
          <cell r="K26">
            <v>0.58464625353955935</v>
          </cell>
          <cell r="L26">
            <v>0.55266142812028218</v>
          </cell>
          <cell r="M26">
            <v>0.53273586191538214</v>
          </cell>
          <cell r="N26">
            <v>0.49827552484397097</v>
          </cell>
          <cell r="O26">
            <v>0.47178342322590461</v>
          </cell>
          <cell r="P26">
            <v>0.45146294203738124</v>
          </cell>
          <cell r="Q26">
            <v>0.42439935430557529</v>
          </cell>
          <cell r="R26">
            <v>0.36961476375536084</v>
          </cell>
          <cell r="S26">
            <v>0.31063613756493846</v>
          </cell>
          <cell r="T26">
            <v>0.27617929655787643</v>
          </cell>
          <cell r="U26">
            <v>0.22239396222018759</v>
          </cell>
          <cell r="V26">
            <v>0.20077992359546926</v>
          </cell>
          <cell r="W26">
            <v>0.16693870125895982</v>
          </cell>
          <cell r="X26">
            <v>0.15767728299499972</v>
          </cell>
          <cell r="Y26">
            <v>0.14282061499999976</v>
          </cell>
          <cell r="Z26">
            <v>8.7364999999999915E-2</v>
          </cell>
          <cell r="AA26">
            <v>2.0999999999999908E-2</v>
          </cell>
        </row>
        <row r="27">
          <cell r="A27">
            <v>36161</v>
          </cell>
          <cell r="B27">
            <v>27</v>
          </cell>
          <cell r="C27">
            <v>8.0000000000000002E-3</v>
          </cell>
          <cell r="D27">
            <v>0.94178584602284254</v>
          </cell>
          <cell r="E27">
            <v>0.86710177502196384</v>
          </cell>
          <cell r="F27">
            <v>0.76141676888864507</v>
          </cell>
          <cell r="G27">
            <v>0.70234538406170444</v>
          </cell>
          <cell r="H27">
            <v>0.67784879170284307</v>
          </cell>
          <cell r="I27">
            <v>0.64430497030854861</v>
          </cell>
          <cell r="J27">
            <v>0.6195262191554689</v>
          </cell>
          <cell r="K27">
            <v>0.59732342356787593</v>
          </cell>
          <cell r="L27">
            <v>0.56508271954524436</v>
          </cell>
          <cell r="M27">
            <v>0.54499774881070517</v>
          </cell>
          <cell r="N27">
            <v>0.51026172904272271</v>
          </cell>
          <cell r="O27">
            <v>0.48355769061171183</v>
          </cell>
          <cell r="P27">
            <v>0.46307464557368028</v>
          </cell>
          <cell r="Q27">
            <v>0.43579454914001992</v>
          </cell>
          <cell r="R27">
            <v>0.38057168186540369</v>
          </cell>
          <cell r="S27">
            <v>0.32112122666545795</v>
          </cell>
          <cell r="T27">
            <v>0.28638873093033945</v>
          </cell>
          <cell r="U27">
            <v>0.23217311391794904</v>
          </cell>
          <cell r="V27">
            <v>0.21038616298423296</v>
          </cell>
          <cell r="W27">
            <v>0.17627421086903161</v>
          </cell>
          <cell r="X27">
            <v>0.16693870125895982</v>
          </cell>
          <cell r="Y27">
            <v>0.15196317991999986</v>
          </cell>
          <cell r="Z27">
            <v>9.6063919999999969E-2</v>
          </cell>
          <cell r="AA27">
            <v>2.9167999999999861E-2</v>
          </cell>
          <cell r="AB27">
            <v>8.0000000000000071E-3</v>
          </cell>
        </row>
        <row r="28">
          <cell r="A28">
            <v>36192</v>
          </cell>
          <cell r="B28">
            <v>28</v>
          </cell>
          <cell r="C28">
            <v>3.2000000000000001E-2</v>
          </cell>
          <cell r="D28">
            <v>1.0039229930955735</v>
          </cell>
          <cell r="E28">
            <v>0.92684903182266676</v>
          </cell>
          <cell r="F28">
            <v>0.81778210549308183</v>
          </cell>
          <cell r="G28">
            <v>0.75682043635167906</v>
          </cell>
          <cell r="H28">
            <v>0.7315399530373341</v>
          </cell>
          <cell r="I28">
            <v>0.69692272935842214</v>
          </cell>
          <cell r="J28">
            <v>0.67135105816844387</v>
          </cell>
          <cell r="K28">
            <v>0.64843777312204809</v>
          </cell>
          <cell r="L28">
            <v>0.61516536657069221</v>
          </cell>
          <cell r="M28">
            <v>0.59443767677264781</v>
          </cell>
          <cell r="N28">
            <v>0.55859010437208978</v>
          </cell>
          <cell r="O28">
            <v>0.53103153671128656</v>
          </cell>
          <cell r="P28">
            <v>0.50989303423203802</v>
          </cell>
          <cell r="Q28">
            <v>0.48173997471250063</v>
          </cell>
          <cell r="R28">
            <v>0.42474997568509654</v>
          </cell>
          <cell r="S28">
            <v>0.36339710591875263</v>
          </cell>
          <cell r="T28">
            <v>0.32755317032011044</v>
          </cell>
          <cell r="U28">
            <v>0.27160265356332336</v>
          </cell>
          <cell r="V28">
            <v>0.24911852019972835</v>
          </cell>
          <cell r="W28">
            <v>0.21391498561684075</v>
          </cell>
          <cell r="X28">
            <v>0.20428073969924654</v>
          </cell>
          <cell r="Y28">
            <v>0.1888260016774399</v>
          </cell>
          <cell r="Z28">
            <v>0.13113796544</v>
          </cell>
          <cell r="AA28">
            <v>6.2101375999999986E-2</v>
          </cell>
          <cell r="AB28">
            <v>4.025600000000007E-2</v>
          </cell>
          <cell r="AC28">
            <v>3.2000000000000028E-2</v>
          </cell>
        </row>
        <row r="29">
          <cell r="A29">
            <v>36220</v>
          </cell>
          <cell r="B29">
            <v>29</v>
          </cell>
          <cell r="C29">
            <v>2.7E-2</v>
          </cell>
          <cell r="D29">
            <v>1.0580289139091539</v>
          </cell>
          <cell r="E29">
            <v>0.97887395568187863</v>
          </cell>
          <cell r="F29">
            <v>0.86686222234139487</v>
          </cell>
          <cell r="G29">
            <v>0.80425458813317419</v>
          </cell>
          <cell r="H29">
            <v>0.77829153176934196</v>
          </cell>
          <cell r="I29">
            <v>0.7427396430510993</v>
          </cell>
          <cell r="J29">
            <v>0.71647753673899173</v>
          </cell>
          <cell r="K29">
            <v>0.69294559299634328</v>
          </cell>
          <cell r="L29">
            <v>0.65877483146810079</v>
          </cell>
          <cell r="M29">
            <v>0.63748749404550908</v>
          </cell>
          <cell r="N29">
            <v>0.60067203719013618</v>
          </cell>
          <cell r="O29">
            <v>0.57236938820249117</v>
          </cell>
          <cell r="P29">
            <v>0.55066014615630299</v>
          </cell>
          <cell r="Q29">
            <v>0.52174695402973792</v>
          </cell>
          <cell r="R29">
            <v>0.46321822502859411</v>
          </cell>
          <cell r="S29">
            <v>0.40020882777855893</v>
          </cell>
          <cell r="T29">
            <v>0.36339710591875329</v>
          </cell>
          <cell r="U29">
            <v>0.30593592520953306</v>
          </cell>
          <cell r="V29">
            <v>0.28284472024512097</v>
          </cell>
          <cell r="W29">
            <v>0.24669069022849532</v>
          </cell>
          <cell r="X29">
            <v>0.23679631967112602</v>
          </cell>
          <cell r="Y29">
            <v>0.22092430372273064</v>
          </cell>
          <cell r="Z29">
            <v>0.16167869050687989</v>
          </cell>
          <cell r="AA29">
            <v>9.0778113151999795E-2</v>
          </cell>
          <cell r="AB29">
            <v>6.8342912000000089E-2</v>
          </cell>
          <cell r="AC29">
            <v>5.9863999999999917E-2</v>
          </cell>
          <cell r="AD29">
            <v>2.6999999999999913E-2</v>
          </cell>
        </row>
        <row r="30">
          <cell r="A30">
            <v>36251</v>
          </cell>
          <cell r="B30">
            <v>30</v>
          </cell>
          <cell r="C30">
            <v>0.13500000000000001</v>
          </cell>
          <cell r="D30">
            <v>1.3358628172868898</v>
          </cell>
          <cell r="E30">
            <v>1.2460219396989323</v>
          </cell>
          <cell r="F30">
            <v>1.118888622357483</v>
          </cell>
          <cell r="G30">
            <v>1.0478289575311526</v>
          </cell>
          <cell r="H30">
            <v>1.0183608885582029</v>
          </cell>
          <cell r="I30">
            <v>0.97800949486299782</v>
          </cell>
          <cell r="J30">
            <v>0.94820200419875555</v>
          </cell>
          <cell r="K30">
            <v>0.92149324805084953</v>
          </cell>
          <cell r="L30">
            <v>0.8827094337162944</v>
          </cell>
          <cell r="M30">
            <v>0.85854830574165275</v>
          </cell>
          <cell r="N30">
            <v>0.81676276221080468</v>
          </cell>
          <cell r="O30">
            <v>0.78463925560982739</v>
          </cell>
          <cell r="P30">
            <v>0.75999926588740396</v>
          </cell>
          <cell r="Q30">
            <v>0.72718279282375264</v>
          </cell>
          <cell r="R30">
            <v>0.66075268540745435</v>
          </cell>
          <cell r="S30">
            <v>0.58923701952866447</v>
          </cell>
          <cell r="T30">
            <v>0.54745571521778502</v>
          </cell>
          <cell r="U30">
            <v>0.48223727511282011</v>
          </cell>
          <cell r="V30">
            <v>0.45602875747821225</v>
          </cell>
          <cell r="W30">
            <v>0.41499393340934221</v>
          </cell>
          <cell r="X30">
            <v>0.40376382282672796</v>
          </cell>
          <cell r="Y30">
            <v>0.38574908472529934</v>
          </cell>
          <cell r="Z30">
            <v>0.31850531372530866</v>
          </cell>
          <cell r="AA30">
            <v>0.23803315842751971</v>
          </cell>
          <cell r="AB30">
            <v>0.2125692051200001</v>
          </cell>
          <cell r="AC30">
            <v>0.20294563999999982</v>
          </cell>
          <cell r="AD30">
            <v>0.16564499999999982</v>
          </cell>
          <cell r="AE30">
            <v>0.13500000000000001</v>
          </cell>
        </row>
        <row r="31">
          <cell r="A31">
            <v>36281</v>
          </cell>
          <cell r="B31">
            <v>31</v>
          </cell>
          <cell r="C31">
            <v>5.5E-2</v>
          </cell>
          <cell r="D31">
            <v>1.4643352722376686</v>
          </cell>
          <cell r="E31">
            <v>1.3695531463823736</v>
          </cell>
          <cell r="F31">
            <v>1.2354274965871443</v>
          </cell>
          <cell r="G31">
            <v>1.1604595501953656</v>
          </cell>
          <cell r="H31">
            <v>1.1293707374289039</v>
          </cell>
          <cell r="I31">
            <v>1.0868000170804626</v>
          </cell>
          <cell r="J31">
            <v>1.0553531144296868</v>
          </cell>
          <cell r="K31">
            <v>1.0271753766936462</v>
          </cell>
          <cell r="L31">
            <v>0.98625845257069056</v>
          </cell>
          <cell r="M31">
            <v>0.96076846255744353</v>
          </cell>
          <cell r="N31">
            <v>0.91668471413239883</v>
          </cell>
          <cell r="O31">
            <v>0.88279441466836772</v>
          </cell>
          <cell r="P31">
            <v>0.85679922551121113</v>
          </cell>
          <cell r="Q31">
            <v>0.822177846429059</v>
          </cell>
          <cell r="R31">
            <v>0.75209408310486414</v>
          </cell>
          <cell r="S31">
            <v>0.67664505560274102</v>
          </cell>
          <cell r="T31">
            <v>0.63256577955476301</v>
          </cell>
          <cell r="U31">
            <v>0.56376032524402508</v>
          </cell>
          <cell r="V31">
            <v>0.53611033913951389</v>
          </cell>
          <cell r="W31">
            <v>0.49281859974685593</v>
          </cell>
          <cell r="X31">
            <v>0.48097083308219801</v>
          </cell>
          <cell r="Y31">
            <v>0.46196528438519069</v>
          </cell>
          <cell r="Z31">
            <v>0.39102310598020051</v>
          </cell>
          <cell r="AA31">
            <v>0.30612498214103323</v>
          </cell>
          <cell r="AB31">
            <v>0.27926051140160002</v>
          </cell>
          <cell r="AC31">
            <v>0.26910765019999983</v>
          </cell>
          <cell r="AD31">
            <v>0.22975547499999971</v>
          </cell>
          <cell r="AE31">
            <v>0.19742499999999996</v>
          </cell>
          <cell r="AF31">
            <v>5.4999999999999938E-2</v>
          </cell>
        </row>
        <row r="32">
          <cell r="A32">
            <v>36312</v>
          </cell>
          <cell r="B32">
            <v>32</v>
          </cell>
          <cell r="C32">
            <v>8.9999999999999993E-3</v>
          </cell>
          <cell r="D32">
            <v>1.4865142896878072</v>
          </cell>
          <cell r="E32">
            <v>1.3908791246998149</v>
          </cell>
          <cell r="F32">
            <v>1.2555463440564285</v>
          </cell>
          <cell r="G32">
            <v>1.1799036861471235</v>
          </cell>
          <cell r="H32">
            <v>1.1485350740657641</v>
          </cell>
          <cell r="I32">
            <v>1.1055812172341866</v>
          </cell>
          <cell r="J32">
            <v>1.0738512924595538</v>
          </cell>
          <cell r="K32">
            <v>1.0454199550838887</v>
          </cell>
          <cell r="L32">
            <v>1.0041347786438264</v>
          </cell>
          <cell r="M32">
            <v>0.97841537872046036</v>
          </cell>
          <cell r="N32">
            <v>0.93393487655959029</v>
          </cell>
          <cell r="O32">
            <v>0.89973956440038294</v>
          </cell>
          <cell r="P32">
            <v>0.87351041854081179</v>
          </cell>
          <cell r="Q32">
            <v>0.83857744704692028</v>
          </cell>
          <cell r="R32">
            <v>0.76786292985280769</v>
          </cell>
          <cell r="S32">
            <v>0.69173486110316551</v>
          </cell>
          <cell r="T32">
            <v>0.64725887157075568</v>
          </cell>
          <cell r="U32">
            <v>0.57783416817122113</v>
          </cell>
          <cell r="V32">
            <v>0.54993533219176927</v>
          </cell>
          <cell r="W32">
            <v>0.50625396714457738</v>
          </cell>
          <cell r="X32">
            <v>0.49429957057993756</v>
          </cell>
          <cell r="Y32">
            <v>0.47512297194465725</v>
          </cell>
          <cell r="Z32">
            <v>0.40354231393402218</v>
          </cell>
          <cell r="AA32">
            <v>0.31788010698030233</v>
          </cell>
          <cell r="AB32">
            <v>0.29077385600421435</v>
          </cell>
          <cell r="AC32">
            <v>0.28052961905179963</v>
          </cell>
          <cell r="AD32">
            <v>0.24082327427499961</v>
          </cell>
          <cell r="AE32">
            <v>0.20820182499999973</v>
          </cell>
          <cell r="AF32">
            <v>6.4494999999999747E-2</v>
          </cell>
          <cell r="AG32">
            <v>8.999999999999897E-3</v>
          </cell>
        </row>
        <row r="33">
          <cell r="A33">
            <v>36342</v>
          </cell>
          <cell r="B33">
            <v>33</v>
          </cell>
          <cell r="C33">
            <v>1.7999999999999999E-2</v>
          </cell>
          <cell r="D33">
            <v>1.5312715469021878</v>
          </cell>
          <cell r="E33">
            <v>1.4339149489444116</v>
          </cell>
          <cell r="F33">
            <v>1.2961461782494443</v>
          </cell>
          <cell r="G33">
            <v>1.2191419524977718</v>
          </cell>
          <cell r="H33">
            <v>1.1872087053989477</v>
          </cell>
          <cell r="I33">
            <v>1.143481679144402</v>
          </cell>
          <cell r="J33">
            <v>1.1111806157238258</v>
          </cell>
          <cell r="K33">
            <v>1.0822375142753988</v>
          </cell>
          <cell r="L33">
            <v>1.0402092046594151</v>
          </cell>
          <cell r="M33">
            <v>1.0140268555374288</v>
          </cell>
          <cell r="N33">
            <v>0.96874570433766305</v>
          </cell>
          <cell r="O33">
            <v>0.93393487655958984</v>
          </cell>
          <cell r="P33">
            <v>0.90723360607454651</v>
          </cell>
          <cell r="Q33">
            <v>0.87167184109376494</v>
          </cell>
          <cell r="R33">
            <v>0.79968446259015824</v>
          </cell>
          <cell r="S33">
            <v>0.72218608860302247</v>
          </cell>
          <cell r="T33">
            <v>0.67690953125902942</v>
          </cell>
          <cell r="U33">
            <v>0.60623518319830305</v>
          </cell>
          <cell r="V33">
            <v>0.57783416817122113</v>
          </cell>
          <cell r="W33">
            <v>0.53336653855317984</v>
          </cell>
          <cell r="X33">
            <v>0.52119696285037653</v>
          </cell>
          <cell r="Y33">
            <v>0.50167518543966105</v>
          </cell>
          <cell r="Z33">
            <v>0.42880607558483463</v>
          </cell>
          <cell r="AA33">
            <v>0.34160194890594786</v>
          </cell>
          <cell r="AB33">
            <v>0.31400778541229024</v>
          </cell>
          <cell r="AC33">
            <v>0.30357915219473197</v>
          </cell>
          <cell r="AD33">
            <v>0.26315809321194972</v>
          </cell>
          <cell r="AE33">
            <v>0.22994945784999965</v>
          </cell>
          <cell r="AF33">
            <v>8.3655909999999833E-2</v>
          </cell>
          <cell r="AG33">
            <v>2.7161999999999908E-2</v>
          </cell>
          <cell r="AH33">
            <v>1.8000000000000016E-2</v>
          </cell>
        </row>
        <row r="34">
          <cell r="A34">
            <v>36373</v>
          </cell>
          <cell r="B34">
            <v>34</v>
          </cell>
          <cell r="C34">
            <v>3.1E-2</v>
          </cell>
          <cell r="D34">
            <v>1.6097409648561554</v>
          </cell>
          <cell r="E34">
            <v>1.5093663123616881</v>
          </cell>
          <cell r="F34">
            <v>1.3673267097751771</v>
          </cell>
          <cell r="G34">
            <v>1.2879353530252025</v>
          </cell>
          <cell r="H34">
            <v>1.255012175266315</v>
          </cell>
          <cell r="I34">
            <v>1.2099296111978783</v>
          </cell>
          <cell r="J34">
            <v>1.1766272148112642</v>
          </cell>
          <cell r="K34">
            <v>1.1467868772179362</v>
          </cell>
          <cell r="L34">
            <v>1.103455690003857</v>
          </cell>
          <cell r="M34">
            <v>1.0764616880590889</v>
          </cell>
          <cell r="N34">
            <v>1.0297768211721303</v>
          </cell>
          <cell r="O34">
            <v>0.99388685773293695</v>
          </cell>
          <cell r="P34">
            <v>0.96635784786285739</v>
          </cell>
          <cell r="Q34">
            <v>0.92969366816767152</v>
          </cell>
          <cell r="R34">
            <v>0.85547468093045298</v>
          </cell>
          <cell r="S34">
            <v>0.77557385734971596</v>
          </cell>
          <cell r="T34">
            <v>0.7288937267280593</v>
          </cell>
          <cell r="U34">
            <v>0.65602847387745022</v>
          </cell>
          <cell r="V34">
            <v>0.62674702738452881</v>
          </cell>
          <cell r="W34">
            <v>0.58090090124832838</v>
          </cell>
          <cell r="X34">
            <v>0.56835406869873806</v>
          </cell>
          <cell r="Y34">
            <v>0.54822711618829034</v>
          </cell>
          <cell r="Z34">
            <v>0.47309906392796441</v>
          </cell>
          <cell r="AA34">
            <v>0.38319160932203222</v>
          </cell>
          <cell r="AB34">
            <v>0.35474202676007116</v>
          </cell>
          <cell r="AC34">
            <v>0.34399010591276857</v>
          </cell>
          <cell r="AD34">
            <v>0.3023159941015201</v>
          </cell>
          <cell r="AE34">
            <v>0.26807789104334945</v>
          </cell>
          <cell r="AF34">
            <v>0.11724924320999963</v>
          </cell>
          <cell r="AG34">
            <v>5.9004021999999878E-2</v>
          </cell>
          <cell r="AH34">
            <v>4.9557999999999991E-2</v>
          </cell>
          <cell r="AI34">
            <v>3.0999999999999917E-2</v>
          </cell>
        </row>
        <row r="35">
          <cell r="A35">
            <v>36404</v>
          </cell>
          <cell r="B35">
            <v>35</v>
          </cell>
          <cell r="C35">
            <v>5.0000000000000001E-3</v>
          </cell>
          <cell r="D35">
            <v>1.622789669680436</v>
          </cell>
          <cell r="E35">
            <v>1.5219131439234963</v>
          </cell>
          <cell r="F35">
            <v>1.3791633433240529</v>
          </cell>
          <cell r="G35">
            <v>1.2993750297903284</v>
          </cell>
          <cell r="H35">
            <v>1.2662872361426465</v>
          </cell>
          <cell r="I35">
            <v>1.2209792592538675</v>
          </cell>
          <cell r="J35">
            <v>1.1875103508853204</v>
          </cell>
          <cell r="K35">
            <v>1.1575208116040256</v>
          </cell>
          <cell r="L35">
            <v>1.1139729684538762</v>
          </cell>
          <cell r="M35">
            <v>1.0868439964993843</v>
          </cell>
          <cell r="N35">
            <v>1.0399257052779909</v>
          </cell>
          <cell r="O35">
            <v>1.0038562920216014</v>
          </cell>
          <cell r="P35">
            <v>0.97618963710217144</v>
          </cell>
          <cell r="Q35">
            <v>0.93934213650850973</v>
          </cell>
          <cell r="R35">
            <v>0.86475205433510505</v>
          </cell>
          <cell r="S35">
            <v>0.78445172663646434</v>
          </cell>
          <cell r="T35">
            <v>0.73753819536169951</v>
          </cell>
          <cell r="U35">
            <v>0.66430861624683724</v>
          </cell>
          <cell r="V35">
            <v>0.6348807625214512</v>
          </cell>
          <cell r="W35">
            <v>0.58880540575456997</v>
          </cell>
          <cell r="X35">
            <v>0.57619583904223148</v>
          </cell>
          <cell r="Y35">
            <v>0.5559682517692317</v>
          </cell>
          <cell r="Z35">
            <v>0.48046455924760401</v>
          </cell>
          <cell r="AA35">
            <v>0.39010756736864227</v>
          </cell>
          <cell r="AB35">
            <v>0.36151573689387129</v>
          </cell>
          <cell r="AC35">
            <v>0.35071005644233222</v>
          </cell>
          <cell r="AD35">
            <v>0.30882757407202766</v>
          </cell>
          <cell r="AE35">
            <v>0.27441828049856598</v>
          </cell>
          <cell r="AF35">
            <v>0.12283548942604949</v>
          </cell>
          <cell r="AG35">
            <v>6.4299042109999816E-2</v>
          </cell>
          <cell r="AH35">
            <v>5.4805789999999854E-2</v>
          </cell>
          <cell r="AI35">
            <v>3.6154999999999715E-2</v>
          </cell>
          <cell r="AJ35">
            <v>4.9999999999998934E-3</v>
          </cell>
        </row>
        <row r="36">
          <cell r="A36">
            <v>36434</v>
          </cell>
          <cell r="B36">
            <v>36</v>
          </cell>
          <cell r="C36">
            <v>1.7999999999999999E-2</v>
          </cell>
          <cell r="D36">
            <v>1.6699998837346839</v>
          </cell>
          <cell r="E36">
            <v>1.5673075805141194</v>
          </cell>
          <cell r="F36">
            <v>1.421988283503886</v>
          </cell>
          <cell r="G36">
            <v>1.3407637803265544</v>
          </cell>
          <cell r="H36">
            <v>1.3070804063932142</v>
          </cell>
          <cell r="I36">
            <v>1.2609568859204372</v>
          </cell>
          <cell r="J36">
            <v>1.2268855372012561</v>
          </cell>
          <cell r="K36">
            <v>1.1963561862128982</v>
          </cell>
          <cell r="L36">
            <v>1.1520244818860461</v>
          </cell>
          <cell r="M36">
            <v>1.1244071884363733</v>
          </cell>
          <cell r="N36">
            <v>1.0766443679729947</v>
          </cell>
          <cell r="O36">
            <v>1.0399257052779904</v>
          </cell>
          <cell r="P36">
            <v>1.0117610505700108</v>
          </cell>
          <cell r="Q36">
            <v>0.97425029496566284</v>
          </cell>
          <cell r="R36">
            <v>0.89831759131313693</v>
          </cell>
          <cell r="S36">
            <v>0.81657185771592067</v>
          </cell>
          <cell r="T36">
            <v>0.76881388287821006</v>
          </cell>
          <cell r="U36">
            <v>0.69426617133928037</v>
          </cell>
          <cell r="V36">
            <v>0.66430861624683746</v>
          </cell>
          <cell r="W36">
            <v>0.61740390305815218</v>
          </cell>
          <cell r="X36">
            <v>0.60456736414499157</v>
          </cell>
          <cell r="Y36">
            <v>0.58397568030107783</v>
          </cell>
          <cell r="Z36">
            <v>0.50711292131406083</v>
          </cell>
          <cell r="AA36">
            <v>0.41512950358127787</v>
          </cell>
          <cell r="AB36">
            <v>0.38602302015796108</v>
          </cell>
          <cell r="AC36">
            <v>0.37502283745829423</v>
          </cell>
          <cell r="AD36">
            <v>0.3323864704053241</v>
          </cell>
          <cell r="AE36">
            <v>0.29735780954754021</v>
          </cell>
          <cell r="AF36">
            <v>0.14304652823571851</v>
          </cell>
          <cell r="AG36">
            <v>8.3456424867979884E-2</v>
          </cell>
          <cell r="AH36">
            <v>7.3792294219999777E-2</v>
          </cell>
          <cell r="AI36">
            <v>5.4805789999999632E-2</v>
          </cell>
          <cell r="AJ36">
            <v>2.3089999999999833E-2</v>
          </cell>
          <cell r="AK36">
            <v>1.8000000000000016E-2</v>
          </cell>
        </row>
        <row r="37">
          <cell r="A37">
            <v>36465</v>
          </cell>
          <cell r="B37">
            <v>37</v>
          </cell>
          <cell r="C37">
            <v>4.2000000000000003E-2</v>
          </cell>
          <cell r="D37">
            <v>1.7821398788515408</v>
          </cell>
          <cell r="E37">
            <v>1.6751344988957126</v>
          </cell>
          <cell r="F37">
            <v>1.5237117914110492</v>
          </cell>
          <cell r="G37">
            <v>1.4390758591002699</v>
          </cell>
          <cell r="H37">
            <v>1.4039777834617291</v>
          </cell>
          <cell r="I37">
            <v>1.3559170751290957</v>
          </cell>
          <cell r="J37">
            <v>1.320414729763709</v>
          </cell>
          <cell r="K37">
            <v>1.2886031460338399</v>
          </cell>
          <cell r="L37">
            <v>1.2424095101252601</v>
          </cell>
          <cell r="M37">
            <v>1.2136322903507013</v>
          </cell>
          <cell r="N37">
            <v>1.1638634314278606</v>
          </cell>
          <cell r="O37">
            <v>1.1256025848996662</v>
          </cell>
          <cell r="P37">
            <v>1.0962550146939511</v>
          </cell>
          <cell r="Q37">
            <v>1.0571688073542207</v>
          </cell>
          <cell r="R37">
            <v>0.97804693014828881</v>
          </cell>
          <cell r="S37">
            <v>0.89286787573998949</v>
          </cell>
          <cell r="T37">
            <v>0.84310406595909493</v>
          </cell>
          <cell r="U37">
            <v>0.76542535053553018</v>
          </cell>
          <cell r="V37">
            <v>0.73420957812920462</v>
          </cell>
          <cell r="W37">
            <v>0.68533486698659463</v>
          </cell>
          <cell r="X37">
            <v>0.67195919343908117</v>
          </cell>
          <cell r="Y37">
            <v>0.65050265887372305</v>
          </cell>
          <cell r="Z37">
            <v>0.57041166400925136</v>
          </cell>
          <cell r="AA37">
            <v>0.47456494273169159</v>
          </cell>
          <cell r="AB37">
            <v>0.44423598700459555</v>
          </cell>
          <cell r="AC37">
            <v>0.43277379663154258</v>
          </cell>
          <cell r="AD37">
            <v>0.38834670216234768</v>
          </cell>
          <cell r="AE37">
            <v>0.35184683754853685</v>
          </cell>
          <cell r="AF37">
            <v>0.19105448242161871</v>
          </cell>
          <cell r="AG37">
            <v>0.12896159471243518</v>
          </cell>
          <cell r="AH37">
            <v>0.11889157057723976</v>
          </cell>
          <cell r="AI37">
            <v>9.9107633179999599E-2</v>
          </cell>
          <cell r="AJ37">
            <v>6.605977999999979E-2</v>
          </cell>
          <cell r="AK37">
            <v>6.0756000000000032E-2</v>
          </cell>
          <cell r="AL37">
            <v>4.2000000000000037E-2</v>
          </cell>
        </row>
        <row r="38">
          <cell r="A38">
            <v>36495</v>
          </cell>
          <cell r="B38">
            <v>38</v>
          </cell>
          <cell r="C38">
            <v>6.4000000000000001E-2</v>
          </cell>
          <cell r="D38">
            <v>1.9601968310980395</v>
          </cell>
          <cell r="E38">
            <v>1.8463431068250382</v>
          </cell>
          <cell r="F38">
            <v>1.6852293460613565</v>
          </cell>
          <cell r="G38">
            <v>1.5951767140826871</v>
          </cell>
          <cell r="H38">
            <v>1.5578323616032801</v>
          </cell>
          <cell r="I38">
            <v>1.5066957679373578</v>
          </cell>
          <cell r="J38">
            <v>1.4689212724685863</v>
          </cell>
          <cell r="K38">
            <v>1.4350737473800059</v>
          </cell>
          <cell r="L38">
            <v>1.3859237187732769</v>
          </cell>
          <cell r="M38">
            <v>1.3553047569331462</v>
          </cell>
          <cell r="N38">
            <v>1.3023506910392437</v>
          </cell>
          <cell r="O38">
            <v>1.261641150333245</v>
          </cell>
          <cell r="P38">
            <v>1.2304153356343641</v>
          </cell>
          <cell r="Q38">
            <v>1.188827611024891</v>
          </cell>
          <cell r="R38">
            <v>1.1046419336777795</v>
          </cell>
          <cell r="S38">
            <v>1.0140114197873489</v>
          </cell>
          <cell r="T38">
            <v>0.96106272618047717</v>
          </cell>
          <cell r="U38">
            <v>0.87841257296980424</v>
          </cell>
          <cell r="V38">
            <v>0.84519899112947372</v>
          </cell>
          <cell r="W38">
            <v>0.79319629847373685</v>
          </cell>
          <cell r="X38">
            <v>0.77896458181918238</v>
          </cell>
          <cell r="Y38">
            <v>0.75613482904164142</v>
          </cell>
          <cell r="Z38">
            <v>0.67091801050584343</v>
          </cell>
          <cell r="AA38">
            <v>0.5689370990665199</v>
          </cell>
          <cell r="AB38">
            <v>0.53666709017288983</v>
          </cell>
          <cell r="AC38">
            <v>0.52447131961596138</v>
          </cell>
          <cell r="AD38">
            <v>0.47720089110073793</v>
          </cell>
          <cell r="AE38">
            <v>0.43836503515164327</v>
          </cell>
          <cell r="AF38">
            <v>0.26728196929660242</v>
          </cell>
          <cell r="AG38">
            <v>0.20121513677403113</v>
          </cell>
          <cell r="AH38">
            <v>0.19050063109418325</v>
          </cell>
          <cell r="AI38">
            <v>0.1694505217035196</v>
          </cell>
          <cell r="AJ38">
            <v>0.13428760591999978</v>
          </cell>
          <cell r="AK38">
            <v>0.128644384</v>
          </cell>
          <cell r="AL38">
            <v>0.10868800000000012</v>
          </cell>
          <cell r="AM38">
            <v>6.4000000000000057E-2</v>
          </cell>
        </row>
        <row r="39">
          <cell r="A39">
            <v>36526</v>
          </cell>
          <cell r="B39">
            <v>39</v>
          </cell>
          <cell r="C39">
            <v>5.6000000000000001E-2</v>
          </cell>
          <cell r="D39">
            <v>2.1259678536395299</v>
          </cell>
          <cell r="E39">
            <v>2.0057383208072403</v>
          </cell>
          <cell r="F39">
            <v>1.8356021894407926</v>
          </cell>
          <cell r="G39">
            <v>1.7405066100713178</v>
          </cell>
          <cell r="H39">
            <v>1.7010709738530641</v>
          </cell>
          <cell r="I39">
            <v>1.64707073094185</v>
          </cell>
          <cell r="J39">
            <v>1.6071808637268274</v>
          </cell>
          <cell r="K39">
            <v>1.5714378772332864</v>
          </cell>
          <cell r="L39">
            <v>1.5195354470245803</v>
          </cell>
          <cell r="M39">
            <v>1.4872018233214024</v>
          </cell>
          <cell r="N39">
            <v>1.4312823297374413</v>
          </cell>
          <cell r="O39">
            <v>1.388293054751907</v>
          </cell>
          <cell r="P39">
            <v>1.3553185944298884</v>
          </cell>
          <cell r="Q39">
            <v>1.311401957242285</v>
          </cell>
          <cell r="R39">
            <v>1.2225018819637352</v>
          </cell>
          <cell r="S39">
            <v>1.1267960592954407</v>
          </cell>
          <cell r="T39">
            <v>1.070882238846584</v>
          </cell>
          <cell r="U39">
            <v>0.9836036770561134</v>
          </cell>
          <cell r="V39">
            <v>0.9485301346327244</v>
          </cell>
          <cell r="W39">
            <v>0.89361529118826621</v>
          </cell>
          <cell r="X39">
            <v>0.87858659840105657</v>
          </cell>
          <cell r="Y39">
            <v>0.85447837946797334</v>
          </cell>
          <cell r="Z39">
            <v>0.76448941909417067</v>
          </cell>
          <cell r="AA39">
            <v>0.65679757661424509</v>
          </cell>
          <cell r="AB39">
            <v>0.6227204472225718</v>
          </cell>
          <cell r="AC39">
            <v>0.60984171351445537</v>
          </cell>
          <cell r="AD39">
            <v>0.55992414100237942</v>
          </cell>
          <cell r="AE39">
            <v>0.51891347712013536</v>
          </cell>
          <cell r="AF39">
            <v>0.33824975957721226</v>
          </cell>
          <cell r="AG39">
            <v>0.26848318443337704</v>
          </cell>
          <cell r="AH39">
            <v>0.25716866643545755</v>
          </cell>
          <cell r="AI39">
            <v>0.23493975091891683</v>
          </cell>
          <cell r="AJ39">
            <v>0.1978077118515198</v>
          </cell>
          <cell r="AK39">
            <v>0.19184846950400014</v>
          </cell>
          <cell r="AL39">
            <v>0.17077452800000015</v>
          </cell>
          <cell r="AM39">
            <v>0.12358400000000014</v>
          </cell>
          <cell r="AN39">
            <v>5.600000000000005E-2</v>
          </cell>
        </row>
        <row r="40">
          <cell r="A40">
            <v>36557</v>
          </cell>
          <cell r="B40">
            <v>40</v>
          </cell>
          <cell r="C40">
            <v>0</v>
          </cell>
          <cell r="D40">
            <v>2.1259678536395299</v>
          </cell>
          <cell r="E40">
            <v>2.0057383208072403</v>
          </cell>
          <cell r="F40">
            <v>1.8356021894407926</v>
          </cell>
          <cell r="G40">
            <v>1.7405066100713178</v>
          </cell>
          <cell r="H40">
            <v>1.7010709738530641</v>
          </cell>
          <cell r="I40">
            <v>1.64707073094185</v>
          </cell>
          <cell r="J40">
            <v>1.6071808637268274</v>
          </cell>
          <cell r="K40">
            <v>1.5714378772332864</v>
          </cell>
          <cell r="L40">
            <v>1.5195354470245803</v>
          </cell>
          <cell r="M40">
            <v>1.4872018233214024</v>
          </cell>
          <cell r="N40">
            <v>1.4312823297374413</v>
          </cell>
          <cell r="O40">
            <v>1.388293054751907</v>
          </cell>
          <cell r="P40">
            <v>1.3553185944298884</v>
          </cell>
          <cell r="Q40">
            <v>1.311401957242285</v>
          </cell>
          <cell r="R40">
            <v>1.2225018819637352</v>
          </cell>
          <cell r="S40">
            <v>1.1267960592954407</v>
          </cell>
          <cell r="T40">
            <v>1.070882238846584</v>
          </cell>
          <cell r="U40">
            <v>0.9836036770561134</v>
          </cell>
          <cell r="V40">
            <v>0.9485301346327244</v>
          </cell>
          <cell r="W40">
            <v>0.89361529118826621</v>
          </cell>
          <cell r="X40">
            <v>0.87858659840105657</v>
          </cell>
          <cell r="Y40">
            <v>0.85447837946797334</v>
          </cell>
          <cell r="Z40">
            <v>0.76448941909417067</v>
          </cell>
          <cell r="AA40">
            <v>0.65679757661424509</v>
          </cell>
          <cell r="AB40">
            <v>0.6227204472225718</v>
          </cell>
          <cell r="AC40">
            <v>0.60984171351445537</v>
          </cell>
          <cell r="AD40">
            <v>0.55992414100237942</v>
          </cell>
          <cell r="AE40">
            <v>0.51891347712013536</v>
          </cell>
          <cell r="AF40">
            <v>0.33824975957721226</v>
          </cell>
          <cell r="AG40">
            <v>0.26848318443337704</v>
          </cell>
          <cell r="AH40">
            <v>0.25716866643545755</v>
          </cell>
          <cell r="AI40">
            <v>0.23493975091891683</v>
          </cell>
          <cell r="AJ40">
            <v>0.1978077118515198</v>
          </cell>
          <cell r="AK40">
            <v>0.19184846950400014</v>
          </cell>
          <cell r="AL40">
            <v>0.17077452800000015</v>
          </cell>
          <cell r="AM40">
            <v>0.12358400000000014</v>
          </cell>
          <cell r="AN40">
            <v>5.600000000000005E-2</v>
          </cell>
          <cell r="AO40">
            <v>0</v>
          </cell>
        </row>
        <row r="41">
          <cell r="A41">
            <v>36586</v>
          </cell>
          <cell r="B41">
            <v>41</v>
          </cell>
          <cell r="C41">
            <v>0</v>
          </cell>
          <cell r="D41">
            <v>2.1259678536395299</v>
          </cell>
          <cell r="E41">
            <v>2.0057383208072403</v>
          </cell>
          <cell r="F41">
            <v>1.8356021894407926</v>
          </cell>
          <cell r="G41">
            <v>1.7405066100713178</v>
          </cell>
          <cell r="H41">
            <v>1.7010709738530641</v>
          </cell>
          <cell r="I41">
            <v>1.64707073094185</v>
          </cell>
          <cell r="J41">
            <v>1.6071808637268274</v>
          </cell>
          <cell r="K41">
            <v>1.5714378772332864</v>
          </cell>
          <cell r="L41">
            <v>1.5195354470245803</v>
          </cell>
          <cell r="M41">
            <v>1.4872018233214024</v>
          </cell>
          <cell r="N41">
            <v>1.4312823297374413</v>
          </cell>
          <cell r="O41">
            <v>1.388293054751907</v>
          </cell>
          <cell r="P41">
            <v>1.3553185944298884</v>
          </cell>
          <cell r="Q41">
            <v>1.311401957242285</v>
          </cell>
          <cell r="R41">
            <v>1.2225018819637352</v>
          </cell>
          <cell r="S41">
            <v>1.1267960592954407</v>
          </cell>
          <cell r="T41">
            <v>1.070882238846584</v>
          </cell>
          <cell r="U41">
            <v>0.9836036770561134</v>
          </cell>
          <cell r="V41">
            <v>0.9485301346327244</v>
          </cell>
          <cell r="W41">
            <v>0.89361529118826621</v>
          </cell>
          <cell r="X41">
            <v>0.87858659840105657</v>
          </cell>
          <cell r="Y41">
            <v>0.85447837946797334</v>
          </cell>
          <cell r="Z41">
            <v>0.76448941909417067</v>
          </cell>
          <cell r="AA41">
            <v>0.65679757661424509</v>
          </cell>
          <cell r="AB41">
            <v>0.6227204472225718</v>
          </cell>
          <cell r="AC41">
            <v>0.60984171351445537</v>
          </cell>
          <cell r="AD41">
            <v>0.55992414100237942</v>
          </cell>
          <cell r="AE41">
            <v>0.51891347712013536</v>
          </cell>
          <cell r="AF41">
            <v>0.33824975957721226</v>
          </cell>
          <cell r="AG41">
            <v>0.26848318443337704</v>
          </cell>
          <cell r="AH41">
            <v>0.25716866643545755</v>
          </cell>
          <cell r="AI41">
            <v>0.23493975091891683</v>
          </cell>
          <cell r="AJ41">
            <v>0.1978077118515198</v>
          </cell>
          <cell r="AK41">
            <v>0.19184846950400014</v>
          </cell>
          <cell r="AL41">
            <v>0.17077452800000015</v>
          </cell>
          <cell r="AM41">
            <v>0.12358400000000014</v>
          </cell>
          <cell r="AN41">
            <v>5.600000000000005E-2</v>
          </cell>
          <cell r="AO41">
            <v>0</v>
          </cell>
          <cell r="AP41">
            <v>0</v>
          </cell>
        </row>
        <row r="42">
          <cell r="A42">
            <v>36617</v>
          </cell>
          <cell r="B42">
            <v>42</v>
          </cell>
          <cell r="C42">
            <v>0</v>
          </cell>
          <cell r="D42">
            <v>2.1259678536395299</v>
          </cell>
          <cell r="E42">
            <v>2.0057383208072403</v>
          </cell>
          <cell r="F42">
            <v>1.8356021894407926</v>
          </cell>
          <cell r="G42">
            <v>1.7405066100713178</v>
          </cell>
          <cell r="H42">
            <v>1.7010709738530641</v>
          </cell>
          <cell r="I42">
            <v>1.64707073094185</v>
          </cell>
          <cell r="J42">
            <v>1.6071808637268274</v>
          </cell>
          <cell r="K42">
            <v>1.5714378772332864</v>
          </cell>
          <cell r="L42">
            <v>1.5195354470245803</v>
          </cell>
          <cell r="M42">
            <v>1.4872018233214024</v>
          </cell>
          <cell r="N42">
            <v>1.4312823297374413</v>
          </cell>
          <cell r="O42">
            <v>1.388293054751907</v>
          </cell>
          <cell r="P42">
            <v>1.3553185944298884</v>
          </cell>
          <cell r="Q42">
            <v>1.311401957242285</v>
          </cell>
          <cell r="R42">
            <v>1.2225018819637352</v>
          </cell>
          <cell r="S42">
            <v>1.1267960592954407</v>
          </cell>
          <cell r="T42">
            <v>1.070882238846584</v>
          </cell>
          <cell r="U42">
            <v>0.9836036770561134</v>
          </cell>
          <cell r="V42">
            <v>0.9485301346327244</v>
          </cell>
          <cell r="W42">
            <v>0.89361529118826621</v>
          </cell>
          <cell r="X42">
            <v>0.87858659840105657</v>
          </cell>
          <cell r="Y42">
            <v>0.85447837946797334</v>
          </cell>
          <cell r="Z42">
            <v>0.76448941909417067</v>
          </cell>
          <cell r="AA42">
            <v>0.65679757661424509</v>
          </cell>
          <cell r="AB42">
            <v>0.6227204472225718</v>
          </cell>
          <cell r="AC42">
            <v>0.60984171351445537</v>
          </cell>
          <cell r="AD42">
            <v>0.55992414100237942</v>
          </cell>
          <cell r="AE42">
            <v>0.51891347712013536</v>
          </cell>
          <cell r="AF42">
            <v>0.33824975957721226</v>
          </cell>
          <cell r="AG42">
            <v>0.26848318443337704</v>
          </cell>
          <cell r="AH42">
            <v>0.25716866643545755</v>
          </cell>
          <cell r="AI42">
            <v>0.23493975091891683</v>
          </cell>
          <cell r="AJ42">
            <v>0.1978077118515198</v>
          </cell>
          <cell r="AK42">
            <v>0.19184846950400014</v>
          </cell>
          <cell r="AL42">
            <v>0.17077452800000015</v>
          </cell>
          <cell r="AM42">
            <v>0.12358400000000014</v>
          </cell>
          <cell r="AN42">
            <v>5.600000000000005E-2</v>
          </cell>
          <cell r="AO42">
            <v>0</v>
          </cell>
          <cell r="AP42">
            <v>0</v>
          </cell>
          <cell r="AQ42">
            <v>0</v>
          </cell>
        </row>
        <row r="43">
          <cell r="A43">
            <v>36647</v>
          </cell>
          <cell r="B43">
            <v>42</v>
          </cell>
          <cell r="C43">
            <v>0</v>
          </cell>
        </row>
        <row r="44">
          <cell r="A44">
            <v>36678</v>
          </cell>
          <cell r="B44">
            <v>42</v>
          </cell>
          <cell r="C44">
            <v>0</v>
          </cell>
        </row>
        <row r="45">
          <cell r="A45">
            <v>36708</v>
          </cell>
          <cell r="B45">
            <v>42</v>
          </cell>
          <cell r="C45">
            <v>0</v>
          </cell>
        </row>
        <row r="46">
          <cell r="A46">
            <v>36739</v>
          </cell>
          <cell r="B46">
            <v>42</v>
          </cell>
          <cell r="C46">
            <v>0</v>
          </cell>
        </row>
        <row r="47">
          <cell r="A47">
            <v>36770</v>
          </cell>
          <cell r="B47">
            <v>42</v>
          </cell>
          <cell r="C47">
            <v>0</v>
          </cell>
        </row>
        <row r="48">
          <cell r="A48">
            <v>36800</v>
          </cell>
          <cell r="B48">
            <v>42</v>
          </cell>
          <cell r="C48">
            <v>0</v>
          </cell>
        </row>
        <row r="49">
          <cell r="A49">
            <v>36831</v>
          </cell>
          <cell r="B49">
            <v>42</v>
          </cell>
          <cell r="C49">
            <v>0</v>
          </cell>
        </row>
        <row r="50">
          <cell r="A50">
            <v>36861</v>
          </cell>
          <cell r="B50">
            <v>42</v>
          </cell>
          <cell r="C50">
            <v>0</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EEFF"/>
      <sheetName val="Costo"/>
      <sheetName val="Dep.Costo."/>
      <sheetName val="CG Depreciación"/>
      <sheetName val="Adiciones"/>
      <sheetName val="XREF"/>
      <sheetName val="Tickmarks"/>
      <sheetName val="Relac DEP-COSTO"/>
      <sheetName val="Nota"/>
      <sheetName val="Mov.Costo"/>
      <sheetName val="Mov.Dep.Costo"/>
      <sheetName val="Calc.Global Deprec"/>
      <sheetName val="NEC 17"/>
      <sheetName val="Anál. S.I. Act. Fijos"/>
      <sheetName val="NotaEEFF"/>
      <sheetName val="Mov.ActFijo"/>
      <sheetName val="Mov.Deprec"/>
      <sheetName val="Cálculo depre"/>
      <sheetName val="AdicionesAF(Prel)"/>
      <sheetName val="RetirosAF"/>
      <sheetName val="Dep. ATD."/>
      <sheetName val="Límite"/>
      <sheetName val="T. Límite"/>
      <sheetName val="Detalle"/>
      <sheetName val="Conciliación Anticipos"/>
      <sheetName val="Movimiento de Activos Fijos"/>
      <sheetName val="Movimiento de Depreciación"/>
      <sheetName val="C. Global Deprec."/>
      <sheetName val="APT Adiciones"/>
      <sheetName val="Límites"/>
      <sheetName val="#REF"/>
      <sheetName val="Notas EEFF"/>
      <sheetName val="Pruebas Sustantivas"/>
      <sheetName val="Mov. Costo"/>
      <sheetName val="Depreciación"/>
      <sheetName val="Cálculo global"/>
      <sheetName val="Listado de Activos Fijos"/>
      <sheetName val="Analisis Adiciones"/>
      <sheetName val="Bajas de Activos Fijos"/>
      <sheetName val="Mov. Depre"/>
      <sheetName val="Cálc. Depre"/>
      <sheetName val="Bajas"/>
      <sheetName val="Sheet1"/>
      <sheetName val="Movimiento del Costo"/>
      <sheetName val="Movimiento Depreciación"/>
      <sheetName val="Cálculo Global Dep."/>
      <sheetName val="MMA Adiciones"/>
      <sheetName val="Procedimientos Activo Fijo"/>
      <sheetName val="Mov. Costo Sicontac"/>
      <sheetName val="Mov. Depre Sicontac"/>
      <sheetName val="Mov. Costo Sicobra"/>
      <sheetName val="Mov. Depre Sicobra"/>
      <sheetName val="Detalle de adiciones y bajas"/>
      <sheetName val="Calc. Glob"/>
      <sheetName val="An. Adiciones"/>
      <sheetName val="An. Ventas - Bajas"/>
      <sheetName val="Cálculo Global Depreciaciones"/>
      <sheetName val="Mov. Depreciación"/>
      <sheetName val="Cálculo Deprec"/>
      <sheetName val="Programa"/>
      <sheetName val="Movto Dep"/>
      <sheetName val="Adiciones (p)"/>
      <sheetName val="Análisis adiciones (p)"/>
      <sheetName val="Listado de activos fijos (p)"/>
      <sheetName val="Análisis adiciones"/>
      <sheetName val="Movimiento Neto"/>
      <sheetName val="Mov. Costo Final"/>
      <sheetName val="Mov. Dep. Final"/>
      <sheetName val="Adiciones Final"/>
      <sheetName val="Detalle Reclasif."/>
      <sheetName val="Mov. Act. Fijo Preliminar"/>
      <sheetName val="Adiciones Preliminar"/>
      <sheetName val="APT Preliminar"/>
      <sheetName val="Mov. Deprec."/>
      <sheetName val="List. Adic - Bajas"/>
      <sheetName val="Análisis Ventas"/>
      <sheetName val="Adiciones y Bajas AF"/>
      <sheetName val="Bajas Activos Fijos"/>
      <sheetName val="Movimiento Costo"/>
      <sheetName val="Movimiento de la depreciación"/>
      <sheetName val="Cálculo Global_Final"/>
      <sheetName val="Mov. Costo_Software"/>
      <sheetName val="Ana. Adiciones"/>
      <sheetName val="Mov. Depreciación_prelim. (2)"/>
    </sheetNames>
    <sheetDataSet>
      <sheetData sheetId="0"/>
      <sheetData sheetId="1" refreshError="1"/>
      <sheetData sheetId="2" refreshError="1"/>
      <sheetData sheetId="3" refreshError="1"/>
      <sheetData sheetId="4" refreshError="1"/>
      <sheetData sheetId="5" refreshError="1">
        <row r="2">
          <cell r="A2">
            <v>76936</v>
          </cell>
          <cell r="B2">
            <v>76936</v>
          </cell>
          <cell r="D2" t="str">
            <v>Resumen de Otros Gastos</v>
          </cell>
          <cell r="E2" t="str">
            <v>!</v>
          </cell>
        </row>
        <row r="3">
          <cell r="A3">
            <v>103318</v>
          </cell>
          <cell r="B3">
            <v>103318</v>
          </cell>
          <cell r="D3" t="str">
            <v>Resumen de Otros Gastos</v>
          </cell>
          <cell r="E3" t="str">
            <v>!</v>
          </cell>
        </row>
        <row r="4">
          <cell r="A4">
            <v>886907.89000000013</v>
          </cell>
          <cell r="B4">
            <v>886907.89</v>
          </cell>
          <cell r="D4" t="str">
            <v>Resumen de Activo Fijo</v>
          </cell>
          <cell r="E4" t="str">
            <v>!</v>
          </cell>
        </row>
        <row r="5">
          <cell r="A5">
            <v>31105207</v>
          </cell>
          <cell r="B5">
            <v>31105207</v>
          </cell>
          <cell r="D5" t="str">
            <v>Hoja Resumen Activo Fijo</v>
          </cell>
          <cell r="E5" t="str">
            <v>!</v>
          </cell>
        </row>
        <row r="6">
          <cell r="A6">
            <v>989663</v>
          </cell>
          <cell r="B6">
            <v>989663</v>
          </cell>
          <cell r="D6" t="str">
            <v>Selección MMA Adiciones de Activos fijos</v>
          </cell>
          <cell r="E6" t="str">
            <v>!</v>
          </cell>
        </row>
        <row r="7">
          <cell r="A7">
            <v>31105207</v>
          </cell>
          <cell r="B7">
            <v>31105207</v>
          </cell>
          <cell r="D7" t="str">
            <v>Hoja Resumen Activo Fijo</v>
          </cell>
          <cell r="E7" t="str">
            <v>!</v>
          </cell>
        </row>
        <row r="8">
          <cell r="A8">
            <v>5672</v>
          </cell>
          <cell r="B8">
            <v>5672</v>
          </cell>
          <cell r="D8" t="str">
            <v>Hoja Resumen de Activo Fijo</v>
          </cell>
          <cell r="E8" t="str">
            <v>!</v>
          </cell>
        </row>
        <row r="9">
          <cell r="A9">
            <v>1238</v>
          </cell>
          <cell r="B9">
            <v>1238</v>
          </cell>
          <cell r="D9" t="str">
            <v>Análisis de Gastos Operacionales</v>
          </cell>
          <cell r="E9" t="str">
            <v>!</v>
          </cell>
        </row>
        <row r="10">
          <cell r="A10">
            <v>2706</v>
          </cell>
          <cell r="B10">
            <v>2706</v>
          </cell>
          <cell r="D10" t="str">
            <v>Listado de Activos Fijos al 31-Dic-11</v>
          </cell>
          <cell r="E10" t="str">
            <v>!</v>
          </cell>
        </row>
        <row r="11">
          <cell r="A11">
            <v>1941</v>
          </cell>
        </row>
      </sheetData>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refreshError="1"/>
      <sheetData sheetId="71" refreshError="1"/>
      <sheetData sheetId="72" refreshError="1"/>
      <sheetData sheetId="73" refreshError="1"/>
      <sheetData sheetId="74">
        <row r="2">
          <cell r="A2">
            <v>76936</v>
          </cell>
        </row>
      </sheetData>
      <sheetData sheetId="75" refreshError="1"/>
      <sheetData sheetId="76" refreshError="1"/>
      <sheetData sheetId="77" refreshError="1"/>
      <sheetData sheetId="78"/>
      <sheetData sheetId="79"/>
      <sheetData sheetId="80" refreshError="1"/>
      <sheetData sheetId="81" refreshError="1"/>
      <sheetData sheetId="82" refreshError="1"/>
      <sheetData sheetId="8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álisis IVA"/>
      <sheetName val="Análisis Ret Fuente"/>
      <sheetName val="Tickmarks"/>
      <sheetName val="XREF"/>
      <sheetName val="AnálisisIVA"/>
      <sheetName val="Detalle de Gastos"/>
      <sheetName val="Tax Working"/>
      <sheetName val="INSTRUCTIONS"/>
      <sheetName val="Varios dólares"/>
      <sheetName val="SSO"/>
      <sheetName val="Reexpresado año 2000"/>
      <sheetName val="Owned"/>
      <sheetName val="VALORES PUBLICOS"/>
      <sheetName val="CONSTANTES"/>
      <sheetName val="LPH INCE"/>
      <sheetName val="F-1.0 Balance Gral"/>
      <sheetName val="IPC"/>
      <sheetName val="Prueba de Diferencial Cambi (2)"/>
      <sheetName val="sapactivexlhiddensheet"/>
      <sheetName val="Matríz Dic 04"/>
      <sheetName val="31 Dic 96"/>
      <sheetName val="Detalle"/>
      <sheetName val="Detalle Cuentas por Cobrar"/>
      <sheetName val="Sheet1"/>
      <sheetName val="ROLCOBOS"/>
      <sheetName val="Imp_Noviembre"/>
      <sheetName val="Hoja4"/>
      <sheetName val="Hoja3"/>
      <sheetName val="Cuadre"/>
      <sheetName val="Reembolsos"/>
      <sheetName val="CT"/>
      <sheetName val="AUT "/>
      <sheetName val="Partes  relacionadas"/>
      <sheetName val="ATS"/>
      <sheetName val="PARTES RELACIONADAS"/>
      <sheetName val="Hoja1"/>
      <sheetName val="Hoja2"/>
      <sheetName val="ORG"/>
      <sheetName val="Namelist"/>
      <sheetName val="SetUp"/>
      <sheetName val="Balance General"/>
      <sheetName val="Sheet6"/>
      <sheetName val="Adiciones e intereses"/>
      <sheetName val="Utilidades"/>
      <sheetName val="Prest. Soc."/>
      <sheetName val="TABLAIPC "/>
      <sheetName val="Hoja5"/>
      <sheetName val="Abr-03"/>
      <sheetName val="DB"/>
      <sheetName val="LPH e INCE"/>
      <sheetName val="Movimiento"/>
      <sheetName val="Prov Activo Fijo Jun-2002"/>
      <sheetName val="Anexo 12"/>
      <sheetName val="BM PPR Act"/>
      <sheetName val="Prueba global - Pasivo"/>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Inversiones temporales"/>
      <sheetName val="Lead"/>
      <sheetName val="Links"/>
      <sheetName val="XREF"/>
      <sheetName val="Tickmarks"/>
    </sheetNames>
    <sheetDataSet>
      <sheetData sheetId="0"/>
      <sheetData sheetId="1"/>
      <sheetData sheetId="2">
        <row r="2">
          <cell r="F2" t="str">
            <v>31.Dic.12</v>
          </cell>
          <cell r="H2" t="str">
            <v>AJE</v>
          </cell>
          <cell r="I2" t="str">
            <v>Ajustado</v>
          </cell>
          <cell r="J2" t="str">
            <v>RJE</v>
          </cell>
          <cell r="K2" t="str">
            <v>Final</v>
          </cell>
          <cell r="N2" t="str">
            <v>31.Dic.11</v>
          </cell>
          <cell r="O2">
            <v>0</v>
          </cell>
          <cell r="P2">
            <v>0</v>
          </cell>
        </row>
        <row r="4">
          <cell r="F4">
            <v>400000</v>
          </cell>
          <cell r="H4">
            <v>0</v>
          </cell>
          <cell r="I4">
            <v>400000</v>
          </cell>
          <cell r="J4">
            <v>0</v>
          </cell>
          <cell r="K4">
            <v>400000</v>
          </cell>
          <cell r="N4">
            <v>0</v>
          </cell>
        </row>
        <row r="5">
          <cell r="F5">
            <v>158</v>
          </cell>
          <cell r="H5">
            <v>0</v>
          </cell>
          <cell r="I5">
            <v>158</v>
          </cell>
          <cell r="J5">
            <v>0</v>
          </cell>
          <cell r="K5">
            <v>158</v>
          </cell>
          <cell r="N5">
            <v>0</v>
          </cell>
        </row>
        <row r="6">
          <cell r="F6">
            <v>400158</v>
          </cell>
          <cell r="H6">
            <v>0</v>
          </cell>
          <cell r="I6">
            <v>400158</v>
          </cell>
          <cell r="J6">
            <v>0</v>
          </cell>
          <cell r="K6">
            <v>400158</v>
          </cell>
          <cell r="N6">
            <v>0</v>
          </cell>
        </row>
        <row r="7">
          <cell r="F7">
            <v>400158</v>
          </cell>
          <cell r="H7">
            <v>0</v>
          </cell>
          <cell r="I7">
            <v>400158</v>
          </cell>
          <cell r="J7">
            <v>0</v>
          </cell>
          <cell r="K7">
            <v>400158</v>
          </cell>
          <cell r="N7">
            <v>0</v>
          </cell>
        </row>
      </sheetData>
      <sheetData sheetId="3">
        <row r="1">
          <cell r="F1" t="str">
            <v>31.Dic.12</v>
          </cell>
          <cell r="G1" t="str">
            <v>AJE</v>
          </cell>
          <cell r="H1" t="str">
            <v>Ajustado</v>
          </cell>
          <cell r="I1" t="str">
            <v>RJE</v>
          </cell>
          <cell r="J1" t="str">
            <v>Final</v>
          </cell>
          <cell r="K1" t="str">
            <v>31.Dic.11</v>
          </cell>
        </row>
        <row r="3">
          <cell r="F3">
            <v>400000</v>
          </cell>
          <cell r="G3">
            <v>0</v>
          </cell>
          <cell r="H3">
            <v>400000</v>
          </cell>
          <cell r="I3">
            <v>0</v>
          </cell>
          <cell r="J3">
            <v>400000</v>
          </cell>
          <cell r="K3">
            <v>0</v>
          </cell>
        </row>
        <row r="4">
          <cell r="F4">
            <v>158</v>
          </cell>
          <cell r="G4">
            <v>0</v>
          </cell>
          <cell r="H4">
            <v>158</v>
          </cell>
          <cell r="I4">
            <v>0</v>
          </cell>
          <cell r="J4">
            <v>158</v>
          </cell>
          <cell r="K4">
            <v>0</v>
          </cell>
        </row>
        <row r="5">
          <cell r="F5">
            <v>400158</v>
          </cell>
          <cell r="G5">
            <v>0</v>
          </cell>
          <cell r="H5">
            <v>400158</v>
          </cell>
          <cell r="I5">
            <v>0</v>
          </cell>
          <cell r="J5">
            <v>400158</v>
          </cell>
          <cell r="K5">
            <v>0</v>
          </cell>
        </row>
        <row r="6">
          <cell r="F6">
            <v>400158</v>
          </cell>
          <cell r="G6">
            <v>0</v>
          </cell>
          <cell r="H6">
            <v>400158</v>
          </cell>
          <cell r="I6">
            <v>0</v>
          </cell>
          <cell r="J6">
            <v>400158</v>
          </cell>
          <cell r="K6">
            <v>0</v>
          </cell>
        </row>
      </sheetData>
      <sheetData sheetId="4"/>
      <sheetData sheetId="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Bancos"/>
      <sheetName val="Conc.Dic"/>
      <sheetName val="Conc. Nov"/>
      <sheetName val="Seleccion bancos"/>
      <sheetName val="Conc Oct"/>
      <sheetName val="Selección partidas"/>
      <sheetName val="Partidas Ajustadas"/>
      <sheetName val="Revisión Analítica"/>
      <sheetName val="XREF"/>
      <sheetName val="Tickmarks"/>
      <sheetName val="Final"/>
      <sheetName val="MMA Final"/>
      <sheetName val="Preliminar"/>
      <sheetName val="MMA"/>
      <sheetName val="Cheq. girados."/>
      <sheetName val="ND no contab."/>
      <sheetName val="Depósitos no contab."/>
      <sheetName val="Depósitos en tránsito"/>
      <sheetName val="Detalle"/>
      <sheetName val="Links"/>
      <sheetName val="Conciliaciones Fin"/>
      <sheetName val="Ch.Girados y No Cob. Fin"/>
      <sheetName val="Depó.en Trán. Fin"/>
      <sheetName val="ND-NC Fin"/>
      <sheetName val="Conciliaciones"/>
      <sheetName val="Ch.Girados y No Cob."/>
      <sheetName val="Depó.en Trán."/>
      <sheetName val="ND-NC"/>
      <sheetName val="PNR."/>
      <sheetName val="NOTA EF"/>
      <sheetName val="Res Conc Dic"/>
      <sheetName val="Cheq"/>
      <sheetName val="Dep"/>
      <sheetName val="NC"/>
      <sheetName val="Sheet1"/>
      <sheetName val="bancoPacificoenero-abril2008"/>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3">
          <cell r="A3">
            <v>1138503</v>
          </cell>
        </row>
      </sheetData>
      <sheetData sheetId="9" refreshError="1"/>
      <sheetData sheetId="10"/>
      <sheetData sheetId="11"/>
      <sheetData sheetId="12"/>
      <sheetData sheetId="13"/>
      <sheetData sheetId="14"/>
      <sheetData sheetId="15" refreshError="1"/>
      <sheetData sheetId="16" refreshError="1"/>
      <sheetData sheetId="17" refreshError="1"/>
      <sheetData sheetId="18"/>
      <sheetData sheetId="19">
        <row r="1">
          <cell r="A1" t="str">
            <v>(reserved)</v>
          </cell>
          <cell r="B1" t="str">
            <v>Company</v>
          </cell>
          <cell r="C1" t="str">
            <v>Target Grouping</v>
          </cell>
          <cell r="D1" t="str">
            <v>#</v>
          </cell>
          <cell r="E1" t="str">
            <v>Nombre</v>
          </cell>
          <cell r="F1">
            <v>39386</v>
          </cell>
          <cell r="G1" t="str">
            <v>AJE</v>
          </cell>
          <cell r="H1" t="str">
            <v>Saldos Ajustados</v>
          </cell>
          <cell r="I1" t="str">
            <v>RJE</v>
          </cell>
          <cell r="J1" t="str">
            <v>Final</v>
          </cell>
          <cell r="K1" t="str">
            <v>31-Dic-06</v>
          </cell>
        </row>
        <row r="2">
          <cell r="A2" t="str">
            <v/>
          </cell>
          <cell r="C2" t="str">
            <v>67</v>
          </cell>
        </row>
        <row r="3">
          <cell r="A3" t="str">
            <v>_/_67_/_6711000</v>
          </cell>
          <cell r="B3" t="str">
            <v/>
          </cell>
          <cell r="C3" t="str">
            <v>67</v>
          </cell>
          <cell r="D3" t="str">
            <v>6711000</v>
          </cell>
          <cell r="E3" t="str">
            <v>Caja Chica Moneda Nacional</v>
          </cell>
        </row>
        <row r="4">
          <cell r="A4" t="str">
            <v>_/_67_/_6711010</v>
          </cell>
          <cell r="B4" t="str">
            <v/>
          </cell>
          <cell r="C4" t="str">
            <v>67</v>
          </cell>
          <cell r="D4" t="str">
            <v>6711010</v>
          </cell>
          <cell r="E4" t="str">
            <v>Caja Chica Dólares</v>
          </cell>
        </row>
        <row r="5">
          <cell r="A5" t="str">
            <v>_/_67_/_6711020</v>
          </cell>
          <cell r="B5" t="str">
            <v/>
          </cell>
          <cell r="C5" t="str">
            <v>67</v>
          </cell>
          <cell r="D5" t="str">
            <v>6711020</v>
          </cell>
          <cell r="E5" t="str">
            <v>Efectivo en Caja</v>
          </cell>
        </row>
        <row r="6">
          <cell r="A6" t="str">
            <v>_/_67_/_6722110</v>
          </cell>
          <cell r="B6" t="str">
            <v/>
          </cell>
          <cell r="C6" t="str">
            <v>67</v>
          </cell>
          <cell r="D6" t="str">
            <v>6722110</v>
          </cell>
          <cell r="E6" t="str">
            <v>Lloyds/Banistmo  USD</v>
          </cell>
        </row>
        <row r="7">
          <cell r="A7" t="str">
            <v>_/_67_/_6722113</v>
          </cell>
          <cell r="B7" t="str">
            <v/>
          </cell>
          <cell r="C7" t="str">
            <v>67</v>
          </cell>
          <cell r="D7" t="str">
            <v>6722113</v>
          </cell>
          <cell r="E7" t="str">
            <v>Lloyds/Banismo  Trans. In USD</v>
          </cell>
        </row>
        <row r="8">
          <cell r="A8" t="str">
            <v>_/_67_/_6722114</v>
          </cell>
          <cell r="B8" t="str">
            <v/>
          </cell>
          <cell r="C8" t="str">
            <v>67</v>
          </cell>
          <cell r="D8" t="str">
            <v>6722114</v>
          </cell>
          <cell r="E8" t="str">
            <v>Lloyds/Banistmo Trans. Out USD</v>
          </cell>
        </row>
        <row r="9">
          <cell r="A9" t="str">
            <v>_/_67_/_6734120</v>
          </cell>
          <cell r="B9" t="str">
            <v/>
          </cell>
          <cell r="C9" t="str">
            <v>67</v>
          </cell>
          <cell r="D9" t="str">
            <v>6734120</v>
          </cell>
          <cell r="E9" t="str">
            <v>Citibank -USD</v>
          </cell>
        </row>
        <row r="10">
          <cell r="A10" t="str">
            <v>_/_67_/_6734123</v>
          </cell>
          <cell r="B10" t="str">
            <v/>
          </cell>
          <cell r="C10" t="str">
            <v>67</v>
          </cell>
          <cell r="D10" t="str">
            <v>6734123</v>
          </cell>
          <cell r="E10" t="str">
            <v>Transfer In Citibank USD</v>
          </cell>
        </row>
        <row r="11">
          <cell r="A11" t="str">
            <v>_/_67_/_6734124</v>
          </cell>
          <cell r="B11" t="str">
            <v/>
          </cell>
          <cell r="C11" t="str">
            <v>67</v>
          </cell>
          <cell r="D11" t="str">
            <v>6734124</v>
          </cell>
          <cell r="E11" t="str">
            <v>Transfer Out Citibank USD</v>
          </cell>
        </row>
        <row r="12">
          <cell r="A12" t="str">
            <v>_/_67_/_6738110</v>
          </cell>
          <cell r="B12" t="str">
            <v/>
          </cell>
          <cell r="C12" t="str">
            <v>67</v>
          </cell>
          <cell r="D12" t="str">
            <v>6738110</v>
          </cell>
          <cell r="E12" t="str">
            <v>Pichincha  Bank DOL</v>
          </cell>
        </row>
        <row r="13">
          <cell r="A13" t="str">
            <v>_/_67_/_6738113</v>
          </cell>
          <cell r="B13" t="str">
            <v/>
          </cell>
          <cell r="C13" t="str">
            <v>67</v>
          </cell>
          <cell r="D13" t="str">
            <v>6738113</v>
          </cell>
          <cell r="E13" t="str">
            <v>Pichincha Bank In DOL</v>
          </cell>
        </row>
        <row r="14">
          <cell r="A14" t="str">
            <v>_/_67_/_6738114</v>
          </cell>
          <cell r="B14" t="str">
            <v/>
          </cell>
          <cell r="C14" t="str">
            <v>67</v>
          </cell>
          <cell r="D14" t="str">
            <v>6738114</v>
          </cell>
          <cell r="E14" t="str">
            <v>Pichincha Bank Out DOL</v>
          </cell>
        </row>
        <row r="15">
          <cell r="A15" t="str">
            <v>_/_67_/_6739110</v>
          </cell>
          <cell r="B15" t="str">
            <v/>
          </cell>
          <cell r="C15" t="str">
            <v>67</v>
          </cell>
          <cell r="D15" t="str">
            <v>6739110</v>
          </cell>
          <cell r="E15" t="str">
            <v>Bco. La Producción DOL</v>
          </cell>
        </row>
        <row r="16">
          <cell r="A16" t="str">
            <v>_/_67_/_6739113</v>
          </cell>
          <cell r="B16" t="str">
            <v/>
          </cell>
          <cell r="C16" t="str">
            <v>67</v>
          </cell>
          <cell r="D16" t="str">
            <v>6739113</v>
          </cell>
          <cell r="E16" t="str">
            <v>Produbco ttria Entr</v>
          </cell>
        </row>
        <row r="17">
          <cell r="A17" t="str">
            <v>_/_67_/_6739114</v>
          </cell>
          <cell r="B17" t="str">
            <v/>
          </cell>
          <cell r="C17" t="str">
            <v>67</v>
          </cell>
          <cell r="D17" t="str">
            <v>6739114</v>
          </cell>
          <cell r="E17" t="str">
            <v>Produbco ttria Sali</v>
          </cell>
        </row>
        <row r="18">
          <cell r="A18" t="str">
            <v>_/_67_/_</v>
          </cell>
          <cell r="C18" t="str">
            <v>67</v>
          </cell>
          <cell r="E18" t="str">
            <v>TB Total - Efectivo y Bancos</v>
          </cell>
        </row>
        <row r="19">
          <cell r="A19" t="str">
            <v>_/_GrandTotal_/_</v>
          </cell>
          <cell r="C19" t="str">
            <v>Grand Total</v>
          </cell>
          <cell r="F19">
            <v>424856</v>
          </cell>
          <cell r="G19">
            <v>0</v>
          </cell>
          <cell r="H19">
            <v>424856</v>
          </cell>
          <cell r="I19">
            <v>0</v>
          </cell>
          <cell r="J19">
            <v>424856</v>
          </cell>
          <cell r="K19">
            <v>254774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Estados Financieros (2)"/>
      <sheetName val="Costo"/>
      <sheetName val="Dep.Costo"/>
      <sheetName val="Calc. dep."/>
      <sheetName val="Análisis de Adiciones"/>
      <sheetName val="Detalle de ventas"/>
      <sheetName val="Marcas Estándar"/>
      <sheetName val="XREF"/>
    </sheetNames>
    <sheetDataSet>
      <sheetData sheetId="0" refreshError="1"/>
      <sheetData sheetId="1"/>
      <sheetData sheetId="2"/>
      <sheetData sheetId="3">
        <row r="1">
          <cell r="A1" t="str">
            <v>Cálculo Global de Depreciación</v>
          </cell>
        </row>
      </sheetData>
      <sheetData sheetId="4" refreshError="1"/>
      <sheetData sheetId="5" refreshError="1"/>
      <sheetData sheetId="6" refreshError="1"/>
      <sheetData sheetId="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Gastos Dic"/>
      <sheetName val="Detalle Gastos Ene-Ago 03"/>
      <sheetName val="Cuota Afiliación (2)"/>
      <sheetName val="Detalle Gastos Ene02-Dic02"/>
      <sheetName val="Detalle gastos Sep01-Ago02"/>
      <sheetName val="Cálculo G. Sueldos Ene-Dic02"/>
      <sheetName val="Cálculo Sueldos Sep02-Ago03"/>
      <sheetName val="Cuota Afiliación"/>
      <sheetName val="MMA"/>
      <sheetName val="Análisis de gastos"/>
      <sheetName val="XREF"/>
      <sheetName val="Tickmarks"/>
      <sheetName val="Tick2002"/>
    </sheetNames>
    <sheetDataSet>
      <sheetData sheetId="0" refreshError="1"/>
      <sheetData sheetId="1"/>
      <sheetData sheetId="2" refreshError="1"/>
      <sheetData sheetId="3" refreshError="1"/>
      <sheetData sheetId="4"/>
      <sheetData sheetId="5"/>
      <sheetData sheetId="6" refreshError="1"/>
      <sheetData sheetId="7"/>
      <sheetData sheetId="8"/>
      <sheetData sheetId="9"/>
      <sheetData sheetId="10"/>
      <sheetData sheetId="11" refreshError="1"/>
      <sheetData sheetId="1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111000"/>
      <sheetName val="Citi-Pagos Sueldos 113033"/>
      <sheetName val="Produbanco 113110-11-12"/>
      <sheetName val=" Bco CITI 113120-21-22"/>
      <sheetName val="113121"/>
      <sheetName val="113122"/>
      <sheetName val="12100-121005"/>
      <sheetName val="Detalle 121000"/>
      <sheetName val="121080"/>
      <sheetName val="123000"/>
      <sheetName val="124000"/>
      <sheetName val="131000 "/>
      <sheetName val="134000 "/>
      <sheetName val="134010"/>
      <sheetName val="135010"/>
      <sheetName val="135400"/>
      <sheetName val=" 135510"/>
      <sheetName val=" 135600"/>
      <sheetName val="151280"/>
      <sheetName val="151290"/>
      <sheetName val="151430"/>
      <sheetName val="152070"/>
      <sheetName val="152100-152200"/>
      <sheetName val="Masterdata"/>
      <sheetName val="BASE 152100-152200-211000"/>
      <sheetName val="MASTER 211000"/>
      <sheetName val="160020-170070 "/>
      <sheetName val="196000"/>
      <sheetName val="211000"/>
      <sheetName val="211005 "/>
      <sheetName val="211010-15"/>
      <sheetName val="211050"/>
      <sheetName val="211200"/>
      <sheetName val="Sheet5"/>
      <sheetName val="211210"/>
      <sheetName val="213040"/>
      <sheetName val="213095"/>
      <sheetName val="213340"/>
      <sheetName val="213360"/>
      <sheetName val="213380"/>
      <sheetName val="213665"/>
      <sheetName val="214120"/>
      <sheetName val="214160"/>
      <sheetName val="216011-216040"/>
      <sheetName val="216140"/>
      <sheetName val="217030"/>
      <sheetName val="217200"/>
    </sheetNames>
    <sheetDataSet>
      <sheetData sheetId="0">
        <row r="3">
          <cell r="B3">
            <v>111000</v>
          </cell>
          <cell r="C3" t="str">
            <v>Caja Chica</v>
          </cell>
          <cell r="D3">
            <v>200</v>
          </cell>
        </row>
        <row r="4">
          <cell r="B4">
            <v>113033</v>
          </cell>
          <cell r="C4" t="str">
            <v>Citi-Pagos Sueldos</v>
          </cell>
          <cell r="D4">
            <v>3153.71</v>
          </cell>
        </row>
        <row r="5">
          <cell r="B5">
            <v>113110</v>
          </cell>
          <cell r="C5" t="str">
            <v>B.Produbanco C.Ppal</v>
          </cell>
          <cell r="D5">
            <v>13147.34</v>
          </cell>
        </row>
        <row r="6">
          <cell r="B6">
            <v>113111</v>
          </cell>
          <cell r="C6" t="str">
            <v>B.Produbanco Depos</v>
          </cell>
          <cell r="D6">
            <v>2558813.66</v>
          </cell>
        </row>
        <row r="7">
          <cell r="B7">
            <v>113112</v>
          </cell>
          <cell r="C7" t="str">
            <v>B.Produbanco Cheques</v>
          </cell>
          <cell r="D7">
            <v>-2481710.7599999998</v>
          </cell>
        </row>
        <row r="8">
          <cell r="B8">
            <v>113120</v>
          </cell>
          <cell r="C8" t="str">
            <v>Citibank -  EC Cuent</v>
          </cell>
          <cell r="D8">
            <v>86325.51</v>
          </cell>
        </row>
        <row r="9">
          <cell r="B9">
            <v>113121</v>
          </cell>
          <cell r="C9" t="str">
            <v>Citibank -  EC Depós</v>
          </cell>
          <cell r="D9">
            <v>17716.82</v>
          </cell>
        </row>
        <row r="10">
          <cell r="B10">
            <v>113122</v>
          </cell>
          <cell r="C10" t="str">
            <v>Citibank -  EC Chequ</v>
          </cell>
          <cell r="D10">
            <v>-31489.63</v>
          </cell>
        </row>
        <row r="11">
          <cell r="B11">
            <v>121000</v>
          </cell>
          <cell r="C11" t="str">
            <v>Tr Rcvbls - Domestic</v>
          </cell>
          <cell r="D11">
            <v>1246742.31</v>
          </cell>
        </row>
        <row r="12">
          <cell r="B12">
            <v>121005</v>
          </cell>
          <cell r="C12" t="str">
            <v>I/C Trade Receiv.</v>
          </cell>
          <cell r="D12">
            <v>46659.360000000001</v>
          </cell>
        </row>
        <row r="13">
          <cell r="B13">
            <v>121040</v>
          </cell>
          <cell r="C13" t="str">
            <v>Ctas.X Cobrar</v>
          </cell>
          <cell r="D13">
            <v>1800</v>
          </cell>
        </row>
        <row r="14">
          <cell r="B14">
            <v>121100</v>
          </cell>
          <cell r="C14" t="str">
            <v>Ctas.X C Inter</v>
          </cell>
          <cell r="D14">
            <v>0</v>
          </cell>
        </row>
        <row r="15">
          <cell r="B15">
            <v>123000</v>
          </cell>
          <cell r="C15" t="str">
            <v>Ctas.X Cobrar</v>
          </cell>
          <cell r="D15">
            <v>2066874.74</v>
          </cell>
        </row>
        <row r="16">
          <cell r="B16">
            <v>124000</v>
          </cell>
          <cell r="C16" t="str">
            <v>Provisión por</v>
          </cell>
          <cell r="D16">
            <v>-6000</v>
          </cell>
        </row>
        <row r="17">
          <cell r="B17">
            <v>131000</v>
          </cell>
          <cell r="C17" t="str">
            <v>Inv - Materia Prima</v>
          </cell>
          <cell r="D17">
            <v>144661.81</v>
          </cell>
        </row>
        <row r="18">
          <cell r="B18">
            <v>134000</v>
          </cell>
          <cell r="C18" t="str">
            <v>Invt - Finished Gds</v>
          </cell>
          <cell r="D18">
            <v>2930963.61</v>
          </cell>
        </row>
        <row r="19">
          <cell r="B19">
            <v>134010</v>
          </cell>
          <cell r="C19" t="str">
            <v>Inventario En Tr</v>
          </cell>
          <cell r="D19">
            <v>114797.31</v>
          </cell>
        </row>
        <row r="20">
          <cell r="B20">
            <v>135010</v>
          </cell>
          <cell r="C20" t="str">
            <v>Inv - Materiales Var</v>
          </cell>
          <cell r="D20">
            <v>0</v>
          </cell>
        </row>
        <row r="21">
          <cell r="B21">
            <v>135400</v>
          </cell>
          <cell r="C21" t="str">
            <v>Inventory-Reserve</v>
          </cell>
          <cell r="D21">
            <v>-15285.95</v>
          </cell>
        </row>
        <row r="22">
          <cell r="B22">
            <v>135510</v>
          </cell>
          <cell r="C22" t="str">
            <v>Inventario AS400</v>
          </cell>
          <cell r="D22">
            <v>-1083.25</v>
          </cell>
        </row>
        <row r="23">
          <cell r="B23">
            <v>135600</v>
          </cell>
          <cell r="C23" t="str">
            <v>Invent.Ajustes</v>
          </cell>
          <cell r="D23">
            <v>0</v>
          </cell>
        </row>
        <row r="24">
          <cell r="B24">
            <v>151280</v>
          </cell>
          <cell r="C24" t="str">
            <v>Imp. PrepOtros</v>
          </cell>
          <cell r="D24">
            <v>218936.01</v>
          </cell>
        </row>
        <row r="25">
          <cell r="B25">
            <v>151290</v>
          </cell>
          <cell r="C25" t="str">
            <v>IVA Credito Fiscal</v>
          </cell>
          <cell r="D25">
            <v>149580.16</v>
          </cell>
        </row>
        <row r="26">
          <cell r="B26">
            <v>151430</v>
          </cell>
          <cell r="C26" t="str">
            <v>GAN Ret Sufr</v>
          </cell>
          <cell r="D26">
            <v>270983.74</v>
          </cell>
        </row>
        <row r="27">
          <cell r="B27">
            <v>152070</v>
          </cell>
          <cell r="C27" t="str">
            <v>Otros Gastos Pre</v>
          </cell>
          <cell r="D27">
            <v>13661.19</v>
          </cell>
        </row>
        <row r="28">
          <cell r="B28">
            <v>152100</v>
          </cell>
          <cell r="C28" t="str">
            <v>Gastos Viaje Prep.</v>
          </cell>
          <cell r="D28">
            <v>1650</v>
          </cell>
        </row>
        <row r="29">
          <cell r="B29">
            <v>152200</v>
          </cell>
          <cell r="C29" t="str">
            <v>Vendor Prepayments</v>
          </cell>
          <cell r="D29">
            <v>32441.17</v>
          </cell>
        </row>
        <row r="30">
          <cell r="B30">
            <v>160020</v>
          </cell>
          <cell r="C30" t="str">
            <v>Equipos y Maquinaria</v>
          </cell>
          <cell r="D30">
            <v>268842.40000000002</v>
          </cell>
        </row>
        <row r="31">
          <cell r="B31">
            <v>160026</v>
          </cell>
          <cell r="C31" t="str">
            <v>Equipo de Laboratori</v>
          </cell>
          <cell r="D31">
            <v>84872.73</v>
          </cell>
        </row>
        <row r="32">
          <cell r="B32">
            <v>160030</v>
          </cell>
          <cell r="C32" t="str">
            <v>Mejor.prop.rentada</v>
          </cell>
          <cell r="D32">
            <v>30560</v>
          </cell>
        </row>
        <row r="33">
          <cell r="B33">
            <v>160040</v>
          </cell>
          <cell r="C33" t="str">
            <v>Rodados - Automovile</v>
          </cell>
          <cell r="D33">
            <v>287444.34000000003</v>
          </cell>
        </row>
        <row r="34">
          <cell r="B34">
            <v>160060</v>
          </cell>
          <cell r="C34" t="str">
            <v>Muebles y Utiles</v>
          </cell>
          <cell r="D34">
            <v>13294.86</v>
          </cell>
        </row>
        <row r="35">
          <cell r="B35">
            <v>160070</v>
          </cell>
          <cell r="C35" t="str">
            <v>Equipos de Computaci</v>
          </cell>
          <cell r="D35">
            <v>75578.25</v>
          </cell>
        </row>
        <row r="36">
          <cell r="B36">
            <v>170020</v>
          </cell>
          <cell r="C36" t="str">
            <v>De.Acum.Maqui.</v>
          </cell>
          <cell r="D36">
            <v>-94325.46</v>
          </cell>
        </row>
        <row r="37">
          <cell r="B37">
            <v>170026</v>
          </cell>
          <cell r="C37" t="str">
            <v>De.Acum.Equi/Lab</v>
          </cell>
          <cell r="D37">
            <v>-25846.89</v>
          </cell>
        </row>
        <row r="38">
          <cell r="B38">
            <v>170030</v>
          </cell>
          <cell r="C38" t="str">
            <v>De.Acum.Mejoras</v>
          </cell>
          <cell r="D38">
            <v>-19504.560000000001</v>
          </cell>
        </row>
        <row r="39">
          <cell r="B39">
            <v>170040</v>
          </cell>
          <cell r="C39" t="str">
            <v>De.Acum.Vehicu</v>
          </cell>
          <cell r="D39">
            <v>-175990.14</v>
          </cell>
        </row>
        <row r="40">
          <cell r="B40">
            <v>170060</v>
          </cell>
          <cell r="C40" t="str">
            <v>De.Acum.Muebles</v>
          </cell>
          <cell r="D40">
            <v>-3009.2</v>
          </cell>
        </row>
        <row r="41">
          <cell r="B41">
            <v>170070</v>
          </cell>
          <cell r="C41" t="str">
            <v>Accum Dpr - Hardware</v>
          </cell>
          <cell r="D41">
            <v>-62224.68</v>
          </cell>
        </row>
        <row r="42">
          <cell r="B42">
            <v>196000</v>
          </cell>
          <cell r="C42" t="str">
            <v>Depositos</v>
          </cell>
          <cell r="D42">
            <v>23120</v>
          </cell>
        </row>
        <row r="43">
          <cell r="B43">
            <v>211000</v>
          </cell>
          <cell r="C43" t="str">
            <v>Cuentas por Pagar -</v>
          </cell>
          <cell r="D43">
            <v>-468662.87</v>
          </cell>
        </row>
        <row r="44">
          <cell r="B44">
            <v>211005</v>
          </cell>
          <cell r="C44" t="str">
            <v>Cuentas por Pagar IC</v>
          </cell>
          <cell r="D44">
            <v>-2192077.5699999998</v>
          </cell>
        </row>
        <row r="45">
          <cell r="B45">
            <v>211010</v>
          </cell>
          <cell r="C45" t="str">
            <v>Intercompany A/P-Man</v>
          </cell>
          <cell r="D45">
            <v>-222987.1</v>
          </cell>
        </row>
        <row r="46">
          <cell r="B46">
            <v>211015</v>
          </cell>
          <cell r="C46" t="str">
            <v>Intercompany A/P-Roy</v>
          </cell>
          <cell r="D46">
            <v>-449264.38</v>
          </cell>
        </row>
        <row r="47">
          <cell r="B47">
            <v>211030</v>
          </cell>
          <cell r="C47" t="str">
            <v>Ctas.X P. Inter</v>
          </cell>
          <cell r="D47">
            <v>-30495.4</v>
          </cell>
        </row>
        <row r="48">
          <cell r="B48">
            <v>211100</v>
          </cell>
          <cell r="C48" t="str">
            <v>Bien.reci/fact.reci.</v>
          </cell>
          <cell r="D48">
            <v>0</v>
          </cell>
        </row>
        <row r="49">
          <cell r="B49">
            <v>211200</v>
          </cell>
          <cell r="C49" t="str">
            <v>Prov/Frac recibir</v>
          </cell>
          <cell r="D49">
            <v>-24876.92</v>
          </cell>
        </row>
        <row r="50">
          <cell r="B50">
            <v>211210</v>
          </cell>
          <cell r="C50" t="str">
            <v>Otras Prov/Cost.Inv</v>
          </cell>
          <cell r="D50">
            <v>1028.51</v>
          </cell>
        </row>
        <row r="51">
          <cell r="B51">
            <v>211220</v>
          </cell>
          <cell r="C51" t="str">
            <v>Prov/Frac recibir</v>
          </cell>
          <cell r="D51">
            <v>0</v>
          </cell>
        </row>
        <row r="52">
          <cell r="B52">
            <v>213040</v>
          </cell>
          <cell r="C52" t="str">
            <v>Prov.Bonos.Empleados</v>
          </cell>
          <cell r="D52">
            <v>-38224.99</v>
          </cell>
        </row>
        <row r="53">
          <cell r="B53">
            <v>213095</v>
          </cell>
          <cell r="C53" t="str">
            <v>Prov Benefi.Labor.</v>
          </cell>
          <cell r="D53">
            <v>-158270.31</v>
          </cell>
        </row>
        <row r="54">
          <cell r="B54">
            <v>213340</v>
          </cell>
          <cell r="C54" t="str">
            <v>Otras Provisiones</v>
          </cell>
          <cell r="D54">
            <v>-28370</v>
          </cell>
        </row>
        <row r="55">
          <cell r="B55">
            <v>213360</v>
          </cell>
          <cell r="C55" t="str">
            <v>Prov de Nomina</v>
          </cell>
          <cell r="D55">
            <v>-69678.42</v>
          </cell>
        </row>
        <row r="56">
          <cell r="B56">
            <v>213380</v>
          </cell>
          <cell r="C56" t="str">
            <v>Prov Imp.de Nomina</v>
          </cell>
          <cell r="D56">
            <v>-37939.660000000003</v>
          </cell>
        </row>
        <row r="57">
          <cell r="B57">
            <v>213665</v>
          </cell>
          <cell r="C57" t="str">
            <v>15% Profit Partic. E</v>
          </cell>
          <cell r="D57">
            <v>0</v>
          </cell>
        </row>
        <row r="58">
          <cell r="B58">
            <v>214120</v>
          </cell>
          <cell r="C58" t="str">
            <v>Accrd Severance-S/T</v>
          </cell>
          <cell r="D58">
            <v>-20725.150000000001</v>
          </cell>
        </row>
        <row r="59">
          <cell r="B59">
            <v>214160</v>
          </cell>
          <cell r="C59" t="str">
            <v>Prov.Vacaciones</v>
          </cell>
          <cell r="D59">
            <v>-112211.71</v>
          </cell>
        </row>
        <row r="60">
          <cell r="B60">
            <v>216011</v>
          </cell>
          <cell r="C60" t="str">
            <v>WH-tax code 01- 03</v>
          </cell>
          <cell r="D60">
            <v>0</v>
          </cell>
        </row>
        <row r="61">
          <cell r="B61">
            <v>216012</v>
          </cell>
          <cell r="C61" t="str">
            <v>WH-tax code 01- 04</v>
          </cell>
          <cell r="D61">
            <v>-379.07</v>
          </cell>
        </row>
        <row r="62">
          <cell r="B62">
            <v>216013</v>
          </cell>
          <cell r="C62" t="str">
            <v>WH-tax code 01- 05</v>
          </cell>
          <cell r="D62">
            <v>-605.25</v>
          </cell>
        </row>
        <row r="63">
          <cell r="B63">
            <v>216014</v>
          </cell>
          <cell r="C63" t="str">
            <v>WH-tax code 01- 06</v>
          </cell>
          <cell r="D63">
            <v>0</v>
          </cell>
        </row>
        <row r="64">
          <cell r="B64">
            <v>216015</v>
          </cell>
          <cell r="C64" t="str">
            <v>Ret.Imp cod 01/0A-01</v>
          </cell>
          <cell r="D64">
            <v>-4631.8100000000004</v>
          </cell>
        </row>
        <row r="65">
          <cell r="B65">
            <v>216024</v>
          </cell>
          <cell r="C65" t="str">
            <v>Ret.Imp cod 0/A-02</v>
          </cell>
          <cell r="D65">
            <v>0</v>
          </cell>
        </row>
        <row r="66">
          <cell r="B66">
            <v>216030</v>
          </cell>
          <cell r="C66" t="str">
            <v>Ret.De Impuestos</v>
          </cell>
          <cell r="D66">
            <v>-4258.21</v>
          </cell>
        </row>
        <row r="67">
          <cell r="B67">
            <v>216040</v>
          </cell>
          <cell r="C67" t="str">
            <v>WH-tax code 01- 02</v>
          </cell>
          <cell r="D67">
            <v>-6393.01</v>
          </cell>
        </row>
        <row r="68">
          <cell r="B68">
            <v>216140</v>
          </cell>
          <cell r="C68" t="str">
            <v>IVA Debito Fiscal</v>
          </cell>
          <cell r="D68">
            <v>-128010</v>
          </cell>
        </row>
        <row r="69">
          <cell r="B69">
            <v>217030</v>
          </cell>
          <cell r="C69" t="str">
            <v>Impuesto/Renta</v>
          </cell>
          <cell r="D69">
            <v>0</v>
          </cell>
        </row>
        <row r="70">
          <cell r="B70">
            <v>224000</v>
          </cell>
          <cell r="C70" t="str">
            <v>Imp.a Gananc.Diferi</v>
          </cell>
          <cell r="D70">
            <v>18334</v>
          </cell>
        </row>
        <row r="71">
          <cell r="B71">
            <v>269000</v>
          </cell>
          <cell r="C71" t="str">
            <v>Area Funcional</v>
          </cell>
          <cell r="D71">
            <v>0</v>
          </cell>
        </row>
        <row r="72">
          <cell r="B72">
            <v>310000</v>
          </cell>
          <cell r="C72" t="str">
            <v>A.Comunes Valor</v>
          </cell>
          <cell r="D72">
            <v>-312440</v>
          </cell>
        </row>
        <row r="73">
          <cell r="B73">
            <v>320000</v>
          </cell>
          <cell r="C73" t="str">
            <v>APIC</v>
          </cell>
          <cell r="D73">
            <v>-18334</v>
          </cell>
        </row>
        <row r="74">
          <cell r="B74">
            <v>330000</v>
          </cell>
          <cell r="C74" t="str">
            <v>Utilidades Ret</v>
          </cell>
          <cell r="D74">
            <v>-2680685.59</v>
          </cell>
        </row>
        <row r="75">
          <cell r="B75">
            <v>330004</v>
          </cell>
          <cell r="C75" t="str">
            <v>Adjust R/E</v>
          </cell>
          <cell r="D75">
            <v>-88396</v>
          </cell>
        </row>
        <row r="76">
          <cell r="B76">
            <v>399990</v>
          </cell>
          <cell r="C76" t="str">
            <v>Contra-Partida</v>
          </cell>
          <cell r="D76">
            <v>0</v>
          </cell>
        </row>
        <row r="77">
          <cell r="B77">
            <v>410000</v>
          </cell>
          <cell r="C77" t="str">
            <v>Ingr.Ventas Dom.</v>
          </cell>
          <cell r="D77">
            <v>-10750814.449999999</v>
          </cell>
        </row>
        <row r="78">
          <cell r="B78">
            <v>410040</v>
          </cell>
          <cell r="C78" t="str">
            <v>Ingr Contenedores</v>
          </cell>
          <cell r="D78">
            <v>0</v>
          </cell>
        </row>
        <row r="79">
          <cell r="B79">
            <v>500000</v>
          </cell>
          <cell r="C79" t="str">
            <v>Costo de Ventas</v>
          </cell>
          <cell r="D79">
            <v>5440918.0199999996</v>
          </cell>
        </row>
        <row r="80">
          <cell r="B80">
            <v>500005</v>
          </cell>
          <cell r="C80" t="str">
            <v>Costo/Ventas Aj</v>
          </cell>
          <cell r="D80">
            <v>126930.53</v>
          </cell>
        </row>
        <row r="81">
          <cell r="B81">
            <v>500810</v>
          </cell>
          <cell r="C81" t="str">
            <v>Fletes - Saliendo</v>
          </cell>
          <cell r="D81">
            <v>0</v>
          </cell>
        </row>
        <row r="82">
          <cell r="B82">
            <v>510000</v>
          </cell>
          <cell r="C82" t="str">
            <v>Cons.Mat.primas</v>
          </cell>
          <cell r="D82">
            <v>1692716.5</v>
          </cell>
        </row>
        <row r="83">
          <cell r="B83">
            <v>510020</v>
          </cell>
          <cell r="C83" t="str">
            <v>Cons.Prod.Termin</v>
          </cell>
          <cell r="D83">
            <v>8639027.5800000001</v>
          </cell>
        </row>
        <row r="84">
          <cell r="B84">
            <v>510060</v>
          </cell>
          <cell r="C84" t="str">
            <v>Cons.Otros cost.Inv</v>
          </cell>
          <cell r="D84">
            <v>5609.01</v>
          </cell>
        </row>
        <row r="85">
          <cell r="B85">
            <v>520000</v>
          </cell>
          <cell r="C85" t="str">
            <v>G/P Valuaci.De mat.</v>
          </cell>
          <cell r="D85">
            <v>-37.270000000000003</v>
          </cell>
        </row>
        <row r="86">
          <cell r="B86">
            <v>520010</v>
          </cell>
          <cell r="C86" t="str">
            <v>Ganancia/Per Inv.</v>
          </cell>
          <cell r="D86">
            <v>24670.38</v>
          </cell>
        </row>
        <row r="87">
          <cell r="B87">
            <v>520100</v>
          </cell>
          <cell r="C87" t="str">
            <v>Ord.Prod.Comp.Stand</v>
          </cell>
          <cell r="D87">
            <v>-10004830.02</v>
          </cell>
        </row>
        <row r="88">
          <cell r="B88">
            <v>520110</v>
          </cell>
          <cell r="C88" t="str">
            <v>Ord.Prod.Comp.Variac</v>
          </cell>
          <cell r="D88">
            <v>-335258.32</v>
          </cell>
        </row>
        <row r="89">
          <cell r="B89">
            <v>530000</v>
          </cell>
          <cell r="C89" t="str">
            <v>G/P Var.en Precio</v>
          </cell>
          <cell r="D89">
            <v>-1231.51</v>
          </cell>
        </row>
        <row r="90">
          <cell r="B90">
            <v>530020</v>
          </cell>
          <cell r="C90" t="str">
            <v>IC Mark up on Purch</v>
          </cell>
          <cell r="D90">
            <v>645245.97</v>
          </cell>
        </row>
        <row r="91">
          <cell r="B91">
            <v>530050</v>
          </cell>
          <cell r="C91" t="str">
            <v>T/P Var.en producc</v>
          </cell>
          <cell r="D91">
            <v>43620.04</v>
          </cell>
        </row>
        <row r="92">
          <cell r="B92">
            <v>600060</v>
          </cell>
          <cell r="C92" t="str">
            <v>Public.Pag.Amarill.</v>
          </cell>
          <cell r="D92">
            <v>371.54</v>
          </cell>
        </row>
        <row r="93">
          <cell r="B93">
            <v>600200</v>
          </cell>
          <cell r="C93" t="str">
            <v>Honor/Auditoria</v>
          </cell>
          <cell r="D93">
            <v>8</v>
          </cell>
        </row>
        <row r="94">
          <cell r="B94">
            <v>600220</v>
          </cell>
          <cell r="C94" t="str">
            <v>Auto Combustible</v>
          </cell>
          <cell r="D94">
            <v>1027.79</v>
          </cell>
        </row>
        <row r="95">
          <cell r="B95">
            <v>600230</v>
          </cell>
          <cell r="C95" t="str">
            <v>Auto Reparaciones</v>
          </cell>
          <cell r="D95">
            <v>4765.42</v>
          </cell>
        </row>
        <row r="96">
          <cell r="B96">
            <v>600250</v>
          </cell>
          <cell r="C96" t="str">
            <v>Auto Licencias/Tit</v>
          </cell>
          <cell r="D96">
            <v>7235.09</v>
          </cell>
        </row>
        <row r="97">
          <cell r="B97">
            <v>600290</v>
          </cell>
          <cell r="C97" t="str">
            <v>Manten Edificio</v>
          </cell>
          <cell r="D97">
            <v>10515.47</v>
          </cell>
        </row>
        <row r="98">
          <cell r="B98">
            <v>600310</v>
          </cell>
          <cell r="C98" t="str">
            <v>Telefono Celular</v>
          </cell>
          <cell r="D98">
            <v>14008.61</v>
          </cell>
        </row>
        <row r="99">
          <cell r="B99">
            <v>600370</v>
          </cell>
          <cell r="C99" t="str">
            <v>Regalos compañia</v>
          </cell>
          <cell r="D99">
            <v>1400</v>
          </cell>
        </row>
        <row r="100">
          <cell r="B100">
            <v>600410</v>
          </cell>
          <cell r="C100" t="str">
            <v>Trabajos Contr</v>
          </cell>
          <cell r="D100">
            <v>32885.599999999999</v>
          </cell>
        </row>
        <row r="101">
          <cell r="B101">
            <v>600420</v>
          </cell>
          <cell r="C101" t="str">
            <v>Contrib/Donac</v>
          </cell>
          <cell r="D101">
            <v>12157.09</v>
          </cell>
        </row>
        <row r="102">
          <cell r="B102">
            <v>600470</v>
          </cell>
          <cell r="C102" t="str">
            <v>Correo/Entregas</v>
          </cell>
          <cell r="D102">
            <v>1470.22</v>
          </cell>
        </row>
        <row r="103">
          <cell r="B103">
            <v>600630</v>
          </cell>
          <cell r="C103" t="str">
            <v>Gtos.Exam.pre.empleo</v>
          </cell>
          <cell r="D103">
            <v>5315.73</v>
          </cell>
        </row>
        <row r="104">
          <cell r="B104">
            <v>600650</v>
          </cell>
          <cell r="C104" t="str">
            <v>Subscripciones</v>
          </cell>
          <cell r="D104">
            <v>1675.71</v>
          </cell>
        </row>
        <row r="105">
          <cell r="B105">
            <v>600700</v>
          </cell>
          <cell r="C105" t="str">
            <v>Entretenimiento</v>
          </cell>
          <cell r="D105">
            <v>4032.77</v>
          </cell>
        </row>
        <row r="106">
          <cell r="B106">
            <v>600810</v>
          </cell>
          <cell r="C106" t="str">
            <v>Freight-out</v>
          </cell>
          <cell r="D106">
            <v>312466.40000000002</v>
          </cell>
        </row>
        <row r="107">
          <cell r="B107">
            <v>600820</v>
          </cell>
          <cell r="C107" t="str">
            <v>General/Administr.</v>
          </cell>
          <cell r="D107">
            <v>0</v>
          </cell>
        </row>
        <row r="108">
          <cell r="B108">
            <v>600870</v>
          </cell>
          <cell r="C108" t="str">
            <v>Seguro General</v>
          </cell>
          <cell r="D108">
            <v>59855.25</v>
          </cell>
        </row>
        <row r="109">
          <cell r="B109">
            <v>600880</v>
          </cell>
          <cell r="C109" t="str">
            <v>Seguro Salud</v>
          </cell>
          <cell r="D109">
            <v>52535.8</v>
          </cell>
        </row>
        <row r="110">
          <cell r="B110">
            <v>600900</v>
          </cell>
          <cell r="C110" t="str">
            <v>Seguro Vida</v>
          </cell>
          <cell r="D110">
            <v>7628.18</v>
          </cell>
        </row>
        <row r="111">
          <cell r="B111">
            <v>600990</v>
          </cell>
          <cell r="C111" t="str">
            <v>Analisis Laboratorio</v>
          </cell>
          <cell r="D111">
            <v>150</v>
          </cell>
        </row>
        <row r="112">
          <cell r="B112">
            <v>601000</v>
          </cell>
          <cell r="C112" t="str">
            <v>Acces/lab.planta</v>
          </cell>
          <cell r="D112">
            <v>49714.81</v>
          </cell>
        </row>
        <row r="113">
          <cell r="B113">
            <v>601010</v>
          </cell>
          <cell r="C113" t="str">
            <v>Honorarios Legales</v>
          </cell>
          <cell r="D113">
            <v>10313.370000000001</v>
          </cell>
        </row>
        <row r="114">
          <cell r="B114">
            <v>601030</v>
          </cell>
          <cell r="C114" t="str">
            <v>Meeting Expenses</v>
          </cell>
          <cell r="D114">
            <v>1129.04</v>
          </cell>
        </row>
        <row r="115">
          <cell r="B115">
            <v>601060</v>
          </cell>
          <cell r="C115" t="str">
            <v>Gastos Traslado</v>
          </cell>
          <cell r="D115">
            <v>11918.41</v>
          </cell>
        </row>
        <row r="116">
          <cell r="B116">
            <v>601080</v>
          </cell>
          <cell r="C116" t="str">
            <v>Other Acctg Services</v>
          </cell>
          <cell r="D116">
            <v>20380</v>
          </cell>
        </row>
        <row r="117">
          <cell r="B117">
            <v>601200</v>
          </cell>
          <cell r="C117" t="str">
            <v>Gastos impresion</v>
          </cell>
          <cell r="D117">
            <v>1286</v>
          </cell>
        </row>
        <row r="118">
          <cell r="B118">
            <v>601260</v>
          </cell>
          <cell r="C118" t="str">
            <v>Reclutamiento</v>
          </cell>
          <cell r="D118">
            <v>1800</v>
          </cell>
        </row>
        <row r="119">
          <cell r="B119">
            <v>601280</v>
          </cell>
          <cell r="C119" t="str">
            <v>Gasto Alquiler</v>
          </cell>
          <cell r="D119">
            <v>36448.730000000003</v>
          </cell>
        </row>
        <row r="120">
          <cell r="B120">
            <v>601290</v>
          </cell>
          <cell r="C120" t="str">
            <v>Gastos/Repar</v>
          </cell>
          <cell r="D120">
            <v>990</v>
          </cell>
        </row>
        <row r="121">
          <cell r="B121">
            <v>601310</v>
          </cell>
          <cell r="C121" t="str">
            <v>Equip.Plant rep/mant</v>
          </cell>
          <cell r="D121">
            <v>10232.18</v>
          </cell>
        </row>
        <row r="122">
          <cell r="B122">
            <v>601330</v>
          </cell>
          <cell r="C122" t="str">
            <v>Gastos Seguridad</v>
          </cell>
          <cell r="D122">
            <v>40684.769999999997</v>
          </cell>
        </row>
        <row r="123">
          <cell r="B123">
            <v>601350</v>
          </cell>
          <cell r="C123" t="str">
            <v>Gastos Vigilancia</v>
          </cell>
          <cell r="D123">
            <v>22323.64</v>
          </cell>
        </row>
        <row r="124">
          <cell r="B124">
            <v>601360</v>
          </cell>
          <cell r="C124" t="str">
            <v>Contr.Serv.Y Mant.</v>
          </cell>
          <cell r="D124">
            <v>10886.52</v>
          </cell>
        </row>
        <row r="125">
          <cell r="B125">
            <v>601455</v>
          </cell>
          <cell r="C125" t="str">
            <v>Impuestos/propiedad</v>
          </cell>
          <cell r="D125">
            <v>83600.13</v>
          </cell>
        </row>
        <row r="126">
          <cell r="B126">
            <v>601480</v>
          </cell>
          <cell r="C126" t="str">
            <v>Gastos/telef/Int</v>
          </cell>
          <cell r="D126">
            <v>3222.2</v>
          </cell>
        </row>
        <row r="127">
          <cell r="B127">
            <v>601490</v>
          </cell>
          <cell r="C127" t="str">
            <v>Gastos/telef local</v>
          </cell>
          <cell r="D127">
            <v>1537.6</v>
          </cell>
        </row>
        <row r="128">
          <cell r="B128">
            <v>601520</v>
          </cell>
          <cell r="C128" t="str">
            <v>Trade Show Expense</v>
          </cell>
          <cell r="D128">
            <v>0</v>
          </cell>
        </row>
        <row r="129">
          <cell r="B129">
            <v>601540</v>
          </cell>
          <cell r="C129" t="str">
            <v>Gastos entren</v>
          </cell>
          <cell r="D129">
            <v>25335.55</v>
          </cell>
        </row>
        <row r="130">
          <cell r="B130">
            <v>601610</v>
          </cell>
          <cell r="C130" t="str">
            <v>Combus camiones</v>
          </cell>
          <cell r="D130">
            <v>12405.96</v>
          </cell>
        </row>
        <row r="131">
          <cell r="B131">
            <v>601620</v>
          </cell>
          <cell r="C131" t="str">
            <v>Alquiler Vehiculo</v>
          </cell>
          <cell r="D131">
            <v>256543.65</v>
          </cell>
        </row>
        <row r="132">
          <cell r="B132">
            <v>601630</v>
          </cell>
          <cell r="C132" t="str">
            <v>Repar Mant.</v>
          </cell>
          <cell r="D132">
            <v>32326.91</v>
          </cell>
        </row>
        <row r="133">
          <cell r="B133">
            <v>601665</v>
          </cell>
          <cell r="C133" t="str">
            <v>Uniforms</v>
          </cell>
          <cell r="D133">
            <v>120</v>
          </cell>
        </row>
        <row r="134">
          <cell r="B134">
            <v>601670</v>
          </cell>
          <cell r="C134" t="str">
            <v>Gastos/electricidad</v>
          </cell>
          <cell r="D134">
            <v>2892.21</v>
          </cell>
        </row>
        <row r="135">
          <cell r="B135">
            <v>601690</v>
          </cell>
          <cell r="C135" t="str">
            <v>Utilities - Water</v>
          </cell>
          <cell r="D135">
            <v>2946.92</v>
          </cell>
        </row>
        <row r="136">
          <cell r="B136">
            <v>601700</v>
          </cell>
          <cell r="C136" t="str">
            <v>Gas/desper.(toxico)</v>
          </cell>
          <cell r="D136">
            <v>3767.5</v>
          </cell>
        </row>
        <row r="137">
          <cell r="B137">
            <v>610030</v>
          </cell>
          <cell r="C137" t="str">
            <v>Gastos/viaje Hotel</v>
          </cell>
          <cell r="D137">
            <v>210097.38</v>
          </cell>
        </row>
        <row r="138">
          <cell r="B138">
            <v>610070</v>
          </cell>
          <cell r="C138" t="str">
            <v>TE - Air, Rail, Mile</v>
          </cell>
          <cell r="D138">
            <v>110128.16</v>
          </cell>
        </row>
        <row r="139">
          <cell r="B139">
            <v>610520</v>
          </cell>
          <cell r="C139" t="str">
            <v>Gastos/nom Bonos</v>
          </cell>
          <cell r="D139">
            <v>25974</v>
          </cell>
        </row>
        <row r="140">
          <cell r="B140">
            <v>610540</v>
          </cell>
          <cell r="C140" t="str">
            <v>Payroll Exp-Vacation</v>
          </cell>
          <cell r="D140">
            <v>33467.99</v>
          </cell>
        </row>
        <row r="141">
          <cell r="B141">
            <v>610600</v>
          </cell>
          <cell r="C141" t="str">
            <v>Payroll - Pensions</v>
          </cell>
          <cell r="D141">
            <v>20963.259999999998</v>
          </cell>
        </row>
        <row r="142">
          <cell r="B142">
            <v>610610</v>
          </cell>
          <cell r="C142" t="str">
            <v>Payroll - Empl. Ben.</v>
          </cell>
          <cell r="D142">
            <v>138736.10999999999</v>
          </cell>
        </row>
        <row r="143">
          <cell r="B143">
            <v>610620</v>
          </cell>
          <cell r="C143" t="str">
            <v>Gastos/nom Comp.</v>
          </cell>
          <cell r="D143">
            <v>5881.2</v>
          </cell>
        </row>
        <row r="144">
          <cell r="B144">
            <v>611000</v>
          </cell>
          <cell r="C144" t="str">
            <v>Gastos/nom Salario</v>
          </cell>
          <cell r="D144">
            <v>712347.29</v>
          </cell>
        </row>
        <row r="145">
          <cell r="B145">
            <v>611010</v>
          </cell>
          <cell r="C145" t="str">
            <v>Payroll Exp-OT Wages</v>
          </cell>
          <cell r="D145">
            <v>123012.14</v>
          </cell>
        </row>
        <row r="146">
          <cell r="B146">
            <v>612000</v>
          </cell>
          <cell r="C146" t="str">
            <v>Gastos/nom Imp.</v>
          </cell>
          <cell r="D146">
            <v>104270.96</v>
          </cell>
        </row>
        <row r="147">
          <cell r="B147">
            <v>640010</v>
          </cell>
          <cell r="C147" t="str">
            <v>Dep. Edific Gasto</v>
          </cell>
          <cell r="D147">
            <v>4014.48</v>
          </cell>
        </row>
        <row r="148">
          <cell r="B148">
            <v>640020</v>
          </cell>
          <cell r="C148" t="str">
            <v>Dep. Maqui Gasto</v>
          </cell>
          <cell r="D148">
            <v>8766.52</v>
          </cell>
        </row>
        <row r="149">
          <cell r="B149">
            <v>640026</v>
          </cell>
          <cell r="C149" t="str">
            <v>Dep. Eq lab.Gasto</v>
          </cell>
          <cell r="D149">
            <v>4976.4799999999996</v>
          </cell>
        </row>
        <row r="150">
          <cell r="B150">
            <v>640040</v>
          </cell>
          <cell r="C150" t="str">
            <v>Dep. Vehic Gasto</v>
          </cell>
          <cell r="D150">
            <v>23423.360000000001</v>
          </cell>
        </row>
        <row r="151">
          <cell r="B151">
            <v>640050</v>
          </cell>
          <cell r="C151" t="str">
            <v>Dep. Eq/Ofi. Gasto</v>
          </cell>
          <cell r="D151">
            <v>8509.86</v>
          </cell>
        </row>
        <row r="152">
          <cell r="B152">
            <v>640060</v>
          </cell>
          <cell r="C152" t="str">
            <v>Dep. Mueb Gasto</v>
          </cell>
          <cell r="D152">
            <v>763.07</v>
          </cell>
        </row>
        <row r="153">
          <cell r="B153">
            <v>640070</v>
          </cell>
          <cell r="C153" t="str">
            <v>Depr Exp - Hardware</v>
          </cell>
          <cell r="D153">
            <v>7113.74</v>
          </cell>
        </row>
        <row r="154">
          <cell r="B154">
            <v>650085</v>
          </cell>
          <cell r="C154" t="str">
            <v>Ser. sub-contr</v>
          </cell>
          <cell r="D154">
            <v>30125.16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erminación del Límite"/>
      <sheetName val="Hoja de Datos"/>
      <sheetName val="Tabla del Límite"/>
      <sheetName val="Tickmarks"/>
      <sheetName val="Module1"/>
      <sheetName val=" Límite"/>
    </sheetNames>
    <sheetDataSet>
      <sheetData sheetId="0" refreshError="1"/>
      <sheetData sheetId="1" refreshError="1"/>
      <sheetData sheetId="2" refreshError="1">
        <row r="6">
          <cell r="A6">
            <v>1</v>
          </cell>
          <cell r="B6">
            <v>0.9</v>
          </cell>
          <cell r="C6">
            <v>4.5</v>
          </cell>
          <cell r="D6">
            <v>1</v>
          </cell>
          <cell r="E6">
            <v>0.45</v>
          </cell>
          <cell r="F6">
            <v>3</v>
          </cell>
        </row>
        <row r="7">
          <cell r="A7">
            <v>2</v>
          </cell>
          <cell r="B7">
            <v>0.85</v>
          </cell>
          <cell r="C7">
            <v>4.25</v>
          </cell>
          <cell r="D7">
            <v>2</v>
          </cell>
          <cell r="E7">
            <v>0.4</v>
          </cell>
          <cell r="F7">
            <v>2.67</v>
          </cell>
        </row>
        <row r="8">
          <cell r="A8">
            <v>4</v>
          </cell>
          <cell r="B8">
            <v>0.75</v>
          </cell>
          <cell r="C8">
            <v>3.75</v>
          </cell>
          <cell r="D8">
            <v>4</v>
          </cell>
          <cell r="E8">
            <v>0.35</v>
          </cell>
          <cell r="F8">
            <v>2.33</v>
          </cell>
        </row>
        <row r="9">
          <cell r="A9">
            <v>6</v>
          </cell>
          <cell r="B9">
            <v>0.65</v>
          </cell>
          <cell r="C9">
            <v>3.25</v>
          </cell>
          <cell r="D9">
            <v>6</v>
          </cell>
          <cell r="E9">
            <v>0.3</v>
          </cell>
          <cell r="F9">
            <v>2</v>
          </cell>
        </row>
        <row r="10">
          <cell r="A10">
            <v>12</v>
          </cell>
          <cell r="B10">
            <v>0.5</v>
          </cell>
          <cell r="C10">
            <v>2.5</v>
          </cell>
          <cell r="D10">
            <v>12</v>
          </cell>
          <cell r="E10">
            <v>0.25</v>
          </cell>
          <cell r="F10">
            <v>1.67</v>
          </cell>
        </row>
        <row r="11">
          <cell r="A11">
            <v>13</v>
          </cell>
          <cell r="B11">
            <v>0.4</v>
          </cell>
          <cell r="C11">
            <v>2</v>
          </cell>
          <cell r="D11">
            <v>13</v>
          </cell>
          <cell r="E11">
            <v>0.2</v>
          </cell>
          <cell r="F11">
            <v>1.33</v>
          </cell>
        </row>
      </sheetData>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x cobrar"/>
      <sheetName val="Clientes"/>
      <sheetName val="MAYAUX"/>
      <sheetName val="1134"/>
      <sheetName val="1137"/>
      <sheetName val="2132"/>
      <sheetName val="2149"/>
      <sheetName val="Inventarios"/>
    </sheetNames>
    <sheetDataSet>
      <sheetData sheetId="0"/>
      <sheetData sheetId="1"/>
      <sheetData sheetId="2"/>
      <sheetData sheetId="3"/>
      <sheetData sheetId="4"/>
      <sheetData sheetId="5"/>
      <sheetData sheetId="6"/>
      <sheetData sheetId="7"/>
      <sheetData sheetId="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BANC "/>
      <sheetName val="INVTEMP"/>
      <sheetName val="ANTCARCL"/>
      <sheetName val="PROV.INCOB"/>
      <sheetName val="MOV INV (1)"/>
      <sheetName val="MOV INV (2)"/>
      <sheetName val="MOV INV (3)"/>
      <sheetName val="IMP TRANSITO"/>
      <sheetName val="Prov Obsolecencia"/>
      <sheetName val="SEGUROS"/>
      <sheetName val="MOVAFIJO"/>
      <sheetName val="MOVAFI (2)"/>
      <sheetName val="DETALLE VTA. A.FIJO"/>
      <sheetName val="CONCIL.ACT"/>
      <sheetName val="Inv. Acc. Anex"/>
      <sheetName val="OBLG"/>
      <sheetName val="GARANTIA"/>
      <sheetName val="PROVEE"/>
      <sheetName val="RELAC"/>
      <sheetName val="MOV.BENEF"/>
      <sheetName val="JUB. PATRO Y DESHA"/>
      <sheetName val="PATRIM"/>
      <sheetName val="Contingentes"/>
      <sheetName val="Otros"/>
    </sheetNames>
    <sheetDataSet>
      <sheetData sheetId="0" refreshError="1">
        <row r="1">
          <cell r="A1" t="str">
            <v>COMPAÑÍA ECUATORIANA DEL CAUCHO S.A.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00"/>
      <sheetName val="0000000"/>
      <sheetName val="Inicio"/>
      <sheetName val="Reporte"/>
      <sheetName val="Hoja2"/>
      <sheetName val="Hoja1"/>
      <sheetName val="diciembre"/>
    </sheetNames>
    <sheetDataSet>
      <sheetData sheetId="0"/>
      <sheetData sheetId="1"/>
      <sheetData sheetId="2"/>
      <sheetData sheetId="3"/>
      <sheetData sheetId="4"/>
      <sheetData sheetId="5"/>
      <sheetData sheetId="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GO 29 ABR 04"/>
      <sheetName val="PGO 21 ABR"/>
      <sheetName val="PGO 15 ABR"/>
      <sheetName val="PGO 8 ABR"/>
      <sheetName val="PGO 1 ABR "/>
      <sheetName val="2130201  "/>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Q1"/>
      <sheetName val="CREDITO TRIBUTARIO"/>
    </sheetNames>
    <sheetDataSet>
      <sheetData sheetId="0" refreshError="1"/>
      <sheetData sheetId="1">
        <row r="1">
          <cell r="B1" t="str">
            <v>M-I OVERSEAS LIMITED</v>
          </cell>
        </row>
        <row r="2">
          <cell r="B2" t="str">
            <v>DETALLE DE IVA RETENIDO</v>
          </cell>
        </row>
        <row r="3">
          <cell r="B3" t="str">
            <v>MAYO - 2004</v>
          </cell>
        </row>
        <row r="5">
          <cell r="A5" t="str">
            <v>Description</v>
          </cell>
          <cell r="B5" t="str">
            <v>Proveedor</v>
          </cell>
          <cell r="C5" t="str">
            <v>Accnt Name</v>
          </cell>
          <cell r="D5" t="str">
            <v>Tax Code</v>
          </cell>
          <cell r="E5" t="str">
            <v>Reference</v>
          </cell>
          <cell r="F5" t="str">
            <v>Trans Date</v>
          </cell>
          <cell r="G5" t="str">
            <v>Factura Amount</v>
          </cell>
          <cell r="H5" t="str">
            <v>IVA Amount</v>
          </cell>
          <cell r="I5" t="str">
            <v>IVA Retencion</v>
          </cell>
          <cell r="J5" t="str">
            <v>Description</v>
          </cell>
          <cell r="K5" t="str">
            <v>Anal T8</v>
          </cell>
          <cell r="L5" t="str">
            <v>Anal A7</v>
          </cell>
          <cell r="M5" t="str">
            <v>Egreso</v>
          </cell>
          <cell r="N5" t="str">
            <v>RUC</v>
          </cell>
        </row>
        <row r="6">
          <cell r="A6" t="str">
            <v>MISO004019</v>
          </cell>
          <cell r="B6" t="str">
            <v>210VCACS</v>
          </cell>
          <cell r="C6" t="str">
            <v>Castillo Carlos</v>
          </cell>
          <cell r="D6" t="str">
            <v>1714316773</v>
          </cell>
          <cell r="E6" t="str">
            <v>236</v>
          </cell>
          <cell r="F6" t="str">
            <v>03/05/2004</v>
          </cell>
          <cell r="G6">
            <v>750</v>
          </cell>
          <cell r="H6">
            <v>90</v>
          </cell>
          <cell r="I6">
            <v>90</v>
          </cell>
          <cell r="J6" t="str">
            <v>MISO004019</v>
          </cell>
          <cell r="K6" t="str">
            <v>VA1</v>
          </cell>
          <cell r="L6" t="str">
            <v>ARRIENDO</v>
          </cell>
          <cell r="M6" t="str">
            <v>0000010803</v>
          </cell>
          <cell r="N6">
            <v>1</v>
          </cell>
        </row>
        <row r="7">
          <cell r="A7" t="str">
            <v>MISO004260</v>
          </cell>
          <cell r="B7" t="str">
            <v>210VHAL2</v>
          </cell>
          <cell r="C7" t="str">
            <v>Halliburton</v>
          </cell>
          <cell r="D7" t="str">
            <v>1790528782001</v>
          </cell>
          <cell r="E7" t="str">
            <v>846</v>
          </cell>
          <cell r="G7">
            <v>5000</v>
          </cell>
          <cell r="H7">
            <v>600</v>
          </cell>
          <cell r="J7" t="str">
            <v>MISO004260</v>
          </cell>
          <cell r="K7" t="str">
            <v>RA1</v>
          </cell>
          <cell r="L7" t="str">
            <v>ARRIENDO</v>
          </cell>
          <cell r="N7">
            <v>9</v>
          </cell>
          <cell r="Q7" t="str">
            <v>ARRIENDO</v>
          </cell>
        </row>
        <row r="8">
          <cell r="A8" t="str">
            <v>MIIV003064</v>
          </cell>
          <cell r="B8" t="str">
            <v>210VHERL</v>
          </cell>
          <cell r="C8" t="str">
            <v>Herrera Semeria Ligia Magdalen</v>
          </cell>
          <cell r="D8" t="str">
            <v>1705384806001</v>
          </cell>
          <cell r="E8" t="str">
            <v>3</v>
          </cell>
          <cell r="G8">
            <v>1600</v>
          </cell>
          <cell r="H8">
            <v>128</v>
          </cell>
          <cell r="J8" t="str">
            <v>MIIV003064</v>
          </cell>
          <cell r="K8" t="str">
            <v>RA8</v>
          </cell>
          <cell r="L8" t="str">
            <v>ARRIENDO</v>
          </cell>
          <cell r="M8" t="str">
            <v>0000010654</v>
          </cell>
          <cell r="N8">
            <v>0</v>
          </cell>
          <cell r="Q8" t="str">
            <v>VHERL</v>
          </cell>
        </row>
        <row r="9">
          <cell r="A9" t="str">
            <v>MIIV003062</v>
          </cell>
          <cell r="B9" t="str">
            <v>210VHIPA</v>
          </cell>
          <cell r="C9" t="str">
            <v>Hipatia Coral</v>
          </cell>
          <cell r="D9" t="str">
            <v>1701068114001</v>
          </cell>
          <cell r="E9" t="str">
            <v>356</v>
          </cell>
          <cell r="F9" t="str">
            <v>03/05/2004</v>
          </cell>
          <cell r="G9">
            <v>50</v>
          </cell>
          <cell r="H9">
            <v>6</v>
          </cell>
          <cell r="I9">
            <v>6</v>
          </cell>
          <cell r="J9" t="str">
            <v>MIIV003062</v>
          </cell>
          <cell r="K9" t="str">
            <v>VA1</v>
          </cell>
          <cell r="L9" t="str">
            <v>ARRIENDO</v>
          </cell>
          <cell r="M9" t="str">
            <v>0000010652</v>
          </cell>
          <cell r="N9">
            <v>0</v>
          </cell>
        </row>
        <row r="10">
          <cell r="A10" t="str">
            <v>MIIV003063</v>
          </cell>
          <cell r="B10" t="str">
            <v>210VINMO</v>
          </cell>
          <cell r="C10" t="str">
            <v>Inmobiliaria Juniesa S.A</v>
          </cell>
          <cell r="D10" t="str">
            <v>1791000250001</v>
          </cell>
          <cell r="E10" t="str">
            <v>9496</v>
          </cell>
          <cell r="F10" t="str">
            <v>31/05/2004</v>
          </cell>
          <cell r="G10">
            <v>1700</v>
          </cell>
          <cell r="H10">
            <v>204</v>
          </cell>
          <cell r="I10">
            <v>142.80000000000001</v>
          </cell>
          <cell r="J10" t="str">
            <v>MIIV003063</v>
          </cell>
          <cell r="K10" t="str">
            <v>VA1</v>
          </cell>
          <cell r="L10" t="str">
            <v>SOCIEDAD</v>
          </cell>
          <cell r="M10" t="str">
            <v>0000010653</v>
          </cell>
          <cell r="N10">
            <v>9</v>
          </cell>
        </row>
        <row r="11">
          <cell r="A11" t="str">
            <v>MIIV003055</v>
          </cell>
          <cell r="B11" t="str">
            <v>210VVINE</v>
          </cell>
          <cell r="C11" t="str">
            <v>Juan Vinelli</v>
          </cell>
          <cell r="D11" t="str">
            <v>0101001170</v>
          </cell>
          <cell r="E11" t="str">
            <v>212</v>
          </cell>
          <cell r="F11" t="str">
            <v>01/05/2004</v>
          </cell>
          <cell r="G11">
            <v>2087</v>
          </cell>
          <cell r="H11">
            <v>250.44</v>
          </cell>
          <cell r="I11">
            <v>250.44</v>
          </cell>
          <cell r="J11" t="str">
            <v>MIIV003055</v>
          </cell>
          <cell r="K11" t="str">
            <v>VH1</v>
          </cell>
          <cell r="L11" t="str">
            <v>HONORARIO</v>
          </cell>
          <cell r="M11" t="str">
            <v>0000010644</v>
          </cell>
          <cell r="N11">
            <v>0</v>
          </cell>
        </row>
        <row r="12">
          <cell r="A12" t="str">
            <v>MIIV003073</v>
          </cell>
          <cell r="B12" t="str">
            <v>210VLOPC</v>
          </cell>
          <cell r="C12" t="str">
            <v>LOPEZ CARLOS</v>
          </cell>
          <cell r="D12" t="str">
            <v>1703516409001</v>
          </cell>
          <cell r="E12" t="str">
            <v>206</v>
          </cell>
          <cell r="F12" t="str">
            <v>03/05/2004</v>
          </cell>
          <cell r="G12">
            <v>2096</v>
          </cell>
          <cell r="H12">
            <v>251.51999999999998</v>
          </cell>
          <cell r="I12">
            <v>251.52</v>
          </cell>
          <cell r="J12" t="str">
            <v>MIIV003073</v>
          </cell>
          <cell r="K12" t="str">
            <v>VA1</v>
          </cell>
          <cell r="L12" t="str">
            <v>ARRIENDO</v>
          </cell>
          <cell r="M12" t="str">
            <v>0001352004</v>
          </cell>
          <cell r="N12">
            <v>0</v>
          </cell>
        </row>
        <row r="13">
          <cell r="A13" t="str">
            <v>MIIV003059</v>
          </cell>
          <cell r="B13" t="str">
            <v>210VMESI</v>
          </cell>
          <cell r="C13" t="str">
            <v>Mesias Cortes Mario</v>
          </cell>
          <cell r="D13" t="str">
            <v>1705071718001</v>
          </cell>
          <cell r="E13" t="str">
            <v>17</v>
          </cell>
          <cell r="G13">
            <v>1400</v>
          </cell>
          <cell r="H13">
            <v>112</v>
          </cell>
          <cell r="J13" t="str">
            <v>MIIV003059</v>
          </cell>
          <cell r="K13" t="str">
            <v>RA8</v>
          </cell>
          <cell r="L13" t="str">
            <v>ARRIENDO</v>
          </cell>
          <cell r="M13" t="str">
            <v>0000010653</v>
          </cell>
          <cell r="N13">
            <v>0</v>
          </cell>
          <cell r="Q13" t="str">
            <v>ARRIENDO</v>
          </cell>
        </row>
        <row r="14">
          <cell r="A14" t="str">
            <v>MISO004267</v>
          </cell>
          <cell r="B14" t="str">
            <v>210VTNAT</v>
          </cell>
          <cell r="C14" t="str">
            <v>NATRANSCOM</v>
          </cell>
          <cell r="D14" t="str">
            <v>1791773241001</v>
          </cell>
          <cell r="E14" t="str">
            <v>9878</v>
          </cell>
          <cell r="F14" t="str">
            <v>11/05/2004</v>
          </cell>
          <cell r="G14">
            <v>150</v>
          </cell>
          <cell r="H14">
            <v>18</v>
          </cell>
          <cell r="I14">
            <v>12.6</v>
          </cell>
          <cell r="J14" t="str">
            <v>MISO004267</v>
          </cell>
          <cell r="K14" t="str">
            <v>VA7</v>
          </cell>
          <cell r="L14" t="str">
            <v>SOCIEDAD</v>
          </cell>
          <cell r="N14">
            <v>9</v>
          </cell>
        </row>
        <row r="15">
          <cell r="A15" t="str">
            <v>MIIV003056</v>
          </cell>
          <cell r="B15" t="str">
            <v>210VEGAS</v>
          </cell>
          <cell r="C15" t="str">
            <v>Oswaldo Egas</v>
          </cell>
          <cell r="D15" t="str">
            <v>1703865608001</v>
          </cell>
          <cell r="E15" t="str">
            <v>182</v>
          </cell>
          <cell r="F15" t="str">
            <v>03/05/2004</v>
          </cell>
          <cell r="G15">
            <v>1191.44</v>
          </cell>
          <cell r="H15">
            <v>142.97</v>
          </cell>
          <cell r="I15">
            <v>142.97</v>
          </cell>
          <cell r="J15" t="str">
            <v>MIIV003056</v>
          </cell>
          <cell r="K15" t="str">
            <v>VA1</v>
          </cell>
          <cell r="L15" t="str">
            <v>ARRIENDO</v>
          </cell>
          <cell r="M15" t="str">
            <v>0000010645</v>
          </cell>
          <cell r="N15">
            <v>0</v>
          </cell>
        </row>
        <row r="16">
          <cell r="A16" t="str">
            <v>MIIV003066</v>
          </cell>
          <cell r="B16" t="str">
            <v>210VPLAC</v>
          </cell>
          <cell r="C16" t="str">
            <v>Placencia Francisco</v>
          </cell>
          <cell r="D16" t="str">
            <v>1702023233001</v>
          </cell>
          <cell r="E16" t="str">
            <v>156</v>
          </cell>
          <cell r="G16">
            <v>1452</v>
          </cell>
          <cell r="H16">
            <v>116.16</v>
          </cell>
          <cell r="J16" t="str">
            <v>MIIV003066</v>
          </cell>
          <cell r="K16" t="str">
            <v>RA8</v>
          </cell>
          <cell r="L16" t="str">
            <v>ARRIENDO</v>
          </cell>
          <cell r="M16" t="str">
            <v>0000010658</v>
          </cell>
          <cell r="N16">
            <v>0</v>
          </cell>
          <cell r="Q16" t="str">
            <v>VPLAC</v>
          </cell>
        </row>
        <row r="17">
          <cell r="A17" t="str">
            <v>MIIV003060</v>
          </cell>
          <cell r="B17" t="str">
            <v>210VTORR</v>
          </cell>
          <cell r="C17" t="str">
            <v>Raul De La Torre</v>
          </cell>
          <cell r="D17" t="str">
            <v>0905895181001</v>
          </cell>
          <cell r="E17" t="str">
            <v>108</v>
          </cell>
          <cell r="F17" t="str">
            <v>02/05/2004</v>
          </cell>
          <cell r="G17">
            <v>2100</v>
          </cell>
          <cell r="H17">
            <v>252</v>
          </cell>
          <cell r="I17">
            <v>252</v>
          </cell>
          <cell r="J17" t="str">
            <v>MIIV003060</v>
          </cell>
          <cell r="K17" t="str">
            <v>VH1</v>
          </cell>
          <cell r="L17" t="str">
            <v>HONORARIO</v>
          </cell>
          <cell r="M17" t="str">
            <v>0000010649</v>
          </cell>
          <cell r="N17">
            <v>0</v>
          </cell>
        </row>
        <row r="18">
          <cell r="G18">
            <v>17476.440000000002</v>
          </cell>
          <cell r="H18">
            <v>1919.0900000000001</v>
          </cell>
          <cell r="I18">
            <v>896.33</v>
          </cell>
        </row>
        <row r="19">
          <cell r="A19" t="str">
            <v>HONORARIOS ANDRE</v>
          </cell>
          <cell r="B19" t="str">
            <v>210VFIGU</v>
          </cell>
          <cell r="C19" t="str">
            <v>ANDRE FIGUEREIDO</v>
          </cell>
          <cell r="D19" t="str">
            <v>1791821971001</v>
          </cell>
          <cell r="E19" t="str">
            <v>9490</v>
          </cell>
          <cell r="F19" t="str">
            <v>28/05/2004</v>
          </cell>
          <cell r="G19">
            <v>8913.0400000000009</v>
          </cell>
          <cell r="H19">
            <v>1069.5648000000001</v>
          </cell>
          <cell r="I19">
            <v>1069.56</v>
          </cell>
          <cell r="J19" t="str">
            <v>HONORARIOS ANDRE</v>
          </cell>
          <cell r="K19" t="str">
            <v>VH1</v>
          </cell>
          <cell r="L19" t="str">
            <v>HONORARIO</v>
          </cell>
          <cell r="N19">
            <v>9</v>
          </cell>
        </row>
        <row r="20">
          <cell r="A20" t="str">
            <v>MISO004155</v>
          </cell>
          <cell r="B20" t="str">
            <v>210VPAZM</v>
          </cell>
          <cell r="C20" t="str">
            <v>Bayron Pazmi¤o</v>
          </cell>
          <cell r="D20" t="str">
            <v>1705278180001</v>
          </cell>
          <cell r="E20" t="str">
            <v>662</v>
          </cell>
          <cell r="F20" t="str">
            <v>17/05/2004</v>
          </cell>
          <cell r="G20">
            <v>450</v>
          </cell>
          <cell r="H20">
            <v>54</v>
          </cell>
          <cell r="I20">
            <v>54</v>
          </cell>
          <cell r="J20" t="str">
            <v>MISO004155</v>
          </cell>
          <cell r="K20" t="str">
            <v>VH1</v>
          </cell>
          <cell r="L20" t="str">
            <v>HONORARIO</v>
          </cell>
          <cell r="M20" t="str">
            <v>0001412004</v>
          </cell>
          <cell r="N20">
            <v>0</v>
          </cell>
        </row>
        <row r="21">
          <cell r="A21" t="str">
            <v>MISO004314</v>
          </cell>
          <cell r="B21" t="str">
            <v>210VPAZM</v>
          </cell>
          <cell r="C21" t="str">
            <v>Bayron Pazmi¤o</v>
          </cell>
          <cell r="D21" t="str">
            <v>1705278180001</v>
          </cell>
          <cell r="E21" t="str">
            <v>662</v>
          </cell>
          <cell r="F21" t="str">
            <v>17/05/2004</v>
          </cell>
          <cell r="G21">
            <v>675</v>
          </cell>
          <cell r="H21">
            <v>81</v>
          </cell>
          <cell r="I21">
            <v>81</v>
          </cell>
          <cell r="J21" t="str">
            <v>MISO004314</v>
          </cell>
          <cell r="K21" t="str">
            <v>VH1</v>
          </cell>
          <cell r="L21" t="str">
            <v>HONORARIO</v>
          </cell>
          <cell r="M21" t="str">
            <v>0001412004</v>
          </cell>
          <cell r="N21">
            <v>0</v>
          </cell>
        </row>
        <row r="22">
          <cell r="A22" t="str">
            <v>MIIV003010</v>
          </cell>
          <cell r="B22" t="str">
            <v>210VBETA</v>
          </cell>
          <cell r="C22" t="str">
            <v>BETANCOURT REINALDO</v>
          </cell>
          <cell r="D22" t="str">
            <v>1791874218001</v>
          </cell>
          <cell r="E22" t="str">
            <v>52</v>
          </cell>
          <cell r="F22" t="str">
            <v>13/05/2004</v>
          </cell>
          <cell r="G22">
            <v>2782.58</v>
          </cell>
          <cell r="H22">
            <v>333.90959999999995</v>
          </cell>
          <cell r="I22">
            <v>333.91</v>
          </cell>
          <cell r="J22" t="str">
            <v>MIIV003010</v>
          </cell>
          <cell r="K22" t="str">
            <v>VH1</v>
          </cell>
          <cell r="L22" t="str">
            <v>HONORARIO</v>
          </cell>
          <cell r="M22" t="str">
            <v>0000010696</v>
          </cell>
          <cell r="N22">
            <v>9</v>
          </cell>
        </row>
        <row r="23">
          <cell r="A23" t="str">
            <v>MISO004161</v>
          </cell>
          <cell r="B23" t="str">
            <v>210VBETA</v>
          </cell>
          <cell r="C23" t="str">
            <v>BETANCOURT REINALDO</v>
          </cell>
          <cell r="D23" t="str">
            <v>1791874218001</v>
          </cell>
          <cell r="E23" t="str">
            <v>51</v>
          </cell>
          <cell r="F23" t="str">
            <v>13/05/2004</v>
          </cell>
          <cell r="G23">
            <v>2399.42</v>
          </cell>
          <cell r="H23">
            <v>287.93400000000003</v>
          </cell>
          <cell r="I23">
            <v>287.93</v>
          </cell>
          <cell r="J23" t="str">
            <v>MISO004161</v>
          </cell>
          <cell r="K23" t="str">
            <v>VH1</v>
          </cell>
          <cell r="L23" t="str">
            <v>HONORARIO</v>
          </cell>
          <cell r="M23" t="str">
            <v>0001412004</v>
          </cell>
          <cell r="N23">
            <v>9</v>
          </cell>
        </row>
        <row r="24">
          <cell r="A24" t="str">
            <v>MISO004291</v>
          </cell>
          <cell r="B24" t="str">
            <v>210VBETA</v>
          </cell>
          <cell r="C24" t="str">
            <v>BETANCOURT REINALDO</v>
          </cell>
          <cell r="D24" t="str">
            <v>1791874218001</v>
          </cell>
          <cell r="E24" t="str">
            <v>51</v>
          </cell>
          <cell r="F24" t="str">
            <v>13/05/2004</v>
          </cell>
          <cell r="G24">
            <v>1667.17</v>
          </cell>
          <cell r="H24">
            <v>200.06399999999999</v>
          </cell>
          <cell r="I24">
            <v>200.06</v>
          </cell>
          <cell r="J24" t="str">
            <v>MISO004291</v>
          </cell>
          <cell r="K24" t="str">
            <v>VH1</v>
          </cell>
          <cell r="L24" t="str">
            <v>HONORARIO</v>
          </cell>
          <cell r="M24" t="str">
            <v>0001412004</v>
          </cell>
          <cell r="N24">
            <v>9</v>
          </cell>
        </row>
        <row r="25">
          <cell r="A25" t="str">
            <v>HONORARIO BRUCE WADE MAYO</v>
          </cell>
          <cell r="B25" t="str">
            <v>210VWADE</v>
          </cell>
          <cell r="C25" t="str">
            <v>Bruce Wade</v>
          </cell>
          <cell r="D25" t="str">
            <v>1791853814001</v>
          </cell>
          <cell r="E25" t="str">
            <v>9472</v>
          </cell>
          <cell r="F25" t="str">
            <v>20/05/2004</v>
          </cell>
          <cell r="G25">
            <v>8586.9599999999991</v>
          </cell>
          <cell r="H25">
            <v>1030.4351999999999</v>
          </cell>
          <cell r="I25">
            <v>1030.44</v>
          </cell>
          <cell r="J25" t="str">
            <v>HONORARIO BRUCE WADE MAYO</v>
          </cell>
          <cell r="K25" t="str">
            <v>VH1</v>
          </cell>
          <cell r="L25" t="str">
            <v>HONORARIO</v>
          </cell>
          <cell r="N25">
            <v>9</v>
          </cell>
        </row>
        <row r="26">
          <cell r="A26" t="str">
            <v>MIIV003031</v>
          </cell>
          <cell r="B26" t="str">
            <v>210VCIRO</v>
          </cell>
          <cell r="C26" t="str">
            <v>CIRO ROMERO</v>
          </cell>
          <cell r="D26" t="str">
            <v>1791926536001</v>
          </cell>
          <cell r="E26" t="str">
            <v>2</v>
          </cell>
          <cell r="F26" t="str">
            <v>30/04/2004</v>
          </cell>
          <cell r="G26">
            <v>5166.75</v>
          </cell>
          <cell r="H26">
            <v>620.01</v>
          </cell>
          <cell r="I26">
            <v>620.01</v>
          </cell>
          <cell r="J26" t="str">
            <v>MIIV003031</v>
          </cell>
          <cell r="K26" t="str">
            <v>VH1</v>
          </cell>
          <cell r="L26" t="str">
            <v>HONORARIO</v>
          </cell>
          <cell r="M26" t="str">
            <v>0001412004</v>
          </cell>
          <cell r="N26">
            <v>9</v>
          </cell>
        </row>
        <row r="27">
          <cell r="A27" t="str">
            <v>MISO004296</v>
          </cell>
          <cell r="B27" t="str">
            <v>210VCRUA</v>
          </cell>
          <cell r="C27" t="str">
            <v>CRUZ JORGE</v>
          </cell>
          <cell r="D27" t="str">
            <v>1791872843001</v>
          </cell>
          <cell r="E27" t="str">
            <v>12</v>
          </cell>
          <cell r="F27" t="str">
            <v>24/05/2004</v>
          </cell>
          <cell r="G27">
            <v>9166.5</v>
          </cell>
          <cell r="H27">
            <v>1099.98</v>
          </cell>
          <cell r="I27">
            <v>1099.98</v>
          </cell>
          <cell r="J27" t="str">
            <v>MISO004296</v>
          </cell>
          <cell r="K27" t="str">
            <v>VH1</v>
          </cell>
          <cell r="L27" t="str">
            <v>HONORARIO</v>
          </cell>
          <cell r="N27">
            <v>9</v>
          </cell>
        </row>
        <row r="28">
          <cell r="A28" t="str">
            <v>HONORARIOS DEREK CHRISTIE</v>
          </cell>
          <cell r="B28" t="str">
            <v>210VCHRI</v>
          </cell>
          <cell r="C28" t="str">
            <v>Derek Christie</v>
          </cell>
          <cell r="D28" t="str">
            <v>1791892771001</v>
          </cell>
          <cell r="E28" t="str">
            <v>9471</v>
          </cell>
          <cell r="F28" t="str">
            <v>20/05/2004</v>
          </cell>
          <cell r="G28">
            <v>15380.44</v>
          </cell>
          <cell r="H28">
            <v>1845.6528000000001</v>
          </cell>
          <cell r="I28">
            <v>1845.65</v>
          </cell>
          <cell r="J28" t="str">
            <v>HONORARIOS DEREK CHRISTIE</v>
          </cell>
          <cell r="K28" t="str">
            <v>VH1</v>
          </cell>
          <cell r="L28" t="str">
            <v>HONORARIO</v>
          </cell>
          <cell r="N28">
            <v>9</v>
          </cell>
        </row>
        <row r="29">
          <cell r="A29" t="str">
            <v>VACATION DEREK AJUSTE</v>
          </cell>
          <cell r="B29" t="str">
            <v>210VCHRI</v>
          </cell>
          <cell r="C29" t="str">
            <v>Derek Christie</v>
          </cell>
          <cell r="D29" t="str">
            <v>1791892771001</v>
          </cell>
          <cell r="E29" t="str">
            <v>9491</v>
          </cell>
          <cell r="F29" t="str">
            <v>28/05/2004</v>
          </cell>
          <cell r="G29">
            <v>2738.62</v>
          </cell>
          <cell r="H29">
            <v>328.63439999999997</v>
          </cell>
          <cell r="I29">
            <v>328.63</v>
          </cell>
          <cell r="J29" t="str">
            <v>VACATION DEREK AJUSTE</v>
          </cell>
          <cell r="K29" t="str">
            <v>VH1</v>
          </cell>
          <cell r="L29" t="str">
            <v>HONORARIO</v>
          </cell>
          <cell r="M29" t="str">
            <v>0000010651</v>
          </cell>
          <cell r="N29">
            <v>9</v>
          </cell>
        </row>
        <row r="30">
          <cell r="A30" t="str">
            <v>MISO004159</v>
          </cell>
          <cell r="B30" t="str">
            <v>210VBAST</v>
          </cell>
          <cell r="C30" t="str">
            <v>Freddy Bastidas</v>
          </cell>
          <cell r="D30" t="str">
            <v>1708713779001</v>
          </cell>
          <cell r="E30" t="str">
            <v>310</v>
          </cell>
          <cell r="F30" t="str">
            <v>29/04/2004</v>
          </cell>
          <cell r="G30">
            <v>5750</v>
          </cell>
          <cell r="H30">
            <v>690</v>
          </cell>
          <cell r="I30">
            <v>690</v>
          </cell>
          <cell r="J30" t="str">
            <v>MISO004159</v>
          </cell>
          <cell r="K30" t="str">
            <v>VH1</v>
          </cell>
          <cell r="L30" t="str">
            <v>HONORARIO</v>
          </cell>
          <cell r="M30" t="str">
            <v>0001352004</v>
          </cell>
          <cell r="N30">
            <v>0</v>
          </cell>
        </row>
        <row r="31">
          <cell r="A31" t="str">
            <v>MIIV003074</v>
          </cell>
          <cell r="B31" t="str">
            <v>210VBAST</v>
          </cell>
          <cell r="C31" t="str">
            <v>Freddy Bastidas</v>
          </cell>
          <cell r="D31" t="str">
            <v>1708713779001</v>
          </cell>
          <cell r="E31" t="str">
            <v>312</v>
          </cell>
          <cell r="F31" t="str">
            <v>29/04/2004</v>
          </cell>
          <cell r="G31">
            <v>1599.92</v>
          </cell>
          <cell r="H31">
            <v>191.99039999999999</v>
          </cell>
          <cell r="I31">
            <v>191.99</v>
          </cell>
          <cell r="J31" t="str">
            <v>MIIV003074</v>
          </cell>
          <cell r="K31" t="str">
            <v>VH1</v>
          </cell>
          <cell r="L31" t="str">
            <v>HONORARIO</v>
          </cell>
          <cell r="M31" t="str">
            <v>0001352004</v>
          </cell>
          <cell r="N31">
            <v>0</v>
          </cell>
        </row>
        <row r="32">
          <cell r="A32" t="str">
            <v>MISO004182</v>
          </cell>
          <cell r="B32" t="str">
            <v>210VESGA</v>
          </cell>
          <cell r="C32" t="str">
            <v>Galo Estevez Varela</v>
          </cell>
          <cell r="D32" t="str">
            <v>1713092003001</v>
          </cell>
          <cell r="E32" t="str">
            <v>1057-58</v>
          </cell>
          <cell r="F32" t="str">
            <v>10/04/2004</v>
          </cell>
          <cell r="G32">
            <v>130</v>
          </cell>
          <cell r="H32">
            <v>15.6</v>
          </cell>
          <cell r="I32">
            <v>15.6</v>
          </cell>
          <cell r="J32" t="str">
            <v>MISO004182</v>
          </cell>
          <cell r="K32" t="str">
            <v>VH1</v>
          </cell>
          <cell r="L32" t="str">
            <v>HONORARIO</v>
          </cell>
          <cell r="M32" t="str">
            <v>0000010865</v>
          </cell>
          <cell r="N32">
            <v>1</v>
          </cell>
        </row>
        <row r="33">
          <cell r="A33" t="str">
            <v>HONORARIOS LUCIANO</v>
          </cell>
          <cell r="B33" t="str">
            <v>210VGARL</v>
          </cell>
          <cell r="C33" t="str">
            <v>GARCIA LUCIANO</v>
          </cell>
          <cell r="D33" t="str">
            <v>1791870344001</v>
          </cell>
          <cell r="E33" t="str">
            <v>9489</v>
          </cell>
          <cell r="F33" t="str">
            <v>28/05/2004</v>
          </cell>
          <cell r="G33">
            <v>6795.63</v>
          </cell>
          <cell r="H33">
            <v>815.47559999999999</v>
          </cell>
          <cell r="I33">
            <v>815.48</v>
          </cell>
          <cell r="J33" t="str">
            <v>HONORARIOS LUCIANO</v>
          </cell>
          <cell r="K33" t="str">
            <v>VH1</v>
          </cell>
          <cell r="L33" t="str">
            <v>HONORARIO</v>
          </cell>
          <cell r="N33">
            <v>9</v>
          </cell>
        </row>
        <row r="34">
          <cell r="A34" t="str">
            <v>AJUSTE LUCIANO</v>
          </cell>
          <cell r="B34" t="str">
            <v>210VGARL</v>
          </cell>
          <cell r="C34" t="str">
            <v>GARCIA LUCIANO</v>
          </cell>
          <cell r="D34" t="str">
            <v>1791870344001</v>
          </cell>
          <cell r="E34" t="str">
            <v>9489</v>
          </cell>
          <cell r="F34" t="str">
            <v>28/05/2004</v>
          </cell>
          <cell r="G34">
            <v>195.63</v>
          </cell>
          <cell r="H34">
            <v>23.4756</v>
          </cell>
          <cell r="I34">
            <v>23.48</v>
          </cell>
          <cell r="J34" t="str">
            <v>AJUSTE LUCIANO</v>
          </cell>
          <cell r="K34" t="str">
            <v>VH1</v>
          </cell>
          <cell r="L34" t="str">
            <v>HONORARIO</v>
          </cell>
          <cell r="N34">
            <v>9</v>
          </cell>
        </row>
        <row r="35">
          <cell r="A35" t="str">
            <v>VACACIONES LUCIANO</v>
          </cell>
          <cell r="B35" t="str">
            <v>210VGARL</v>
          </cell>
          <cell r="C35" t="str">
            <v>GARCIA LUCIANO</v>
          </cell>
          <cell r="D35" t="str">
            <v>1791870344001</v>
          </cell>
          <cell r="E35" t="str">
            <v>9489</v>
          </cell>
          <cell r="F35" t="str">
            <v>28/05/2004</v>
          </cell>
          <cell r="G35">
            <v>2684.38</v>
          </cell>
          <cell r="H35">
            <v>322.12560000000002</v>
          </cell>
          <cell r="I35">
            <v>322.13</v>
          </cell>
          <cell r="J35" t="str">
            <v>VACACIONES LUCIANO</v>
          </cell>
          <cell r="K35" t="str">
            <v>VH1</v>
          </cell>
          <cell r="L35" t="str">
            <v>HONORARIO</v>
          </cell>
          <cell r="N35">
            <v>9</v>
          </cell>
        </row>
        <row r="36">
          <cell r="A36" t="str">
            <v>MISO004351</v>
          </cell>
          <cell r="B36" t="str">
            <v>210VGUAR</v>
          </cell>
          <cell r="C36" t="str">
            <v>Guama Roberto Fabian</v>
          </cell>
          <cell r="D36" t="str">
            <v>0400901146001</v>
          </cell>
          <cell r="E36" t="str">
            <v>29</v>
          </cell>
          <cell r="F36" t="str">
            <v>21/05/2004</v>
          </cell>
          <cell r="G36">
            <v>775</v>
          </cell>
          <cell r="H36">
            <v>93</v>
          </cell>
          <cell r="I36">
            <v>93</v>
          </cell>
          <cell r="J36" t="str">
            <v>MISO004351</v>
          </cell>
          <cell r="K36" t="str">
            <v>VH1</v>
          </cell>
          <cell r="L36" t="str">
            <v>HONORARIO</v>
          </cell>
          <cell r="M36" t="str">
            <v>0001342004</v>
          </cell>
          <cell r="N36">
            <v>0</v>
          </cell>
        </row>
        <row r="37">
          <cell r="A37" t="str">
            <v>MISO004128</v>
          </cell>
          <cell r="B37" t="str">
            <v>210VGUAM</v>
          </cell>
          <cell r="C37" t="str">
            <v>Guamani Jorge Anibal</v>
          </cell>
          <cell r="D37" t="str">
            <v>1710918598001</v>
          </cell>
          <cell r="E37" t="str">
            <v>25</v>
          </cell>
          <cell r="F37" t="str">
            <v>06/05/2004</v>
          </cell>
          <cell r="G37">
            <v>500</v>
          </cell>
          <cell r="H37">
            <v>60</v>
          </cell>
          <cell r="I37">
            <v>60</v>
          </cell>
          <cell r="J37" t="str">
            <v>MISO004128</v>
          </cell>
          <cell r="K37" t="str">
            <v>VH1</v>
          </cell>
          <cell r="L37" t="str">
            <v>HONORARIO</v>
          </cell>
          <cell r="M37" t="str">
            <v>0001402004</v>
          </cell>
          <cell r="N37">
            <v>1</v>
          </cell>
        </row>
        <row r="38">
          <cell r="A38" t="str">
            <v>MISO004237</v>
          </cell>
          <cell r="B38" t="str">
            <v>210VGUAM</v>
          </cell>
          <cell r="C38" t="str">
            <v>Guamani Jorge Anibal</v>
          </cell>
          <cell r="D38" t="str">
            <v>1710918598001</v>
          </cell>
          <cell r="E38" t="str">
            <v>25</v>
          </cell>
          <cell r="F38" t="str">
            <v>06/05/2004</v>
          </cell>
          <cell r="G38">
            <v>275</v>
          </cell>
          <cell r="H38">
            <v>33</v>
          </cell>
          <cell r="I38">
            <v>33</v>
          </cell>
          <cell r="J38" t="str">
            <v>MISO004237</v>
          </cell>
          <cell r="K38" t="str">
            <v>VH1</v>
          </cell>
          <cell r="L38" t="str">
            <v>HONORARIO</v>
          </cell>
          <cell r="M38" t="str">
            <v>0001402004</v>
          </cell>
          <cell r="N38">
            <v>1</v>
          </cell>
        </row>
        <row r="39">
          <cell r="A39" t="str">
            <v>MISO004164</v>
          </cell>
          <cell r="B39" t="str">
            <v>210VVILL</v>
          </cell>
          <cell r="C39" t="str">
            <v>Jorge E. Villacis</v>
          </cell>
          <cell r="D39" t="str">
            <v>1700035809001</v>
          </cell>
          <cell r="E39" t="str">
            <v>303</v>
          </cell>
          <cell r="F39" t="str">
            <v>04/05/2004</v>
          </cell>
          <cell r="G39">
            <v>1900</v>
          </cell>
          <cell r="H39">
            <v>228</v>
          </cell>
          <cell r="I39">
            <v>228</v>
          </cell>
          <cell r="J39" t="str">
            <v>MISO004164</v>
          </cell>
          <cell r="K39" t="str">
            <v>VH1</v>
          </cell>
          <cell r="L39" t="str">
            <v>HONORARIO</v>
          </cell>
          <cell r="M39" t="str">
            <v>0001402004</v>
          </cell>
          <cell r="N39">
            <v>0</v>
          </cell>
        </row>
        <row r="40">
          <cell r="A40" t="str">
            <v>MISO004234</v>
          </cell>
          <cell r="B40" t="str">
            <v>210VVILL</v>
          </cell>
          <cell r="C40" t="str">
            <v>Jorge E. Villacis</v>
          </cell>
          <cell r="D40" t="str">
            <v>1700035809001</v>
          </cell>
          <cell r="E40" t="str">
            <v>303</v>
          </cell>
          <cell r="F40" t="str">
            <v>04/05/2004</v>
          </cell>
          <cell r="G40">
            <v>300</v>
          </cell>
          <cell r="H40">
            <v>36</v>
          </cell>
          <cell r="I40">
            <v>36</v>
          </cell>
          <cell r="J40" t="str">
            <v>MISO004234</v>
          </cell>
          <cell r="K40" t="str">
            <v>VH1</v>
          </cell>
          <cell r="L40" t="str">
            <v>HONORARIO</v>
          </cell>
          <cell r="M40" t="str">
            <v>0001402004</v>
          </cell>
          <cell r="N40">
            <v>0</v>
          </cell>
        </row>
        <row r="41">
          <cell r="A41" t="str">
            <v>HONORARIO JOR. ZURITA MAY</v>
          </cell>
          <cell r="B41" t="str">
            <v>210VZURI</v>
          </cell>
          <cell r="C41" t="str">
            <v>Jorge Zurita</v>
          </cell>
          <cell r="D41" t="str">
            <v>1791821998001</v>
          </cell>
          <cell r="E41" t="str">
            <v>9472</v>
          </cell>
          <cell r="F41" t="str">
            <v>20/05/2004</v>
          </cell>
          <cell r="G41">
            <v>8473.91</v>
          </cell>
          <cell r="H41">
            <v>1016.8692</v>
          </cell>
          <cell r="I41">
            <v>1016.87</v>
          </cell>
          <cell r="J41" t="str">
            <v>HONORARIO JOR. ZURITA MAY</v>
          </cell>
          <cell r="K41" t="str">
            <v>VH1</v>
          </cell>
          <cell r="L41" t="str">
            <v>HONORARIO</v>
          </cell>
          <cell r="N41">
            <v>9</v>
          </cell>
        </row>
        <row r="42">
          <cell r="A42" t="str">
            <v>MISO004340</v>
          </cell>
          <cell r="B42" t="str">
            <v>210VLOPZ</v>
          </cell>
          <cell r="C42" t="str">
            <v>Julieta Lopez</v>
          </cell>
          <cell r="D42" t="str">
            <v>1001037223001</v>
          </cell>
          <cell r="E42" t="str">
            <v>501-502</v>
          </cell>
          <cell r="F42" t="str">
            <v>18/05/2004</v>
          </cell>
          <cell r="G42">
            <v>400</v>
          </cell>
          <cell r="H42">
            <v>48</v>
          </cell>
          <cell r="I42">
            <v>48</v>
          </cell>
          <cell r="J42" t="str">
            <v>MISO004340</v>
          </cell>
          <cell r="K42" t="str">
            <v>VH1</v>
          </cell>
          <cell r="L42" t="str">
            <v>HONORARIO</v>
          </cell>
          <cell r="N42">
            <v>0</v>
          </cell>
        </row>
        <row r="43">
          <cell r="A43" t="str">
            <v>MIIV003029</v>
          </cell>
          <cell r="B43" t="str">
            <v>210VCHIM</v>
          </cell>
          <cell r="C43" t="str">
            <v>Luis Enrique Chimbo</v>
          </cell>
          <cell r="D43" t="str">
            <v>0200372761001</v>
          </cell>
          <cell r="E43" t="str">
            <v>147</v>
          </cell>
          <cell r="F43" t="str">
            <v>14/05/2004</v>
          </cell>
          <cell r="G43">
            <v>3500</v>
          </cell>
          <cell r="H43">
            <v>420</v>
          </cell>
          <cell r="I43">
            <v>420</v>
          </cell>
          <cell r="J43" t="str">
            <v>MIIV003029</v>
          </cell>
          <cell r="K43" t="str">
            <v>VH1</v>
          </cell>
          <cell r="L43" t="str">
            <v>HONORARIO</v>
          </cell>
          <cell r="N43">
            <v>0</v>
          </cell>
        </row>
        <row r="44">
          <cell r="A44" t="str">
            <v>MISO004317</v>
          </cell>
          <cell r="B44" t="str">
            <v>210VCHIM</v>
          </cell>
          <cell r="C44" t="str">
            <v>Luis Enrique Chimbo</v>
          </cell>
          <cell r="D44" t="str">
            <v>0200372761001</v>
          </cell>
          <cell r="E44" t="str">
            <v>148</v>
          </cell>
          <cell r="F44" t="str">
            <v>17/05/2004</v>
          </cell>
          <cell r="G44">
            <v>500</v>
          </cell>
          <cell r="H44">
            <v>60</v>
          </cell>
          <cell r="I44">
            <v>60</v>
          </cell>
          <cell r="J44" t="str">
            <v>MISO004317</v>
          </cell>
          <cell r="K44" t="str">
            <v>VH1</v>
          </cell>
          <cell r="L44" t="str">
            <v>HONORARIO</v>
          </cell>
          <cell r="N44">
            <v>0</v>
          </cell>
        </row>
        <row r="45">
          <cell r="A45" t="str">
            <v>MISO004335</v>
          </cell>
          <cell r="B45" t="str">
            <v>210VESTE</v>
          </cell>
          <cell r="C45" t="str">
            <v>Marcelo Estevez</v>
          </cell>
          <cell r="D45" t="str">
            <v>1705640611001</v>
          </cell>
          <cell r="E45" t="str">
            <v>408</v>
          </cell>
          <cell r="F45" t="str">
            <v>25/04/2004</v>
          </cell>
          <cell r="G45">
            <v>510</v>
          </cell>
          <cell r="H45">
            <v>61.199999999999996</v>
          </cell>
          <cell r="I45">
            <v>61.2</v>
          </cell>
          <cell r="J45" t="str">
            <v>MISO004335</v>
          </cell>
          <cell r="K45" t="str">
            <v>VH1</v>
          </cell>
          <cell r="L45" t="str">
            <v>HONORARIO</v>
          </cell>
          <cell r="M45" t="str">
            <v>0001352004</v>
          </cell>
          <cell r="N45">
            <v>0</v>
          </cell>
        </row>
        <row r="46">
          <cell r="A46" t="str">
            <v>MIIV003050</v>
          </cell>
          <cell r="B46" t="str">
            <v>210VESTE</v>
          </cell>
          <cell r="C46" t="str">
            <v>Marcelo Estevez</v>
          </cell>
          <cell r="D46" t="str">
            <v>1705640611001</v>
          </cell>
          <cell r="E46" t="str">
            <v>409</v>
          </cell>
          <cell r="F46" t="str">
            <v>25/05/2004</v>
          </cell>
          <cell r="G46">
            <v>379.084</v>
          </cell>
          <cell r="H46">
            <v>45.490079999999999</v>
          </cell>
          <cell r="I46">
            <v>45.49</v>
          </cell>
          <cell r="J46" t="str">
            <v>MIIV003050</v>
          </cell>
          <cell r="K46" t="str">
            <v>VH1</v>
          </cell>
          <cell r="L46" t="str">
            <v>HONORARIO</v>
          </cell>
          <cell r="M46" t="str">
            <v>0001352004</v>
          </cell>
          <cell r="N46">
            <v>0</v>
          </cell>
        </row>
        <row r="47">
          <cell r="A47" t="str">
            <v>MISO004151</v>
          </cell>
          <cell r="B47" t="str">
            <v>210VESTE</v>
          </cell>
          <cell r="C47" t="str">
            <v>Marcelo Estevez</v>
          </cell>
          <cell r="D47" t="str">
            <v>1705640611001</v>
          </cell>
          <cell r="E47" t="str">
            <v>403</v>
          </cell>
          <cell r="F47" t="str">
            <v>28/04/2004</v>
          </cell>
          <cell r="G47">
            <v>930</v>
          </cell>
          <cell r="H47">
            <v>111.6</v>
          </cell>
          <cell r="I47">
            <v>111.6</v>
          </cell>
          <cell r="J47" t="str">
            <v>MISO004151</v>
          </cell>
          <cell r="K47" t="str">
            <v>VH1</v>
          </cell>
          <cell r="L47" t="str">
            <v>HONORARIO</v>
          </cell>
          <cell r="M47" t="str">
            <v>0001352004</v>
          </cell>
          <cell r="N47">
            <v>0</v>
          </cell>
        </row>
        <row r="48">
          <cell r="A48" t="str">
            <v>MISO004153</v>
          </cell>
          <cell r="B48" t="str">
            <v>210VZUNI</v>
          </cell>
          <cell r="C48" t="str">
            <v>Marcia Zu¤iga</v>
          </cell>
          <cell r="D48" t="str">
            <v>1711791614001</v>
          </cell>
          <cell r="E48" t="str">
            <v>85</v>
          </cell>
          <cell r="F48" t="str">
            <v>10/05/2004</v>
          </cell>
          <cell r="G48">
            <v>540</v>
          </cell>
          <cell r="H48">
            <v>64.8</v>
          </cell>
          <cell r="I48">
            <v>64.8</v>
          </cell>
          <cell r="J48" t="str">
            <v>MISO004153</v>
          </cell>
          <cell r="K48" t="str">
            <v>VH1</v>
          </cell>
          <cell r="L48" t="str">
            <v>HONORARIO</v>
          </cell>
          <cell r="M48" t="str">
            <v>0001402004</v>
          </cell>
          <cell r="N48">
            <v>1</v>
          </cell>
        </row>
        <row r="49">
          <cell r="A49" t="str">
            <v>MISO004240</v>
          </cell>
          <cell r="B49" t="str">
            <v>210VZUNI</v>
          </cell>
          <cell r="C49" t="str">
            <v>Marcia Zu¤iga</v>
          </cell>
          <cell r="D49" t="str">
            <v>1711791614001</v>
          </cell>
          <cell r="E49" t="str">
            <v>85</v>
          </cell>
          <cell r="F49" t="str">
            <v>10/05/2004</v>
          </cell>
          <cell r="G49">
            <v>930</v>
          </cell>
          <cell r="H49">
            <v>111.6</v>
          </cell>
          <cell r="I49">
            <v>111.6</v>
          </cell>
          <cell r="J49" t="str">
            <v>MISO004240</v>
          </cell>
          <cell r="K49" t="str">
            <v>VH1</v>
          </cell>
          <cell r="L49" t="str">
            <v>HONORARIO</v>
          </cell>
          <cell r="M49" t="str">
            <v>0001402004</v>
          </cell>
          <cell r="N49">
            <v>1</v>
          </cell>
        </row>
        <row r="50">
          <cell r="A50" t="str">
            <v>HONORARIOS NESTOR</v>
          </cell>
          <cell r="B50" t="str">
            <v>210VROMR</v>
          </cell>
          <cell r="C50" t="str">
            <v>NESTOR ROMERO</v>
          </cell>
          <cell r="D50" t="str">
            <v>1710265339001</v>
          </cell>
          <cell r="E50" t="str">
            <v>9490</v>
          </cell>
          <cell r="F50" t="str">
            <v>28/05/2004</v>
          </cell>
          <cell r="G50">
            <v>10869.57</v>
          </cell>
          <cell r="H50">
            <v>1304.3483999999999</v>
          </cell>
          <cell r="I50">
            <v>1304.3499999999999</v>
          </cell>
          <cell r="J50" t="str">
            <v>HONORARIOS NESTOR</v>
          </cell>
          <cell r="K50" t="str">
            <v>VH1</v>
          </cell>
          <cell r="L50" t="str">
            <v>HONORARIO</v>
          </cell>
          <cell r="N50">
            <v>1</v>
          </cell>
        </row>
        <row r="51">
          <cell r="A51" t="str">
            <v>MISO003947</v>
          </cell>
          <cell r="B51" t="str">
            <v>210VCERP</v>
          </cell>
          <cell r="C51" t="str">
            <v>Polo Ceron</v>
          </cell>
          <cell r="D51" t="str">
            <v>0400704532001</v>
          </cell>
          <cell r="E51" t="str">
            <v>71</v>
          </cell>
          <cell r="F51" t="str">
            <v>30/04/2004</v>
          </cell>
          <cell r="G51">
            <v>930</v>
          </cell>
          <cell r="H51">
            <v>111.6</v>
          </cell>
          <cell r="I51">
            <v>111.6</v>
          </cell>
          <cell r="J51" t="str">
            <v>MISO003947</v>
          </cell>
          <cell r="K51" t="str">
            <v>VH1</v>
          </cell>
          <cell r="L51" t="str">
            <v>HONORARIO</v>
          </cell>
          <cell r="M51" t="str">
            <v>0001352004</v>
          </cell>
          <cell r="N51">
            <v>0</v>
          </cell>
        </row>
        <row r="52">
          <cell r="A52" t="str">
            <v>MISO004179</v>
          </cell>
          <cell r="B52" t="str">
            <v>210VCALD</v>
          </cell>
          <cell r="C52" t="str">
            <v>Richard Estrella Calderon</v>
          </cell>
          <cell r="D52" t="str">
            <v>1710219807001</v>
          </cell>
          <cell r="E52" t="str">
            <v>1168-69</v>
          </cell>
          <cell r="F52" t="str">
            <v>10/05/2004</v>
          </cell>
          <cell r="G52">
            <v>120</v>
          </cell>
          <cell r="H52">
            <v>14.4</v>
          </cell>
          <cell r="I52">
            <v>14.4</v>
          </cell>
          <cell r="J52" t="str">
            <v>MISO004179</v>
          </cell>
          <cell r="K52" t="str">
            <v>VH1</v>
          </cell>
          <cell r="L52" t="str">
            <v>HONORARIO</v>
          </cell>
          <cell r="M52" t="str">
            <v>0000010860</v>
          </cell>
          <cell r="N52">
            <v>1</v>
          </cell>
        </row>
        <row r="53">
          <cell r="A53" t="str">
            <v>MISO004178</v>
          </cell>
          <cell r="B53" t="str">
            <v>210VCALD</v>
          </cell>
          <cell r="C53" t="str">
            <v>Richard Estrella Calderon</v>
          </cell>
          <cell r="D53" t="str">
            <v>1710219807001</v>
          </cell>
          <cell r="E53" t="str">
            <v>1170-71</v>
          </cell>
          <cell r="F53" t="str">
            <v>10/05/2004</v>
          </cell>
          <cell r="G53">
            <v>120</v>
          </cell>
          <cell r="H53">
            <v>14.4</v>
          </cell>
          <cell r="I53">
            <v>14.4</v>
          </cell>
          <cell r="J53" t="str">
            <v>MISO004178</v>
          </cell>
          <cell r="K53" t="str">
            <v>VH1</v>
          </cell>
          <cell r="L53" t="str">
            <v>HONORARIO</v>
          </cell>
          <cell r="M53" t="str">
            <v>0000010860</v>
          </cell>
          <cell r="N53">
            <v>1</v>
          </cell>
        </row>
        <row r="54">
          <cell r="A54" t="str">
            <v>MISO004176</v>
          </cell>
          <cell r="B54" t="str">
            <v>210VCALD</v>
          </cell>
          <cell r="C54" t="str">
            <v>Richard Estrella Calderon</v>
          </cell>
          <cell r="D54" t="str">
            <v>1710219807001</v>
          </cell>
          <cell r="E54" t="str">
            <v>1172-73</v>
          </cell>
          <cell r="F54" t="str">
            <v>10/05/2004</v>
          </cell>
          <cell r="G54">
            <v>120</v>
          </cell>
          <cell r="H54">
            <v>14.4</v>
          </cell>
          <cell r="I54">
            <v>14.4</v>
          </cell>
          <cell r="J54" t="str">
            <v>MISO004176</v>
          </cell>
          <cell r="K54" t="str">
            <v>VH1</v>
          </cell>
          <cell r="L54" t="str">
            <v>HONORARIO</v>
          </cell>
          <cell r="M54" t="str">
            <v>0000010860</v>
          </cell>
          <cell r="N54">
            <v>1</v>
          </cell>
        </row>
        <row r="55">
          <cell r="A55" t="str">
            <v>MISO004175</v>
          </cell>
          <cell r="B55" t="str">
            <v>210VCALD</v>
          </cell>
          <cell r="C55" t="str">
            <v>Richard Estrella Calderon</v>
          </cell>
          <cell r="D55" t="str">
            <v>1710219807001</v>
          </cell>
          <cell r="E55" t="str">
            <v>1164-65</v>
          </cell>
          <cell r="F55" t="str">
            <v>10/05/2004</v>
          </cell>
          <cell r="G55">
            <v>120</v>
          </cell>
          <cell r="H55">
            <v>14.4</v>
          </cell>
          <cell r="I55">
            <v>14.4</v>
          </cell>
          <cell r="J55" t="str">
            <v>MISO004175</v>
          </cell>
          <cell r="K55" t="str">
            <v>VH1</v>
          </cell>
          <cell r="L55" t="str">
            <v>HONORARIO</v>
          </cell>
          <cell r="M55" t="str">
            <v>0000010860</v>
          </cell>
          <cell r="N55">
            <v>1</v>
          </cell>
        </row>
        <row r="56">
          <cell r="A56" t="str">
            <v>MISO004177</v>
          </cell>
          <cell r="B56" t="str">
            <v>210VCALD</v>
          </cell>
          <cell r="C56" t="str">
            <v>Richard Estrella Calderon</v>
          </cell>
          <cell r="D56" t="str">
            <v>1710219807001</v>
          </cell>
          <cell r="E56" t="str">
            <v>1166-67</v>
          </cell>
          <cell r="F56" t="str">
            <v>10/05/2004</v>
          </cell>
          <cell r="G56">
            <v>120</v>
          </cell>
          <cell r="H56">
            <v>14.4</v>
          </cell>
          <cell r="I56">
            <v>14.4</v>
          </cell>
          <cell r="J56" t="str">
            <v>MISO004177</v>
          </cell>
          <cell r="K56" t="str">
            <v>VH1</v>
          </cell>
          <cell r="L56" t="str">
            <v>HONORARIO</v>
          </cell>
          <cell r="M56" t="str">
            <v>0000010860</v>
          </cell>
          <cell r="N56">
            <v>1</v>
          </cell>
        </row>
        <row r="57">
          <cell r="A57" t="str">
            <v>MISO004140</v>
          </cell>
          <cell r="B57" t="str">
            <v>210VCALD</v>
          </cell>
          <cell r="C57" t="str">
            <v>Richard Estrella Calderon</v>
          </cell>
          <cell r="D57" t="str">
            <v>1710219807001</v>
          </cell>
          <cell r="E57" t="str">
            <v>1176</v>
          </cell>
          <cell r="F57" t="str">
            <v>10/05/2004</v>
          </cell>
          <cell r="G57">
            <v>40</v>
          </cell>
          <cell r="H57">
            <v>4.8</v>
          </cell>
          <cell r="I57">
            <v>4.8</v>
          </cell>
          <cell r="J57" t="str">
            <v>MISO004140</v>
          </cell>
          <cell r="K57" t="str">
            <v>VH1</v>
          </cell>
          <cell r="L57" t="str">
            <v>HONORARIO</v>
          </cell>
          <cell r="M57" t="str">
            <v>0000010860</v>
          </cell>
          <cell r="N57">
            <v>1</v>
          </cell>
        </row>
        <row r="58">
          <cell r="A58" t="str">
            <v>MISO004180</v>
          </cell>
          <cell r="B58" t="str">
            <v>210VCALD</v>
          </cell>
          <cell r="C58" t="str">
            <v>Richard Estrella Calderon</v>
          </cell>
          <cell r="D58" t="str">
            <v>1710219807001</v>
          </cell>
          <cell r="E58" t="str">
            <v>1161</v>
          </cell>
          <cell r="F58" t="str">
            <v>10/05/2004</v>
          </cell>
          <cell r="G58">
            <v>60</v>
          </cell>
          <cell r="H58">
            <v>7.2</v>
          </cell>
          <cell r="I58">
            <v>7.2</v>
          </cell>
          <cell r="J58" t="str">
            <v>MISO004180</v>
          </cell>
          <cell r="K58" t="str">
            <v>VH1</v>
          </cell>
          <cell r="L58" t="str">
            <v>HONORARIO</v>
          </cell>
          <cell r="M58" t="str">
            <v>0000010860</v>
          </cell>
          <cell r="N58">
            <v>1</v>
          </cell>
        </row>
        <row r="59">
          <cell r="A59" t="str">
            <v>MISO004157</v>
          </cell>
          <cell r="B59" t="str">
            <v>210VCALD</v>
          </cell>
          <cell r="C59" t="str">
            <v>Richard Estrella Calderon</v>
          </cell>
          <cell r="D59" t="str">
            <v>1710219807001</v>
          </cell>
          <cell r="E59" t="str">
            <v>1175</v>
          </cell>
          <cell r="F59" t="str">
            <v>10/05/2004</v>
          </cell>
          <cell r="G59">
            <v>40</v>
          </cell>
          <cell r="H59">
            <v>4.8</v>
          </cell>
          <cell r="I59">
            <v>4.8</v>
          </cell>
          <cell r="J59" t="str">
            <v>MISO004157</v>
          </cell>
          <cell r="K59" t="str">
            <v>VH1</v>
          </cell>
          <cell r="L59" t="str">
            <v>HONORARIO</v>
          </cell>
          <cell r="M59" t="str">
            <v>0000010860</v>
          </cell>
          <cell r="N59">
            <v>1</v>
          </cell>
        </row>
        <row r="60">
          <cell r="A60" t="str">
            <v>MISO004172</v>
          </cell>
          <cell r="B60" t="str">
            <v>210VCALD</v>
          </cell>
          <cell r="C60" t="str">
            <v>Richard Estrella Calderon</v>
          </cell>
          <cell r="D60" t="str">
            <v>1710219807001</v>
          </cell>
          <cell r="E60" t="str">
            <v>1174</v>
          </cell>
          <cell r="F60" t="str">
            <v>10/05/2004</v>
          </cell>
          <cell r="G60">
            <v>740</v>
          </cell>
          <cell r="H60">
            <v>88.8</v>
          </cell>
          <cell r="I60">
            <v>88.8</v>
          </cell>
          <cell r="J60" t="str">
            <v>MISO004172</v>
          </cell>
          <cell r="K60" t="str">
            <v>VH1</v>
          </cell>
          <cell r="L60" t="str">
            <v>HONORARIO</v>
          </cell>
          <cell r="M60" t="str">
            <v>0000010860</v>
          </cell>
          <cell r="N60">
            <v>1</v>
          </cell>
        </row>
        <row r="61">
          <cell r="A61" t="str">
            <v>MISO004011</v>
          </cell>
          <cell r="B61" t="str">
            <v>210VCALD</v>
          </cell>
          <cell r="C61" t="str">
            <v>Richard Estrella Calderon</v>
          </cell>
          <cell r="D61" t="str">
            <v>1710219807001</v>
          </cell>
          <cell r="E61" t="str">
            <v>1162</v>
          </cell>
          <cell r="F61" t="str">
            <v>10/05/2004</v>
          </cell>
          <cell r="G61">
            <v>160</v>
          </cell>
          <cell r="H61">
            <v>19.2</v>
          </cell>
          <cell r="I61">
            <v>19.2</v>
          </cell>
          <cell r="J61" t="str">
            <v>MISO004011</v>
          </cell>
          <cell r="K61" t="str">
            <v>VH1</v>
          </cell>
          <cell r="L61" t="str">
            <v>HONORARIO</v>
          </cell>
          <cell r="M61" t="str">
            <v>0000010860</v>
          </cell>
          <cell r="N61">
            <v>1</v>
          </cell>
        </row>
        <row r="62">
          <cell r="A62" t="str">
            <v>MISO004303</v>
          </cell>
          <cell r="B62" t="str">
            <v>210VCALD</v>
          </cell>
          <cell r="C62" t="str">
            <v>Richard Estrella Calderon</v>
          </cell>
          <cell r="D62" t="str">
            <v>1710219807001</v>
          </cell>
          <cell r="E62" t="str">
            <v>1188-89</v>
          </cell>
          <cell r="F62" t="str">
            <v>25/05/2004</v>
          </cell>
          <cell r="G62">
            <v>680</v>
          </cell>
          <cell r="H62">
            <v>81.599999999999994</v>
          </cell>
          <cell r="I62">
            <v>81.599999999999994</v>
          </cell>
          <cell r="J62" t="str">
            <v>MISO004303</v>
          </cell>
          <cell r="K62" t="str">
            <v>VH1</v>
          </cell>
          <cell r="L62" t="str">
            <v>HONORARIO</v>
          </cell>
          <cell r="N62">
            <v>1</v>
          </cell>
        </row>
        <row r="63">
          <cell r="A63" t="str">
            <v>MISO004302</v>
          </cell>
          <cell r="B63" t="str">
            <v>210VCALD</v>
          </cell>
          <cell r="C63" t="str">
            <v>Richard Estrella Calderon</v>
          </cell>
          <cell r="D63" t="str">
            <v>1710219807001</v>
          </cell>
          <cell r="E63" t="str">
            <v>1186-87</v>
          </cell>
          <cell r="F63" t="str">
            <v>25/05/2004</v>
          </cell>
          <cell r="G63">
            <v>680</v>
          </cell>
          <cell r="H63">
            <v>81.599999999999994</v>
          </cell>
          <cell r="I63">
            <v>81.599999999999994</v>
          </cell>
          <cell r="J63" t="str">
            <v>MISO004302</v>
          </cell>
          <cell r="K63" t="str">
            <v>VH1</v>
          </cell>
          <cell r="L63" t="str">
            <v>HONORARIO</v>
          </cell>
          <cell r="N63">
            <v>1</v>
          </cell>
        </row>
        <row r="64">
          <cell r="A64" t="str">
            <v>MISO004323</v>
          </cell>
          <cell r="B64" t="str">
            <v>210VCALD</v>
          </cell>
          <cell r="C64" t="str">
            <v>Richard Estrella Calderon</v>
          </cell>
          <cell r="D64" t="str">
            <v>1710219807001</v>
          </cell>
          <cell r="E64" t="str">
            <v>1196-97</v>
          </cell>
          <cell r="F64" t="str">
            <v>25/05/2004</v>
          </cell>
          <cell r="G64">
            <v>120</v>
          </cell>
          <cell r="H64">
            <v>14.399999999999999</v>
          </cell>
          <cell r="I64">
            <v>14.4</v>
          </cell>
          <cell r="J64" t="str">
            <v>MISO004323</v>
          </cell>
          <cell r="K64" t="str">
            <v>VH1</v>
          </cell>
          <cell r="L64" t="str">
            <v>HONORARIO</v>
          </cell>
          <cell r="N64">
            <v>1</v>
          </cell>
        </row>
        <row r="65">
          <cell r="A65" t="str">
            <v>MISO004325</v>
          </cell>
          <cell r="B65" t="str">
            <v>210VCALD</v>
          </cell>
          <cell r="C65" t="str">
            <v>Richard Estrella Calderon</v>
          </cell>
          <cell r="D65" t="str">
            <v>1710219807001</v>
          </cell>
          <cell r="E65" t="str">
            <v>1190-91</v>
          </cell>
          <cell r="F65" t="str">
            <v>25/05/2004</v>
          </cell>
          <cell r="G65">
            <v>120</v>
          </cell>
          <cell r="H65">
            <v>14.399999999999999</v>
          </cell>
          <cell r="I65">
            <v>14.4</v>
          </cell>
          <cell r="J65" t="str">
            <v>MISO004325</v>
          </cell>
          <cell r="K65" t="str">
            <v>VH1</v>
          </cell>
          <cell r="L65" t="str">
            <v>HONORARIO</v>
          </cell>
          <cell r="N65">
            <v>1</v>
          </cell>
        </row>
        <row r="66">
          <cell r="A66" t="str">
            <v>MISO004326</v>
          </cell>
          <cell r="B66" t="str">
            <v>210VCALD</v>
          </cell>
          <cell r="C66" t="str">
            <v>Richard Estrella Calderon</v>
          </cell>
          <cell r="D66" t="str">
            <v>1710219807001</v>
          </cell>
          <cell r="E66" t="str">
            <v>1192-93</v>
          </cell>
          <cell r="F66" t="str">
            <v>25/05/2004</v>
          </cell>
          <cell r="G66">
            <v>120</v>
          </cell>
          <cell r="H66">
            <v>14.399999999999999</v>
          </cell>
          <cell r="I66">
            <v>14.4</v>
          </cell>
          <cell r="J66" t="str">
            <v>MISO004326</v>
          </cell>
          <cell r="K66" t="str">
            <v>VH1</v>
          </cell>
          <cell r="L66" t="str">
            <v>HONORARIO</v>
          </cell>
          <cell r="N66">
            <v>1</v>
          </cell>
        </row>
        <row r="67">
          <cell r="A67" t="str">
            <v>MISO004324</v>
          </cell>
          <cell r="B67" t="str">
            <v>210VCALD</v>
          </cell>
          <cell r="C67" t="str">
            <v>Richard Estrella Calderon</v>
          </cell>
          <cell r="D67" t="str">
            <v>1710219807001</v>
          </cell>
          <cell r="E67" t="str">
            <v>1194-95</v>
          </cell>
          <cell r="F67" t="str">
            <v>25/05/2004</v>
          </cell>
          <cell r="G67">
            <v>120</v>
          </cell>
          <cell r="H67">
            <v>14.399999999999999</v>
          </cell>
          <cell r="I67">
            <v>14.4</v>
          </cell>
          <cell r="J67" t="str">
            <v>MISO004324</v>
          </cell>
          <cell r="K67" t="str">
            <v>VH1</v>
          </cell>
          <cell r="L67" t="str">
            <v>HONORARIO</v>
          </cell>
          <cell r="N67">
            <v>1</v>
          </cell>
        </row>
        <row r="68">
          <cell r="A68" t="str">
            <v>MISO004154</v>
          </cell>
          <cell r="B68" t="str">
            <v>210VSAMA</v>
          </cell>
          <cell r="C68" t="str">
            <v>SANTACRUZ MARGARITA</v>
          </cell>
          <cell r="D68" t="str">
            <v>1711005932001</v>
          </cell>
          <cell r="E68" t="str">
            <v>378</v>
          </cell>
          <cell r="F68" t="str">
            <v>07/05/2004</v>
          </cell>
          <cell r="G68">
            <v>540</v>
          </cell>
          <cell r="H68">
            <v>64.8</v>
          </cell>
          <cell r="I68">
            <v>64.8</v>
          </cell>
          <cell r="J68" t="str">
            <v>MISO004154</v>
          </cell>
          <cell r="K68" t="str">
            <v>VH1</v>
          </cell>
          <cell r="L68" t="str">
            <v>HONORARIO</v>
          </cell>
          <cell r="M68" t="str">
            <v>0001402004</v>
          </cell>
          <cell r="N68">
            <v>1</v>
          </cell>
        </row>
        <row r="69">
          <cell r="A69" t="str">
            <v>MISO004236</v>
          </cell>
          <cell r="B69" t="str">
            <v>210VSAMA</v>
          </cell>
          <cell r="C69" t="str">
            <v>SANTACRUZ MARGARITA</v>
          </cell>
          <cell r="D69" t="str">
            <v>1711005932001</v>
          </cell>
          <cell r="E69" t="str">
            <v>378</v>
          </cell>
          <cell r="F69" t="str">
            <v>07/05/2004</v>
          </cell>
          <cell r="G69">
            <v>390</v>
          </cell>
          <cell r="H69">
            <v>46.8</v>
          </cell>
          <cell r="I69">
            <v>46.8</v>
          </cell>
          <cell r="J69" t="str">
            <v>MISO004236</v>
          </cell>
          <cell r="K69" t="str">
            <v>VH1</v>
          </cell>
          <cell r="L69" t="str">
            <v>HONORARIO</v>
          </cell>
          <cell r="M69" t="str">
            <v>0001402004</v>
          </cell>
          <cell r="N69">
            <v>1</v>
          </cell>
        </row>
        <row r="70">
          <cell r="A70" t="str">
            <v>MISO004162</v>
          </cell>
          <cell r="B70" t="str">
            <v>210VSECA</v>
          </cell>
          <cell r="C70" t="str">
            <v>SERRATO CARLOS</v>
          </cell>
          <cell r="D70" t="str">
            <v>1791890817001</v>
          </cell>
          <cell r="E70" t="str">
            <v>7</v>
          </cell>
          <cell r="F70" t="str">
            <v>17/05/2004</v>
          </cell>
          <cell r="G70">
            <v>2399.92</v>
          </cell>
          <cell r="H70">
            <v>287.99040000000002</v>
          </cell>
          <cell r="I70">
            <v>287.99</v>
          </cell>
          <cell r="J70" t="str">
            <v>MISO004162</v>
          </cell>
          <cell r="K70" t="str">
            <v>VH1</v>
          </cell>
          <cell r="L70" t="str">
            <v>HONORARIO</v>
          </cell>
          <cell r="M70" t="str">
            <v>0001412004</v>
          </cell>
          <cell r="N70">
            <v>9</v>
          </cell>
        </row>
        <row r="71">
          <cell r="A71" t="str">
            <v>MISO004292</v>
          </cell>
          <cell r="B71" t="str">
            <v>210VSECA</v>
          </cell>
          <cell r="C71" t="str">
            <v>SERRATO CARLOS</v>
          </cell>
          <cell r="D71" t="str">
            <v>1791890817001</v>
          </cell>
          <cell r="E71" t="str">
            <v>7</v>
          </cell>
          <cell r="F71" t="str">
            <v>17/05/2004</v>
          </cell>
          <cell r="G71">
            <v>2199.92</v>
          </cell>
          <cell r="H71">
            <v>263.99040000000002</v>
          </cell>
          <cell r="I71">
            <v>263.99</v>
          </cell>
          <cell r="J71" t="str">
            <v>MISO004292</v>
          </cell>
          <cell r="K71" t="str">
            <v>VH1</v>
          </cell>
          <cell r="L71" t="str">
            <v>HONORARIO</v>
          </cell>
          <cell r="M71" t="str">
            <v>0001412004</v>
          </cell>
          <cell r="N71">
            <v>9</v>
          </cell>
        </row>
        <row r="72">
          <cell r="A72" t="str">
            <v>MIIV003039</v>
          </cell>
          <cell r="B72" t="str">
            <v>210VSECA</v>
          </cell>
          <cell r="C72" t="str">
            <v>SERRATO CARLOS</v>
          </cell>
          <cell r="D72" t="str">
            <v>1791890817001</v>
          </cell>
          <cell r="E72" t="str">
            <v>5</v>
          </cell>
          <cell r="F72" t="str">
            <v>17/05/2004</v>
          </cell>
          <cell r="G72">
            <v>535.66999999999996</v>
          </cell>
          <cell r="H72">
            <v>64.280399999999986</v>
          </cell>
          <cell r="I72">
            <v>64.28</v>
          </cell>
          <cell r="J72" t="str">
            <v>MIIV003039</v>
          </cell>
          <cell r="K72" t="str">
            <v>VH1</v>
          </cell>
          <cell r="L72" t="str">
            <v>HONORARIO</v>
          </cell>
          <cell r="M72" t="str">
            <v>0001412004</v>
          </cell>
          <cell r="N72">
            <v>9</v>
          </cell>
        </row>
        <row r="73">
          <cell r="A73" t="str">
            <v>MISO004356</v>
          </cell>
          <cell r="B73" t="str">
            <v>210VSVTC</v>
          </cell>
          <cell r="C73" t="str">
            <v>SERVITECNICOMPANY</v>
          </cell>
          <cell r="D73" t="str">
            <v>0992300930001</v>
          </cell>
          <cell r="E73" t="str">
            <v>12</v>
          </cell>
          <cell r="F73" t="str">
            <v>17/05/2004</v>
          </cell>
          <cell r="G73">
            <v>5511</v>
          </cell>
          <cell r="H73">
            <v>661.31999999999994</v>
          </cell>
          <cell r="I73">
            <v>661.32</v>
          </cell>
          <cell r="J73" t="str">
            <v>MISO004356</v>
          </cell>
          <cell r="K73" t="str">
            <v>VH1</v>
          </cell>
          <cell r="L73" t="str">
            <v>HONORARIO</v>
          </cell>
          <cell r="M73" t="str">
            <v>0001442004</v>
          </cell>
          <cell r="N73">
            <v>9</v>
          </cell>
        </row>
        <row r="74">
          <cell r="A74" t="str">
            <v>MISO004149</v>
          </cell>
          <cell r="B74" t="str">
            <v>210VSVTC</v>
          </cell>
          <cell r="C74" t="str">
            <v>SERVITECNICOMPANY</v>
          </cell>
          <cell r="D74" t="str">
            <v>0992300930001</v>
          </cell>
          <cell r="E74" t="str">
            <v>12</v>
          </cell>
          <cell r="F74" t="str">
            <v>17/05/2004</v>
          </cell>
          <cell r="G74">
            <v>5344</v>
          </cell>
          <cell r="H74">
            <v>641.28</v>
          </cell>
          <cell r="I74">
            <v>641.28</v>
          </cell>
          <cell r="J74" t="str">
            <v>MISO004149</v>
          </cell>
          <cell r="K74" t="str">
            <v>VH1</v>
          </cell>
          <cell r="L74" t="str">
            <v>HONORARIO</v>
          </cell>
          <cell r="M74" t="str">
            <v>0001442004</v>
          </cell>
          <cell r="N74">
            <v>9</v>
          </cell>
        </row>
        <row r="75">
          <cell r="A75" t="str">
            <v>MISO004357</v>
          </cell>
          <cell r="B75" t="str">
            <v>210VSAEN</v>
          </cell>
          <cell r="C75" t="str">
            <v>Victor Saenz</v>
          </cell>
          <cell r="D75" t="str">
            <v>1702519552001</v>
          </cell>
          <cell r="E75" t="str">
            <v>60</v>
          </cell>
          <cell r="F75" t="str">
            <v>25/05/2004</v>
          </cell>
          <cell r="G75">
            <v>2200</v>
          </cell>
          <cell r="H75">
            <v>264</v>
          </cell>
          <cell r="I75">
            <v>264</v>
          </cell>
          <cell r="J75" t="str">
            <v>MISO004357</v>
          </cell>
          <cell r="K75" t="str">
            <v>VH1</v>
          </cell>
          <cell r="L75" t="str">
            <v>HONORARIO</v>
          </cell>
          <cell r="M75" t="str">
            <v>0000010789</v>
          </cell>
          <cell r="N75">
            <v>0</v>
          </cell>
        </row>
        <row r="76">
          <cell r="A76" t="str">
            <v>HONORARIO VICK MAYO-04</v>
          </cell>
          <cell r="B76" t="str">
            <v>210VBATH</v>
          </cell>
          <cell r="C76" t="str">
            <v>Vikram Bath</v>
          </cell>
          <cell r="D76" t="str">
            <v>1791788087001</v>
          </cell>
          <cell r="E76" t="str">
            <v>9473</v>
          </cell>
          <cell r="F76" t="str">
            <v>20/05/2004</v>
          </cell>
          <cell r="G76">
            <v>9891.32</v>
          </cell>
          <cell r="H76">
            <v>1186.9584</v>
          </cell>
          <cell r="I76">
            <v>1186.96</v>
          </cell>
          <cell r="J76" t="str">
            <v>HONORARIO VICK MAYO-04</v>
          </cell>
          <cell r="K76" t="str">
            <v>VH1</v>
          </cell>
          <cell r="L76" t="str">
            <v>HONORARIO</v>
          </cell>
          <cell r="N76">
            <v>9</v>
          </cell>
        </row>
        <row r="77">
          <cell r="G77">
            <v>139286.43400000001</v>
          </cell>
          <cell r="H77">
            <v>16714.379279999997</v>
          </cell>
          <cell r="I77">
            <v>16714.379999999997</v>
          </cell>
        </row>
        <row r="78">
          <cell r="A78" t="str">
            <v>MIPC001217</v>
          </cell>
          <cell r="B78" t="str">
            <v>210VABAR</v>
          </cell>
          <cell r="C78" t="str">
            <v>Abarrotes Su Despensa</v>
          </cell>
          <cell r="D78" t="str">
            <v>0101110047001</v>
          </cell>
          <cell r="E78" t="str">
            <v>14866</v>
          </cell>
          <cell r="F78" t="str">
            <v>17/05/2004</v>
          </cell>
          <cell r="G78">
            <v>64.319999999999993</v>
          </cell>
          <cell r="H78">
            <v>7.7149999999999999</v>
          </cell>
          <cell r="I78">
            <v>2.3199999999999998</v>
          </cell>
          <cell r="J78" t="str">
            <v>MIPC001217</v>
          </cell>
          <cell r="K78" t="str">
            <v>VC3</v>
          </cell>
          <cell r="L78" t="str">
            <v>P. NATURAL</v>
          </cell>
          <cell r="M78" t="str">
            <v>0000010857</v>
          </cell>
          <cell r="N78">
            <v>0</v>
          </cell>
        </row>
        <row r="79">
          <cell r="A79" t="str">
            <v>MIPC001259</v>
          </cell>
          <cell r="B79" t="str">
            <v>210VABAR</v>
          </cell>
          <cell r="C79" t="str">
            <v>Abarrotes Su Despensa</v>
          </cell>
          <cell r="D79" t="str">
            <v>0101110047001</v>
          </cell>
          <cell r="E79" t="str">
            <v>14868</v>
          </cell>
          <cell r="F79" t="str">
            <v>17/05/2004</v>
          </cell>
          <cell r="G79">
            <v>36.380000000000003</v>
          </cell>
          <cell r="H79">
            <v>4.3650000000000002</v>
          </cell>
          <cell r="I79">
            <v>1.31</v>
          </cell>
          <cell r="J79" t="str">
            <v>MIPC001259</v>
          </cell>
          <cell r="K79" t="str">
            <v>VC3</v>
          </cell>
          <cell r="L79" t="str">
            <v>P. NATURAL</v>
          </cell>
          <cell r="N79">
            <v>0</v>
          </cell>
        </row>
        <row r="80">
          <cell r="A80" t="str">
            <v>MIPC001235</v>
          </cell>
          <cell r="B80">
            <v>8</v>
          </cell>
          <cell r="C80" t="str">
            <v>Aga S. A.</v>
          </cell>
          <cell r="D80" t="str">
            <v>0990021007001</v>
          </cell>
          <cell r="E80" t="str">
            <v>11780</v>
          </cell>
          <cell r="G80">
            <v>465.33</v>
          </cell>
          <cell r="H80">
            <v>55.839599999999997</v>
          </cell>
          <cell r="J80" t="str">
            <v>MIPC001235</v>
          </cell>
          <cell r="K80" t="str">
            <v>RC1</v>
          </cell>
          <cell r="L80" t="str">
            <v>SOCIEDAD</v>
          </cell>
          <cell r="M80" t="str">
            <v>0000010796</v>
          </cell>
          <cell r="N80">
            <v>9</v>
          </cell>
          <cell r="Q80" t="str">
            <v>VAGA</v>
          </cell>
        </row>
        <row r="81">
          <cell r="A81" t="str">
            <v>MIPC001239</v>
          </cell>
          <cell r="B81" t="str">
            <v>210VAGA</v>
          </cell>
          <cell r="C81" t="str">
            <v>Aga S. A.</v>
          </cell>
          <cell r="D81" t="str">
            <v>0990021007001</v>
          </cell>
          <cell r="E81" t="str">
            <v>11993</v>
          </cell>
          <cell r="G81">
            <v>129.83000000000001</v>
          </cell>
          <cell r="H81">
            <v>15.579600000000001</v>
          </cell>
          <cell r="J81" t="str">
            <v>MIPC001239</v>
          </cell>
          <cell r="K81" t="str">
            <v>RC1</v>
          </cell>
          <cell r="L81" t="str">
            <v>SOCIEDAD</v>
          </cell>
          <cell r="N81">
            <v>9</v>
          </cell>
          <cell r="Q81" t="str">
            <v>VAGA</v>
          </cell>
        </row>
        <row r="82">
          <cell r="A82" t="str">
            <v>MIPC001268</v>
          </cell>
          <cell r="B82" t="str">
            <v>210VAGA</v>
          </cell>
          <cell r="C82" t="str">
            <v>Aga S. A.</v>
          </cell>
          <cell r="D82" t="str">
            <v>0990021007001</v>
          </cell>
          <cell r="E82" t="str">
            <v>11994</v>
          </cell>
          <cell r="G82">
            <v>642.58000000000004</v>
          </cell>
          <cell r="H82">
            <v>77.1096</v>
          </cell>
          <cell r="J82" t="str">
            <v>MIPC001268</v>
          </cell>
          <cell r="K82" t="str">
            <v>RC1</v>
          </cell>
          <cell r="L82" t="str">
            <v>SOCIEDAD</v>
          </cell>
          <cell r="N82">
            <v>9</v>
          </cell>
          <cell r="Q82" t="str">
            <v>VAGA</v>
          </cell>
        </row>
        <row r="83">
          <cell r="A83" t="str">
            <v>MIPC001274</v>
          </cell>
          <cell r="B83" t="str">
            <v>210VAGA</v>
          </cell>
          <cell r="C83" t="str">
            <v>Aga S. A.</v>
          </cell>
          <cell r="D83" t="str">
            <v>0990021007001</v>
          </cell>
          <cell r="E83" t="str">
            <v>11995</v>
          </cell>
          <cell r="G83">
            <v>60.67</v>
          </cell>
          <cell r="H83">
            <v>7.2804000000000002</v>
          </cell>
          <cell r="J83" t="str">
            <v>MIPC001274</v>
          </cell>
          <cell r="K83" t="str">
            <v>RC1</v>
          </cell>
          <cell r="L83" t="str">
            <v>SOCIEDAD</v>
          </cell>
          <cell r="N83">
            <v>9</v>
          </cell>
          <cell r="Q83" t="str">
            <v>VAGA</v>
          </cell>
        </row>
        <row r="84">
          <cell r="A84" t="str">
            <v>MIPO002874</v>
          </cell>
          <cell r="B84" t="str">
            <v>210VAXIO</v>
          </cell>
          <cell r="C84" t="str">
            <v>AXIOMA</v>
          </cell>
          <cell r="D84" t="str">
            <v>1791770412001</v>
          </cell>
          <cell r="E84" t="str">
            <v>1283</v>
          </cell>
          <cell r="F84" t="str">
            <v>10/05/2004</v>
          </cell>
          <cell r="G84">
            <v>1010.5</v>
          </cell>
          <cell r="H84">
            <v>121.26</v>
          </cell>
          <cell r="I84">
            <v>36.380000000000003</v>
          </cell>
          <cell r="J84" t="str">
            <v>MIPO002874</v>
          </cell>
          <cell r="K84" t="str">
            <v>VC3</v>
          </cell>
          <cell r="L84" t="str">
            <v>SOCIEDAD</v>
          </cell>
          <cell r="N84">
            <v>9</v>
          </cell>
        </row>
        <row r="85">
          <cell r="A85" t="str">
            <v>MIPO002878</v>
          </cell>
          <cell r="B85" t="str">
            <v>210VAXIO</v>
          </cell>
          <cell r="C85" t="str">
            <v>AXIOMA</v>
          </cell>
          <cell r="D85" t="str">
            <v>1791770412001</v>
          </cell>
          <cell r="E85" t="str">
            <v>1283</v>
          </cell>
          <cell r="F85" t="str">
            <v>10/05/2004</v>
          </cell>
          <cell r="G85">
            <v>346.5</v>
          </cell>
          <cell r="H85">
            <v>41.58</v>
          </cell>
          <cell r="I85">
            <v>12.47</v>
          </cell>
          <cell r="J85" t="str">
            <v>MIPO002878</v>
          </cell>
          <cell r="K85" t="str">
            <v>VC3</v>
          </cell>
          <cell r="L85" t="str">
            <v>SOCIEDAD</v>
          </cell>
          <cell r="N85">
            <v>9</v>
          </cell>
        </row>
        <row r="86">
          <cell r="A86" t="str">
            <v>MIPO002781</v>
          </cell>
          <cell r="B86" t="str">
            <v>210VBENB</v>
          </cell>
          <cell r="C86" t="str">
            <v>Benbarec S.A.</v>
          </cell>
          <cell r="D86" t="str">
            <v>1791738934001</v>
          </cell>
          <cell r="E86" t="str">
            <v>467</v>
          </cell>
          <cell r="F86" t="str">
            <v>10/05/2004</v>
          </cell>
          <cell r="G86">
            <v>43092</v>
          </cell>
          <cell r="H86">
            <v>5171.04</v>
          </cell>
          <cell r="I86">
            <v>1551.31</v>
          </cell>
          <cell r="J86" t="str">
            <v>MIPO002781</v>
          </cell>
          <cell r="K86" t="str">
            <v>VC3</v>
          </cell>
          <cell r="L86" t="str">
            <v>SOCIEDAD</v>
          </cell>
          <cell r="N86">
            <v>9</v>
          </cell>
        </row>
        <row r="87">
          <cell r="A87" t="str">
            <v>MIPO002869</v>
          </cell>
          <cell r="B87" t="str">
            <v>210VBENB</v>
          </cell>
          <cell r="C87" t="str">
            <v>Benbarec S.A.</v>
          </cell>
          <cell r="D87" t="str">
            <v>1791738934001</v>
          </cell>
          <cell r="E87" t="str">
            <v>469</v>
          </cell>
          <cell r="F87" t="str">
            <v>17/05/2004</v>
          </cell>
          <cell r="G87">
            <v>2538</v>
          </cell>
          <cell r="H87">
            <v>304.56</v>
          </cell>
          <cell r="I87">
            <v>91.37</v>
          </cell>
          <cell r="J87" t="str">
            <v>MIPO002869</v>
          </cell>
          <cell r="K87" t="str">
            <v>VC3</v>
          </cell>
          <cell r="L87" t="str">
            <v>SOCIEDAD</v>
          </cell>
          <cell r="N87">
            <v>9</v>
          </cell>
        </row>
        <row r="88">
          <cell r="A88" t="str">
            <v>MIPO002726</v>
          </cell>
          <cell r="B88" t="str">
            <v>210VBENB</v>
          </cell>
          <cell r="C88" t="str">
            <v>Benbarec S.A.</v>
          </cell>
          <cell r="D88" t="str">
            <v>1791738934001</v>
          </cell>
          <cell r="E88" t="str">
            <v>470</v>
          </cell>
          <cell r="F88" t="str">
            <v>17/05/2004</v>
          </cell>
          <cell r="G88">
            <v>39345</v>
          </cell>
          <cell r="H88">
            <v>4721.3999999999996</v>
          </cell>
          <cell r="I88">
            <v>1416.42</v>
          </cell>
          <cell r="J88" t="str">
            <v>MIPO002726</v>
          </cell>
          <cell r="K88" t="str">
            <v>VC3</v>
          </cell>
          <cell r="L88" t="str">
            <v>SOCIEDAD</v>
          </cell>
          <cell r="N88">
            <v>9</v>
          </cell>
        </row>
        <row r="89">
          <cell r="A89" t="str">
            <v>MIPO002889</v>
          </cell>
          <cell r="B89" t="str">
            <v>210VBENB</v>
          </cell>
          <cell r="C89" t="str">
            <v>Benbarec S.A.</v>
          </cell>
          <cell r="D89" t="str">
            <v>1791738934001</v>
          </cell>
          <cell r="E89" t="str">
            <v>472</v>
          </cell>
          <cell r="F89" t="str">
            <v>25/05/2004</v>
          </cell>
          <cell r="G89">
            <v>43092</v>
          </cell>
          <cell r="H89">
            <v>5171.04</v>
          </cell>
          <cell r="I89">
            <v>1551.31</v>
          </cell>
          <cell r="J89" t="str">
            <v>MIPO002889</v>
          </cell>
          <cell r="K89" t="str">
            <v>VC3</v>
          </cell>
          <cell r="L89" t="str">
            <v>SOCIEDAD</v>
          </cell>
          <cell r="N89">
            <v>9</v>
          </cell>
        </row>
        <row r="90">
          <cell r="A90" t="str">
            <v>MIPO002767</v>
          </cell>
          <cell r="B90" t="str">
            <v>210VBIS</v>
          </cell>
          <cell r="C90" t="str">
            <v>Bis S.A.</v>
          </cell>
          <cell r="D90" t="str">
            <v>1791743164001</v>
          </cell>
          <cell r="E90" t="str">
            <v>1981</v>
          </cell>
          <cell r="F90" t="str">
            <v>03/05/2004</v>
          </cell>
          <cell r="G90">
            <v>159</v>
          </cell>
          <cell r="H90">
            <v>19.079999999999998</v>
          </cell>
          <cell r="I90">
            <v>5.72</v>
          </cell>
          <cell r="J90" t="str">
            <v>MIPO002767</v>
          </cell>
          <cell r="K90" t="str">
            <v>VC3</v>
          </cell>
          <cell r="L90" t="str">
            <v>SOCIEDAD</v>
          </cell>
          <cell r="M90" t="str">
            <v>0000010800</v>
          </cell>
          <cell r="N90">
            <v>9</v>
          </cell>
        </row>
        <row r="91">
          <cell r="A91" t="str">
            <v>MIPO002680</v>
          </cell>
          <cell r="B91" t="str">
            <v>210VBIS</v>
          </cell>
          <cell r="C91" t="str">
            <v>Bis S.A.</v>
          </cell>
          <cell r="D91" t="str">
            <v>1791743164001</v>
          </cell>
          <cell r="E91" t="str">
            <v>1989</v>
          </cell>
          <cell r="F91" t="str">
            <v>03/05/2004</v>
          </cell>
          <cell r="G91">
            <v>159</v>
          </cell>
          <cell r="H91">
            <v>19.079999999999998</v>
          </cell>
          <cell r="I91">
            <v>5.72</v>
          </cell>
          <cell r="J91" t="str">
            <v>MIPO002680</v>
          </cell>
          <cell r="K91" t="str">
            <v>VC3</v>
          </cell>
          <cell r="L91" t="str">
            <v>SOCIEDAD</v>
          </cell>
          <cell r="M91" t="str">
            <v>0000010800</v>
          </cell>
          <cell r="N91">
            <v>9</v>
          </cell>
        </row>
        <row r="92">
          <cell r="A92" t="str">
            <v>MIPO002901</v>
          </cell>
          <cell r="B92" t="str">
            <v>210VBREN</v>
          </cell>
          <cell r="C92" t="str">
            <v>Brenntag Ecuador S.A</v>
          </cell>
          <cell r="D92" t="str">
            <v>0990005087001</v>
          </cell>
          <cell r="E92" t="str">
            <v>878</v>
          </cell>
          <cell r="G92">
            <v>1800</v>
          </cell>
          <cell r="H92">
            <v>216</v>
          </cell>
          <cell r="J92" t="str">
            <v>MIPO002901</v>
          </cell>
          <cell r="K92" t="str">
            <v>RC1</v>
          </cell>
          <cell r="L92" t="str">
            <v>SOCIEDAD</v>
          </cell>
          <cell r="N92">
            <v>9</v>
          </cell>
          <cell r="Q92" t="str">
            <v>VBREN</v>
          </cell>
        </row>
        <row r="93">
          <cell r="A93" t="str">
            <v>MIPO002879</v>
          </cell>
          <cell r="B93" t="str">
            <v>210VPROA</v>
          </cell>
          <cell r="C93" t="str">
            <v>Carlos Ramiro Proaño T.</v>
          </cell>
          <cell r="D93" t="str">
            <v>1707777213001</v>
          </cell>
          <cell r="E93" t="str">
            <v>23072</v>
          </cell>
          <cell r="F93" t="str">
            <v>11/05/2004</v>
          </cell>
          <cell r="G93">
            <v>62</v>
          </cell>
          <cell r="H93">
            <v>7.4399999999999995</v>
          </cell>
          <cell r="I93">
            <v>2.23</v>
          </cell>
          <cell r="J93" t="str">
            <v>MIPO002879</v>
          </cell>
          <cell r="K93" t="str">
            <v>VC3</v>
          </cell>
          <cell r="L93" t="str">
            <v>P. NATURAL</v>
          </cell>
          <cell r="N93">
            <v>0</v>
          </cell>
        </row>
        <row r="94">
          <cell r="A94" t="str">
            <v>MIPO002840</v>
          </cell>
          <cell r="B94" t="str">
            <v>210VCEME</v>
          </cell>
          <cell r="C94" t="str">
            <v>Cemepro</v>
          </cell>
          <cell r="D94" t="str">
            <v>1708360803001</v>
          </cell>
          <cell r="E94" t="str">
            <v>3502</v>
          </cell>
          <cell r="F94" t="str">
            <v>03/05/2004</v>
          </cell>
          <cell r="G94">
            <v>1362.83</v>
          </cell>
          <cell r="H94">
            <v>163.53959999999998</v>
          </cell>
          <cell r="I94">
            <v>49.06</v>
          </cell>
          <cell r="J94" t="str">
            <v>MIPO002840</v>
          </cell>
          <cell r="K94" t="str">
            <v>VC3</v>
          </cell>
          <cell r="L94" t="str">
            <v>P. NATURAL</v>
          </cell>
          <cell r="M94" t="str">
            <v>0000010804</v>
          </cell>
          <cell r="N94">
            <v>0</v>
          </cell>
        </row>
        <row r="95">
          <cell r="A95" t="str">
            <v>MIPO002810</v>
          </cell>
          <cell r="B95" t="str">
            <v>210VCEME</v>
          </cell>
          <cell r="C95" t="str">
            <v>Cemepro</v>
          </cell>
          <cell r="D95" t="str">
            <v>1708360803001</v>
          </cell>
          <cell r="E95" t="str">
            <v>3497</v>
          </cell>
          <cell r="F95" t="str">
            <v>03/05/2004</v>
          </cell>
          <cell r="G95">
            <v>554.25</v>
          </cell>
          <cell r="H95">
            <v>66.509999999999991</v>
          </cell>
          <cell r="I95">
            <v>19.95</v>
          </cell>
          <cell r="J95" t="str">
            <v>MIPO002810</v>
          </cell>
          <cell r="K95" t="str">
            <v>VC3</v>
          </cell>
          <cell r="L95" t="str">
            <v>P. NATURAL</v>
          </cell>
          <cell r="M95" t="str">
            <v>0000010804</v>
          </cell>
          <cell r="N95">
            <v>0</v>
          </cell>
        </row>
        <row r="96">
          <cell r="A96" t="str">
            <v>MIPO002837</v>
          </cell>
          <cell r="B96" t="str">
            <v>210VCEME</v>
          </cell>
          <cell r="C96" t="str">
            <v>Cemepro</v>
          </cell>
          <cell r="D96" t="str">
            <v>1708360803001</v>
          </cell>
          <cell r="E96" t="str">
            <v>3501</v>
          </cell>
          <cell r="F96" t="str">
            <v>03/05/2004</v>
          </cell>
          <cell r="G96">
            <v>50</v>
          </cell>
          <cell r="H96">
            <v>6</v>
          </cell>
          <cell r="I96">
            <v>1.8</v>
          </cell>
          <cell r="J96" t="str">
            <v>MIPO002837</v>
          </cell>
          <cell r="K96" t="str">
            <v>VC3</v>
          </cell>
          <cell r="L96" t="str">
            <v>P. NATURAL</v>
          </cell>
          <cell r="N96">
            <v>0</v>
          </cell>
        </row>
        <row r="97">
          <cell r="A97" t="str">
            <v>MIPO002844</v>
          </cell>
          <cell r="B97" t="str">
            <v>210VCEME</v>
          </cell>
          <cell r="C97" t="str">
            <v>Cemepro</v>
          </cell>
          <cell r="D97" t="str">
            <v>1708360803001</v>
          </cell>
          <cell r="E97" t="str">
            <v>3501</v>
          </cell>
          <cell r="F97" t="str">
            <v>03/05/2004</v>
          </cell>
          <cell r="G97">
            <v>636</v>
          </cell>
          <cell r="H97">
            <v>76.319999999999993</v>
          </cell>
          <cell r="I97">
            <v>22.9</v>
          </cell>
          <cell r="J97" t="str">
            <v>MIPO002844</v>
          </cell>
          <cell r="K97" t="str">
            <v>VC3</v>
          </cell>
          <cell r="L97" t="str">
            <v>P. NATURAL</v>
          </cell>
          <cell r="N97">
            <v>0</v>
          </cell>
        </row>
        <row r="98">
          <cell r="A98" t="str">
            <v>MIPO002848</v>
          </cell>
          <cell r="B98" t="str">
            <v>210VCEME</v>
          </cell>
          <cell r="C98" t="str">
            <v>Cemepro</v>
          </cell>
          <cell r="D98" t="str">
            <v>1708360803001</v>
          </cell>
          <cell r="E98" t="str">
            <v>3519</v>
          </cell>
          <cell r="F98" t="str">
            <v>10/05/2004</v>
          </cell>
          <cell r="G98">
            <v>2350.92</v>
          </cell>
          <cell r="H98">
            <v>282.11039999999997</v>
          </cell>
          <cell r="I98">
            <v>84.63</v>
          </cell>
          <cell r="J98" t="str">
            <v>MIPO002848</v>
          </cell>
          <cell r="K98" t="str">
            <v>VC3</v>
          </cell>
          <cell r="L98" t="str">
            <v>P. NATURAL</v>
          </cell>
          <cell r="N98">
            <v>0</v>
          </cell>
        </row>
        <row r="99">
          <cell r="A99" t="str">
            <v>MIPO002886</v>
          </cell>
          <cell r="B99" t="str">
            <v>210VCEME</v>
          </cell>
          <cell r="C99" t="str">
            <v>Cemepro</v>
          </cell>
          <cell r="D99" t="str">
            <v>1708360803001</v>
          </cell>
          <cell r="E99" t="str">
            <v>3518</v>
          </cell>
          <cell r="F99" t="str">
            <v>10/05/2004</v>
          </cell>
          <cell r="G99">
            <v>1364.25</v>
          </cell>
          <cell r="H99">
            <v>163.71</v>
          </cell>
          <cell r="I99">
            <v>49.11</v>
          </cell>
          <cell r="J99" t="str">
            <v>MIPO002886</v>
          </cell>
          <cell r="K99" t="str">
            <v>VC3</v>
          </cell>
          <cell r="L99" t="str">
            <v>P. NATURAL</v>
          </cell>
          <cell r="N99">
            <v>0</v>
          </cell>
        </row>
        <row r="100">
          <cell r="A100" t="str">
            <v>MIPO002911</v>
          </cell>
          <cell r="B100" t="str">
            <v>210VCEME</v>
          </cell>
          <cell r="C100" t="str">
            <v>Cemepro</v>
          </cell>
          <cell r="D100" t="str">
            <v>1708360803001</v>
          </cell>
          <cell r="E100" t="str">
            <v>3534</v>
          </cell>
          <cell r="F100" t="str">
            <v>17/05/2004</v>
          </cell>
          <cell r="G100">
            <v>545.54999999999995</v>
          </cell>
          <cell r="H100">
            <v>65.47</v>
          </cell>
          <cell r="I100">
            <v>19.64</v>
          </cell>
          <cell r="J100" t="str">
            <v>MIPO002911</v>
          </cell>
          <cell r="K100" t="str">
            <v>VC3</v>
          </cell>
          <cell r="L100" t="str">
            <v>P. NATURAL</v>
          </cell>
          <cell r="N100">
            <v>0</v>
          </cell>
        </row>
        <row r="101">
          <cell r="A101" t="str">
            <v>MIPO002907</v>
          </cell>
          <cell r="B101" t="str">
            <v>210VCEME</v>
          </cell>
          <cell r="C101" t="str">
            <v>Cemepro</v>
          </cell>
          <cell r="D101" t="str">
            <v>1708360803001</v>
          </cell>
          <cell r="E101" t="str">
            <v>3535</v>
          </cell>
          <cell r="F101" t="str">
            <v>17/05/2004</v>
          </cell>
          <cell r="G101">
            <v>45</v>
          </cell>
          <cell r="H101">
            <v>5.4</v>
          </cell>
          <cell r="I101">
            <v>1.62</v>
          </cell>
          <cell r="J101" t="str">
            <v>MIPO002907</v>
          </cell>
          <cell r="K101" t="str">
            <v>VC3</v>
          </cell>
          <cell r="L101" t="str">
            <v>P. NATURAL</v>
          </cell>
          <cell r="N101">
            <v>0</v>
          </cell>
        </row>
        <row r="102">
          <cell r="A102" t="str">
            <v>MIPO002929</v>
          </cell>
          <cell r="B102" t="str">
            <v>210VCEME</v>
          </cell>
          <cell r="C102" t="str">
            <v>Cemepro</v>
          </cell>
          <cell r="D102" t="str">
            <v>1708360803001</v>
          </cell>
          <cell r="E102" t="str">
            <v>3550</v>
          </cell>
          <cell r="F102" t="str">
            <v>25/05/2004</v>
          </cell>
          <cell r="G102">
            <v>570</v>
          </cell>
          <cell r="H102">
            <v>68.400000000000006</v>
          </cell>
          <cell r="I102">
            <v>20.52</v>
          </cell>
          <cell r="J102" t="str">
            <v>MIPO002929</v>
          </cell>
          <cell r="K102" t="str">
            <v>VC3</v>
          </cell>
          <cell r="L102" t="str">
            <v>P. NATURAL</v>
          </cell>
          <cell r="N102">
            <v>0</v>
          </cell>
        </row>
        <row r="103">
          <cell r="A103" t="str">
            <v>MIPO002918</v>
          </cell>
          <cell r="B103" t="str">
            <v>210VCERO</v>
          </cell>
          <cell r="C103" t="str">
            <v>Ceron Importadores</v>
          </cell>
          <cell r="D103" t="str">
            <v>1703833200001</v>
          </cell>
          <cell r="E103" t="str">
            <v>3423</v>
          </cell>
          <cell r="F103" t="str">
            <v>17/05/2004</v>
          </cell>
          <cell r="G103">
            <v>448</v>
          </cell>
          <cell r="H103">
            <v>53.76</v>
          </cell>
          <cell r="I103">
            <v>16.13</v>
          </cell>
          <cell r="J103" t="str">
            <v>MIPO002918</v>
          </cell>
          <cell r="K103" t="str">
            <v>VC3</v>
          </cell>
          <cell r="L103" t="str">
            <v>P. NATURAL</v>
          </cell>
          <cell r="N103">
            <v>0</v>
          </cell>
        </row>
        <row r="104">
          <cell r="A104" t="str">
            <v>MIPO002850</v>
          </cell>
          <cell r="B104" t="str">
            <v>210VCETG</v>
          </cell>
          <cell r="C104" t="str">
            <v>CETAGUA</v>
          </cell>
          <cell r="D104" t="str">
            <v>0991461337001</v>
          </cell>
          <cell r="E104" t="str">
            <v>747</v>
          </cell>
          <cell r="F104" t="str">
            <v>03/05/2004</v>
          </cell>
          <cell r="G104">
            <v>1743.58</v>
          </cell>
          <cell r="H104">
            <v>209.23</v>
          </cell>
          <cell r="I104">
            <v>62.77</v>
          </cell>
          <cell r="J104" t="str">
            <v>MIPO002850</v>
          </cell>
          <cell r="K104" t="str">
            <v>VC3</v>
          </cell>
          <cell r="L104" t="str">
            <v>SOCIEDAD</v>
          </cell>
          <cell r="N104">
            <v>9</v>
          </cell>
        </row>
        <row r="105">
          <cell r="A105" t="str">
            <v>MIPO002885</v>
          </cell>
          <cell r="B105" t="str">
            <v>210VCETG</v>
          </cell>
          <cell r="C105" t="str">
            <v>CETAGUA</v>
          </cell>
          <cell r="D105" t="str">
            <v>0991461337001</v>
          </cell>
          <cell r="E105" t="str">
            <v>764</v>
          </cell>
          <cell r="F105" t="str">
            <v>17/05/2004</v>
          </cell>
          <cell r="G105">
            <v>1159.25</v>
          </cell>
          <cell r="H105">
            <v>139.11000000000001</v>
          </cell>
          <cell r="I105">
            <v>41.73</v>
          </cell>
          <cell r="J105" t="str">
            <v>MIPO002885</v>
          </cell>
          <cell r="K105" t="str">
            <v>VC3</v>
          </cell>
          <cell r="L105" t="str">
            <v>SOCIEDAD</v>
          </cell>
          <cell r="N105">
            <v>9</v>
          </cell>
        </row>
        <row r="106">
          <cell r="A106" t="str">
            <v>MIPO002916</v>
          </cell>
          <cell r="B106" t="str">
            <v>210VCETG</v>
          </cell>
          <cell r="C106" t="str">
            <v>CETAGUA</v>
          </cell>
          <cell r="D106" t="str">
            <v>0991461337001</v>
          </cell>
          <cell r="E106" t="str">
            <v>767</v>
          </cell>
          <cell r="F106" t="str">
            <v>17/05/2004</v>
          </cell>
          <cell r="G106">
            <v>1530</v>
          </cell>
          <cell r="H106">
            <v>183.6</v>
          </cell>
          <cell r="I106">
            <v>55.08</v>
          </cell>
          <cell r="J106" t="str">
            <v>MIPO002916</v>
          </cell>
          <cell r="K106" t="str">
            <v>VC3</v>
          </cell>
          <cell r="L106" t="str">
            <v>SOCIEDAD</v>
          </cell>
          <cell r="N106">
            <v>9</v>
          </cell>
        </row>
        <row r="107">
          <cell r="A107" t="str">
            <v>MIPO002905</v>
          </cell>
          <cell r="B107" t="str">
            <v>210VCETG</v>
          </cell>
          <cell r="C107" t="str">
            <v>CETAGUA</v>
          </cell>
          <cell r="D107" t="str">
            <v>0991461337001</v>
          </cell>
          <cell r="E107" t="str">
            <v>765</v>
          </cell>
          <cell r="F107" t="str">
            <v>17/05/2004</v>
          </cell>
          <cell r="G107">
            <v>218.67</v>
          </cell>
          <cell r="H107">
            <v>26.24</v>
          </cell>
          <cell r="I107">
            <v>7.87</v>
          </cell>
          <cell r="J107" t="str">
            <v>MIPO002905</v>
          </cell>
          <cell r="K107" t="str">
            <v>VC3</v>
          </cell>
          <cell r="L107" t="str">
            <v>SOCIEDAD</v>
          </cell>
          <cell r="N107">
            <v>9</v>
          </cell>
        </row>
        <row r="108">
          <cell r="A108" t="str">
            <v>MIPO002899</v>
          </cell>
          <cell r="B108" t="str">
            <v>210VCODE</v>
          </cell>
          <cell r="C108" t="str">
            <v>Codemel</v>
          </cell>
          <cell r="D108" t="str">
            <v>1201201652001</v>
          </cell>
          <cell r="E108" t="str">
            <v>7318</v>
          </cell>
          <cell r="F108" t="str">
            <v>17/05/2004</v>
          </cell>
          <cell r="G108">
            <v>129.66999999999999</v>
          </cell>
          <cell r="H108">
            <v>15.560399999999998</v>
          </cell>
          <cell r="I108">
            <v>4.67</v>
          </cell>
          <cell r="J108" t="str">
            <v>MIPO002899</v>
          </cell>
          <cell r="K108" t="str">
            <v>VC3</v>
          </cell>
          <cell r="L108" t="str">
            <v>P. NATURAL</v>
          </cell>
          <cell r="N108">
            <v>0</v>
          </cell>
        </row>
        <row r="109">
          <cell r="A109" t="str">
            <v>MIPC001270</v>
          </cell>
          <cell r="B109" t="str">
            <v>210VCOLO</v>
          </cell>
          <cell r="C109" t="str">
            <v>COLORARTE</v>
          </cell>
          <cell r="D109" t="str">
            <v>0600704472001</v>
          </cell>
          <cell r="E109" t="str">
            <v>205</v>
          </cell>
          <cell r="F109" t="str">
            <v>24/05/2004</v>
          </cell>
          <cell r="G109">
            <v>394.83</v>
          </cell>
          <cell r="H109">
            <v>47.379599999999996</v>
          </cell>
          <cell r="I109">
            <v>14.21</v>
          </cell>
          <cell r="J109" t="str">
            <v>MIPC001270</v>
          </cell>
          <cell r="K109" t="str">
            <v>VC3</v>
          </cell>
          <cell r="L109" t="str">
            <v>P. NATURAL</v>
          </cell>
          <cell r="N109">
            <v>0</v>
          </cell>
        </row>
        <row r="110">
          <cell r="A110" t="str">
            <v>MIPC001244</v>
          </cell>
          <cell r="B110" t="str">
            <v>210VCORO</v>
          </cell>
          <cell r="C110" t="str">
            <v>Comercial Rocio</v>
          </cell>
          <cell r="D110" t="str">
            <v>0600309397001</v>
          </cell>
          <cell r="E110" t="str">
            <v>11724</v>
          </cell>
          <cell r="F110" t="str">
            <v>03/05/2004</v>
          </cell>
          <cell r="G110">
            <v>45.75</v>
          </cell>
          <cell r="H110">
            <v>5.49</v>
          </cell>
          <cell r="I110">
            <v>1.65</v>
          </cell>
          <cell r="J110" t="str">
            <v>MIPC001244</v>
          </cell>
          <cell r="K110" t="str">
            <v>VC3</v>
          </cell>
          <cell r="L110" t="str">
            <v>P. NATURAL</v>
          </cell>
          <cell r="M110" t="str">
            <v>0000010806</v>
          </cell>
          <cell r="N110">
            <v>0</v>
          </cell>
        </row>
        <row r="111">
          <cell r="A111" t="str">
            <v>MIPC001260</v>
          </cell>
          <cell r="B111" t="str">
            <v>210VCORO</v>
          </cell>
          <cell r="C111" t="str">
            <v>Comercial Rocio</v>
          </cell>
          <cell r="D111" t="str">
            <v>0600309397001</v>
          </cell>
          <cell r="E111" t="str">
            <v>11876</v>
          </cell>
          <cell r="F111" t="str">
            <v>17/05/2004</v>
          </cell>
          <cell r="G111">
            <v>405.08</v>
          </cell>
          <cell r="H111">
            <v>48.609599999999993</v>
          </cell>
          <cell r="I111">
            <v>14.58</v>
          </cell>
          <cell r="J111" t="str">
            <v>MIPC001260</v>
          </cell>
          <cell r="K111" t="str">
            <v>VC3</v>
          </cell>
          <cell r="L111" t="str">
            <v>P. NATURAL</v>
          </cell>
          <cell r="N111">
            <v>0</v>
          </cell>
        </row>
        <row r="112">
          <cell r="A112" t="str">
            <v>MIPO002763</v>
          </cell>
          <cell r="B112" t="str">
            <v>210VCOMC</v>
          </cell>
          <cell r="C112" t="str">
            <v>CompuCal</v>
          </cell>
          <cell r="D112" t="str">
            <v>0102517558001</v>
          </cell>
          <cell r="E112" t="str">
            <v>14306</v>
          </cell>
          <cell r="F112" t="str">
            <v>17/05/2004</v>
          </cell>
          <cell r="G112">
            <v>96</v>
          </cell>
          <cell r="H112">
            <v>11.52</v>
          </cell>
          <cell r="I112">
            <v>3.46</v>
          </cell>
          <cell r="J112" t="str">
            <v>MIPO002763</v>
          </cell>
          <cell r="K112" t="str">
            <v>VC3</v>
          </cell>
          <cell r="L112" t="str">
            <v>P. NATURAL</v>
          </cell>
          <cell r="M112" t="str">
            <v>0000010859</v>
          </cell>
          <cell r="N112">
            <v>0</v>
          </cell>
        </row>
        <row r="113">
          <cell r="A113" t="str">
            <v>MIPO002880</v>
          </cell>
          <cell r="B113" t="str">
            <v>210VCOMC</v>
          </cell>
          <cell r="C113" t="str">
            <v>CompuCal</v>
          </cell>
          <cell r="D113" t="str">
            <v>0102517558001</v>
          </cell>
          <cell r="E113" t="str">
            <v>14186</v>
          </cell>
          <cell r="F113" t="str">
            <v>10/05/2004</v>
          </cell>
          <cell r="G113">
            <v>524.41999999999996</v>
          </cell>
          <cell r="H113">
            <v>62.930399999999992</v>
          </cell>
          <cell r="I113">
            <v>18.88</v>
          </cell>
          <cell r="J113" t="str">
            <v>MIPO002880</v>
          </cell>
          <cell r="K113" t="str">
            <v>VC3</v>
          </cell>
          <cell r="L113" t="str">
            <v>P. NATURAL</v>
          </cell>
          <cell r="N113">
            <v>0</v>
          </cell>
        </row>
        <row r="114">
          <cell r="A114" t="str">
            <v>MIPO002782</v>
          </cell>
          <cell r="B114" t="str">
            <v>210VOTRO</v>
          </cell>
          <cell r="C114" t="str">
            <v>CONFORT LINE</v>
          </cell>
          <cell r="D114" t="str">
            <v>1708464761001</v>
          </cell>
          <cell r="E114" t="str">
            <v>724</v>
          </cell>
          <cell r="F114" t="str">
            <v>03/05/2004</v>
          </cell>
          <cell r="G114">
            <v>1500</v>
          </cell>
          <cell r="H114">
            <v>180</v>
          </cell>
          <cell r="I114">
            <v>54</v>
          </cell>
          <cell r="J114" t="str">
            <v>MIPO002782</v>
          </cell>
          <cell r="K114" t="str">
            <v>VC3</v>
          </cell>
          <cell r="L114" t="str">
            <v>P. NATURAL</v>
          </cell>
          <cell r="M114" t="str">
            <v>0000010693</v>
          </cell>
          <cell r="N114">
            <v>0</v>
          </cell>
        </row>
        <row r="115">
          <cell r="A115" t="str">
            <v>MIPO002851</v>
          </cell>
          <cell r="B115" t="str">
            <v>210VCUCA</v>
          </cell>
          <cell r="C115" t="str">
            <v>Cucasa</v>
          </cell>
          <cell r="D115" t="str">
            <v>1790294609001</v>
          </cell>
          <cell r="E115" t="str">
            <v>94788</v>
          </cell>
          <cell r="G115">
            <v>2278.5</v>
          </cell>
          <cell r="H115">
            <v>273.42</v>
          </cell>
          <cell r="J115" t="str">
            <v>MIPO002851</v>
          </cell>
          <cell r="K115" t="str">
            <v>RC1</v>
          </cell>
          <cell r="L115" t="str">
            <v>SOCIEDAD</v>
          </cell>
          <cell r="M115" t="str">
            <v>0000010807</v>
          </cell>
          <cell r="N115">
            <v>9</v>
          </cell>
          <cell r="Q115" t="str">
            <v>VCUCA</v>
          </cell>
        </row>
        <row r="116">
          <cell r="A116" t="str">
            <v>MIPO002884</v>
          </cell>
          <cell r="B116" t="str">
            <v>210VCUCA</v>
          </cell>
          <cell r="C116" t="str">
            <v>Cucasa</v>
          </cell>
          <cell r="D116" t="str">
            <v>1790294609001</v>
          </cell>
          <cell r="E116" t="str">
            <v>95248</v>
          </cell>
          <cell r="G116">
            <v>253.58</v>
          </cell>
          <cell r="H116">
            <v>30.429600000000001</v>
          </cell>
          <cell r="J116" t="str">
            <v>MIPO002884</v>
          </cell>
          <cell r="K116" t="str">
            <v>RC1</v>
          </cell>
          <cell r="L116" t="str">
            <v>SOCIEDAD</v>
          </cell>
          <cell r="M116" t="str">
            <v>0000010807</v>
          </cell>
          <cell r="N116">
            <v>9</v>
          </cell>
          <cell r="Q116" t="str">
            <v>VCUCA</v>
          </cell>
        </row>
        <row r="117">
          <cell r="A117" t="str">
            <v>MIPO002910</v>
          </cell>
          <cell r="B117" t="str">
            <v>210VCUCA</v>
          </cell>
          <cell r="C117" t="str">
            <v>Cucasa</v>
          </cell>
          <cell r="D117" t="str">
            <v>1790294609001</v>
          </cell>
          <cell r="E117" t="str">
            <v>96366</v>
          </cell>
          <cell r="G117">
            <v>1971.33</v>
          </cell>
          <cell r="H117">
            <v>236.55959999999999</v>
          </cell>
          <cell r="J117" t="str">
            <v>MIPO002910</v>
          </cell>
          <cell r="K117" t="str">
            <v>RC1</v>
          </cell>
          <cell r="L117" t="str">
            <v>SOCIEDAD</v>
          </cell>
          <cell r="N117">
            <v>9</v>
          </cell>
          <cell r="Q117" t="str">
            <v>VCUCA</v>
          </cell>
        </row>
        <row r="118">
          <cell r="A118" t="str">
            <v>MIPO002897</v>
          </cell>
          <cell r="B118" t="str">
            <v>210VGCS</v>
          </cell>
          <cell r="C118" t="str">
            <v>Distribuidora GCS</v>
          </cell>
          <cell r="D118" t="str">
            <v>1701164566001</v>
          </cell>
          <cell r="E118" t="str">
            <v>1239</v>
          </cell>
          <cell r="F118" t="str">
            <v>10/05/2004</v>
          </cell>
          <cell r="G118">
            <v>524.33000000000004</v>
          </cell>
          <cell r="H118">
            <v>62.92</v>
          </cell>
          <cell r="I118">
            <v>18.88</v>
          </cell>
          <cell r="J118" t="str">
            <v>MIPO002897</v>
          </cell>
          <cell r="K118" t="str">
            <v>VC3</v>
          </cell>
          <cell r="L118" t="str">
            <v>P. NATURAL</v>
          </cell>
          <cell r="M118" t="str">
            <v>0000010864</v>
          </cell>
          <cell r="N118">
            <v>0</v>
          </cell>
        </row>
        <row r="119">
          <cell r="A119" t="str">
            <v>MIPC001257</v>
          </cell>
          <cell r="B119" t="str">
            <v>210VSOLG</v>
          </cell>
          <cell r="C119" t="str">
            <v>EQUISOLGAS</v>
          </cell>
          <cell r="D119" t="str">
            <v>1713320446001</v>
          </cell>
          <cell r="E119" t="str">
            <v>215</v>
          </cell>
          <cell r="F119" t="str">
            <v>10/05/2004</v>
          </cell>
          <cell r="G119">
            <v>590</v>
          </cell>
          <cell r="H119">
            <v>70.8</v>
          </cell>
          <cell r="I119">
            <v>21.24</v>
          </cell>
          <cell r="J119" t="str">
            <v>MIPC001257</v>
          </cell>
          <cell r="K119" t="str">
            <v>VC3</v>
          </cell>
          <cell r="L119" t="str">
            <v>P. NATURAL</v>
          </cell>
          <cell r="M119" t="str">
            <v>0000010862</v>
          </cell>
          <cell r="N119">
            <v>1</v>
          </cell>
        </row>
        <row r="120">
          <cell r="A120" t="str">
            <v>MIPC001243</v>
          </cell>
          <cell r="B120" t="str">
            <v>210VFERS</v>
          </cell>
          <cell r="C120" t="str">
            <v>FERRETERIA SCHLUMBER</v>
          </cell>
          <cell r="D120" t="str">
            <v>1308371408001</v>
          </cell>
          <cell r="E120" t="str">
            <v>731</v>
          </cell>
          <cell r="F120" t="str">
            <v>26/04/2004</v>
          </cell>
          <cell r="G120">
            <v>78.33</v>
          </cell>
          <cell r="H120">
            <v>9.4</v>
          </cell>
          <cell r="I120">
            <v>2.82</v>
          </cell>
          <cell r="J120" t="str">
            <v>MIPC001243</v>
          </cell>
          <cell r="K120" t="str">
            <v>VC3</v>
          </cell>
          <cell r="L120" t="str">
            <v>P. NATURAL</v>
          </cell>
          <cell r="M120" t="str">
            <v>0000010813</v>
          </cell>
          <cell r="N120">
            <v>0</v>
          </cell>
        </row>
        <row r="121">
          <cell r="A121" t="str">
            <v>MIPC001246</v>
          </cell>
          <cell r="B121" t="str">
            <v>210VFERS</v>
          </cell>
          <cell r="C121" t="str">
            <v>FERRETERIA SCHLUMBER</v>
          </cell>
          <cell r="D121" t="str">
            <v>1308371408001</v>
          </cell>
          <cell r="E121" t="str">
            <v>739</v>
          </cell>
          <cell r="F121" t="str">
            <v>03/05/2004</v>
          </cell>
          <cell r="G121">
            <v>29</v>
          </cell>
          <cell r="H121">
            <v>3.48</v>
          </cell>
          <cell r="I121">
            <v>1.04</v>
          </cell>
          <cell r="J121" t="str">
            <v>MIPC001246</v>
          </cell>
          <cell r="K121" t="str">
            <v>VC3</v>
          </cell>
          <cell r="L121" t="str">
            <v>P. NATURAL</v>
          </cell>
          <cell r="M121" t="str">
            <v>0000010813</v>
          </cell>
          <cell r="N121">
            <v>0</v>
          </cell>
        </row>
        <row r="122">
          <cell r="A122" t="str">
            <v>MIPC001254</v>
          </cell>
          <cell r="B122" t="str">
            <v>210VFERS</v>
          </cell>
          <cell r="C122" t="str">
            <v>FERRETERIA SCHLUMBER</v>
          </cell>
          <cell r="D122" t="str">
            <v>1308371408001</v>
          </cell>
          <cell r="E122" t="str">
            <v>759</v>
          </cell>
          <cell r="F122" t="str">
            <v>10/05/2004</v>
          </cell>
          <cell r="G122">
            <v>85</v>
          </cell>
          <cell r="H122">
            <v>10.199999999999999</v>
          </cell>
          <cell r="I122">
            <v>3.06</v>
          </cell>
          <cell r="J122" t="str">
            <v>MIPC001254</v>
          </cell>
          <cell r="K122" t="str">
            <v>VC3</v>
          </cell>
          <cell r="L122" t="str">
            <v>P. NATURAL</v>
          </cell>
          <cell r="M122" t="str">
            <v>0000010813</v>
          </cell>
          <cell r="N122">
            <v>0</v>
          </cell>
        </row>
        <row r="123">
          <cell r="A123" t="str">
            <v>MIPC001271</v>
          </cell>
          <cell r="B123" t="str">
            <v>210VFERS</v>
          </cell>
          <cell r="C123" t="str">
            <v>FERRETERIA SCHLUMBER</v>
          </cell>
          <cell r="D123" t="str">
            <v>1308371408001</v>
          </cell>
          <cell r="E123" t="str">
            <v>769</v>
          </cell>
          <cell r="F123" t="str">
            <v>24/05/2004</v>
          </cell>
          <cell r="G123">
            <v>47.58</v>
          </cell>
          <cell r="H123">
            <v>5.7089999999999996</v>
          </cell>
          <cell r="I123">
            <v>1.71</v>
          </cell>
          <cell r="J123" t="str">
            <v>MIPC001271</v>
          </cell>
          <cell r="K123" t="str">
            <v>VC3</v>
          </cell>
          <cell r="L123" t="str">
            <v>P. NATURAL</v>
          </cell>
          <cell r="N123">
            <v>0</v>
          </cell>
        </row>
        <row r="124">
          <cell r="A124" t="str">
            <v>MIPC001276</v>
          </cell>
          <cell r="B124" t="str">
            <v>210VFERS</v>
          </cell>
          <cell r="C124" t="str">
            <v>FERRETERIA SCHLUMBER</v>
          </cell>
          <cell r="D124" t="str">
            <v>1308371408001</v>
          </cell>
          <cell r="E124" t="str">
            <v>772</v>
          </cell>
          <cell r="F124" t="str">
            <v>25/05/2004</v>
          </cell>
          <cell r="G124">
            <v>24</v>
          </cell>
          <cell r="H124">
            <v>2.88</v>
          </cell>
          <cell r="I124">
            <v>0.86</v>
          </cell>
          <cell r="J124" t="str">
            <v>MIPC001276</v>
          </cell>
          <cell r="K124" t="str">
            <v>VC3</v>
          </cell>
          <cell r="L124" t="str">
            <v>P. NATURAL</v>
          </cell>
          <cell r="N124">
            <v>0</v>
          </cell>
        </row>
        <row r="125">
          <cell r="A125" t="str">
            <v>MIPC001253</v>
          </cell>
          <cell r="B125" t="str">
            <v>210VFER1</v>
          </cell>
          <cell r="C125" t="str">
            <v>Ferrocolor</v>
          </cell>
          <cell r="D125" t="str">
            <v>1707336341001</v>
          </cell>
          <cell r="E125" t="str">
            <v>5232</v>
          </cell>
          <cell r="F125" t="str">
            <v>03/05/2004</v>
          </cell>
          <cell r="G125">
            <v>246.5</v>
          </cell>
          <cell r="H125">
            <v>29.58</v>
          </cell>
          <cell r="I125">
            <v>8.8699999999999992</v>
          </cell>
          <cell r="J125" t="str">
            <v>MIPC001253</v>
          </cell>
          <cell r="K125" t="str">
            <v>VC3</v>
          </cell>
          <cell r="L125" t="str">
            <v>P. NATURAL</v>
          </cell>
          <cell r="M125" t="str">
            <v>0000010812</v>
          </cell>
          <cell r="N125">
            <v>0</v>
          </cell>
        </row>
        <row r="126">
          <cell r="A126" t="str">
            <v>MIPC001245</v>
          </cell>
          <cell r="B126" t="str">
            <v>210VFER1</v>
          </cell>
          <cell r="C126" t="str">
            <v>Ferrocolor</v>
          </cell>
          <cell r="D126" t="str">
            <v>1707336341001</v>
          </cell>
          <cell r="E126" t="str">
            <v>5206</v>
          </cell>
          <cell r="F126" t="str">
            <v>03/05/2004</v>
          </cell>
          <cell r="G126">
            <v>96</v>
          </cell>
          <cell r="H126">
            <v>11.52</v>
          </cell>
          <cell r="I126">
            <v>3.46</v>
          </cell>
          <cell r="J126" t="str">
            <v>MIPC001245</v>
          </cell>
          <cell r="K126" t="str">
            <v>VC3</v>
          </cell>
          <cell r="L126" t="str">
            <v>P. NATURAL</v>
          </cell>
          <cell r="M126" t="str">
            <v>0000010812</v>
          </cell>
          <cell r="N126">
            <v>0</v>
          </cell>
        </row>
        <row r="127">
          <cell r="A127" t="str">
            <v>MIPC001252</v>
          </cell>
          <cell r="B127" t="str">
            <v>210VFER1</v>
          </cell>
          <cell r="C127" t="str">
            <v>Ferrocolor</v>
          </cell>
          <cell r="D127" t="str">
            <v>1707336341001</v>
          </cell>
          <cell r="E127" t="str">
            <v>5219</v>
          </cell>
          <cell r="F127" t="str">
            <v>03/05/2004</v>
          </cell>
          <cell r="G127">
            <v>403.16</v>
          </cell>
          <cell r="H127">
            <v>48.38</v>
          </cell>
          <cell r="I127">
            <v>14.51</v>
          </cell>
          <cell r="J127" t="str">
            <v>MIPC001252</v>
          </cell>
          <cell r="K127" t="str">
            <v>VC3</v>
          </cell>
          <cell r="L127" t="str">
            <v>P. NATURAL</v>
          </cell>
          <cell r="M127" t="str">
            <v>0000010812</v>
          </cell>
          <cell r="N127">
            <v>0</v>
          </cell>
        </row>
        <row r="128">
          <cell r="A128" t="str">
            <v>MIPC001264</v>
          </cell>
          <cell r="B128" t="str">
            <v>210VFER1</v>
          </cell>
          <cell r="C128" t="str">
            <v>Ferrocolor</v>
          </cell>
          <cell r="D128" t="str">
            <v>1707336341001</v>
          </cell>
          <cell r="E128" t="str">
            <v>5291</v>
          </cell>
          <cell r="F128" t="str">
            <v>17/05/2004</v>
          </cell>
          <cell r="G128">
            <v>205.33</v>
          </cell>
          <cell r="H128">
            <v>24.64</v>
          </cell>
          <cell r="I128">
            <v>7.39</v>
          </cell>
          <cell r="J128" t="str">
            <v>MIPC001264</v>
          </cell>
          <cell r="K128" t="str">
            <v>VC3</v>
          </cell>
          <cell r="L128" t="str">
            <v>P. NATURAL</v>
          </cell>
          <cell r="N128">
            <v>0</v>
          </cell>
        </row>
        <row r="129">
          <cell r="A129" t="str">
            <v>MIPC001262</v>
          </cell>
          <cell r="B129" t="str">
            <v>210VFER1</v>
          </cell>
          <cell r="C129" t="str">
            <v>Ferrocolor</v>
          </cell>
          <cell r="D129" t="str">
            <v>1707336341001</v>
          </cell>
          <cell r="E129" t="str">
            <v>5294</v>
          </cell>
          <cell r="F129" t="str">
            <v>24/05/2004</v>
          </cell>
          <cell r="G129">
            <v>244.75</v>
          </cell>
          <cell r="H129">
            <v>29.37</v>
          </cell>
          <cell r="I129">
            <v>8.81</v>
          </cell>
          <cell r="J129" t="str">
            <v>MIPC001262</v>
          </cell>
          <cell r="K129" t="str">
            <v>VC3</v>
          </cell>
          <cell r="L129" t="str">
            <v>P. NATURAL</v>
          </cell>
          <cell r="N129">
            <v>0</v>
          </cell>
        </row>
        <row r="130">
          <cell r="A130" t="str">
            <v>MIPC001266</v>
          </cell>
          <cell r="B130" t="str">
            <v>210VFER1</v>
          </cell>
          <cell r="C130" t="str">
            <v>Ferrocolor</v>
          </cell>
          <cell r="D130" t="str">
            <v>1707336341001</v>
          </cell>
          <cell r="E130" t="str">
            <v>5295</v>
          </cell>
          <cell r="F130" t="str">
            <v>24/05/2004</v>
          </cell>
          <cell r="G130">
            <v>39.159999999999997</v>
          </cell>
          <cell r="H130">
            <v>4.6950000000000003</v>
          </cell>
          <cell r="I130">
            <v>1.41</v>
          </cell>
          <cell r="J130" t="str">
            <v>MIPC001266</v>
          </cell>
          <cell r="K130" t="str">
            <v>VC3</v>
          </cell>
          <cell r="L130" t="str">
            <v>P. NATURAL</v>
          </cell>
          <cell r="N130">
            <v>0</v>
          </cell>
        </row>
        <row r="131">
          <cell r="A131" t="str">
            <v>MIPC001272</v>
          </cell>
          <cell r="B131" t="str">
            <v>210VFER1</v>
          </cell>
          <cell r="C131" t="str">
            <v>Ferrocolor</v>
          </cell>
          <cell r="D131" t="str">
            <v>1707336341001</v>
          </cell>
          <cell r="E131" t="str">
            <v>5306</v>
          </cell>
          <cell r="F131" t="str">
            <v>25/05/2004</v>
          </cell>
          <cell r="G131">
            <v>173</v>
          </cell>
          <cell r="H131">
            <v>20.76</v>
          </cell>
          <cell r="I131">
            <v>6.23</v>
          </cell>
          <cell r="J131" t="str">
            <v>MIPC001272</v>
          </cell>
          <cell r="K131" t="str">
            <v>VC3</v>
          </cell>
          <cell r="L131" t="str">
            <v>P. NATURAL</v>
          </cell>
          <cell r="N131">
            <v>0</v>
          </cell>
        </row>
        <row r="132">
          <cell r="A132" t="str">
            <v>MIPO002904</v>
          </cell>
          <cell r="B132" t="str">
            <v>210VOTRO</v>
          </cell>
          <cell r="C132" t="str">
            <v>Foto Uno Service Bureau S.A.</v>
          </cell>
          <cell r="D132" t="str">
            <v>1791877446001</v>
          </cell>
          <cell r="E132" t="str">
            <v>2048</v>
          </cell>
          <cell r="F132" t="str">
            <v>17/05/2004</v>
          </cell>
          <cell r="G132">
            <v>81.5</v>
          </cell>
          <cell r="H132">
            <v>9.7799999999999994</v>
          </cell>
          <cell r="I132">
            <v>2.93</v>
          </cell>
          <cell r="J132" t="str">
            <v>MIPO002904</v>
          </cell>
          <cell r="K132" t="str">
            <v>VC3</v>
          </cell>
          <cell r="L132" t="str">
            <v>SOCIEDAD</v>
          </cell>
          <cell r="N132">
            <v>9</v>
          </cell>
        </row>
        <row r="133">
          <cell r="A133" t="str">
            <v>MIPO002924</v>
          </cell>
          <cell r="B133" t="str">
            <v>210VOTRO</v>
          </cell>
          <cell r="C133" t="str">
            <v>Foto Uno Service Bureau S.A.</v>
          </cell>
          <cell r="D133" t="str">
            <v>1791877446001</v>
          </cell>
          <cell r="E133" t="str">
            <v>2138</v>
          </cell>
          <cell r="F133" t="str">
            <v>25/05/2004</v>
          </cell>
          <cell r="G133">
            <v>370</v>
          </cell>
          <cell r="H133">
            <v>44.4</v>
          </cell>
          <cell r="I133">
            <v>13.32</v>
          </cell>
          <cell r="J133" t="str">
            <v>MIPO002924</v>
          </cell>
          <cell r="K133" t="str">
            <v>VC3</v>
          </cell>
          <cell r="L133" t="str">
            <v>SOCIEDAD</v>
          </cell>
          <cell r="N133">
            <v>9</v>
          </cell>
        </row>
        <row r="134">
          <cell r="A134" t="str">
            <v>MIPO002868</v>
          </cell>
          <cell r="B134" t="str">
            <v>210VSCHW</v>
          </cell>
          <cell r="C134" t="str">
            <v>FROILAN SCHWEITZER</v>
          </cell>
          <cell r="D134" t="str">
            <v>1705577433001</v>
          </cell>
          <cell r="E134" t="str">
            <v>151</v>
          </cell>
          <cell r="F134" t="str">
            <v>25/05/2004</v>
          </cell>
          <cell r="G134">
            <v>5760</v>
          </cell>
          <cell r="H134">
            <v>691.2</v>
          </cell>
          <cell r="I134">
            <v>207.36</v>
          </cell>
          <cell r="J134" t="str">
            <v>MIPO002868</v>
          </cell>
          <cell r="K134" t="str">
            <v>VC3</v>
          </cell>
          <cell r="L134" t="str">
            <v>P. NATURAL</v>
          </cell>
          <cell r="N134">
            <v>0</v>
          </cell>
        </row>
        <row r="135">
          <cell r="A135" t="str">
            <v>MIPO002895</v>
          </cell>
          <cell r="B135" t="str">
            <v>210VGAMA</v>
          </cell>
          <cell r="C135" t="str">
            <v>Gama Cia.Ltda.</v>
          </cell>
          <cell r="D135" t="str">
            <v>1790004643001</v>
          </cell>
          <cell r="E135" t="str">
            <v>21551</v>
          </cell>
          <cell r="F135" t="str">
            <v>10/05/2004</v>
          </cell>
          <cell r="G135">
            <v>119.42</v>
          </cell>
          <cell r="H135">
            <v>14.33</v>
          </cell>
          <cell r="I135">
            <v>4.3</v>
          </cell>
          <cell r="J135" t="str">
            <v>MIPO002895</v>
          </cell>
          <cell r="K135" t="str">
            <v>VC3</v>
          </cell>
          <cell r="L135" t="str">
            <v>SOCIEDAD</v>
          </cell>
          <cell r="M135" t="str">
            <v>0000010866</v>
          </cell>
          <cell r="N135">
            <v>9</v>
          </cell>
        </row>
        <row r="136">
          <cell r="A136" t="str">
            <v>MIPO002896</v>
          </cell>
          <cell r="B136" t="str">
            <v>210VGAMA</v>
          </cell>
          <cell r="C136" t="str">
            <v>Gama Cia.Ltda.</v>
          </cell>
          <cell r="D136" t="str">
            <v>1790004643001</v>
          </cell>
          <cell r="E136" t="str">
            <v>21552</v>
          </cell>
          <cell r="F136" t="str">
            <v>10/05/2004</v>
          </cell>
          <cell r="G136">
            <v>42.67</v>
          </cell>
          <cell r="H136">
            <v>5.12</v>
          </cell>
          <cell r="I136">
            <v>1.54</v>
          </cell>
          <cell r="J136" t="str">
            <v>MIPO002896</v>
          </cell>
          <cell r="K136" t="str">
            <v>VC3</v>
          </cell>
          <cell r="L136" t="str">
            <v>SOCIEDAD</v>
          </cell>
          <cell r="M136" t="str">
            <v>0000010866</v>
          </cell>
          <cell r="N136">
            <v>9</v>
          </cell>
        </row>
        <row r="137">
          <cell r="A137" t="str">
            <v>MIPO002858</v>
          </cell>
          <cell r="B137" t="str">
            <v>210VULLG</v>
          </cell>
          <cell r="C137" t="str">
            <v>GENOVEVA ULLOA</v>
          </cell>
          <cell r="D137" t="str">
            <v>1712993771001</v>
          </cell>
          <cell r="E137" t="str">
            <v>234</v>
          </cell>
          <cell r="F137" t="str">
            <v>10/05/2004</v>
          </cell>
          <cell r="G137">
            <v>51</v>
          </cell>
          <cell r="H137">
            <v>6.12</v>
          </cell>
          <cell r="I137">
            <v>1.84</v>
          </cell>
          <cell r="J137" t="str">
            <v>MIPO002858</v>
          </cell>
          <cell r="K137" t="str">
            <v>VC3</v>
          </cell>
          <cell r="L137" t="str">
            <v>P. NATURAL</v>
          </cell>
          <cell r="M137" t="str">
            <v>0000010874</v>
          </cell>
          <cell r="N137">
            <v>1</v>
          </cell>
        </row>
        <row r="138">
          <cell r="A138" t="str">
            <v>MIPO002867</v>
          </cell>
          <cell r="B138" t="str">
            <v>210VGLOQ</v>
          </cell>
          <cell r="C138" t="str">
            <v>GLOBAL QUIMICOS</v>
          </cell>
          <cell r="D138" t="str">
            <v>1791827317001</v>
          </cell>
          <cell r="E138" t="str">
            <v>3089</v>
          </cell>
          <cell r="F138" t="str">
            <v>25/05/2004</v>
          </cell>
          <cell r="G138">
            <v>3836</v>
          </cell>
          <cell r="H138">
            <v>460.32</v>
          </cell>
          <cell r="I138">
            <v>138.1</v>
          </cell>
          <cell r="J138" t="str">
            <v>MIPO002867</v>
          </cell>
          <cell r="K138" t="str">
            <v>VC3</v>
          </cell>
          <cell r="L138" t="str">
            <v>SOCIEDAD</v>
          </cell>
          <cell r="N138">
            <v>9</v>
          </cell>
        </row>
        <row r="139">
          <cell r="A139" t="str">
            <v>MIPO002842</v>
          </cell>
          <cell r="B139" t="str">
            <v>210VHDM</v>
          </cell>
          <cell r="C139" t="str">
            <v>Hdm</v>
          </cell>
          <cell r="D139" t="str">
            <v>1790990842001</v>
          </cell>
          <cell r="E139" t="str">
            <v>4393</v>
          </cell>
          <cell r="F139" t="str">
            <v>03/05/2004</v>
          </cell>
          <cell r="G139">
            <v>238.25</v>
          </cell>
          <cell r="H139">
            <v>28.59</v>
          </cell>
          <cell r="I139">
            <v>8.58</v>
          </cell>
          <cell r="J139" t="str">
            <v>MIPO002842</v>
          </cell>
          <cell r="K139" t="str">
            <v>VC3</v>
          </cell>
          <cell r="L139" t="str">
            <v>SOCIEDAD</v>
          </cell>
          <cell r="M139" t="str">
            <v>0000010788</v>
          </cell>
          <cell r="N139">
            <v>9</v>
          </cell>
        </row>
        <row r="140">
          <cell r="A140" t="str">
            <v>MIPO002865</v>
          </cell>
          <cell r="B140" t="str">
            <v>210VILCH</v>
          </cell>
          <cell r="C140" t="str">
            <v>ILCH</v>
          </cell>
          <cell r="D140" t="str">
            <v>1705323952001</v>
          </cell>
          <cell r="E140" t="str">
            <v>2948</v>
          </cell>
          <cell r="F140" t="str">
            <v>10/05/2004</v>
          </cell>
          <cell r="G140">
            <v>250.08</v>
          </cell>
          <cell r="H140">
            <v>30.01</v>
          </cell>
          <cell r="I140">
            <v>9</v>
          </cell>
          <cell r="J140" t="str">
            <v>MIPO002865</v>
          </cell>
          <cell r="K140" t="str">
            <v>VC3</v>
          </cell>
          <cell r="L140" t="str">
            <v>P. NATURAL</v>
          </cell>
          <cell r="N140">
            <v>0</v>
          </cell>
        </row>
        <row r="141">
          <cell r="A141" t="str">
            <v>MIPO002917</v>
          </cell>
          <cell r="B141" t="str">
            <v>210VILCH</v>
          </cell>
          <cell r="C141" t="str">
            <v>ILCH</v>
          </cell>
          <cell r="D141" t="str">
            <v>1705323952001</v>
          </cell>
          <cell r="E141" t="str">
            <v>2968</v>
          </cell>
          <cell r="F141" t="str">
            <v>17/05/2004</v>
          </cell>
          <cell r="G141">
            <v>218</v>
          </cell>
          <cell r="H141">
            <v>26.16</v>
          </cell>
          <cell r="I141">
            <v>7.85</v>
          </cell>
          <cell r="J141" t="str">
            <v>MIPO002917</v>
          </cell>
          <cell r="K141" t="str">
            <v>VC3</v>
          </cell>
          <cell r="L141" t="str">
            <v>P. NATURAL</v>
          </cell>
          <cell r="N141">
            <v>0</v>
          </cell>
        </row>
        <row r="142">
          <cell r="A142" t="str">
            <v>MIPO002909</v>
          </cell>
          <cell r="B142" t="str">
            <v>210VILCH</v>
          </cell>
          <cell r="C142" t="str">
            <v>ILCH</v>
          </cell>
          <cell r="D142" t="str">
            <v>1705323952001</v>
          </cell>
          <cell r="E142" t="str">
            <v>2967</v>
          </cell>
          <cell r="F142" t="str">
            <v>17/05/2004</v>
          </cell>
          <cell r="G142">
            <v>101.416</v>
          </cell>
          <cell r="H142">
            <v>12.17</v>
          </cell>
          <cell r="I142">
            <v>3.65</v>
          </cell>
          <cell r="J142" t="str">
            <v>MIPO002909</v>
          </cell>
          <cell r="K142" t="str">
            <v>VC3</v>
          </cell>
          <cell r="L142" t="str">
            <v>P. NATURAL</v>
          </cell>
          <cell r="N142">
            <v>0</v>
          </cell>
        </row>
        <row r="143">
          <cell r="A143" t="str">
            <v>MIPC001240</v>
          </cell>
          <cell r="B143" t="str">
            <v>210VINDM</v>
          </cell>
          <cell r="C143" t="str">
            <v>Industrial Marco</v>
          </cell>
          <cell r="D143" t="str">
            <v>1712039237001</v>
          </cell>
          <cell r="E143" t="str">
            <v>1720</v>
          </cell>
          <cell r="F143" t="str">
            <v>26/04/2004</v>
          </cell>
          <cell r="G143">
            <v>350</v>
          </cell>
          <cell r="H143">
            <v>42</v>
          </cell>
          <cell r="I143">
            <v>12.6</v>
          </cell>
          <cell r="J143" t="str">
            <v>MIPC001240</v>
          </cell>
          <cell r="K143" t="str">
            <v>VC3</v>
          </cell>
          <cell r="L143" t="str">
            <v>P. NATURAL</v>
          </cell>
          <cell r="M143" t="str">
            <v>0000010819</v>
          </cell>
          <cell r="N143">
            <v>1</v>
          </cell>
        </row>
        <row r="144">
          <cell r="A144" t="str">
            <v>MIPC001242</v>
          </cell>
          <cell r="B144" t="str">
            <v>210VINDM</v>
          </cell>
          <cell r="C144" t="str">
            <v>Industrial Marco</v>
          </cell>
          <cell r="D144" t="str">
            <v>1712039237001</v>
          </cell>
          <cell r="E144" t="str">
            <v>1721</v>
          </cell>
          <cell r="F144" t="str">
            <v>26/04/2004</v>
          </cell>
          <cell r="G144">
            <v>26</v>
          </cell>
          <cell r="H144">
            <v>3.12</v>
          </cell>
          <cell r="I144">
            <v>0.94</v>
          </cell>
          <cell r="J144" t="str">
            <v>MIPC001242</v>
          </cell>
          <cell r="K144" t="str">
            <v>VC3</v>
          </cell>
          <cell r="L144" t="str">
            <v>P. NATURAL</v>
          </cell>
          <cell r="M144" t="str">
            <v>0000010819</v>
          </cell>
          <cell r="N144">
            <v>1</v>
          </cell>
        </row>
        <row r="145">
          <cell r="A145" t="str">
            <v>MIPC001255</v>
          </cell>
          <cell r="B145" t="str">
            <v>210VINDM</v>
          </cell>
          <cell r="C145" t="str">
            <v>Industrial Marco</v>
          </cell>
          <cell r="D145" t="str">
            <v>1712039237001</v>
          </cell>
          <cell r="E145" t="str">
            <v>1740</v>
          </cell>
          <cell r="F145" t="str">
            <v>10/05/2004</v>
          </cell>
          <cell r="G145">
            <v>199</v>
          </cell>
          <cell r="H145">
            <v>23.88</v>
          </cell>
          <cell r="I145">
            <v>7.16</v>
          </cell>
          <cell r="J145" t="str">
            <v>MIPC001255</v>
          </cell>
          <cell r="K145" t="str">
            <v>VC3</v>
          </cell>
          <cell r="L145" t="str">
            <v>P. NATURAL</v>
          </cell>
          <cell r="M145" t="str">
            <v>0000010819</v>
          </cell>
          <cell r="N145">
            <v>1</v>
          </cell>
        </row>
        <row r="146">
          <cell r="A146" t="str">
            <v>MIPO002921</v>
          </cell>
          <cell r="B146" t="str">
            <v>210VINDM</v>
          </cell>
          <cell r="C146" t="str">
            <v>Industrial Marco</v>
          </cell>
          <cell r="D146" t="str">
            <v>1712039237001</v>
          </cell>
          <cell r="E146" t="str">
            <v>1730</v>
          </cell>
          <cell r="F146" t="str">
            <v>14/05/2004</v>
          </cell>
          <cell r="G146">
            <v>799.16600000000005</v>
          </cell>
          <cell r="H146">
            <v>95.9</v>
          </cell>
          <cell r="I146">
            <v>28.77</v>
          </cell>
          <cell r="J146" t="str">
            <v>MIPO002921</v>
          </cell>
          <cell r="K146" t="str">
            <v>VC3</v>
          </cell>
          <cell r="L146" t="str">
            <v>P. NATURAL</v>
          </cell>
          <cell r="M146" t="str">
            <v>0000010819</v>
          </cell>
          <cell r="N146">
            <v>1</v>
          </cell>
        </row>
        <row r="147">
          <cell r="A147" t="str">
            <v>MIPC001263</v>
          </cell>
          <cell r="B147" t="str">
            <v>210VINDM</v>
          </cell>
          <cell r="C147" t="str">
            <v>Industrial Marco</v>
          </cell>
          <cell r="D147" t="str">
            <v>1712039237001</v>
          </cell>
          <cell r="E147" t="str">
            <v>1746</v>
          </cell>
          <cell r="F147" t="str">
            <v>24/05/2004</v>
          </cell>
          <cell r="G147">
            <v>96</v>
          </cell>
          <cell r="H147">
            <v>11.52</v>
          </cell>
          <cell r="I147">
            <v>3.46</v>
          </cell>
          <cell r="J147" t="str">
            <v>MIPC001263</v>
          </cell>
          <cell r="K147" t="str">
            <v>VC3</v>
          </cell>
          <cell r="L147" t="str">
            <v>P. NATURAL</v>
          </cell>
          <cell r="N147">
            <v>1</v>
          </cell>
        </row>
        <row r="148">
          <cell r="A148" t="str">
            <v>MIPC001269</v>
          </cell>
          <cell r="B148" t="str">
            <v>210VINDM</v>
          </cell>
          <cell r="C148" t="str">
            <v>Industrial Marco</v>
          </cell>
          <cell r="D148" t="str">
            <v>1712039237001</v>
          </cell>
          <cell r="E148" t="str">
            <v>1747</v>
          </cell>
          <cell r="F148" t="str">
            <v>24/05/2004</v>
          </cell>
          <cell r="G148">
            <v>263</v>
          </cell>
          <cell r="H148">
            <v>31.56</v>
          </cell>
          <cell r="I148">
            <v>9.4700000000000006</v>
          </cell>
          <cell r="J148" t="str">
            <v>MIPC001269</v>
          </cell>
          <cell r="K148" t="str">
            <v>VC3</v>
          </cell>
          <cell r="L148" t="str">
            <v>P. NATURAL</v>
          </cell>
          <cell r="N148">
            <v>1</v>
          </cell>
        </row>
        <row r="149">
          <cell r="A149" t="str">
            <v>MIPC001275</v>
          </cell>
          <cell r="B149" t="str">
            <v>210VINDM</v>
          </cell>
          <cell r="C149" t="str">
            <v>Industrial Marco</v>
          </cell>
          <cell r="D149" t="str">
            <v>1712039237001</v>
          </cell>
          <cell r="E149" t="str">
            <v>1749</v>
          </cell>
          <cell r="F149" t="str">
            <v>25/05/2004</v>
          </cell>
          <cell r="G149">
            <v>360</v>
          </cell>
          <cell r="H149">
            <v>43.2</v>
          </cell>
          <cell r="I149">
            <v>12.96</v>
          </cell>
          <cell r="J149" t="str">
            <v>MIPC001275</v>
          </cell>
          <cell r="K149" t="str">
            <v>VC3</v>
          </cell>
          <cell r="L149" t="str">
            <v>P. NATURAL</v>
          </cell>
          <cell r="N149">
            <v>1</v>
          </cell>
        </row>
        <row r="150">
          <cell r="A150" t="str">
            <v>MIPC001237</v>
          </cell>
          <cell r="B150" t="str">
            <v>210VMAIF</v>
          </cell>
          <cell r="C150" t="str">
            <v>Mainfg S.A</v>
          </cell>
          <cell r="D150" t="str">
            <v>0991399682001</v>
          </cell>
          <cell r="E150" t="str">
            <v>1415</v>
          </cell>
          <cell r="F150" t="str">
            <v>03/05/2004</v>
          </cell>
          <cell r="G150">
            <v>449</v>
          </cell>
          <cell r="H150">
            <v>53.88</v>
          </cell>
          <cell r="I150">
            <v>16.16</v>
          </cell>
          <cell r="J150" t="str">
            <v>MIPC001237</v>
          </cell>
          <cell r="K150" t="str">
            <v>VC3</v>
          </cell>
          <cell r="L150" t="str">
            <v>SOCIEDAD</v>
          </cell>
          <cell r="M150" t="str">
            <v>0000010825</v>
          </cell>
          <cell r="N150">
            <v>9</v>
          </cell>
        </row>
        <row r="151">
          <cell r="A151" t="str">
            <v>SOCIEDAD</v>
          </cell>
          <cell r="B151" t="str">
            <v>210VESBA</v>
          </cell>
          <cell r="C151" t="str">
            <v>ESBAL SA</v>
          </cell>
          <cell r="D151" t="str">
            <v>0991474226001</v>
          </cell>
          <cell r="E151" t="str">
            <v>227</v>
          </cell>
          <cell r="F151">
            <v>13600</v>
          </cell>
          <cell r="G151">
            <v>136</v>
          </cell>
          <cell r="H151" t="str">
            <v>MIPO002856</v>
          </cell>
          <cell r="I151" t="str">
            <v>RC1</v>
          </cell>
          <cell r="J151" t="str">
            <v>SOCIEDAD</v>
          </cell>
          <cell r="K151" t="str">
            <v>0000010863</v>
          </cell>
          <cell r="L151">
            <v>9</v>
          </cell>
          <cell r="O151" t="str">
            <v>VESBA</v>
          </cell>
        </row>
        <row r="152">
          <cell r="A152" t="str">
            <v>MIPO002860</v>
          </cell>
          <cell r="B152" t="str">
            <v>210VMARQ</v>
          </cell>
          <cell r="C152" t="str">
            <v>MARQUIM FLOWERS CA</v>
          </cell>
          <cell r="D152" t="str">
            <v>1791730356001</v>
          </cell>
          <cell r="E152" t="str">
            <v>4858</v>
          </cell>
          <cell r="G152">
            <v>1830</v>
          </cell>
          <cell r="H152">
            <v>18.3</v>
          </cell>
          <cell r="J152" t="str">
            <v>MIPO002860</v>
          </cell>
          <cell r="K152" t="str">
            <v>RC1</v>
          </cell>
          <cell r="L152" t="str">
            <v>SOCIEDAD</v>
          </cell>
          <cell r="M152" t="str">
            <v>0000010827</v>
          </cell>
          <cell r="N152">
            <v>9</v>
          </cell>
          <cell r="Q152" t="str">
            <v>VMARQ</v>
          </cell>
        </row>
        <row r="153">
          <cell r="A153" t="str">
            <v>MIPC001265</v>
          </cell>
          <cell r="B153" t="str">
            <v>210VMARA</v>
          </cell>
          <cell r="C153" t="str">
            <v>Martinez Alfredo</v>
          </cell>
          <cell r="D153" t="str">
            <v>1600099988001</v>
          </cell>
          <cell r="E153" t="str">
            <v>259</v>
          </cell>
          <cell r="F153" t="str">
            <v>17/05/2004</v>
          </cell>
          <cell r="G153">
            <v>150</v>
          </cell>
          <cell r="H153">
            <v>18</v>
          </cell>
          <cell r="I153">
            <v>5.4</v>
          </cell>
          <cell r="J153" t="str">
            <v>MIPC001265</v>
          </cell>
          <cell r="K153" t="str">
            <v>VC3</v>
          </cell>
          <cell r="L153" t="str">
            <v>P. NATURAL</v>
          </cell>
          <cell r="N153">
            <v>0</v>
          </cell>
        </row>
        <row r="154">
          <cell r="A154" t="str">
            <v>MIPC001212</v>
          </cell>
          <cell r="B154" t="str">
            <v>210VMASS</v>
          </cell>
          <cell r="C154" t="str">
            <v>Masson Abdon Gonzalo</v>
          </cell>
          <cell r="D154" t="str">
            <v>1600117855</v>
          </cell>
          <cell r="E154" t="str">
            <v>926</v>
          </cell>
          <cell r="F154" t="str">
            <v>03/05/2004</v>
          </cell>
          <cell r="G154">
            <v>200</v>
          </cell>
          <cell r="H154">
            <v>24</v>
          </cell>
          <cell r="I154">
            <v>7.2</v>
          </cell>
          <cell r="J154" t="str">
            <v>MIPC001212</v>
          </cell>
          <cell r="K154" t="str">
            <v>VC3</v>
          </cell>
          <cell r="L154" t="str">
            <v>P. NATURAL</v>
          </cell>
          <cell r="M154" t="str">
            <v>0000010826</v>
          </cell>
          <cell r="N154">
            <v>0</v>
          </cell>
        </row>
        <row r="155">
          <cell r="A155" t="str">
            <v>MIPO002790</v>
          </cell>
          <cell r="B155" t="str">
            <v>210VOTRO</v>
          </cell>
          <cell r="C155" t="str">
            <v>MASTER FORMAS</v>
          </cell>
          <cell r="D155" t="str">
            <v xml:space="preserve"> </v>
          </cell>
          <cell r="E155" t="str">
            <v>2076</v>
          </cell>
          <cell r="F155" t="str">
            <v>10/05/2004</v>
          </cell>
          <cell r="G155">
            <v>115</v>
          </cell>
          <cell r="H155">
            <v>13.8</v>
          </cell>
          <cell r="I155">
            <v>4.1399999999999997</v>
          </cell>
          <cell r="J155" t="str">
            <v>MIPO002790</v>
          </cell>
          <cell r="K155" t="str">
            <v>VC3</v>
          </cell>
          <cell r="L155" t="str">
            <v>P. NATURAL</v>
          </cell>
          <cell r="M155" t="str">
            <v>0000010828</v>
          </cell>
        </row>
        <row r="156">
          <cell r="A156" t="str">
            <v>MIPO002800</v>
          </cell>
          <cell r="B156" t="str">
            <v>210VMATR</v>
          </cell>
          <cell r="C156" t="str">
            <v>Matrin</v>
          </cell>
          <cell r="D156" t="str">
            <v>1790631214001</v>
          </cell>
          <cell r="E156" t="str">
            <v>712</v>
          </cell>
          <cell r="F156" t="str">
            <v>10/05/2004</v>
          </cell>
          <cell r="G156">
            <v>520</v>
          </cell>
          <cell r="H156">
            <v>62.4</v>
          </cell>
          <cell r="I156">
            <v>18.72</v>
          </cell>
          <cell r="J156" t="str">
            <v>MIPO002800</v>
          </cell>
          <cell r="K156" t="str">
            <v>VC3</v>
          </cell>
          <cell r="L156" t="str">
            <v>SOCIEDAD</v>
          </cell>
          <cell r="M156" t="str">
            <v>0000010867</v>
          </cell>
          <cell r="N156">
            <v>9</v>
          </cell>
        </row>
        <row r="157">
          <cell r="A157" t="str">
            <v>MIPO002765</v>
          </cell>
          <cell r="B157" t="str">
            <v>210VMICR</v>
          </cell>
          <cell r="C157" t="str">
            <v>MICROSIPSH</v>
          </cell>
          <cell r="D157" t="str">
            <v>1709769390001</v>
          </cell>
          <cell r="E157" t="str">
            <v>314</v>
          </cell>
          <cell r="F157" t="str">
            <v>05/05/2004</v>
          </cell>
          <cell r="G157">
            <v>45.5</v>
          </cell>
          <cell r="H157">
            <v>5.46</v>
          </cell>
          <cell r="I157">
            <v>1.64</v>
          </cell>
          <cell r="J157" t="str">
            <v>MIPO002765</v>
          </cell>
          <cell r="K157" t="str">
            <v>VC3</v>
          </cell>
          <cell r="L157" t="str">
            <v>P. NATURAL</v>
          </cell>
          <cell r="M157" t="str">
            <v>0000010869</v>
          </cell>
          <cell r="N157">
            <v>0</v>
          </cell>
        </row>
        <row r="158">
          <cell r="A158" t="str">
            <v>MIPO002808</v>
          </cell>
          <cell r="B158" t="str">
            <v>210VMICR</v>
          </cell>
          <cell r="C158" t="str">
            <v>MICROSIPSH</v>
          </cell>
          <cell r="D158" t="str">
            <v>1709769390001</v>
          </cell>
          <cell r="E158" t="str">
            <v>315</v>
          </cell>
          <cell r="F158" t="str">
            <v>05/05/2004</v>
          </cell>
          <cell r="G158">
            <v>77</v>
          </cell>
          <cell r="H158">
            <v>9.24</v>
          </cell>
          <cell r="I158">
            <v>2.77</v>
          </cell>
          <cell r="J158" t="str">
            <v>MIPO002808</v>
          </cell>
          <cell r="K158" t="str">
            <v>VC3</v>
          </cell>
          <cell r="L158" t="str">
            <v>P. NATURAL</v>
          </cell>
          <cell r="M158" t="str">
            <v>0000010869</v>
          </cell>
          <cell r="N158">
            <v>0</v>
          </cell>
        </row>
        <row r="159">
          <cell r="A159" t="str">
            <v>MIPO002859</v>
          </cell>
          <cell r="B159" t="str">
            <v>210VMICR</v>
          </cell>
          <cell r="C159" t="str">
            <v>MICROSIPSH</v>
          </cell>
          <cell r="D159" t="str">
            <v>1709769390001</v>
          </cell>
          <cell r="E159" t="str">
            <v>313</v>
          </cell>
          <cell r="F159" t="str">
            <v>05/05/2004</v>
          </cell>
          <cell r="G159">
            <v>88.5</v>
          </cell>
          <cell r="H159">
            <v>10.62</v>
          </cell>
          <cell r="I159">
            <v>3.19</v>
          </cell>
          <cell r="J159" t="str">
            <v>MIPO002859</v>
          </cell>
          <cell r="K159" t="str">
            <v>VC3</v>
          </cell>
          <cell r="L159" t="str">
            <v>P. NATURAL</v>
          </cell>
          <cell r="M159" t="str">
            <v>0000010869</v>
          </cell>
          <cell r="N159">
            <v>0</v>
          </cell>
        </row>
        <row r="160">
          <cell r="A160" t="str">
            <v>MIPO002827</v>
          </cell>
          <cell r="B160" t="str">
            <v>210VMODU</v>
          </cell>
          <cell r="C160" t="str">
            <v>Modulos</v>
          </cell>
          <cell r="D160" t="str">
            <v>1790476472001</v>
          </cell>
          <cell r="E160" t="str">
            <v>1671</v>
          </cell>
          <cell r="F160" t="str">
            <v>03/05/2004</v>
          </cell>
          <cell r="G160">
            <v>130.41</v>
          </cell>
          <cell r="H160">
            <v>15.65</v>
          </cell>
          <cell r="I160">
            <v>4.7</v>
          </cell>
          <cell r="J160" t="str">
            <v>MIPO002827</v>
          </cell>
          <cell r="K160" t="str">
            <v>VC3</v>
          </cell>
          <cell r="L160" t="str">
            <v>SOCIEDAD</v>
          </cell>
          <cell r="M160" t="str">
            <v>0000010789</v>
          </cell>
          <cell r="N160">
            <v>9</v>
          </cell>
        </row>
        <row r="161">
          <cell r="A161" t="str">
            <v>MIPO002849</v>
          </cell>
          <cell r="B161" t="str">
            <v>210VPECE</v>
          </cell>
          <cell r="C161" t="str">
            <v>PE. CE.</v>
          </cell>
          <cell r="D161" t="str">
            <v>1712704772001</v>
          </cell>
          <cell r="E161" t="str">
            <v>1692</v>
          </cell>
          <cell r="F161" t="str">
            <v>03/05/2004</v>
          </cell>
          <cell r="G161">
            <v>828.17</v>
          </cell>
          <cell r="H161">
            <v>99.38</v>
          </cell>
          <cell r="I161">
            <v>29.81</v>
          </cell>
          <cell r="J161" t="str">
            <v>MIPO002849</v>
          </cell>
          <cell r="K161" t="str">
            <v>VC3</v>
          </cell>
          <cell r="L161" t="str">
            <v>P. NATURAL</v>
          </cell>
          <cell r="N161">
            <v>1</v>
          </cell>
        </row>
        <row r="162">
          <cell r="A162" t="str">
            <v>MIPO002855</v>
          </cell>
          <cell r="B162" t="str">
            <v>210VPECE</v>
          </cell>
          <cell r="C162" t="str">
            <v>PE. CE.</v>
          </cell>
          <cell r="D162" t="str">
            <v>1712704772001</v>
          </cell>
          <cell r="E162" t="str">
            <v>1693</v>
          </cell>
          <cell r="F162" t="str">
            <v>03/05/2004</v>
          </cell>
          <cell r="G162">
            <v>441.66</v>
          </cell>
          <cell r="H162">
            <v>53</v>
          </cell>
          <cell r="I162">
            <v>15.9</v>
          </cell>
          <cell r="J162" t="str">
            <v>MIPO002855</v>
          </cell>
          <cell r="K162" t="str">
            <v>VC3</v>
          </cell>
          <cell r="L162" t="str">
            <v>P. NATURAL</v>
          </cell>
          <cell r="N162">
            <v>1</v>
          </cell>
        </row>
        <row r="163">
          <cell r="A163" t="str">
            <v>MIPO002875</v>
          </cell>
          <cell r="B163" t="str">
            <v>210VPECE</v>
          </cell>
          <cell r="C163" t="str">
            <v>PE. CE.</v>
          </cell>
          <cell r="D163" t="str">
            <v>1712704772001</v>
          </cell>
          <cell r="E163" t="str">
            <v>1706</v>
          </cell>
          <cell r="F163" t="str">
            <v>05/05/2004</v>
          </cell>
          <cell r="G163">
            <v>264.75</v>
          </cell>
          <cell r="H163">
            <v>31.77</v>
          </cell>
          <cell r="I163">
            <v>9.5299999999999994</v>
          </cell>
          <cell r="J163" t="str">
            <v>MIPO002875</v>
          </cell>
          <cell r="K163" t="str">
            <v>VC3</v>
          </cell>
          <cell r="L163" t="str">
            <v>P. NATURAL</v>
          </cell>
          <cell r="N163">
            <v>1</v>
          </cell>
        </row>
        <row r="164">
          <cell r="A164" t="str">
            <v>MIPO002876</v>
          </cell>
          <cell r="B164" t="str">
            <v>210VPECE</v>
          </cell>
          <cell r="C164" t="str">
            <v>PE. CE.</v>
          </cell>
          <cell r="D164" t="str">
            <v>1712704772001</v>
          </cell>
          <cell r="E164" t="str">
            <v>1706</v>
          </cell>
          <cell r="F164" t="str">
            <v>05/05/2004</v>
          </cell>
          <cell r="G164">
            <v>30.75</v>
          </cell>
          <cell r="H164">
            <v>3.69</v>
          </cell>
          <cell r="I164">
            <v>1.1100000000000001</v>
          </cell>
          <cell r="J164" t="str">
            <v>MIPO002876</v>
          </cell>
          <cell r="K164" t="str">
            <v>VC3</v>
          </cell>
          <cell r="L164" t="str">
            <v>P. NATURAL</v>
          </cell>
          <cell r="N164">
            <v>1</v>
          </cell>
        </row>
        <row r="165">
          <cell r="A165" t="str">
            <v>MIPO002883</v>
          </cell>
          <cell r="B165" t="str">
            <v>210VPECE</v>
          </cell>
          <cell r="C165" t="str">
            <v>PE. CE.</v>
          </cell>
          <cell r="D165" t="str">
            <v>1712704772001</v>
          </cell>
          <cell r="E165" t="str">
            <v>1707</v>
          </cell>
          <cell r="F165" t="str">
            <v>10/05/2004</v>
          </cell>
          <cell r="G165">
            <v>929.58</v>
          </cell>
          <cell r="H165">
            <v>111.5496</v>
          </cell>
          <cell r="I165">
            <v>33.47</v>
          </cell>
          <cell r="J165" t="str">
            <v>MIPO002883</v>
          </cell>
          <cell r="K165" t="str">
            <v>VC3</v>
          </cell>
          <cell r="L165" t="str">
            <v>P. NATURAL</v>
          </cell>
          <cell r="N165">
            <v>1</v>
          </cell>
        </row>
        <row r="166">
          <cell r="A166" t="str">
            <v>MIPO002906</v>
          </cell>
          <cell r="B166" t="str">
            <v>210VPECE</v>
          </cell>
          <cell r="C166" t="str">
            <v>PE. CE.</v>
          </cell>
          <cell r="D166" t="str">
            <v>1712704772001</v>
          </cell>
          <cell r="E166" t="str">
            <v>1729</v>
          </cell>
          <cell r="F166" t="str">
            <v>14/05/2004</v>
          </cell>
          <cell r="G166">
            <v>59.83</v>
          </cell>
          <cell r="H166">
            <v>7.18</v>
          </cell>
          <cell r="I166">
            <v>2.15</v>
          </cell>
          <cell r="J166" t="str">
            <v>MIPO002906</v>
          </cell>
          <cell r="K166" t="str">
            <v>VC3</v>
          </cell>
          <cell r="L166" t="str">
            <v>P. NATURAL</v>
          </cell>
          <cell r="N166">
            <v>1</v>
          </cell>
        </row>
        <row r="167">
          <cell r="A167" t="str">
            <v>MIPO002888</v>
          </cell>
          <cell r="B167" t="str">
            <v>210VPRO1</v>
          </cell>
          <cell r="C167" t="str">
            <v>Promigpart Cia.Ltda.</v>
          </cell>
          <cell r="D167" t="str">
            <v>1791754271001</v>
          </cell>
          <cell r="E167" t="str">
            <v>2797</v>
          </cell>
          <cell r="F167" t="str">
            <v>17/05/2004</v>
          </cell>
          <cell r="G167">
            <v>864</v>
          </cell>
          <cell r="H167">
            <v>103.68</v>
          </cell>
          <cell r="I167">
            <v>31.1</v>
          </cell>
          <cell r="J167" t="str">
            <v>MIPO002888</v>
          </cell>
          <cell r="K167" t="str">
            <v>VC3</v>
          </cell>
          <cell r="L167" t="str">
            <v>SOCIEDAD</v>
          </cell>
          <cell r="N167">
            <v>9</v>
          </cell>
        </row>
        <row r="168">
          <cell r="A168" t="str">
            <v>MIPO002877</v>
          </cell>
          <cell r="B168" t="str">
            <v>210VPROS</v>
          </cell>
          <cell r="C168" t="str">
            <v>Prosein Cia.Ltda.</v>
          </cell>
          <cell r="D168" t="str">
            <v>1791065093001</v>
          </cell>
          <cell r="E168" t="str">
            <v>31727</v>
          </cell>
          <cell r="F168" t="str">
            <v>10/05/2004</v>
          </cell>
          <cell r="G168">
            <v>1059</v>
          </cell>
          <cell r="H168">
            <v>127.08</v>
          </cell>
          <cell r="I168">
            <v>38.119999999999997</v>
          </cell>
          <cell r="J168" t="str">
            <v>MIPO002877</v>
          </cell>
          <cell r="K168" t="str">
            <v>VC3</v>
          </cell>
          <cell r="L168" t="str">
            <v>SOCIEDAD</v>
          </cell>
          <cell r="N168">
            <v>9</v>
          </cell>
        </row>
        <row r="169">
          <cell r="A169" t="str">
            <v>MIPO002857</v>
          </cell>
          <cell r="B169" t="str">
            <v>210VRESM</v>
          </cell>
          <cell r="C169" t="str">
            <v>RESIMON SA</v>
          </cell>
          <cell r="D169" t="str">
            <v>0992232099001</v>
          </cell>
          <cell r="E169" t="str">
            <v>6500</v>
          </cell>
          <cell r="G169">
            <v>44800</v>
          </cell>
          <cell r="H169">
            <v>448</v>
          </cell>
          <cell r="J169" t="str">
            <v>MIPO002857</v>
          </cell>
          <cell r="K169" t="str">
            <v>RC1</v>
          </cell>
          <cell r="L169" t="str">
            <v>SOCIEDAD</v>
          </cell>
          <cell r="M169" t="str">
            <v>0000010839</v>
          </cell>
          <cell r="N169">
            <v>9</v>
          </cell>
          <cell r="Q169" t="str">
            <v>VRESM</v>
          </cell>
        </row>
        <row r="170">
          <cell r="A170" t="str">
            <v>MIPO002920</v>
          </cell>
          <cell r="B170" t="str">
            <v>210VRESM</v>
          </cell>
          <cell r="C170" t="str">
            <v>RESIMON SA</v>
          </cell>
          <cell r="D170" t="str">
            <v>0992232099001</v>
          </cell>
          <cell r="E170" t="str">
            <v>811</v>
          </cell>
          <cell r="F170" t="str">
            <v>14/05/2004</v>
          </cell>
          <cell r="G170">
            <v>5900</v>
          </cell>
          <cell r="H170">
            <v>708</v>
          </cell>
          <cell r="I170">
            <v>212.4</v>
          </cell>
          <cell r="J170" t="str">
            <v>MIPO002920</v>
          </cell>
          <cell r="K170" t="str">
            <v>VC3</v>
          </cell>
          <cell r="L170" t="str">
            <v>SOCIEDAD</v>
          </cell>
          <cell r="M170" t="str">
            <v>0000010839</v>
          </cell>
          <cell r="N170">
            <v>9</v>
          </cell>
        </row>
        <row r="171">
          <cell r="A171" t="str">
            <v>MIPO002914</v>
          </cell>
          <cell r="B171" t="str">
            <v>210VRUSA</v>
          </cell>
          <cell r="C171" t="str">
            <v>RULIMANES SALVATIERRA</v>
          </cell>
          <cell r="D171" t="str">
            <v>0990005818004</v>
          </cell>
          <cell r="E171" t="str">
            <v>31596</v>
          </cell>
          <cell r="G171">
            <v>451.92</v>
          </cell>
          <cell r="H171">
            <v>54.230400000000003</v>
          </cell>
          <cell r="J171" t="str">
            <v>MIPO002914</v>
          </cell>
          <cell r="K171" t="str">
            <v>RC1</v>
          </cell>
          <cell r="L171" t="str">
            <v>SOCIEDAD</v>
          </cell>
          <cell r="N171">
            <v>9</v>
          </cell>
          <cell r="Q171" t="str">
            <v>VRUSA</v>
          </cell>
        </row>
        <row r="172">
          <cell r="A172" t="str">
            <v>MIPO002730</v>
          </cell>
          <cell r="B172" t="str">
            <v>210VRUSA</v>
          </cell>
          <cell r="C172" t="str">
            <v>RULIMANES SALVATIERRA</v>
          </cell>
          <cell r="D172" t="str">
            <v>0990005818004</v>
          </cell>
          <cell r="E172" t="str">
            <v>31597</v>
          </cell>
          <cell r="G172">
            <v>536.08000000000004</v>
          </cell>
          <cell r="H172">
            <v>64.329599999999999</v>
          </cell>
          <cell r="J172" t="str">
            <v>MIPO002730</v>
          </cell>
          <cell r="K172" t="str">
            <v>RC1</v>
          </cell>
          <cell r="L172" t="str">
            <v>SOCIEDAD</v>
          </cell>
          <cell r="N172">
            <v>9</v>
          </cell>
          <cell r="Q172" t="str">
            <v>VRUSA</v>
          </cell>
        </row>
        <row r="173">
          <cell r="A173" t="str">
            <v>MIPO002854</v>
          </cell>
          <cell r="B173" t="str">
            <v>210VSANV</v>
          </cell>
          <cell r="C173" t="str">
            <v>SANCEV ELECTRICA INDUSTRIAL</v>
          </cell>
          <cell r="D173" t="str">
            <v>1791313747001</v>
          </cell>
          <cell r="E173" t="str">
            <v>6456</v>
          </cell>
          <cell r="F173" t="str">
            <v>03/05/2004</v>
          </cell>
          <cell r="G173">
            <v>39.17</v>
          </cell>
          <cell r="H173">
            <v>4.7</v>
          </cell>
          <cell r="I173">
            <v>1.41</v>
          </cell>
          <cell r="J173" t="str">
            <v>MIPO002854</v>
          </cell>
          <cell r="K173" t="str">
            <v>VC3</v>
          </cell>
          <cell r="L173" t="str">
            <v>SOCIEDAD</v>
          </cell>
          <cell r="M173" t="str">
            <v>0000010840</v>
          </cell>
          <cell r="N173">
            <v>9</v>
          </cell>
        </row>
        <row r="174">
          <cell r="A174" t="str">
            <v>MIPO002903</v>
          </cell>
          <cell r="B174" t="str">
            <v>210VSANV</v>
          </cell>
          <cell r="C174" t="str">
            <v>SANCEV ELECTRICA INDUSTRIAL</v>
          </cell>
          <cell r="D174" t="str">
            <v>1791313747001</v>
          </cell>
          <cell r="E174" t="str">
            <v>6511</v>
          </cell>
          <cell r="F174" t="str">
            <v>17/05/2004</v>
          </cell>
          <cell r="G174">
            <v>223.42</v>
          </cell>
          <cell r="H174">
            <v>26.81</v>
          </cell>
          <cell r="I174">
            <v>8.0399999999999991</v>
          </cell>
          <cell r="J174" t="str">
            <v>MIPO002903</v>
          </cell>
          <cell r="K174" t="str">
            <v>VC3</v>
          </cell>
          <cell r="L174" t="str">
            <v>SOCIEDAD</v>
          </cell>
          <cell r="N174">
            <v>9</v>
          </cell>
        </row>
        <row r="175">
          <cell r="A175" t="str">
            <v>MIPO002841</v>
          </cell>
          <cell r="B175" t="str">
            <v>210VSIQU</v>
          </cell>
          <cell r="C175" t="str">
            <v>SIQUEM</v>
          </cell>
          <cell r="D175" t="str">
            <v>0602047797001</v>
          </cell>
          <cell r="E175" t="str">
            <v>360</v>
          </cell>
          <cell r="F175" t="str">
            <v>03/05/2004</v>
          </cell>
          <cell r="G175">
            <v>168</v>
          </cell>
          <cell r="H175">
            <v>20.16</v>
          </cell>
          <cell r="I175">
            <v>6.05</v>
          </cell>
          <cell r="J175" t="str">
            <v>MIPO002841</v>
          </cell>
          <cell r="K175" t="str">
            <v>VC3</v>
          </cell>
          <cell r="L175" t="str">
            <v>P. NATURAL</v>
          </cell>
          <cell r="M175" t="str">
            <v>0000010842</v>
          </cell>
          <cell r="N175">
            <v>0</v>
          </cell>
        </row>
        <row r="176">
          <cell r="A176" t="str">
            <v>MIPC001241</v>
          </cell>
          <cell r="B176" t="str">
            <v>210VSIXM</v>
          </cell>
          <cell r="C176" t="str">
            <v>Six Motors</v>
          </cell>
          <cell r="D176" t="str">
            <v>1500350978002</v>
          </cell>
          <cell r="E176" t="str">
            <v>8283</v>
          </cell>
          <cell r="F176" t="str">
            <v>26/04/2004</v>
          </cell>
          <cell r="G176">
            <v>25</v>
          </cell>
          <cell r="H176">
            <v>3</v>
          </cell>
          <cell r="I176">
            <v>0.9</v>
          </cell>
          <cell r="J176" t="str">
            <v>MIPC001241</v>
          </cell>
          <cell r="K176" t="str">
            <v>VC3</v>
          </cell>
          <cell r="L176" t="str">
            <v>P. NATURAL</v>
          </cell>
          <cell r="M176" t="str">
            <v>0000010843</v>
          </cell>
          <cell r="N176">
            <v>0</v>
          </cell>
        </row>
        <row r="177">
          <cell r="A177" t="str">
            <v>MISO004199</v>
          </cell>
          <cell r="B177" t="str">
            <v>210VSUPF</v>
          </cell>
          <cell r="C177" t="str">
            <v>Supermercados La Favorita</v>
          </cell>
          <cell r="D177" t="str">
            <v>1790016919001</v>
          </cell>
          <cell r="E177" t="str">
            <v>264402-361</v>
          </cell>
          <cell r="G177">
            <v>242</v>
          </cell>
          <cell r="H177">
            <v>29.04</v>
          </cell>
          <cell r="J177" t="str">
            <v>MISO004199</v>
          </cell>
          <cell r="K177" t="str">
            <v>RC1</v>
          </cell>
          <cell r="L177" t="str">
            <v>SOCIEDAD</v>
          </cell>
          <cell r="M177" t="str">
            <v>0000010774</v>
          </cell>
          <cell r="N177">
            <v>9</v>
          </cell>
          <cell r="Q177" t="str">
            <v>VSUPF</v>
          </cell>
        </row>
        <row r="178">
          <cell r="A178" t="str">
            <v>MIPO002700</v>
          </cell>
          <cell r="B178" t="str">
            <v>210VTACC</v>
          </cell>
          <cell r="C178" t="str">
            <v>Tacc Cia. Ltda.</v>
          </cell>
          <cell r="D178" t="str">
            <v>1790943437001</v>
          </cell>
          <cell r="E178" t="str">
            <v>4596</v>
          </cell>
          <cell r="F178" t="str">
            <v>10/05/2004</v>
          </cell>
          <cell r="G178">
            <v>1020</v>
          </cell>
          <cell r="H178">
            <v>122.4</v>
          </cell>
          <cell r="I178">
            <v>36.72</v>
          </cell>
          <cell r="J178" t="str">
            <v>MIPO002700</v>
          </cell>
          <cell r="K178" t="str">
            <v>VC3</v>
          </cell>
          <cell r="L178" t="str">
            <v>SOCIEDAD</v>
          </cell>
          <cell r="M178" t="str">
            <v>0000010872</v>
          </cell>
          <cell r="N178">
            <v>9</v>
          </cell>
        </row>
        <row r="179">
          <cell r="A179" t="str">
            <v>MIPO002898</v>
          </cell>
          <cell r="B179" t="str">
            <v>210VTUBO</v>
          </cell>
          <cell r="C179" t="str">
            <v>Tuboscope Vetco Internat.</v>
          </cell>
          <cell r="D179" t="str">
            <v>1791334744001</v>
          </cell>
          <cell r="E179" t="str">
            <v>1336</v>
          </cell>
          <cell r="G179">
            <v>4338.42</v>
          </cell>
          <cell r="H179">
            <v>520.61040000000003</v>
          </cell>
          <cell r="J179" t="str">
            <v>MIPO002898</v>
          </cell>
          <cell r="K179" t="str">
            <v>RC1</v>
          </cell>
          <cell r="L179" t="str">
            <v>SOCIEDAD</v>
          </cell>
          <cell r="N179">
            <v>9</v>
          </cell>
          <cell r="Q179" t="str">
            <v>VTUBO</v>
          </cell>
        </row>
        <row r="180">
          <cell r="G180">
            <v>235091.37199999994</v>
          </cell>
          <cell r="H180">
            <v>23065.342400000012</v>
          </cell>
          <cell r="I180">
            <v>6305.57</v>
          </cell>
        </row>
        <row r="181">
          <cell r="A181" t="str">
            <v>MISO003775</v>
          </cell>
          <cell r="B181" t="str">
            <v>210VAERO</v>
          </cell>
          <cell r="C181" t="str">
            <v>Aerogal</v>
          </cell>
          <cell r="D181" t="str">
            <v>1790727203001</v>
          </cell>
          <cell r="E181" t="str">
            <v>5445</v>
          </cell>
          <cell r="F181" t="str">
            <v>06/05/2004</v>
          </cell>
          <cell r="G181">
            <v>216.90476190476193</v>
          </cell>
          <cell r="H181">
            <v>26.028571428571428</v>
          </cell>
          <cell r="I181">
            <v>18.22</v>
          </cell>
          <cell r="J181" t="str">
            <v>MISO003775</v>
          </cell>
          <cell r="K181" t="str">
            <v>VS7</v>
          </cell>
          <cell r="L181" t="str">
            <v>SOCIEDAD</v>
          </cell>
          <cell r="N181">
            <v>9</v>
          </cell>
        </row>
        <row r="182">
          <cell r="A182" t="str">
            <v>MISO004265</v>
          </cell>
          <cell r="B182" t="str">
            <v>210VCOCM</v>
          </cell>
          <cell r="C182" t="str">
            <v>Almacenes Comego</v>
          </cell>
          <cell r="D182" t="str">
            <v>0790054644001</v>
          </cell>
          <cell r="E182" t="str">
            <v>16837</v>
          </cell>
          <cell r="F182" t="str">
            <v>28/04/2004</v>
          </cell>
          <cell r="G182">
            <v>1500</v>
          </cell>
          <cell r="H182">
            <v>180</v>
          </cell>
          <cell r="I182">
            <v>126</v>
          </cell>
          <cell r="J182" t="str">
            <v>MISO004265</v>
          </cell>
          <cell r="K182" t="str">
            <v>VS7</v>
          </cell>
          <cell r="L182" t="str">
            <v>SOCIEDAD</v>
          </cell>
          <cell r="M182" t="str">
            <v>0000010721</v>
          </cell>
          <cell r="N182">
            <v>9</v>
          </cell>
        </row>
        <row r="183">
          <cell r="A183" t="str">
            <v>MISO004077</v>
          </cell>
          <cell r="B183" t="str">
            <v>210VARB</v>
          </cell>
          <cell r="C183" t="str">
            <v>ARB ECUADOR</v>
          </cell>
          <cell r="D183" t="str">
            <v>1791285883001</v>
          </cell>
          <cell r="E183" t="str">
            <v>1830</v>
          </cell>
          <cell r="G183">
            <v>1800</v>
          </cell>
          <cell r="H183">
            <v>216</v>
          </cell>
          <cell r="J183" t="str">
            <v>MISO004077</v>
          </cell>
          <cell r="K183" t="str">
            <v>RS1</v>
          </cell>
          <cell r="L183" t="str">
            <v>SOCIEDAD</v>
          </cell>
          <cell r="M183" t="str">
            <v>0000010855</v>
          </cell>
          <cell r="N183">
            <v>9</v>
          </cell>
          <cell r="Q183" t="str">
            <v>VARB</v>
          </cell>
        </row>
        <row r="184">
          <cell r="A184" t="str">
            <v>MISO004023</v>
          </cell>
          <cell r="B184" t="str">
            <v>210VARML</v>
          </cell>
          <cell r="C184" t="str">
            <v>ARMILED</v>
          </cell>
          <cell r="D184" t="str">
            <v>1791800503001</v>
          </cell>
          <cell r="E184" t="str">
            <v>178</v>
          </cell>
          <cell r="F184" t="str">
            <v>10/05/2004</v>
          </cell>
          <cell r="G184">
            <v>3996</v>
          </cell>
          <cell r="H184">
            <v>479.52</v>
          </cell>
          <cell r="I184">
            <v>335.66</v>
          </cell>
          <cell r="J184" t="str">
            <v>MISO004023</v>
          </cell>
          <cell r="K184" t="str">
            <v>VS7</v>
          </cell>
          <cell r="L184" t="str">
            <v>SOCIEDAD</v>
          </cell>
          <cell r="M184" t="str">
            <v>0000010856</v>
          </cell>
          <cell r="N184">
            <v>9</v>
          </cell>
        </row>
        <row r="185">
          <cell r="A185" t="str">
            <v>MISO004229</v>
          </cell>
          <cell r="B185" t="str">
            <v>210VARML</v>
          </cell>
          <cell r="C185" t="str">
            <v>ARMILED</v>
          </cell>
          <cell r="D185" t="str">
            <v>1791800503001</v>
          </cell>
          <cell r="E185" t="str">
            <v>10185</v>
          </cell>
          <cell r="F185" t="str">
            <v>17/05/2004</v>
          </cell>
          <cell r="G185">
            <v>3996</v>
          </cell>
          <cell r="H185">
            <v>479.52</v>
          </cell>
          <cell r="I185">
            <v>335.66</v>
          </cell>
          <cell r="J185" t="str">
            <v>MISO004229</v>
          </cell>
          <cell r="K185" t="str">
            <v>VS7</v>
          </cell>
          <cell r="L185" t="str">
            <v>SOCIEDAD</v>
          </cell>
          <cell r="N185">
            <v>9</v>
          </cell>
        </row>
        <row r="186">
          <cell r="A186" t="str">
            <v>MISO004183</v>
          </cell>
          <cell r="B186" t="str">
            <v>210VBIVA</v>
          </cell>
          <cell r="C186" t="str">
            <v>Bivac</v>
          </cell>
          <cell r="D186" t="str">
            <v>1791276817001</v>
          </cell>
          <cell r="E186" t="str">
            <v>6518</v>
          </cell>
          <cell r="F186" t="str">
            <v>13/05/2004</v>
          </cell>
          <cell r="G186">
            <v>180</v>
          </cell>
          <cell r="H186">
            <v>21.6</v>
          </cell>
          <cell r="I186">
            <v>15.12</v>
          </cell>
          <cell r="J186" t="str">
            <v>MISO004183</v>
          </cell>
          <cell r="K186" t="str">
            <v>VS7</v>
          </cell>
          <cell r="L186" t="str">
            <v>SOCIEDAD</v>
          </cell>
          <cell r="M186" t="str">
            <v>0000010801</v>
          </cell>
          <cell r="N186">
            <v>9</v>
          </cell>
        </row>
        <row r="187">
          <cell r="A187" t="str">
            <v>MISO004278</v>
          </cell>
          <cell r="B187" t="str">
            <v>210VBIVA</v>
          </cell>
          <cell r="C187" t="str">
            <v>Bivac</v>
          </cell>
          <cell r="D187" t="str">
            <v>1791276817001</v>
          </cell>
          <cell r="E187" t="str">
            <v>6958</v>
          </cell>
          <cell r="F187" t="str">
            <v>05/05/2004</v>
          </cell>
          <cell r="G187">
            <v>1986.58</v>
          </cell>
          <cell r="H187">
            <v>238.38959999999997</v>
          </cell>
          <cell r="I187">
            <v>166.87</v>
          </cell>
          <cell r="J187" t="str">
            <v>MISO004278</v>
          </cell>
          <cell r="K187" t="str">
            <v>VS7</v>
          </cell>
          <cell r="L187" t="str">
            <v>SOCIEDAD</v>
          </cell>
          <cell r="M187" t="str">
            <v>0000010858</v>
          </cell>
          <cell r="N187">
            <v>9</v>
          </cell>
        </row>
        <row r="188">
          <cell r="A188" t="str">
            <v>MISO004277</v>
          </cell>
          <cell r="B188" t="str">
            <v>210VBIVA</v>
          </cell>
          <cell r="C188" t="str">
            <v>Bivac</v>
          </cell>
          <cell r="D188" t="str">
            <v>1791276817001</v>
          </cell>
          <cell r="E188" t="str">
            <v>6999</v>
          </cell>
          <cell r="F188" t="str">
            <v>06/05/2004</v>
          </cell>
          <cell r="G188">
            <v>2336.92</v>
          </cell>
          <cell r="H188">
            <v>280.43040000000002</v>
          </cell>
          <cell r="I188">
            <v>196.3</v>
          </cell>
          <cell r="J188" t="str">
            <v>MISO004277</v>
          </cell>
          <cell r="K188" t="str">
            <v>VS7</v>
          </cell>
          <cell r="L188" t="str">
            <v>SOCIEDAD</v>
          </cell>
          <cell r="M188" t="str">
            <v>0000010858</v>
          </cell>
          <cell r="N188">
            <v>9</v>
          </cell>
        </row>
        <row r="189">
          <cell r="A189" t="str">
            <v>MISO004276</v>
          </cell>
          <cell r="B189" t="str">
            <v>210VBIVA</v>
          </cell>
          <cell r="C189" t="str">
            <v>Bivac</v>
          </cell>
          <cell r="D189" t="str">
            <v>1791276817001</v>
          </cell>
          <cell r="E189" t="str">
            <v>7023</v>
          </cell>
          <cell r="F189" t="str">
            <v>06/05/2004</v>
          </cell>
          <cell r="G189">
            <v>180</v>
          </cell>
          <cell r="H189">
            <v>21.6</v>
          </cell>
          <cell r="I189">
            <v>15.12</v>
          </cell>
          <cell r="J189" t="str">
            <v>MISO004276</v>
          </cell>
          <cell r="K189" t="str">
            <v>VS7</v>
          </cell>
          <cell r="L189" t="str">
            <v>SOCIEDAD</v>
          </cell>
          <cell r="M189" t="str">
            <v>0000010858</v>
          </cell>
          <cell r="N189">
            <v>9</v>
          </cell>
        </row>
        <row r="190">
          <cell r="A190" t="str">
            <v>MISO004376</v>
          </cell>
          <cell r="B190" t="str">
            <v>210VBIVA</v>
          </cell>
          <cell r="C190" t="str">
            <v>Bivac</v>
          </cell>
          <cell r="D190" t="str">
            <v>1791276817001</v>
          </cell>
          <cell r="E190" t="str">
            <v>8083</v>
          </cell>
          <cell r="F190" t="str">
            <v>26/05/2004</v>
          </cell>
          <cell r="G190">
            <v>180</v>
          </cell>
          <cell r="H190">
            <v>21.6</v>
          </cell>
          <cell r="I190">
            <v>15.12</v>
          </cell>
          <cell r="J190" t="str">
            <v>MISO004376</v>
          </cell>
          <cell r="K190" t="str">
            <v>VS7</v>
          </cell>
          <cell r="L190" t="str">
            <v>SOCIEDAD</v>
          </cell>
          <cell r="N190">
            <v>9</v>
          </cell>
        </row>
        <row r="191">
          <cell r="A191" t="str">
            <v>MISO004060</v>
          </cell>
          <cell r="B191" t="str">
            <v>210VCETG</v>
          </cell>
          <cell r="C191" t="str">
            <v>CETAGUA</v>
          </cell>
          <cell r="D191" t="str">
            <v>0991461337001</v>
          </cell>
          <cell r="E191" t="str">
            <v>757</v>
          </cell>
          <cell r="F191" t="str">
            <v>10/05/2004</v>
          </cell>
          <cell r="G191">
            <v>8990</v>
          </cell>
          <cell r="H191">
            <v>1078.8</v>
          </cell>
          <cell r="I191">
            <v>755.16</v>
          </cell>
          <cell r="J191" t="str">
            <v>MISO004060</v>
          </cell>
          <cell r="K191" t="str">
            <v>VS7</v>
          </cell>
          <cell r="L191" t="str">
            <v>SOCIEDAD</v>
          </cell>
          <cell r="N191">
            <v>9</v>
          </cell>
        </row>
        <row r="192">
          <cell r="A192" t="str">
            <v>MISO004146</v>
          </cell>
          <cell r="B192" t="str">
            <v>210VCETG</v>
          </cell>
          <cell r="C192" t="str">
            <v>CETAGUA</v>
          </cell>
          <cell r="D192" t="str">
            <v>0991461337001</v>
          </cell>
          <cell r="E192" t="str">
            <v>756</v>
          </cell>
          <cell r="F192" t="str">
            <v>10/05/2004</v>
          </cell>
          <cell r="G192">
            <v>3190</v>
          </cell>
          <cell r="H192">
            <v>382.8</v>
          </cell>
          <cell r="I192">
            <v>267.95999999999998</v>
          </cell>
          <cell r="J192" t="str">
            <v>MISO004146</v>
          </cell>
          <cell r="K192" t="str">
            <v>VS7</v>
          </cell>
          <cell r="L192" t="str">
            <v>SOCIEDAD</v>
          </cell>
          <cell r="N192">
            <v>9</v>
          </cell>
        </row>
        <row r="193">
          <cell r="A193" t="str">
            <v>MISO004053</v>
          </cell>
          <cell r="B193" t="str">
            <v>210VCETG</v>
          </cell>
          <cell r="C193" t="str">
            <v>CETAGUA</v>
          </cell>
          <cell r="D193" t="str">
            <v>0991461337001</v>
          </cell>
          <cell r="E193" t="str">
            <v>756</v>
          </cell>
          <cell r="F193" t="str">
            <v>10/05/2004</v>
          </cell>
          <cell r="G193">
            <v>7060</v>
          </cell>
          <cell r="H193">
            <v>847.2</v>
          </cell>
          <cell r="I193">
            <v>593.04</v>
          </cell>
          <cell r="J193" t="str">
            <v>MISO004053</v>
          </cell>
          <cell r="K193" t="str">
            <v>VS7</v>
          </cell>
          <cell r="L193" t="str">
            <v>SOCIEDAD</v>
          </cell>
          <cell r="N193">
            <v>9</v>
          </cell>
        </row>
        <row r="194">
          <cell r="A194" t="str">
            <v>MISO004256</v>
          </cell>
          <cell r="B194" t="str">
            <v>210VCLEA</v>
          </cell>
          <cell r="C194" t="str">
            <v>Cleaner Plus</v>
          </cell>
          <cell r="D194" t="str">
            <v>1791314697001</v>
          </cell>
          <cell r="E194" t="str">
            <v>351</v>
          </cell>
          <cell r="F194" t="str">
            <v>25/05/2004</v>
          </cell>
          <cell r="G194">
            <v>376.33</v>
          </cell>
          <cell r="H194">
            <v>45.159599999999998</v>
          </cell>
          <cell r="I194">
            <v>31.61</v>
          </cell>
          <cell r="J194" t="str">
            <v>MISO004256</v>
          </cell>
          <cell r="K194" t="str">
            <v>VS7</v>
          </cell>
          <cell r="L194" t="str">
            <v>SOCIEDAD</v>
          </cell>
          <cell r="N194">
            <v>9</v>
          </cell>
        </row>
        <row r="195">
          <cell r="A195" t="str">
            <v>MISO004287</v>
          </cell>
          <cell r="B195" t="str">
            <v>210VCONE</v>
          </cell>
          <cell r="C195" t="str">
            <v>Conecel</v>
          </cell>
          <cell r="D195" t="str">
            <v>1791251237001</v>
          </cell>
          <cell r="E195" t="str">
            <v>401495-855</v>
          </cell>
          <cell r="G195">
            <v>1724.83</v>
          </cell>
          <cell r="H195">
            <v>206.97959999999998</v>
          </cell>
          <cell r="J195" t="str">
            <v>MISO004287</v>
          </cell>
          <cell r="K195" t="str">
            <v>RS1</v>
          </cell>
          <cell r="L195" t="str">
            <v>SOCIEDAD</v>
          </cell>
          <cell r="M195" t="str">
            <v>0000010655</v>
          </cell>
          <cell r="N195">
            <v>9</v>
          </cell>
          <cell r="Q195" t="str">
            <v>VCONE</v>
          </cell>
        </row>
        <row r="196">
          <cell r="A196" t="str">
            <v>MISO004309</v>
          </cell>
          <cell r="B196" t="str">
            <v>210VDHL</v>
          </cell>
          <cell r="C196" t="str">
            <v>Dhl</v>
          </cell>
          <cell r="D196" t="str">
            <v>1790546667001</v>
          </cell>
          <cell r="E196" t="str">
            <v xml:space="preserve"> </v>
          </cell>
          <cell r="G196">
            <v>25</v>
          </cell>
          <cell r="H196">
            <v>3</v>
          </cell>
          <cell r="J196" t="str">
            <v>MISO004309</v>
          </cell>
          <cell r="K196" t="str">
            <v>RS1</v>
          </cell>
          <cell r="L196" t="str">
            <v>SOCIEDAD</v>
          </cell>
          <cell r="M196" t="str">
            <v>0000010710</v>
          </cell>
          <cell r="N196">
            <v>9</v>
          </cell>
          <cell r="Q196" t="str">
            <v>VDHL</v>
          </cell>
        </row>
        <row r="197">
          <cell r="A197" t="str">
            <v>MISO004187</v>
          </cell>
          <cell r="B197" t="str">
            <v>210VDHL</v>
          </cell>
          <cell r="C197" t="str">
            <v>Dhl</v>
          </cell>
          <cell r="D197" t="str">
            <v>1790546667001</v>
          </cell>
          <cell r="E197" t="str">
            <v>57250</v>
          </cell>
          <cell r="G197">
            <v>210.33</v>
          </cell>
          <cell r="H197">
            <v>25.239599999999999</v>
          </cell>
          <cell r="J197" t="str">
            <v>MISO004187</v>
          </cell>
          <cell r="K197" t="str">
            <v>RS1</v>
          </cell>
          <cell r="L197" t="str">
            <v>SOCIEDAD</v>
          </cell>
          <cell r="M197" t="str">
            <v>0000010794</v>
          </cell>
          <cell r="N197">
            <v>9</v>
          </cell>
          <cell r="Q197" t="str">
            <v>VDHL</v>
          </cell>
        </row>
        <row r="198">
          <cell r="A198" t="str">
            <v>MISO004136</v>
          </cell>
          <cell r="B198" t="str">
            <v>210VDHL</v>
          </cell>
          <cell r="C198" t="str">
            <v>Dhl</v>
          </cell>
          <cell r="D198" t="str">
            <v>1790546667001</v>
          </cell>
          <cell r="G198">
            <v>687</v>
          </cell>
          <cell r="H198">
            <v>82.44</v>
          </cell>
          <cell r="J198" t="str">
            <v>MISO004136</v>
          </cell>
          <cell r="K198" t="str">
            <v>RS1</v>
          </cell>
          <cell r="L198" t="str">
            <v>SOCIEDAD</v>
          </cell>
          <cell r="M198" t="str">
            <v>0000010794</v>
          </cell>
          <cell r="N198">
            <v>9</v>
          </cell>
          <cell r="Q198" t="str">
            <v>VDHL</v>
          </cell>
        </row>
        <row r="199">
          <cell r="A199" t="str">
            <v>MISO004245</v>
          </cell>
          <cell r="B199" t="str">
            <v>210VEDII</v>
          </cell>
          <cell r="C199" t="str">
            <v>Editores E Impresores</v>
          </cell>
          <cell r="D199" t="str">
            <v>1790502694001</v>
          </cell>
          <cell r="E199" t="str">
            <v>22390</v>
          </cell>
          <cell r="G199">
            <v>74</v>
          </cell>
          <cell r="H199">
            <v>8.879999999999999</v>
          </cell>
          <cell r="J199" t="str">
            <v>MISO004245</v>
          </cell>
          <cell r="K199" t="str">
            <v>RS1</v>
          </cell>
          <cell r="L199" t="str">
            <v>SOCIEDAD</v>
          </cell>
          <cell r="M199" t="str">
            <v>0000010854</v>
          </cell>
          <cell r="N199">
            <v>9</v>
          </cell>
          <cell r="Q199" t="str">
            <v>VEDII</v>
          </cell>
        </row>
        <row r="200">
          <cell r="A200" t="str">
            <v>MISO004117</v>
          </cell>
          <cell r="B200" t="str">
            <v>210VFINA</v>
          </cell>
          <cell r="C200" t="str">
            <v>Finamerica</v>
          </cell>
          <cell r="D200" t="str">
            <v>0990652570002</v>
          </cell>
          <cell r="E200" t="str">
            <v>16447</v>
          </cell>
          <cell r="G200">
            <v>1202.67</v>
          </cell>
          <cell r="H200">
            <v>144.32040000000001</v>
          </cell>
          <cell r="J200" t="str">
            <v>MISO004117</v>
          </cell>
          <cell r="K200" t="str">
            <v>RS1</v>
          </cell>
          <cell r="L200" t="str">
            <v>SOCIEDAD</v>
          </cell>
          <cell r="M200" t="str">
            <v>0000010779</v>
          </cell>
          <cell r="N200">
            <v>9</v>
          </cell>
          <cell r="Q200" t="str">
            <v>VFINA</v>
          </cell>
        </row>
        <row r="201">
          <cell r="A201" t="str">
            <v>MISO004062</v>
          </cell>
          <cell r="B201" t="str">
            <v>210VGLOQ</v>
          </cell>
          <cell r="C201" t="str">
            <v>GLOBAL QUIMICOS</v>
          </cell>
          <cell r="D201" t="str">
            <v>1791827317001</v>
          </cell>
          <cell r="E201" t="str">
            <v>3034</v>
          </cell>
          <cell r="F201" t="str">
            <v>17/05/2004</v>
          </cell>
          <cell r="G201">
            <v>5910</v>
          </cell>
          <cell r="H201">
            <v>709.2</v>
          </cell>
          <cell r="I201">
            <v>496.44</v>
          </cell>
          <cell r="J201" t="str">
            <v>MISO004062</v>
          </cell>
          <cell r="K201" t="str">
            <v>VS7</v>
          </cell>
          <cell r="L201" t="str">
            <v>SOCIEDAD</v>
          </cell>
          <cell r="N201">
            <v>9</v>
          </cell>
        </row>
        <row r="202">
          <cell r="A202" t="str">
            <v>MISO004061</v>
          </cell>
          <cell r="B202" t="str">
            <v>210VGRUN</v>
          </cell>
          <cell r="C202" t="str">
            <v>Gruntec</v>
          </cell>
          <cell r="D202" t="str">
            <v>1791344073001</v>
          </cell>
          <cell r="E202" t="str">
            <v>1471</v>
          </cell>
          <cell r="F202" t="str">
            <v>10/05/2004</v>
          </cell>
          <cell r="G202">
            <v>3433.5714285714284</v>
          </cell>
          <cell r="H202">
            <v>412.02857142857141</v>
          </cell>
          <cell r="I202">
            <v>288.42</v>
          </cell>
          <cell r="J202" t="str">
            <v>MISO004061</v>
          </cell>
          <cell r="K202" t="str">
            <v>VS7</v>
          </cell>
          <cell r="L202" t="str">
            <v>SOCIEDAD</v>
          </cell>
          <cell r="N202">
            <v>9</v>
          </cell>
        </row>
        <row r="203">
          <cell r="A203" t="str">
            <v>MISO004148</v>
          </cell>
          <cell r="B203" t="str">
            <v>210VGRUN</v>
          </cell>
          <cell r="C203" t="str">
            <v>Gruntec</v>
          </cell>
          <cell r="D203" t="str">
            <v>1791344073001</v>
          </cell>
          <cell r="E203" t="str">
            <v>1471</v>
          </cell>
          <cell r="F203" t="str">
            <v>10/05/2004</v>
          </cell>
          <cell r="G203">
            <v>1980.42</v>
          </cell>
          <cell r="H203">
            <v>237.65039999999999</v>
          </cell>
          <cell r="I203">
            <v>166.36</v>
          </cell>
          <cell r="J203" t="str">
            <v>MISO004148</v>
          </cell>
          <cell r="K203" t="str">
            <v>VS7</v>
          </cell>
          <cell r="L203" t="str">
            <v>SOCIEDAD</v>
          </cell>
          <cell r="N203">
            <v>9</v>
          </cell>
        </row>
        <row r="204">
          <cell r="A204" t="str">
            <v>MISO004271</v>
          </cell>
          <cell r="B204" t="str">
            <v>210VHDM</v>
          </cell>
          <cell r="C204" t="str">
            <v>Hdm</v>
          </cell>
          <cell r="D204" t="str">
            <v>1790990842001</v>
          </cell>
          <cell r="E204" t="str">
            <v xml:space="preserve"> </v>
          </cell>
          <cell r="F204" t="str">
            <v>20/05/2004</v>
          </cell>
          <cell r="G204">
            <v>449</v>
          </cell>
          <cell r="H204">
            <v>53.879999999999995</v>
          </cell>
          <cell r="I204">
            <v>37.72</v>
          </cell>
          <cell r="J204" t="str">
            <v>MISO004271</v>
          </cell>
          <cell r="K204" t="str">
            <v>VS7</v>
          </cell>
          <cell r="L204" t="str">
            <v>SOCIEDAD</v>
          </cell>
          <cell r="M204" t="str">
            <v>0000010785</v>
          </cell>
          <cell r="N204">
            <v>9</v>
          </cell>
        </row>
        <row r="205">
          <cell r="A205" t="str">
            <v>MISO004205</v>
          </cell>
          <cell r="B205" t="str">
            <v>210VHODE</v>
          </cell>
          <cell r="C205" t="str">
            <v>Hodesa</v>
          </cell>
          <cell r="D205" t="str">
            <v>1791236319001</v>
          </cell>
          <cell r="E205" t="str">
            <v>57145-6-7-</v>
          </cell>
          <cell r="G205">
            <v>568.66999999999996</v>
          </cell>
          <cell r="H205">
            <v>68.240399999999994</v>
          </cell>
          <cell r="J205" t="str">
            <v>MISO004205</v>
          </cell>
          <cell r="K205" t="str">
            <v>RS1</v>
          </cell>
          <cell r="L205" t="str">
            <v>SOCIEDAD</v>
          </cell>
          <cell r="N205">
            <v>9</v>
          </cell>
          <cell r="Q205" t="str">
            <v>VHODE</v>
          </cell>
        </row>
        <row r="206">
          <cell r="A206" t="str">
            <v>MISO004137</v>
          </cell>
          <cell r="B206" t="str">
            <v>210VHODE</v>
          </cell>
          <cell r="C206" t="str">
            <v>Hodesa</v>
          </cell>
          <cell r="D206" t="str">
            <v>1791236319001</v>
          </cell>
          <cell r="E206" t="str">
            <v>57241-162-</v>
          </cell>
          <cell r="G206">
            <v>157.58000000000001</v>
          </cell>
          <cell r="H206">
            <v>18.909600000000001</v>
          </cell>
          <cell r="J206" t="str">
            <v>MISO004137</v>
          </cell>
          <cell r="K206" t="str">
            <v>RS1</v>
          </cell>
          <cell r="L206" t="str">
            <v>SOCIEDAD</v>
          </cell>
          <cell r="M206" t="str">
            <v>0000010817</v>
          </cell>
          <cell r="N206">
            <v>9</v>
          </cell>
          <cell r="Q206" t="str">
            <v>VHODE</v>
          </cell>
        </row>
        <row r="207">
          <cell r="A207" t="str">
            <v>MISO004246</v>
          </cell>
          <cell r="B207" t="str">
            <v>210VHODE</v>
          </cell>
          <cell r="C207" t="str">
            <v>Hodesa</v>
          </cell>
          <cell r="D207" t="str">
            <v>1791236319001</v>
          </cell>
          <cell r="E207" t="str">
            <v>57453-4-5-</v>
          </cell>
          <cell r="G207">
            <v>326.83</v>
          </cell>
          <cell r="H207">
            <v>39.2196</v>
          </cell>
          <cell r="J207" t="str">
            <v>MISO004246</v>
          </cell>
          <cell r="K207" t="str">
            <v>RS1</v>
          </cell>
          <cell r="L207" t="str">
            <v>SOCIEDAD</v>
          </cell>
          <cell r="M207" t="str">
            <v>0000010817</v>
          </cell>
          <cell r="N207">
            <v>9</v>
          </cell>
          <cell r="Q207" t="str">
            <v>VHODE</v>
          </cell>
        </row>
        <row r="208">
          <cell r="A208" t="str">
            <v>MISO004307</v>
          </cell>
          <cell r="B208" t="str">
            <v>210VHODE</v>
          </cell>
          <cell r="C208" t="str">
            <v>Hodesa</v>
          </cell>
          <cell r="D208" t="str">
            <v>1791236319001</v>
          </cell>
          <cell r="E208" t="str">
            <v>57666-5-4</v>
          </cell>
          <cell r="G208">
            <v>435.42</v>
          </cell>
          <cell r="H208">
            <v>52.250399999999999</v>
          </cell>
          <cell r="J208" t="str">
            <v>MISO004307</v>
          </cell>
          <cell r="K208" t="str">
            <v>RS1</v>
          </cell>
          <cell r="L208" t="str">
            <v>SOCIEDAD</v>
          </cell>
          <cell r="N208">
            <v>9</v>
          </cell>
          <cell r="Q208" t="str">
            <v>VHODE</v>
          </cell>
        </row>
        <row r="209">
          <cell r="A209" t="str">
            <v>MISO004048</v>
          </cell>
          <cell r="B209" t="str">
            <v>210VHOAR</v>
          </cell>
          <cell r="C209" t="str">
            <v>Hotel Araza</v>
          </cell>
          <cell r="D209" t="str">
            <v>1702761840001</v>
          </cell>
          <cell r="E209" t="str">
            <v>13763-3444</v>
          </cell>
          <cell r="F209" t="str">
            <v>01/05/2004</v>
          </cell>
          <cell r="G209">
            <v>319.40476190476193</v>
          </cell>
          <cell r="H209">
            <v>38.328571428571429</v>
          </cell>
          <cell r="I209">
            <v>26.83</v>
          </cell>
          <cell r="J209" t="str">
            <v>MISO004048</v>
          </cell>
          <cell r="K209" t="str">
            <v>VS7</v>
          </cell>
          <cell r="L209" t="str">
            <v>P. NATURAL</v>
          </cell>
          <cell r="M209" t="str">
            <v>0000010816</v>
          </cell>
          <cell r="N209">
            <v>0</v>
          </cell>
        </row>
        <row r="210">
          <cell r="A210" t="str">
            <v>MISC003740</v>
          </cell>
          <cell r="B210" t="str">
            <v>210VHOMI</v>
          </cell>
          <cell r="C210" t="str">
            <v>Hotel La Mision</v>
          </cell>
          <cell r="D210" t="str">
            <v>1708876402001</v>
          </cell>
          <cell r="E210" t="str">
            <v>3295</v>
          </cell>
          <cell r="F210" t="str">
            <v>03/05/2004</v>
          </cell>
          <cell r="G210">
            <v>3193.5</v>
          </cell>
          <cell r="H210">
            <v>383.21999999999997</v>
          </cell>
          <cell r="I210">
            <v>268.25</v>
          </cell>
          <cell r="J210" t="str">
            <v>MISC003740</v>
          </cell>
          <cell r="K210" t="str">
            <v>VS7</v>
          </cell>
          <cell r="L210" t="str">
            <v>P. NATURAL</v>
          </cell>
          <cell r="M210" t="str">
            <v>0000010818</v>
          </cell>
          <cell r="N210">
            <v>0</v>
          </cell>
        </row>
        <row r="211">
          <cell r="A211" t="str">
            <v>MISC003835</v>
          </cell>
          <cell r="B211" t="str">
            <v>210VHOMI</v>
          </cell>
          <cell r="C211" t="str">
            <v>Hotel La Mision</v>
          </cell>
          <cell r="D211" t="str">
            <v>1708876402001</v>
          </cell>
          <cell r="E211" t="str">
            <v>3363</v>
          </cell>
          <cell r="F211" t="str">
            <v>25/05/2004</v>
          </cell>
          <cell r="G211">
            <v>785.71428571428578</v>
          </cell>
          <cell r="H211">
            <v>94.285714285714292</v>
          </cell>
          <cell r="I211">
            <v>66</v>
          </cell>
          <cell r="J211" t="str">
            <v>MISC003835</v>
          </cell>
          <cell r="K211" t="str">
            <v>VS7</v>
          </cell>
          <cell r="L211" t="str">
            <v>P. NATURAL</v>
          </cell>
          <cell r="N211">
            <v>0</v>
          </cell>
        </row>
        <row r="212">
          <cell r="A212" t="str">
            <v>MISO004206</v>
          </cell>
          <cell r="B212" t="str">
            <v>210VHTOV</v>
          </cell>
          <cell r="C212" t="str">
            <v>Hotel Oro Verde</v>
          </cell>
          <cell r="D212" t="str">
            <v>0790013425001</v>
          </cell>
          <cell r="E212" t="str">
            <v>39074</v>
          </cell>
          <cell r="G212">
            <v>121</v>
          </cell>
          <cell r="H212">
            <v>14.52</v>
          </cell>
          <cell r="J212" t="str">
            <v>MISO004206</v>
          </cell>
          <cell r="K212" t="str">
            <v>RS1</v>
          </cell>
          <cell r="L212" t="str">
            <v>SOCIEDAD</v>
          </cell>
          <cell r="M212" t="str">
            <v>0000010780</v>
          </cell>
          <cell r="N212">
            <v>9</v>
          </cell>
          <cell r="Q212" t="str">
            <v>VHTOV</v>
          </cell>
        </row>
        <row r="213">
          <cell r="A213" t="str">
            <v>MISO004331</v>
          </cell>
          <cell r="B213" t="str">
            <v>210VHTOV</v>
          </cell>
          <cell r="C213" t="str">
            <v>Hotel Oro Verde</v>
          </cell>
          <cell r="D213" t="str">
            <v>0790013425001</v>
          </cell>
          <cell r="E213" t="str">
            <v>39524</v>
          </cell>
          <cell r="G213">
            <v>311</v>
          </cell>
          <cell r="H213">
            <v>37.32</v>
          </cell>
          <cell r="J213" t="str">
            <v>MISO004331</v>
          </cell>
          <cell r="K213" t="str">
            <v>RS1</v>
          </cell>
          <cell r="L213" t="str">
            <v>SOCIEDAD</v>
          </cell>
          <cell r="N213">
            <v>9</v>
          </cell>
          <cell r="Q213" t="str">
            <v>VHTOV</v>
          </cell>
        </row>
        <row r="214">
          <cell r="A214" t="str">
            <v>MISO004207</v>
          </cell>
          <cell r="B214" t="str">
            <v>210VHTOV</v>
          </cell>
          <cell r="C214" t="str">
            <v>Hotel San Francisco</v>
          </cell>
          <cell r="D214" t="str">
            <v>0700781347001</v>
          </cell>
          <cell r="E214" t="str">
            <v>25670-669</v>
          </cell>
          <cell r="F214" t="str">
            <v>03/05/2004</v>
          </cell>
          <cell r="G214">
            <v>275.47619047619048</v>
          </cell>
          <cell r="H214">
            <v>33.057142857142857</v>
          </cell>
          <cell r="I214">
            <v>23.14</v>
          </cell>
          <cell r="J214" t="str">
            <v>MISO004207</v>
          </cell>
          <cell r="K214" t="str">
            <v>VS7</v>
          </cell>
          <cell r="L214" t="str">
            <v>SOCIEDAD</v>
          </cell>
          <cell r="N214">
            <v>9</v>
          </cell>
        </row>
        <row r="215">
          <cell r="A215" t="str">
            <v>MISO004047</v>
          </cell>
          <cell r="B215" t="str">
            <v>210VHOSF</v>
          </cell>
          <cell r="C215" t="str">
            <v>Hotel San Francisco</v>
          </cell>
          <cell r="D215" t="str">
            <v>0700781347001</v>
          </cell>
          <cell r="E215" t="str">
            <v>25662</v>
          </cell>
          <cell r="F215" t="str">
            <v>02/05/2004</v>
          </cell>
          <cell r="G215">
            <v>361.42857142857144</v>
          </cell>
          <cell r="H215">
            <v>43.371428571428574</v>
          </cell>
          <cell r="I215">
            <v>30.36</v>
          </cell>
          <cell r="J215" t="str">
            <v>MISO004047</v>
          </cell>
          <cell r="K215" t="str">
            <v>VS7</v>
          </cell>
          <cell r="L215" t="str">
            <v>P. NATURAL</v>
          </cell>
          <cell r="M215" t="str">
            <v>0000010778</v>
          </cell>
          <cell r="N215">
            <v>0</v>
          </cell>
        </row>
        <row r="216">
          <cell r="A216" t="str">
            <v>MISO004212</v>
          </cell>
          <cell r="B216" t="str">
            <v>210VHOSF</v>
          </cell>
          <cell r="C216" t="str">
            <v>Hotel San Francisco</v>
          </cell>
          <cell r="D216" t="str">
            <v>0700781347001</v>
          </cell>
          <cell r="E216" t="str">
            <v>25671</v>
          </cell>
          <cell r="F216" t="str">
            <v>03/05/2004</v>
          </cell>
          <cell r="G216">
            <v>363.45238095238096</v>
          </cell>
          <cell r="H216">
            <v>43.614285714285714</v>
          </cell>
          <cell r="I216">
            <v>30.53</v>
          </cell>
          <cell r="J216" t="str">
            <v>MISO004212</v>
          </cell>
          <cell r="K216" t="str">
            <v>VS7</v>
          </cell>
          <cell r="L216" t="str">
            <v>P. NATURAL</v>
          </cell>
          <cell r="M216" t="str">
            <v>0000010778</v>
          </cell>
          <cell r="N216">
            <v>0</v>
          </cell>
        </row>
        <row r="217">
          <cell r="A217" t="str">
            <v>MISO004255</v>
          </cell>
          <cell r="B217" t="str">
            <v>210VIMPS</v>
          </cell>
          <cell r="C217" t="str">
            <v>Impsat</v>
          </cell>
          <cell r="D217" t="str">
            <v>1791252322001</v>
          </cell>
          <cell r="E217" t="str">
            <v>44244</v>
          </cell>
          <cell r="G217">
            <v>2308</v>
          </cell>
          <cell r="H217">
            <v>276.95999999999998</v>
          </cell>
          <cell r="J217" t="str">
            <v>MISO004255</v>
          </cell>
          <cell r="K217" t="str">
            <v>RS1</v>
          </cell>
          <cell r="L217" t="str">
            <v>SOCIEDAD</v>
          </cell>
          <cell r="N217">
            <v>9</v>
          </cell>
          <cell r="Q217" t="str">
            <v>VIMPS</v>
          </cell>
        </row>
        <row r="218">
          <cell r="A218" t="str">
            <v>MISC003789</v>
          </cell>
          <cell r="B218" t="str">
            <v>210VINDM</v>
          </cell>
          <cell r="C218" t="str">
            <v>Industrial Marco</v>
          </cell>
          <cell r="D218" t="str">
            <v>1712039237001</v>
          </cell>
          <cell r="E218" t="str">
            <v>1730</v>
          </cell>
          <cell r="F218" t="str">
            <v>03/05/2004</v>
          </cell>
          <cell r="G218">
            <v>67.976190476190482</v>
          </cell>
          <cell r="H218">
            <v>8.1571428571428566</v>
          </cell>
          <cell r="I218">
            <v>5.71</v>
          </cell>
          <cell r="J218" t="str">
            <v>MISC003789</v>
          </cell>
          <cell r="K218" t="str">
            <v>VS7</v>
          </cell>
          <cell r="L218" t="str">
            <v>P. NATURAL</v>
          </cell>
          <cell r="M218" t="str">
            <v>0000010819</v>
          </cell>
          <cell r="N218">
            <v>1</v>
          </cell>
        </row>
        <row r="219">
          <cell r="A219" t="str">
            <v>MISC003817</v>
          </cell>
          <cell r="B219" t="str">
            <v>210VINDM</v>
          </cell>
          <cell r="C219" t="str">
            <v>Industrial Marco</v>
          </cell>
          <cell r="D219" t="str">
            <v>1712039237001</v>
          </cell>
          <cell r="E219" t="str">
            <v>1741</v>
          </cell>
          <cell r="F219" t="str">
            <v>10/05/2004</v>
          </cell>
          <cell r="G219">
            <v>29</v>
          </cell>
          <cell r="H219">
            <v>3.48</v>
          </cell>
          <cell r="I219">
            <v>2.44</v>
          </cell>
          <cell r="J219" t="str">
            <v>MISC003817</v>
          </cell>
          <cell r="K219" t="str">
            <v>VS7</v>
          </cell>
          <cell r="L219" t="str">
            <v>P. NATURAL</v>
          </cell>
          <cell r="M219" t="str">
            <v>0000010819</v>
          </cell>
          <cell r="N219">
            <v>1</v>
          </cell>
        </row>
        <row r="220">
          <cell r="A220" t="str">
            <v>MISC003828</v>
          </cell>
          <cell r="B220" t="str">
            <v>210VINDM</v>
          </cell>
          <cell r="C220" t="str">
            <v>Industrial Marco</v>
          </cell>
          <cell r="D220" t="str">
            <v>1712039237001</v>
          </cell>
          <cell r="E220" t="str">
            <v>1745</v>
          </cell>
          <cell r="F220" t="str">
            <v>17/05/2004</v>
          </cell>
          <cell r="G220">
            <v>235</v>
          </cell>
          <cell r="H220">
            <v>28.2</v>
          </cell>
          <cell r="I220">
            <v>19.739999999999998</v>
          </cell>
          <cell r="J220" t="str">
            <v>MISC003828</v>
          </cell>
          <cell r="K220" t="str">
            <v>VS7</v>
          </cell>
          <cell r="L220" t="str">
            <v>P. NATURAL</v>
          </cell>
          <cell r="N220">
            <v>1</v>
          </cell>
        </row>
        <row r="221">
          <cell r="A221" t="str">
            <v>MISC003834</v>
          </cell>
          <cell r="B221" t="str">
            <v>210VINDM</v>
          </cell>
          <cell r="C221" t="str">
            <v>Industrial Marco</v>
          </cell>
          <cell r="D221" t="str">
            <v>1712039237001</v>
          </cell>
          <cell r="E221" t="str">
            <v>1750</v>
          </cell>
          <cell r="F221" t="str">
            <v>25/05/2004</v>
          </cell>
          <cell r="G221">
            <v>140</v>
          </cell>
          <cell r="H221">
            <v>16.8</v>
          </cell>
          <cell r="I221">
            <v>11.76</v>
          </cell>
          <cell r="J221" t="str">
            <v>MISC003834</v>
          </cell>
          <cell r="K221" t="str">
            <v>VS7</v>
          </cell>
          <cell r="L221" t="str">
            <v>P. NATURAL</v>
          </cell>
          <cell r="N221">
            <v>1</v>
          </cell>
        </row>
        <row r="222">
          <cell r="A222" t="str">
            <v>MIIV003026</v>
          </cell>
          <cell r="B222" t="str">
            <v>210VOTRO</v>
          </cell>
          <cell r="C222" t="str">
            <v>Infornet S.A.</v>
          </cell>
          <cell r="D222" t="str">
            <v>0991403760001</v>
          </cell>
          <cell r="E222" t="str">
            <v>181053</v>
          </cell>
          <cell r="F222" t="str">
            <v>03/05/2004</v>
          </cell>
          <cell r="G222">
            <v>35.595238095238095</v>
          </cell>
          <cell r="H222">
            <v>4.2714285714285714</v>
          </cell>
          <cell r="I222">
            <v>2.99</v>
          </cell>
          <cell r="J222" t="str">
            <v>MIIV003026</v>
          </cell>
          <cell r="K222" t="str">
            <v>VS7</v>
          </cell>
          <cell r="L222" t="str">
            <v>SOCIEDAD</v>
          </cell>
          <cell r="M222" t="str">
            <v>0000010714</v>
          </cell>
          <cell r="N222">
            <v>9</v>
          </cell>
        </row>
        <row r="223">
          <cell r="A223" t="str">
            <v>MISO004241</v>
          </cell>
          <cell r="B223" t="str">
            <v>210VLAAS</v>
          </cell>
          <cell r="C223" t="str">
            <v>LAAR CIA LTDA</v>
          </cell>
          <cell r="D223" t="str">
            <v>1790403343001</v>
          </cell>
          <cell r="E223" t="str">
            <v>5359</v>
          </cell>
          <cell r="G223">
            <v>1136.92</v>
          </cell>
          <cell r="H223">
            <v>136.43039999999999</v>
          </cell>
          <cell r="J223" t="str">
            <v>MISO004241</v>
          </cell>
          <cell r="K223" t="str">
            <v>RS1</v>
          </cell>
          <cell r="L223" t="str">
            <v>SOCIEDAD</v>
          </cell>
          <cell r="M223" t="str">
            <v>0000010868</v>
          </cell>
          <cell r="N223">
            <v>9</v>
          </cell>
          <cell r="Q223" t="str">
            <v>VLAAS</v>
          </cell>
        </row>
        <row r="224">
          <cell r="A224" t="str">
            <v>MISO004200</v>
          </cell>
          <cell r="B224" t="str">
            <v>210VLAAR</v>
          </cell>
          <cell r="C224" t="str">
            <v>LAARCOM</v>
          </cell>
          <cell r="D224" t="str">
            <v>1791291182001</v>
          </cell>
          <cell r="E224" t="str">
            <v>118125-809</v>
          </cell>
          <cell r="F224" t="str">
            <v>03/05/2004</v>
          </cell>
          <cell r="G224">
            <v>42.976190476190482</v>
          </cell>
          <cell r="H224">
            <v>5.1571428571428575</v>
          </cell>
          <cell r="I224">
            <v>3.61</v>
          </cell>
          <cell r="J224" t="str">
            <v>MISO004200</v>
          </cell>
          <cell r="K224" t="str">
            <v>VS7</v>
          </cell>
          <cell r="L224" t="str">
            <v>SOCIEDAD</v>
          </cell>
          <cell r="M224" t="str">
            <v>0000010822</v>
          </cell>
          <cell r="N224">
            <v>9</v>
          </cell>
        </row>
        <row r="225">
          <cell r="A225" t="str">
            <v>MISC003738</v>
          </cell>
          <cell r="B225" t="str">
            <v>210VLABU</v>
          </cell>
          <cell r="C225" t="str">
            <v>LABSU</v>
          </cell>
          <cell r="D225" t="str">
            <v>1791809785001</v>
          </cell>
          <cell r="E225" t="str">
            <v>1120</v>
          </cell>
          <cell r="F225" t="str">
            <v>03/05/2004</v>
          </cell>
          <cell r="G225">
            <v>920.59523809523819</v>
          </cell>
          <cell r="H225">
            <v>110.47142857142858</v>
          </cell>
          <cell r="I225">
            <v>77.33</v>
          </cell>
          <cell r="J225" t="str">
            <v>MISC003738</v>
          </cell>
          <cell r="K225" t="str">
            <v>VS7</v>
          </cell>
          <cell r="L225" t="str">
            <v>SOCIEDAD</v>
          </cell>
          <cell r="M225" t="str">
            <v>0000010824</v>
          </cell>
          <cell r="N225">
            <v>9</v>
          </cell>
        </row>
        <row r="226">
          <cell r="A226" t="str">
            <v>MIIV003032</v>
          </cell>
          <cell r="B226" t="str">
            <v>210VLAUR</v>
          </cell>
          <cell r="C226" t="str">
            <v>Laurel</v>
          </cell>
          <cell r="D226" t="str">
            <v>1791774094001</v>
          </cell>
          <cell r="E226" t="str">
            <v>630</v>
          </cell>
          <cell r="F226" t="str">
            <v>29/04/2004</v>
          </cell>
          <cell r="G226">
            <v>90</v>
          </cell>
          <cell r="H226">
            <v>10.8</v>
          </cell>
          <cell r="I226">
            <v>7.56</v>
          </cell>
          <cell r="J226" t="str">
            <v>MIIV003032</v>
          </cell>
          <cell r="K226" t="str">
            <v>VS7</v>
          </cell>
          <cell r="L226" t="str">
            <v>SOCIEDAD</v>
          </cell>
          <cell r="M226" t="str">
            <v>0000010823</v>
          </cell>
          <cell r="N226">
            <v>9</v>
          </cell>
        </row>
        <row r="227">
          <cell r="A227" t="str">
            <v>MISO004070</v>
          </cell>
          <cell r="B227" t="str">
            <v>210VLEBR</v>
          </cell>
          <cell r="C227" t="str">
            <v>Leon Bravo Malo Jacobo</v>
          </cell>
          <cell r="D227" t="str">
            <v>1702555929001</v>
          </cell>
          <cell r="E227" t="str">
            <v>41-42</v>
          </cell>
          <cell r="F227" t="str">
            <v>03/05/2004</v>
          </cell>
          <cell r="G227">
            <v>437.7380952380953</v>
          </cell>
          <cell r="H227">
            <v>52.528571428571432</v>
          </cell>
          <cell r="I227">
            <v>36.770000000000003</v>
          </cell>
          <cell r="J227" t="str">
            <v>MISO004070</v>
          </cell>
          <cell r="K227" t="str">
            <v>VS7</v>
          </cell>
          <cell r="L227" t="str">
            <v>P. NATURAL</v>
          </cell>
          <cell r="M227" t="str">
            <v>0000010685</v>
          </cell>
          <cell r="N227">
            <v>0</v>
          </cell>
        </row>
        <row r="228">
          <cell r="A228" t="str">
            <v>MISO004253</v>
          </cell>
          <cell r="B228" t="str">
            <v>210VLEBR</v>
          </cell>
          <cell r="C228" t="str">
            <v>Leon Bravo Malo Jacobo</v>
          </cell>
          <cell r="D228" t="str">
            <v>1702555929001</v>
          </cell>
          <cell r="E228" t="str">
            <v>47-48</v>
          </cell>
          <cell r="F228" t="str">
            <v>17/05/2004</v>
          </cell>
          <cell r="G228">
            <v>644.83000000000004</v>
          </cell>
          <cell r="H228">
            <v>77.379599999999996</v>
          </cell>
          <cell r="I228">
            <v>54.17</v>
          </cell>
          <cell r="J228" t="str">
            <v>MISO004253</v>
          </cell>
          <cell r="K228" t="str">
            <v>VS7</v>
          </cell>
          <cell r="L228" t="str">
            <v>P. NATURAL</v>
          </cell>
          <cell r="M228" t="str">
            <v>0000010722</v>
          </cell>
          <cell r="N228">
            <v>0</v>
          </cell>
        </row>
        <row r="229">
          <cell r="A229" t="str">
            <v>MISO004250</v>
          </cell>
          <cell r="B229" t="str">
            <v>210VLOCS</v>
          </cell>
          <cell r="C229" t="str">
            <v>LOCSAT</v>
          </cell>
          <cell r="D229" t="str">
            <v>1791396766001</v>
          </cell>
          <cell r="E229" t="str">
            <v>14131</v>
          </cell>
          <cell r="F229" t="str">
            <v>06/05/2004</v>
          </cell>
          <cell r="G229">
            <v>114</v>
          </cell>
          <cell r="H229">
            <v>13.68</v>
          </cell>
          <cell r="I229">
            <v>9.58</v>
          </cell>
          <cell r="J229" t="str">
            <v>MISO004250</v>
          </cell>
          <cell r="K229" t="str">
            <v>VS7</v>
          </cell>
          <cell r="L229" t="str">
            <v>SOCIEDAD</v>
          </cell>
          <cell r="M229" t="str">
            <v>0000010782</v>
          </cell>
          <cell r="N229">
            <v>9</v>
          </cell>
        </row>
        <row r="230">
          <cell r="A230" t="str">
            <v>MISC003810</v>
          </cell>
          <cell r="B230" t="str">
            <v>210VMAXS</v>
          </cell>
          <cell r="C230" t="str">
            <v>Maxseconi</v>
          </cell>
          <cell r="D230" t="str">
            <v>1707990279001</v>
          </cell>
          <cell r="E230" t="str">
            <v>881</v>
          </cell>
          <cell r="F230" t="str">
            <v>10/05/2004</v>
          </cell>
          <cell r="G230">
            <v>76.547619047619051</v>
          </cell>
          <cell r="H230">
            <v>9.1857142857142851</v>
          </cell>
          <cell r="I230">
            <v>6.43</v>
          </cell>
          <cell r="J230" t="str">
            <v>MISC003810</v>
          </cell>
          <cell r="K230" t="str">
            <v>VS7</v>
          </cell>
          <cell r="L230" t="str">
            <v>P. NATURAL</v>
          </cell>
          <cell r="N230">
            <v>0</v>
          </cell>
        </row>
        <row r="231">
          <cell r="A231" t="str">
            <v>MISO004054</v>
          </cell>
          <cell r="B231" t="str">
            <v>210VOILS</v>
          </cell>
          <cell r="C231" t="str">
            <v>OILSERVICE</v>
          </cell>
          <cell r="D231" t="str">
            <v>1791412605001</v>
          </cell>
          <cell r="E231" t="str">
            <v>637</v>
          </cell>
          <cell r="F231" t="str">
            <v>03/05/2004</v>
          </cell>
          <cell r="G231">
            <v>6200</v>
          </cell>
          <cell r="H231">
            <v>744</v>
          </cell>
          <cell r="I231">
            <v>520.79999999999995</v>
          </cell>
          <cell r="J231" t="str">
            <v>MISO004054</v>
          </cell>
          <cell r="K231" t="str">
            <v>VS7</v>
          </cell>
          <cell r="L231" t="str">
            <v>SOCIEDAD</v>
          </cell>
          <cell r="M231" t="str">
            <v>0000010830</v>
          </cell>
          <cell r="N231">
            <v>9</v>
          </cell>
        </row>
        <row r="232">
          <cell r="A232" t="str">
            <v>MISO004289</v>
          </cell>
          <cell r="B232" t="str">
            <v>210VPALI</v>
          </cell>
          <cell r="C232" t="str">
            <v>PANAMERICAN LIFE</v>
          </cell>
          <cell r="D232" t="str">
            <v>0990030545001</v>
          </cell>
          <cell r="E232" t="str">
            <v>37067</v>
          </cell>
          <cell r="G232">
            <v>2698.5</v>
          </cell>
          <cell r="H232">
            <v>323.82</v>
          </cell>
          <cell r="J232" t="str">
            <v>MISO004289</v>
          </cell>
          <cell r="K232" t="str">
            <v>RG1</v>
          </cell>
          <cell r="L232" t="str">
            <v>SOCIEDAD</v>
          </cell>
          <cell r="M232" t="str">
            <v>0000010765</v>
          </cell>
          <cell r="N232">
            <v>9</v>
          </cell>
          <cell r="Q232" t="str">
            <v>VPALI</v>
          </cell>
        </row>
        <row r="233">
          <cell r="A233" t="str">
            <v>MISO003622</v>
          </cell>
          <cell r="B233" t="str">
            <v>210VPRED</v>
          </cell>
          <cell r="C233" t="str">
            <v>Predictiva</v>
          </cell>
          <cell r="D233" t="str">
            <v>1708523657001</v>
          </cell>
          <cell r="E233" t="str">
            <v>1889</v>
          </cell>
          <cell r="F233" t="str">
            <v>10/05/2004</v>
          </cell>
          <cell r="G233">
            <v>520</v>
          </cell>
          <cell r="H233">
            <v>62.4</v>
          </cell>
          <cell r="I233">
            <v>43.68</v>
          </cell>
          <cell r="J233" t="str">
            <v>MISO003622</v>
          </cell>
          <cell r="K233" t="str">
            <v>VS7</v>
          </cell>
          <cell r="L233" t="str">
            <v>P. NATURAL</v>
          </cell>
          <cell r="M233" t="str">
            <v>0000010870</v>
          </cell>
          <cell r="N233">
            <v>0</v>
          </cell>
        </row>
        <row r="234">
          <cell r="A234" t="str">
            <v>MISO003526</v>
          </cell>
          <cell r="B234" t="str">
            <v>210VPRED</v>
          </cell>
          <cell r="C234" t="str">
            <v>Predictiva</v>
          </cell>
          <cell r="D234" t="str">
            <v>1708523657001</v>
          </cell>
          <cell r="E234" t="str">
            <v>1888</v>
          </cell>
          <cell r="F234" t="str">
            <v>10/05/2004</v>
          </cell>
          <cell r="G234">
            <v>520</v>
          </cell>
          <cell r="H234">
            <v>62.4</v>
          </cell>
          <cell r="I234">
            <v>43.68</v>
          </cell>
          <cell r="J234" t="str">
            <v>MISO003526</v>
          </cell>
          <cell r="K234" t="str">
            <v>VS7</v>
          </cell>
          <cell r="L234" t="str">
            <v>P. NATURAL</v>
          </cell>
          <cell r="M234" t="str">
            <v>0000010870</v>
          </cell>
          <cell r="N234">
            <v>0</v>
          </cell>
        </row>
        <row r="235">
          <cell r="A235" t="str">
            <v>MISO004233</v>
          </cell>
          <cell r="B235" t="str">
            <v>210VPRED</v>
          </cell>
          <cell r="C235" t="str">
            <v>Predictiva</v>
          </cell>
          <cell r="D235" t="str">
            <v>1708523657001</v>
          </cell>
          <cell r="E235" t="str">
            <v>1907</v>
          </cell>
          <cell r="F235" t="str">
            <v>25/05/2004</v>
          </cell>
          <cell r="G235">
            <v>260</v>
          </cell>
          <cell r="H235">
            <v>31.2</v>
          </cell>
          <cell r="I235">
            <v>21.84</v>
          </cell>
          <cell r="J235" t="str">
            <v>MISO004233</v>
          </cell>
          <cell r="K235" t="str">
            <v>VS7</v>
          </cell>
          <cell r="L235" t="str">
            <v>P. NATURAL</v>
          </cell>
          <cell r="N235">
            <v>0</v>
          </cell>
        </row>
        <row r="236">
          <cell r="C236" t="str">
            <v>PETROPRODUCCION</v>
          </cell>
        </row>
        <row r="237">
          <cell r="A237" t="str">
            <v>MISO004173</v>
          </cell>
          <cell r="B237" t="str">
            <v>210VPROT</v>
          </cell>
          <cell r="C237" t="str">
            <v>PROTEL</v>
          </cell>
          <cell r="D237" t="str">
            <v>1710550532001</v>
          </cell>
          <cell r="E237" t="str">
            <v>866</v>
          </cell>
          <cell r="F237" t="str">
            <v>24/05/2004</v>
          </cell>
          <cell r="G237">
            <v>56</v>
          </cell>
          <cell r="H237">
            <v>6.72</v>
          </cell>
          <cell r="I237">
            <v>4.7</v>
          </cell>
          <cell r="J237" t="str">
            <v>MISO004173</v>
          </cell>
          <cell r="K237" t="str">
            <v>VS7</v>
          </cell>
          <cell r="L237" t="str">
            <v>P. NATURAL</v>
          </cell>
          <cell r="N237">
            <v>1</v>
          </cell>
        </row>
        <row r="238">
          <cell r="A238" t="str">
            <v>MISO004055</v>
          </cell>
          <cell r="B238" t="str">
            <v>210VRSTO</v>
          </cell>
          <cell r="C238" t="str">
            <v>R.S. ROTH</v>
          </cell>
          <cell r="D238" t="str">
            <v>1791805348001</v>
          </cell>
          <cell r="E238" t="str">
            <v>634</v>
          </cell>
          <cell r="F238" t="str">
            <v>10/05/2004</v>
          </cell>
          <cell r="G238">
            <v>9765</v>
          </cell>
          <cell r="H238">
            <v>1171.8</v>
          </cell>
          <cell r="I238">
            <v>820.26</v>
          </cell>
          <cell r="J238" t="str">
            <v>MISO004055</v>
          </cell>
          <cell r="K238" t="str">
            <v>VS7</v>
          </cell>
          <cell r="L238" t="str">
            <v>SOCIEDAD</v>
          </cell>
          <cell r="N238">
            <v>9</v>
          </cell>
        </row>
        <row r="239">
          <cell r="A239" t="str">
            <v>MIPC001213</v>
          </cell>
          <cell r="B239" t="str">
            <v>210VREET</v>
          </cell>
          <cell r="C239" t="str">
            <v>Restaurant El Turista</v>
          </cell>
          <cell r="D239" t="str">
            <v>0201108941001</v>
          </cell>
          <cell r="E239" t="str">
            <v>200</v>
          </cell>
          <cell r="F239" t="str">
            <v>10/05/2004</v>
          </cell>
          <cell r="G239">
            <v>1977.3809523809525</v>
          </cell>
          <cell r="H239">
            <v>237.28571428571428</v>
          </cell>
          <cell r="I239">
            <v>166.1</v>
          </cell>
          <cell r="J239" t="str">
            <v>MIPC001213</v>
          </cell>
          <cell r="K239" t="str">
            <v>VS7</v>
          </cell>
          <cell r="L239" t="str">
            <v>P. NATURAL</v>
          </cell>
          <cell r="M239" t="str">
            <v>0000010769</v>
          </cell>
          <cell r="N239">
            <v>0</v>
          </cell>
        </row>
        <row r="240">
          <cell r="A240" t="str">
            <v>MISC003794</v>
          </cell>
          <cell r="B240" t="str">
            <v>210VREET</v>
          </cell>
          <cell r="C240" t="str">
            <v>Restaurant El Turista</v>
          </cell>
          <cell r="D240" t="str">
            <v>0201108941001</v>
          </cell>
          <cell r="E240" t="str">
            <v>192</v>
          </cell>
          <cell r="F240" t="str">
            <v>03/05/2004</v>
          </cell>
          <cell r="G240">
            <v>200</v>
          </cell>
          <cell r="H240">
            <v>24</v>
          </cell>
          <cell r="I240">
            <v>16.8</v>
          </cell>
          <cell r="J240" t="str">
            <v>MISC003794</v>
          </cell>
          <cell r="K240" t="str">
            <v>VS7</v>
          </cell>
          <cell r="L240" t="str">
            <v>P. NATURAL</v>
          </cell>
          <cell r="M240" t="str">
            <v>0000010838</v>
          </cell>
          <cell r="N240">
            <v>0</v>
          </cell>
        </row>
        <row r="241">
          <cell r="A241" t="str">
            <v>MISC003841</v>
          </cell>
          <cell r="B241" t="str">
            <v>210VLORA</v>
          </cell>
          <cell r="C241" t="str">
            <v>RICARDO LORA</v>
          </cell>
          <cell r="D241" t="str">
            <v xml:space="preserve"> </v>
          </cell>
          <cell r="E241" t="str">
            <v>67</v>
          </cell>
          <cell r="F241" t="str">
            <v>25/05/2004</v>
          </cell>
          <cell r="G241">
            <v>900</v>
          </cell>
          <cell r="H241">
            <v>108</v>
          </cell>
          <cell r="I241">
            <v>75.599999999999994</v>
          </cell>
          <cell r="J241" t="str">
            <v>MISC003841</v>
          </cell>
          <cell r="K241" t="str">
            <v>VS7</v>
          </cell>
          <cell r="L241" t="str">
            <v>P. NATURAL</v>
          </cell>
        </row>
        <row r="242">
          <cell r="A242" t="str">
            <v>MISO004147</v>
          </cell>
          <cell r="B242" t="str">
            <v>210VRAMI</v>
          </cell>
          <cell r="C242" t="str">
            <v>Ricardo Ramirez</v>
          </cell>
          <cell r="D242" t="str">
            <v>1705636890001</v>
          </cell>
          <cell r="E242" t="str">
            <v>7665-142</v>
          </cell>
          <cell r="F242" t="str">
            <v>03/05/2004</v>
          </cell>
          <cell r="G242">
            <v>600</v>
          </cell>
          <cell r="H242">
            <v>72</v>
          </cell>
          <cell r="I242">
            <v>50.4</v>
          </cell>
          <cell r="J242" t="str">
            <v>MISO004147</v>
          </cell>
          <cell r="K242" t="str">
            <v>VS7</v>
          </cell>
          <cell r="L242" t="str">
            <v>P. NATURAL</v>
          </cell>
          <cell r="N242">
            <v>0</v>
          </cell>
        </row>
        <row r="243">
          <cell r="A243" t="str">
            <v>MISO004058</v>
          </cell>
          <cell r="B243" t="str">
            <v>210VRAMI</v>
          </cell>
          <cell r="C243" t="str">
            <v>Ricardo Ramirez</v>
          </cell>
          <cell r="D243" t="str">
            <v>1705636890001</v>
          </cell>
          <cell r="E243" t="str">
            <v>7665-142</v>
          </cell>
          <cell r="F243" t="str">
            <v>03/05/2004</v>
          </cell>
          <cell r="G243">
            <v>3720</v>
          </cell>
          <cell r="H243">
            <v>446.4</v>
          </cell>
          <cell r="I243">
            <v>312.48</v>
          </cell>
          <cell r="J243" t="str">
            <v>MISO004058</v>
          </cell>
          <cell r="K243" t="str">
            <v>VS7</v>
          </cell>
          <cell r="L243" t="str">
            <v>P. NATURAL</v>
          </cell>
          <cell r="N243">
            <v>0</v>
          </cell>
        </row>
        <row r="244">
          <cell r="A244" t="str">
            <v>MISO004059</v>
          </cell>
          <cell r="B244" t="str">
            <v>210VRAMI</v>
          </cell>
          <cell r="C244" t="str">
            <v>Ricardo Ramirez</v>
          </cell>
          <cell r="D244" t="str">
            <v>1705636890001</v>
          </cell>
          <cell r="E244" t="str">
            <v>7665-142</v>
          </cell>
          <cell r="F244" t="str">
            <v>03/05/2004</v>
          </cell>
          <cell r="G244">
            <v>10540</v>
          </cell>
          <cell r="H244">
            <v>1264.8</v>
          </cell>
          <cell r="I244">
            <v>885.36</v>
          </cell>
          <cell r="J244" t="str">
            <v>MISO004059</v>
          </cell>
          <cell r="K244" t="str">
            <v>VS7</v>
          </cell>
          <cell r="L244" t="str">
            <v>P. NATURAL</v>
          </cell>
          <cell r="N244">
            <v>0</v>
          </cell>
        </row>
        <row r="245">
          <cell r="A245" t="str">
            <v>MISO004056</v>
          </cell>
          <cell r="B245" t="str">
            <v>210VRAMI</v>
          </cell>
          <cell r="C245" t="str">
            <v>Ricardo Ramirez</v>
          </cell>
          <cell r="D245" t="str">
            <v>1705636890001</v>
          </cell>
          <cell r="E245" t="str">
            <v>7665-142</v>
          </cell>
          <cell r="F245" t="str">
            <v>03/05/2004</v>
          </cell>
          <cell r="G245">
            <v>1860</v>
          </cell>
          <cell r="H245">
            <v>223.2</v>
          </cell>
          <cell r="I245">
            <v>156.24</v>
          </cell>
          <cell r="J245" t="str">
            <v>MISO004056</v>
          </cell>
          <cell r="K245" t="str">
            <v>VS7</v>
          </cell>
          <cell r="L245" t="str">
            <v>P. NATURAL</v>
          </cell>
          <cell r="N245">
            <v>0</v>
          </cell>
        </row>
        <row r="246">
          <cell r="A246" t="str">
            <v>MISO004145</v>
          </cell>
          <cell r="B246" t="str">
            <v>210VRAMI</v>
          </cell>
          <cell r="C246" t="str">
            <v>Ricardo Ramirez</v>
          </cell>
          <cell r="D246" t="str">
            <v>1705636890001</v>
          </cell>
          <cell r="E246" t="str">
            <v>7665-142</v>
          </cell>
          <cell r="F246" t="str">
            <v>03/05/2004</v>
          </cell>
          <cell r="G246">
            <v>1100</v>
          </cell>
          <cell r="H246">
            <v>132</v>
          </cell>
          <cell r="I246">
            <v>92.4</v>
          </cell>
          <cell r="J246" t="str">
            <v>MISO004145</v>
          </cell>
          <cell r="K246" t="str">
            <v>VS7</v>
          </cell>
          <cell r="L246" t="str">
            <v>P. NATURAL</v>
          </cell>
          <cell r="N246">
            <v>0</v>
          </cell>
        </row>
        <row r="247">
          <cell r="A247" t="str">
            <v>MISO004052</v>
          </cell>
          <cell r="B247" t="str">
            <v>210VRAMI</v>
          </cell>
          <cell r="C247" t="str">
            <v>Ricardo Ramirez</v>
          </cell>
          <cell r="D247" t="str">
            <v>1705636890001</v>
          </cell>
          <cell r="E247" t="str">
            <v>7665-142</v>
          </cell>
          <cell r="F247" t="str">
            <v>03/05/2004</v>
          </cell>
          <cell r="G247">
            <v>2000</v>
          </cell>
          <cell r="H247">
            <v>240</v>
          </cell>
          <cell r="I247">
            <v>168</v>
          </cell>
          <cell r="J247" t="str">
            <v>MISO004052</v>
          </cell>
          <cell r="K247" t="str">
            <v>VS7</v>
          </cell>
          <cell r="L247" t="str">
            <v>P. NATURAL</v>
          </cell>
          <cell r="N247">
            <v>0</v>
          </cell>
        </row>
        <row r="248">
          <cell r="A248" t="str">
            <v>MIIV003043</v>
          </cell>
          <cell r="B248" t="str">
            <v>210VSCHL</v>
          </cell>
          <cell r="C248" t="str">
            <v>Schlumberger Surenco S.A</v>
          </cell>
          <cell r="D248" t="str">
            <v>0990101094001</v>
          </cell>
          <cell r="E248" t="str">
            <v>13380</v>
          </cell>
          <cell r="G248">
            <v>275</v>
          </cell>
          <cell r="H248">
            <v>33</v>
          </cell>
          <cell r="J248" t="str">
            <v>MIIV003043</v>
          </cell>
          <cell r="K248" t="str">
            <v>RS1</v>
          </cell>
          <cell r="L248" t="str">
            <v>SOCIEDAD</v>
          </cell>
          <cell r="M248" t="str">
            <v>0000010841</v>
          </cell>
          <cell r="N248">
            <v>9</v>
          </cell>
          <cell r="Q248" t="str">
            <v>VSCHL</v>
          </cell>
        </row>
        <row r="249">
          <cell r="A249" t="str">
            <v>MIIV003044</v>
          </cell>
          <cell r="B249" t="str">
            <v>210VSCHL</v>
          </cell>
          <cell r="C249" t="str">
            <v>Schlumberger Surenco S.A</v>
          </cell>
          <cell r="D249" t="str">
            <v>0990101094001</v>
          </cell>
          <cell r="E249" t="str">
            <v>13381</v>
          </cell>
          <cell r="G249">
            <v>274.08</v>
          </cell>
          <cell r="H249">
            <v>32.889599999999994</v>
          </cell>
          <cell r="J249" t="str">
            <v>MIIV003044</v>
          </cell>
          <cell r="K249" t="str">
            <v>RS1</v>
          </cell>
          <cell r="L249" t="str">
            <v>SOCIEDAD</v>
          </cell>
          <cell r="M249" t="str">
            <v>0000010841</v>
          </cell>
          <cell r="N249">
            <v>9</v>
          </cell>
          <cell r="Q249" t="str">
            <v>VSCHL</v>
          </cell>
        </row>
        <row r="250">
          <cell r="A250" t="str">
            <v>MISO003954</v>
          </cell>
          <cell r="B250" t="str">
            <v>210VSEGE</v>
          </cell>
          <cell r="C250" t="str">
            <v>Seguros Equinoccial</v>
          </cell>
          <cell r="D250" t="str">
            <v>1790007502001</v>
          </cell>
          <cell r="E250" t="str">
            <v>78013</v>
          </cell>
          <cell r="G250">
            <v>1181.67</v>
          </cell>
          <cell r="H250">
            <v>141.8004</v>
          </cell>
          <cell r="J250" t="str">
            <v>MISO003954</v>
          </cell>
          <cell r="K250" t="str">
            <v>RG1</v>
          </cell>
          <cell r="L250" t="str">
            <v>SOCIEDAD</v>
          </cell>
          <cell r="M250" t="str">
            <v>0000010776</v>
          </cell>
          <cell r="N250">
            <v>9</v>
          </cell>
          <cell r="Q250" t="str">
            <v>VSEGE</v>
          </cell>
        </row>
        <row r="251">
          <cell r="A251" t="str">
            <v>MISO004168</v>
          </cell>
          <cell r="B251" t="str">
            <v>210VSEGE</v>
          </cell>
          <cell r="C251" t="str">
            <v>Seguros Equinoccial</v>
          </cell>
          <cell r="D251" t="str">
            <v>1790007502001</v>
          </cell>
          <cell r="E251" t="str">
            <v>78021</v>
          </cell>
          <cell r="G251">
            <v>1195.83</v>
          </cell>
          <cell r="H251">
            <v>143.49959999999999</v>
          </cell>
          <cell r="J251" t="str">
            <v>MISO004168</v>
          </cell>
          <cell r="K251" t="str">
            <v>RG1</v>
          </cell>
          <cell r="L251" t="str">
            <v>SOCIEDAD</v>
          </cell>
          <cell r="M251" t="str">
            <v>0000010776</v>
          </cell>
          <cell r="N251">
            <v>9</v>
          </cell>
          <cell r="Q251" t="str">
            <v>VSEGE</v>
          </cell>
        </row>
        <row r="252">
          <cell r="A252" t="str">
            <v>MIIV003019</v>
          </cell>
          <cell r="B252" t="str">
            <v>210VSEMA</v>
          </cell>
          <cell r="C252" t="str">
            <v>Semad</v>
          </cell>
          <cell r="D252" t="str">
            <v>1791203844001</v>
          </cell>
          <cell r="E252" t="str">
            <v>13416-17</v>
          </cell>
          <cell r="F252" t="str">
            <v>29/04/2004</v>
          </cell>
          <cell r="G252">
            <v>21</v>
          </cell>
          <cell r="H252">
            <v>2.52</v>
          </cell>
          <cell r="I252">
            <v>1.76</v>
          </cell>
          <cell r="J252" t="str">
            <v>MIIV003019</v>
          </cell>
          <cell r="K252" t="str">
            <v>VS7</v>
          </cell>
          <cell r="L252" t="str">
            <v>SOCIEDAD</v>
          </cell>
          <cell r="M252" t="str">
            <v>0000010707</v>
          </cell>
          <cell r="N252">
            <v>9</v>
          </cell>
        </row>
        <row r="253">
          <cell r="A253" t="str">
            <v>MISC003736</v>
          </cell>
          <cell r="B253" t="str">
            <v>210VSEMA</v>
          </cell>
          <cell r="C253" t="str">
            <v>Semad</v>
          </cell>
          <cell r="D253" t="str">
            <v>1791203844001</v>
          </cell>
          <cell r="E253" t="str">
            <v>13571-72</v>
          </cell>
          <cell r="F253" t="str">
            <v>12/05/2004</v>
          </cell>
          <cell r="G253">
            <v>261.33</v>
          </cell>
          <cell r="H253">
            <v>31.359599999999997</v>
          </cell>
          <cell r="I253">
            <v>21.95</v>
          </cell>
          <cell r="J253" t="str">
            <v>MISC003736</v>
          </cell>
          <cell r="K253" t="str">
            <v>VS7</v>
          </cell>
          <cell r="L253" t="str">
            <v>SOCIEDAD</v>
          </cell>
          <cell r="M253" t="str">
            <v>0000010723</v>
          </cell>
          <cell r="N253">
            <v>9</v>
          </cell>
        </row>
        <row r="254">
          <cell r="A254" t="str">
            <v>MISO004124</v>
          </cell>
          <cell r="B254" t="str">
            <v>210VSEMA</v>
          </cell>
          <cell r="C254" t="str">
            <v>Semad</v>
          </cell>
          <cell r="D254" t="str">
            <v>1791203844001</v>
          </cell>
          <cell r="E254" t="str">
            <v>13573-74</v>
          </cell>
          <cell r="F254" t="str">
            <v>12/05/2004</v>
          </cell>
          <cell r="G254">
            <v>48.25</v>
          </cell>
          <cell r="H254">
            <v>5.79</v>
          </cell>
          <cell r="I254">
            <v>4.05</v>
          </cell>
          <cell r="J254" t="str">
            <v>MISO004124</v>
          </cell>
          <cell r="K254" t="str">
            <v>VS7</v>
          </cell>
          <cell r="L254" t="str">
            <v>SOCIEDAD</v>
          </cell>
          <cell r="M254" t="str">
            <v>0000010723</v>
          </cell>
          <cell r="N254">
            <v>9</v>
          </cell>
        </row>
        <row r="255">
          <cell r="A255" t="str">
            <v>MISO004165</v>
          </cell>
          <cell r="B255" t="str">
            <v>210VSEMA</v>
          </cell>
          <cell r="C255" t="str">
            <v>Semad</v>
          </cell>
          <cell r="D255" t="str">
            <v>1791203844001</v>
          </cell>
          <cell r="E255" t="str">
            <v>13568</v>
          </cell>
          <cell r="F255" t="str">
            <v>12/05/2004</v>
          </cell>
          <cell r="G255">
            <v>2686.4285714285716</v>
          </cell>
          <cell r="H255">
            <v>322.37142857142857</v>
          </cell>
          <cell r="I255">
            <v>225.66</v>
          </cell>
          <cell r="J255" t="str">
            <v>MISO004165</v>
          </cell>
          <cell r="K255" t="str">
            <v>VS7</v>
          </cell>
          <cell r="L255" t="str">
            <v>SOCIEDAD</v>
          </cell>
          <cell r="M255" t="str">
            <v>0000010723</v>
          </cell>
          <cell r="N255">
            <v>9</v>
          </cell>
        </row>
        <row r="256">
          <cell r="A256" t="str">
            <v>MISO004239</v>
          </cell>
          <cell r="B256" t="str">
            <v>210VSEMA</v>
          </cell>
          <cell r="C256" t="str">
            <v>Semad</v>
          </cell>
          <cell r="D256" t="str">
            <v>1791203844001</v>
          </cell>
          <cell r="E256" t="str">
            <v>13528-529</v>
          </cell>
          <cell r="F256" t="str">
            <v>10/05/2004</v>
          </cell>
          <cell r="G256">
            <v>10.5</v>
          </cell>
          <cell r="H256">
            <v>1.26</v>
          </cell>
          <cell r="I256">
            <v>0.88</v>
          </cell>
          <cell r="J256" t="str">
            <v>MISO004239</v>
          </cell>
          <cell r="K256" t="str">
            <v>VS7</v>
          </cell>
          <cell r="L256" t="str">
            <v>SOCIEDAD</v>
          </cell>
          <cell r="M256" t="str">
            <v>0000010775</v>
          </cell>
          <cell r="N256">
            <v>9</v>
          </cell>
        </row>
        <row r="257">
          <cell r="A257" t="str">
            <v>MISO004238</v>
          </cell>
          <cell r="B257" t="str">
            <v>210VSEMA</v>
          </cell>
          <cell r="C257" t="str">
            <v>Semad</v>
          </cell>
          <cell r="D257" t="str">
            <v>1791203844001</v>
          </cell>
          <cell r="E257" t="str">
            <v>13530-31</v>
          </cell>
          <cell r="F257" t="str">
            <v>10/05/2004</v>
          </cell>
          <cell r="G257">
            <v>3</v>
          </cell>
          <cell r="H257">
            <v>0.36</v>
          </cell>
          <cell r="I257">
            <v>0.25</v>
          </cell>
          <cell r="J257" t="str">
            <v>MISO004238</v>
          </cell>
          <cell r="K257" t="str">
            <v>VS7</v>
          </cell>
          <cell r="L257" t="str">
            <v>SOCIEDAD</v>
          </cell>
          <cell r="M257" t="str">
            <v>0000010775</v>
          </cell>
          <cell r="N257">
            <v>9</v>
          </cell>
        </row>
        <row r="258">
          <cell r="A258" t="str">
            <v>MISO004288</v>
          </cell>
          <cell r="B258" t="str">
            <v>210VSEMA</v>
          </cell>
          <cell r="C258" t="str">
            <v>Semad</v>
          </cell>
          <cell r="D258" t="str">
            <v>1791203844001</v>
          </cell>
          <cell r="E258" t="str">
            <v>13575-6-46</v>
          </cell>
          <cell r="F258" t="str">
            <v>12/05/2004</v>
          </cell>
          <cell r="G258">
            <v>100</v>
          </cell>
          <cell r="H258">
            <v>12</v>
          </cell>
          <cell r="I258">
            <v>8.4</v>
          </cell>
          <cell r="J258" t="str">
            <v>MISO004288</v>
          </cell>
          <cell r="K258" t="str">
            <v>VS7</v>
          </cell>
          <cell r="L258" t="str">
            <v>SOCIEDAD</v>
          </cell>
          <cell r="N258">
            <v>9</v>
          </cell>
        </row>
        <row r="259">
          <cell r="A259" t="str">
            <v>MISO004300</v>
          </cell>
          <cell r="B259" t="str">
            <v>210VSTOE</v>
          </cell>
          <cell r="C259" t="str">
            <v>Stoes S.A.</v>
          </cell>
          <cell r="D259" t="str">
            <v>0991391940001</v>
          </cell>
          <cell r="E259" t="str">
            <v>5233</v>
          </cell>
          <cell r="F259" t="str">
            <v>17/05/2004</v>
          </cell>
          <cell r="G259">
            <v>53.58</v>
          </cell>
          <cell r="H259">
            <v>6.4295999999999998</v>
          </cell>
          <cell r="I259">
            <v>4.5</v>
          </cell>
          <cell r="J259" t="str">
            <v>MISO004300</v>
          </cell>
          <cell r="K259" t="str">
            <v>VS7</v>
          </cell>
          <cell r="L259" t="str">
            <v>SOCIEDAD</v>
          </cell>
          <cell r="N259">
            <v>9</v>
          </cell>
        </row>
        <row r="260">
          <cell r="A260" t="str">
            <v>MISO004057</v>
          </cell>
          <cell r="B260" t="str">
            <v>210VTERR</v>
          </cell>
          <cell r="C260" t="str">
            <v>Terrigeno Gold Mine S.A.</v>
          </cell>
          <cell r="D260" t="str">
            <v>1791320972001</v>
          </cell>
          <cell r="E260" t="str">
            <v>397</v>
          </cell>
          <cell r="F260" t="str">
            <v>03/05/2004</v>
          </cell>
          <cell r="G260">
            <v>9000</v>
          </cell>
          <cell r="H260">
            <v>1080</v>
          </cell>
          <cell r="I260">
            <v>756</v>
          </cell>
          <cell r="J260" t="str">
            <v>MISO004057</v>
          </cell>
          <cell r="K260" t="str">
            <v>VS7</v>
          </cell>
          <cell r="L260" t="str">
            <v>SOCIEDAD</v>
          </cell>
          <cell r="M260" t="str">
            <v>0000010848</v>
          </cell>
          <cell r="N260">
            <v>9</v>
          </cell>
        </row>
        <row r="261">
          <cell r="A261" t="str">
            <v>MISO002398</v>
          </cell>
          <cell r="B261" t="str">
            <v>210VTOBR</v>
          </cell>
          <cell r="C261" t="str">
            <v>Tobar &amp; Bustamante</v>
          </cell>
          <cell r="D261" t="str">
            <v>1791290119001</v>
          </cell>
          <cell r="E261" t="str">
            <v>3724</v>
          </cell>
          <cell r="F261" t="str">
            <v>12/05/2004</v>
          </cell>
          <cell r="G261">
            <v>163.83000000000001</v>
          </cell>
          <cell r="H261">
            <v>19.659600000000001</v>
          </cell>
          <cell r="I261">
            <v>13.76</v>
          </cell>
          <cell r="J261" t="str">
            <v>MISO002398</v>
          </cell>
          <cell r="K261" t="str">
            <v>VS7</v>
          </cell>
          <cell r="L261" t="str">
            <v>SOCIEDAD</v>
          </cell>
          <cell r="N261">
            <v>9</v>
          </cell>
        </row>
        <row r="262">
          <cell r="A262" t="str">
            <v>MISO004078</v>
          </cell>
          <cell r="B262" t="str">
            <v>210VTOBR</v>
          </cell>
          <cell r="C262" t="str">
            <v>Tobar &amp; Bustamante</v>
          </cell>
          <cell r="D262" t="str">
            <v>1791290119001</v>
          </cell>
          <cell r="E262" t="str">
            <v>3723</v>
          </cell>
          <cell r="F262" t="str">
            <v>12/05/2004</v>
          </cell>
          <cell r="G262">
            <v>690</v>
          </cell>
          <cell r="H262">
            <v>82.8</v>
          </cell>
          <cell r="I262">
            <v>57.96</v>
          </cell>
          <cell r="J262" t="str">
            <v>MISO004078</v>
          </cell>
          <cell r="K262" t="str">
            <v>VS7</v>
          </cell>
          <cell r="L262" t="str">
            <v>SOCIEDAD</v>
          </cell>
          <cell r="N262">
            <v>9</v>
          </cell>
        </row>
        <row r="263">
          <cell r="A263" t="str">
            <v>MISO003605</v>
          </cell>
          <cell r="B263" t="str">
            <v>210VTOBR</v>
          </cell>
          <cell r="C263" t="str">
            <v>Tobar &amp; Bustamante</v>
          </cell>
          <cell r="D263" t="str">
            <v>1791290119001</v>
          </cell>
          <cell r="E263" t="str">
            <v>3603-3604</v>
          </cell>
          <cell r="F263" t="str">
            <v>25/03/2004</v>
          </cell>
          <cell r="G263">
            <v>2122.08</v>
          </cell>
          <cell r="H263">
            <v>254.64959999999999</v>
          </cell>
          <cell r="I263">
            <v>178.26</v>
          </cell>
          <cell r="J263" t="str">
            <v>MISO003605</v>
          </cell>
          <cell r="K263" t="str">
            <v>VS7</v>
          </cell>
          <cell r="L263" t="str">
            <v>SOCIEDAD</v>
          </cell>
          <cell r="M263" t="str">
            <v>0000010873</v>
          </cell>
          <cell r="N263">
            <v>9</v>
          </cell>
        </row>
        <row r="264">
          <cell r="A264" t="str">
            <v>MISO003796</v>
          </cell>
          <cell r="B264" t="str">
            <v>210VTOBR</v>
          </cell>
          <cell r="C264" t="str">
            <v>Tobar &amp; Bustamante</v>
          </cell>
          <cell r="D264" t="str">
            <v>1791290119001</v>
          </cell>
          <cell r="E264" t="str">
            <v>3672</v>
          </cell>
          <cell r="F264" t="str">
            <v>19/04/2004</v>
          </cell>
          <cell r="G264">
            <v>1946.1904761904761</v>
          </cell>
          <cell r="H264">
            <v>233.54285714285712</v>
          </cell>
          <cell r="I264">
            <v>163.47999999999999</v>
          </cell>
          <cell r="J264" t="str">
            <v>MISO003796</v>
          </cell>
          <cell r="K264" t="str">
            <v>VS7</v>
          </cell>
          <cell r="L264" t="str">
            <v>SOCIEDAD</v>
          </cell>
          <cell r="M264" t="str">
            <v>0000010873</v>
          </cell>
          <cell r="N264">
            <v>9</v>
          </cell>
        </row>
        <row r="265">
          <cell r="A265" t="str">
            <v>MISO004013</v>
          </cell>
          <cell r="B265" t="str">
            <v>210VTRIA</v>
          </cell>
          <cell r="C265" t="str">
            <v>Triada Service</v>
          </cell>
          <cell r="D265" t="str">
            <v>1791404173001</v>
          </cell>
          <cell r="E265" t="str">
            <v>316</v>
          </cell>
          <cell r="F265" t="str">
            <v>10/05/2004</v>
          </cell>
          <cell r="G265">
            <v>1908</v>
          </cell>
          <cell r="H265">
            <v>228.95999999999998</v>
          </cell>
          <cell r="I265">
            <v>160.27000000000001</v>
          </cell>
          <cell r="J265" t="str">
            <v>MISO004013</v>
          </cell>
          <cell r="K265" t="str">
            <v>VS7</v>
          </cell>
          <cell r="L265" t="str">
            <v>SOCIEDAD</v>
          </cell>
          <cell r="M265" t="str">
            <v>0000010871</v>
          </cell>
          <cell r="N265">
            <v>9</v>
          </cell>
        </row>
        <row r="266">
          <cell r="G266">
            <v>130041.86095238094</v>
          </cell>
          <cell r="H266">
            <v>15605.023314285712</v>
          </cell>
          <cell r="I266">
            <v>9519.5</v>
          </cell>
        </row>
        <row r="268">
          <cell r="G268">
            <v>521896.10695238091</v>
          </cell>
          <cell r="H268">
            <v>57303.834994285717</v>
          </cell>
          <cell r="I268">
            <v>33435.78</v>
          </cell>
        </row>
        <row r="269">
          <cell r="E269" t="str">
            <v>MAYOR 250000020</v>
          </cell>
          <cell r="I269">
            <v>33687.78</v>
          </cell>
        </row>
        <row r="270">
          <cell r="E270" t="str">
            <v>DIFERENCIA</v>
          </cell>
          <cell r="I270">
            <v>-252</v>
          </cell>
        </row>
        <row r="271">
          <cell r="E271" t="str">
            <v>EXPLICACION:  RETENCIONES POR CONTABILIZAR SEGÚN DETALLE ADJUNTO</v>
          </cell>
        </row>
        <row r="274">
          <cell r="I274">
            <v>57604.060000000034</v>
          </cell>
        </row>
        <row r="275">
          <cell r="I275">
            <v>4353.08</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Estado de Resultados"/>
      <sheetName val="Liquidez"/>
      <sheetName val="Rentabilidad"/>
      <sheetName val="Endeudamiento"/>
      <sheetName val="Tickmarks"/>
      <sheetName val="Ayuda"/>
      <sheetName val="Vtas-Compras Unid."/>
      <sheetName val="Vtas-Costo US$"/>
      <sheetName val="2001-2000"/>
      <sheetName val="Marcas"/>
      <sheetName val="Escisión"/>
      <sheetName val="Otros Procedimientos Analíticos"/>
      <sheetName val="Preliminar"/>
      <sheetName val="PyG Mensual"/>
      <sheetName val="Vtas-Costo Veh."/>
      <sheetName val="Vtas-Costo US$ Rep."/>
      <sheetName val="Gastos"/>
    </sheetNames>
    <sheetDataSet>
      <sheetData sheetId="0" refreshError="1">
        <row r="3">
          <cell r="E3">
            <v>0</v>
          </cell>
          <cell r="F3">
            <v>0</v>
          </cell>
        </row>
        <row r="6">
          <cell r="C6">
            <v>722</v>
          </cell>
          <cell r="D6">
            <v>-0.60803324099722988</v>
          </cell>
          <cell r="G6" t="str">
            <v>{a}</v>
          </cell>
        </row>
        <row r="7">
          <cell r="C7">
            <v>241</v>
          </cell>
          <cell r="D7">
            <v>0</v>
          </cell>
        </row>
        <row r="8">
          <cell r="C8">
            <v>2323</v>
          </cell>
          <cell r="D8">
            <v>0.18424451140766251</v>
          </cell>
          <cell r="G8" t="str">
            <v>{b}</v>
          </cell>
        </row>
        <row r="10">
          <cell r="C10">
            <v>3286</v>
          </cell>
          <cell r="D10">
            <v>-7.6688983566646385E-2</v>
          </cell>
          <cell r="G10">
            <v>0</v>
          </cell>
        </row>
        <row r="12">
          <cell r="C12">
            <v>1096</v>
          </cell>
          <cell r="D12">
            <v>0.41332116788321166</v>
          </cell>
          <cell r="G12" t="str">
            <v>{c}</v>
          </cell>
        </row>
        <row r="13">
          <cell r="C13">
            <v>258299</v>
          </cell>
          <cell r="D13">
            <v>113000</v>
          </cell>
          <cell r="G13" t="str">
            <v>{c}</v>
          </cell>
        </row>
        <row r="15">
          <cell r="C15">
            <v>4476</v>
          </cell>
          <cell r="D15">
            <v>4.6246648793565687E-2</v>
          </cell>
          <cell r="G15">
            <v>0</v>
          </cell>
        </row>
        <row r="17">
          <cell r="C17">
            <v>2393435</v>
          </cell>
          <cell r="D17">
            <v>2780000</v>
          </cell>
          <cell r="G17" t="str">
            <v>{d}</v>
          </cell>
        </row>
        <row r="18">
          <cell r="C18">
            <v>2956797</v>
          </cell>
          <cell r="D18">
            <v>0</v>
          </cell>
          <cell r="G18" t="str">
            <v>{c}</v>
          </cell>
        </row>
        <row r="19">
          <cell r="C19">
            <v>38958</v>
          </cell>
          <cell r="D19">
            <v>49000</v>
          </cell>
          <cell r="G19" t="str">
            <v>{d}</v>
          </cell>
        </row>
        <row r="22">
          <cell r="C22">
            <v>6812</v>
          </cell>
          <cell r="D22">
            <v>0.12463300058719906</v>
          </cell>
          <cell r="G22">
            <v>0</v>
          </cell>
        </row>
        <row r="24">
          <cell r="C24">
            <v>1146</v>
          </cell>
          <cell r="D24">
            <v>0.20418848167539266</v>
          </cell>
          <cell r="G24" t="str">
            <v>{g}</v>
          </cell>
        </row>
        <row r="25">
          <cell r="C25">
            <v>223</v>
          </cell>
          <cell r="D25">
            <v>0.34080717488789236</v>
          </cell>
          <cell r="G25" t="str">
            <v>{g}</v>
          </cell>
        </row>
        <row r="26">
          <cell r="C26">
            <v>25815</v>
          </cell>
          <cell r="D26">
            <v>27000</v>
          </cell>
          <cell r="G26" t="str">
            <v>{g}</v>
          </cell>
        </row>
        <row r="29">
          <cell r="C29">
            <v>2530</v>
          </cell>
          <cell r="D29">
            <v>0.13952569169960474</v>
          </cell>
          <cell r="G29">
            <v>0</v>
          </cell>
        </row>
        <row r="31">
          <cell r="C31">
            <v>386800</v>
          </cell>
          <cell r="D31">
            <v>722000</v>
          </cell>
          <cell r="G31" t="str">
            <v>{i}</v>
          </cell>
        </row>
        <row r="32">
          <cell r="C32">
            <v>122</v>
          </cell>
          <cell r="D32">
            <v>-0.95901639344262291</v>
          </cell>
        </row>
        <row r="33">
          <cell r="C33">
            <v>1138704</v>
          </cell>
          <cell r="D33">
            <v>389000</v>
          </cell>
        </row>
        <row r="35">
          <cell r="C35">
            <v>4282</v>
          </cell>
          <cell r="D35">
            <v>0.11583372255955161</v>
          </cell>
          <cell r="G35">
            <v>0</v>
          </cell>
        </row>
        <row r="37">
          <cell r="C37">
            <v>6812</v>
          </cell>
          <cell r="D37">
            <v>0.12463300058719906</v>
          </cell>
          <cell r="G37">
            <v>0</v>
          </cell>
        </row>
      </sheetData>
      <sheetData sheetId="1" refreshError="1">
        <row r="3">
          <cell r="E3">
            <v>0</v>
          </cell>
          <cell r="G3">
            <v>0</v>
          </cell>
          <cell r="H3">
            <v>0</v>
          </cell>
        </row>
        <row r="6">
          <cell r="B6">
            <v>14089</v>
          </cell>
          <cell r="C6">
            <v>13245</v>
          </cell>
          <cell r="I6">
            <v>12656</v>
          </cell>
        </row>
        <row r="7">
          <cell r="B7">
            <v>3110</v>
          </cell>
          <cell r="C7">
            <v>2188</v>
          </cell>
          <cell r="I7">
            <v>1685</v>
          </cell>
        </row>
        <row r="9">
          <cell r="B9">
            <v>-2666</v>
          </cell>
          <cell r="C9">
            <v>-1847</v>
          </cell>
          <cell r="I9">
            <v>-1287</v>
          </cell>
        </row>
        <row r="11">
          <cell r="B11">
            <v>1520</v>
          </cell>
          <cell r="C11">
            <v>1526</v>
          </cell>
          <cell r="I11">
            <v>1919</v>
          </cell>
        </row>
        <row r="12">
          <cell r="B12">
            <v>302674</v>
          </cell>
          <cell r="C12">
            <v>160192</v>
          </cell>
          <cell r="I12">
            <v>-0.87146947806846287</v>
          </cell>
        </row>
        <row r="14">
          <cell r="B14">
            <v>-468</v>
          </cell>
          <cell r="C14">
            <v>-543</v>
          </cell>
          <cell r="I14">
            <v>-401</v>
          </cell>
        </row>
        <row r="15">
          <cell r="B15">
            <v>-491</v>
          </cell>
          <cell r="C15">
            <v>-367</v>
          </cell>
          <cell r="I15">
            <v>0</v>
          </cell>
        </row>
        <row r="17">
          <cell r="B17">
            <v>1069875</v>
          </cell>
          <cell r="C17">
            <v>1077947</v>
          </cell>
          <cell r="I17">
            <v>-738</v>
          </cell>
        </row>
        <row r="19">
          <cell r="C19">
            <v>38958</v>
          </cell>
          <cell r="I19">
            <v>-401</v>
          </cell>
        </row>
        <row r="22">
          <cell r="B22">
            <v>-513664</v>
          </cell>
          <cell r="C22">
            <v>-824758</v>
          </cell>
          <cell r="I22">
            <v>780</v>
          </cell>
        </row>
        <row r="24">
          <cell r="C24">
            <v>1146</v>
          </cell>
        </row>
        <row r="26">
          <cell r="C26">
            <v>1076</v>
          </cell>
        </row>
        <row r="31">
          <cell r="B31">
            <v>542806</v>
          </cell>
          <cell r="C31">
            <v>-146000</v>
          </cell>
        </row>
        <row r="32">
          <cell r="B32">
            <v>-2949384</v>
          </cell>
          <cell r="C32">
            <v>-2656000</v>
          </cell>
          <cell r="I32">
            <v>0</v>
          </cell>
        </row>
        <row r="33">
          <cell r="B33">
            <v>3303</v>
          </cell>
          <cell r="C33">
            <v>3330</v>
          </cell>
          <cell r="I33">
            <v>2517</v>
          </cell>
        </row>
      </sheetData>
      <sheetData sheetId="2">
        <row r="3">
          <cell r="F3">
            <v>0</v>
          </cell>
        </row>
      </sheetData>
      <sheetData sheetId="3"/>
      <sheetData sheetId="4"/>
      <sheetData sheetId="5"/>
      <sheetData sheetId="6"/>
      <sheetData sheetId="7"/>
      <sheetData sheetId="8">
        <row r="3">
          <cell r="G3">
            <v>0</v>
          </cell>
        </row>
      </sheetData>
      <sheetData sheetId="9">
        <row r="3">
          <cell r="G3">
            <v>0</v>
          </cell>
        </row>
      </sheetData>
      <sheetData sheetId="10"/>
      <sheetData sheetId="11">
        <row r="3">
          <cell r="F3">
            <v>0</v>
          </cell>
        </row>
      </sheetData>
      <sheetData sheetId="12">
        <row r="3">
          <cell r="G3">
            <v>0</v>
          </cell>
        </row>
      </sheetData>
      <sheetData sheetId="13"/>
      <sheetData sheetId="14"/>
      <sheetData sheetId="15"/>
      <sheetData sheetId="16"/>
      <sheetData sheetId="17"/>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Summary"/>
      <sheetName val="Balance Sheet"/>
      <sheetName val="Income Statement"/>
      <sheetName val="Ratios"/>
      <sheetName val="Graphs"/>
      <sheetName val="Graphs Data"/>
      <sheetName val="Other Analytical Procedures"/>
      <sheetName val="Tickmarks"/>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Summary"/>
      <sheetName val="Balance Sheet"/>
      <sheetName val="Income Statement"/>
      <sheetName val="Ratios"/>
      <sheetName val="Graphs"/>
      <sheetName val="Graphs Data"/>
      <sheetName val="Other Analytical Procedures"/>
      <sheetName val="Tickmarks"/>
    </sheetNames>
    <sheetDataSet>
      <sheetData sheetId="0"/>
      <sheetData sheetId="1"/>
      <sheetData sheetId="2">
        <row r="4">
          <cell r="E4">
            <v>0.15</v>
          </cell>
        </row>
        <row r="8">
          <cell r="K8">
            <v>1411199</v>
          </cell>
        </row>
        <row r="12">
          <cell r="K12">
            <v>5263976</v>
          </cell>
        </row>
        <row r="18">
          <cell r="K18">
            <v>6334576</v>
          </cell>
        </row>
        <row r="25">
          <cell r="K25">
            <v>6958319</v>
          </cell>
          <cell r="L25">
            <v>4897445</v>
          </cell>
        </row>
        <row r="27">
          <cell r="C27">
            <v>-715626</v>
          </cell>
          <cell r="D27">
            <v>-268242</v>
          </cell>
          <cell r="J27">
            <v>-180617</v>
          </cell>
          <cell r="K27">
            <v>-841311</v>
          </cell>
        </row>
        <row r="28">
          <cell r="K28">
            <v>-1219015</v>
          </cell>
        </row>
        <row r="29">
          <cell r="C29">
            <v>0</v>
          </cell>
          <cell r="D29">
            <v>0</v>
          </cell>
          <cell r="J29">
            <v>0</v>
          </cell>
          <cell r="K29">
            <v>0</v>
          </cell>
        </row>
        <row r="32">
          <cell r="K32">
            <v>-2243297</v>
          </cell>
          <cell r="L32">
            <v>-1031119</v>
          </cell>
        </row>
        <row r="35">
          <cell r="K35">
            <v>-3866323</v>
          </cell>
          <cell r="L35">
            <v>-3069780</v>
          </cell>
        </row>
        <row r="38">
          <cell r="K38">
            <v>-4715022</v>
          </cell>
          <cell r="L38">
            <v>-3866326</v>
          </cell>
        </row>
        <row r="40">
          <cell r="K40">
            <v>-6958319</v>
          </cell>
          <cell r="L40">
            <v>-4897445</v>
          </cell>
        </row>
      </sheetData>
      <sheetData sheetId="3">
        <row r="3">
          <cell r="C3">
            <v>40329</v>
          </cell>
          <cell r="E3">
            <v>39964</v>
          </cell>
          <cell r="L3">
            <v>39599</v>
          </cell>
          <cell r="N3">
            <v>39233</v>
          </cell>
        </row>
        <row r="8">
          <cell r="N8">
            <v>-4632585</v>
          </cell>
        </row>
        <row r="9">
          <cell r="N9">
            <v>3796743</v>
          </cell>
        </row>
        <row r="11">
          <cell r="N11">
            <v>-835842</v>
          </cell>
        </row>
        <row r="13">
          <cell r="N13">
            <v>308750</v>
          </cell>
        </row>
        <row r="14">
          <cell r="N14">
            <v>0</v>
          </cell>
        </row>
        <row r="15">
          <cell r="N15">
            <v>-14203</v>
          </cell>
        </row>
        <row r="16">
          <cell r="N16">
            <v>0</v>
          </cell>
        </row>
        <row r="18">
          <cell r="N18">
            <v>-541295</v>
          </cell>
        </row>
        <row r="20">
          <cell r="N20">
            <v>0</v>
          </cell>
        </row>
        <row r="22">
          <cell r="N22">
            <v>-541295</v>
          </cell>
        </row>
        <row r="24">
          <cell r="N24">
            <v>0</v>
          </cell>
        </row>
        <row r="26">
          <cell r="C26">
            <v>-232081</v>
          </cell>
          <cell r="E26">
            <v>-318314</v>
          </cell>
          <cell r="L26">
            <v>-470214</v>
          </cell>
          <cell r="N26">
            <v>-541295</v>
          </cell>
        </row>
        <row r="28">
          <cell r="C28">
            <v>0</v>
          </cell>
          <cell r="E28">
            <v>0</v>
          </cell>
          <cell r="L28">
            <v>0</v>
          </cell>
          <cell r="N28">
            <v>0</v>
          </cell>
        </row>
        <row r="30">
          <cell r="C30">
            <v>-232081</v>
          </cell>
          <cell r="E30">
            <v>-318314</v>
          </cell>
          <cell r="L30">
            <v>-470214</v>
          </cell>
          <cell r="N30">
            <v>-541295</v>
          </cell>
        </row>
        <row r="32">
          <cell r="C32">
            <v>0</v>
          </cell>
          <cell r="E32">
            <v>0</v>
          </cell>
          <cell r="L32">
            <v>0</v>
          </cell>
          <cell r="N32">
            <v>0</v>
          </cell>
        </row>
        <row r="34">
          <cell r="C34">
            <v>-232081</v>
          </cell>
          <cell r="E34">
            <v>-318314</v>
          </cell>
          <cell r="L34">
            <v>-470214</v>
          </cell>
          <cell r="N34">
            <v>-541295</v>
          </cell>
        </row>
      </sheetData>
      <sheetData sheetId="4"/>
      <sheetData sheetId="5"/>
      <sheetData sheetId="6"/>
      <sheetData sheetId="7"/>
      <sheetData sheetId="8"/>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Links"/>
      <sheetName val="XREF"/>
      <sheetName val="Tickmarks"/>
    </sheetNames>
    <sheetDataSet>
      <sheetData sheetId="0" refreshError="1">
        <row r="2">
          <cell r="H2" t="str">
            <v>AJE</v>
          </cell>
          <cell r="J2" t="str">
            <v>RJE</v>
          </cell>
          <cell r="K2" t="str">
            <v>Final</v>
          </cell>
        </row>
        <row r="4">
          <cell r="H4">
            <v>0</v>
          </cell>
          <cell r="J4">
            <v>0</v>
          </cell>
          <cell r="K4">
            <v>267482</v>
          </cell>
        </row>
        <row r="5">
          <cell r="H5">
            <v>0</v>
          </cell>
          <cell r="J5">
            <v>0</v>
          </cell>
          <cell r="K5">
            <v>155510</v>
          </cell>
        </row>
        <row r="6">
          <cell r="H6">
            <v>0</v>
          </cell>
          <cell r="J6">
            <v>0</v>
          </cell>
          <cell r="K6">
            <v>0</v>
          </cell>
        </row>
        <row r="7">
          <cell r="H7">
            <v>0</v>
          </cell>
          <cell r="J7">
            <v>0</v>
          </cell>
          <cell r="K7">
            <v>0</v>
          </cell>
        </row>
        <row r="8">
          <cell r="H8">
            <v>0</v>
          </cell>
          <cell r="J8">
            <v>0</v>
          </cell>
          <cell r="K8">
            <v>0</v>
          </cell>
        </row>
        <row r="9">
          <cell r="H9">
            <v>0</v>
          </cell>
          <cell r="J9">
            <v>0</v>
          </cell>
          <cell r="K9">
            <v>0</v>
          </cell>
        </row>
        <row r="10">
          <cell r="H10">
            <v>0</v>
          </cell>
          <cell r="J10">
            <v>0</v>
          </cell>
          <cell r="K10">
            <v>422992</v>
          </cell>
        </row>
        <row r="11">
          <cell r="H11">
            <v>0</v>
          </cell>
          <cell r="J11">
            <v>120966</v>
          </cell>
          <cell r="K11">
            <v>0</v>
          </cell>
        </row>
        <row r="12">
          <cell r="H12">
            <v>0</v>
          </cell>
          <cell r="J12">
            <v>0</v>
          </cell>
          <cell r="K12">
            <v>162219</v>
          </cell>
        </row>
        <row r="13">
          <cell r="H13">
            <v>0</v>
          </cell>
          <cell r="J13">
            <v>0</v>
          </cell>
          <cell r="K13">
            <v>162219</v>
          </cell>
        </row>
        <row r="14">
          <cell r="H14">
            <v>0</v>
          </cell>
          <cell r="J14">
            <v>86479</v>
          </cell>
          <cell r="K14">
            <v>0</v>
          </cell>
        </row>
        <row r="15">
          <cell r="H15">
            <v>0</v>
          </cell>
          <cell r="J15">
            <v>0</v>
          </cell>
          <cell r="K15">
            <v>0</v>
          </cell>
        </row>
        <row r="16">
          <cell r="H16">
            <v>0</v>
          </cell>
          <cell r="J16">
            <v>0</v>
          </cell>
          <cell r="K16">
            <v>18000</v>
          </cell>
        </row>
        <row r="17">
          <cell r="H17">
            <v>0</v>
          </cell>
          <cell r="J17">
            <v>0</v>
          </cell>
          <cell r="K17">
            <v>0</v>
          </cell>
        </row>
        <row r="18">
          <cell r="H18">
            <v>0</v>
          </cell>
          <cell r="J18">
            <v>0</v>
          </cell>
          <cell r="K18">
            <v>0</v>
          </cell>
        </row>
        <row r="19">
          <cell r="H19">
            <v>0</v>
          </cell>
          <cell r="J19">
            <v>0</v>
          </cell>
          <cell r="K19">
            <v>493</v>
          </cell>
        </row>
        <row r="20">
          <cell r="H20">
            <v>0</v>
          </cell>
          <cell r="J20">
            <v>0</v>
          </cell>
          <cell r="K20">
            <v>7536</v>
          </cell>
        </row>
        <row r="21">
          <cell r="H21">
            <v>0</v>
          </cell>
          <cell r="J21">
            <v>0</v>
          </cell>
          <cell r="K21">
            <v>0</v>
          </cell>
        </row>
        <row r="22">
          <cell r="H22">
            <v>0</v>
          </cell>
          <cell r="J22">
            <v>0</v>
          </cell>
          <cell r="K22">
            <v>0</v>
          </cell>
        </row>
        <row r="23">
          <cell r="H23">
            <v>0</v>
          </cell>
          <cell r="J23">
            <v>0</v>
          </cell>
          <cell r="K23">
            <v>0</v>
          </cell>
        </row>
        <row r="24">
          <cell r="H24">
            <v>0</v>
          </cell>
          <cell r="J24">
            <v>0</v>
          </cell>
          <cell r="K24">
            <v>1459</v>
          </cell>
        </row>
        <row r="25">
          <cell r="H25">
            <v>0</v>
          </cell>
          <cell r="J25">
            <v>0</v>
          </cell>
          <cell r="K25">
            <v>6511</v>
          </cell>
        </row>
        <row r="26">
          <cell r="H26">
            <v>0</v>
          </cell>
          <cell r="J26">
            <v>0</v>
          </cell>
          <cell r="K26">
            <v>367</v>
          </cell>
        </row>
        <row r="27">
          <cell r="H27">
            <v>0</v>
          </cell>
          <cell r="J27">
            <v>0</v>
          </cell>
          <cell r="K27">
            <v>327</v>
          </cell>
        </row>
        <row r="28">
          <cell r="H28">
            <v>0</v>
          </cell>
          <cell r="J28">
            <v>0</v>
          </cell>
          <cell r="K28">
            <v>43</v>
          </cell>
        </row>
        <row r="29">
          <cell r="H29">
            <v>0</v>
          </cell>
          <cell r="J29">
            <v>0</v>
          </cell>
          <cell r="K29">
            <v>34736</v>
          </cell>
        </row>
        <row r="31">
          <cell r="H31">
            <v>0</v>
          </cell>
          <cell r="J31">
            <v>0</v>
          </cell>
          <cell r="K31">
            <v>16628</v>
          </cell>
        </row>
        <row r="32">
          <cell r="H32">
            <v>0</v>
          </cell>
          <cell r="J32">
            <v>0</v>
          </cell>
          <cell r="K32">
            <v>137767</v>
          </cell>
        </row>
        <row r="33">
          <cell r="H33">
            <v>0</v>
          </cell>
          <cell r="J33">
            <v>0</v>
          </cell>
          <cell r="K33">
            <v>19462</v>
          </cell>
        </row>
        <row r="34">
          <cell r="H34">
            <v>0</v>
          </cell>
          <cell r="J34">
            <v>0</v>
          </cell>
          <cell r="K34">
            <v>3204</v>
          </cell>
        </row>
        <row r="35">
          <cell r="H35">
            <v>0</v>
          </cell>
          <cell r="J35">
            <v>0</v>
          </cell>
          <cell r="K35">
            <v>4035</v>
          </cell>
        </row>
        <row r="36">
          <cell r="H36">
            <v>0</v>
          </cell>
          <cell r="J36">
            <v>0</v>
          </cell>
          <cell r="K36">
            <v>2393</v>
          </cell>
        </row>
        <row r="37">
          <cell r="H37">
            <v>0</v>
          </cell>
          <cell r="J37">
            <v>0</v>
          </cell>
          <cell r="K37">
            <v>3184</v>
          </cell>
        </row>
        <row r="38">
          <cell r="H38">
            <v>0</v>
          </cell>
          <cell r="J38">
            <v>0</v>
          </cell>
          <cell r="K38">
            <v>54120</v>
          </cell>
        </row>
        <row r="39">
          <cell r="H39">
            <v>0</v>
          </cell>
          <cell r="J39">
            <v>0</v>
          </cell>
          <cell r="K39">
            <v>0</v>
          </cell>
        </row>
        <row r="40">
          <cell r="H40">
            <v>0</v>
          </cell>
          <cell r="J40">
            <v>0</v>
          </cell>
          <cell r="K40">
            <v>0</v>
          </cell>
        </row>
        <row r="41">
          <cell r="H41">
            <v>0</v>
          </cell>
          <cell r="J41">
            <v>0</v>
          </cell>
          <cell r="K41">
            <v>0</v>
          </cell>
        </row>
        <row r="42">
          <cell r="H42">
            <v>0</v>
          </cell>
          <cell r="J42">
            <v>0</v>
          </cell>
          <cell r="K42">
            <v>0</v>
          </cell>
        </row>
        <row r="43">
          <cell r="H43">
            <v>0</v>
          </cell>
          <cell r="J43">
            <v>0</v>
          </cell>
          <cell r="K43">
            <v>0</v>
          </cell>
        </row>
        <row r="44">
          <cell r="H44">
            <v>0</v>
          </cell>
          <cell r="J44">
            <v>0</v>
          </cell>
          <cell r="K44">
            <v>0</v>
          </cell>
        </row>
        <row r="45">
          <cell r="H45">
            <v>0</v>
          </cell>
          <cell r="J45">
            <v>0</v>
          </cell>
          <cell r="K45">
            <v>0</v>
          </cell>
        </row>
        <row r="46">
          <cell r="H46">
            <v>0</v>
          </cell>
          <cell r="J46">
            <v>0</v>
          </cell>
          <cell r="K46">
            <v>240793</v>
          </cell>
        </row>
        <row r="48">
          <cell r="H48">
            <v>0</v>
          </cell>
          <cell r="J48">
            <v>0</v>
          </cell>
          <cell r="K48">
            <v>0</v>
          </cell>
        </row>
        <row r="49">
          <cell r="H49">
            <v>0</v>
          </cell>
          <cell r="J49">
            <v>0</v>
          </cell>
          <cell r="K49">
            <v>0</v>
          </cell>
        </row>
        <row r="50">
          <cell r="H50">
            <v>0</v>
          </cell>
          <cell r="J50">
            <v>0</v>
          </cell>
          <cell r="K50">
            <v>0</v>
          </cell>
        </row>
        <row r="51">
          <cell r="H51">
            <v>0</v>
          </cell>
          <cell r="J51">
            <v>0</v>
          </cell>
          <cell r="K51">
            <v>51058</v>
          </cell>
        </row>
        <row r="52">
          <cell r="H52">
            <v>0</v>
          </cell>
          <cell r="J52">
            <v>0</v>
          </cell>
          <cell r="K52">
            <v>0</v>
          </cell>
        </row>
        <row r="53">
          <cell r="H53">
            <v>0</v>
          </cell>
          <cell r="J53">
            <v>0</v>
          </cell>
          <cell r="K53">
            <v>0</v>
          </cell>
        </row>
        <row r="54">
          <cell r="H54">
            <v>0</v>
          </cell>
          <cell r="J54">
            <v>0</v>
          </cell>
          <cell r="K54">
            <v>0</v>
          </cell>
        </row>
        <row r="55">
          <cell r="H55">
            <v>0</v>
          </cell>
          <cell r="J55">
            <v>0</v>
          </cell>
          <cell r="K55">
            <v>0</v>
          </cell>
        </row>
        <row r="56">
          <cell r="H56">
            <v>0</v>
          </cell>
          <cell r="J56">
            <v>0</v>
          </cell>
          <cell r="K56">
            <v>0</v>
          </cell>
        </row>
        <row r="57">
          <cell r="H57">
            <v>0</v>
          </cell>
          <cell r="J57">
            <v>0</v>
          </cell>
          <cell r="K57">
            <v>2513</v>
          </cell>
        </row>
        <row r="58">
          <cell r="H58">
            <v>0</v>
          </cell>
          <cell r="J58">
            <v>0</v>
          </cell>
          <cell r="K58">
            <v>0</v>
          </cell>
        </row>
        <row r="59">
          <cell r="H59">
            <v>0</v>
          </cell>
          <cell r="J59">
            <v>0</v>
          </cell>
          <cell r="K59">
            <v>0</v>
          </cell>
        </row>
        <row r="60">
          <cell r="H60">
            <v>0</v>
          </cell>
          <cell r="J60">
            <v>0</v>
          </cell>
          <cell r="K60">
            <v>0</v>
          </cell>
        </row>
        <row r="61">
          <cell r="H61">
            <v>0</v>
          </cell>
          <cell r="J61">
            <v>0</v>
          </cell>
          <cell r="K61">
            <v>0</v>
          </cell>
        </row>
        <row r="62">
          <cell r="H62">
            <v>0</v>
          </cell>
          <cell r="J62">
            <v>0</v>
          </cell>
          <cell r="K62">
            <v>25269</v>
          </cell>
        </row>
        <row r="63">
          <cell r="H63">
            <v>0</v>
          </cell>
          <cell r="J63">
            <v>0</v>
          </cell>
          <cell r="K63">
            <v>9861</v>
          </cell>
        </row>
        <row r="64">
          <cell r="H64">
            <v>0</v>
          </cell>
          <cell r="J64">
            <v>0</v>
          </cell>
          <cell r="K64">
            <v>0</v>
          </cell>
        </row>
        <row r="65">
          <cell r="H65">
            <v>0</v>
          </cell>
          <cell r="J65">
            <v>0</v>
          </cell>
          <cell r="K65">
            <v>21475</v>
          </cell>
        </row>
        <row r="66">
          <cell r="H66">
            <v>0</v>
          </cell>
          <cell r="J66">
            <v>0</v>
          </cell>
          <cell r="K66">
            <v>39138</v>
          </cell>
        </row>
        <row r="67">
          <cell r="H67">
            <v>0</v>
          </cell>
          <cell r="J67">
            <v>0</v>
          </cell>
          <cell r="K67">
            <v>0</v>
          </cell>
        </row>
        <row r="68">
          <cell r="H68">
            <v>0</v>
          </cell>
          <cell r="J68">
            <v>0</v>
          </cell>
          <cell r="K68">
            <v>120649</v>
          </cell>
        </row>
        <row r="69">
          <cell r="H69">
            <v>0</v>
          </cell>
          <cell r="J69">
            <v>0</v>
          </cell>
          <cell r="K69">
            <v>0</v>
          </cell>
        </row>
        <row r="70">
          <cell r="H70">
            <v>0</v>
          </cell>
          <cell r="J70">
            <v>0</v>
          </cell>
          <cell r="K70">
            <v>196</v>
          </cell>
        </row>
        <row r="71">
          <cell r="H71">
            <v>0</v>
          </cell>
          <cell r="J71">
            <v>0</v>
          </cell>
          <cell r="K71">
            <v>0</v>
          </cell>
        </row>
        <row r="72">
          <cell r="H72">
            <v>0</v>
          </cell>
          <cell r="J72">
            <v>0</v>
          </cell>
          <cell r="K72">
            <v>0</v>
          </cell>
        </row>
        <row r="73">
          <cell r="H73">
            <v>0</v>
          </cell>
          <cell r="J73">
            <v>0</v>
          </cell>
          <cell r="K73">
            <v>0</v>
          </cell>
        </row>
        <row r="74">
          <cell r="H74">
            <v>0</v>
          </cell>
          <cell r="J74">
            <v>0</v>
          </cell>
          <cell r="K74">
            <v>2000</v>
          </cell>
        </row>
        <row r="75">
          <cell r="H75">
            <v>0</v>
          </cell>
          <cell r="J75">
            <v>0</v>
          </cell>
          <cell r="K75">
            <v>0</v>
          </cell>
        </row>
        <row r="76">
          <cell r="H76">
            <v>0</v>
          </cell>
          <cell r="J76">
            <v>0</v>
          </cell>
          <cell r="K76">
            <v>0</v>
          </cell>
        </row>
        <row r="77">
          <cell r="H77">
            <v>0</v>
          </cell>
          <cell r="J77">
            <v>0</v>
          </cell>
          <cell r="K77">
            <v>0</v>
          </cell>
        </row>
        <row r="78">
          <cell r="H78">
            <v>0</v>
          </cell>
          <cell r="J78">
            <v>0</v>
          </cell>
          <cell r="K78">
            <v>878</v>
          </cell>
        </row>
        <row r="79">
          <cell r="H79">
            <v>0</v>
          </cell>
          <cell r="J79">
            <v>0</v>
          </cell>
          <cell r="K79">
            <v>0</v>
          </cell>
        </row>
        <row r="80">
          <cell r="H80">
            <v>0</v>
          </cell>
          <cell r="J80">
            <v>0</v>
          </cell>
          <cell r="K80">
            <v>90</v>
          </cell>
        </row>
        <row r="81">
          <cell r="H81">
            <v>0</v>
          </cell>
          <cell r="J81">
            <v>0</v>
          </cell>
          <cell r="K81">
            <v>0</v>
          </cell>
        </row>
        <row r="82">
          <cell r="H82">
            <v>0</v>
          </cell>
          <cell r="J82">
            <v>0</v>
          </cell>
          <cell r="K82">
            <v>0</v>
          </cell>
        </row>
        <row r="83">
          <cell r="H83">
            <v>0</v>
          </cell>
          <cell r="J83">
            <v>0</v>
          </cell>
          <cell r="K83">
            <v>0</v>
          </cell>
        </row>
        <row r="84">
          <cell r="H84">
            <v>0</v>
          </cell>
          <cell r="J84">
            <v>0</v>
          </cell>
          <cell r="K84">
            <v>0</v>
          </cell>
        </row>
        <row r="85">
          <cell r="H85">
            <v>0</v>
          </cell>
          <cell r="J85">
            <v>0</v>
          </cell>
          <cell r="K85">
            <v>0</v>
          </cell>
        </row>
        <row r="86">
          <cell r="H86">
            <v>0</v>
          </cell>
          <cell r="J86">
            <v>0</v>
          </cell>
          <cell r="K86">
            <v>357</v>
          </cell>
        </row>
        <row r="87">
          <cell r="H87">
            <v>0</v>
          </cell>
          <cell r="J87">
            <v>0</v>
          </cell>
          <cell r="K87">
            <v>156574</v>
          </cell>
        </row>
        <row r="88">
          <cell r="H88">
            <v>0</v>
          </cell>
          <cell r="J88">
            <v>0</v>
          </cell>
          <cell r="K88">
            <v>0</v>
          </cell>
        </row>
        <row r="89">
          <cell r="H89">
            <v>0</v>
          </cell>
          <cell r="J89">
            <v>0</v>
          </cell>
          <cell r="K89">
            <v>0</v>
          </cell>
        </row>
        <row r="90">
          <cell r="H90">
            <v>0</v>
          </cell>
          <cell r="J90">
            <v>0</v>
          </cell>
          <cell r="K90">
            <v>0</v>
          </cell>
        </row>
        <row r="91">
          <cell r="H91">
            <v>0</v>
          </cell>
          <cell r="J91">
            <v>0</v>
          </cell>
          <cell r="K91">
            <v>0</v>
          </cell>
        </row>
        <row r="92">
          <cell r="H92">
            <v>0</v>
          </cell>
          <cell r="J92">
            <v>0</v>
          </cell>
          <cell r="K92">
            <v>0</v>
          </cell>
        </row>
        <row r="93">
          <cell r="H93">
            <v>0</v>
          </cell>
          <cell r="J93">
            <v>0</v>
          </cell>
          <cell r="K93">
            <v>0</v>
          </cell>
        </row>
        <row r="94">
          <cell r="H94">
            <v>0</v>
          </cell>
          <cell r="J94">
            <v>0</v>
          </cell>
          <cell r="K94">
            <v>0</v>
          </cell>
        </row>
        <row r="95">
          <cell r="H95">
            <v>0</v>
          </cell>
          <cell r="J95">
            <v>0</v>
          </cell>
          <cell r="K95">
            <v>0</v>
          </cell>
        </row>
      </sheetData>
      <sheetData sheetId="1">
        <row r="1">
          <cell r="K1" t="str">
            <v>31-Dic-05</v>
          </cell>
        </row>
      </sheetData>
      <sheetData sheetId="2"/>
      <sheetData sheetId="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Sample Data"/>
      <sheetName val="CMA_Calculations"/>
      <sheetName val="CMA_Selections"/>
      <sheetName val="Tickmarks"/>
      <sheetName val="CMA_SampleDesign"/>
      <sheetName val="DialogInsert"/>
      <sheetName val="Sheet1"/>
    </sheetNames>
    <sheetDataSet>
      <sheetData sheetId="0" refreshError="1"/>
      <sheetData sheetId="1" refreshError="1"/>
      <sheetData sheetId="2">
        <row r="10">
          <cell r="F10">
            <v>0</v>
          </cell>
          <cell r="H10" t="e">
            <v>#DIV/0!</v>
          </cell>
        </row>
      </sheetData>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4"/>
      <sheetName val="Nota EEFF"/>
      <sheetName val="Mvto. Costo y Depreciación PPC"/>
      <sheetName val="Valuación Muebles"/>
      <sheetName val="Prueba  Recálc Deprec. Final"/>
      <sheetName val="Càlc Depre 30-Sept-02"/>
      <sheetName val="Detalle de Compras"/>
      <sheetName val="Compras AF Octub-Diciemb"/>
      <sheetName val="MMA Adic"/>
      <sheetName val="XREF"/>
      <sheetName val="Tickmarks"/>
      <sheetName val="Dep plazo Anex 20"/>
      <sheetName val="Mov. Costo "/>
      <sheetName val="Mov.  Depreciación"/>
      <sheetName val="Cálculo Global Dep."/>
      <sheetName val="Detalle Adic."/>
      <sheetName val="MMA Adiciones"/>
      <sheetName val="An. Adic. Prel."/>
    </sheetNames>
    <sheetDataSet>
      <sheetData sheetId="0" refreshError="1"/>
      <sheetData sheetId="1"/>
      <sheetData sheetId="2"/>
      <sheetData sheetId="3"/>
      <sheetData sheetId="4"/>
      <sheetData sheetId="5"/>
      <sheetData sheetId="6" refreshError="1"/>
      <sheetData sheetId="7"/>
      <sheetData sheetId="8"/>
      <sheetData sheetId="9">
        <row r="3">
          <cell r="A3">
            <v>-2926651.33</v>
          </cell>
          <cell r="B3">
            <v>-2926651.33</v>
          </cell>
          <cell r="D3" t="str">
            <v>Hoja Resumen de Activos fijos</v>
          </cell>
          <cell r="E3" t="str">
            <v>!</v>
          </cell>
        </row>
      </sheetData>
      <sheetData sheetId="10" refreshError="1"/>
      <sheetData sheetId="11" refreshError="1"/>
      <sheetData sheetId="12"/>
      <sheetData sheetId="13"/>
      <sheetData sheetId="14" refreshError="1"/>
      <sheetData sheetId="15" refreshError="1"/>
      <sheetData sheetId="16" refreshError="1"/>
      <sheetData sheetId="1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pc1}"/>
      <sheetName val="Vacaciones"/>
      <sheetName val="M.Benef. Soc."/>
      <sheetName val="M. F.R.{ppc2}"/>
      <sheetName val="Sueldos"/>
      <sheetName val="Otros sueldos"/>
      <sheetName val="Cálculo del límite"/>
      <sheetName val="Tabla del Limite"/>
      <sheetName val="Tickmarks"/>
      <sheetName val="X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A2">
            <v>-76052</v>
          </cell>
          <cell r="B2">
            <v>-76052</v>
          </cell>
          <cell r="D2" t="str">
            <v>Resumen de otras cuentas por pagar</v>
          </cell>
          <cell r="E2" t="str">
            <v>!</v>
          </cell>
        </row>
        <row r="3">
          <cell r="A3">
            <v>4022855</v>
          </cell>
          <cell r="B3">
            <v>4022855</v>
          </cell>
          <cell r="D3" t="str">
            <v>Resumen de Gastos de Administración</v>
          </cell>
          <cell r="E3" t="str">
            <v>!</v>
          </cell>
        </row>
        <row r="4">
          <cell r="A4">
            <v>1202441</v>
          </cell>
          <cell r="B4">
            <v>1202441</v>
          </cell>
          <cell r="D4" t="str">
            <v>Resumen de Gastos de Administración</v>
          </cell>
          <cell r="E4" t="str">
            <v>!</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Revisión conc. bancarias"/>
      <sheetName val="Análisis partidas conciliatoria"/>
      <sheetName val="Inversiones temporales"/>
      <sheetName val="Análisis partidas que restan"/>
      <sheetName val="Prueba de corte ok"/>
      <sheetName val="Arqueo de cheques "/>
      <sheetName val="XREF"/>
      <sheetName val="Tickmarks"/>
      <sheetName val="Resumen de Conciliaciones"/>
      <sheetName val="Análisis de Part. Conciliat."/>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a los Estados Financieros"/>
      <sheetName val="Costo+Reexp"/>
      <sheetName val="Amort.Costo+Reexp"/>
      <sheetName val="Cálculo Amort."/>
      <sheetName val="Cálculo Reexp.Costo"/>
      <sheetName val="Cálculo Reexp Amort."/>
      <sheetName val="Cálculo Amort. (fec.siemb.)"/>
      <sheetName val="Cálculo Reexp Amort. (fech.sie)"/>
      <sheetName val="Mov. Plant.Proceso"/>
      <sheetName val="CorrMonPlantProc"/>
      <sheetName val="selec.adic.plant.proc"/>
      <sheetName val="Anál.Ad.plant.proc."/>
      <sheetName val="Detalle de ptas.adquir."/>
      <sheetName val="distrib.ctos."/>
      <sheetName val="Tildes"/>
      <sheetName val="XREF"/>
      <sheetName val="Hoja2"/>
      <sheetName val="detalle M.O"/>
      <sheetName val="Costo_Reexp"/>
      <sheetName val="Nota"/>
      <sheetName val="Detalle"/>
      <sheetName val=" Costo"/>
      <sheetName val="Amortización"/>
      <sheetName val="MMA "/>
      <sheetName val="Tickmarks"/>
      <sheetName val="Mov.Costo"/>
      <sheetName val="Cál."/>
      <sheetName val="MMA"/>
      <sheetName val="APT Adics."/>
      <sheetName val="Límite"/>
      <sheetName val="Valuación"/>
      <sheetName val="Costo-Pivot"/>
      <sheetName val="Mov. Amort."/>
      <sheetName val="Cal.Amort."/>
      <sheetName val="Adiciones"/>
      <sheetName val="Costo"/>
      <sheetName val="Amort. Acumulada"/>
      <sheetName val="Cal. Amort."/>
      <sheetName val="Análisis"/>
      <sheetName val="Ventas"/>
      <sheetName val="Análisis de Adic."/>
      <sheetName val="Análisis Importaciones"/>
      <sheetName val="Calc. Límite"/>
      <sheetName val="Sheet1"/>
      <sheetName val="Récalculo Amortización"/>
      <sheetName val="Mov. Costo"/>
      <sheetName val="Mov. Amortiz"/>
      <sheetName val="Anál Adi"/>
      <sheetName val="Notas"/>
      <sheetName val="Anali. Adiciones"/>
      <sheetName val="Amort. Acumulada (2)"/>
      <sheetName val="#REF"/>
      <sheetName val="Links"/>
      <sheetName val="Lead"/>
      <sheetName val="Proveed. Loc."/>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
      <sheetName val="Detalle"/>
      <sheetName val="Balance Gral."/>
      <sheetName val="Est. Result."/>
      <sheetName val="Bancos"/>
      <sheetName val="Partidas Concil."/>
      <sheetName val="Activo Fijo"/>
      <sheetName val="Ejecución gastos"/>
      <sheetName val="APT"/>
      <sheetName val="Sueldos"/>
      <sheetName val="Transferencias"/>
      <sheetName val="Viáticos"/>
      <sheetName val="Secuencia"/>
      <sheetName val="XREF"/>
      <sheetName val="Tickmarks"/>
    </sheetNames>
    <sheetDataSet>
      <sheetData sheetId="0" refreshError="1"/>
      <sheetData sheetId="1"/>
      <sheetData sheetId="2"/>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g.Act.Fijos (Final)"/>
      <sheetName val="Seg.Act.Fijos (Prel.)"/>
      <sheetName val="Retención Fuente"/>
      <sheetName val="XREF"/>
      <sheetName val="Tickmarks"/>
      <sheetName val="Cálculo de dif. en cambio"/>
      <sheetName val="Cobertura de Seguros Prel."/>
      <sheetName val="Gastos Anticipados"/>
      <sheetName val="Detalle "/>
      <sheetName val="Detalle"/>
      <sheetName val="Cuentas por Liquidar"/>
      <sheetName val="Anticipo Imp. a la Renta"/>
      <sheetName val="Seguros "/>
      <sheetName val="Límites"/>
      <sheetName val="Relacionadas Final"/>
      <sheetName val="Relacionadas"/>
      <sheetName val="Detalle Servicios Anticipados"/>
      <sheetName val="Seguros"/>
      <sheetName val="Nota EEFF"/>
      <sheetName val="Retenciones"/>
      <sheetName val="Ant. Prov"/>
      <sheetName val="Garantías"/>
      <sheetName val="Ant. Inst. Of"/>
      <sheetName val="Resumen"/>
      <sheetName val="Procedimientos"/>
      <sheetName val="Proyecto PAPA"/>
      <sheetName val="Selección PAPA"/>
      <sheetName val="Proyecto PAP"/>
      <sheetName val="Selección PAP"/>
      <sheetName val="Reembolsos Funvida"/>
      <sheetName val="Intercompany"/>
      <sheetName val="Préstamos empleados"/>
      <sheetName val="Nacional proveedores "/>
      <sheetName val="Anticipo empleados"/>
      <sheetName val="Otras cxc"/>
      <sheetName val="Consumo prov bod"/>
      <sheetName val="Prestamos_empleados (Prel)"/>
      <sheetName val="Anticipo_empleados (Prel)"/>
      <sheetName val="otras_CxC_empleados (Prel)"/>
      <sheetName val="Funvida(Prel)"/>
      <sheetName val="#REF"/>
      <sheetName val="Prestamos_empleados"/>
      <sheetName val="Anticipo_empleados"/>
      <sheetName val="Funvida"/>
      <sheetName val="otras_CxC_empleados"/>
      <sheetName val="Sheet1"/>
      <sheetName val="Anticipos compras especiales"/>
      <sheetName val="Ariendos"/>
      <sheetName val="CXC Fundación"/>
      <sheetName val="Prv.Bienes y Serivicios"/>
      <sheetName val="Base Prov.Bien &amp; Ser"/>
      <sheetName val="Anticipos &gt;300 dias"/>
      <sheetName val="Det.Prést.Empleados"/>
      <sheetName val="Anticipos"/>
      <sheetName val="Detalle de IVA"/>
      <sheetName val="Seguros (Dic05)"/>
      <sheetName val="Seguros (Ago05)"/>
      <sheetName val="Gar.Aduan.Dic'05"/>
      <sheetName val="Com. Garant. Aduan. (Ago05)"/>
      <sheetName val="Licencias"/>
      <sheetName val="APT Licencias"/>
      <sheetName val="Anticipos a proveedores"/>
      <sheetName val="Limites"/>
      <sheetName val="Notas EEFF"/>
      <sheetName val="Ant.Proveed."/>
      <sheetName val="Análisis Anticipos"/>
      <sheetName val="Analisis - APT"/>
      <sheetName val="Garantías Final"/>
      <sheetName val="Reclamaciones"/>
      <sheetName val="Distribuidores"/>
      <sheetName val="Ref. FV - Colombia"/>
      <sheetName val="Ref. FV - Perú"/>
      <sheetName val="Anticipo IR"/>
      <sheetName val="Otros G diferidos Final"/>
      <sheetName val="Otros G diferidos"/>
      <sheetName val="Relacionadas Preli"/>
      <sheetName val="Impuesto anticipado"/>
      <sheetName val="Selec. APT"/>
      <sheetName val="Ana.APT"/>
      <sheetName val="Ant. Func. y Empl."/>
      <sheetName val="Funcionarios y empleados"/>
      <sheetName val="Anticipo Proveedores"/>
      <sheetName val="Notas"/>
      <sheetName val="Destino Tierra"/>
      <sheetName val="Impuestos"/>
      <sheetName val="Varios deudores"/>
      <sheetName val="CxC Unibanco "/>
      <sheetName val="CXC Seguros"/>
      <sheetName val="Otras Cuentas"/>
      <sheetName val="Gtos. Anticip."/>
      <sheetName val="Arriendo Anticp."/>
      <sheetName val="Amortizacion Gastos"/>
      <sheetName val="CXC Juzgado"/>
      <sheetName val="Otas CXC"/>
      <sheetName val="Emplead. x C."/>
      <sheetName val="Amort. Gtos."/>
      <sheetName val="x Unibanco "/>
      <sheetName val="CXC Relacionadas"/>
      <sheetName val="DARMAIN"/>
      <sheetName val="Fullmuebles"/>
      <sheetName val="CXC Guatemala"/>
      <sheetName val="NETBANK"/>
      <sheetName val="CXC Movistar"/>
      <sheetName val="Crédito Tributario"/>
      <sheetName val="Deudores Marcas"/>
      <sheetName val="Empleados"/>
      <sheetName val="Otras Cuentas por Cobrar"/>
    </sheetNames>
    <sheetDataSet>
      <sheetData sheetId="0" refreshError="1"/>
      <sheetData sheetId="1"/>
      <sheetData sheetId="2"/>
      <sheetData sheetId="3">
        <row r="2">
          <cell r="A2">
            <v>93954.880000000005</v>
          </cell>
        </row>
      </sheetData>
      <sheetData sheetId="4"/>
      <sheetData sheetId="5" refreshError="1"/>
      <sheetData sheetId="6">
        <row r="1">
          <cell r="A1" t="str">
            <v xml:space="preserve">Análisis de Cobertura de Seguros </v>
          </cell>
        </row>
      </sheetData>
      <sheetData sheetId="7">
        <row r="2">
          <cell r="A2">
            <v>93954.880000000005</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ow r="1">
          <cell r="A1" t="str">
            <v xml:space="preserve">Análisis de Cobertura de Seguros </v>
          </cell>
        </row>
      </sheetData>
      <sheetData sheetId="18" refreshError="1"/>
      <sheetData sheetId="19" refreshError="1"/>
      <sheetData sheetId="20">
        <row r="2">
          <cell r="A2">
            <v>222292</v>
          </cell>
        </row>
      </sheetData>
      <sheetData sheetId="21"/>
      <sheetData sheetId="22"/>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Detalle Gtos."/>
      <sheetName val="Detalle de Sueldos y Salarios"/>
      <sheetName val="MMAgastos Final"/>
      <sheetName val="APT Gastos"/>
      <sheetName val="Exportaciones"/>
      <sheetName val="Trabajo prestado"/>
      <sheetName val="Límite"/>
      <sheetName val="Tabla del Limite"/>
      <sheetName val="XREF"/>
      <sheetName val="Tickmarks"/>
    </sheetNames>
    <sheetDataSet>
      <sheetData sheetId="0" refreshError="1"/>
      <sheetData sheetId="1">
        <row r="60">
          <cell r="J60">
            <v>435461.71</v>
          </cell>
        </row>
      </sheetData>
      <sheetData sheetId="2"/>
      <sheetData sheetId="3" refreshError="1"/>
      <sheetData sheetId="4" refreshError="1"/>
      <sheetData sheetId="5" refreshError="1"/>
      <sheetData sheetId="6" refreshError="1"/>
      <sheetData sheetId="7" refreshError="1"/>
      <sheetData sheetId="8" refreshError="1"/>
      <sheetData sheetId="9"/>
      <sheetData sheetId="1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cos"/>
      <sheetName val="Inversiones Vigentes"/>
      <sheetName val="Inversiones Vencidas"/>
      <sheetName val="Anexo1"/>
      <sheetName val="Anexo 1.1"/>
      <sheetName val="Anexo 1.2"/>
      <sheetName val="Anexo 2"/>
      <sheetName val="Anexo 3"/>
      <sheetName val="Anexo 4"/>
      <sheetName val="Anexo 5"/>
      <sheetName val="Anexo 6"/>
      <sheetName val="Anexo 6.1"/>
      <sheetName val="Anexo 7"/>
      <sheetName val="Anexo 9"/>
      <sheetName val="Anexo 10"/>
      <sheetName val="Anexo 8"/>
      <sheetName val="Anexo 11"/>
      <sheetName val="Anexo 12"/>
      <sheetName val="Anexo 13 "/>
      <sheetName val="Anexo 14"/>
      <sheetName val="Anexo 15"/>
      <sheetName val="Anexo 16"/>
      <sheetName val="Patrimonio"/>
      <sheetName val="Anexo 17"/>
      <sheetName val="Anexo 17.1"/>
      <sheetName val="Anexo 17.1_2"/>
      <sheetName val="Anexo 17.2"/>
      <sheetName val="Anexo 18"/>
      <sheetName val="Anexo 19 "/>
      <sheetName val="Anexo 20.2"/>
      <sheetName val="Anexo 20"/>
      <sheetName val="Anexo 2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Links"/>
      <sheetName val="Tickmarks"/>
    </sheetNames>
    <sheetDataSet>
      <sheetData sheetId="0">
        <row r="2">
          <cell r="I2" t="str">
            <v>Adjusted</v>
          </cell>
        </row>
        <row r="4">
          <cell r="I4">
            <v>358843</v>
          </cell>
        </row>
        <row r="5">
          <cell r="I5">
            <v>46909</v>
          </cell>
        </row>
        <row r="6">
          <cell r="I6">
            <v>91640</v>
          </cell>
        </row>
        <row r="7">
          <cell r="I7">
            <v>3989</v>
          </cell>
        </row>
        <row r="8">
          <cell r="I8">
            <v>32173</v>
          </cell>
        </row>
        <row r="9">
          <cell r="I9">
            <v>1200</v>
          </cell>
        </row>
        <row r="10">
          <cell r="I10">
            <v>300</v>
          </cell>
        </row>
        <row r="11">
          <cell r="I11">
            <v>6844</v>
          </cell>
        </row>
        <row r="12">
          <cell r="I12">
            <v>27057</v>
          </cell>
        </row>
        <row r="13">
          <cell r="I13">
            <v>32173</v>
          </cell>
        </row>
        <row r="14">
          <cell r="I14">
            <v>23452</v>
          </cell>
        </row>
        <row r="15">
          <cell r="I15">
            <v>172</v>
          </cell>
        </row>
        <row r="16">
          <cell r="I16">
            <v>129420</v>
          </cell>
        </row>
        <row r="17">
          <cell r="I17">
            <v>2088</v>
          </cell>
        </row>
        <row r="18">
          <cell r="I18">
            <v>504</v>
          </cell>
        </row>
        <row r="19">
          <cell r="I19">
            <v>2265</v>
          </cell>
        </row>
        <row r="20">
          <cell r="I20">
            <v>81000</v>
          </cell>
        </row>
        <row r="21">
          <cell r="I21">
            <v>54000</v>
          </cell>
        </row>
        <row r="22">
          <cell r="I22">
            <v>12793</v>
          </cell>
        </row>
        <row r="23">
          <cell r="I23">
            <v>705</v>
          </cell>
        </row>
        <row r="24">
          <cell r="I24">
            <v>33014</v>
          </cell>
        </row>
        <row r="25">
          <cell r="I25">
            <v>238100</v>
          </cell>
        </row>
        <row r="26">
          <cell r="I26">
            <v>188600</v>
          </cell>
        </row>
        <row r="27">
          <cell r="I27">
            <v>77693</v>
          </cell>
        </row>
        <row r="28">
          <cell r="I28">
            <v>611989</v>
          </cell>
        </row>
        <row r="29">
          <cell r="I29">
            <v>77708</v>
          </cell>
        </row>
        <row r="30">
          <cell r="I30">
            <v>72547</v>
          </cell>
        </row>
        <row r="31">
          <cell r="I31">
            <v>26696</v>
          </cell>
        </row>
        <row r="32">
          <cell r="I32">
            <v>53201</v>
          </cell>
        </row>
        <row r="33">
          <cell r="I33">
            <v>8231</v>
          </cell>
        </row>
        <row r="34">
          <cell r="I34">
            <v>1083</v>
          </cell>
        </row>
        <row r="35">
          <cell r="I35">
            <v>25008</v>
          </cell>
        </row>
        <row r="36">
          <cell r="I36">
            <v>32696</v>
          </cell>
        </row>
        <row r="37">
          <cell r="I37">
            <v>52210</v>
          </cell>
        </row>
        <row r="38">
          <cell r="I38">
            <v>35369</v>
          </cell>
        </row>
        <row r="39">
          <cell r="I39">
            <v>196</v>
          </cell>
        </row>
        <row r="40">
          <cell r="I40">
            <v>199164</v>
          </cell>
        </row>
        <row r="41">
          <cell r="I41">
            <v>7105</v>
          </cell>
        </row>
        <row r="42">
          <cell r="I42">
            <v>1995</v>
          </cell>
        </row>
        <row r="43">
          <cell r="I43">
            <v>9130</v>
          </cell>
        </row>
        <row r="44">
          <cell r="I44">
            <v>25200</v>
          </cell>
        </row>
        <row r="45">
          <cell r="I45">
            <v>9609</v>
          </cell>
        </row>
        <row r="46">
          <cell r="I46">
            <v>52919</v>
          </cell>
        </row>
        <row r="47">
          <cell r="I47">
            <v>96</v>
          </cell>
        </row>
        <row r="48">
          <cell r="I48">
            <v>2813</v>
          </cell>
        </row>
        <row r="49">
          <cell r="I49">
            <v>205596</v>
          </cell>
        </row>
        <row r="50">
          <cell r="I50">
            <v>41000</v>
          </cell>
        </row>
        <row r="51">
          <cell r="I51">
            <v>67460</v>
          </cell>
        </row>
        <row r="52">
          <cell r="I52">
            <v>0</v>
          </cell>
        </row>
        <row r="53">
          <cell r="I53">
            <v>0</v>
          </cell>
        </row>
        <row r="54">
          <cell r="I54">
            <v>0</v>
          </cell>
        </row>
        <row r="55">
          <cell r="I55">
            <v>0</v>
          </cell>
        </row>
        <row r="56">
          <cell r="I56">
            <v>0</v>
          </cell>
        </row>
        <row r="57">
          <cell r="I57">
            <v>0</v>
          </cell>
        </row>
        <row r="58">
          <cell r="I58">
            <v>0</v>
          </cell>
        </row>
        <row r="59">
          <cell r="I59">
            <v>0</v>
          </cell>
        </row>
        <row r="60">
          <cell r="I60">
            <v>0</v>
          </cell>
        </row>
        <row r="61">
          <cell r="I61">
            <v>0</v>
          </cell>
        </row>
        <row r="62">
          <cell r="I62">
            <v>0</v>
          </cell>
        </row>
        <row r="63">
          <cell r="I63">
            <v>0</v>
          </cell>
        </row>
        <row r="64">
          <cell r="I64">
            <v>0</v>
          </cell>
        </row>
        <row r="65">
          <cell r="I65">
            <v>0</v>
          </cell>
        </row>
        <row r="66">
          <cell r="I66">
            <v>0</v>
          </cell>
        </row>
        <row r="67">
          <cell r="I67">
            <v>0</v>
          </cell>
        </row>
        <row r="68">
          <cell r="I68">
            <v>0</v>
          </cell>
        </row>
        <row r="69">
          <cell r="I69">
            <v>0</v>
          </cell>
        </row>
        <row r="70">
          <cell r="I70">
            <v>0</v>
          </cell>
        </row>
        <row r="71">
          <cell r="I71">
            <v>0</v>
          </cell>
        </row>
        <row r="72">
          <cell r="I72">
            <v>0</v>
          </cell>
        </row>
        <row r="73">
          <cell r="I73">
            <v>0</v>
          </cell>
        </row>
        <row r="74">
          <cell r="I74">
            <v>139537</v>
          </cell>
        </row>
        <row r="75">
          <cell r="I75">
            <v>244313</v>
          </cell>
        </row>
        <row r="76">
          <cell r="I76">
            <v>131024</v>
          </cell>
        </row>
        <row r="77">
          <cell r="I77">
            <v>26791</v>
          </cell>
        </row>
        <row r="78">
          <cell r="I78">
            <v>85545</v>
          </cell>
        </row>
        <row r="79">
          <cell r="I79">
            <v>135682</v>
          </cell>
        </row>
        <row r="80">
          <cell r="I80">
            <v>71167</v>
          </cell>
        </row>
        <row r="81">
          <cell r="I81">
            <v>83375</v>
          </cell>
        </row>
        <row r="82">
          <cell r="I82">
            <v>1744</v>
          </cell>
        </row>
        <row r="83">
          <cell r="I83">
            <v>83483</v>
          </cell>
        </row>
        <row r="84">
          <cell r="I84">
            <v>67902</v>
          </cell>
        </row>
        <row r="85">
          <cell r="I85">
            <v>134966</v>
          </cell>
        </row>
        <row r="86">
          <cell r="I86">
            <v>5076</v>
          </cell>
        </row>
        <row r="87">
          <cell r="I87">
            <v>5557</v>
          </cell>
        </row>
        <row r="88">
          <cell r="I88">
            <v>15979</v>
          </cell>
        </row>
        <row r="89">
          <cell r="I89">
            <v>117517</v>
          </cell>
        </row>
        <row r="90">
          <cell r="I90">
            <v>4309</v>
          </cell>
        </row>
        <row r="91">
          <cell r="I91">
            <v>0</v>
          </cell>
        </row>
        <row r="92">
          <cell r="I92">
            <v>212916</v>
          </cell>
        </row>
        <row r="93">
          <cell r="I93">
            <v>102400</v>
          </cell>
        </row>
        <row r="94">
          <cell r="I94">
            <v>76238</v>
          </cell>
        </row>
        <row r="95">
          <cell r="I95">
            <v>20563</v>
          </cell>
        </row>
        <row r="96">
          <cell r="I96">
            <v>66620</v>
          </cell>
        </row>
        <row r="97">
          <cell r="I97">
            <v>28283</v>
          </cell>
        </row>
        <row r="98">
          <cell r="I98">
            <v>27320</v>
          </cell>
        </row>
        <row r="99">
          <cell r="I99">
            <v>6550</v>
          </cell>
        </row>
        <row r="100">
          <cell r="I100">
            <v>2355</v>
          </cell>
        </row>
        <row r="101">
          <cell r="I101">
            <v>1453</v>
          </cell>
        </row>
        <row r="102">
          <cell r="I102">
            <v>0</v>
          </cell>
        </row>
        <row r="103">
          <cell r="I103">
            <v>17375</v>
          </cell>
        </row>
        <row r="104">
          <cell r="I104">
            <v>110914</v>
          </cell>
        </row>
        <row r="105">
          <cell r="I105">
            <v>20580</v>
          </cell>
        </row>
        <row r="106">
          <cell r="I106">
            <v>21697</v>
          </cell>
        </row>
        <row r="107">
          <cell r="I107">
            <v>5133186</v>
          </cell>
        </row>
        <row r="109">
          <cell r="I109">
            <v>342266</v>
          </cell>
        </row>
        <row r="110">
          <cell r="I110">
            <v>46109</v>
          </cell>
        </row>
        <row r="111">
          <cell r="I111">
            <v>91922</v>
          </cell>
        </row>
        <row r="112">
          <cell r="I112">
            <v>6009</v>
          </cell>
        </row>
        <row r="113">
          <cell r="I113">
            <v>33063</v>
          </cell>
        </row>
        <row r="114">
          <cell r="I114">
            <v>1636</v>
          </cell>
        </row>
        <row r="115">
          <cell r="I115">
            <v>409</v>
          </cell>
        </row>
        <row r="116">
          <cell r="I116">
            <v>9585</v>
          </cell>
        </row>
        <row r="117">
          <cell r="I117">
            <v>19644</v>
          </cell>
        </row>
        <row r="118">
          <cell r="I118">
            <v>30476</v>
          </cell>
        </row>
        <row r="119">
          <cell r="I119">
            <v>23929</v>
          </cell>
        </row>
        <row r="120">
          <cell r="I120">
            <v>48</v>
          </cell>
        </row>
        <row r="121">
          <cell r="I121">
            <v>188090</v>
          </cell>
        </row>
        <row r="122">
          <cell r="I122">
            <v>2929</v>
          </cell>
        </row>
        <row r="123">
          <cell r="I123">
            <v>707</v>
          </cell>
        </row>
        <row r="124">
          <cell r="I124">
            <v>2955</v>
          </cell>
        </row>
        <row r="125">
          <cell r="I125">
            <v>20700</v>
          </cell>
        </row>
        <row r="126">
          <cell r="I126">
            <v>0</v>
          </cell>
        </row>
        <row r="127">
          <cell r="I127">
            <v>27829</v>
          </cell>
        </row>
        <row r="128">
          <cell r="I128">
            <v>1246</v>
          </cell>
        </row>
        <row r="129">
          <cell r="I129">
            <v>17569</v>
          </cell>
        </row>
        <row r="130">
          <cell r="I130">
            <v>215003</v>
          </cell>
        </row>
        <row r="131">
          <cell r="I131">
            <v>63500</v>
          </cell>
        </row>
        <row r="132">
          <cell r="I132">
            <v>49471</v>
          </cell>
        </row>
        <row r="133">
          <cell r="I133">
            <v>18820</v>
          </cell>
        </row>
        <row r="134">
          <cell r="I134">
            <v>37294</v>
          </cell>
        </row>
        <row r="135">
          <cell r="I135">
            <v>359802</v>
          </cell>
        </row>
        <row r="136">
          <cell r="I136">
            <v>67403</v>
          </cell>
        </row>
        <row r="137">
          <cell r="I137">
            <v>39855</v>
          </cell>
        </row>
        <row r="138">
          <cell r="I138">
            <v>182289</v>
          </cell>
        </row>
        <row r="139">
          <cell r="I139">
            <v>92115</v>
          </cell>
        </row>
        <row r="140">
          <cell r="I140">
            <v>3575</v>
          </cell>
        </row>
        <row r="141">
          <cell r="I141">
            <v>0</v>
          </cell>
        </row>
        <row r="142">
          <cell r="I142">
            <v>0</v>
          </cell>
        </row>
        <row r="143">
          <cell r="I143">
            <v>0</v>
          </cell>
        </row>
        <row r="144">
          <cell r="I144">
            <v>0</v>
          </cell>
        </row>
        <row r="145">
          <cell r="I145">
            <v>0</v>
          </cell>
        </row>
        <row r="146">
          <cell r="I146">
            <v>0</v>
          </cell>
        </row>
        <row r="147">
          <cell r="I147">
            <v>0</v>
          </cell>
        </row>
        <row r="148">
          <cell r="I148">
            <v>0</v>
          </cell>
        </row>
        <row r="149">
          <cell r="I149">
            <v>0</v>
          </cell>
        </row>
        <row r="150">
          <cell r="I150">
            <v>0</v>
          </cell>
        </row>
        <row r="151">
          <cell r="I151">
            <v>19175</v>
          </cell>
        </row>
        <row r="152">
          <cell r="I152">
            <v>54895</v>
          </cell>
        </row>
        <row r="153">
          <cell r="I153">
            <v>8047</v>
          </cell>
        </row>
        <row r="154">
          <cell r="I154">
            <v>234934</v>
          </cell>
        </row>
        <row r="155">
          <cell r="I155">
            <v>20729</v>
          </cell>
        </row>
        <row r="156">
          <cell r="I156">
            <v>221</v>
          </cell>
        </row>
        <row r="157">
          <cell r="I157">
            <v>22835</v>
          </cell>
        </row>
        <row r="158">
          <cell r="I158">
            <v>10789</v>
          </cell>
        </row>
        <row r="159">
          <cell r="I159">
            <v>2087</v>
          </cell>
        </row>
        <row r="160">
          <cell r="I160">
            <v>155246</v>
          </cell>
        </row>
        <row r="161">
          <cell r="I161">
            <v>0</v>
          </cell>
        </row>
        <row r="162">
          <cell r="I162">
            <v>0</v>
          </cell>
        </row>
        <row r="163">
          <cell r="I163">
            <v>0</v>
          </cell>
        </row>
        <row r="164">
          <cell r="I164">
            <v>32195</v>
          </cell>
        </row>
        <row r="165">
          <cell r="I165">
            <v>57345</v>
          </cell>
        </row>
        <row r="166">
          <cell r="I166">
            <v>55045</v>
          </cell>
        </row>
        <row r="167">
          <cell r="I167">
            <v>32045</v>
          </cell>
        </row>
        <row r="168">
          <cell r="I168">
            <v>0</v>
          </cell>
        </row>
        <row r="169">
          <cell r="I169">
            <v>0</v>
          </cell>
        </row>
        <row r="170">
          <cell r="I170">
            <v>0</v>
          </cell>
        </row>
        <row r="171">
          <cell r="I171">
            <v>0</v>
          </cell>
        </row>
        <row r="172">
          <cell r="I172">
            <v>0</v>
          </cell>
        </row>
        <row r="173">
          <cell r="I173">
            <v>53751</v>
          </cell>
        </row>
        <row r="174">
          <cell r="I174">
            <v>0</v>
          </cell>
        </row>
        <row r="175">
          <cell r="I175">
            <v>504084</v>
          </cell>
        </row>
        <row r="176">
          <cell r="I176">
            <v>18961</v>
          </cell>
        </row>
        <row r="177">
          <cell r="I177">
            <v>0</v>
          </cell>
        </row>
        <row r="178">
          <cell r="I178">
            <v>67609</v>
          </cell>
        </row>
        <row r="179">
          <cell r="I179">
            <v>2880</v>
          </cell>
        </row>
        <row r="180">
          <cell r="I180">
            <v>0</v>
          </cell>
        </row>
        <row r="181">
          <cell r="I181">
            <v>0</v>
          </cell>
        </row>
        <row r="182">
          <cell r="I182">
            <v>0</v>
          </cell>
        </row>
        <row r="183">
          <cell r="I183">
            <v>0</v>
          </cell>
        </row>
        <row r="184">
          <cell r="I184">
            <v>5941</v>
          </cell>
        </row>
        <row r="185">
          <cell r="I185">
            <v>1235</v>
          </cell>
        </row>
        <row r="186">
          <cell r="I186">
            <v>163701</v>
          </cell>
        </row>
        <row r="187">
          <cell r="I187">
            <v>28296</v>
          </cell>
        </row>
        <row r="188">
          <cell r="I188">
            <v>0</v>
          </cell>
        </row>
        <row r="189">
          <cell r="I189">
            <v>280</v>
          </cell>
        </row>
        <row r="190">
          <cell r="I190">
            <v>200</v>
          </cell>
        </row>
        <row r="191">
          <cell r="I191">
            <v>153</v>
          </cell>
        </row>
        <row r="192">
          <cell r="I192">
            <v>0</v>
          </cell>
        </row>
        <row r="193">
          <cell r="I193">
            <v>0</v>
          </cell>
        </row>
        <row r="194">
          <cell r="I194">
            <v>0</v>
          </cell>
        </row>
        <row r="195">
          <cell r="I195">
            <v>0</v>
          </cell>
        </row>
        <row r="196">
          <cell r="I196">
            <v>0</v>
          </cell>
        </row>
        <row r="197">
          <cell r="I197">
            <v>0</v>
          </cell>
        </row>
        <row r="198">
          <cell r="I198">
            <v>0</v>
          </cell>
        </row>
        <row r="199">
          <cell r="I199">
            <v>2550</v>
          </cell>
        </row>
        <row r="200">
          <cell r="I200">
            <v>1200</v>
          </cell>
        </row>
        <row r="201">
          <cell r="I201">
            <v>8260</v>
          </cell>
        </row>
        <row r="202">
          <cell r="I202">
            <v>7000</v>
          </cell>
        </row>
        <row r="203">
          <cell r="I203">
            <v>3300</v>
          </cell>
        </row>
        <row r="204">
          <cell r="I204">
            <v>310</v>
          </cell>
        </row>
        <row r="205">
          <cell r="I205">
            <v>4500</v>
          </cell>
        </row>
        <row r="206">
          <cell r="I206">
            <v>0</v>
          </cell>
        </row>
        <row r="207">
          <cell r="I207">
            <v>0</v>
          </cell>
        </row>
        <row r="208">
          <cell r="I208">
            <v>0</v>
          </cell>
        </row>
        <row r="209">
          <cell r="I209">
            <v>0</v>
          </cell>
        </row>
        <row r="210">
          <cell r="I210">
            <v>-667431</v>
          </cell>
        </row>
        <row r="211">
          <cell r="I211">
            <v>332744</v>
          </cell>
        </row>
        <row r="212">
          <cell r="I212">
            <v>1144830</v>
          </cell>
        </row>
        <row r="213">
          <cell r="I213">
            <v>656995</v>
          </cell>
        </row>
        <row r="214">
          <cell r="I214">
            <v>220913</v>
          </cell>
        </row>
        <row r="215">
          <cell r="I215">
            <v>0</v>
          </cell>
        </row>
        <row r="216">
          <cell r="I216">
            <v>163692</v>
          </cell>
        </row>
        <row r="217">
          <cell r="I217">
            <v>2150</v>
          </cell>
        </row>
        <row r="218">
          <cell r="I218">
            <v>0</v>
          </cell>
        </row>
        <row r="219">
          <cell r="I219">
            <v>0</v>
          </cell>
        </row>
        <row r="220">
          <cell r="I220">
            <v>0</v>
          </cell>
        </row>
        <row r="221">
          <cell r="I221">
            <v>0</v>
          </cell>
        </row>
        <row r="222">
          <cell r="I222">
            <v>3231</v>
          </cell>
        </row>
        <row r="223">
          <cell r="I223">
            <v>675</v>
          </cell>
        </row>
        <row r="224">
          <cell r="I224">
            <v>675</v>
          </cell>
        </row>
        <row r="225">
          <cell r="I225">
            <v>675</v>
          </cell>
        </row>
        <row r="226">
          <cell r="I226">
            <v>675</v>
          </cell>
        </row>
        <row r="227">
          <cell r="I227">
            <v>0</v>
          </cell>
        </row>
        <row r="228">
          <cell r="I228">
            <v>0</v>
          </cell>
        </row>
        <row r="229">
          <cell r="I229">
            <v>0</v>
          </cell>
        </row>
        <row r="230">
          <cell r="I230">
            <v>0</v>
          </cell>
        </row>
        <row r="231">
          <cell r="I231">
            <v>0</v>
          </cell>
        </row>
        <row r="232">
          <cell r="I232">
            <v>21657</v>
          </cell>
        </row>
        <row r="233">
          <cell r="I233">
            <v>46838</v>
          </cell>
        </row>
        <row r="234">
          <cell r="I234">
            <v>46228</v>
          </cell>
        </row>
        <row r="235">
          <cell r="I235">
            <v>0</v>
          </cell>
        </row>
        <row r="236">
          <cell r="I236">
            <v>1966</v>
          </cell>
        </row>
        <row r="237">
          <cell r="I237">
            <v>1966</v>
          </cell>
        </row>
        <row r="238">
          <cell r="I238">
            <v>91032</v>
          </cell>
        </row>
        <row r="239">
          <cell r="I239">
            <v>43716</v>
          </cell>
        </row>
        <row r="240">
          <cell r="I240">
            <v>62147</v>
          </cell>
        </row>
        <row r="241">
          <cell r="I241">
            <v>36552</v>
          </cell>
        </row>
        <row r="242">
          <cell r="I242">
            <v>13825</v>
          </cell>
        </row>
        <row r="243">
          <cell r="I243">
            <v>13825</v>
          </cell>
        </row>
        <row r="244">
          <cell r="I244">
            <v>13825</v>
          </cell>
        </row>
        <row r="245">
          <cell r="I245">
            <v>0</v>
          </cell>
        </row>
        <row r="246">
          <cell r="I246">
            <v>13825</v>
          </cell>
        </row>
        <row r="247">
          <cell r="I247">
            <v>13825</v>
          </cell>
        </row>
        <row r="248">
          <cell r="I248">
            <v>13825</v>
          </cell>
        </row>
        <row r="249">
          <cell r="I249">
            <v>2625</v>
          </cell>
        </row>
        <row r="250">
          <cell r="I250">
            <v>13973</v>
          </cell>
        </row>
        <row r="251">
          <cell r="I251">
            <v>27519</v>
          </cell>
        </row>
        <row r="252">
          <cell r="I252">
            <v>2122</v>
          </cell>
        </row>
        <row r="253">
          <cell r="I253">
            <v>4342</v>
          </cell>
        </row>
        <row r="254">
          <cell r="I254">
            <v>0</v>
          </cell>
        </row>
        <row r="255">
          <cell r="I255">
            <v>5769</v>
          </cell>
        </row>
        <row r="256">
          <cell r="I256">
            <v>13215</v>
          </cell>
        </row>
        <row r="257">
          <cell r="I257">
            <v>0</v>
          </cell>
        </row>
        <row r="258">
          <cell r="I258">
            <v>28987</v>
          </cell>
        </row>
        <row r="259">
          <cell r="I259">
            <v>62909</v>
          </cell>
        </row>
        <row r="260">
          <cell r="I260">
            <v>4239</v>
          </cell>
        </row>
        <row r="261">
          <cell r="I261">
            <v>5028</v>
          </cell>
        </row>
        <row r="262">
          <cell r="I262">
            <v>1793</v>
          </cell>
        </row>
        <row r="263">
          <cell r="I263">
            <v>16013</v>
          </cell>
        </row>
        <row r="264">
          <cell r="I264">
            <v>9409</v>
          </cell>
        </row>
        <row r="265">
          <cell r="I265">
            <v>23586</v>
          </cell>
        </row>
        <row r="266">
          <cell r="I266">
            <v>2222</v>
          </cell>
        </row>
        <row r="267">
          <cell r="I267">
            <v>6327</v>
          </cell>
        </row>
        <row r="268">
          <cell r="I268">
            <v>2534</v>
          </cell>
        </row>
        <row r="269">
          <cell r="I269">
            <v>8638</v>
          </cell>
        </row>
        <row r="270">
          <cell r="I270">
            <v>2140</v>
          </cell>
        </row>
        <row r="271">
          <cell r="I271">
            <v>135111</v>
          </cell>
        </row>
        <row r="272">
          <cell r="I272">
            <v>8395</v>
          </cell>
        </row>
        <row r="273">
          <cell r="I273">
            <v>7953</v>
          </cell>
        </row>
        <row r="274">
          <cell r="I274">
            <v>96086</v>
          </cell>
        </row>
        <row r="275">
          <cell r="I275">
            <v>49850</v>
          </cell>
        </row>
        <row r="276">
          <cell r="I276">
            <v>4301591</v>
          </cell>
        </row>
        <row r="277">
          <cell r="I277">
            <v>0</v>
          </cell>
        </row>
        <row r="278">
          <cell r="I278">
            <v>0</v>
          </cell>
        </row>
        <row r="279">
          <cell r="I279">
            <v>12495</v>
          </cell>
        </row>
        <row r="280">
          <cell r="I280">
            <v>26749</v>
          </cell>
        </row>
        <row r="281">
          <cell r="I281">
            <v>19503</v>
          </cell>
        </row>
        <row r="282">
          <cell r="I282">
            <v>38451</v>
          </cell>
        </row>
        <row r="283">
          <cell r="I283">
            <v>55700</v>
          </cell>
        </row>
        <row r="284">
          <cell r="I284">
            <v>717553</v>
          </cell>
        </row>
        <row r="285">
          <cell r="I285">
            <v>92516</v>
          </cell>
        </row>
        <row r="286">
          <cell r="I286">
            <v>14737</v>
          </cell>
        </row>
        <row r="287">
          <cell r="I287">
            <v>12342</v>
          </cell>
        </row>
        <row r="288">
          <cell r="I288">
            <v>4141</v>
          </cell>
        </row>
        <row r="289">
          <cell r="I289">
            <v>3600</v>
          </cell>
        </row>
        <row r="290">
          <cell r="I290">
            <v>1850</v>
          </cell>
        </row>
        <row r="291">
          <cell r="I291">
            <v>11741</v>
          </cell>
        </row>
        <row r="292">
          <cell r="I292">
            <v>4800</v>
          </cell>
        </row>
        <row r="293">
          <cell r="I293">
            <v>1700</v>
          </cell>
        </row>
        <row r="294">
          <cell r="I294">
            <v>3166</v>
          </cell>
        </row>
        <row r="295">
          <cell r="I295">
            <v>5000</v>
          </cell>
        </row>
        <row r="296">
          <cell r="I296">
            <v>541</v>
          </cell>
        </row>
        <row r="297">
          <cell r="I297">
            <v>0</v>
          </cell>
        </row>
        <row r="298">
          <cell r="I298">
            <v>93123</v>
          </cell>
        </row>
        <row r="299">
          <cell r="I299">
            <v>21829</v>
          </cell>
        </row>
        <row r="300">
          <cell r="I300">
            <v>15357</v>
          </cell>
        </row>
        <row r="301">
          <cell r="I301">
            <v>16159</v>
          </cell>
        </row>
        <row r="302">
          <cell r="I302">
            <v>4220</v>
          </cell>
        </row>
        <row r="303">
          <cell r="I303">
            <v>3532</v>
          </cell>
        </row>
        <row r="304">
          <cell r="I304">
            <v>382</v>
          </cell>
        </row>
        <row r="305">
          <cell r="I305">
            <v>5636</v>
          </cell>
        </row>
        <row r="306">
          <cell r="I306">
            <v>5045</v>
          </cell>
        </row>
        <row r="307">
          <cell r="I307">
            <v>6719</v>
          </cell>
        </row>
        <row r="308">
          <cell r="I308">
            <v>7198</v>
          </cell>
        </row>
        <row r="309">
          <cell r="I309">
            <v>2114</v>
          </cell>
        </row>
        <row r="310">
          <cell r="I310">
            <v>1153</v>
          </cell>
        </row>
        <row r="311">
          <cell r="I311">
            <v>87</v>
          </cell>
        </row>
        <row r="312">
          <cell r="I312">
            <v>2389165</v>
          </cell>
        </row>
        <row r="313">
          <cell r="I313">
            <v>620878</v>
          </cell>
        </row>
        <row r="314">
          <cell r="I314">
            <v>584778</v>
          </cell>
        </row>
        <row r="315">
          <cell r="I315">
            <v>559587</v>
          </cell>
        </row>
        <row r="316">
          <cell r="I316">
            <v>1372980</v>
          </cell>
        </row>
        <row r="317">
          <cell r="I317">
            <v>312008</v>
          </cell>
        </row>
        <row r="318">
          <cell r="I318">
            <v>279094</v>
          </cell>
        </row>
        <row r="319">
          <cell r="I319">
            <v>27014</v>
          </cell>
        </row>
        <row r="320">
          <cell r="I320">
            <v>0</v>
          </cell>
        </row>
        <row r="321">
          <cell r="I321">
            <v>0</v>
          </cell>
        </row>
        <row r="322">
          <cell r="I322">
            <v>0</v>
          </cell>
        </row>
        <row r="323">
          <cell r="I323">
            <v>0</v>
          </cell>
        </row>
        <row r="324">
          <cell r="I324">
            <v>0</v>
          </cell>
        </row>
        <row r="325">
          <cell r="I325">
            <v>0</v>
          </cell>
        </row>
        <row r="326">
          <cell r="I326">
            <v>0</v>
          </cell>
        </row>
        <row r="327">
          <cell r="I327">
            <v>0</v>
          </cell>
        </row>
        <row r="328">
          <cell r="I328">
            <v>39534</v>
          </cell>
        </row>
        <row r="329">
          <cell r="I329">
            <v>36939</v>
          </cell>
        </row>
        <row r="330">
          <cell r="I330">
            <v>18760</v>
          </cell>
        </row>
        <row r="331">
          <cell r="I331">
            <v>68085</v>
          </cell>
        </row>
        <row r="332">
          <cell r="I332">
            <v>82481</v>
          </cell>
        </row>
        <row r="333">
          <cell r="I333">
            <v>15006</v>
          </cell>
        </row>
        <row r="334">
          <cell r="I334">
            <v>14941</v>
          </cell>
        </row>
        <row r="335">
          <cell r="I335">
            <v>-35</v>
          </cell>
        </row>
        <row r="336">
          <cell r="I336">
            <v>-7</v>
          </cell>
        </row>
        <row r="337">
          <cell r="I337">
            <v>-6</v>
          </cell>
        </row>
        <row r="338">
          <cell r="I338">
            <v>-101</v>
          </cell>
        </row>
        <row r="339">
          <cell r="I339">
            <v>-156</v>
          </cell>
        </row>
        <row r="340">
          <cell r="I340">
            <v>5</v>
          </cell>
        </row>
        <row r="341">
          <cell r="I341">
            <v>-33</v>
          </cell>
        </row>
        <row r="342">
          <cell r="I342">
            <v>0</v>
          </cell>
        </row>
        <row r="343">
          <cell r="I343">
            <v>6179</v>
          </cell>
        </row>
        <row r="344">
          <cell r="I344">
            <v>-346</v>
          </cell>
        </row>
        <row r="345">
          <cell r="I345">
            <v>-251</v>
          </cell>
        </row>
        <row r="346">
          <cell r="I346">
            <v>-39</v>
          </cell>
        </row>
        <row r="347">
          <cell r="I347">
            <v>1682479</v>
          </cell>
        </row>
        <row r="348">
          <cell r="I348">
            <v>801959</v>
          </cell>
        </row>
        <row r="349">
          <cell r="I349">
            <v>146684</v>
          </cell>
        </row>
        <row r="350">
          <cell r="I350">
            <v>138447</v>
          </cell>
        </row>
        <row r="351">
          <cell r="I351">
            <v>27319</v>
          </cell>
        </row>
        <row r="352">
          <cell r="I352">
            <v>57183</v>
          </cell>
        </row>
        <row r="353">
          <cell r="I353">
            <v>6426</v>
          </cell>
        </row>
        <row r="354">
          <cell r="I354">
            <v>78930</v>
          </cell>
        </row>
        <row r="355">
          <cell r="I355">
            <v>34996</v>
          </cell>
        </row>
        <row r="356">
          <cell r="I356">
            <v>21798</v>
          </cell>
        </row>
        <row r="357">
          <cell r="I357">
            <v>20536</v>
          </cell>
        </row>
        <row r="358">
          <cell r="I358">
            <v>34250</v>
          </cell>
        </row>
        <row r="359">
          <cell r="I359">
            <v>12994</v>
          </cell>
        </row>
        <row r="360">
          <cell r="I360">
            <v>141885</v>
          </cell>
        </row>
        <row r="361">
          <cell r="I361">
            <v>40149</v>
          </cell>
        </row>
        <row r="362">
          <cell r="I362">
            <v>5114</v>
          </cell>
        </row>
        <row r="363">
          <cell r="I363">
            <v>24000</v>
          </cell>
        </row>
        <row r="364">
          <cell r="I364">
            <v>17698</v>
          </cell>
        </row>
        <row r="365">
          <cell r="I365">
            <v>74685</v>
          </cell>
        </row>
        <row r="366">
          <cell r="I366">
            <v>21716430</v>
          </cell>
        </row>
        <row r="367">
          <cell r="I367">
            <v>0</v>
          </cell>
        </row>
        <row r="368">
          <cell r="I368">
            <v>0</v>
          </cell>
        </row>
        <row r="369">
          <cell r="I369">
            <v>0</v>
          </cell>
        </row>
        <row r="370">
          <cell r="I370">
            <v>0</v>
          </cell>
        </row>
        <row r="371">
          <cell r="I371">
            <v>26849616</v>
          </cell>
        </row>
      </sheetData>
      <sheetData sheetId="1">
        <row r="1">
          <cell r="F1" t="str">
            <v>Preliminary</v>
          </cell>
        </row>
        <row r="3">
          <cell r="F3">
            <v>358843</v>
          </cell>
        </row>
        <row r="4">
          <cell r="F4">
            <v>46909</v>
          </cell>
        </row>
        <row r="5">
          <cell r="F5">
            <v>91640</v>
          </cell>
        </row>
        <row r="6">
          <cell r="F6">
            <v>3989</v>
          </cell>
        </row>
        <row r="7">
          <cell r="F7">
            <v>32173</v>
          </cell>
        </row>
        <row r="8">
          <cell r="F8">
            <v>1200</v>
          </cell>
        </row>
        <row r="9">
          <cell r="F9">
            <v>300</v>
          </cell>
        </row>
        <row r="10">
          <cell r="F10">
            <v>6844</v>
          </cell>
        </row>
        <row r="11">
          <cell r="F11">
            <v>27057</v>
          </cell>
        </row>
        <row r="12">
          <cell r="F12">
            <v>32173</v>
          </cell>
        </row>
        <row r="13">
          <cell r="F13">
            <v>23452</v>
          </cell>
        </row>
        <row r="14">
          <cell r="F14">
            <v>172</v>
          </cell>
        </row>
        <row r="15">
          <cell r="F15">
            <v>129420</v>
          </cell>
        </row>
        <row r="16">
          <cell r="F16">
            <v>2088</v>
          </cell>
        </row>
        <row r="17">
          <cell r="F17">
            <v>504</v>
          </cell>
        </row>
        <row r="18">
          <cell r="F18">
            <v>2265</v>
          </cell>
        </row>
        <row r="19">
          <cell r="F19">
            <v>81000</v>
          </cell>
        </row>
        <row r="20">
          <cell r="F20">
            <v>54000</v>
          </cell>
        </row>
        <row r="21">
          <cell r="F21">
            <v>12793</v>
          </cell>
        </row>
        <row r="22">
          <cell r="F22">
            <v>705</v>
          </cell>
        </row>
        <row r="23">
          <cell r="F23">
            <v>33014</v>
          </cell>
        </row>
        <row r="24">
          <cell r="F24">
            <v>238100</v>
          </cell>
        </row>
        <row r="25">
          <cell r="F25">
            <v>188600</v>
          </cell>
        </row>
        <row r="26">
          <cell r="F26">
            <v>77693</v>
          </cell>
        </row>
        <row r="27">
          <cell r="F27">
            <v>611989</v>
          </cell>
        </row>
        <row r="28">
          <cell r="F28">
            <v>77708</v>
          </cell>
        </row>
        <row r="29">
          <cell r="F29">
            <v>72547</v>
          </cell>
        </row>
        <row r="30">
          <cell r="F30">
            <v>26696</v>
          </cell>
        </row>
        <row r="31">
          <cell r="F31">
            <v>53201</v>
          </cell>
        </row>
        <row r="32">
          <cell r="F32">
            <v>8231</v>
          </cell>
        </row>
        <row r="33">
          <cell r="F33">
            <v>1083</v>
          </cell>
        </row>
        <row r="34">
          <cell r="F34">
            <v>25008</v>
          </cell>
        </row>
        <row r="35">
          <cell r="F35">
            <v>32696</v>
          </cell>
        </row>
        <row r="36">
          <cell r="F36">
            <v>52210</v>
          </cell>
        </row>
        <row r="37">
          <cell r="F37">
            <v>35369</v>
          </cell>
        </row>
        <row r="38">
          <cell r="F38">
            <v>196</v>
          </cell>
        </row>
        <row r="39">
          <cell r="F39">
            <v>199164</v>
          </cell>
        </row>
        <row r="40">
          <cell r="F40">
            <v>7105</v>
          </cell>
        </row>
        <row r="41">
          <cell r="F41">
            <v>1995</v>
          </cell>
        </row>
        <row r="42">
          <cell r="F42">
            <v>9130</v>
          </cell>
        </row>
        <row r="43">
          <cell r="F43">
            <v>25200</v>
          </cell>
        </row>
        <row r="44">
          <cell r="F44">
            <v>9609</v>
          </cell>
        </row>
        <row r="45">
          <cell r="F45">
            <v>52919</v>
          </cell>
        </row>
        <row r="46">
          <cell r="F46">
            <v>96</v>
          </cell>
        </row>
        <row r="47">
          <cell r="F47">
            <v>2813</v>
          </cell>
        </row>
        <row r="48">
          <cell r="F48">
            <v>205596</v>
          </cell>
        </row>
        <row r="49">
          <cell r="F49">
            <v>41000</v>
          </cell>
        </row>
        <row r="50">
          <cell r="F50">
            <v>67460</v>
          </cell>
        </row>
        <row r="51">
          <cell r="F51">
            <v>0</v>
          </cell>
        </row>
        <row r="52">
          <cell r="F52">
            <v>0</v>
          </cell>
        </row>
        <row r="53">
          <cell r="F53">
            <v>0</v>
          </cell>
        </row>
        <row r="54">
          <cell r="F54">
            <v>0</v>
          </cell>
        </row>
        <row r="55">
          <cell r="F55">
            <v>0</v>
          </cell>
        </row>
        <row r="56">
          <cell r="F56">
            <v>0</v>
          </cell>
        </row>
        <row r="57">
          <cell r="F57">
            <v>0</v>
          </cell>
        </row>
        <row r="58">
          <cell r="F58">
            <v>0</v>
          </cell>
        </row>
        <row r="59">
          <cell r="F59">
            <v>0</v>
          </cell>
        </row>
        <row r="60">
          <cell r="F60">
            <v>0</v>
          </cell>
        </row>
        <row r="61">
          <cell r="F61">
            <v>0</v>
          </cell>
        </row>
        <row r="62">
          <cell r="F62">
            <v>0</v>
          </cell>
        </row>
        <row r="63">
          <cell r="F63">
            <v>0</v>
          </cell>
        </row>
        <row r="64">
          <cell r="F64">
            <v>0</v>
          </cell>
        </row>
        <row r="65">
          <cell r="F65">
            <v>0</v>
          </cell>
        </row>
        <row r="66">
          <cell r="F66">
            <v>0</v>
          </cell>
        </row>
        <row r="67">
          <cell r="F67">
            <v>0</v>
          </cell>
        </row>
        <row r="68">
          <cell r="F68">
            <v>0</v>
          </cell>
        </row>
        <row r="69">
          <cell r="F69">
            <v>0</v>
          </cell>
        </row>
        <row r="70">
          <cell r="F70">
            <v>0</v>
          </cell>
        </row>
        <row r="71">
          <cell r="F71">
            <v>0</v>
          </cell>
        </row>
        <row r="72">
          <cell r="F72">
            <v>0</v>
          </cell>
        </row>
        <row r="73">
          <cell r="F73">
            <v>139537</v>
          </cell>
        </row>
        <row r="74">
          <cell r="F74">
            <v>244313</v>
          </cell>
        </row>
        <row r="75">
          <cell r="F75">
            <v>131024</v>
          </cell>
        </row>
        <row r="76">
          <cell r="F76">
            <v>26791</v>
          </cell>
        </row>
        <row r="77">
          <cell r="F77">
            <v>85545</v>
          </cell>
        </row>
        <row r="78">
          <cell r="F78">
            <v>135682</v>
          </cell>
        </row>
        <row r="79">
          <cell r="F79">
            <v>71167</v>
          </cell>
        </row>
        <row r="80">
          <cell r="F80">
            <v>83375</v>
          </cell>
        </row>
        <row r="81">
          <cell r="F81">
            <v>1744</v>
          </cell>
        </row>
        <row r="82">
          <cell r="F82">
            <v>83483</v>
          </cell>
        </row>
        <row r="83">
          <cell r="F83">
            <v>67902</v>
          </cell>
        </row>
        <row r="84">
          <cell r="F84">
            <v>134966</v>
          </cell>
        </row>
        <row r="85">
          <cell r="F85">
            <v>5076</v>
          </cell>
        </row>
        <row r="86">
          <cell r="F86">
            <v>5557</v>
          </cell>
        </row>
        <row r="87">
          <cell r="F87">
            <v>15979</v>
          </cell>
        </row>
        <row r="88">
          <cell r="F88">
            <v>117517</v>
          </cell>
        </row>
        <row r="89">
          <cell r="F89">
            <v>4309</v>
          </cell>
        </row>
        <row r="90">
          <cell r="F90">
            <v>0</v>
          </cell>
        </row>
        <row r="91">
          <cell r="F91">
            <v>212916</v>
          </cell>
        </row>
        <row r="92">
          <cell r="F92">
            <v>102400</v>
          </cell>
        </row>
        <row r="93">
          <cell r="F93">
            <v>76238</v>
          </cell>
        </row>
        <row r="94">
          <cell r="F94">
            <v>20563</v>
          </cell>
        </row>
        <row r="95">
          <cell r="F95">
            <v>66620</v>
          </cell>
        </row>
        <row r="96">
          <cell r="F96">
            <v>28283</v>
          </cell>
        </row>
        <row r="97">
          <cell r="F97">
            <v>27320</v>
          </cell>
        </row>
        <row r="98">
          <cell r="F98">
            <v>6550</v>
          </cell>
        </row>
        <row r="99">
          <cell r="F99">
            <v>2355</v>
          </cell>
        </row>
        <row r="100">
          <cell r="F100">
            <v>1453</v>
          </cell>
        </row>
        <row r="101">
          <cell r="F101">
            <v>0</v>
          </cell>
        </row>
        <row r="102">
          <cell r="F102">
            <v>17375</v>
          </cell>
        </row>
        <row r="103">
          <cell r="F103">
            <v>110914</v>
          </cell>
        </row>
        <row r="104">
          <cell r="F104">
            <v>20580</v>
          </cell>
        </row>
        <row r="105">
          <cell r="F105">
            <v>21697</v>
          </cell>
        </row>
        <row r="106">
          <cell r="F106">
            <v>5133186</v>
          </cell>
        </row>
        <row r="108">
          <cell r="F108">
            <v>342266</v>
          </cell>
        </row>
        <row r="109">
          <cell r="F109">
            <v>46109</v>
          </cell>
        </row>
        <row r="110">
          <cell r="F110">
            <v>91922</v>
          </cell>
        </row>
        <row r="111">
          <cell r="F111">
            <v>6009</v>
          </cell>
        </row>
        <row r="112">
          <cell r="F112">
            <v>33063</v>
          </cell>
        </row>
        <row r="113">
          <cell r="F113">
            <v>1636</v>
          </cell>
        </row>
        <row r="114">
          <cell r="F114">
            <v>409</v>
          </cell>
        </row>
        <row r="115">
          <cell r="F115">
            <v>9585</v>
          </cell>
        </row>
        <row r="116">
          <cell r="F116">
            <v>19644</v>
          </cell>
        </row>
        <row r="117">
          <cell r="F117">
            <v>30476</v>
          </cell>
        </row>
        <row r="118">
          <cell r="F118">
            <v>23929</v>
          </cell>
        </row>
        <row r="119">
          <cell r="F119">
            <v>48</v>
          </cell>
        </row>
        <row r="120">
          <cell r="F120">
            <v>188090</v>
          </cell>
        </row>
        <row r="121">
          <cell r="F121">
            <v>2929</v>
          </cell>
        </row>
        <row r="122">
          <cell r="F122">
            <v>707</v>
          </cell>
        </row>
        <row r="123">
          <cell r="F123">
            <v>2955</v>
          </cell>
        </row>
        <row r="124">
          <cell r="F124">
            <v>20700</v>
          </cell>
        </row>
        <row r="125">
          <cell r="F125">
            <v>0</v>
          </cell>
        </row>
        <row r="126">
          <cell r="F126">
            <v>27829</v>
          </cell>
        </row>
        <row r="127">
          <cell r="F127">
            <v>1246</v>
          </cell>
        </row>
        <row r="128">
          <cell r="F128">
            <v>17569</v>
          </cell>
        </row>
        <row r="129">
          <cell r="F129">
            <v>215003</v>
          </cell>
        </row>
        <row r="130">
          <cell r="F130">
            <v>63500</v>
          </cell>
        </row>
        <row r="131">
          <cell r="F131">
            <v>49471</v>
          </cell>
        </row>
        <row r="132">
          <cell r="F132">
            <v>18820</v>
          </cell>
        </row>
        <row r="133">
          <cell r="F133">
            <v>37294</v>
          </cell>
        </row>
        <row r="134">
          <cell r="F134">
            <v>359802</v>
          </cell>
        </row>
        <row r="135">
          <cell r="F135">
            <v>67403</v>
          </cell>
        </row>
        <row r="136">
          <cell r="F136">
            <v>39855</v>
          </cell>
        </row>
        <row r="137">
          <cell r="F137">
            <v>182289</v>
          </cell>
        </row>
        <row r="138">
          <cell r="F138">
            <v>92115</v>
          </cell>
        </row>
        <row r="139">
          <cell r="F139">
            <v>3575</v>
          </cell>
        </row>
        <row r="140">
          <cell r="F140">
            <v>0</v>
          </cell>
        </row>
        <row r="141">
          <cell r="F141">
            <v>0</v>
          </cell>
        </row>
        <row r="142">
          <cell r="F142">
            <v>0</v>
          </cell>
        </row>
        <row r="143">
          <cell r="F143">
            <v>0</v>
          </cell>
        </row>
        <row r="144">
          <cell r="F144">
            <v>0</v>
          </cell>
        </row>
        <row r="145">
          <cell r="F145">
            <v>0</v>
          </cell>
        </row>
        <row r="146">
          <cell r="F146">
            <v>0</v>
          </cell>
        </row>
        <row r="147">
          <cell r="F147">
            <v>0</v>
          </cell>
        </row>
        <row r="148">
          <cell r="F148">
            <v>0</v>
          </cell>
        </row>
        <row r="149">
          <cell r="F149">
            <v>0</v>
          </cell>
        </row>
        <row r="150">
          <cell r="F150">
            <v>19175</v>
          </cell>
        </row>
        <row r="151">
          <cell r="F151">
            <v>54895</v>
          </cell>
        </row>
        <row r="152">
          <cell r="F152">
            <v>8047</v>
          </cell>
        </row>
        <row r="153">
          <cell r="F153">
            <v>234934</v>
          </cell>
        </row>
        <row r="154">
          <cell r="F154">
            <v>20729</v>
          </cell>
        </row>
        <row r="155">
          <cell r="F155">
            <v>221</v>
          </cell>
        </row>
        <row r="156">
          <cell r="F156">
            <v>22835</v>
          </cell>
        </row>
        <row r="157">
          <cell r="F157">
            <v>10789</v>
          </cell>
        </row>
        <row r="158">
          <cell r="F158">
            <v>2087</v>
          </cell>
        </row>
        <row r="159">
          <cell r="F159">
            <v>155246</v>
          </cell>
        </row>
        <row r="160">
          <cell r="F160">
            <v>0</v>
          </cell>
        </row>
        <row r="161">
          <cell r="F161">
            <v>0</v>
          </cell>
        </row>
        <row r="162">
          <cell r="F162">
            <v>0</v>
          </cell>
        </row>
        <row r="163">
          <cell r="F163">
            <v>32195</v>
          </cell>
        </row>
        <row r="164">
          <cell r="F164">
            <v>57345</v>
          </cell>
        </row>
        <row r="165">
          <cell r="F165">
            <v>55045</v>
          </cell>
        </row>
        <row r="166">
          <cell r="F166">
            <v>32045</v>
          </cell>
        </row>
        <row r="167">
          <cell r="F167">
            <v>0</v>
          </cell>
        </row>
        <row r="168">
          <cell r="F168">
            <v>0</v>
          </cell>
        </row>
        <row r="169">
          <cell r="F169">
            <v>0</v>
          </cell>
        </row>
        <row r="170">
          <cell r="F170">
            <v>0</v>
          </cell>
        </row>
        <row r="171">
          <cell r="F171">
            <v>0</v>
          </cell>
        </row>
        <row r="172">
          <cell r="F172">
            <v>53751</v>
          </cell>
        </row>
        <row r="173">
          <cell r="F173">
            <v>0</v>
          </cell>
        </row>
        <row r="174">
          <cell r="F174">
            <v>504084</v>
          </cell>
        </row>
        <row r="175">
          <cell r="F175">
            <v>18961</v>
          </cell>
        </row>
        <row r="176">
          <cell r="F176">
            <v>0</v>
          </cell>
        </row>
        <row r="177">
          <cell r="F177">
            <v>67609</v>
          </cell>
        </row>
        <row r="178">
          <cell r="F178">
            <v>2880</v>
          </cell>
        </row>
        <row r="179">
          <cell r="F179">
            <v>0</v>
          </cell>
        </row>
        <row r="180">
          <cell r="F180">
            <v>0</v>
          </cell>
        </row>
        <row r="181">
          <cell r="F181">
            <v>0</v>
          </cell>
        </row>
        <row r="182">
          <cell r="F182">
            <v>0</v>
          </cell>
        </row>
        <row r="183">
          <cell r="F183">
            <v>5941</v>
          </cell>
        </row>
        <row r="184">
          <cell r="F184">
            <v>1235</v>
          </cell>
        </row>
        <row r="185">
          <cell r="F185">
            <v>163701</v>
          </cell>
        </row>
        <row r="186">
          <cell r="F186">
            <v>28296</v>
          </cell>
        </row>
        <row r="187">
          <cell r="F187">
            <v>0</v>
          </cell>
        </row>
        <row r="188">
          <cell r="F188">
            <v>280</v>
          </cell>
        </row>
        <row r="189">
          <cell r="F189">
            <v>200</v>
          </cell>
        </row>
        <row r="190">
          <cell r="F190">
            <v>153</v>
          </cell>
        </row>
        <row r="191">
          <cell r="F191">
            <v>0</v>
          </cell>
        </row>
        <row r="192">
          <cell r="F192">
            <v>0</v>
          </cell>
        </row>
        <row r="193">
          <cell r="F193">
            <v>0</v>
          </cell>
        </row>
        <row r="194">
          <cell r="F194">
            <v>0</v>
          </cell>
        </row>
        <row r="195">
          <cell r="F195">
            <v>0</v>
          </cell>
        </row>
        <row r="196">
          <cell r="F196">
            <v>0</v>
          </cell>
        </row>
        <row r="197">
          <cell r="F197">
            <v>0</v>
          </cell>
        </row>
        <row r="198">
          <cell r="F198">
            <v>2550</v>
          </cell>
        </row>
        <row r="199">
          <cell r="F199">
            <v>1200</v>
          </cell>
        </row>
        <row r="200">
          <cell r="F200">
            <v>8260</v>
          </cell>
        </row>
        <row r="201">
          <cell r="F201">
            <v>7000</v>
          </cell>
        </row>
        <row r="202">
          <cell r="F202">
            <v>3300</v>
          </cell>
        </row>
        <row r="203">
          <cell r="F203">
            <v>310</v>
          </cell>
        </row>
        <row r="204">
          <cell r="F204">
            <v>4500</v>
          </cell>
        </row>
        <row r="205">
          <cell r="F205">
            <v>0</v>
          </cell>
        </row>
        <row r="206">
          <cell r="F206">
            <v>0</v>
          </cell>
        </row>
        <row r="207">
          <cell r="F207">
            <v>0</v>
          </cell>
        </row>
        <row r="208">
          <cell r="F208">
            <v>0</v>
          </cell>
        </row>
        <row r="209">
          <cell r="F209">
            <v>-667431</v>
          </cell>
        </row>
        <row r="210">
          <cell r="F210">
            <v>332744</v>
          </cell>
        </row>
        <row r="211">
          <cell r="F211">
            <v>1144830</v>
          </cell>
        </row>
        <row r="212">
          <cell r="F212">
            <v>656995</v>
          </cell>
        </row>
        <row r="213">
          <cell r="F213">
            <v>220913</v>
          </cell>
        </row>
        <row r="214">
          <cell r="F214">
            <v>0</v>
          </cell>
        </row>
        <row r="215">
          <cell r="F215">
            <v>163692</v>
          </cell>
        </row>
        <row r="216">
          <cell r="F216">
            <v>2150</v>
          </cell>
        </row>
        <row r="217">
          <cell r="F217">
            <v>0</v>
          </cell>
        </row>
        <row r="218">
          <cell r="F218">
            <v>0</v>
          </cell>
        </row>
        <row r="219">
          <cell r="F219">
            <v>0</v>
          </cell>
        </row>
        <row r="220">
          <cell r="F220">
            <v>0</v>
          </cell>
        </row>
        <row r="221">
          <cell r="F221">
            <v>3231</v>
          </cell>
        </row>
        <row r="222">
          <cell r="F222">
            <v>675</v>
          </cell>
        </row>
        <row r="223">
          <cell r="F223">
            <v>675</v>
          </cell>
        </row>
        <row r="224">
          <cell r="F224">
            <v>675</v>
          </cell>
        </row>
        <row r="225">
          <cell r="F225">
            <v>675</v>
          </cell>
        </row>
        <row r="226">
          <cell r="F226">
            <v>0</v>
          </cell>
        </row>
        <row r="227">
          <cell r="F227">
            <v>0</v>
          </cell>
        </row>
        <row r="228">
          <cell r="F228">
            <v>0</v>
          </cell>
        </row>
        <row r="229">
          <cell r="F229">
            <v>0</v>
          </cell>
        </row>
        <row r="230">
          <cell r="F230">
            <v>0</v>
          </cell>
        </row>
        <row r="231">
          <cell r="F231">
            <v>21657</v>
          </cell>
        </row>
        <row r="232">
          <cell r="F232">
            <v>46838</v>
          </cell>
        </row>
        <row r="233">
          <cell r="F233">
            <v>46228</v>
          </cell>
        </row>
        <row r="234">
          <cell r="F234">
            <v>0</v>
          </cell>
        </row>
        <row r="235">
          <cell r="F235">
            <v>1966</v>
          </cell>
        </row>
        <row r="236">
          <cell r="F236">
            <v>1966</v>
          </cell>
        </row>
        <row r="237">
          <cell r="F237">
            <v>91032</v>
          </cell>
        </row>
        <row r="238">
          <cell r="F238">
            <v>43716</v>
          </cell>
        </row>
        <row r="239">
          <cell r="F239">
            <v>62147</v>
          </cell>
        </row>
        <row r="240">
          <cell r="F240">
            <v>36552</v>
          </cell>
        </row>
        <row r="241">
          <cell r="F241">
            <v>13825</v>
          </cell>
        </row>
        <row r="242">
          <cell r="F242">
            <v>13825</v>
          </cell>
        </row>
        <row r="243">
          <cell r="F243">
            <v>13825</v>
          </cell>
        </row>
        <row r="244">
          <cell r="F244">
            <v>0</v>
          </cell>
        </row>
        <row r="245">
          <cell r="F245">
            <v>13825</v>
          </cell>
        </row>
        <row r="246">
          <cell r="F246">
            <v>13825</v>
          </cell>
        </row>
        <row r="247">
          <cell r="F247">
            <v>13825</v>
          </cell>
        </row>
        <row r="248">
          <cell r="F248">
            <v>2625</v>
          </cell>
        </row>
        <row r="249">
          <cell r="F249">
            <v>13973</v>
          </cell>
        </row>
        <row r="250">
          <cell r="F250">
            <v>27519</v>
          </cell>
        </row>
        <row r="251">
          <cell r="F251">
            <v>2122</v>
          </cell>
        </row>
        <row r="252">
          <cell r="F252">
            <v>4342</v>
          </cell>
        </row>
        <row r="253">
          <cell r="F253">
            <v>0</v>
          </cell>
        </row>
        <row r="254">
          <cell r="F254">
            <v>5769</v>
          </cell>
        </row>
        <row r="255">
          <cell r="F255">
            <v>13215</v>
          </cell>
        </row>
        <row r="256">
          <cell r="F256">
            <v>0</v>
          </cell>
        </row>
        <row r="257">
          <cell r="F257">
            <v>28987</v>
          </cell>
        </row>
        <row r="258">
          <cell r="F258">
            <v>62909</v>
          </cell>
        </row>
        <row r="259">
          <cell r="F259">
            <v>4239</v>
          </cell>
        </row>
        <row r="260">
          <cell r="F260">
            <v>5028</v>
          </cell>
        </row>
        <row r="261">
          <cell r="F261">
            <v>1793</v>
          </cell>
        </row>
        <row r="262">
          <cell r="F262">
            <v>16013</v>
          </cell>
        </row>
        <row r="263">
          <cell r="F263">
            <v>9409</v>
          </cell>
        </row>
        <row r="264">
          <cell r="F264">
            <v>23586</v>
          </cell>
        </row>
        <row r="265">
          <cell r="F265">
            <v>2222</v>
          </cell>
        </row>
        <row r="266">
          <cell r="F266">
            <v>6327</v>
          </cell>
        </row>
        <row r="267">
          <cell r="F267">
            <v>2534</v>
          </cell>
        </row>
        <row r="268">
          <cell r="F268">
            <v>8638</v>
          </cell>
        </row>
        <row r="269">
          <cell r="F269">
            <v>2140</v>
          </cell>
        </row>
        <row r="270">
          <cell r="F270">
            <v>135111</v>
          </cell>
        </row>
        <row r="271">
          <cell r="F271">
            <v>8395</v>
          </cell>
        </row>
        <row r="272">
          <cell r="F272">
            <v>7953</v>
          </cell>
        </row>
        <row r="273">
          <cell r="F273">
            <v>96086</v>
          </cell>
        </row>
        <row r="274">
          <cell r="F274">
            <v>49850</v>
          </cell>
        </row>
        <row r="275">
          <cell r="F275">
            <v>4301591</v>
          </cell>
        </row>
        <row r="276">
          <cell r="F276">
            <v>0</v>
          </cell>
        </row>
        <row r="277">
          <cell r="F277">
            <v>0</v>
          </cell>
        </row>
        <row r="278">
          <cell r="F278">
            <v>12495</v>
          </cell>
        </row>
        <row r="279">
          <cell r="F279">
            <v>26749</v>
          </cell>
        </row>
        <row r="280">
          <cell r="F280">
            <v>19503</v>
          </cell>
        </row>
        <row r="281">
          <cell r="F281">
            <v>38451</v>
          </cell>
        </row>
        <row r="282">
          <cell r="F282">
            <v>55700</v>
          </cell>
        </row>
        <row r="283">
          <cell r="F283">
            <v>717553</v>
          </cell>
        </row>
        <row r="284">
          <cell r="F284">
            <v>92516</v>
          </cell>
        </row>
        <row r="285">
          <cell r="F285">
            <v>14737</v>
          </cell>
        </row>
        <row r="286">
          <cell r="F286">
            <v>12342</v>
          </cell>
        </row>
        <row r="287">
          <cell r="F287">
            <v>4141</v>
          </cell>
        </row>
        <row r="288">
          <cell r="F288">
            <v>3600</v>
          </cell>
        </row>
        <row r="289">
          <cell r="F289">
            <v>1850</v>
          </cell>
        </row>
        <row r="290">
          <cell r="F290">
            <v>11741</v>
          </cell>
        </row>
        <row r="291">
          <cell r="F291">
            <v>4800</v>
          </cell>
        </row>
        <row r="292">
          <cell r="F292">
            <v>1700</v>
          </cell>
        </row>
        <row r="293">
          <cell r="F293">
            <v>3166</v>
          </cell>
        </row>
        <row r="294">
          <cell r="F294">
            <v>5000</v>
          </cell>
        </row>
        <row r="295">
          <cell r="F295">
            <v>541</v>
          </cell>
        </row>
        <row r="296">
          <cell r="F296">
            <v>0</v>
          </cell>
        </row>
        <row r="297">
          <cell r="F297">
            <v>93123</v>
          </cell>
        </row>
        <row r="298">
          <cell r="F298">
            <v>21829</v>
          </cell>
        </row>
        <row r="299">
          <cell r="F299">
            <v>15357</v>
          </cell>
        </row>
        <row r="300">
          <cell r="F300">
            <v>16159</v>
          </cell>
        </row>
        <row r="301">
          <cell r="F301">
            <v>4220</v>
          </cell>
        </row>
        <row r="302">
          <cell r="F302">
            <v>3532</v>
          </cell>
        </row>
        <row r="303">
          <cell r="F303">
            <v>382</v>
          </cell>
        </row>
        <row r="304">
          <cell r="F304">
            <v>5636</v>
          </cell>
        </row>
        <row r="305">
          <cell r="F305">
            <v>5045</v>
          </cell>
        </row>
        <row r="306">
          <cell r="F306">
            <v>6719</v>
          </cell>
        </row>
        <row r="307">
          <cell r="F307">
            <v>7198</v>
          </cell>
        </row>
        <row r="308">
          <cell r="F308">
            <v>2114</v>
          </cell>
        </row>
        <row r="309">
          <cell r="F309">
            <v>1153</v>
          </cell>
        </row>
        <row r="310">
          <cell r="F310">
            <v>87</v>
          </cell>
        </row>
        <row r="311">
          <cell r="F311">
            <v>2389165</v>
          </cell>
        </row>
        <row r="312">
          <cell r="F312">
            <v>620878</v>
          </cell>
        </row>
        <row r="313">
          <cell r="F313">
            <v>584778</v>
          </cell>
        </row>
        <row r="314">
          <cell r="F314">
            <v>559587</v>
          </cell>
        </row>
        <row r="315">
          <cell r="F315">
            <v>1372980</v>
          </cell>
        </row>
        <row r="316">
          <cell r="F316">
            <v>312008</v>
          </cell>
        </row>
        <row r="317">
          <cell r="F317">
            <v>279094</v>
          </cell>
        </row>
        <row r="318">
          <cell r="F318">
            <v>27014</v>
          </cell>
        </row>
        <row r="319">
          <cell r="F319">
            <v>0</v>
          </cell>
        </row>
        <row r="320">
          <cell r="F320">
            <v>0</v>
          </cell>
        </row>
        <row r="321">
          <cell r="F321">
            <v>0</v>
          </cell>
        </row>
        <row r="322">
          <cell r="F322">
            <v>0</v>
          </cell>
        </row>
        <row r="323">
          <cell r="F323">
            <v>0</v>
          </cell>
        </row>
        <row r="324">
          <cell r="F324">
            <v>0</v>
          </cell>
        </row>
        <row r="325">
          <cell r="F325">
            <v>0</v>
          </cell>
        </row>
        <row r="326">
          <cell r="F326">
            <v>0</v>
          </cell>
        </row>
        <row r="327">
          <cell r="F327">
            <v>39534</v>
          </cell>
        </row>
        <row r="328">
          <cell r="F328">
            <v>36939</v>
          </cell>
        </row>
        <row r="329">
          <cell r="F329">
            <v>18760</v>
          </cell>
        </row>
        <row r="330">
          <cell r="F330">
            <v>68085</v>
          </cell>
        </row>
        <row r="331">
          <cell r="F331">
            <v>82481</v>
          </cell>
        </row>
        <row r="332">
          <cell r="F332">
            <v>15006</v>
          </cell>
        </row>
        <row r="333">
          <cell r="F333">
            <v>14941</v>
          </cell>
        </row>
        <row r="334">
          <cell r="F334">
            <v>-35</v>
          </cell>
        </row>
        <row r="335">
          <cell r="F335">
            <v>-7</v>
          </cell>
        </row>
        <row r="336">
          <cell r="F336">
            <v>-6</v>
          </cell>
        </row>
        <row r="337">
          <cell r="F337">
            <v>-101</v>
          </cell>
        </row>
        <row r="338">
          <cell r="F338">
            <v>-156</v>
          </cell>
        </row>
        <row r="339">
          <cell r="F339">
            <v>5</v>
          </cell>
        </row>
        <row r="340">
          <cell r="F340">
            <v>-33</v>
          </cell>
        </row>
        <row r="341">
          <cell r="F341">
            <v>0</v>
          </cell>
        </row>
        <row r="342">
          <cell r="F342">
            <v>6179</v>
          </cell>
        </row>
        <row r="343">
          <cell r="F343">
            <v>-346</v>
          </cell>
        </row>
        <row r="344">
          <cell r="F344">
            <v>-251</v>
          </cell>
        </row>
        <row r="345">
          <cell r="F345">
            <v>-39</v>
          </cell>
        </row>
        <row r="346">
          <cell r="F346">
            <v>1682479</v>
          </cell>
        </row>
        <row r="347">
          <cell r="F347">
            <v>801959</v>
          </cell>
        </row>
        <row r="348">
          <cell r="F348">
            <v>146684</v>
          </cell>
        </row>
        <row r="349">
          <cell r="F349">
            <v>138447</v>
          </cell>
        </row>
        <row r="350">
          <cell r="F350">
            <v>27319</v>
          </cell>
        </row>
        <row r="351">
          <cell r="F351">
            <v>57183</v>
          </cell>
        </row>
        <row r="352">
          <cell r="F352">
            <v>6426</v>
          </cell>
        </row>
        <row r="353">
          <cell r="F353">
            <v>78930</v>
          </cell>
        </row>
        <row r="354">
          <cell r="F354">
            <v>34996</v>
          </cell>
        </row>
        <row r="355">
          <cell r="F355">
            <v>21798</v>
          </cell>
        </row>
        <row r="356">
          <cell r="F356">
            <v>20536</v>
          </cell>
        </row>
        <row r="357">
          <cell r="F357">
            <v>34250</v>
          </cell>
        </row>
        <row r="358">
          <cell r="F358">
            <v>12994</v>
          </cell>
        </row>
        <row r="359">
          <cell r="F359">
            <v>141885</v>
          </cell>
        </row>
        <row r="360">
          <cell r="F360">
            <v>40149</v>
          </cell>
        </row>
        <row r="361">
          <cell r="F361">
            <v>5114</v>
          </cell>
        </row>
        <row r="362">
          <cell r="F362">
            <v>24000</v>
          </cell>
        </row>
        <row r="363">
          <cell r="F363">
            <v>17698</v>
          </cell>
        </row>
        <row r="364">
          <cell r="F364">
            <v>74685</v>
          </cell>
        </row>
        <row r="365">
          <cell r="F365">
            <v>21716430</v>
          </cell>
        </row>
        <row r="366">
          <cell r="F366">
            <v>326497</v>
          </cell>
        </row>
        <row r="367">
          <cell r="F367">
            <v>0</v>
          </cell>
        </row>
        <row r="368">
          <cell r="F368">
            <v>6095</v>
          </cell>
        </row>
        <row r="369">
          <cell r="F369">
            <v>0</v>
          </cell>
        </row>
        <row r="370">
          <cell r="F370">
            <v>26849616</v>
          </cell>
        </row>
        <row r="371">
          <cell r="F371">
            <v>114072</v>
          </cell>
        </row>
        <row r="372">
          <cell r="F372">
            <v>30685650</v>
          </cell>
        </row>
        <row r="374">
          <cell r="F374">
            <v>0</v>
          </cell>
        </row>
        <row r="376">
          <cell r="F376">
            <v>0</v>
          </cell>
        </row>
        <row r="377">
          <cell r="F377">
            <v>38076910</v>
          </cell>
        </row>
      </sheetData>
      <sheetData sheetId="2"/>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Det. Gastos"/>
      <sheetName val="Muestreo "/>
      <sheetName val="APT Gastos"/>
      <sheetName val="Cálculo MO"/>
      <sheetName val="AnálisisImpuestos"/>
      <sheetName val="MayoGtosAdm (No Borrar)."/>
      <sheetName val="Tickmarks"/>
      <sheetName val="XREF"/>
    </sheetNames>
    <sheetDataSet>
      <sheetData sheetId="0"/>
      <sheetData sheetId="1">
        <row r="70">
          <cell r="E70">
            <v>2367396</v>
          </cell>
          <cell r="J70" t="str">
            <v>!</v>
          </cell>
        </row>
        <row r="74">
          <cell r="J74">
            <v>0</v>
          </cell>
        </row>
        <row r="82">
          <cell r="I82">
            <v>14222</v>
          </cell>
        </row>
        <row r="84">
          <cell r="J84">
            <v>0</v>
          </cell>
        </row>
      </sheetData>
      <sheetData sheetId="2"/>
      <sheetData sheetId="3"/>
      <sheetData sheetId="4"/>
      <sheetData sheetId="5"/>
      <sheetData sheetId="6"/>
      <sheetData sheetId="7"/>
      <sheetData sheetId="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veed. Nacionales"/>
      <sheetName val="Proveed. Exterior"/>
      <sheetName val="Confirmaciones"/>
      <sheetName val="CxP Relacionadas"/>
      <sheetName val="Pasivos no registrados"/>
      <sheetName val="XREF"/>
      <sheetName val="Tickmarks"/>
      <sheetName val="Nota"/>
      <sheetName val="Fondo acumulado"/>
      <sheetName val="Grupos liquidad"/>
      <sheetName val="veh x adj final"/>
      <sheetName val="veh x adj prel"/>
      <sheetName val="ADJ RUMEN OCT 2003"/>
      <sheetName val="Prov nacion"/>
      <sheetName val="Prov. exterior"/>
      <sheetName val="prov Relacionadas"/>
      <sheetName val="MMA"/>
      <sheetName val="Sheet1"/>
      <sheetName val="Detalle Proveedores"/>
      <sheetName val="Resumen confirmaciones"/>
      <sheetName val="Pagos posteriores"/>
      <sheetName val="Mayor bco."/>
      <sheetName val="Pasivos no reg."/>
      <sheetName val="Pas. no reg. imp."/>
      <sheetName val="#REF"/>
      <sheetName val="Detalle"/>
      <sheetName val="MMA Mayor"/>
      <sheetName val="Pagos posterior"/>
      <sheetName val="Detalle Final"/>
      <sheetName val="Detalle-pp"/>
      <sheetName val="Anexo 11"/>
      <sheetName val="Hoja 1"/>
      <sheetName val="Det. CxP"/>
      <sheetName val="Mov. Benef. Soc."/>
      <sheetName val="Cálculo Benef. Sociales"/>
      <sheetName val="Cal.Ben-soc"/>
      <sheetName val="Aportes IESS"/>
      <sheetName val="Marcas Estándar"/>
      <sheetName val="Análisis Cta. Varios por liqui "/>
      <sheetName val="Pagos Posteriores Final"/>
      <sheetName val="Cta Pagar Muller"/>
      <sheetName val="Pagos Posteriores (Rev.Abril)"/>
      <sheetName val="Tickmark"/>
      <sheetName val="Detalle Proveed. "/>
      <sheetName val="Busq. Pas.Impor"/>
      <sheetName val="Busqueda Pasivos Compras"/>
      <sheetName val="Pasivosnoregis"/>
      <sheetName val="Gtos. Provisionados "/>
      <sheetName val="Listado CxP"/>
      <sheetName val="Det. total por Prov."/>
      <sheetName val="Prueba Desemb."/>
      <sheetName val="Fact. No Pag."/>
      <sheetName val="Listado cuentas por pagar"/>
      <sheetName val="Detalle total por Proveedor"/>
      <sheetName val="Cías. Relac. Final"/>
      <sheetName val="Ing. Diferidos"/>
      <sheetName val="Pagos Post. Relacionadas"/>
      <sheetName val="Mov. Provisiones"/>
      <sheetName val="Variación Relac. "/>
      <sheetName val="Variaciones Prov. Ext"/>
      <sheetName val="Pagos post. Prov. Ext."/>
      <sheetName val="Variación Proveed. Loc."/>
      <sheetName val="Pagos Post. Prov. Locales"/>
      <sheetName val="Prov. del Exterior Preliminar"/>
      <sheetName val="Cías. Relacionadas Preliminar"/>
      <sheetName val="Prueba de desembolsos"/>
      <sheetName val="Pas No Reg"/>
      <sheetName val="Busq Pas No Reg"/>
      <sheetName val="CxP Cronix"/>
      <sheetName val="MMA APT Desemsolsos"/>
      <sheetName val="Pruebas de desembolsos"/>
      <sheetName val="Logiciel"/>
      <sheetName val="Variaciones Prov. Ext dic 07"/>
      <sheetName val="Variación Proveed. Locales"/>
      <sheetName val="Prov. del Exterior"/>
      <sheetName val="Cías. Relacionadas"/>
      <sheetName val="Prov. Locales"/>
      <sheetName val="Pivot Reemb"/>
      <sheetName val="Reembolsos"/>
      <sheetName val="Otros gastos"/>
      <sheetName val="Reembolsos Preliminar"/>
      <sheetName val="Conclina Preliminar"/>
      <sheetName val="Cías. Relacionadas Final"/>
      <sheetName val="Nota EEFF"/>
      <sheetName val="QIA"/>
      <sheetName val="Pago posteriores Prel"/>
      <sheetName val="Provisión"/>
      <sheetName val="Prov Locales Final"/>
      <sheetName val="Prov Ext. Final"/>
      <sheetName val="MMA Bancos"/>
      <sheetName val="Límite"/>
      <sheetName val="Imp. Liq."/>
      <sheetName val="Rev. Fact. No Pag"/>
      <sheetName val="Mov. Prov."/>
      <sheetName val="Mallinckkort"/>
      <sheetName val="Prov Locales"/>
      <sheetName val="Mov. Prov"/>
      <sheetName val="Asientos"/>
      <sheetName val="Listado"/>
      <sheetName val="Prov Exterior Final"/>
      <sheetName val="Bus. Pas No Reg"/>
      <sheetName val="Oblig. Terceros"/>
      <sheetName val="Obligaciones Terceros Final"/>
      <sheetName val="Pasivos no reg. (import)"/>
      <sheetName val="Detalle Imp. Liq enero"/>
      <sheetName val="Imp. transito Liq."/>
      <sheetName val="Rev. Fact."/>
      <sheetName val="MMA pagos post"/>
      <sheetName val="APT pagos"/>
      <sheetName val="APT mov prov"/>
      <sheetName val="Proveed. locales"/>
      <sheetName val="Proveedores exterior"/>
      <sheetName val="Detalle Facturas ADC&amp;HAS"/>
      <sheetName val="Proveedores Locales"/>
      <sheetName val="Proveedores del Exterior"/>
      <sheetName val="Base de Cartera 31-Dic"/>
      <sheetName val="Base de Cartera 31-Oct."/>
      <sheetName val="Proveedores Final"/>
      <sheetName val="Proveedores Prel."/>
      <sheetName val="MMA PNR"/>
      <sheetName val="Selección PNR"/>
      <sheetName val="Proveedores"/>
      <sheetName val="Notas a los EEFF"/>
      <sheetName val="Detalle Proveedores Locales Pre"/>
      <sheetName val="Detalle Proveedores Exterior Pr"/>
      <sheetName val="Análisis Pasivos no Registrados"/>
      <sheetName val="APT Pasivos no Registrados"/>
      <sheetName val="CXP proveedores"/>
      <sheetName val="Detalle de Cuentas por Pagar"/>
      <sheetName val="Acreed. Varios"/>
      <sheetName val="Nota a los EEFF"/>
      <sheetName val="CxP Final"/>
      <sheetName val="CxP Preli."/>
      <sheetName val="Pago posteriores Final"/>
      <sheetName val="Pagos posteriores Prel."/>
      <sheetName val="Proveedores Extr. (Dic)"/>
      <sheetName val="Proveedores Nacionales (Dic)"/>
      <sheetName val="Proveedores (Nov)"/>
      <sheetName val="Proveedores (Sep)"/>
      <sheetName val="Proveedores (Jun)"/>
      <sheetName val="Limites"/>
      <sheetName val="Conciliación Intercompany"/>
      <sheetName val="Detalle por Proveedores"/>
      <sheetName val="APT"/>
      <sheetName val="Análisis de antiguedad Prelim"/>
      <sheetName val="Análisis de Antigüedad Final"/>
      <sheetName val="PNR"/>
      <sheetName val="Detalle de Proveedores"/>
      <sheetName val="Análisis de antiguedad"/>
      <sheetName val="Prov. Exterior Final"/>
      <sheetName val="Confirmaciones Prov. Ext"/>
      <sheetName val="Analisis de Pasiv. no Reg."/>
      <sheetName val="Nota a los EE FF"/>
      <sheetName val="Relacionadas Final"/>
      <sheetName val="Locales final"/>
      <sheetName val="Exterior final"/>
      <sheetName val="Facturas no pagas"/>
      <sheetName val="Cheques Transitorios"/>
      <sheetName val="Exterior"/>
      <sheetName val="Locales"/>
      <sheetName val=" Relacionadas Prel"/>
      <sheetName val="Confirmaciones "/>
      <sheetName val="Revisión Financiera"/>
      <sheetName val="Pagos posteriores prel"/>
      <sheetName val="Cias. Relac."/>
      <sheetName val="Prov. Locales Final"/>
      <sheetName val="Ch.Transito Final"/>
      <sheetName val="Prove. Exter Final "/>
      <sheetName val="Provee. Local"/>
      <sheetName val="Ch.Transito"/>
      <sheetName val="Prove. Exter"/>
      <sheetName val="Pago posteriores"/>
      <sheetName val="Varias X Pagar"/>
      <sheetName val="Prestamos"/>
      <sheetName val="Precobrados"/>
      <sheetName val="Nota 10"/>
      <sheetName val="Lista de Ingresos a Bodega"/>
      <sheetName val="Búsqueda de Pasivos No Regist."/>
      <sheetName val="Anticipo de Prov. Final"/>
      <sheetName val="Análisis Proveedores Diciembre"/>
      <sheetName val="Varias Ctas. por Pagar Ajustado"/>
      <sheetName val="Varios por Pagar"/>
      <sheetName val="Ctas. por Pagar Holding Final"/>
      <sheetName val="Anticipos por Verificar"/>
      <sheetName val="Préstamos Final"/>
      <sheetName val="Anticipos Proveedores Anterior"/>
      <sheetName val="Varias Ctas por Pagar sin Ajust"/>
      <sheetName val="Cuentas por Pagar Empleados"/>
      <sheetName val="Descuentos y Retenciones"/>
      <sheetName val="Análisis Proveedores"/>
      <sheetName val="Cuentas por Pagar Holding"/>
      <sheetName val="Préstamos"/>
      <sheetName val="Intereses"/>
      <sheetName val="Varias Cuentas por Pagar"/>
      <sheetName val="Honorarios por Pagar"/>
      <sheetName val="Ctas x P Empleados"/>
      <sheetName val="Lista Ingresos Bodega"/>
      <sheetName val="Busqueda de Pasivos No Registra"/>
      <sheetName val="Análisis Prov Dic"/>
      <sheetName val="Varias Ctas por Pagar Dic"/>
      <sheetName val="Cuentas x pagar Holding"/>
      <sheetName val="CXP Holding Final"/>
      <sheetName val="Anticipo Provee"/>
      <sheetName val="Varias Ctas x Pagar"/>
      <sheetName val="Honorarios x Pagar"/>
      <sheetName val="Analisis proveedores"/>
      <sheetName val="Anticipos Proveedores"/>
      <sheetName val="CXP HD"/>
      <sheetName val="Anticipos clientes"/>
      <sheetName val="MMA Compras"/>
      <sheetName val="MMA Pasivos no Registrados"/>
      <sheetName val="Prov. Nacionales"/>
      <sheetName val="Prov. fruto"/>
      <sheetName val="Detalle "/>
      <sheetName val="Ctas x Pag"/>
      <sheetName val="Prov Selec"/>
      <sheetName val="Prov Mat Pr"/>
      <sheetName val="Ant Cl"/>
      <sheetName val="Analisis Pasivo No Reg"/>
      <sheetName val="Seleccionados"/>
      <sheetName val="Clientes DTT"/>
      <sheetName val="Conciliacion"/>
      <sheetName val="Desembolsos Post. Final"/>
      <sheetName val="Desembolsos Post. "/>
      <sheetName val="Pasiv. no reg. Prov. exterior"/>
      <sheetName val="Prov. Final (PPC)"/>
      <sheetName val="Prov. Prelim. (PPC)"/>
      <sheetName val="Est.Cta Invede"/>
      <sheetName val="Confirmación Nestle"/>
      <sheetName val="Confirmación Pronaca"/>
      <sheetName val="Movimiento DLA"/>
      <sheetName val="Análisis Facturación DLA"/>
      <sheetName val="Conciliación Confirmaciones"/>
      <sheetName val="Proveedores_Intercompañías"/>
      <sheetName val="MMA Mayor Bcos"/>
      <sheetName val="Facturas no Pagadas"/>
      <sheetName val="Pagos Posteriors"/>
      <sheetName val="MMA Facturas no Pag."/>
      <sheetName val="MMA Pasivos no Reg."/>
      <sheetName val="Ctas. x pagar Brokers"/>
      <sheetName val="Desembolsos posteriors"/>
      <sheetName val="Detalle Proveedores Final "/>
      <sheetName val="Detalle Proveedores Preliminar"/>
      <sheetName val="Préstamos exte"/>
      <sheetName val="Pagos Poster"/>
      <sheetName val="Análisis de Ptmos. "/>
      <sheetName val="Detalle CXP"/>
      <sheetName val="Análisis de Ptmos. (final)"/>
      <sheetName val="Análisis de Ptmos. (prel)"/>
      <sheetName val="Int. Prés. Imp. (prel)"/>
      <sheetName val="Calc. Límites"/>
      <sheetName val="Análisis de Ptmos."/>
      <sheetName val="Int. Prés. Imp."/>
      <sheetName val="Detalle Prov. Adm Preliminar"/>
      <sheetName val="Detalle Prov. Comercial Preli"/>
      <sheetName val="Detalle Repuestos"/>
      <sheetName val="Detalle de Unidades"/>
      <sheetName val="Pgs Post"/>
      <sheetName val="No aliadas comercial"/>
      <sheetName val="Ent. Financ"/>
      <sheetName val="No aliados prove ext"/>
      <sheetName val="Sin Fact. Mat. Direct local"/>
      <sheetName val="Recep Sin fact Mant Indirec"/>
      <sheetName val="Recp sin Fact Direct Ext"/>
      <sheetName val="Recepcion sin Fact PPUP"/>
      <sheetName val="Prov Repues GM Brasil"/>
      <sheetName val="Prov Repues GM Isuzu"/>
      <sheetName val="Prov. Rep. GM Volvo"/>
      <sheetName val="Prov. Repuest otros"/>
      <sheetName val="Prov. Repuestos Otras Moneda"/>
      <sheetName val="Aliadas ComercialDic"/>
      <sheetName val="Aliadas - Comercial prem"/>
      <sheetName val="Honorarios prem"/>
      <sheetName val="Servicios públicos prem"/>
      <sheetName val="Otros Final"/>
      <sheetName val="Comentario"/>
      <sheetName val="Préstamos xPagar CP aliadas"/>
      <sheetName val="Otros prem"/>
      <sheetName val="Aliadas - Comercial"/>
      <sheetName val="Honorarios"/>
      <sheetName val="Servicios públicos"/>
      <sheetName val="Otros"/>
      <sheetName val="CXP Empleados"/>
      <sheetName val="Detalle ctas x pagar Holding"/>
      <sheetName val="Conciliación Prov. Ext."/>
      <sheetName val="Proveedores varios"/>
      <sheetName val="MMA Preliminar"/>
      <sheetName val="Detalle Proveed.Nac"/>
      <sheetName val="Confiramciones"/>
      <sheetName val="Proveedores del exterior Dec"/>
      <sheetName val="Pagos Posteriores (f)"/>
      <sheetName val="Pagos posteriores Ext."/>
      <sheetName val="Pagos Posteriores (p)"/>
      <sheetName val="Detalle Proveed. Extr.Sep"/>
      <sheetName val="Base Pagos 2007"/>
      <sheetName val="MMA Facturs no Pag."/>
      <sheetName val="MMA Pagos Posteriors"/>
      <sheetName val="Otras Cuentas por Pagar"/>
      <sheetName val="Facturas por recibir Locales"/>
      <sheetName val="Facturas Por Recibir Exterior"/>
      <sheetName val="MMA (Busqueda de Pasivos)"/>
      <sheetName val="Búsqueda de Pasivos No Regis"/>
      <sheetName val="MMA Mayor Bcos (2)"/>
      <sheetName val="Desembolsos"/>
      <sheetName val="Compras y desembolsos"/>
      <sheetName val="Provee.Nacionales"/>
      <sheetName val="Provee.Extranjer"/>
      <sheetName val="Proveed.Otros"/>
      <sheetName val="Proveed.Transprt."/>
      <sheetName val="Proveed.Intercompañías"/>
      <sheetName val="Selecc.Pasiv.no Registr."/>
      <sheetName val="Pasivos no Reg "/>
      <sheetName val="Análisis Importa."/>
      <sheetName val="Detalle proveedor del exterior"/>
      <sheetName val="Prov. Extranj."/>
      <sheetName val="Arqueo. Ch. Girados no Entregad"/>
      <sheetName val="Prov. Otros"/>
      <sheetName val="Prov. Transportes"/>
      <sheetName val="Prov. Gastos"/>
      <sheetName val="Prov. Intercompañías"/>
      <sheetName val="Transacciones con Partes Relaci"/>
      <sheetName val="Antiguedad CxP"/>
      <sheetName val="Otros Proveedores x Pagar"/>
      <sheetName val="Itochu"/>
      <sheetName val="Oblig. por pagar"/>
      <sheetName val="Prov. Suministros"/>
      <sheetName val="Detalle prov. varios "/>
      <sheetName val="Detalle acreed. Varios "/>
      <sheetName val="Detalle prov. varios final"/>
      <sheetName val="Detalle prov. varios"/>
      <sheetName val="Detalle acreed. varios final"/>
      <sheetName val="Detalle acreed. varios"/>
      <sheetName val="Detalle Suministros final"/>
      <sheetName val="Detalle Suministros"/>
      <sheetName val="Detalle nacionales final"/>
      <sheetName val="Detalle nacionales"/>
      <sheetName val="Transportistas"/>
      <sheetName val="Suministros"/>
      <sheetName val="Nacionales"/>
      <sheetName val="Supermaxi"/>
      <sheetName val="Ctas. X Pagar proveedores"/>
      <sheetName val="Selección"/>
      <sheetName val="Selección pasivo no registrado"/>
      <sheetName val="DetalleCuentasxPagar"/>
      <sheetName val="Confirmacion Supermaxi"/>
      <sheetName val="Pagos"/>
      <sheetName val="MMA Pas. No Reg. "/>
      <sheetName val="Prueba de Desemb"/>
      <sheetName val="Cta 764"/>
      <sheetName val="Cta 765"/>
      <sheetName val="Cta 787"/>
      <sheetName val="Importation Costs"/>
      <sheetName val="Cash Transfers"/>
      <sheetName val="Prueba desembolsos"/>
      <sheetName val="Antiguedad CxP Final"/>
      <sheetName val="Resumen"/>
      <sheetName val="Acreedores Fin"/>
      <sheetName val="Acreedores Prel"/>
      <sheetName val="Relacionados"/>
      <sheetName val="Préstamos Toyota"/>
      <sheetName val="MMA Pas No Reg"/>
      <sheetName val="A. Pagos Post."/>
      <sheetName val="Copagos"/>
      <sheetName val="CxP Conclina"/>
      <sheetName val="Crédito Conclina"/>
      <sheetName val="Provisiones"/>
      <sheetName val="Facturas por Devengar"/>
      <sheetName val="Pasivos no Reg"/>
      <sheetName val="Nota "/>
      <sheetName val="Prov. Nac."/>
      <sheetName val="Prov. Ext."/>
      <sheetName val="Prov. Relac."/>
      <sheetName val="P.N.R"/>
      <sheetName val="Pagos Post."/>
      <sheetName val="Provedores del Exterior "/>
      <sheetName val="Provedores Loacales "/>
      <sheetName val="Pagos. Post."/>
      <sheetName val="Corte CxP final"/>
      <sheetName val="Confirmaciones relacionads"/>
      <sheetName val="Prov. Ext. Prel."/>
      <sheetName val="Pagos Noviembre"/>
      <sheetName val="Notas EEFF"/>
      <sheetName val="Cías Relacionadas"/>
      <sheetName val="Detalle de Garantías"/>
      <sheetName val="Desembolsos Posteriores"/>
      <sheetName val="Detalles"/>
      <sheetName val="Anticipo Conclina"/>
      <sheetName val="Otras Cuentas por Pagar "/>
      <sheetName val="Ctas x Pagar"/>
      <sheetName val="Intercompany"/>
      <sheetName val="Pagos Ene"/>
      <sheetName val="Cuentas x pagar"/>
      <sheetName val="Cuentas xpagar04"/>
      <sheetName val="Dep.Fdos.Terce"/>
      <sheetName val="Dep.Fdos.04"/>
      <sheetName val="Convenios"/>
      <sheetName val="Jub.Patron."/>
      <sheetName val="Anál.Pas.No.Reg."/>
      <sheetName val="MMA Mayores 06"/>
      <sheetName val="Barbados"/>
      <sheetName val="Detalle (Final)"/>
      <sheetName val="Base Proveedores"/>
      <sheetName val="Proveedores confirmados"/>
      <sheetName val="Muestra desembolsos ACL"/>
      <sheetName val="Análisis"/>
      <sheetName val="Acreedores"/>
      <sheetName val="Cuentas por pagar Intercompany"/>
      <sheetName val="Selección Desembolsos"/>
      <sheetName val="Muestra Desembolsos"/>
      <sheetName val="Selección Final"/>
      <sheetName val="Muestra Final"/>
      <sheetName val="Desembolsos Final"/>
      <sheetName val="Facturas pagadas"/>
      <sheetName val="CMA Calculations"/>
      <sheetName val="CMA Selections"/>
      <sheetName val="Debitos Miscelaneos"/>
      <sheetName val="Intercompanies 2006"/>
      <sheetName val="Prueba de Desembolsos Prel"/>
      <sheetName val="Base de Datos proveedores final"/>
      <sheetName val="Rollfwd"/>
      <sheetName val="Base de Datos proveedores prel"/>
      <sheetName val="Analisis de Fac.no registradas"/>
      <sheetName val="Desembolsos posteriores provee"/>
      <sheetName val="Base de Datos proveedores"/>
      <sheetName val="Prueba Desembolsos Final"/>
      <sheetName val="Comerciales"/>
      <sheetName val="Dep Flot"/>
      <sheetName val="Dep Prev"/>
      <sheetName val="Dep Apl Fin"/>
      <sheetName val="Dep x Aplicar Prel"/>
      <sheetName val="Lindblad"/>
      <sheetName val="Turismo Receptivo"/>
      <sheetName val="Víveres y Bebidas"/>
      <sheetName val="Repuestos"/>
      <sheetName val="Bienes y Servicios"/>
      <sheetName val="Depósitos previos - ppc"/>
      <sheetName val="Depósitos flotantes - ppc"/>
      <sheetName val="MMA depósitos previos"/>
      <sheetName val="Análisis de depósitos previos"/>
      <sheetName val="MMA depósitos flotantes"/>
      <sheetName val="Análisis de Depósitos Flotantes"/>
      <sheetName val="Pagos de Facturas pendientes"/>
      <sheetName val="MMA 1"/>
      <sheetName val="MMA 2"/>
      <sheetName val="MMA 3"/>
      <sheetName val="Devueltos Retencion"/>
      <sheetName val="Pasivos No Registrados DP"/>
      <sheetName val="Pasivos No Registrados DF"/>
      <sheetName val="Depósitos previso - ppc"/>
      <sheetName val="Mov. Impto.Rta."/>
      <sheetName val="Detalle Vendors Nacionales "/>
      <sheetName val="Otras"/>
      <sheetName val="Relacionadas"/>
      <sheetName val="Prov. Mod."/>
      <sheetName val="Prov exterior"/>
      <sheetName val="prov nacio final"/>
      <sheetName val="Gtos. Personal"/>
      <sheetName val="Financiamien"/>
      <sheetName val="Reten garantías"/>
      <sheetName val="Bien y Serv. Consumo"/>
      <sheetName val="Concil. con Cías. Relacs."/>
      <sheetName val="211301219 Fademsa"/>
      <sheetName val="CxP"/>
      <sheetName val="CxP Prov Varios Prel"/>
      <sheetName val="CxP Prov Varios Final"/>
      <sheetName val="CxP Proveedores Prel"/>
      <sheetName val="CxP Proveedores Final"/>
      <sheetName val="CxP Canjes Prel"/>
      <sheetName val="CxP Canjes Final"/>
      <sheetName val="Supersavers Q"/>
      <sheetName val="Supersavers G"/>
      <sheetName val="prov varios"/>
      <sheetName val="prov. varios"/>
      <sheetName val="Conc Petro (ppc) sept"/>
      <sheetName val="Conc Petro (ppc) nov"/>
      <sheetName val="Inf. Ord. 03"/>
      <sheetName val="Ing. Mat 03"/>
      <sheetName val="Prov. EW"/>
      <sheetName val="Hoja1"/>
      <sheetName val="MMA Clientes"/>
      <sheetName val="Receptivo"/>
      <sheetName val="cxp bienes y servicios"/>
      <sheetName val="cxp viveres"/>
      <sheetName val="No Aliadas Comerciales"/>
      <sheetName val="No Aliados Prov.Extranjeros"/>
      <sheetName val="Conciliación Itochu"/>
      <sheetName val="Conciliación Final"/>
      <sheetName val="CxP Aliad. Comercial"/>
      <sheetName val="CxP Aliad. Comercial Final"/>
      <sheetName val="Recep sin fact MI"/>
      <sheetName val="Recep. sin Fac MD"/>
      <sheetName val="Provisiones por Pagar Otros"/>
      <sheetName val="Rotación Días de Pago"/>
      <sheetName val="Otros CxP"/>
      <sheetName val="No aliadas"/>
      <sheetName val="Empleados"/>
      <sheetName val="CXP No aliadas co."/>
      <sheetName val="CXP No aliados prov.extrj."/>
      <sheetName val="CXP Sin Fact. Mt. D"/>
      <sheetName val="CXP Sin Fact. Mt. Indir."/>
      <sheetName val="CXP Sin Fact. PPUP"/>
      <sheetName val="Provis. CXP Aliadas"/>
      <sheetName val="CXP Afiliadas"/>
      <sheetName val="CxP Aliadas Comercial"/>
      <sheetName val="Prov. CxP Aliadas"/>
      <sheetName val="CxP No Aliadas Comer."/>
      <sheetName val="CxP No Aliados Ext."/>
      <sheetName val="Mat.Indi."/>
      <sheetName val="Mat.Dir.Lotal"/>
      <sheetName val="Prov.CxP Aliadas (jul)"/>
      <sheetName val="Otras provisiones"/>
      <sheetName val="CxP Aliadas Comercial (jul)"/>
      <sheetName val="SF Recep. PUP"/>
      <sheetName val="Resumen Confir."/>
      <sheetName val="Resultado de proyectos"/>
      <sheetName val="Módulo"/>
      <sheetName val="Otras CxP"/>
      <sheetName val="Desembolsos 2"/>
      <sheetName val="Seleccion desembolsos 2"/>
      <sheetName val="Proveedores por Pagar Mar"/>
      <sheetName val="CxP Provisionadas Mar"/>
      <sheetName val="Proveedores por Pagar Feb"/>
      <sheetName val="CxP Provisionadas"/>
      <sheetName val="Otras CxP - Final"/>
      <sheetName val="Modulo - Final"/>
      <sheetName val="Servicios"/>
      <sheetName val="Módulo - Preliminar"/>
      <sheetName val="Confirmación Indima"/>
      <sheetName val="Desembolsos 2 APT"/>
      <sheetName val="Otras Empresas"/>
      <sheetName val="PagosPosteriores"/>
      <sheetName val="PasNoReg."/>
      <sheetName val="Selección Pas. No Reg."/>
      <sheetName val="CxP Intercompany"/>
      <sheetName val="Servicios y Otros"/>
      <sheetName val="Detalle Relacionadas"/>
      <sheetName val="Prov.Exterior"/>
      <sheetName val="Fact. Proved. exterior"/>
      <sheetName val="ADC BVI"/>
      <sheetName val="Anticipos QIA Consortium"/>
      <sheetName val="Detalle transferencias"/>
      <sheetName val="Cesión (PPC)"/>
      <sheetName val="Proveedores  "/>
      <sheetName val="EMAP"/>
      <sheetName val="CORPAQ"/>
      <sheetName val="ADC&amp;HAS Management Ltd."/>
      <sheetName val="ADC Management"/>
      <sheetName val="AECON"/>
      <sheetName val="Pas_No_Registrados Preli"/>
      <sheetName val="Pas_No_Registrados Final"/>
      <sheetName val="Notas"/>
      <sheetName val="MMA Est Cta Ban 13-Sep"/>
      <sheetName val="Pas_No_Registrados"/>
      <sheetName val="Conf Fin"/>
      <sheetName val="Conf Prel"/>
      <sheetName val="Proveedores "/>
      <sheetName val="CxP Miscelaneos"/>
      <sheetName val="Mov.Casa Matriz"/>
      <sheetName val="Transfe. Casa Matriz"/>
      <sheetName val="MMA Pagos"/>
      <sheetName val="Mov. Benef.Soc."/>
      <sheetName val="Roles de pago"/>
      <sheetName val="Dif.Benef. Sociales "/>
      <sheetName val="CxP Aliadas Comercial Final"/>
      <sheetName val="Recep-sin fact PPUP"/>
      <sheetName val="Recep sin Fact MD"/>
      <sheetName val="No Aliados Provee. Extranjeros"/>
      <sheetName val="No Aliados Proveedores Extranje"/>
      <sheetName val="Aliadas"/>
      <sheetName val="Otras Provisiones por Pagar"/>
      <sheetName val="Días de pago"/>
      <sheetName val="Pruebas Sustantivas"/>
      <sheetName val="Listado Proveedores Preli"/>
      <sheetName val="Confirmación Prel"/>
      <sheetName val="Base proveedores final"/>
      <sheetName val="Confirmación"/>
      <sheetName val="Proveedores por Pagar Fin"/>
      <sheetName val="Proveedores por Pagar Prel"/>
      <sheetName val="cxp repuestos"/>
      <sheetName val="cxp turismo receptivo"/>
      <sheetName val="Prueba desem"/>
      <sheetName val="Pendiente pago"/>
      <sheetName val="Fact. Recib. Prov. Ext"/>
      <sheetName val="Conf. a Prov."/>
      <sheetName val="Interco"/>
      <sheetName val="Intercomp."/>
      <sheetName val="APT Gastos"/>
      <sheetName val="Otros Proveedores"/>
      <sheetName val="Selección Prueb. Desembolsos"/>
      <sheetName val="Muestra Prueb. Desembolsos"/>
      <sheetName val="Pasivos No registrados 2008"/>
      <sheetName val="Proveedores Locales  Ajustado"/>
      <sheetName val="Proveedores Locales Dic"/>
      <sheetName val="Conciliación "/>
      <sheetName val="Obligaciones con Proveedores "/>
      <sheetName val="Movimiento"/>
      <sheetName val="Provee. Nac."/>
      <sheetName val="Provee. Ext"/>
      <sheetName val="Pasivos. no reg."/>
      <sheetName val="CxP Prelim."/>
      <sheetName val="Cartera"/>
      <sheetName val="Inmuebles La Ronda"/>
      <sheetName val="S.I QuitoVivienda"/>
      <sheetName val="Sierra Mirador"/>
      <sheetName val="EMAPP - La Bota"/>
      <sheetName val="Detalle de Fact HP Local"/>
      <sheetName val="Detalle Fact HP Exterior"/>
      <sheetName val="Mov. Benef. Sociales"/>
      <sheetName val="2110101"/>
      <sheetName val="Tickmarks "/>
      <sheetName val="Pas. no reg. imp. (F)"/>
      <sheetName val="Imp. Sep."/>
      <sheetName val="Pas. no reg. imp. (2)"/>
      <sheetName val="Pas. No Reg."/>
      <sheetName val="Módulo CxP"/>
      <sheetName val="Rehabilitación viviendas"/>
      <sheetName val="CxP y CxC Municipio"/>
      <sheetName val="Recálculo"/>
      <sheetName val="Procedimientos"/>
      <sheetName val="Cuentas por Pagar Final"/>
      <sheetName val="Cridesa"/>
      <sheetName val="Cuentas por Pagar Prelim"/>
      <sheetName val="Saldos por Proveedor"/>
      <sheetName val="Ctas por Pagar Quiport"/>
      <sheetName val="Proveedores (Preli)"/>
      <sheetName val="Proveedores (Final)"/>
      <sheetName val="Otras Ctas por Pagar "/>
      <sheetName val="Analisis Integrados"/>
      <sheetName val="Analisis Integrados 2"/>
      <sheetName val="Conciliación"/>
      <sheetName val="Antigüedad Final"/>
      <sheetName val="Analisis Desembolsos Posteriore"/>
      <sheetName val="Cruces Confirmaciones"/>
      <sheetName val="Antiguedad Preliminar"/>
      <sheetName val="Compras"/>
      <sheetName val="Notas "/>
      <sheetName val="Base de Prov.Final"/>
      <sheetName val="Detalle Integ.Final"/>
      <sheetName val="Cheques Emitidos final"/>
      <sheetName val="Fact.x Recibir Final"/>
      <sheetName val="Fact.por Recib.Prov.Preli"/>
      <sheetName val="Prueba Desembolsos Posteriores"/>
      <sheetName val="Análisis Pagos Post."/>
      <sheetName val="Detalle Integ.Prel."/>
      <sheetName val="Base de Proveedores Preliminar"/>
      <sheetName val="Antiguedad"/>
      <sheetName val="Detalle Integ."/>
      <sheetName val="Facturas por Recibir Proveedor"/>
      <sheetName val="Seleccion Desembolsos "/>
      <sheetName val="BaseConf"/>
      <sheetName val="Detalle Prov."/>
      <sheetName val="Prov.No.Conf."/>
      <sheetName val="Prueba de Corte"/>
      <sheetName val="Conciliación Módulos Final"/>
      <sheetName val="Bases Proveedores"/>
      <sheetName val="Prov. Seleccionados "/>
      <sheetName val="Base de Pagos Octubre"/>
      <sheetName val="Desembolsos Seleccionados"/>
      <sheetName val="APT Desembolsos Post."/>
      <sheetName val="Detalle Integrados"/>
      <sheetName val="Det.Cheq. Emitidos"/>
      <sheetName val="Conc.Mód. Prel"/>
      <sheetName val="Bases Prov."/>
      <sheetName val="Desemb. Post."/>
      <sheetName val="Desemb. Selec"/>
      <sheetName val="Prueba Desemb Post."/>
      <sheetName val="Base Ord. Com - Serv"/>
      <sheetName val="Análisis OCYS"/>
      <sheetName val="EMAAP"/>
      <sheetName val="PARSONS OVERSEAS"/>
      <sheetName val="ADC&amp;HAS Manag Ltd."/>
      <sheetName val="ParsonsEcuador"/>
      <sheetName val="Otros Prov. Locales"/>
      <sheetName val="ADC &amp; HAS Management"/>
      <sheetName val="AECON Con."/>
      <sheetName val="CCC"/>
      <sheetName val="Cuentas por pagar"/>
      <sheetName val="Pasivos No Registrados Final"/>
      <sheetName val="CMA Calculations Compras"/>
      <sheetName val="CMA Selections Corte compras"/>
      <sheetName val="Corte tardío de compras"/>
      <sheetName val="Detalle de Confirmaciones"/>
      <sheetName val="MMA Mayor Proveedors "/>
      <sheetName val="Confirmaciones enviadas"/>
      <sheetName val="Pasivos no Registrados."/>
      <sheetName val="Prueba Corte CxP"/>
      <sheetName val="Selección Prueba de Corte"/>
      <sheetName val="Base Facturas por Pagar"/>
      <sheetName val="Base "/>
      <sheetName val="Detalle de Pagos"/>
      <sheetName val="Pag.Poster."/>
      <sheetName val="Deta.otro.acreed."/>
      <sheetName val="Proveedores Local"/>
      <sheetName val="Prueba dese.final"/>
      <sheetName val="Detalles por cuenta"/>
      <sheetName val="promesas"/>
      <sheetName val="Anticipos Cliente"/>
      <sheetName val="Intereses por Pagar"/>
      <sheetName val="Abonos"/>
      <sheetName val="CuenPagar.Alicu"/>
      <sheetName val="Regist.Prom.Compra"/>
      <sheetName val="Detalle de Clientes"/>
      <sheetName val="CMA_Calculations"/>
      <sheetName val="CMA_Selections"/>
      <sheetName val="Detalle Acreedores Varios"/>
      <sheetName val="Análisis Préstamo"/>
      <sheetName val="Requerimiento de Información"/>
      <sheetName val="Base de Proveedores "/>
      <sheetName val="Proveed exterior"/>
      <sheetName val="Proveed locales"/>
      <sheetName val="TR"/>
      <sheetName val="BS"/>
      <sheetName val="RP"/>
      <sheetName val="VB"/>
      <sheetName val="DF"/>
      <sheetName val="DP"/>
      <sheetName val="PruebaDesembolsos"/>
      <sheetName val="AnlDetalProveedores"/>
      <sheetName val="AnlAnticipos"/>
      <sheetName val="Proveedores Serv"/>
      <sheetName val="Acreed Servi"/>
      <sheetName val="Acreed Varios"/>
      <sheetName val="Varios"/>
      <sheetName val="Prov Bienes y Servicios"/>
      <sheetName val="Proveedores Serv Final"/>
      <sheetName val="Acreed Servi Final"/>
      <sheetName val="Madereros"/>
      <sheetName val="Prov Serv Final"/>
      <sheetName val="Acreed Var Final"/>
      <sheetName val="Varios Final"/>
      <sheetName val="Pagos Post"/>
      <sheetName val="Detalle Prov. Final"/>
      <sheetName val="Detalle Prov. Prel"/>
      <sheetName val="Razón Financiera"/>
      <sheetName val="Regalías"/>
      <sheetName val="Contratos regalías"/>
      <sheetName val="Otras  C x P"/>
      <sheetName val="Prov. Locales por factura"/>
      <sheetName val="Prov. Locales "/>
      <sheetName val="Desembolsos Efectivo"/>
      <sheetName val="Tabla de Amortización"/>
      <sheetName val="Reg. Ctas"/>
      <sheetName val="Base de Filiales"/>
      <sheetName val="CxP-VpD"/>
      <sheetName val="Conciliación Prov"/>
      <sheetName val="Desembolsos Posteriores Final"/>
      <sheetName val="Base Proveedores Prel"/>
      <sheetName val="Relacionadas Prelim"/>
      <sheetName val="Ch. Prescritos Prelim"/>
      <sheetName val="Ch. Presc Final"/>
      <sheetName val="Mat. prima varios acre."/>
      <sheetName val="Transferencias P&amp;G"/>
      <sheetName val="Sheet2"/>
      <sheetName val="Sheet3"/>
      <sheetName val="Sheet4"/>
      <sheetName val="Ch. Presscritos"/>
      <sheetName val="Selección DP"/>
      <sheetName val="Análsis Depósitos Previos"/>
      <sheetName val="Selección DF"/>
      <sheetName val="Análsis Depósitos Flotantes"/>
      <sheetName val="Intercompany Comercial"/>
      <sheetName val="Prov. Extranjeros"/>
      <sheetName val="Fact. x Recibir"/>
      <sheetName val="Prueba de desembolsos posterior"/>
      <sheetName val="Detalle 2010"/>
      <sheetName val="Anticipos por liquidar"/>
      <sheetName val="Recálculo de Inter."/>
      <sheetName val="Prov. Inventarios"/>
      <sheetName val="Prov. Servicios"/>
      <sheetName val="Conclina"/>
      <sheetName val="Siniestralidad"/>
      <sheetName val="Análisis de PAs no Reg"/>
      <sheetName val="a"/>
      <sheetName val="b"/>
      <sheetName val="c"/>
      <sheetName val="Movimiento IESS"/>
      <sheetName val="Movimiento benef. sociales"/>
      <sheetName val="Notas Cobranza"/>
      <sheetName val="Ecuatoriano Suiza"/>
      <sheetName val="IVA Servicios"/>
      <sheetName val="Crédito Conclina Final"/>
      <sheetName val="Petrocomercial Diciembre"/>
      <sheetName val="Petrocomercial Sep"/>
      <sheetName val="Petrocomercial Junio"/>
      <sheetName val="Petrocomercial Marzo"/>
      <sheetName val="Pagos Posteriores."/>
      <sheetName val="Conciliación Relc."/>
      <sheetName val="Subcontratistas"/>
      <sheetName val="Sub x aplicar"/>
      <sheetName val="Anticipos"/>
      <sheetName val="CxP - particulares"/>
      <sheetName val="Estados Cuenta"/>
      <sheetName val="Tickmarks (2)"/>
      <sheetName val="Proveedores RM"/>
      <sheetName val="Transporte de Materia Prima "/>
      <sheetName val="Varias CtasxP"/>
      <sheetName val="Varias CxP (T)"/>
      <sheetName val="PROVEEDORES."/>
      <sheetName val="Análisis C x P"/>
      <sheetName val="Detalle de proveedores Final"/>
      <sheetName val="Doc. x Pagar"/>
      <sheetName val="Interés x Pagar"/>
      <sheetName val="Obligaciones vencidas"/>
      <sheetName val="Relacionadas Neteado"/>
      <sheetName val="Trans. Bancos"/>
      <sheetName val="Transitoria"/>
      <sheetName val="Proveedores Nacionales"/>
      <sheetName val="Papel Comercial C1"/>
      <sheetName val="RELA"/>
      <sheetName val="Papel Comercial"/>
      <sheetName val="CxP Relac."/>
      <sheetName val="Provee. Final"/>
      <sheetName val="Cia.Rela. Final"/>
      <sheetName val="Desembolsos (2)"/>
      <sheetName val="Anticipo Clientes"/>
      <sheetName val="Prov"/>
      <sheetName val="EstCtaSep07"/>
      <sheetName val="EstCtaDec06"/>
      <sheetName val="CxP Varios"/>
      <sheetName val="Conciliación con relacionadas"/>
      <sheetName val="Cias. Relacioinadas Dic-08"/>
      <sheetName val="Cías. Relacionadas Sep-08"/>
      <sheetName val="Proveedores Preliminar"/>
      <sheetName val="Interés por Pagar Final"/>
      <sheetName val="Interés x Pagar Preliminar"/>
      <sheetName val="Relacionadas Neteado Preliminar"/>
      <sheetName val="Trans. Bancos Final"/>
      <sheetName val="Trans. Bancos Preliminar"/>
      <sheetName val="Confirmaciones Intercompany"/>
      <sheetName val="Detalle Total"/>
      <sheetName val="NOTA EF"/>
      <sheetName val="Proveedores Extranjeros"/>
      <sheetName val="Provee. Nacionales Dic"/>
      <sheetName val="Estado Cta ALCA"/>
      <sheetName val="Estado Cta DEA"/>
      <sheetName val="Estado Cta Medicaciones"/>
      <sheetName val="Proveedores Nacionales Jul"/>
      <sheetName val="Pasivos no registrados Importac"/>
      <sheetName val="Est Cta"/>
      <sheetName val="Prove"/>
      <sheetName val="EstCtaDec07"/>
      <sheetName val="Prov Confirmados"/>
      <sheetName val="Reemb x pagar"/>
      <sheetName val="Pasivos no registrado"/>
      <sheetName val="Liquidados Ene 09"/>
      <sheetName val="ACL"/>
      <sheetName val="Análisis Pasivos no registrado"/>
      <sheetName val="Reembolsos por pagar"/>
      <sheetName val="Provedores Abierto "/>
      <sheetName val="Detalle confirmaciones"/>
      <sheetName val="Petrocomercial Dic"/>
      <sheetName val="Petrocomercial"/>
      <sheetName val="Concil. Relacionadas"/>
      <sheetName val="Confirm"/>
      <sheetName val="Local"/>
      <sheetName val="Confirmación WRT"/>
      <sheetName val="Ordenes de compra"/>
      <sheetName val="MMA Final"/>
      <sheetName val="Reeembolsos"/>
      <sheetName val="Proveedores Nacionaless"/>
      <sheetName val="Pasivos no registrados_imp"/>
      <sheetName val="Prueb.Desembol"/>
      <sheetName val="Análisis de facturas no pagadas"/>
      <sheetName val="Dealers"/>
      <sheetName val="Provisiones Varias"/>
      <sheetName val="Desembolsos Posteriores Preelim"/>
      <sheetName val="Selección Desembolsos Post."/>
      <sheetName val="Selección facturas no pagadas"/>
      <sheetName val="Otras Cuentas x Pagar"/>
      <sheetName val="Fondo Acumulado Final"/>
      <sheetName val="Cooncesionarios Final"/>
      <sheetName val="Vehículos por Adjudicar Final"/>
      <sheetName val="Cooncesionarios"/>
      <sheetName val="Vehículos por Adjudicar"/>
      <sheetName val="Procedimientos CxP"/>
      <sheetName val="Resumen de confirmaciones"/>
      <sheetName val="Inventario en Tránsito"/>
      <sheetName val="importaciones liquidadas en dic"/>
      <sheetName val="Análsis de Desembolsos"/>
      <sheetName val="Detall. Ctas.x Pagar"/>
      <sheetName val="Concil.Ctas.x pagar CB"/>
      <sheetName val="CxPag"/>
      <sheetName val="An. Pagos Pos"/>
      <sheetName val="Selección ACL PNR"/>
      <sheetName val="Selección ACL Fact."/>
      <sheetName val="CxPag Final"/>
      <sheetName val="CxPag Módulo"/>
      <sheetName val="Sel. Des Final"/>
      <sheetName val="Des. Final"/>
      <sheetName val="Pagos Pos"/>
      <sheetName val="Sel. Desem"/>
      <sheetName val="An. Desembolsos"/>
      <sheetName val="Proveedore Final"/>
      <sheetName val="Proveedores B&amp;S"/>
      <sheetName val="Desembolsos Posteriore"/>
      <sheetName val="Conc.Ctas x pagar Final"/>
      <sheetName val="Deatelle Ctas.x Pagar Final"/>
      <sheetName val="Conciliación ctas.x pagar Prel."/>
      <sheetName val="Detalle ctas.x pagar Prel."/>
      <sheetName val="Analsis Prueba de Desembolsos"/>
      <sheetName val="Detalle Prov.Emp.RRHH"/>
      <sheetName val="Otros Prov.Personal"/>
      <sheetName val="Nota de los EEFF"/>
      <sheetName val="Prov. Nac. Ago"/>
      <sheetName val="Prov. Ext. Ago"/>
      <sheetName val="Test de confirmaciones"/>
      <sheetName val="Prueba de Corte (2)"/>
      <sheetName val="CxP Contratistas"/>
      <sheetName val="Operadoras"/>
      <sheetName val="OCP"/>
      <sheetName val="CxP Personal "/>
      <sheetName val="Retenciones IVA"/>
      <sheetName val="Retenciones IR"/>
      <sheetName val="Procedimiento"/>
      <sheetName val="Observaciones"/>
      <sheetName val="Detalle Prov. Nac. Dic."/>
      <sheetName val="Revisión Análitica Dic."/>
      <sheetName val="Detalle Prov Nac. Nov."/>
      <sheetName val="Detalle Prov. Exterior Nov"/>
      <sheetName val="Det. Prov. Nac. Dic."/>
      <sheetName val="Rev.Analitica Locales"/>
      <sheetName val="Deta. Provee Nac. Nov"/>
      <sheetName val="Det.Prov.Rel. Dic."/>
      <sheetName val="Rev.Analitica Relac."/>
      <sheetName val="Det. Prove. Relac. Nov"/>
      <sheetName val="Det.cta.prov.varios Dic"/>
      <sheetName val="Det. Cta. prov.varios Nov."/>
      <sheetName val="Prov. Nac. Dic"/>
      <sheetName val="Prov. Ext. Dic"/>
      <sheetName val="Conciliación de Saldos"/>
      <sheetName val="Prov. Nac. - Nov."/>
      <sheetName val="Prov. Ext. - Nov."/>
      <sheetName val="Prov. Nac. - Sep"/>
      <sheetName val="Conti - Tac"/>
      <sheetName val="Detalle Proveed"/>
      <sheetName val="Selec PNR Final"/>
      <sheetName val="Análisis PNR Final"/>
      <sheetName val="Análisis PNR Prelim"/>
      <sheetName val="MMA_Pas.No Reg"/>
      <sheetName val="Part. Seleccionadas"/>
      <sheetName val="Análisis diferencias"/>
      <sheetName val="Detalle de Prove."/>
      <sheetName val="Seleccion Desembolsos"/>
      <sheetName val="Analisis Desembolsos"/>
      <sheetName val="CxP CASS"/>
      <sheetName val="CxP Fuera CASS"/>
      <sheetName val="CxP Fincas"/>
      <sheetName val="Resp.Mater"/>
      <sheetName val="Bien.Serv"/>
      <sheetName val="CMA_Calculations (2)"/>
      <sheetName val="Recibidas no facturadas"/>
      <sheetName val="Turismo, Viveres y Repuestos"/>
      <sheetName val="Bienes y Serv."/>
      <sheetName val="Tur. Recep."/>
      <sheetName val="Viver. y Beb."/>
      <sheetName val="Rep. y Mater."/>
      <sheetName val="Listado Proveedores Final"/>
      <sheetName val="Validación de compras"/>
      <sheetName val="Validación de pagos"/>
      <sheetName val="Fact. no pagadas"/>
      <sheetName val="MMA  Busq. Pas.No Reg"/>
      <sheetName val="Pasivos no reg. locales"/>
      <sheetName val="Pasivos no reg. imp"/>
      <sheetName val="Pasivos no reg. imp Sep"/>
      <sheetName val="Análisis CXP"/>
      <sheetName val="Registro CBMI"/>
      <sheetName val="Conciliación CBMI"/>
      <sheetName val="Listado de Proveedores"/>
      <sheetName val="Listado de Proveedores Petroriv"/>
      <sheetName val="Difopac"/>
      <sheetName val="Pagos Dividendos"/>
      <sheetName val="Facturas x Recibir y Registr."/>
      <sheetName val="Importaciones Liquidadas"/>
      <sheetName val="Proveedores Nacion. y Extranjer"/>
      <sheetName val="Análisis de Pasivos No regist"/>
      <sheetName val="Provisiones Ordenes de Compra"/>
      <sheetName val="Análisis de Pasivos No registra"/>
      <sheetName val="Serie A"/>
      <sheetName val="Serie B"/>
      <sheetName val="Recálculo Fondo Garantía"/>
      <sheetName val="Revisión de Doc pagos"/>
      <sheetName val="Exceso Flujo Fondos"/>
      <sheetName val="Tasas"/>
      <sheetName val="Detalle de CxP Varias"/>
      <sheetName val="Detalle CxP Exterior"/>
      <sheetName val="An. Pasivos no registr. Dic 10"/>
      <sheetName val="Cuentas por Cobrar y Pagar"/>
      <sheetName val="Variaciones"/>
      <sheetName val="Mov Provisión"/>
      <sheetName val="Prov Nac"/>
      <sheetName val="Prov Ext"/>
      <sheetName val="Prov Rel"/>
      <sheetName val="Selecc Desem.Posteriores"/>
      <sheetName val="Comp Post"/>
      <sheetName val="Proveed. Final"/>
      <sheetName val="ACC.PAY.TRADE"/>
      <sheetName val="Proveed. Preliminar"/>
      <sheetName val="Justificación"/>
      <sheetName val="Selecc. PNR"/>
      <sheetName val="Análisis Facturas No Pagadas"/>
      <sheetName val="Pasivos no regist. (import)"/>
      <sheetName val="Toyota Tsusho CO"/>
      <sheetName val="Tecniseguros"/>
      <sheetName val="Detalle proveedores Prelim."/>
      <sheetName val="Rev. Prov. Preliminar"/>
      <sheetName val="Hoja2"/>
      <sheetName val="Base CxP"/>
      <sheetName val="CxP por Cliente"/>
      <sheetName val="Base cxp Octubre"/>
      <sheetName val="Base Ctas x Pagar (jul)"/>
      <sheetName val="Detalle Otras Ctas x P"/>
      <sheetName val="Base Ctas x Pagar (Julio)"/>
      <sheetName val="Detalle Ctas x Pagar"/>
      <sheetName val="Prov Merc"/>
      <sheetName val="Prov Aux"/>
      <sheetName val="Prov Ctos. Metro"/>
      <sheetName val="Selec PNR"/>
      <sheetName val="Análisis PNR"/>
      <sheetName val="SEPT-09"/>
      <sheetName val="Prueba no pagadas"/>
      <sheetName val="Prueba de corte N|D"/>
      <sheetName val="Proveed Insumos Final"/>
      <sheetName val="Proveed Servicios Final"/>
      <sheetName val="Conciliación relacionadas"/>
      <sheetName val="Pasivos no Reg final"/>
      <sheetName val="Proveedores Insumos"/>
      <sheetName val="Proveedores Servicios"/>
      <sheetName val="Prov. Insum. Final"/>
      <sheetName val="Prov.Serv. FInal"/>
      <sheetName val="Prov. Insum. Prel"/>
      <sheetName val="Prov. Serv. Prel"/>
      <sheetName val="Accounts Payable"/>
      <sheetName val="Provisión PCM"/>
      <sheetName val="Quiport"/>
      <sheetName val="Prov. Insumos"/>
      <sheetName val="Contratistas"/>
      <sheetName val="Prueb. Part. conc."/>
      <sheetName val="CxP Reempaque"/>
      <sheetName val="Prueba de desembolsos "/>
      <sheetName val="CXP FUERA DE CASS"/>
      <sheetName val="Provee. Insumos Final"/>
      <sheetName val="Provee Servicios Final"/>
      <sheetName val="Contratistas Final"/>
      <sheetName val="Relacionadas Prel"/>
      <sheetName val="Comp. Impor. Liquidadas"/>
      <sheetName val="Comp. Locales"/>
      <sheetName val="Comp. Importaciones"/>
      <sheetName val="Provisión MP"/>
      <sheetName val="Proveedores Locales Final"/>
      <sheetName val="Prov. Exterior Serv. (Final)"/>
      <sheetName val="Proveedores Exterior (Final)"/>
      <sheetName val="P.N.R."/>
      <sheetName val="Confirmaciones (Final)"/>
      <sheetName val="Prov. Exterior Serv."/>
      <sheetName val="Verificación (Final)"/>
      <sheetName val="Anticipos de clientes"/>
      <sheetName val="Promesas de compra venta"/>
      <sheetName val="Acreedores Varios"/>
      <sheetName val="Detalle CxP (P)"/>
      <sheetName val="FACTURAS PROVEEDORES EXTERIOR"/>
      <sheetName val="FACTURAS PROVEEDORES MADERA"/>
      <sheetName val="FACTURAS PROVEEDORES GYE"/>
      <sheetName val="Resumen de Proveedores"/>
      <sheetName val="Detalle Garantia de Pedidos"/>
      <sheetName val="Validación Base"/>
      <sheetName val="4) Validación de cuentas x paga"/>
      <sheetName val="5) Test de confirmaciones"/>
      <sheetName val="3) Pagos posteriores"/>
      <sheetName val="6)Pasivos No Registrados"/>
      <sheetName val="Préstamos de Programas Preli"/>
      <sheetName val="Préstamos de Programas Final"/>
      <sheetName val="Base de Filiales (Final)"/>
      <sheetName val="Nota EE.FF"/>
      <sheetName val="Viveres y Bebidas"/>
      <sheetName val="Repuestos y Materiales"/>
      <sheetName val="Cta. Pte. RNo Fact."/>
      <sheetName val="MMA Pasivos NR"/>
      <sheetName val="Análisis Pasivos NR"/>
      <sheetName val="MMA (2)"/>
      <sheetName val="Confirm.-"/>
      <sheetName val="CxP TR"/>
      <sheetName val="PasivNoRegistr"/>
      <sheetName val="CXP.MTQ"/>
      <sheetName val="CXP.ETICA"/>
      <sheetName val="Mov.Arriend.Precob"/>
      <sheetName val="Pasivo No Registrado"/>
      <sheetName val="Análisis de cuentas por pagar"/>
      <sheetName val="Análisis de Liquidaciones"/>
      <sheetName val="MMA Desembolsos"/>
      <sheetName val="APT Desembolsos"/>
      <sheetName val="Préstamo Bancario"/>
      <sheetName val="Total anticipos por liquidar"/>
      <sheetName val="11501EXT"/>
      <sheetName val="Prov. CxP"/>
      <sheetName val="Anali. C x P Provee. Final"/>
      <sheetName val="Det. Ctas. Por Pagar Fincas"/>
      <sheetName val="Anali. Ctas. x Pagar CASS"/>
      <sheetName val="CMA Calculations- R Factor"/>
      <sheetName val="PNR Importaciones liquidadas"/>
      <sheetName val="Cias. Relacionadas"/>
      <sheetName val="Movimiento IBRN"/>
      <sheetName val="Detalle Pagos Posteriores"/>
      <sheetName val="Detale Desembolsos"/>
      <sheetName val="CxP MEM"/>
      <sheetName val="Confirm.Electroguayas"/>
      <sheetName val="Confirmación CELEC"/>
      <sheetName val="Prov. ext"/>
      <sheetName val="Análisis de Contratos"/>
      <sheetName val="Análisis Pasivos no Reg."/>
      <sheetName val="Neteo CxC y CxP"/>
      <sheetName val="Electroguayas"/>
      <sheetName val="Proveedores Exterior Fin."/>
      <sheetName val="Proveedores Locales Fin."/>
      <sheetName val="Pasivos no Regist."/>
      <sheetName val="Proveedores Exterior Preli."/>
      <sheetName val="Proveedores Locales Prel."/>
      <sheetName val="Préstamos de Programas"/>
      <sheetName val="Proveedores MEM"/>
      <sheetName val="Mano de obra"/>
      <sheetName val="MEM"/>
      <sheetName val="Terceros"/>
      <sheetName val="Relacionadas Preli"/>
      <sheetName val="1) Detalle"/>
      <sheetName val="2) Detalle Garantia"/>
      <sheetName val="Notas EEFF's"/>
      <sheetName val="Cruce de Cuentas "/>
      <sheetName val="Pasivos No Registrados "/>
      <sheetName val="6130.1 Proveedores"/>
      <sheetName val="6130.2 Dinners"/>
      <sheetName val="6130.3 Pasivos no registrados"/>
      <sheetName val="6130.4 Desembolsos Posteriores"/>
      <sheetName val="Dinners"/>
      <sheetName val="Proveedores Locales (Final)"/>
      <sheetName val="Proveedores Madera y GYE (Fina)"/>
      <sheetName val="Proveedores Madera y GYE"/>
      <sheetName val="Proveedores Locales (F)"/>
      <sheetName val="Proveedores Exterior (F)"/>
      <sheetName val="Pasivos No registrados (F)"/>
      <sheetName val="Proveedores Madera y GYE (F)"/>
      <sheetName val="Relacionadas (F)"/>
      <sheetName val="Comp. Importaciones (2)"/>
      <sheetName val="Cuentas por Pagar VpD"/>
      <sheetName val="CxP Empleados(Final)"/>
      <sheetName val="Pasivos no reg. (Final)"/>
      <sheetName val="Base de Filiales(Preli)"/>
      <sheetName val="CxP Empleados(Preli)"/>
      <sheetName val="Títulos Vig Dic"/>
      <sheetName val="titulos vigentes Nov"/>
      <sheetName val="Límites"/>
      <sheetName val="CXP Comerciales"/>
      <sheetName val="GR IR AP"/>
      <sheetName val="Accrual payables final"/>
      <sheetName val="Acrual Payables"/>
      <sheetName val="Agencias"/>
      <sheetName val="Accrual payables Aj."/>
      <sheetName val="Acruad Payables"/>
      <sheetName val="GR-IR-AP"/>
      <sheetName val="Proveed"/>
      <sheetName val="Base Proveedores final  "/>
      <sheetName val="Base Proved"/>
      <sheetName val="Management"/>
      <sheetName val="Intercompanies"/>
      <sheetName val="Pagos no registrados"/>
      <sheetName val="Prov. Proveed. - Diciembre "/>
      <sheetName val="Pasivos No Registrados APT "/>
      <sheetName val="Mov. part. trabajadores"/>
      <sheetName val="Proveedores Dic"/>
      <sheetName val="Mobisol"/>
      <sheetName val="Cuentas control"/>
      <sheetName val="Procedimientos Cuentas por Pag "/>
      <sheetName val="Prov. Final"/>
      <sheetName val="Nota a los EF"/>
      <sheetName val="AnlVar"/>
      <sheetName val="Obligaciones de Titularización"/>
      <sheetName val="An. Fac Pend"/>
      <sheetName val="Prov. Nac"/>
      <sheetName val="Sel Desem"/>
      <sheetName val="An. Desem"/>
      <sheetName val="Préstamos Pichincha"/>
      <sheetName val="Cheques Prov. por Dev."/>
    </sheetNames>
    <sheetDataSet>
      <sheetData sheetId="0"/>
      <sheetData sheetId="1"/>
      <sheetData sheetId="2" refreshError="1"/>
      <sheetData sheetId="3" refreshError="1"/>
      <sheetData sheetId="4" refreshError="1"/>
      <sheetData sheetId="5"/>
      <sheetData sheetId="6" refreshError="1"/>
      <sheetData sheetId="7"/>
      <sheetData sheetId="8"/>
      <sheetData sheetId="9"/>
      <sheetData sheetId="10"/>
      <sheetData sheetId="11"/>
      <sheetData sheetId="12"/>
      <sheetData sheetId="13"/>
      <sheetData sheetId="14" refreshError="1"/>
      <sheetData sheetId="15"/>
      <sheetData sheetId="16" refreshError="1"/>
      <sheetData sheetId="17" refreshError="1"/>
      <sheetData sheetId="18"/>
      <sheetData sheetId="19" refreshError="1"/>
      <sheetData sheetId="20" refreshError="1"/>
      <sheetData sheetId="21" refreshError="1"/>
      <sheetData sheetId="22"/>
      <sheetData sheetId="23"/>
      <sheetData sheetId="24" refreshError="1"/>
      <sheetData sheetId="25" refreshError="1"/>
      <sheetData sheetId="26"/>
      <sheetData sheetId="27" refreshError="1"/>
      <sheetData sheetId="28"/>
      <sheetData sheetId="29"/>
      <sheetData sheetId="30"/>
      <sheetData sheetId="31" refreshError="1"/>
      <sheetData sheetId="32"/>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sheetData sheetId="43"/>
      <sheetData sheetId="44"/>
      <sheetData sheetId="45"/>
      <sheetData sheetId="46"/>
      <sheetData sheetId="47" refreshError="1"/>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refreshError="1"/>
      <sheetData sheetId="91" refreshError="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sheetData sheetId="125"/>
      <sheetData sheetId="126" refreshError="1"/>
      <sheetData sheetId="127" refreshError="1"/>
      <sheetData sheetId="128" refreshError="1"/>
      <sheetData sheetId="129" refreshError="1"/>
      <sheetData sheetId="130" refreshError="1"/>
      <sheetData sheetId="131" refreshError="1"/>
      <sheetData sheetId="132"/>
      <sheetData sheetId="133"/>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sheetData sheetId="148" refreshError="1"/>
      <sheetData sheetId="149" refreshError="1"/>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refreshError="1"/>
      <sheetData sheetId="159"/>
      <sheetData sheetId="160" refreshError="1"/>
      <sheetData sheetId="16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refreshError="1"/>
      <sheetData sheetId="175"/>
      <sheetData sheetId="176"/>
      <sheetData sheetId="177"/>
      <sheetData sheetId="178"/>
      <sheetData sheetId="179"/>
      <sheetData sheetId="180" refreshError="1"/>
      <sheetData sheetId="181"/>
      <sheetData sheetId="182"/>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refreshError="1"/>
      <sheetData sheetId="195"/>
      <sheetData sheetId="196"/>
      <sheetData sheetId="197"/>
      <sheetData sheetId="198"/>
      <sheetData sheetId="199"/>
      <sheetData sheetId="200"/>
      <sheetData sheetId="201"/>
      <sheetData sheetId="202"/>
      <sheetData sheetId="203" refreshError="1"/>
      <sheetData sheetId="204" refreshError="1"/>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refreshError="1"/>
      <sheetData sheetId="224" refreshError="1"/>
      <sheetData sheetId="225"/>
      <sheetData sheetId="226"/>
      <sheetData sheetId="227"/>
      <sheetData sheetId="228"/>
      <sheetData sheetId="229"/>
      <sheetData sheetId="230"/>
      <sheetData sheetId="231"/>
      <sheetData sheetId="232"/>
      <sheetData sheetId="233" refreshError="1"/>
      <sheetData sheetId="234"/>
      <sheetData sheetId="235"/>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refreshError="1"/>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refreshError="1"/>
      <sheetData sheetId="266" refreshError="1"/>
      <sheetData sheetId="267" refreshError="1"/>
      <sheetData sheetId="268" refreshError="1"/>
      <sheetData sheetId="269"/>
      <sheetData sheetId="270"/>
      <sheetData sheetId="271"/>
      <sheetData sheetId="272"/>
      <sheetData sheetId="273"/>
      <sheetData sheetId="274"/>
      <sheetData sheetId="275"/>
      <sheetData sheetId="276"/>
      <sheetData sheetId="277" refreshError="1"/>
      <sheetData sheetId="278" refreshError="1"/>
      <sheetData sheetId="279" refreshError="1"/>
      <sheetData sheetId="280" refreshError="1"/>
      <sheetData sheetId="281" refreshError="1"/>
      <sheetData sheetId="282" refreshError="1"/>
      <sheetData sheetId="283"/>
      <sheetData sheetId="284"/>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sheetData sheetId="297"/>
      <sheetData sheetId="298"/>
      <sheetData sheetId="299"/>
      <sheetData sheetId="300"/>
      <sheetData sheetId="301"/>
      <sheetData sheetId="302" refreshError="1"/>
      <sheetData sheetId="303"/>
      <sheetData sheetId="304" refreshError="1"/>
      <sheetData sheetId="305" refreshError="1"/>
      <sheetData sheetId="306"/>
      <sheetData sheetId="307"/>
      <sheetData sheetId="308"/>
      <sheetData sheetId="309"/>
      <sheetData sheetId="310"/>
      <sheetData sheetId="311" refreshError="1"/>
      <sheetData sheetId="312" refreshError="1"/>
      <sheetData sheetId="313" refreshError="1"/>
      <sheetData sheetId="314" refreshError="1"/>
      <sheetData sheetId="315" refreshError="1"/>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refreshError="1"/>
      <sheetData sheetId="331"/>
      <sheetData sheetId="332" refreshError="1"/>
      <sheetData sheetId="333" refreshError="1"/>
      <sheetData sheetId="334" refreshError="1"/>
      <sheetData sheetId="335"/>
      <sheetData sheetId="336" refreshError="1"/>
      <sheetData sheetId="337" refreshError="1"/>
      <sheetData sheetId="338" refreshError="1"/>
      <sheetData sheetId="339" refreshError="1"/>
      <sheetData sheetId="340" refreshError="1"/>
      <sheetData sheetId="341"/>
      <sheetData sheetId="342" refreshError="1"/>
      <sheetData sheetId="343"/>
      <sheetData sheetId="344"/>
      <sheetData sheetId="345"/>
      <sheetData sheetId="346"/>
      <sheetData sheetId="347"/>
      <sheetData sheetId="348" refreshError="1"/>
      <sheetData sheetId="349" refreshError="1"/>
      <sheetData sheetId="350" refreshError="1"/>
      <sheetData sheetId="351" refreshError="1"/>
      <sheetData sheetId="352" refreshError="1"/>
      <sheetData sheetId="353"/>
      <sheetData sheetId="354"/>
      <sheetData sheetId="355" refreshError="1"/>
      <sheetData sheetId="356" refreshError="1"/>
      <sheetData sheetId="357" refreshError="1"/>
      <sheetData sheetId="358"/>
      <sheetData sheetId="359"/>
      <sheetData sheetId="360" refreshError="1"/>
      <sheetData sheetId="361" refreshError="1"/>
      <sheetData sheetId="362"/>
      <sheetData sheetId="363"/>
      <sheetData sheetId="364"/>
      <sheetData sheetId="365"/>
      <sheetData sheetId="366"/>
      <sheetData sheetId="367"/>
      <sheetData sheetId="368" refreshError="1"/>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sheetData sheetId="403"/>
      <sheetData sheetId="404" refreshError="1"/>
      <sheetData sheetId="405"/>
      <sheetData sheetId="406"/>
      <sheetData sheetId="407"/>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sheetData sheetId="474"/>
      <sheetData sheetId="475"/>
      <sheetData sheetId="476"/>
      <sheetData sheetId="477"/>
      <sheetData sheetId="478" refreshError="1"/>
      <sheetData sheetId="479"/>
      <sheetData sheetId="480"/>
      <sheetData sheetId="481"/>
      <sheetData sheetId="482"/>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sheetData sheetId="497"/>
      <sheetData sheetId="498"/>
      <sheetData sheetId="499"/>
      <sheetData sheetId="500"/>
      <sheetData sheetId="501"/>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refreshError="1"/>
      <sheetData sheetId="533" refreshError="1"/>
      <sheetData sheetId="534" refreshError="1"/>
      <sheetData sheetId="535" refreshError="1"/>
      <sheetData sheetId="536"/>
      <sheetData sheetId="537"/>
      <sheetData sheetId="538"/>
      <sheetData sheetId="539"/>
      <sheetData sheetId="540"/>
      <sheetData sheetId="541"/>
      <sheetData sheetId="542" refreshError="1"/>
      <sheetData sheetId="543"/>
      <sheetData sheetId="544"/>
      <sheetData sheetId="545"/>
      <sheetData sheetId="546"/>
      <sheetData sheetId="547"/>
      <sheetData sheetId="548"/>
      <sheetData sheetId="549"/>
      <sheetData sheetId="550"/>
      <sheetData sheetId="551"/>
      <sheetData sheetId="552" refreshError="1"/>
      <sheetData sheetId="553"/>
      <sheetData sheetId="554"/>
      <sheetData sheetId="555"/>
      <sheetData sheetId="556"/>
      <sheetData sheetId="557"/>
      <sheetData sheetId="558" refreshError="1"/>
      <sheetData sheetId="559"/>
      <sheetData sheetId="560"/>
      <sheetData sheetId="561" refreshError="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sheetData sheetId="579" refreshError="1"/>
      <sheetData sheetId="580"/>
      <sheetData sheetId="581"/>
      <sheetData sheetId="582" refreshError="1"/>
      <sheetData sheetId="583" refreshError="1"/>
      <sheetData sheetId="584" refreshError="1"/>
      <sheetData sheetId="585" refreshError="1"/>
      <sheetData sheetId="586"/>
      <sheetData sheetId="587" refreshError="1"/>
      <sheetData sheetId="588" refreshError="1"/>
      <sheetData sheetId="589" refreshError="1"/>
      <sheetData sheetId="590" refreshError="1"/>
      <sheetData sheetId="591" refreshError="1"/>
      <sheetData sheetId="592" refreshError="1"/>
      <sheetData sheetId="593" refreshError="1"/>
      <sheetData sheetId="594"/>
      <sheetData sheetId="595" refreshError="1"/>
      <sheetData sheetId="596" refreshError="1"/>
      <sheetData sheetId="597" refreshError="1"/>
      <sheetData sheetId="598"/>
      <sheetData sheetId="599" refreshError="1"/>
      <sheetData sheetId="600" refreshError="1"/>
      <sheetData sheetId="601"/>
      <sheetData sheetId="602"/>
      <sheetData sheetId="603"/>
      <sheetData sheetId="604"/>
      <sheetData sheetId="605" refreshError="1"/>
      <sheetData sheetId="606" refreshError="1"/>
      <sheetData sheetId="607"/>
      <sheetData sheetId="608" refreshError="1"/>
      <sheetData sheetId="609" refreshError="1"/>
      <sheetData sheetId="610"/>
      <sheetData sheetId="611"/>
      <sheetData sheetId="612" refreshError="1"/>
      <sheetData sheetId="613"/>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sheetData sheetId="625"/>
      <sheetData sheetId="626"/>
      <sheetData sheetId="627"/>
      <sheetData sheetId="628"/>
      <sheetData sheetId="629"/>
      <sheetData sheetId="630"/>
      <sheetData sheetId="631"/>
      <sheetData sheetId="632"/>
      <sheetData sheetId="633"/>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refreshError="1"/>
      <sheetData sheetId="652" refreshError="1"/>
      <sheetData sheetId="653"/>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sheetData sheetId="666"/>
      <sheetData sheetId="667"/>
      <sheetData sheetId="668"/>
      <sheetData sheetId="669" refreshError="1"/>
      <sheetData sheetId="670" refreshError="1"/>
      <sheetData sheetId="671" refreshError="1"/>
      <sheetData sheetId="672" refreshError="1"/>
      <sheetData sheetId="673" refreshError="1"/>
      <sheetData sheetId="674"/>
      <sheetData sheetId="675" refreshError="1"/>
      <sheetData sheetId="676" refreshError="1"/>
      <sheetData sheetId="677"/>
      <sheetData sheetId="678"/>
      <sheetData sheetId="679"/>
      <sheetData sheetId="680"/>
      <sheetData sheetId="681" refreshError="1"/>
      <sheetData sheetId="682" refreshError="1"/>
      <sheetData sheetId="683" refreshError="1"/>
      <sheetData sheetId="684"/>
      <sheetData sheetId="685"/>
      <sheetData sheetId="686" refreshError="1"/>
      <sheetData sheetId="687" refreshError="1"/>
      <sheetData sheetId="688" refreshError="1"/>
      <sheetData sheetId="689" refreshError="1"/>
      <sheetData sheetId="690"/>
      <sheetData sheetId="691" refreshError="1"/>
      <sheetData sheetId="692" refreshError="1"/>
      <sheetData sheetId="693"/>
      <sheetData sheetId="694" refreshError="1"/>
      <sheetData sheetId="695" refreshError="1"/>
      <sheetData sheetId="696" refreshError="1"/>
      <sheetData sheetId="697" refreshError="1"/>
      <sheetData sheetId="698" refreshError="1"/>
      <sheetData sheetId="699" refreshError="1"/>
      <sheetData sheetId="700" refreshError="1"/>
      <sheetData sheetId="701"/>
      <sheetData sheetId="702"/>
      <sheetData sheetId="703"/>
      <sheetData sheetId="704"/>
      <sheetData sheetId="705"/>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refreshError="1"/>
      <sheetData sheetId="733" refreshError="1"/>
      <sheetData sheetId="734" refreshError="1"/>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sheetData sheetId="746"/>
      <sheetData sheetId="747"/>
      <sheetData sheetId="748"/>
      <sheetData sheetId="749" refreshError="1"/>
      <sheetData sheetId="750"/>
      <sheetData sheetId="751"/>
      <sheetData sheetId="752"/>
      <sheetData sheetId="753"/>
      <sheetData sheetId="754"/>
      <sheetData sheetId="755" refreshError="1"/>
      <sheetData sheetId="756"/>
      <sheetData sheetId="757"/>
      <sheetData sheetId="758"/>
      <sheetData sheetId="759"/>
      <sheetData sheetId="760"/>
      <sheetData sheetId="761"/>
      <sheetData sheetId="762"/>
      <sheetData sheetId="763"/>
      <sheetData sheetId="764"/>
      <sheetData sheetId="765"/>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refreshError="1"/>
      <sheetData sheetId="787" refreshError="1"/>
      <sheetData sheetId="788" refreshError="1"/>
      <sheetData sheetId="789" refreshError="1"/>
      <sheetData sheetId="790"/>
      <sheetData sheetId="791" refreshError="1"/>
      <sheetData sheetId="792" refreshError="1"/>
      <sheetData sheetId="793" refreshError="1"/>
      <sheetData sheetId="794" refreshError="1"/>
      <sheetData sheetId="795" refreshError="1"/>
      <sheetData sheetId="796" refreshError="1"/>
      <sheetData sheetId="797" refreshError="1"/>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sheetData sheetId="837"/>
      <sheetData sheetId="838"/>
      <sheetData sheetId="839"/>
      <sheetData sheetId="840"/>
      <sheetData sheetId="841" refreshError="1"/>
      <sheetData sheetId="842"/>
      <sheetData sheetId="843"/>
      <sheetData sheetId="844"/>
      <sheetData sheetId="845"/>
      <sheetData sheetId="846"/>
      <sheetData sheetId="847"/>
      <sheetData sheetId="848"/>
      <sheetData sheetId="849"/>
      <sheetData sheetId="850" refreshError="1"/>
      <sheetData sheetId="851"/>
      <sheetData sheetId="852"/>
      <sheetData sheetId="853"/>
      <sheetData sheetId="854"/>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refreshError="1"/>
      <sheetData sheetId="868"/>
      <sheetData sheetId="869" refreshError="1"/>
      <sheetData sheetId="870" refreshError="1"/>
      <sheetData sheetId="871" refreshError="1"/>
      <sheetData sheetId="872" refreshError="1"/>
      <sheetData sheetId="873" refreshError="1"/>
      <sheetData sheetId="874"/>
      <sheetData sheetId="875"/>
      <sheetData sheetId="876"/>
      <sheetData sheetId="877"/>
      <sheetData sheetId="878" refreshError="1"/>
      <sheetData sheetId="879" refreshError="1"/>
      <sheetData sheetId="880" refreshError="1"/>
      <sheetData sheetId="881" refreshError="1"/>
      <sheetData sheetId="882" refreshError="1"/>
      <sheetData sheetId="883"/>
      <sheetData sheetId="884"/>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sheetData sheetId="895" refreshError="1"/>
      <sheetData sheetId="896" refreshError="1"/>
      <sheetData sheetId="897" refreshError="1"/>
      <sheetData sheetId="898" refreshError="1"/>
      <sheetData sheetId="899"/>
      <sheetData sheetId="900" refreshError="1"/>
      <sheetData sheetId="901" refreshError="1"/>
      <sheetData sheetId="902" refreshError="1"/>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sheetData sheetId="914"/>
      <sheetData sheetId="915" refreshError="1"/>
      <sheetData sheetId="916" refreshError="1"/>
      <sheetData sheetId="917" refreshError="1"/>
      <sheetData sheetId="918" refreshError="1"/>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sheetData sheetId="957" refreshError="1"/>
      <sheetData sheetId="958" refreshError="1"/>
      <sheetData sheetId="959" refreshError="1"/>
      <sheetData sheetId="960"/>
      <sheetData sheetId="961"/>
      <sheetData sheetId="962"/>
      <sheetData sheetId="963"/>
      <sheetData sheetId="964" refreshError="1"/>
      <sheetData sheetId="965" refreshError="1"/>
      <sheetData sheetId="966" refreshError="1"/>
      <sheetData sheetId="967" refreshError="1"/>
      <sheetData sheetId="968"/>
      <sheetData sheetId="969" refreshError="1"/>
      <sheetData sheetId="970" refreshError="1"/>
      <sheetData sheetId="971" refreshError="1"/>
      <sheetData sheetId="972"/>
      <sheetData sheetId="973" refreshError="1"/>
      <sheetData sheetId="974"/>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sheetData sheetId="1004"/>
      <sheetData sheetId="1005"/>
      <sheetData sheetId="1006"/>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sheetData sheetId="1024"/>
      <sheetData sheetId="1025" refreshError="1"/>
      <sheetData sheetId="1026" refreshError="1"/>
      <sheetData sheetId="1027"/>
      <sheetData sheetId="1028"/>
      <sheetData sheetId="1029" refreshError="1"/>
      <sheetData sheetId="1030" refreshError="1"/>
      <sheetData sheetId="1031" refreshError="1"/>
      <sheetData sheetId="1032" refreshError="1"/>
      <sheetData sheetId="1033" refreshError="1"/>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sheetData sheetId="1051" refreshError="1"/>
      <sheetData sheetId="1052"/>
      <sheetData sheetId="1053"/>
      <sheetData sheetId="1054"/>
      <sheetData sheetId="1055"/>
      <sheetData sheetId="1056"/>
      <sheetData sheetId="1057" refreshError="1"/>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sheetData sheetId="1082"/>
      <sheetData sheetId="1083"/>
      <sheetData sheetId="1084"/>
      <sheetData sheetId="1085" refreshError="1"/>
      <sheetData sheetId="1086"/>
      <sheetData sheetId="1087" refreshError="1"/>
      <sheetData sheetId="1088" refreshError="1"/>
      <sheetData sheetId="1089" refreshError="1"/>
      <sheetData sheetId="1090" refreshError="1"/>
      <sheetData sheetId="1091" refreshError="1"/>
      <sheetData sheetId="1092" refreshError="1"/>
      <sheetData sheetId="1093"/>
      <sheetData sheetId="1094"/>
      <sheetData sheetId="1095"/>
      <sheetData sheetId="1096" refreshError="1"/>
      <sheetData sheetId="1097"/>
      <sheetData sheetId="1098"/>
      <sheetData sheetId="1099"/>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sheetData sheetId="1114"/>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sheetData sheetId="1150"/>
      <sheetData sheetId="1151"/>
      <sheetData sheetId="1152"/>
      <sheetData sheetId="1153" refreshError="1"/>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EF"/>
      <sheetName val="Detalle"/>
      <sheetName val="Portafolio Final"/>
      <sheetName val="Valuación"/>
      <sheetName val="Port Sep(08)"/>
      <sheetName val="MMA"/>
      <sheetName val="Confirmaciones"/>
      <sheetName val="XREF"/>
      <sheetName val="Tickmarks"/>
    </sheetNames>
    <sheetDataSet>
      <sheetData sheetId="0"/>
      <sheetData sheetId="1"/>
      <sheetData sheetId="2"/>
      <sheetData sheetId="3"/>
      <sheetData sheetId="4"/>
      <sheetData sheetId="5"/>
      <sheetData sheetId="6"/>
      <sheetData sheetId="7"/>
      <sheetData sheetId="8"/>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sivos No Registrados"/>
      <sheetName val="Prueba de Corte"/>
      <sheetName val="Hoja1"/>
      <sheetName val="Ticmarks"/>
      <sheetName val="Décimo Sexto"/>
      <sheetName val="Tildes"/>
      <sheetName val="Sheet1 (2)"/>
      <sheetName val="Sheet1"/>
      <sheetName val="#REF"/>
      <sheetName val="Análisis de Notas Crédito"/>
      <sheetName val="Análisis de Facturas"/>
      <sheetName val="Tickmarks"/>
      <sheetName val="Nota1"/>
      <sheetName val="CostoConso"/>
      <sheetName val="Dep.Consol"/>
      <sheetName val="Calc.Gasto Costo"/>
      <sheetName val="Costo Reexp."/>
      <sheetName val="Dep.Costo. Rex"/>
      <sheetName val="Calc.Gasto Costo Reexp."/>
      <sheetName val="Calc Reexp Costo"/>
      <sheetName val="Calc.Reexp. Dep"/>
      <sheetName val="Detalle GO Jun-02"/>
      <sheetName val="Detalle GO Oct-02"/>
      <sheetName val="Detalle GO Dic-02"/>
      <sheetName val="Detalle Sueldos"/>
      <sheetName val="Sueldos Personal"/>
      <sheetName val="Límite"/>
      <sheetName val="Tabla del Limite"/>
      <sheetName val="Tildes 8230"/>
      <sheetName val="MMA"/>
      <sheetName val="Selec. Adiciones"/>
      <sheetName val="Anális. siniest. seguros"/>
      <sheetName val="Tildes (2)"/>
      <sheetName val="Final"/>
      <sheetName val="Preliminar"/>
      <sheetName val="Análisis"/>
      <sheetName val="PIVOT"/>
      <sheetName val="3670020"/>
      <sheetName val="367020EN"/>
      <sheetName val="Proyeccion Costos"/>
      <sheetName val="Proyec.Vtas."/>
      <sheetName val="Dep_Consol"/>
      <sheetName val="GG-5"/>
    </sheetNames>
    <sheetDataSet>
      <sheetData sheetId="0" refreshError="1"/>
      <sheetData sheetId="1">
        <row r="11">
          <cell r="R11">
            <v>17509571</v>
          </cell>
        </row>
      </sheetData>
      <sheetData sheetId="2" refreshError="1"/>
      <sheetData sheetId="3"/>
      <sheetData sheetId="4"/>
      <sheetData sheetId="5"/>
      <sheetData sheetId="6"/>
      <sheetData sheetId="7"/>
      <sheetData sheetId="8" refreshError="1"/>
      <sheetData sheetId="9" refreshError="1"/>
      <sheetData sheetId="10" refreshError="1"/>
      <sheetData sheetId="11" refreshError="1"/>
      <sheetData sheetId="12"/>
      <sheetData sheetId="13" refreshError="1"/>
      <sheetData sheetId="14" refreshError="1">
        <row r="1">
          <cell r="A1" t="str">
            <v>MOVIMIENTO ACTIVOS FIJOS DEPRECIACION COSTO</v>
          </cell>
        </row>
        <row r="11">
          <cell r="R11">
            <v>0</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rcompany"/>
      <sheetName val="Clientes"/>
      <sheetName val="Terceros"/>
      <sheetName val="Cartera Abogados"/>
      <sheetName val="Mov. Incob."/>
      <sheetName val="An. baja cart."/>
      <sheetName val="MMA 5330-2"/>
      <sheetName val="Antiguedad de cartera"/>
      <sheetName val="Cobros porst. terceros"/>
      <sheetName val="Cobros posteriores"/>
      <sheetName val="Tildes"/>
      <sheetName val="XREF"/>
    </sheetNames>
    <sheetDataSet>
      <sheetData sheetId="0">
        <row r="24">
          <cell r="J24">
            <v>2442465</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CGME"/>
      <sheetName val="D"/>
      <sheetName val="E"/>
      <sheetName val="F1"/>
      <sheetName val="F1GME"/>
      <sheetName val="F2"/>
      <sheetName val="F2GME"/>
      <sheetName val="F3"/>
      <sheetName val="F3GME"/>
      <sheetName val="F4"/>
      <sheetName val="F4GME"/>
      <sheetName val="F5"/>
      <sheetName val="F6"/>
      <sheetName val="F7"/>
      <sheetName val="F8"/>
      <sheetName val="G"/>
      <sheetName val="H"/>
      <sheetName val="I"/>
      <sheetName val="J"/>
      <sheetName val="L"/>
      <sheetName val="M"/>
      <sheetName val="NO"/>
      <sheetName val="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lecc."/>
      <sheetName val="Mayor"/>
      <sheetName val="MMAPT"/>
      <sheetName val="APTGastos"/>
      <sheetName val="Tickmarks"/>
    </sheetNames>
    <sheetDataSet>
      <sheetData sheetId="0"/>
      <sheetData sheetId="1" refreshError="1"/>
      <sheetData sheetId="2"/>
      <sheetData sheetId="3" refreshError="1"/>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000"/>
      <sheetName val="Detalle"/>
      <sheetName val="R.Analítica"/>
      <sheetName val="MMA"/>
      <sheetName val="APT"/>
      <sheetName val="CG-Sueldos"/>
      <sheetName val="SueldosGerencia"/>
      <sheetName val="XREF"/>
      <sheetName val="Tickmarks"/>
      <sheetName val="Det. Gastos"/>
      <sheetName val="Muestreo "/>
      <sheetName val="APT Gastos"/>
      <sheetName val="CGSueldos"/>
      <sheetName val="Cálculo Arriendo"/>
      <sheetName val="AnálisisImpuestos"/>
      <sheetName val="Cálculo sueldos"/>
      <sheetName val="Honorarios"/>
      <sheetName val="Leasing"/>
      <sheetName val="Arriendos"/>
      <sheetName val="#REF"/>
      <sheetName val="MMA Gastos"/>
      <sheetName val="Nómina"/>
      <sheetName val="Arrendamiento"/>
      <sheetName val="Seg y reaseg."/>
      <sheetName val="Arrendamiento Equipos"/>
      <sheetName val="Análisis de APT Gatos"/>
      <sheetName val="Análisis APT Honorarios"/>
      <sheetName val="Límites"/>
      <sheetName val="Movimiento Part. Trab."/>
      <sheetName val="MMA Dic-06"/>
      <sheetName val="MMA Oct-06"/>
      <sheetName val="MMA (2)"/>
      <sheetName val="Gastos APT"/>
      <sheetName val="Detalles"/>
      <sheetName val="Calc. Global Gtos. Personal"/>
      <sheetName val="Calc. Global Arriendos"/>
      <sheetName val="Sueldos y Benef."/>
    </sheetNames>
    <sheetDataSet>
      <sheetData sheetId="0"/>
      <sheetData sheetId="1" refreshError="1">
        <row r="81">
          <cell r="E81">
            <v>153450</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EF"/>
      <sheetName val="Detalle"/>
      <sheetName val="Costo"/>
      <sheetName val="Reex."/>
      <sheetName val="Dep.Costo."/>
      <sheetName val="Dep.Costo. Rex"/>
      <sheetName val="Adiciones"/>
      <sheetName val="Relac DEP-COSTO"/>
      <sheetName val="Nota"/>
      <sheetName val="MMA"/>
      <sheetName val="C. Clobal"/>
      <sheetName val="Eq. Comp."/>
      <sheetName val="Edificios"/>
      <sheetName val="Ed.Seg.Cliente"/>
      <sheetName val="XREF"/>
      <sheetName val="Tickmarks"/>
      <sheetName val="Mov.Costo"/>
      <sheetName val="Mov.Dep."/>
      <sheetName val="Cal.Deprec."/>
      <sheetName val="Selección"/>
      <sheetName val="AnálisisAdic"/>
      <sheetName val="Cálc. Global. Dep."/>
      <sheetName val="Cal.Deprec final"/>
      <sheetName val="Cal.Deprec.prele"/>
      <sheetName val="Bajas"/>
      <sheetName val="Movimiento Costo"/>
      <sheetName val="Cálculo Global Depr."/>
      <sheetName val="Movimiento Depreciación"/>
      <sheetName val="Limite"/>
      <sheetName val="Adiciones AF"/>
      <sheetName val="Toma Fisica"/>
      <sheetName val="Listado AF"/>
      <sheetName val="Mov.Costo Reexp."/>
      <sheetName val="Mov.Dep.Costo."/>
      <sheetName val="Mov.Dep.Costo. Reex"/>
      <sheetName val="Calc.Global Deprec."/>
      <sheetName val="Nota EEFF"/>
      <sheetName val="Links"/>
      <sheetName val="Mov. Costo"/>
      <sheetName val="Depreciación"/>
      <sheetName val="Cálculo global"/>
      <sheetName val="Listado de Activos Fijos"/>
      <sheetName val="Notas EEFF"/>
      <sheetName val="Analisis Adiciones"/>
      <sheetName val="Bajas de Activos Fijos"/>
      <sheetName val="Mov. Depre."/>
      <sheetName val="Toma Física de AF"/>
      <sheetName val="Listado Bajas"/>
      <sheetName val="Prueba de Adiciones"/>
      <sheetName val="Mov. Costo AF"/>
      <sheetName val="Mov. Depr. AF"/>
      <sheetName val="Sheet1"/>
      <sheetName val="Límites"/>
      <sheetName val="Mov. Depreciación"/>
      <sheetName val="Terreno o costos de Locales"/>
      <sheetName val="Dólares"/>
      <sheetName val="#REF"/>
      <sheetName val="Movimiento"/>
      <sheetName val="Resumen de Conciliaciones"/>
      <sheetName val="Mov.Depreciación"/>
      <sheetName val="Cálculo Dep."/>
      <sheetName val="Cálculo Dep.Final"/>
      <sheetName val="APT Adiciones"/>
      <sheetName val="Toma física"/>
      <sheetName val="Activación"/>
      <sheetName val="Limites"/>
      <sheetName val="Analisis de Adiciones de AF"/>
      <sheetName val="Mov Costo"/>
      <sheetName val="Mov Dep"/>
      <sheetName val="Detalle Activos Fijos"/>
      <sheetName val="A"/>
    </sheetNames>
    <sheetDataSet>
      <sheetData sheetId="0">
        <row r="15">
          <cell r="H15">
            <v>4449506</v>
          </cell>
        </row>
      </sheetData>
      <sheetData sheetId="1">
        <row r="15">
          <cell r="H15">
            <v>4449506</v>
          </cell>
        </row>
      </sheetData>
      <sheetData sheetId="2"/>
      <sheetData sheetId="3"/>
      <sheetData sheetId="4"/>
      <sheetData sheetId="5"/>
      <sheetData sheetId="6"/>
      <sheetData sheetId="7" refreshError="1"/>
      <sheetData sheetId="8" refreshError="1"/>
      <sheetData sheetId="9">
        <row r="15">
          <cell r="H15">
            <v>4449506</v>
          </cell>
        </row>
      </sheetData>
      <sheetData sheetId="10" refreshError="1"/>
      <sheetData sheetId="11"/>
      <sheetData sheetId="12"/>
      <sheetData sheetId="13" refreshError="1"/>
      <sheetData sheetId="14"/>
      <sheetData sheetId="15" refreshError="1"/>
      <sheetData sheetId="16">
        <row r="15">
          <cell r="H15">
            <v>4449506</v>
          </cell>
        </row>
      </sheetData>
      <sheetData sheetId="17">
        <row r="15">
          <cell r="H15">
            <v>4449506</v>
          </cell>
        </row>
      </sheetData>
      <sheetData sheetId="18">
        <row r="15">
          <cell r="H15">
            <v>4449506</v>
          </cell>
        </row>
      </sheetData>
      <sheetData sheetId="19">
        <row r="15">
          <cell r="H15">
            <v>4449506</v>
          </cell>
        </row>
      </sheetData>
      <sheetData sheetId="20">
        <row r="15">
          <cell r="H15">
            <v>4449506</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refreshError="1"/>
      <sheetData sheetId="54" refreshError="1"/>
      <sheetData sheetId="55">
        <row r="15">
          <cell r="H15">
            <v>4449506</v>
          </cell>
        </row>
      </sheetData>
      <sheetData sheetId="56" refreshError="1"/>
      <sheetData sheetId="57" refreshError="1"/>
      <sheetData sheetId="58" refreshError="1"/>
      <sheetData sheetId="59"/>
      <sheetData sheetId="60"/>
      <sheetData sheetId="61"/>
      <sheetData sheetId="62"/>
      <sheetData sheetId="63" refreshError="1"/>
      <sheetData sheetId="64" refreshError="1"/>
      <sheetData sheetId="65"/>
      <sheetData sheetId="66" refreshError="1"/>
      <sheetData sheetId="67" refreshError="1"/>
      <sheetData sheetId="68" refreshError="1"/>
      <sheetData sheetId="69">
        <row r="15">
          <cell r="H15">
            <v>20</v>
          </cell>
        </row>
      </sheetData>
      <sheetData sheetId="7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Overview"/>
      <sheetName val="SA Procedures"/>
      <sheetName val="Expectation"/>
      <sheetName val="Explanation"/>
      <sheetName val="Threshold Table"/>
      <sheetName val="Tickmarks"/>
      <sheetName val="Guía"/>
      <sheetName val="Provisiones"/>
      <sheetName val="Expectation Provisiones"/>
      <sheetName val="Beneficios Sociales"/>
      <sheetName val="Expectation Beneficios Sociales"/>
      <sheetName val="Sueldos"/>
      <sheetName val="Arriendo"/>
      <sheetName val="Expectation arriendo"/>
      <sheetName val="Expectation Sueldos"/>
      <sheetName val="XREF"/>
      <sheetName val="Explanation Sueldos"/>
      <sheetName val="Explanation Beeficios Sociales"/>
      <sheetName val="Prv. Beneficios Sociales"/>
      <sheetName val="Expectation Prov. Beneficios so"/>
      <sheetName val="Explanation Prov"/>
      <sheetName val="Cómputo"/>
      <sheetName val="#REF"/>
      <sheetName val="SA Procedures (2)"/>
      <sheetName val="Det. Rec. Prov. Locales {PPC}"/>
      <sheetName val="Guidance Perform SA Procedures"/>
      <sheetName val="Examples Develop An Expectation"/>
      <sheetName val="MetaData"/>
      <sheetName val="SA_Procedures"/>
      <sheetName val="Threshold_Table1"/>
      <sheetName val="Threshold_Table"/>
      <sheetName val="Hoja1"/>
      <sheetName val="Prb"/>
    </sheetNames>
    <sheetDataSet>
      <sheetData sheetId="0" refreshError="1"/>
      <sheetData sheetId="1" refreshError="1"/>
      <sheetData sheetId="2" refreshError="1"/>
      <sheetData sheetId="3">
        <row r="2">
          <cell r="A2">
            <v>0.7</v>
          </cell>
        </row>
      </sheetData>
      <sheetData sheetId="4"/>
      <sheetData sheetId="5">
        <row r="2">
          <cell r="A2">
            <v>0.7</v>
          </cell>
        </row>
        <row r="11">
          <cell r="E11">
            <v>1</v>
          </cell>
          <cell r="F11">
            <v>0.5</v>
          </cell>
          <cell r="G11">
            <v>3.125</v>
          </cell>
        </row>
        <row r="12">
          <cell r="E12">
            <v>2</v>
          </cell>
          <cell r="F12">
            <v>0.45</v>
          </cell>
          <cell r="G12">
            <v>2.8125</v>
          </cell>
        </row>
        <row r="13">
          <cell r="E13">
            <v>3</v>
          </cell>
          <cell r="F13">
            <v>0.42499999999999999</v>
          </cell>
          <cell r="G13">
            <v>2.65625</v>
          </cell>
        </row>
        <row r="14">
          <cell r="E14">
            <v>4</v>
          </cell>
          <cell r="F14">
            <v>0.4</v>
          </cell>
          <cell r="G14">
            <v>2.5</v>
          </cell>
        </row>
        <row r="15">
          <cell r="E15">
            <v>5</v>
          </cell>
          <cell r="F15">
            <v>0.375</v>
          </cell>
          <cell r="G15">
            <v>2.34375</v>
          </cell>
        </row>
        <row r="16">
          <cell r="E16">
            <v>6</v>
          </cell>
          <cell r="F16">
            <v>0.35</v>
          </cell>
          <cell r="G16">
            <v>2.1875</v>
          </cell>
        </row>
        <row r="17">
          <cell r="E17">
            <v>7</v>
          </cell>
          <cell r="F17">
            <v>0.34166666666666662</v>
          </cell>
          <cell r="G17">
            <v>2.1354166666666665</v>
          </cell>
        </row>
        <row r="18">
          <cell r="E18">
            <v>8</v>
          </cell>
          <cell r="F18">
            <v>0.33333333333333326</v>
          </cell>
          <cell r="G18">
            <v>2.083333333333333</v>
          </cell>
        </row>
        <row r="19">
          <cell r="E19">
            <v>9</v>
          </cell>
          <cell r="F19">
            <v>0.3249999999999999</v>
          </cell>
          <cell r="G19">
            <v>2.0312499999999996</v>
          </cell>
        </row>
        <row r="20">
          <cell r="E20">
            <v>10</v>
          </cell>
          <cell r="F20">
            <v>0.31666666666666654</v>
          </cell>
          <cell r="G20">
            <v>1.9791666666666659</v>
          </cell>
        </row>
        <row r="21">
          <cell r="E21">
            <v>11</v>
          </cell>
          <cell r="F21">
            <v>0.30833333333333318</v>
          </cell>
          <cell r="G21">
            <v>1.9270833333333324</v>
          </cell>
        </row>
        <row r="22">
          <cell r="E22">
            <v>12</v>
          </cell>
          <cell r="F22">
            <v>0.29999999999999982</v>
          </cell>
          <cell r="G22">
            <v>1.8749999999999989</v>
          </cell>
        </row>
        <row r="23">
          <cell r="E23">
            <v>13</v>
          </cell>
          <cell r="F23">
            <v>0.25</v>
          </cell>
          <cell r="G23">
            <v>1.5625</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sheetData sheetId="30">
        <row r="2">
          <cell r="A2">
            <v>0.7</v>
          </cell>
        </row>
      </sheetData>
      <sheetData sheetId="31"/>
      <sheetData sheetId="32">
        <row r="3">
          <cell r="A3" t="str">
            <v>Contratos de inversión</v>
          </cell>
        </row>
      </sheetData>
      <sheetData sheetId="33"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Proveed. Loc."/>
      <sheetName val="Preveed.Ext."/>
      <sheetName val="B.P.N.Importaciones"/>
      <sheetName val="Tickmarks"/>
    </sheetNames>
    <sheetDataSet>
      <sheetData sheetId="0"/>
      <sheetData sheetId="1">
        <row r="63">
          <cell r="D63">
            <v>3217658</v>
          </cell>
        </row>
      </sheetData>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E"/>
    </sheetNames>
    <sheetDataSet>
      <sheetData sheetId="0">
        <row r="31">
          <cell r="E31">
            <v>1686331876.4000001</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E4-Adam Opel"/>
      <sheetName val="Payment 30_09_2003"/>
      <sheetName val="Payment 02_03_2004"/>
      <sheetName val="Payment 03_04_2006"/>
      <sheetName val="Payment 02_05_2006"/>
      <sheetName val="Payment 02_06_2006"/>
      <sheetName val="Payment 03_07_2006"/>
    </sheetNames>
    <sheetDataSet>
      <sheetData sheetId="0" refreshError="1"/>
      <sheetData sheetId="1" refreshError="1"/>
      <sheetData sheetId="2"/>
      <sheetData sheetId="3"/>
      <sheetData sheetId="4"/>
      <sheetData sheetId="5">
        <row r="2">
          <cell r="A2" t="str">
            <v/>
          </cell>
          <cell r="B2" t="str">
            <v>S420100000</v>
          </cell>
          <cell r="C2" t="str">
            <v/>
          </cell>
          <cell r="D2" t="str">
            <v>939381</v>
          </cell>
          <cell r="E2" t="str">
            <v>KZ</v>
          </cell>
          <cell r="F2" t="str">
            <v>25</v>
          </cell>
          <cell r="G2" t="str">
            <v>939381</v>
          </cell>
          <cell r="H2" t="str">
            <v>20060602-COTE8</v>
          </cell>
          <cell r="I2">
            <v>38870</v>
          </cell>
          <cell r="J2">
            <v>38870</v>
          </cell>
          <cell r="K2">
            <v>38870</v>
          </cell>
          <cell r="L2">
            <v>38870</v>
          </cell>
          <cell r="M2" t="str">
            <v>EUR</v>
          </cell>
          <cell r="N2">
            <v>15739.75</v>
          </cell>
          <cell r="O2" t="str">
            <v>COP</v>
          </cell>
          <cell r="P2">
            <v>45161624</v>
          </cell>
          <cell r="Q2">
            <v>45161624</v>
          </cell>
          <cell r="R2">
            <v>0</v>
          </cell>
        </row>
        <row r="3">
          <cell r="A3" t="str">
            <v>7985060</v>
          </cell>
          <cell r="B3" t="str">
            <v>S420100000</v>
          </cell>
          <cell r="C3">
            <v>165829</v>
          </cell>
          <cell r="D3" t="str">
            <v>557487</v>
          </cell>
          <cell r="E3" t="str">
            <v>RE</v>
          </cell>
          <cell r="F3" t="str">
            <v>31</v>
          </cell>
          <cell r="G3" t="str">
            <v>939381</v>
          </cell>
          <cell r="H3" t="str">
            <v>EG06040603</v>
          </cell>
          <cell r="I3">
            <v>38807</v>
          </cell>
          <cell r="J3">
            <v>38826</v>
          </cell>
          <cell r="K3">
            <v>38870</v>
          </cell>
          <cell r="L3">
            <v>38870</v>
          </cell>
          <cell r="M3" t="str">
            <v>EUR</v>
          </cell>
          <cell r="N3">
            <v>-2560.02</v>
          </cell>
          <cell r="O3" t="str">
            <v>COP</v>
          </cell>
          <cell r="P3">
            <v>-7145127</v>
          </cell>
          <cell r="Q3">
            <v>-8165399</v>
          </cell>
          <cell r="R3">
            <v>0</v>
          </cell>
        </row>
        <row r="4">
          <cell r="A4" t="str">
            <v>7985060</v>
          </cell>
          <cell r="B4" t="str">
            <v>S420100000</v>
          </cell>
          <cell r="C4">
            <v>166201</v>
          </cell>
          <cell r="D4" t="str">
            <v>564833</v>
          </cell>
          <cell r="E4" t="str">
            <v>RE</v>
          </cell>
          <cell r="F4" t="str">
            <v>31</v>
          </cell>
          <cell r="G4" t="str">
            <v>939381</v>
          </cell>
          <cell r="H4" t="str">
            <v>EG06041211</v>
          </cell>
          <cell r="I4">
            <v>38811</v>
          </cell>
          <cell r="J4">
            <v>38827</v>
          </cell>
          <cell r="K4">
            <v>38870</v>
          </cell>
          <cell r="L4">
            <v>38870</v>
          </cell>
          <cell r="M4" t="str">
            <v>EUR</v>
          </cell>
          <cell r="N4">
            <v>-63.53</v>
          </cell>
          <cell r="O4" t="str">
            <v>COP</v>
          </cell>
          <cell r="P4">
            <v>-179000</v>
          </cell>
          <cell r="Q4">
            <v>-202634</v>
          </cell>
          <cell r="R4">
            <v>0</v>
          </cell>
        </row>
        <row r="5">
          <cell r="A5" t="str">
            <v>7985060</v>
          </cell>
          <cell r="B5" t="str">
            <v>S420100000</v>
          </cell>
          <cell r="C5">
            <v>166378</v>
          </cell>
          <cell r="D5" t="str">
            <v>564925</v>
          </cell>
          <cell r="E5" t="str">
            <v>RE</v>
          </cell>
          <cell r="F5" t="str">
            <v>31</v>
          </cell>
          <cell r="G5" t="str">
            <v>939381</v>
          </cell>
          <cell r="H5" t="str">
            <v>EG06041212</v>
          </cell>
          <cell r="I5">
            <v>38812</v>
          </cell>
          <cell r="J5">
            <v>38827</v>
          </cell>
          <cell r="K5">
            <v>38870</v>
          </cell>
          <cell r="L5">
            <v>38870</v>
          </cell>
          <cell r="M5" t="str">
            <v>EUR</v>
          </cell>
          <cell r="N5">
            <v>-218.67</v>
          </cell>
          <cell r="O5" t="str">
            <v>COP</v>
          </cell>
          <cell r="P5">
            <v>-618283</v>
          </cell>
          <cell r="Q5">
            <v>-697466</v>
          </cell>
          <cell r="R5">
            <v>0</v>
          </cell>
        </row>
        <row r="6">
          <cell r="A6" t="str">
            <v>7985060</v>
          </cell>
          <cell r="B6" t="str">
            <v>S420100000</v>
          </cell>
          <cell r="C6">
            <v>166546</v>
          </cell>
          <cell r="D6" t="str">
            <v>570752</v>
          </cell>
          <cell r="E6" t="str">
            <v>RE</v>
          </cell>
          <cell r="F6" t="str">
            <v>31</v>
          </cell>
          <cell r="G6" t="str">
            <v>939381</v>
          </cell>
          <cell r="H6" t="str">
            <v>EG06041712</v>
          </cell>
          <cell r="I6">
            <v>38813</v>
          </cell>
          <cell r="J6">
            <v>38828</v>
          </cell>
          <cell r="K6">
            <v>38870</v>
          </cell>
          <cell r="L6">
            <v>38870</v>
          </cell>
          <cell r="M6" t="str">
            <v>EUR</v>
          </cell>
          <cell r="N6">
            <v>-243.6</v>
          </cell>
          <cell r="O6" t="str">
            <v>COP</v>
          </cell>
          <cell r="P6">
            <v>-688772</v>
          </cell>
          <cell r="Q6">
            <v>-776983</v>
          </cell>
          <cell r="R6">
            <v>0</v>
          </cell>
        </row>
        <row r="7">
          <cell r="A7" t="str">
            <v>7985060</v>
          </cell>
          <cell r="B7" t="str">
            <v>S420100000</v>
          </cell>
          <cell r="C7">
            <v>167455</v>
          </cell>
          <cell r="D7" t="str">
            <v>570753</v>
          </cell>
          <cell r="E7" t="str">
            <v>RE</v>
          </cell>
          <cell r="F7" t="str">
            <v>31</v>
          </cell>
          <cell r="G7" t="str">
            <v>939381</v>
          </cell>
          <cell r="H7" t="str">
            <v>EG06041713</v>
          </cell>
          <cell r="I7">
            <v>38820</v>
          </cell>
          <cell r="J7">
            <v>38828</v>
          </cell>
          <cell r="K7">
            <v>38870</v>
          </cell>
          <cell r="L7">
            <v>38870</v>
          </cell>
          <cell r="M7" t="str">
            <v>EUR</v>
          </cell>
          <cell r="N7">
            <v>-0.99</v>
          </cell>
          <cell r="O7" t="str">
            <v>COP</v>
          </cell>
          <cell r="P7">
            <v>-2799</v>
          </cell>
          <cell r="Q7">
            <v>-3158</v>
          </cell>
          <cell r="R7">
            <v>0</v>
          </cell>
        </row>
        <row r="8">
          <cell r="A8" t="str">
            <v>7985060</v>
          </cell>
          <cell r="B8" t="str">
            <v>S420100000</v>
          </cell>
          <cell r="C8">
            <v>85873</v>
          </cell>
          <cell r="D8" t="str">
            <v>570754</v>
          </cell>
          <cell r="E8" t="str">
            <v>RE</v>
          </cell>
          <cell r="F8" t="str">
            <v>31</v>
          </cell>
          <cell r="G8" t="str">
            <v>939381</v>
          </cell>
          <cell r="H8" t="str">
            <v>EG06041714</v>
          </cell>
          <cell r="I8">
            <v>38817</v>
          </cell>
          <cell r="J8">
            <v>38828</v>
          </cell>
          <cell r="K8">
            <v>38870</v>
          </cell>
          <cell r="L8">
            <v>38870</v>
          </cell>
          <cell r="M8" t="str">
            <v>EUR</v>
          </cell>
          <cell r="N8">
            <v>-13.74</v>
          </cell>
          <cell r="O8" t="str">
            <v>COP</v>
          </cell>
          <cell r="P8">
            <v>-39074</v>
          </cell>
          <cell r="Q8">
            <v>-43825</v>
          </cell>
          <cell r="R8">
            <v>0</v>
          </cell>
        </row>
        <row r="9">
          <cell r="A9" t="str">
            <v>7985060</v>
          </cell>
          <cell r="B9" t="str">
            <v>S420100000</v>
          </cell>
          <cell r="C9">
            <v>167284</v>
          </cell>
          <cell r="D9" t="str">
            <v>570759</v>
          </cell>
          <cell r="E9" t="str">
            <v>RE</v>
          </cell>
          <cell r="F9" t="str">
            <v>31</v>
          </cell>
          <cell r="G9" t="str">
            <v>939381</v>
          </cell>
          <cell r="H9" t="str">
            <v>EG06041715</v>
          </cell>
          <cell r="I9">
            <v>38819</v>
          </cell>
          <cell r="J9">
            <v>38828</v>
          </cell>
          <cell r="K9">
            <v>38870</v>
          </cell>
          <cell r="L9">
            <v>38870</v>
          </cell>
          <cell r="M9" t="str">
            <v>EUR</v>
          </cell>
          <cell r="N9">
            <v>-61.55</v>
          </cell>
          <cell r="O9" t="str">
            <v>COP</v>
          </cell>
          <cell r="P9">
            <v>-174027</v>
          </cell>
          <cell r="Q9">
            <v>-196319</v>
          </cell>
          <cell r="R9">
            <v>0</v>
          </cell>
        </row>
        <row r="10">
          <cell r="A10" t="str">
            <v>7985060</v>
          </cell>
          <cell r="B10" t="str">
            <v>S420100000</v>
          </cell>
          <cell r="C10">
            <v>167066</v>
          </cell>
          <cell r="D10" t="str">
            <v>570835</v>
          </cell>
          <cell r="E10" t="str">
            <v>RE</v>
          </cell>
          <cell r="F10" t="str">
            <v>31</v>
          </cell>
          <cell r="G10" t="str">
            <v>939381</v>
          </cell>
          <cell r="H10" t="str">
            <v>EG06041722</v>
          </cell>
          <cell r="I10">
            <v>38818</v>
          </cell>
          <cell r="J10">
            <v>38828</v>
          </cell>
          <cell r="K10">
            <v>38870</v>
          </cell>
          <cell r="L10">
            <v>38870</v>
          </cell>
          <cell r="M10" t="str">
            <v>EUR</v>
          </cell>
          <cell r="N10">
            <v>-225.86</v>
          </cell>
          <cell r="O10" t="str">
            <v>COP</v>
          </cell>
          <cell r="P10">
            <v>-640219</v>
          </cell>
          <cell r="Q10">
            <v>-720399</v>
          </cell>
          <cell r="R10">
            <v>0</v>
          </cell>
        </row>
        <row r="11">
          <cell r="A11" t="str">
            <v>7985060</v>
          </cell>
          <cell r="B11" t="str">
            <v>S420100000</v>
          </cell>
          <cell r="C11">
            <v>166203</v>
          </cell>
          <cell r="D11" t="str">
            <v>570883</v>
          </cell>
          <cell r="E11" t="str">
            <v>RE</v>
          </cell>
          <cell r="F11" t="str">
            <v>31</v>
          </cell>
          <cell r="G11" t="str">
            <v>939381</v>
          </cell>
          <cell r="H11" t="str">
            <v>EG06041728</v>
          </cell>
          <cell r="I11">
            <v>38811</v>
          </cell>
          <cell r="J11">
            <v>38828</v>
          </cell>
          <cell r="K11">
            <v>38870</v>
          </cell>
          <cell r="L11">
            <v>38870</v>
          </cell>
          <cell r="M11" t="str">
            <v>EUR</v>
          </cell>
          <cell r="N11">
            <v>-378.96</v>
          </cell>
          <cell r="O11" t="str">
            <v>COP</v>
          </cell>
          <cell r="P11">
            <v>-1071499</v>
          </cell>
          <cell r="Q11">
            <v>-1208725</v>
          </cell>
          <cell r="R11">
            <v>0</v>
          </cell>
        </row>
        <row r="12">
          <cell r="A12" t="str">
            <v>7985060</v>
          </cell>
          <cell r="B12" t="str">
            <v>S420100000</v>
          </cell>
          <cell r="C12">
            <v>167646</v>
          </cell>
          <cell r="D12" t="str">
            <v>604568</v>
          </cell>
          <cell r="E12" t="str">
            <v>RE</v>
          </cell>
          <cell r="F12" t="str">
            <v>31</v>
          </cell>
          <cell r="G12" t="str">
            <v>939381</v>
          </cell>
          <cell r="H12" t="str">
            <v>EG06042107</v>
          </cell>
          <cell r="I12">
            <v>38825</v>
          </cell>
          <cell r="J12">
            <v>38833</v>
          </cell>
          <cell r="K12">
            <v>38870</v>
          </cell>
          <cell r="L12">
            <v>38870</v>
          </cell>
          <cell r="M12" t="str">
            <v>EUR</v>
          </cell>
          <cell r="N12">
            <v>-75.260000000000005</v>
          </cell>
          <cell r="O12" t="str">
            <v>COP</v>
          </cell>
          <cell r="P12">
            <v>-218571</v>
          </cell>
          <cell r="Q12">
            <v>-240048</v>
          </cell>
          <cell r="R12">
            <v>0</v>
          </cell>
        </row>
        <row r="13">
          <cell r="A13" t="str">
            <v>7985060</v>
          </cell>
          <cell r="B13" t="str">
            <v>S420100000</v>
          </cell>
          <cell r="C13">
            <v>167826</v>
          </cell>
          <cell r="D13" t="str">
            <v>629565</v>
          </cell>
          <cell r="E13" t="str">
            <v>RE</v>
          </cell>
          <cell r="F13" t="str">
            <v>31</v>
          </cell>
          <cell r="G13" t="str">
            <v>939381</v>
          </cell>
          <cell r="H13" t="str">
            <v>EG06042406</v>
          </cell>
          <cell r="I13">
            <v>38826</v>
          </cell>
          <cell r="J13">
            <v>38835</v>
          </cell>
          <cell r="K13">
            <v>38870</v>
          </cell>
          <cell r="L13">
            <v>38870</v>
          </cell>
          <cell r="M13" t="str">
            <v>EUR</v>
          </cell>
          <cell r="N13">
            <v>-34.4</v>
          </cell>
          <cell r="O13" t="str">
            <v>COP</v>
          </cell>
          <cell r="P13">
            <v>-98990</v>
          </cell>
          <cell r="Q13">
            <v>-109722</v>
          </cell>
          <cell r="R13">
            <v>0</v>
          </cell>
        </row>
        <row r="14">
          <cell r="A14" t="str">
            <v>7985060</v>
          </cell>
          <cell r="B14" t="str">
            <v>S420100000</v>
          </cell>
          <cell r="C14">
            <v>167998</v>
          </cell>
          <cell r="D14" t="str">
            <v>630307</v>
          </cell>
          <cell r="E14" t="str">
            <v>RE</v>
          </cell>
          <cell r="F14" t="str">
            <v>31</v>
          </cell>
          <cell r="G14" t="str">
            <v>939381</v>
          </cell>
          <cell r="H14" t="str">
            <v>EG06042707</v>
          </cell>
          <cell r="I14">
            <v>38827</v>
          </cell>
          <cell r="J14">
            <v>38835</v>
          </cell>
          <cell r="K14">
            <v>38870</v>
          </cell>
          <cell r="L14">
            <v>38870</v>
          </cell>
          <cell r="M14" t="str">
            <v>EUR</v>
          </cell>
          <cell r="N14">
            <v>-34.729999999999997</v>
          </cell>
          <cell r="O14" t="str">
            <v>COP</v>
          </cell>
          <cell r="P14">
            <v>-100077</v>
          </cell>
          <cell r="Q14">
            <v>-110774</v>
          </cell>
          <cell r="R14">
            <v>0</v>
          </cell>
        </row>
        <row r="15">
          <cell r="A15" t="str">
            <v>7985060</v>
          </cell>
          <cell r="B15" t="str">
            <v>S420100000</v>
          </cell>
          <cell r="C15">
            <v>168605</v>
          </cell>
          <cell r="D15" t="str">
            <v>639637</v>
          </cell>
          <cell r="E15" t="str">
            <v>RE</v>
          </cell>
          <cell r="F15" t="str">
            <v>31</v>
          </cell>
          <cell r="G15" t="str">
            <v>939381</v>
          </cell>
          <cell r="H15" t="str">
            <v>EG06042806</v>
          </cell>
          <cell r="I15">
            <v>38832</v>
          </cell>
          <cell r="J15">
            <v>38836</v>
          </cell>
          <cell r="K15">
            <v>38870</v>
          </cell>
          <cell r="L15">
            <v>38870</v>
          </cell>
          <cell r="M15" t="str">
            <v>EUR</v>
          </cell>
          <cell r="N15">
            <v>-167.96</v>
          </cell>
          <cell r="O15" t="str">
            <v>COP</v>
          </cell>
          <cell r="P15">
            <v>-489437</v>
          </cell>
          <cell r="Q15">
            <v>-535723</v>
          </cell>
          <cell r="R15">
            <v>0</v>
          </cell>
        </row>
        <row r="16">
          <cell r="A16" t="str">
            <v>7985060</v>
          </cell>
          <cell r="B16" t="str">
            <v>S420100000</v>
          </cell>
          <cell r="C16">
            <v>168392</v>
          </cell>
          <cell r="D16" t="str">
            <v>639715</v>
          </cell>
          <cell r="E16" t="str">
            <v>RE</v>
          </cell>
          <cell r="F16" t="str">
            <v>31</v>
          </cell>
          <cell r="G16" t="str">
            <v>939381</v>
          </cell>
          <cell r="H16" t="str">
            <v>EG06042805</v>
          </cell>
          <cell r="I16">
            <v>38772</v>
          </cell>
          <cell r="J16">
            <v>38836</v>
          </cell>
          <cell r="K16">
            <v>38870</v>
          </cell>
          <cell r="L16">
            <v>38870</v>
          </cell>
          <cell r="M16" t="str">
            <v>EUR</v>
          </cell>
          <cell r="N16">
            <v>-267.75</v>
          </cell>
          <cell r="O16" t="str">
            <v>COP</v>
          </cell>
          <cell r="P16">
            <v>-780225</v>
          </cell>
          <cell r="Q16">
            <v>-854011</v>
          </cell>
          <cell r="R16">
            <v>0</v>
          </cell>
        </row>
        <row r="17">
          <cell r="A17" t="str">
            <v>7985060</v>
          </cell>
          <cell r="B17" t="str">
            <v>S420100000</v>
          </cell>
          <cell r="C17">
            <v>197821</v>
          </cell>
          <cell r="D17" t="str">
            <v>647119</v>
          </cell>
          <cell r="E17" t="str">
            <v>RE</v>
          </cell>
          <cell r="F17" t="str">
            <v>31</v>
          </cell>
          <cell r="G17" t="str">
            <v>939381</v>
          </cell>
          <cell r="H17" t="str">
            <v>EG06020608</v>
          </cell>
          <cell r="I17">
            <v>38754</v>
          </cell>
          <cell r="J17">
            <v>38836</v>
          </cell>
          <cell r="K17">
            <v>38870</v>
          </cell>
          <cell r="L17">
            <v>38870</v>
          </cell>
          <cell r="M17" t="str">
            <v>EUR</v>
          </cell>
          <cell r="N17">
            <v>-290.92</v>
          </cell>
          <cell r="O17" t="str">
            <v>COP</v>
          </cell>
          <cell r="P17">
            <v>-819684</v>
          </cell>
          <cell r="Q17">
            <v>-927914</v>
          </cell>
          <cell r="R17">
            <v>0</v>
          </cell>
        </row>
        <row r="18">
          <cell r="A18" t="str">
            <v>7985060</v>
          </cell>
          <cell r="B18" t="str">
            <v>S420100000</v>
          </cell>
          <cell r="C18">
            <v>197420</v>
          </cell>
          <cell r="D18" t="str">
            <v>647140</v>
          </cell>
          <cell r="E18" t="str">
            <v>RE</v>
          </cell>
          <cell r="F18" t="str">
            <v>31</v>
          </cell>
          <cell r="G18" t="str">
            <v>939381</v>
          </cell>
          <cell r="H18" t="str">
            <v>EG06020306</v>
          </cell>
          <cell r="I18">
            <v>38754</v>
          </cell>
          <cell r="J18">
            <v>38836</v>
          </cell>
          <cell r="K18">
            <v>38870</v>
          </cell>
          <cell r="L18">
            <v>38870</v>
          </cell>
          <cell r="M18" t="str">
            <v>EUR</v>
          </cell>
          <cell r="N18">
            <v>-2.16</v>
          </cell>
          <cell r="O18" t="str">
            <v>COP</v>
          </cell>
          <cell r="P18">
            <v>-6086</v>
          </cell>
          <cell r="Q18">
            <v>-6890</v>
          </cell>
          <cell r="R18">
            <v>0</v>
          </cell>
        </row>
        <row r="19">
          <cell r="A19" t="str">
            <v>7985060</v>
          </cell>
          <cell r="B19" t="str">
            <v>S420100000</v>
          </cell>
          <cell r="C19">
            <v>198013</v>
          </cell>
          <cell r="D19" t="str">
            <v>647162</v>
          </cell>
          <cell r="E19" t="str">
            <v>RE</v>
          </cell>
          <cell r="F19" t="str">
            <v>31</v>
          </cell>
          <cell r="G19" t="str">
            <v>939381</v>
          </cell>
          <cell r="H19" t="str">
            <v>EG06020609</v>
          </cell>
          <cell r="I19">
            <v>38754</v>
          </cell>
          <cell r="J19">
            <v>38836</v>
          </cell>
          <cell r="K19">
            <v>38870</v>
          </cell>
          <cell r="L19">
            <v>38870</v>
          </cell>
          <cell r="M19" t="str">
            <v>EUR</v>
          </cell>
          <cell r="N19">
            <v>-262.33</v>
          </cell>
          <cell r="O19" t="str">
            <v>COP</v>
          </cell>
          <cell r="P19">
            <v>-739130</v>
          </cell>
          <cell r="Q19">
            <v>-836724</v>
          </cell>
          <cell r="R19">
            <v>0</v>
          </cell>
        </row>
        <row r="20">
          <cell r="A20" t="str">
            <v>7985060</v>
          </cell>
          <cell r="B20" t="str">
            <v>S420100000</v>
          </cell>
          <cell r="C20">
            <v>169005</v>
          </cell>
          <cell r="D20" t="str">
            <v>733429</v>
          </cell>
          <cell r="E20" t="str">
            <v>RE</v>
          </cell>
          <cell r="F20" t="str">
            <v>31</v>
          </cell>
          <cell r="G20" t="str">
            <v>939381</v>
          </cell>
          <cell r="H20" t="str">
            <v>EG06050217</v>
          </cell>
          <cell r="I20">
            <v>38834</v>
          </cell>
          <cell r="J20">
            <v>38854</v>
          </cell>
          <cell r="K20">
            <v>38870</v>
          </cell>
          <cell r="L20">
            <v>38870</v>
          </cell>
          <cell r="M20" t="str">
            <v>EUR</v>
          </cell>
          <cell r="N20">
            <v>-341</v>
          </cell>
          <cell r="O20" t="str">
            <v>COP</v>
          </cell>
          <cell r="P20">
            <v>-1054309</v>
          </cell>
          <cell r="Q20">
            <v>-1087648</v>
          </cell>
          <cell r="R20">
            <v>0</v>
          </cell>
        </row>
        <row r="21">
          <cell r="A21" t="str">
            <v>7985060</v>
          </cell>
          <cell r="B21" t="str">
            <v>S420100000</v>
          </cell>
          <cell r="C21">
            <v>165808</v>
          </cell>
          <cell r="D21" t="str">
            <v>780512</v>
          </cell>
          <cell r="E21" t="str">
            <v>RE</v>
          </cell>
          <cell r="F21" t="str">
            <v>31</v>
          </cell>
          <cell r="G21" t="str">
            <v>939381</v>
          </cell>
          <cell r="H21" t="str">
            <v>EG-17747</v>
          </cell>
          <cell r="I21">
            <v>38807</v>
          </cell>
          <cell r="J21">
            <v>38861</v>
          </cell>
          <cell r="K21">
            <v>38870</v>
          </cell>
          <cell r="L21">
            <v>38870</v>
          </cell>
          <cell r="M21" t="str">
            <v>EUR</v>
          </cell>
          <cell r="N21">
            <v>-10496.32</v>
          </cell>
          <cell r="O21" t="str">
            <v>COP</v>
          </cell>
          <cell r="P21">
            <v>-30296315</v>
          </cell>
          <cell r="Q21">
            <v>-33478896</v>
          </cell>
          <cell r="R21">
            <v>0</v>
          </cell>
        </row>
      </sheetData>
      <sheetData sheetId="6"/>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b.vsLis."/>
      <sheetName val="Costo"/>
      <sheetName val="Costo Reexp."/>
      <sheetName val="Dep.Costo."/>
      <sheetName val="Dep.Costo. Rex"/>
      <sheetName val="Calc.G.Deprec."/>
      <sheetName val="Cal.G.Depr.Reexp."/>
      <sheetName val="ADICIONES"/>
      <sheetName val="Relac DEP-COSTO"/>
      <sheetName val="Nota"/>
      <sheetName val="An. Bajas"/>
      <sheetName val="XREF"/>
      <sheetName val="Tickmarks"/>
      <sheetName val="An.Adiciones"/>
      <sheetName val="Adiciones seleccionadas"/>
      <sheetName val="#REF"/>
    </sheetNames>
    <sheetDataSet>
      <sheetData sheetId="0"/>
      <sheetData sheetId="1"/>
      <sheetData sheetId="2"/>
      <sheetData sheetId="3"/>
      <sheetData sheetId="4"/>
      <sheetData sheetId="5"/>
      <sheetData sheetId="6" refreshError="1"/>
      <sheetData sheetId="7"/>
      <sheetData sheetId="8" refreshError="1"/>
      <sheetData sheetId="9" refreshError="1"/>
      <sheetData sheetId="10"/>
      <sheetData sheetId="11"/>
      <sheetData sheetId="12"/>
      <sheetData sheetId="13" refreshError="1"/>
      <sheetData sheetId="14" refreshError="1"/>
      <sheetData sheetId="1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M"/>
      <sheetName val="Brazil"/>
      <sheetName val="Brazil (USD)"/>
      <sheetName val="By BRM"/>
      <sheetName val="By Director"/>
      <sheetName val="By IP"/>
      <sheetName val="Pipeline"/>
      <sheetName val="Sheet1"/>
      <sheetName val="Pipeline (LastMeeting)"/>
      <sheetName val="Reports"/>
      <sheetName val="Ibero"/>
      <sheetName val="Pipeline (Lost)"/>
      <sheetName val="Customers"/>
      <sheetName val="MasterTable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2">
          <cell r="B2">
            <v>0</v>
          </cell>
        </row>
        <row r="3">
          <cell r="B3">
            <v>1</v>
          </cell>
        </row>
        <row r="4">
          <cell r="B4">
            <v>2</v>
          </cell>
        </row>
        <row r="5">
          <cell r="B5">
            <v>3</v>
          </cell>
        </row>
        <row r="6">
          <cell r="B6">
            <v>4</v>
          </cell>
        </row>
        <row r="7">
          <cell r="B7">
            <v>5</v>
          </cell>
        </row>
        <row r="8">
          <cell r="B8">
            <v>6</v>
          </cell>
        </row>
        <row r="9">
          <cell r="B9">
            <v>7</v>
          </cell>
        </row>
        <row r="10">
          <cell r="B10">
            <v>8</v>
          </cell>
        </row>
        <row r="11">
          <cell r="B11">
            <v>9</v>
          </cell>
        </row>
        <row r="12">
          <cell r="B12">
            <v>10</v>
          </cell>
        </row>
        <row r="13">
          <cell r="B13">
            <v>11</v>
          </cell>
        </row>
        <row r="14">
          <cell r="B14">
            <v>12</v>
          </cell>
        </row>
      </sheetData>
      <sheetData sheetId="1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4201-OBB"/>
      <sheetName val="S4201-AP CO"/>
    </sheetNames>
    <sheetDataSet>
      <sheetData sheetId="0" refreshError="1"/>
      <sheetData sheetId="1">
        <row r="2">
          <cell r="A2" t="str">
            <v>420000C718</v>
          </cell>
        </row>
        <row r="3">
          <cell r="A3" t="str">
            <v>420000C718</v>
          </cell>
        </row>
        <row r="4">
          <cell r="A4" t="str">
            <v>420000C718</v>
          </cell>
        </row>
        <row r="5">
          <cell r="A5" t="str">
            <v>420000C718</v>
          </cell>
        </row>
        <row r="6">
          <cell r="A6" t="str">
            <v>420000C718</v>
          </cell>
        </row>
        <row r="7">
          <cell r="A7" t="str">
            <v>420000C718</v>
          </cell>
        </row>
        <row r="8">
          <cell r="A8" t="str">
            <v>420000C718</v>
          </cell>
        </row>
        <row r="9">
          <cell r="A9" t="str">
            <v>420000C718</v>
          </cell>
        </row>
        <row r="10">
          <cell r="A10" t="str">
            <v>420000C718</v>
          </cell>
        </row>
        <row r="11">
          <cell r="A11" t="str">
            <v>420000C718</v>
          </cell>
        </row>
        <row r="12">
          <cell r="A12" t="str">
            <v>420000C718</v>
          </cell>
        </row>
        <row r="13">
          <cell r="A13" t="str">
            <v>420000C718</v>
          </cell>
        </row>
        <row r="14">
          <cell r="A14" t="str">
            <v>420000C718</v>
          </cell>
        </row>
        <row r="15">
          <cell r="A15" t="str">
            <v>420000C718</v>
          </cell>
        </row>
        <row r="17">
          <cell r="A17" t="str">
            <v>420000C718</v>
          </cell>
        </row>
        <row r="18">
          <cell r="A18" t="str">
            <v>420000C718</v>
          </cell>
        </row>
        <row r="19">
          <cell r="A19" t="str">
            <v>420000C718</v>
          </cell>
        </row>
        <row r="20">
          <cell r="A20" t="str">
            <v>420000C718</v>
          </cell>
        </row>
        <row r="21">
          <cell r="A21" t="str">
            <v>420000C718</v>
          </cell>
        </row>
        <row r="22">
          <cell r="A22" t="str">
            <v>420000C718</v>
          </cell>
        </row>
        <row r="23">
          <cell r="A23" t="str">
            <v>420000C718</v>
          </cell>
        </row>
        <row r="24">
          <cell r="A24" t="str">
            <v>420000C718</v>
          </cell>
        </row>
        <row r="25">
          <cell r="A25" t="str">
            <v>420000C718</v>
          </cell>
        </row>
        <row r="26">
          <cell r="A26" t="str">
            <v>420000C718</v>
          </cell>
        </row>
        <row r="27">
          <cell r="A27" t="str">
            <v>420000C718</v>
          </cell>
        </row>
        <row r="28">
          <cell r="A28" t="str">
            <v>420000C718</v>
          </cell>
        </row>
        <row r="29">
          <cell r="A29" t="str">
            <v>420000C718</v>
          </cell>
        </row>
        <row r="30">
          <cell r="A30" t="str">
            <v>420000C718</v>
          </cell>
        </row>
        <row r="31">
          <cell r="A31" t="str">
            <v>420000C718</v>
          </cell>
        </row>
        <row r="32">
          <cell r="A32" t="str">
            <v>420000C718</v>
          </cell>
        </row>
        <row r="33">
          <cell r="A33" t="str">
            <v>420000C718</v>
          </cell>
        </row>
      </sheetData>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b.vsLis."/>
      <sheetName val="NotaEF"/>
      <sheetName val="Costo"/>
      <sheetName val="Costo Reexp."/>
      <sheetName val="Dep.Costo."/>
      <sheetName val="Dep.Costo. Rex"/>
      <sheetName val="Calc.global deprec"/>
      <sheetName val="Calc.Gasto Costo Reexp."/>
      <sheetName val="Adiciones"/>
      <sheetName val="An.I.Trans."/>
      <sheetName val="MMACtaActivo"/>
      <sheetName val="MMACtAdiciones"/>
      <sheetName val="An.Adiciones"/>
      <sheetName val="Relac DEP-COSTO"/>
      <sheetName val="Nota"/>
      <sheetName val="Excess Calc"/>
      <sheetName val="Threshold Calc"/>
      <sheetName val="XREF"/>
      <sheetName val="Tickmarks"/>
      <sheetName val="CURVA#2.003"/>
      <sheetName val="Senior Debt"/>
    </sheetNames>
    <sheetDataSet>
      <sheetData sheetId="0">
        <row r="6">
          <cell r="B6">
            <v>25651.200000000001</v>
          </cell>
        </row>
      </sheetData>
      <sheetData sheetId="1"/>
      <sheetData sheetId="2"/>
      <sheetData sheetId="3"/>
      <sheetData sheetId="4"/>
      <sheetData sheetId="5"/>
      <sheetData sheetId="6"/>
      <sheetData sheetId="7"/>
      <sheetData sheetId="8"/>
      <sheetData sheetId="9"/>
      <sheetData sheetId="10"/>
      <sheetData sheetId="11"/>
      <sheetData sheetId="12"/>
      <sheetData sheetId="13">
        <row r="6">
          <cell r="B6">
            <v>25651.200000000001</v>
          </cell>
        </row>
      </sheetData>
      <sheetData sheetId="14">
        <row r="6">
          <cell r="B6">
            <v>25651.200000000001</v>
          </cell>
        </row>
      </sheetData>
      <sheetData sheetId="15">
        <row r="6">
          <cell r="B6">
            <v>25651.200000000001</v>
          </cell>
        </row>
      </sheetData>
      <sheetData sheetId="16"/>
      <sheetData sheetId="17"/>
      <sheetData sheetId="18"/>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os y Gastos - final"/>
      <sheetName val="Asignaciones final"/>
      <sheetName val="Costos y Gastos"/>
      <sheetName val="Asignaciones"/>
      <sheetName val="Compras-Costo Vehículos"/>
      <sheetName val="Compras-Costo Repuestos"/>
      <sheetName val="Vtas-Costo Vehículos"/>
      <sheetName val="Vtas-Costo Repuestos"/>
      <sheetName val="Vtas-Costo Taller"/>
      <sheetName val="Marcas Estándar"/>
      <sheetName val="XREF"/>
      <sheetName val="Compras Veh."/>
      <sheetName val="compras Rep."/>
      <sheetName val="Import. Rep."/>
      <sheetName val="#REF"/>
      <sheetName val="COSTO ACUM -AGO-04"/>
      <sheetName val="MOI"/>
      <sheetName val="CIF 2004"/>
      <sheetName val="MMA"/>
      <sheetName val="Análisis APT"/>
      <sheetName val="Horas Extras"/>
      <sheetName val="Tickmarks"/>
      <sheetName val="Detalle"/>
      <sheetName val="Análisis (Ajustado)"/>
      <sheetName val="MMA (Dic)"/>
      <sheetName val="APT"/>
      <sheetName val="Honorarios"/>
      <sheetName val="Análisis"/>
      <sheetName val="Límite"/>
      <sheetName val="Tabla"/>
      <sheetName val="Movimiento"/>
      <sheetName val="Datos"/>
      <sheetName val="STAR"/>
      <sheetName val="Base Star"/>
      <sheetName val="Lista de Aplicación STAR"/>
      <sheetName val="APT "/>
      <sheetName val="Costo de Ventas"/>
      <sheetName val="Revisión Analítica"/>
      <sheetName val="Revisión Mensual"/>
      <sheetName val="Evolución de Prec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ovimiento Inventarios"/>
      <sheetName val="Conciliación listado"/>
      <sheetName val="Toma física y valuación"/>
      <sheetName val="MMA Compras Final"/>
      <sheetName val="MMA"/>
      <sheetName val="APT Compras de Inventario"/>
      <sheetName val="Pasivos No registrados"/>
      <sheetName val="MMA Imp. tránsito"/>
      <sheetName val="Inv. Transito Final"/>
      <sheetName val="Impor. en Tránsito"/>
      <sheetName val="Mov. Baja Inventarios"/>
      <sheetName val="Listado"/>
      <sheetName val="Toma Física Agosto 2006"/>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Antigüedad cartera"/>
      <sheetName val="Provisión Ingresos Comerciales"/>
      <sheetName val="Préstamos empleados"/>
      <sheetName val="Cobros posteriores"/>
      <sheetName val="Confirmación"/>
      <sheetName val="SEGUROS 6"/>
      <sheetName val="XREF"/>
      <sheetName val="Tickmarks"/>
    </sheetNames>
    <sheetDataSet>
      <sheetData sheetId="0">
        <row r="99">
          <cell r="H99">
            <v>3079809</v>
          </cell>
        </row>
      </sheetData>
      <sheetData sheetId="1" refreshError="1"/>
      <sheetData sheetId="2" refreshError="1"/>
      <sheetData sheetId="3" refreshError="1"/>
      <sheetData sheetId="4"/>
      <sheetData sheetId="5" refreshError="1"/>
      <sheetData sheetId="6" refreshError="1"/>
      <sheetData sheetId="7">
        <row r="6">
          <cell r="E6" t="str">
            <v>!</v>
          </cell>
        </row>
      </sheetData>
      <sheetData sheetId="8"/>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COMPARATIVO MR"/>
      <sheetName val="13000 ATÉ 31DEZ05"/>
      <sheetName val="COMPARATIVO R$original"/>
      <sheetName val="COMPARATIVO R$só outros "/>
      <sheetName val="COMPARATIVO R$só faturas"/>
      <sheetName val="S420100001 e TR"/>
      <sheetName val="119 - SPO"/>
      <sheetName val="139  - AllisonDivision"/>
      <sheetName val="450 - Holden"/>
      <sheetName val="552 5E4 5F8 - EUROP OPEL ESPANH"/>
      <sheetName val="5E5 - PWTStrasbourg "/>
      <sheetName val="5H5 - ISUZU"/>
      <sheetName val="610 - AfricaSul"/>
      <sheetName val="705 - Chile"/>
      <sheetName val="708 - México"/>
      <sheetName val="718 - Colmotores"/>
      <sheetName val="732 - Argentina"/>
      <sheetName val="9F4 - Hungary "/>
      <sheetName val="5F1 - AllisoEurope"/>
      <sheetName val="9B6 - Shanghai"/>
      <sheetName val="Não Aliado - eximtrade"/>
      <sheetName val="S441100002"/>
      <sheetName val="14000 SALDO DEZ2005"/>
      <sheetName val="Aging - S441100002"/>
      <sheetName val="não considera como fatura"/>
      <sheetName val="Lista do que não consta no extr"/>
    </sheetNames>
    <sheetDataSet>
      <sheetData sheetId="0" refreshError="1"/>
      <sheetData sheetId="1" refreshError="1"/>
      <sheetData sheetId="2"/>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 SEPTIEMBRE"/>
      <sheetName val="BG"/>
      <sheetName val="PG"/>
    </sheetNames>
    <sheetDataSet>
      <sheetData sheetId="0" refreshError="1">
        <row r="9">
          <cell r="E9" t="str">
            <v>ACTIVO</v>
          </cell>
          <cell r="F9" t="str">
            <v>ACTIVO</v>
          </cell>
        </row>
        <row r="11">
          <cell r="E11">
            <v>2000000000</v>
          </cell>
          <cell r="F11">
            <v>2000000000</v>
          </cell>
          <cell r="I11" t="str">
            <v>GASTOS DE CONSTITUCION</v>
          </cell>
          <cell r="K11">
            <v>5621.65</v>
          </cell>
          <cell r="M11">
            <v>5621.65</v>
          </cell>
          <cell r="O11">
            <v>0</v>
          </cell>
        </row>
        <row r="12">
          <cell r="E12">
            <v>2000000000</v>
          </cell>
          <cell r="F12" t="str">
            <v>2000000000 Gastos de constitución</v>
          </cell>
          <cell r="K12">
            <v>5621.65</v>
          </cell>
          <cell r="M12">
            <v>5621.65</v>
          </cell>
          <cell r="O12">
            <v>0</v>
          </cell>
          <cell r="R12" t="str">
            <v>*6*</v>
          </cell>
        </row>
        <row r="13">
          <cell r="E13">
            <v>2130000000</v>
          </cell>
          <cell r="F13">
            <v>2130000000</v>
          </cell>
          <cell r="I13" t="str">
            <v>FONDO DE COMERCIO. COSTO</v>
          </cell>
          <cell r="K13">
            <v>3155863.61</v>
          </cell>
          <cell r="M13">
            <v>3155863.61</v>
          </cell>
          <cell r="O13">
            <v>0</v>
          </cell>
        </row>
        <row r="14">
          <cell r="E14">
            <v>2130000000</v>
          </cell>
          <cell r="F14" t="str">
            <v>2130000000 Fondo de comercio</v>
          </cell>
          <cell r="K14">
            <v>3155863.61</v>
          </cell>
          <cell r="M14">
            <v>3155863.61</v>
          </cell>
          <cell r="O14">
            <v>0</v>
          </cell>
          <cell r="R14" t="str">
            <v>*6*</v>
          </cell>
        </row>
        <row r="15">
          <cell r="E15">
            <v>2151000000</v>
          </cell>
          <cell r="F15">
            <v>2151000000</v>
          </cell>
          <cell r="I15" t="str">
            <v>APLICACIONES INFORMATICAS TERMINADAS. C</v>
          </cell>
          <cell r="K15">
            <v>29548.25</v>
          </cell>
          <cell r="M15">
            <v>29548.25</v>
          </cell>
          <cell r="O15">
            <v>0</v>
          </cell>
        </row>
        <row r="16">
          <cell r="E16">
            <v>2151000000</v>
          </cell>
          <cell r="F16" t="str">
            <v>2151000000 Aplicaciones informáticas</v>
          </cell>
          <cell r="K16">
            <v>29548.25</v>
          </cell>
          <cell r="M16">
            <v>29548.25</v>
          </cell>
          <cell r="O16">
            <v>0</v>
          </cell>
          <cell r="R16" t="str">
            <v>*6*</v>
          </cell>
        </row>
        <row r="17">
          <cell r="E17" t="str">
            <v>****COSTO</v>
          </cell>
          <cell r="F17" t="str">
            <v>****COSTO BRUTO INMOV. INMATERIAL</v>
          </cell>
          <cell r="K17">
            <v>3191033.51</v>
          </cell>
          <cell r="M17">
            <v>3191033.51</v>
          </cell>
          <cell r="O17">
            <v>0</v>
          </cell>
          <cell r="R17" t="str">
            <v>*4*</v>
          </cell>
        </row>
        <row r="18">
          <cell r="E18" t="str">
            <v>==========</v>
          </cell>
          <cell r="F18" t="str">
            <v>=============================================</v>
          </cell>
        </row>
        <row r="19">
          <cell r="E19">
            <v>8302281300</v>
          </cell>
          <cell r="F19">
            <v>8302281300</v>
          </cell>
          <cell r="I19" t="str">
            <v>AMORTIZACION ACUMULADA DEL FONDO DE COM</v>
          </cell>
          <cell r="K19">
            <v>-1519043.57</v>
          </cell>
          <cell r="M19">
            <v>-1481480.3</v>
          </cell>
          <cell r="O19">
            <v>-37563.269999999997</v>
          </cell>
          <cell r="Q19">
            <v>-2.5</v>
          </cell>
        </row>
        <row r="20">
          <cell r="E20">
            <v>2813000000</v>
          </cell>
          <cell r="F20" t="str">
            <v>2813000000 Amort. acum. fondo de comercio</v>
          </cell>
          <cell r="K20">
            <v>-1519043.57</v>
          </cell>
          <cell r="M20">
            <v>-1481480.3</v>
          </cell>
          <cell r="O20">
            <v>-37563.269999999997</v>
          </cell>
          <cell r="Q20">
            <v>-2.5</v>
          </cell>
          <cell r="R20" t="str">
            <v>*6*</v>
          </cell>
        </row>
        <row r="21">
          <cell r="E21" t="str">
            <v>****AMORTI</v>
          </cell>
          <cell r="F21" t="str">
            <v>****AMORTIZ. ACUM. INMOV. INMATERIAL</v>
          </cell>
          <cell r="K21">
            <v>-1519043.57</v>
          </cell>
          <cell r="M21">
            <v>-1481480.3</v>
          </cell>
          <cell r="O21">
            <v>-37563.269999999997</v>
          </cell>
          <cell r="Q21">
            <v>-2.5</v>
          </cell>
          <cell r="R21" t="str">
            <v>*4*</v>
          </cell>
        </row>
        <row r="22">
          <cell r="E22" t="str">
            <v>==========</v>
          </cell>
          <cell r="F22" t="str">
            <v>=============================================</v>
          </cell>
        </row>
        <row r="23">
          <cell r="E23" t="str">
            <v>TOTAL INMOVILIZADO INMATERIAL</v>
          </cell>
          <cell r="F23" t="str">
            <v>TOTAL INMOVILIZADO INMATERIAL</v>
          </cell>
          <cell r="K23">
            <v>1671989.94</v>
          </cell>
          <cell r="M23">
            <v>1709553.21</v>
          </cell>
          <cell r="O23">
            <v>-37563.269999999997</v>
          </cell>
          <cell r="Q23">
            <v>-2.2000000000000002</v>
          </cell>
          <cell r="R23" t="str">
            <v>*3*</v>
          </cell>
        </row>
        <row r="24">
          <cell r="E24" t="str">
            <v>==========</v>
          </cell>
          <cell r="F24" t="str">
            <v>=============================================</v>
          </cell>
        </row>
        <row r="26">
          <cell r="E26">
            <v>2200300000</v>
          </cell>
          <cell r="F26">
            <v>2200300000</v>
          </cell>
          <cell r="I26" t="str">
            <v>TERRENOS DE ESTACIONES DE SERVICIO. COS</v>
          </cell>
          <cell r="K26">
            <v>21892.41</v>
          </cell>
          <cell r="M26">
            <v>21892.41</v>
          </cell>
          <cell r="O26">
            <v>0</v>
          </cell>
        </row>
        <row r="27">
          <cell r="E27">
            <v>2200300000</v>
          </cell>
          <cell r="F27" t="str">
            <v>2200300000 Terrenos de estaciones de servicio</v>
          </cell>
          <cell r="K27">
            <v>21892.41</v>
          </cell>
          <cell r="M27">
            <v>21892.41</v>
          </cell>
          <cell r="O27">
            <v>0</v>
          </cell>
          <cell r="R27" t="str">
            <v>*6*</v>
          </cell>
        </row>
        <row r="28">
          <cell r="E28">
            <v>2200390000</v>
          </cell>
          <cell r="F28">
            <v>2200390000</v>
          </cell>
          <cell r="I28" t="str">
            <v>TERRENOS PARA OTRAS INSTALACIONES. COST</v>
          </cell>
          <cell r="K28">
            <v>50000</v>
          </cell>
          <cell r="M28">
            <v>50000</v>
          </cell>
          <cell r="O28">
            <v>0</v>
          </cell>
        </row>
        <row r="29">
          <cell r="E29">
            <v>2200390000</v>
          </cell>
          <cell r="F29" t="str">
            <v>2200390000 Terrenos para otras instalaciones</v>
          </cell>
          <cell r="K29">
            <v>50000</v>
          </cell>
          <cell r="M29">
            <v>50000</v>
          </cell>
          <cell r="O29">
            <v>0</v>
          </cell>
          <cell r="R29" t="str">
            <v>*6*</v>
          </cell>
        </row>
        <row r="30">
          <cell r="K30">
            <v>71892.41</v>
          </cell>
          <cell r="M30">
            <v>71892.41</v>
          </cell>
          <cell r="O30">
            <v>0</v>
          </cell>
          <cell r="R30" t="str">
            <v>*5*</v>
          </cell>
        </row>
        <row r="31">
          <cell r="E31">
            <v>2210200000</v>
          </cell>
          <cell r="F31">
            <v>2210200000</v>
          </cell>
          <cell r="I31" t="str">
            <v>EDIFICIOS EN ESTACIONES DE SERVICIO. CO</v>
          </cell>
          <cell r="K31">
            <v>90948.24</v>
          </cell>
          <cell r="M31">
            <v>90948.24</v>
          </cell>
          <cell r="O31">
            <v>0</v>
          </cell>
        </row>
        <row r="32">
          <cell r="E32">
            <v>2210200000</v>
          </cell>
          <cell r="F32" t="str">
            <v>2210200000 Edificios en estac. de servicio</v>
          </cell>
          <cell r="K32">
            <v>90948.24</v>
          </cell>
          <cell r="M32">
            <v>90948.24</v>
          </cell>
          <cell r="O32">
            <v>0</v>
          </cell>
          <cell r="R32" t="str">
            <v>*6*</v>
          </cell>
        </row>
        <row r="33">
          <cell r="K33">
            <v>90948.24</v>
          </cell>
          <cell r="M33">
            <v>90948.24</v>
          </cell>
          <cell r="O33">
            <v>0</v>
          </cell>
          <cell r="R33" t="str">
            <v>*5*</v>
          </cell>
        </row>
        <row r="34">
          <cell r="E34">
            <v>2220200000</v>
          </cell>
          <cell r="F34">
            <v>2220200000</v>
          </cell>
          <cell r="I34" t="str">
            <v>INSTALACIONES DE CARGADEROS Y DESCARGAD</v>
          </cell>
          <cell r="K34">
            <v>959971.77</v>
          </cell>
          <cell r="M34">
            <v>959971.77</v>
          </cell>
          <cell r="O34">
            <v>0</v>
          </cell>
        </row>
        <row r="35">
          <cell r="E35">
            <v>2220200000</v>
          </cell>
          <cell r="F35" t="str">
            <v>2220200000 Instalac. de cargadero y descarg.</v>
          </cell>
          <cell r="K35">
            <v>959971.77</v>
          </cell>
          <cell r="M35">
            <v>959971.77</v>
          </cell>
          <cell r="O35">
            <v>0</v>
          </cell>
          <cell r="R35" t="str">
            <v>*6*</v>
          </cell>
        </row>
        <row r="36">
          <cell r="E36">
            <v>2220600000</v>
          </cell>
          <cell r="F36">
            <v>2220600000</v>
          </cell>
          <cell r="I36" t="str">
            <v>INSTALACIONES DE ESTACIONES DE SERVICIO</v>
          </cell>
          <cell r="K36">
            <v>4413610.58</v>
          </cell>
          <cell r="M36">
            <v>4413610.58</v>
          </cell>
          <cell r="O36">
            <v>0</v>
          </cell>
        </row>
        <row r="37">
          <cell r="E37">
            <v>2220600000</v>
          </cell>
          <cell r="F37" t="str">
            <v>2220600000 Instalaciones de EE.SS.</v>
          </cell>
          <cell r="K37">
            <v>4413610.58</v>
          </cell>
          <cell r="M37">
            <v>4413610.58</v>
          </cell>
          <cell r="O37">
            <v>0</v>
          </cell>
          <cell r="R37" t="str">
            <v>*6*</v>
          </cell>
        </row>
        <row r="38">
          <cell r="K38">
            <v>5373582.3499999996</v>
          </cell>
          <cell r="M38">
            <v>5373582.3499999996</v>
          </cell>
          <cell r="O38">
            <v>0</v>
          </cell>
          <cell r="R38" t="str">
            <v>*5*</v>
          </cell>
        </row>
        <row r="39">
          <cell r="E39">
            <v>2260000000</v>
          </cell>
          <cell r="F39">
            <v>2260000000</v>
          </cell>
          <cell r="I39" t="str">
            <v>MOBILIARIO</v>
          </cell>
          <cell r="K39">
            <v>20409.04</v>
          </cell>
          <cell r="M39">
            <v>20409.04</v>
          </cell>
          <cell r="O39">
            <v>0</v>
          </cell>
        </row>
        <row r="40">
          <cell r="E40">
            <v>2260000000</v>
          </cell>
          <cell r="F40" t="str">
            <v>2260000000 Mobiliario</v>
          </cell>
          <cell r="K40">
            <v>20409.04</v>
          </cell>
          <cell r="M40">
            <v>20409.04</v>
          </cell>
          <cell r="O40">
            <v>0</v>
          </cell>
          <cell r="R40" t="str">
            <v>*6*</v>
          </cell>
        </row>
        <row r="41">
          <cell r="E41">
            <v>2260100000</v>
          </cell>
          <cell r="F41">
            <v>2260100000</v>
          </cell>
          <cell r="I41" t="str">
            <v>EQUIPOS DE OFICINA. COSTO</v>
          </cell>
          <cell r="K41">
            <v>12771.56</v>
          </cell>
          <cell r="M41">
            <v>12771.56</v>
          </cell>
          <cell r="O41">
            <v>0</v>
          </cell>
        </row>
        <row r="42">
          <cell r="E42">
            <v>2260100000</v>
          </cell>
          <cell r="F42" t="str">
            <v>2260100000 Equipo de oficina</v>
          </cell>
          <cell r="K42">
            <v>12771.56</v>
          </cell>
          <cell r="M42">
            <v>12771.56</v>
          </cell>
          <cell r="O42">
            <v>0</v>
          </cell>
          <cell r="R42" t="str">
            <v>*6*</v>
          </cell>
        </row>
        <row r="43">
          <cell r="E43">
            <v>2260200000</v>
          </cell>
          <cell r="F43">
            <v>2260200000</v>
          </cell>
          <cell r="I43" t="str">
            <v>ENSERES DIVERSOS. COSTO</v>
          </cell>
          <cell r="K43">
            <v>335.11</v>
          </cell>
          <cell r="M43">
            <v>335.11</v>
          </cell>
          <cell r="O43">
            <v>0</v>
          </cell>
        </row>
        <row r="44">
          <cell r="E44">
            <v>2260200000</v>
          </cell>
          <cell r="F44" t="str">
            <v>2260200000 Enseres diversos</v>
          </cell>
          <cell r="K44">
            <v>335.11</v>
          </cell>
          <cell r="M44">
            <v>335.11</v>
          </cell>
          <cell r="O44">
            <v>0</v>
          </cell>
          <cell r="R44" t="str">
            <v>*6*</v>
          </cell>
        </row>
        <row r="45">
          <cell r="K45">
            <v>33515.71</v>
          </cell>
          <cell r="M45">
            <v>33515.71</v>
          </cell>
          <cell r="O45">
            <v>0</v>
          </cell>
          <cell r="R45" t="str">
            <v>*5*</v>
          </cell>
        </row>
        <row r="46">
          <cell r="E46">
            <v>2270000000</v>
          </cell>
          <cell r="F46">
            <v>2270000000</v>
          </cell>
          <cell r="I46" t="str">
            <v>EQUIPOS PARA PROCESO DE DATOS. COSTO</v>
          </cell>
          <cell r="K46">
            <v>17257.53</v>
          </cell>
          <cell r="M46">
            <v>17257.53</v>
          </cell>
          <cell r="O46">
            <v>0</v>
          </cell>
        </row>
        <row r="47">
          <cell r="E47">
            <v>2270000000</v>
          </cell>
          <cell r="F47" t="str">
            <v>2270000000 Equipo para proceso de datos</v>
          </cell>
          <cell r="K47">
            <v>17257.53</v>
          </cell>
          <cell r="M47">
            <v>17257.53</v>
          </cell>
          <cell r="O47">
            <v>0</v>
          </cell>
          <cell r="R47" t="str">
            <v>*6*</v>
          </cell>
        </row>
        <row r="48">
          <cell r="K48">
            <v>17257.53</v>
          </cell>
          <cell r="M48">
            <v>17257.53</v>
          </cell>
          <cell r="O48">
            <v>0</v>
          </cell>
          <cell r="R48" t="str">
            <v>*5*</v>
          </cell>
        </row>
        <row r="49">
          <cell r="E49">
            <v>2280000000</v>
          </cell>
          <cell r="F49">
            <v>2280000000</v>
          </cell>
          <cell r="I49" t="str">
            <v>ELEMENTOS DE TRANSPORTE POR CARRETERA.</v>
          </cell>
          <cell r="K49">
            <v>15859.39</v>
          </cell>
          <cell r="M49">
            <v>15859.39</v>
          </cell>
          <cell r="O49">
            <v>0</v>
          </cell>
        </row>
        <row r="50">
          <cell r="E50">
            <v>2280000000</v>
          </cell>
          <cell r="F50" t="str">
            <v>2280000000 Elementos de transp. por carretera</v>
          </cell>
          <cell r="K50">
            <v>15859.39</v>
          </cell>
          <cell r="M50">
            <v>15859.39</v>
          </cell>
          <cell r="O50">
            <v>0</v>
          </cell>
          <cell r="R50" t="str">
            <v>*6*</v>
          </cell>
        </row>
        <row r="51">
          <cell r="K51">
            <v>15859.39</v>
          </cell>
          <cell r="M51">
            <v>15859.39</v>
          </cell>
          <cell r="O51">
            <v>0</v>
          </cell>
          <cell r="R51" t="str">
            <v>*5*</v>
          </cell>
        </row>
        <row r="52">
          <cell r="E52" t="str">
            <v>****COSTO</v>
          </cell>
          <cell r="F52" t="str">
            <v>****COSTO BRUTO INMOV. MATERIAL</v>
          </cell>
          <cell r="K52">
            <v>5603055.6299999999</v>
          </cell>
          <cell r="M52">
            <v>5603055.6299999999</v>
          </cell>
          <cell r="O52">
            <v>0</v>
          </cell>
          <cell r="R52" t="str">
            <v>*4*</v>
          </cell>
        </row>
        <row r="53">
          <cell r="E53">
            <v>8302282100</v>
          </cell>
          <cell r="F53">
            <v>8302282100</v>
          </cell>
          <cell r="I53" t="str">
            <v>AMORTIZACION ACUMULADA DE EDIFICIOS EN</v>
          </cell>
          <cell r="K53">
            <v>-53341.01</v>
          </cell>
          <cell r="M53">
            <v>-52648.94</v>
          </cell>
          <cell r="O53">
            <v>-692.07</v>
          </cell>
          <cell r="Q53">
            <v>-1.3</v>
          </cell>
        </row>
        <row r="54">
          <cell r="E54">
            <v>2821000000</v>
          </cell>
          <cell r="F54" t="str">
            <v>2821000000 Amort. acum. edificios EE.SS.</v>
          </cell>
          <cell r="K54">
            <v>-53341.01</v>
          </cell>
          <cell r="M54">
            <v>-52648.94</v>
          </cell>
          <cell r="O54">
            <v>-692.07</v>
          </cell>
          <cell r="Q54">
            <v>-1.3</v>
          </cell>
          <cell r="R54" t="str">
            <v>*6*</v>
          </cell>
        </row>
        <row r="55">
          <cell r="E55">
            <v>8302282200</v>
          </cell>
          <cell r="F55">
            <v>8302282200</v>
          </cell>
          <cell r="I55" t="str">
            <v>AMZ. ACUMULADA DE INSTALACIONES DE EE.S</v>
          </cell>
          <cell r="K55">
            <v>-1065013.8799999999</v>
          </cell>
          <cell r="M55">
            <v>-1061639.6499999999</v>
          </cell>
          <cell r="O55">
            <v>-3374.23</v>
          </cell>
          <cell r="Q55">
            <v>-0.3</v>
          </cell>
        </row>
        <row r="56">
          <cell r="E56">
            <v>2822000000</v>
          </cell>
          <cell r="F56" t="str">
            <v>2822000000 Amort. acum. instalac. EE.SS.</v>
          </cell>
          <cell r="K56">
            <v>-1065013.8799999999</v>
          </cell>
          <cell r="M56">
            <v>-1061639.6499999999</v>
          </cell>
          <cell r="O56">
            <v>-3374.23</v>
          </cell>
          <cell r="Q56">
            <v>-0.3</v>
          </cell>
          <cell r="R56" t="str">
            <v>*6*</v>
          </cell>
        </row>
        <row r="57">
          <cell r="E57">
            <v>8302282201</v>
          </cell>
          <cell r="F57">
            <v>8302282201</v>
          </cell>
          <cell r="I57" t="str">
            <v>AMZ. ACUMULADA DE INST. DE ALMACENAMIEN</v>
          </cell>
          <cell r="K57">
            <v>-305905.34000000003</v>
          </cell>
          <cell r="M57">
            <v>-271642.82</v>
          </cell>
          <cell r="O57">
            <v>-34262.519999999997</v>
          </cell>
          <cell r="Q57">
            <v>-12.6</v>
          </cell>
        </row>
        <row r="58">
          <cell r="E58">
            <v>2822010000</v>
          </cell>
          <cell r="F58" t="str">
            <v>2822010000 Amort. acum. instalac. de almac.</v>
          </cell>
          <cell r="K58">
            <v>-305905.34000000003</v>
          </cell>
          <cell r="M58">
            <v>-271642.82</v>
          </cell>
          <cell r="O58">
            <v>-34262.519999999997</v>
          </cell>
          <cell r="Q58">
            <v>-12.6</v>
          </cell>
          <cell r="R58" t="str">
            <v>*6*</v>
          </cell>
        </row>
        <row r="59">
          <cell r="E59">
            <v>8302282800</v>
          </cell>
          <cell r="F59">
            <v>8302282800</v>
          </cell>
          <cell r="I59" t="str">
            <v>AMZ.AC.ELEMENTOS DE TRANSPORTE POR CARR</v>
          </cell>
          <cell r="K59">
            <v>-11073.44</v>
          </cell>
          <cell r="M59">
            <v>-10898.38</v>
          </cell>
          <cell r="O59">
            <v>-175.06</v>
          </cell>
          <cell r="Q59">
            <v>-1.6</v>
          </cell>
        </row>
        <row r="60">
          <cell r="E60">
            <v>2828000000</v>
          </cell>
          <cell r="F60" t="str">
            <v>2828000000 Amz. ac. elem. de transp. x carret</v>
          </cell>
          <cell r="K60">
            <v>-11073.44</v>
          </cell>
          <cell r="M60">
            <v>-10898.38</v>
          </cell>
          <cell r="O60">
            <v>-175.06</v>
          </cell>
          <cell r="Q60">
            <v>-1.6</v>
          </cell>
          <cell r="R60" t="str">
            <v>*6*</v>
          </cell>
        </row>
        <row r="61">
          <cell r="E61" t="str">
            <v>****AMORTI</v>
          </cell>
          <cell r="F61" t="str">
            <v>****AMORTIZAC. ACUM. INMOV. MATERIAL</v>
          </cell>
          <cell r="K61">
            <v>-1435333.67</v>
          </cell>
          <cell r="M61">
            <v>-1396829.79</v>
          </cell>
          <cell r="O61">
            <v>-38503.879999999997</v>
          </cell>
          <cell r="Q61">
            <v>-2.8</v>
          </cell>
          <cell r="R61" t="str">
            <v>*4*</v>
          </cell>
        </row>
        <row r="62">
          <cell r="E62">
            <v>2310000000</v>
          </cell>
          <cell r="F62">
            <v>2310000000</v>
          </cell>
          <cell r="I62" t="str">
            <v>EDIFICIOS Y CONSTRUCCIONES EN CURSO. CO</v>
          </cell>
          <cell r="K62">
            <v>7756</v>
          </cell>
          <cell r="M62">
            <v>7756</v>
          </cell>
          <cell r="O62">
            <v>0</v>
          </cell>
        </row>
        <row r="63">
          <cell r="E63">
            <v>2310000000</v>
          </cell>
          <cell r="F63" t="str">
            <v>2310000000 Edificios y construcciones</v>
          </cell>
          <cell r="K63">
            <v>7756</v>
          </cell>
          <cell r="M63">
            <v>7756</v>
          </cell>
          <cell r="O63">
            <v>0</v>
          </cell>
          <cell r="R63" t="str">
            <v>*6*</v>
          </cell>
        </row>
        <row r="64">
          <cell r="E64" t="str">
            <v>****TOTAL</v>
          </cell>
          <cell r="F64" t="str">
            <v>****TOTAL INMOVILIZADOS EN CURSO</v>
          </cell>
          <cell r="K64">
            <v>7756</v>
          </cell>
          <cell r="M64">
            <v>7756</v>
          </cell>
          <cell r="O64">
            <v>0</v>
          </cell>
          <cell r="R64" t="str">
            <v>*4*</v>
          </cell>
        </row>
        <row r="65">
          <cell r="E65" t="str">
            <v>==========</v>
          </cell>
          <cell r="F65" t="str">
            <v>=============================================</v>
          </cell>
        </row>
        <row r="66">
          <cell r="E66" t="str">
            <v>TOTAL INMOVILIZADO MATERIAL</v>
          </cell>
          <cell r="F66" t="str">
            <v>***TOTAL INMOVILIZADO MATERIAL</v>
          </cell>
          <cell r="K66">
            <v>4175477.96</v>
          </cell>
          <cell r="M66">
            <v>4213981.84</v>
          </cell>
          <cell r="O66">
            <v>-38503.879999999997</v>
          </cell>
          <cell r="Q66">
            <v>-0.9</v>
          </cell>
          <cell r="R66" t="str">
            <v>*3*</v>
          </cell>
        </row>
        <row r="67">
          <cell r="E67" t="str">
            <v>==========</v>
          </cell>
          <cell r="F67" t="str">
            <v>=============================================</v>
          </cell>
        </row>
        <row r="69">
          <cell r="E69" t="str">
            <v>TOTAL INMOVILIZADO</v>
          </cell>
          <cell r="F69" t="str">
            <v>**TOTAL INMOVILIZADO</v>
          </cell>
          <cell r="K69">
            <v>5847467.9000000004</v>
          </cell>
          <cell r="M69">
            <v>5923535.0499999998</v>
          </cell>
          <cell r="O69">
            <v>-76067.149999999994</v>
          </cell>
          <cell r="Q69">
            <v>-1.3</v>
          </cell>
          <cell r="R69" t="str">
            <v>*2*</v>
          </cell>
        </row>
        <row r="70">
          <cell r="E70" t="str">
            <v>==========</v>
          </cell>
          <cell r="F70" t="str">
            <v>=============================================</v>
          </cell>
        </row>
        <row r="72">
          <cell r="E72">
            <v>3030000000</v>
          </cell>
          <cell r="F72">
            <v>3030000000</v>
          </cell>
          <cell r="I72" t="str">
            <v>EXISTENCIAS COMERCIALES DE COMBUSTIBLES</v>
          </cell>
          <cell r="K72">
            <v>19245.5</v>
          </cell>
          <cell r="M72">
            <v>19245.43</v>
          </cell>
          <cell r="O72">
            <v>7.0000000000000007E-2</v>
          </cell>
        </row>
        <row r="73">
          <cell r="E73">
            <v>3030000000</v>
          </cell>
          <cell r="F73" t="str">
            <v>3030000000 Existencias comerc. combustibles</v>
          </cell>
          <cell r="K73">
            <v>19245.5</v>
          </cell>
          <cell r="M73">
            <v>19245.43</v>
          </cell>
          <cell r="O73">
            <v>7.0000000000000007E-2</v>
          </cell>
          <cell r="R73" t="str">
            <v>*6*</v>
          </cell>
        </row>
        <row r="74">
          <cell r="K74">
            <v>19245.5</v>
          </cell>
          <cell r="M74">
            <v>19245.43</v>
          </cell>
          <cell r="O74">
            <v>7.0000000000000007E-2</v>
          </cell>
          <cell r="R74" t="str">
            <v>*5*</v>
          </cell>
        </row>
        <row r="75">
          <cell r="E75" t="str">
            <v>****PRODUC</v>
          </cell>
          <cell r="F75" t="str">
            <v>****PRODUCTOS TEMINADOS Y SUBTERMINADOS</v>
          </cell>
          <cell r="K75">
            <v>19245.5</v>
          </cell>
          <cell r="M75">
            <v>19245.43</v>
          </cell>
          <cell r="O75">
            <v>7.0000000000000007E-2</v>
          </cell>
          <cell r="R75" t="str">
            <v>*4*</v>
          </cell>
        </row>
        <row r="76">
          <cell r="E76" t="str">
            <v>***TOTAL E</v>
          </cell>
          <cell r="F76" t="str">
            <v>***TOTAL EXISTENCIAS</v>
          </cell>
          <cell r="K76">
            <v>19245.5</v>
          </cell>
          <cell r="M76">
            <v>19245.43</v>
          </cell>
          <cell r="O76">
            <v>7.0000000000000007E-2</v>
          </cell>
          <cell r="R76" t="str">
            <v>*3*</v>
          </cell>
        </row>
        <row r="77">
          <cell r="E77" t="str">
            <v>==========</v>
          </cell>
          <cell r="F77" t="str">
            <v>=============================================</v>
          </cell>
        </row>
        <row r="79">
          <cell r="E79">
            <v>4420000000</v>
          </cell>
          <cell r="F79">
            <v>4420000000</v>
          </cell>
          <cell r="I79" t="str">
            <v>DEUDORES, EMPRESAS DEL GRUPO</v>
          </cell>
          <cell r="K79">
            <v>-221.7</v>
          </cell>
          <cell r="M79">
            <v>435.7</v>
          </cell>
          <cell r="O79">
            <v>-657.4</v>
          </cell>
          <cell r="Q79">
            <v>-150.9</v>
          </cell>
        </row>
        <row r="80">
          <cell r="E80">
            <v>4420000000</v>
          </cell>
          <cell r="F80" t="str">
            <v>4420000000 Deudores empresas del grupo</v>
          </cell>
          <cell r="K80">
            <v>-221.7</v>
          </cell>
          <cell r="M80">
            <v>435.7</v>
          </cell>
          <cell r="O80">
            <v>-657.4</v>
          </cell>
          <cell r="Q80">
            <v>-150.9</v>
          </cell>
          <cell r="R80" t="str">
            <v>*6*</v>
          </cell>
        </row>
        <row r="81">
          <cell r="K81">
            <v>-221.7</v>
          </cell>
          <cell r="M81">
            <v>435.7</v>
          </cell>
          <cell r="O81">
            <v>-657.4</v>
          </cell>
          <cell r="Q81">
            <v>-150.9</v>
          </cell>
          <cell r="R81" t="str">
            <v>*5*</v>
          </cell>
        </row>
        <row r="82">
          <cell r="E82" t="str">
            <v>****CTAS.</v>
          </cell>
          <cell r="F82" t="str">
            <v>****CTAS. A COBRAR EMPR. DEL GRUPO</v>
          </cell>
          <cell r="K82">
            <v>-221.7</v>
          </cell>
          <cell r="M82">
            <v>435.7</v>
          </cell>
          <cell r="O82">
            <v>-657.4</v>
          </cell>
          <cell r="Q82">
            <v>-150.9</v>
          </cell>
          <cell r="R82" t="str">
            <v>*4*</v>
          </cell>
        </row>
        <row r="83">
          <cell r="E83">
            <v>4300000000</v>
          </cell>
          <cell r="F83">
            <v>4300000000</v>
          </cell>
          <cell r="I83" t="str">
            <v>CLIENTES</v>
          </cell>
          <cell r="K83">
            <v>2908322.03</v>
          </cell>
          <cell r="M83">
            <v>2904625.47</v>
          </cell>
          <cell r="O83">
            <v>3696.56</v>
          </cell>
          <cell r="Q83">
            <v>0.1</v>
          </cell>
        </row>
        <row r="84">
          <cell r="E84">
            <v>4300000000</v>
          </cell>
          <cell r="F84" t="str">
            <v>4300000000 Clientes</v>
          </cell>
          <cell r="K84">
            <v>2908322.03</v>
          </cell>
          <cell r="M84">
            <v>2904625.47</v>
          </cell>
          <cell r="O84">
            <v>3696.56</v>
          </cell>
          <cell r="Q84">
            <v>0.1</v>
          </cell>
          <cell r="R84" t="str">
            <v>*6*</v>
          </cell>
        </row>
        <row r="85">
          <cell r="K85">
            <v>2908322.03</v>
          </cell>
          <cell r="M85">
            <v>2904625.47</v>
          </cell>
          <cell r="O85">
            <v>3696.56</v>
          </cell>
          <cell r="Q85">
            <v>0.1</v>
          </cell>
          <cell r="R85" t="str">
            <v>*5*</v>
          </cell>
        </row>
        <row r="86">
          <cell r="E86" t="str">
            <v>****CLIENT</v>
          </cell>
          <cell r="F86" t="str">
            <v>****CLIENTES</v>
          </cell>
          <cell r="K86">
            <v>2908322.03</v>
          </cell>
          <cell r="M86">
            <v>2904625.47</v>
          </cell>
          <cell r="O86">
            <v>3696.56</v>
          </cell>
          <cell r="Q86">
            <v>0.1</v>
          </cell>
          <cell r="R86" t="str">
            <v>*4*</v>
          </cell>
        </row>
        <row r="87">
          <cell r="E87">
            <v>4720000000</v>
          </cell>
          <cell r="F87">
            <v>4720000000</v>
          </cell>
          <cell r="I87" t="str">
            <v>HACIENDA PUBLICA, IVA SOPORTADO</v>
          </cell>
          <cell r="K87">
            <v>459551.42</v>
          </cell>
          <cell r="M87">
            <v>435098.9</v>
          </cell>
          <cell r="O87">
            <v>24452.52</v>
          </cell>
          <cell r="Q87">
            <v>5.6</v>
          </cell>
        </row>
        <row r="88">
          <cell r="E88">
            <v>4720000000</v>
          </cell>
          <cell r="F88" t="str">
            <v>4720000000 Hacienda pública IVA soportado</v>
          </cell>
          <cell r="K88">
            <v>459551.42</v>
          </cell>
          <cell r="M88">
            <v>435098.9</v>
          </cell>
          <cell r="O88">
            <v>24452.52</v>
          </cell>
          <cell r="Q88">
            <v>5.6</v>
          </cell>
          <cell r="R88" t="str">
            <v>*6*</v>
          </cell>
        </row>
        <row r="89">
          <cell r="E89">
            <v>4720003001</v>
          </cell>
          <cell r="F89">
            <v>4720003001</v>
          </cell>
          <cell r="I89" t="str">
            <v>IVA PRESUNTIVO RETENIDO</v>
          </cell>
          <cell r="K89">
            <v>-1499.27</v>
          </cell>
          <cell r="M89">
            <v>-1326.37</v>
          </cell>
          <cell r="O89">
            <v>-172.9</v>
          </cell>
          <cell r="Q89">
            <v>-13</v>
          </cell>
        </row>
        <row r="90">
          <cell r="E90">
            <v>4720003001</v>
          </cell>
          <cell r="F90" t="str">
            <v>4720003001 IVA presuntivo retenido</v>
          </cell>
          <cell r="K90">
            <v>-1499.27</v>
          </cell>
          <cell r="M90">
            <v>-1326.37</v>
          </cell>
          <cell r="O90">
            <v>-172.9</v>
          </cell>
          <cell r="Q90">
            <v>-13</v>
          </cell>
          <cell r="R90" t="str">
            <v>*6*</v>
          </cell>
        </row>
        <row r="91">
          <cell r="K91">
            <v>458052.15</v>
          </cell>
          <cell r="M91">
            <v>433772.53</v>
          </cell>
          <cell r="O91">
            <v>24279.62</v>
          </cell>
          <cell r="Q91">
            <v>5.6</v>
          </cell>
          <cell r="R91" t="str">
            <v>*5*</v>
          </cell>
        </row>
        <row r="92">
          <cell r="E92">
            <v>4730099900</v>
          </cell>
          <cell r="F92">
            <v>4730099900</v>
          </cell>
          <cell r="I92" t="str">
            <v>RETENCIONES A CUENTA IMP. RENTA. OTROS</v>
          </cell>
          <cell r="K92">
            <v>432712.23</v>
          </cell>
          <cell r="M92">
            <v>432077.66</v>
          </cell>
          <cell r="O92">
            <v>634.57000000000005</v>
          </cell>
          <cell r="Q92">
            <v>0.1</v>
          </cell>
        </row>
        <row r="93">
          <cell r="E93">
            <v>4730099900</v>
          </cell>
          <cell r="F93" t="str">
            <v>4730099900 Retenc. a cta. renta. Otros</v>
          </cell>
          <cell r="K93">
            <v>432712.23</v>
          </cell>
          <cell r="M93">
            <v>432077.66</v>
          </cell>
          <cell r="O93">
            <v>634.57000000000005</v>
          </cell>
          <cell r="Q93">
            <v>0.1</v>
          </cell>
          <cell r="R93" t="str">
            <v>*6*</v>
          </cell>
        </row>
        <row r="94">
          <cell r="K94">
            <v>432712.23</v>
          </cell>
          <cell r="M94">
            <v>432077.66</v>
          </cell>
          <cell r="O94">
            <v>634.57000000000005</v>
          </cell>
          <cell r="Q94">
            <v>0.1</v>
          </cell>
          <cell r="R94" t="str">
            <v>*5*</v>
          </cell>
        </row>
        <row r="95">
          <cell r="E95" t="str">
            <v>HACIENDA DEUDORA</v>
          </cell>
          <cell r="F95" t="str">
            <v>****HACIENDA DEUDORA</v>
          </cell>
          <cell r="K95">
            <v>890764.38</v>
          </cell>
          <cell r="M95">
            <v>865850.19</v>
          </cell>
          <cell r="O95">
            <v>24914.19</v>
          </cell>
          <cell r="Q95">
            <v>2.9</v>
          </cell>
          <cell r="R95" t="str">
            <v>*4*</v>
          </cell>
        </row>
        <row r="96">
          <cell r="E96">
            <v>4170000000</v>
          </cell>
          <cell r="F96">
            <v>4170000000</v>
          </cell>
          <cell r="I96" t="str">
            <v>ANTICIPOS A ACREEDORES</v>
          </cell>
          <cell r="K96">
            <v>20044.240000000002</v>
          </cell>
          <cell r="M96">
            <v>19875.12</v>
          </cell>
          <cell r="O96">
            <v>169.12</v>
          </cell>
          <cell r="Q96">
            <v>0.9</v>
          </cell>
        </row>
        <row r="97">
          <cell r="E97">
            <v>4170000000</v>
          </cell>
          <cell r="F97" t="str">
            <v>4170000000 Anticipos a acreedores</v>
          </cell>
          <cell r="K97">
            <v>20044.240000000002</v>
          </cell>
          <cell r="M97">
            <v>19875.12</v>
          </cell>
          <cell r="O97">
            <v>169.12</v>
          </cell>
          <cell r="Q97">
            <v>0.9</v>
          </cell>
          <cell r="R97" t="str">
            <v>*6*</v>
          </cell>
        </row>
        <row r="98">
          <cell r="K98">
            <v>20044.240000000002</v>
          </cell>
          <cell r="M98">
            <v>19875.12</v>
          </cell>
          <cell r="O98">
            <v>169.12</v>
          </cell>
          <cell r="Q98">
            <v>0.9</v>
          </cell>
          <cell r="R98" t="str">
            <v>*5*</v>
          </cell>
        </row>
        <row r="99">
          <cell r="E99">
            <v>4400000000</v>
          </cell>
          <cell r="F99">
            <v>4400000000</v>
          </cell>
          <cell r="I99" t="str">
            <v>DEUDORES</v>
          </cell>
          <cell r="K99">
            <v>1657.61</v>
          </cell>
          <cell r="M99">
            <v>1657.61</v>
          </cell>
          <cell r="O99">
            <v>0</v>
          </cell>
        </row>
        <row r="100">
          <cell r="E100">
            <v>4400000000</v>
          </cell>
          <cell r="F100" t="str">
            <v>4400000000 Deudores</v>
          </cell>
          <cell r="K100">
            <v>1657.61</v>
          </cell>
          <cell r="M100">
            <v>1657.61</v>
          </cell>
          <cell r="O100">
            <v>0</v>
          </cell>
          <cell r="R100" t="str">
            <v>*6*</v>
          </cell>
        </row>
        <row r="101">
          <cell r="K101">
            <v>1657.61</v>
          </cell>
          <cell r="M101">
            <v>1657.61</v>
          </cell>
          <cell r="O101">
            <v>0</v>
          </cell>
          <cell r="R101" t="str">
            <v>*5*</v>
          </cell>
        </row>
        <row r="102">
          <cell r="E102" t="str">
            <v>DEUDORES OPERAC. TRAFICO</v>
          </cell>
          <cell r="F102" t="str">
            <v>****DEUDORES OPERAC. TRAFICO</v>
          </cell>
          <cell r="K102">
            <v>21701.85</v>
          </cell>
          <cell r="M102">
            <v>21532.73</v>
          </cell>
          <cell r="O102">
            <v>169.12</v>
          </cell>
          <cell r="Q102">
            <v>0.8</v>
          </cell>
          <cell r="R102" t="str">
            <v>*4*</v>
          </cell>
        </row>
        <row r="103">
          <cell r="E103">
            <v>4800040000</v>
          </cell>
          <cell r="F103">
            <v>4800040000</v>
          </cell>
          <cell r="I103" t="str">
            <v>GASTOS ANTICIPADOS. COMISION DE GARANTI</v>
          </cell>
          <cell r="K103">
            <v>8022.56</v>
          </cell>
          <cell r="M103">
            <v>8948.24</v>
          </cell>
          <cell r="O103">
            <v>-925.68</v>
          </cell>
          <cell r="Q103">
            <v>-10.3</v>
          </cell>
        </row>
        <row r="104">
          <cell r="E104">
            <v>4800040000</v>
          </cell>
          <cell r="F104" t="str">
            <v>4800040000 Gastos Ant. Comision de garantías</v>
          </cell>
          <cell r="K104">
            <v>8022.56</v>
          </cell>
          <cell r="M104">
            <v>8948.24</v>
          </cell>
          <cell r="O104">
            <v>-925.68</v>
          </cell>
          <cell r="Q104">
            <v>-10.3</v>
          </cell>
          <cell r="R104" t="str">
            <v>*6*</v>
          </cell>
        </row>
        <row r="105">
          <cell r="E105">
            <v>4800090000</v>
          </cell>
          <cell r="F105">
            <v>4800090000</v>
          </cell>
          <cell r="I105" t="str">
            <v>OTROS GASTOS ANTICIPADOS</v>
          </cell>
          <cell r="K105">
            <v>7410.14</v>
          </cell>
          <cell r="M105">
            <v>9879.7800000000007</v>
          </cell>
          <cell r="O105">
            <v>-2469.64</v>
          </cell>
          <cell r="Q105">
            <v>-25</v>
          </cell>
        </row>
        <row r="106">
          <cell r="E106">
            <v>4800090000</v>
          </cell>
          <cell r="F106" t="str">
            <v>4800090000 Otros gastos anticipados</v>
          </cell>
          <cell r="K106">
            <v>7410.14</v>
          </cell>
          <cell r="M106">
            <v>9879.7800000000007</v>
          </cell>
          <cell r="O106">
            <v>-2469.64</v>
          </cell>
          <cell r="Q106">
            <v>-25</v>
          </cell>
          <cell r="R106" t="str">
            <v>*6*</v>
          </cell>
        </row>
        <row r="107">
          <cell r="K107">
            <v>15432.7</v>
          </cell>
          <cell r="M107">
            <v>18828.02</v>
          </cell>
          <cell r="O107">
            <v>-3395.32</v>
          </cell>
          <cell r="Q107">
            <v>-18</v>
          </cell>
          <cell r="R107" t="str">
            <v>*5*</v>
          </cell>
        </row>
        <row r="108">
          <cell r="E108" t="str">
            <v>AJUSTES POR PERIODIFICACION</v>
          </cell>
          <cell r="F108" t="str">
            <v>****AJUSTES POR PERIODIFICACION</v>
          </cell>
          <cell r="K108">
            <v>15432.7</v>
          </cell>
          <cell r="M108">
            <v>18828.02</v>
          </cell>
          <cell r="O108">
            <v>-3395.32</v>
          </cell>
          <cell r="Q108">
            <v>-18</v>
          </cell>
          <cell r="R108" t="str">
            <v>*4*</v>
          </cell>
        </row>
        <row r="109">
          <cell r="E109">
            <v>4900000010</v>
          </cell>
          <cell r="F109">
            <v>4900000010</v>
          </cell>
          <cell r="I109" t="str">
            <v>PROVISION PARA INSOLVENCIAS DE TRAFICO</v>
          </cell>
          <cell r="K109">
            <v>-450314.08</v>
          </cell>
          <cell r="M109">
            <v>-435525.08</v>
          </cell>
          <cell r="O109">
            <v>-14789</v>
          </cell>
          <cell r="Q109">
            <v>-3.4</v>
          </cell>
        </row>
        <row r="110">
          <cell r="E110">
            <v>4900000010</v>
          </cell>
          <cell r="F110" t="str">
            <v>4900000010 Prov. para insolv. de traf. client</v>
          </cell>
          <cell r="K110">
            <v>-450314.08</v>
          </cell>
          <cell r="M110">
            <v>-435525.08</v>
          </cell>
          <cell r="O110">
            <v>-14789</v>
          </cell>
          <cell r="Q110">
            <v>-3.4</v>
          </cell>
          <cell r="R110" t="str">
            <v>*5*</v>
          </cell>
        </row>
        <row r="111">
          <cell r="E111" t="str">
            <v>PROVISION POR INSOLVENCIAS</v>
          </cell>
          <cell r="F111" t="str">
            <v>****PROVISION POR INSOLVENCIAS</v>
          </cell>
          <cell r="K111">
            <v>-450314.08</v>
          </cell>
          <cell r="M111">
            <v>-435525.08</v>
          </cell>
          <cell r="O111">
            <v>-14789</v>
          </cell>
          <cell r="Q111">
            <v>-3.4</v>
          </cell>
          <cell r="R111" t="str">
            <v>*4*</v>
          </cell>
        </row>
        <row r="112">
          <cell r="E112" t="str">
            <v>==========</v>
          </cell>
          <cell r="F112" t="str">
            <v>=============================================</v>
          </cell>
        </row>
        <row r="113">
          <cell r="E113" t="str">
            <v>TOTAL DEUDORES</v>
          </cell>
          <cell r="F113" t="str">
            <v>***TOTAL DEUDORES</v>
          </cell>
          <cell r="K113">
            <v>3385685.18</v>
          </cell>
          <cell r="M113">
            <v>3375747.03</v>
          </cell>
          <cell r="O113">
            <v>9938.15</v>
          </cell>
          <cell r="Q113">
            <v>0.3</v>
          </cell>
          <cell r="R113" t="str">
            <v>*3*</v>
          </cell>
        </row>
        <row r="114">
          <cell r="E114" t="str">
            <v>==========</v>
          </cell>
          <cell r="F114" t="str">
            <v>=============================================</v>
          </cell>
        </row>
        <row r="116">
          <cell r="E116">
            <v>5480000010</v>
          </cell>
          <cell r="F116">
            <v>5480000010</v>
          </cell>
          <cell r="I116" t="str">
            <v>DEPOSITOS A CORTO PLAZO</v>
          </cell>
          <cell r="K116">
            <v>0</v>
          </cell>
          <cell r="M116">
            <v>184000</v>
          </cell>
          <cell r="O116">
            <v>-184000</v>
          </cell>
          <cell r="Q116">
            <v>-100</v>
          </cell>
        </row>
        <row r="117">
          <cell r="E117">
            <v>5480000010</v>
          </cell>
          <cell r="F117" t="str">
            <v>5480000010 Depósitos a c.p.</v>
          </cell>
          <cell r="K117">
            <v>0</v>
          </cell>
          <cell r="M117">
            <v>184000</v>
          </cell>
          <cell r="O117">
            <v>-184000</v>
          </cell>
          <cell r="Q117">
            <v>-100</v>
          </cell>
          <cell r="R117" t="str">
            <v>*6*</v>
          </cell>
        </row>
        <row r="118">
          <cell r="E118" t="str">
            <v>TOTAL DEUDORES</v>
          </cell>
          <cell r="F118" t="str">
            <v>****INVERS. FINANCIERAS TEMPORALES</v>
          </cell>
          <cell r="K118">
            <v>0</v>
          </cell>
          <cell r="M118">
            <v>184000</v>
          </cell>
          <cell r="O118">
            <v>-184000</v>
          </cell>
          <cell r="Q118">
            <v>-100</v>
          </cell>
          <cell r="R118" t="str">
            <v>*4*</v>
          </cell>
        </row>
        <row r="119">
          <cell r="E119">
            <v>5730001000</v>
          </cell>
          <cell r="F119">
            <v>5730001000</v>
          </cell>
          <cell r="I119" t="str">
            <v>CITIBANK, CUENTA CORRIENTE, DOLARES (US</v>
          </cell>
          <cell r="K119">
            <v>48303.64</v>
          </cell>
          <cell r="M119">
            <v>0</v>
          </cell>
          <cell r="O119">
            <v>48303.64</v>
          </cell>
        </row>
        <row r="120">
          <cell r="E120">
            <v>5730001000</v>
          </cell>
          <cell r="F120" t="str">
            <v>5730001000 Citibank cta. cte. USD C1</v>
          </cell>
          <cell r="K120">
            <v>48303.64</v>
          </cell>
          <cell r="M120">
            <v>0</v>
          </cell>
          <cell r="O120">
            <v>48303.64</v>
          </cell>
          <cell r="R120" t="str">
            <v>*8*</v>
          </cell>
        </row>
        <row r="121">
          <cell r="E121">
            <v>5731511000</v>
          </cell>
          <cell r="F121">
            <v>5731511000</v>
          </cell>
          <cell r="I121" t="str">
            <v>PACIFICO,CUENTA CORRIENTE, SUCRE ECUATO</v>
          </cell>
          <cell r="K121">
            <v>130470.27</v>
          </cell>
          <cell r="M121">
            <v>424.03</v>
          </cell>
          <cell r="O121">
            <v>130046.24</v>
          </cell>
          <cell r="Q121">
            <v>30669.1</v>
          </cell>
        </row>
        <row r="122">
          <cell r="E122">
            <v>5731511000</v>
          </cell>
          <cell r="F122" t="str">
            <v>5731511000 Bco. Pacífico cta.cte. sucre ec.</v>
          </cell>
          <cell r="K122">
            <v>130470.27</v>
          </cell>
          <cell r="M122">
            <v>424.03</v>
          </cell>
          <cell r="O122">
            <v>130046.24</v>
          </cell>
          <cell r="Q122">
            <v>30669.1</v>
          </cell>
          <cell r="R122" t="str">
            <v>*8*</v>
          </cell>
        </row>
        <row r="123">
          <cell r="E123">
            <v>5730011100</v>
          </cell>
          <cell r="F123">
            <v>5730011100</v>
          </cell>
          <cell r="I123" t="str">
            <v>INTERNACIONAL, CUENTA CORRIENTE, DOLARE</v>
          </cell>
          <cell r="K123">
            <v>491372.01</v>
          </cell>
          <cell r="M123">
            <v>267480.03999999998</v>
          </cell>
          <cell r="O123">
            <v>223891.97</v>
          </cell>
          <cell r="Q123">
            <v>83.7</v>
          </cell>
        </row>
        <row r="124">
          <cell r="E124">
            <v>5730011100</v>
          </cell>
          <cell r="F124" t="str">
            <v>5730011100 Internacional cta.cte. USD</v>
          </cell>
          <cell r="K124">
            <v>491372.01</v>
          </cell>
          <cell r="M124">
            <v>267480.03999999998</v>
          </cell>
          <cell r="O124">
            <v>223891.97</v>
          </cell>
          <cell r="Q124">
            <v>83.7</v>
          </cell>
          <cell r="R124" t="str">
            <v>*7*</v>
          </cell>
        </row>
        <row r="125">
          <cell r="E125">
            <v>5731511100</v>
          </cell>
          <cell r="F125">
            <v>5731511100</v>
          </cell>
          <cell r="I125" t="str">
            <v>INTERNACIONAL, CUENTA CORRIENTE, SUCRE</v>
          </cell>
          <cell r="K125">
            <v>0</v>
          </cell>
          <cell r="M125">
            <v>376.2</v>
          </cell>
          <cell r="O125">
            <v>-376.2</v>
          </cell>
          <cell r="Q125">
            <v>-100</v>
          </cell>
        </row>
        <row r="126">
          <cell r="E126">
            <v>5731511100</v>
          </cell>
          <cell r="F126" t="str">
            <v>5731511100 Internacional cta.cte. Sucre ec.</v>
          </cell>
          <cell r="K126">
            <v>0</v>
          </cell>
          <cell r="M126">
            <v>376.2</v>
          </cell>
          <cell r="O126">
            <v>-376.2</v>
          </cell>
          <cell r="Q126">
            <v>-100</v>
          </cell>
          <cell r="R126" t="str">
            <v>*7*</v>
          </cell>
        </row>
        <row r="127">
          <cell r="E127">
            <v>5730016600</v>
          </cell>
          <cell r="F127">
            <v>5730016600</v>
          </cell>
          <cell r="I127" t="str">
            <v>BANCO GUAYAQUIL, CUENTA CORRIENTE, USD,</v>
          </cell>
          <cell r="K127">
            <v>0</v>
          </cell>
          <cell r="M127">
            <v>21682.07</v>
          </cell>
          <cell r="O127">
            <v>-21682.07</v>
          </cell>
          <cell r="Q127">
            <v>-100</v>
          </cell>
        </row>
        <row r="128">
          <cell r="E128">
            <v>5730016600</v>
          </cell>
          <cell r="F128" t="str">
            <v>5730016600 Banco Guayaquil cta.cte. USD C1</v>
          </cell>
          <cell r="K128">
            <v>0</v>
          </cell>
          <cell r="M128">
            <v>21682.07</v>
          </cell>
          <cell r="O128">
            <v>-21682.07</v>
          </cell>
          <cell r="Q128">
            <v>-100</v>
          </cell>
          <cell r="R128" t="str">
            <v>*7*</v>
          </cell>
        </row>
        <row r="129">
          <cell r="E129" t="str">
            <v>CAJA Y BANCOS</v>
          </cell>
          <cell r="K129">
            <v>670145.92000000004</v>
          </cell>
          <cell r="M129">
            <v>289962.34000000003</v>
          </cell>
          <cell r="O129">
            <v>380183.58</v>
          </cell>
          <cell r="Q129">
            <v>131.1</v>
          </cell>
          <cell r="R129" t="str">
            <v>*4*</v>
          </cell>
        </row>
        <row r="130">
          <cell r="E130" t="str">
            <v>=============================================</v>
          </cell>
        </row>
        <row r="131">
          <cell r="E131" t="str">
            <v>TOTAL CTAS. FINANCIERAS C.P.</v>
          </cell>
          <cell r="K131">
            <v>670145.92000000004</v>
          </cell>
          <cell r="M131">
            <v>473962.34</v>
          </cell>
          <cell r="O131">
            <v>196183.58</v>
          </cell>
          <cell r="Q131">
            <v>41.4</v>
          </cell>
          <cell r="R131" t="str">
            <v>*3*</v>
          </cell>
        </row>
        <row r="132">
          <cell r="E132" t="str">
            <v>=============================================</v>
          </cell>
        </row>
        <row r="134">
          <cell r="E134" t="str">
            <v>TOTAL ACTIVO CIRCULANTE</v>
          </cell>
          <cell r="K134">
            <v>4075076.6</v>
          </cell>
          <cell r="M134">
            <v>3868954.8</v>
          </cell>
          <cell r="O134">
            <v>206121.8</v>
          </cell>
          <cell r="Q134">
            <v>5.3</v>
          </cell>
          <cell r="R134" t="str">
            <v>*2*</v>
          </cell>
        </row>
        <row r="135">
          <cell r="E135" t="str">
            <v>==========</v>
          </cell>
          <cell r="F135" t="str">
            <v>=============================================</v>
          </cell>
        </row>
        <row r="137">
          <cell r="E137" t="str">
            <v>TOTAL ACTIVO</v>
          </cell>
          <cell r="F137" t="str">
            <v>*TOTAL ACTIVO</v>
          </cell>
          <cell r="K137">
            <v>9922544.5</v>
          </cell>
          <cell r="M137">
            <v>9792489.8499999996</v>
          </cell>
          <cell r="O137">
            <v>130054.65</v>
          </cell>
          <cell r="Q137">
            <v>1.3</v>
          </cell>
          <cell r="R137" t="str">
            <v>*1*</v>
          </cell>
        </row>
        <row r="138">
          <cell r="E138" t="str">
            <v>==========</v>
          </cell>
          <cell r="F138" t="str">
            <v>=============================================</v>
          </cell>
        </row>
        <row r="145">
          <cell r="G145" t="str">
            <v>División</v>
          </cell>
          <cell r="H145" t="str">
            <v>****</v>
          </cell>
          <cell r="N145" t="str">
            <v>Imptes en</v>
          </cell>
          <cell r="P145" t="str">
            <v>USD</v>
          </cell>
        </row>
        <row r="147">
          <cell r="E147" t="str">
            <v>Textos....</v>
          </cell>
          <cell r="F147" t="str">
            <v>Textos............................................</v>
          </cell>
          <cell r="J147" t="str">
            <v>..Interv.informe.</v>
          </cell>
          <cell r="L147" t="str">
            <v>..Comp. periodos</v>
          </cell>
          <cell r="O147" t="str">
            <v>absolutos</v>
          </cell>
          <cell r="Q147" t="str">
            <v>Rel</v>
          </cell>
          <cell r="R147" t="str">
            <v xml:space="preserve"> Tot</v>
          </cell>
        </row>
        <row r="148">
          <cell r="E148" t="str">
            <v>..........</v>
          </cell>
          <cell r="F148" t="str">
            <v>..................................................</v>
          </cell>
          <cell r="J148" t="str">
            <v>(01.2004-09.2004)</v>
          </cell>
          <cell r="L148" t="str">
            <v>(01.2004-08.2004)</v>
          </cell>
          <cell r="O148" t="str">
            <v>Desviación</v>
          </cell>
          <cell r="Q148" t="str">
            <v>Dsv</v>
          </cell>
          <cell r="R148" t="str">
            <v>Etapa</v>
          </cell>
        </row>
        <row r="150">
          <cell r="E150" t="str">
            <v>PASIVO</v>
          </cell>
          <cell r="F150" t="str">
            <v>PASIVO</v>
          </cell>
        </row>
        <row r="152">
          <cell r="E152">
            <v>1000000000</v>
          </cell>
          <cell r="F152">
            <v>1000000000</v>
          </cell>
          <cell r="I152" t="str">
            <v>CAPITAL SOCIAL</v>
          </cell>
          <cell r="K152">
            <v>-52043</v>
          </cell>
          <cell r="M152">
            <v>-52043</v>
          </cell>
          <cell r="O152">
            <v>0</v>
          </cell>
        </row>
        <row r="153">
          <cell r="E153">
            <v>8301000000</v>
          </cell>
          <cell r="F153">
            <v>8301000000</v>
          </cell>
          <cell r="I153" t="str">
            <v>AJUSTE DE CAPITAL SOCIAL LOCAL</v>
          </cell>
          <cell r="K153">
            <v>41643</v>
          </cell>
          <cell r="M153">
            <v>41643</v>
          </cell>
          <cell r="O153">
            <v>0</v>
          </cell>
        </row>
        <row r="154">
          <cell r="E154">
            <v>1000000000</v>
          </cell>
          <cell r="F154" t="str">
            <v>1000000000 Capital social</v>
          </cell>
          <cell r="K154">
            <v>-10400</v>
          </cell>
          <cell r="M154">
            <v>-10400</v>
          </cell>
          <cell r="O154">
            <v>0</v>
          </cell>
          <cell r="R154" t="str">
            <v>*4*</v>
          </cell>
        </row>
        <row r="155">
          <cell r="E155">
            <v>1005000000</v>
          </cell>
          <cell r="F155">
            <v>1005000000</v>
          </cell>
          <cell r="I155" t="str">
            <v>APORTACIONES FUTURAS DE CAPITAL</v>
          </cell>
          <cell r="K155">
            <v>-5054350</v>
          </cell>
          <cell r="M155">
            <v>-5054350</v>
          </cell>
          <cell r="O155">
            <v>0</v>
          </cell>
        </row>
        <row r="156">
          <cell r="E156">
            <v>1005000000</v>
          </cell>
          <cell r="F156" t="str">
            <v>1005000000 Aportaciones futuras de capital</v>
          </cell>
          <cell r="K156">
            <v>-5054350</v>
          </cell>
          <cell r="M156">
            <v>-5054350</v>
          </cell>
          <cell r="O156">
            <v>0</v>
          </cell>
          <cell r="R156" t="str">
            <v>*4*</v>
          </cell>
        </row>
        <row r="157">
          <cell r="E157" t="str">
            <v>***CAPITAL</v>
          </cell>
          <cell r="F157" t="str">
            <v>***CAPITAL SOCIAL</v>
          </cell>
          <cell r="K157">
            <v>-5064750</v>
          </cell>
          <cell r="M157">
            <v>-5064750</v>
          </cell>
          <cell r="O157">
            <v>0</v>
          </cell>
          <cell r="R157" t="str">
            <v>*3*</v>
          </cell>
        </row>
        <row r="159">
          <cell r="E159">
            <v>8301110100</v>
          </cell>
          <cell r="F159">
            <v>8301110100</v>
          </cell>
          <cell r="I159" t="str">
            <v>AJUSTE A LA REEXPRESION MONETARIA LOCAL</v>
          </cell>
          <cell r="K159">
            <v>-76330</v>
          </cell>
          <cell r="M159">
            <v>-76330</v>
          </cell>
          <cell r="O159">
            <v>0</v>
          </cell>
        </row>
        <row r="160">
          <cell r="E160">
            <v>1110100000</v>
          </cell>
          <cell r="F160" t="str">
            <v>1110100000 Reexpresión monetaria</v>
          </cell>
          <cell r="K160">
            <v>-76330</v>
          </cell>
          <cell r="M160">
            <v>-76330</v>
          </cell>
          <cell r="O160">
            <v>0</v>
          </cell>
          <cell r="R160" t="str">
            <v>*5*</v>
          </cell>
        </row>
        <row r="161">
          <cell r="E161">
            <v>8301110200</v>
          </cell>
          <cell r="F161">
            <v>8301110200</v>
          </cell>
          <cell r="I161" t="str">
            <v>AJUSTE A RESERVA POR REVALORIZACION DEL</v>
          </cell>
          <cell r="K161">
            <v>-211577</v>
          </cell>
          <cell r="M161">
            <v>-211577</v>
          </cell>
          <cell r="O161">
            <v>0</v>
          </cell>
        </row>
        <row r="162">
          <cell r="E162">
            <v>1110200000</v>
          </cell>
          <cell r="F162" t="str">
            <v>1110200000 Reserva por revalorizac. del patr.</v>
          </cell>
          <cell r="K162">
            <v>-211577</v>
          </cell>
          <cell r="M162">
            <v>-211577</v>
          </cell>
          <cell r="O162">
            <v>0</v>
          </cell>
          <cell r="R162" t="str">
            <v>*5*</v>
          </cell>
        </row>
        <row r="163">
          <cell r="E163">
            <v>1200000000</v>
          </cell>
          <cell r="F163">
            <v>1200000000</v>
          </cell>
          <cell r="I163" t="str">
            <v>UTILIDADES DE EJERCICIOS ANTERIORES</v>
          </cell>
          <cell r="K163">
            <v>15278.88</v>
          </cell>
          <cell r="M163">
            <v>15278.88</v>
          </cell>
          <cell r="O163">
            <v>0</v>
          </cell>
        </row>
        <row r="164">
          <cell r="E164">
            <v>8301200000</v>
          </cell>
          <cell r="F164">
            <v>8301200000</v>
          </cell>
          <cell r="I164" t="str">
            <v>AJUSTE A LAS UTILIDADES DE EJERCICIOS A</v>
          </cell>
          <cell r="K164">
            <v>-103192.63</v>
          </cell>
          <cell r="M164">
            <v>-103192.63</v>
          </cell>
          <cell r="O164">
            <v>0</v>
          </cell>
        </row>
        <row r="165">
          <cell r="E165">
            <v>1200000000</v>
          </cell>
          <cell r="F165" t="str">
            <v>1200000000 Utilidades ejercicios anteriores</v>
          </cell>
          <cell r="K165">
            <v>-87913.75</v>
          </cell>
          <cell r="M165">
            <v>-87913.75</v>
          </cell>
          <cell r="O165">
            <v>0</v>
          </cell>
          <cell r="R165" t="str">
            <v>*5*</v>
          </cell>
        </row>
        <row r="166">
          <cell r="E166">
            <v>1290000000</v>
          </cell>
          <cell r="F166">
            <v>1290000000</v>
          </cell>
          <cell r="I166" t="str">
            <v>PERDIDAS Y GANANCIAS DEL EJERCICIO</v>
          </cell>
          <cell r="K166">
            <v>4881126.0999999996</v>
          </cell>
          <cell r="M166">
            <v>4881126.0999999996</v>
          </cell>
          <cell r="O166">
            <v>0</v>
          </cell>
        </row>
        <row r="167">
          <cell r="E167">
            <v>8812900000</v>
          </cell>
          <cell r="F167">
            <v>8812900000</v>
          </cell>
          <cell r="I167" t="str">
            <v>PERDIDAS Y GANANCIAS - MATERIALES</v>
          </cell>
          <cell r="K167">
            <v>384767.85</v>
          </cell>
          <cell r="M167">
            <v>384767.85</v>
          </cell>
          <cell r="O167">
            <v>0</v>
          </cell>
        </row>
        <row r="168">
          <cell r="E168">
            <v>1290000000</v>
          </cell>
          <cell r="F168" t="str">
            <v>1290000000 Perdidas y ganancias del ejercicio</v>
          </cell>
          <cell r="K168">
            <v>5265893.95</v>
          </cell>
          <cell r="M168">
            <v>5265893.95</v>
          </cell>
          <cell r="O168">
            <v>0</v>
          </cell>
          <cell r="R168" t="str">
            <v>*5*</v>
          </cell>
        </row>
        <row r="169">
          <cell r="E169" t="str">
            <v>***RESERVA</v>
          </cell>
          <cell r="F169" t="str">
            <v>***RESERVAS</v>
          </cell>
          <cell r="K169">
            <v>4890073.2</v>
          </cell>
          <cell r="M169">
            <v>4890073.2</v>
          </cell>
          <cell r="O169">
            <v>0</v>
          </cell>
          <cell r="R169" t="str">
            <v>*3*</v>
          </cell>
        </row>
        <row r="171">
          <cell r="E171" t="str">
            <v>Pérdidas y ganancias</v>
          </cell>
          <cell r="F171" t="str">
            <v>Pérdidas y ganancias</v>
          </cell>
          <cell r="K171">
            <v>193058.85</v>
          </cell>
          <cell r="M171">
            <v>140700.1</v>
          </cell>
          <cell r="O171">
            <v>52358.75</v>
          </cell>
          <cell r="Q171">
            <v>37.200000000000003</v>
          </cell>
          <cell r="R171" t="str">
            <v>*4*</v>
          </cell>
        </row>
        <row r="173">
          <cell r="E173" t="str">
            <v>***RESULTA</v>
          </cell>
          <cell r="F173" t="str">
            <v>***RESULTADO NETO DEL PERIODO</v>
          </cell>
          <cell r="K173">
            <v>193058.85</v>
          </cell>
          <cell r="M173">
            <v>140700.1</v>
          </cell>
          <cell r="O173">
            <v>52358.75</v>
          </cell>
          <cell r="Q173">
            <v>37.200000000000003</v>
          </cell>
          <cell r="R173" t="str">
            <v>*3*</v>
          </cell>
        </row>
        <row r="175">
          <cell r="E175" t="str">
            <v>**TOTAL PA</v>
          </cell>
          <cell r="F175" t="str">
            <v>**TOTAL PATRIMONIO NETO</v>
          </cell>
          <cell r="K175">
            <v>18382.05</v>
          </cell>
          <cell r="M175">
            <v>-33976.699999999997</v>
          </cell>
          <cell r="O175">
            <v>52358.75</v>
          </cell>
          <cell r="Q175">
            <v>154.1</v>
          </cell>
          <cell r="R175" t="str">
            <v>*2*</v>
          </cell>
        </row>
        <row r="176">
          <cell r="E176" t="str">
            <v>==========</v>
          </cell>
          <cell r="F176" t="str">
            <v>=============================================</v>
          </cell>
        </row>
        <row r="178">
          <cell r="E178">
            <v>4120000000</v>
          </cell>
          <cell r="F178">
            <v>4120000000</v>
          </cell>
          <cell r="I178" t="str">
            <v>ACREEDORES, EMPRESAS DEL GRUPO</v>
          </cell>
          <cell r="K178">
            <v>-8735328.2899999991</v>
          </cell>
          <cell r="M178">
            <v>-8618680.6400000006</v>
          </cell>
          <cell r="O178">
            <v>-116647.65</v>
          </cell>
          <cell r="Q178">
            <v>-1.4</v>
          </cell>
        </row>
        <row r="179">
          <cell r="E179">
            <v>4120000000</v>
          </cell>
          <cell r="F179" t="str">
            <v>4120000000 Acreedores, empresas del grupo</v>
          </cell>
          <cell r="K179">
            <v>-8735328.2899999991</v>
          </cell>
          <cell r="M179">
            <v>-8618680.6400000006</v>
          </cell>
          <cell r="O179">
            <v>-116647.65</v>
          </cell>
          <cell r="Q179">
            <v>-1.4</v>
          </cell>
          <cell r="R179" t="str">
            <v>*5*</v>
          </cell>
        </row>
        <row r="180">
          <cell r="E180">
            <v>4129000000</v>
          </cell>
          <cell r="F180">
            <v>4129000000</v>
          </cell>
          <cell r="I180" t="str">
            <v>ACREEDORES EMPRESAS DEL GRUPO, FACT. PE</v>
          </cell>
          <cell r="K180">
            <v>-548606.43000000005</v>
          </cell>
          <cell r="M180">
            <v>-548606.43000000005</v>
          </cell>
          <cell r="O180">
            <v>0</v>
          </cell>
        </row>
        <row r="181">
          <cell r="E181">
            <v>4129000000</v>
          </cell>
          <cell r="F181" t="str">
            <v>4129000000 Acreedores E.G. fact. pend. recibi</v>
          </cell>
          <cell r="K181">
            <v>-548606.43000000005</v>
          </cell>
          <cell r="M181">
            <v>-548606.43000000005</v>
          </cell>
          <cell r="O181">
            <v>0</v>
          </cell>
          <cell r="R181" t="str">
            <v>*5*</v>
          </cell>
        </row>
        <row r="182">
          <cell r="E182" t="str">
            <v>CTAS. A PAGAR EMPRESAS DEL GRUPO</v>
          </cell>
          <cell r="F182" t="str">
            <v>***CTAS. A PAGAR EMPRESAS DEL GRUPO</v>
          </cell>
          <cell r="K182">
            <v>-9283934.7200000007</v>
          </cell>
          <cell r="M182">
            <v>-9167287.0700000003</v>
          </cell>
          <cell r="O182">
            <v>-116647.65</v>
          </cell>
          <cell r="Q182">
            <v>-1.3</v>
          </cell>
          <cell r="R182" t="str">
            <v>*3*</v>
          </cell>
        </row>
        <row r="184">
          <cell r="E184">
            <v>4000000000</v>
          </cell>
          <cell r="F184">
            <v>4000000000</v>
          </cell>
          <cell r="I184" t="str">
            <v>PROVEEDORES</v>
          </cell>
          <cell r="K184">
            <v>-889082.91</v>
          </cell>
          <cell r="M184">
            <v>-525406.93000000005</v>
          </cell>
          <cell r="O184">
            <v>-363675.98</v>
          </cell>
          <cell r="Q184">
            <v>-69.2</v>
          </cell>
        </row>
        <row r="185">
          <cell r="E185">
            <v>4000000000</v>
          </cell>
          <cell r="F185" t="str">
            <v>4000000000 Proveedores</v>
          </cell>
          <cell r="K185">
            <v>-889082.91</v>
          </cell>
          <cell r="M185">
            <v>-525406.93000000005</v>
          </cell>
          <cell r="O185">
            <v>-363675.98</v>
          </cell>
          <cell r="Q185">
            <v>-69.2</v>
          </cell>
          <cell r="R185" t="str">
            <v>*5*</v>
          </cell>
        </row>
        <row r="186">
          <cell r="E186">
            <v>4009000000</v>
          </cell>
          <cell r="F186">
            <v>4009000000</v>
          </cell>
          <cell r="I186" t="str">
            <v>PROVEEDORES, FPRF</v>
          </cell>
          <cell r="K186">
            <v>-871.18</v>
          </cell>
          <cell r="M186">
            <v>-283027.26</v>
          </cell>
          <cell r="O186">
            <v>282156.08</v>
          </cell>
          <cell r="Q186">
            <v>99.7</v>
          </cell>
        </row>
        <row r="187">
          <cell r="E187">
            <v>4009000000</v>
          </cell>
          <cell r="F187" t="str">
            <v>4009000000 Proveedores FPRF</v>
          </cell>
          <cell r="K187">
            <v>-871.18</v>
          </cell>
          <cell r="M187">
            <v>-283027.26</v>
          </cell>
          <cell r="O187">
            <v>282156.08</v>
          </cell>
          <cell r="Q187">
            <v>99.7</v>
          </cell>
          <cell r="R187" t="str">
            <v>*5*</v>
          </cell>
        </row>
        <row r="188">
          <cell r="E188">
            <v>4009000032</v>
          </cell>
          <cell r="F188">
            <v>4009000032</v>
          </cell>
          <cell r="I188" t="str">
            <v>PROVEEDORES, FPRF - MM</v>
          </cell>
          <cell r="K188">
            <v>-6144.6</v>
          </cell>
          <cell r="M188">
            <v>-4447.3999999999996</v>
          </cell>
          <cell r="O188">
            <v>-1697.2</v>
          </cell>
          <cell r="Q188">
            <v>-38.200000000000003</v>
          </cell>
        </row>
        <row r="189">
          <cell r="E189">
            <v>4009000032</v>
          </cell>
          <cell r="F189" t="str">
            <v>4009000032 Proveedores FPRF MM</v>
          </cell>
          <cell r="K189">
            <v>-6144.6</v>
          </cell>
          <cell r="M189">
            <v>-4447.3999999999996</v>
          </cell>
          <cell r="O189">
            <v>-1697.2</v>
          </cell>
          <cell r="Q189">
            <v>-38.200000000000003</v>
          </cell>
          <cell r="R189" t="str">
            <v>*5*</v>
          </cell>
        </row>
        <row r="190">
          <cell r="E190" t="str">
            <v>PROVEEDORES</v>
          </cell>
          <cell r="F190" t="str">
            <v>***PROVEEDORES</v>
          </cell>
          <cell r="K190">
            <v>-896098.69</v>
          </cell>
          <cell r="M190">
            <v>-812881.59</v>
          </cell>
          <cell r="O190">
            <v>-83217.100000000006</v>
          </cell>
          <cell r="Q190">
            <v>-10.199999999999999</v>
          </cell>
          <cell r="R190" t="str">
            <v>*3*</v>
          </cell>
        </row>
        <row r="192">
          <cell r="E192">
            <v>4770000000</v>
          </cell>
          <cell r="F192">
            <v>4770000000</v>
          </cell>
          <cell r="I192" t="str">
            <v>HACIENDA PUBLICA, IVA REPERCUTIDO</v>
          </cell>
          <cell r="K192">
            <v>51801.74</v>
          </cell>
          <cell r="M192">
            <v>49703.79</v>
          </cell>
          <cell r="O192">
            <v>2097.9499999999998</v>
          </cell>
          <cell r="Q192">
            <v>4.2</v>
          </cell>
        </row>
        <row r="193">
          <cell r="E193">
            <v>4770000000</v>
          </cell>
          <cell r="F193" t="str">
            <v>4770000000 IVA débito fiscal</v>
          </cell>
          <cell r="K193">
            <v>51801.74</v>
          </cell>
          <cell r="M193">
            <v>49703.79</v>
          </cell>
          <cell r="O193">
            <v>2097.9499999999998</v>
          </cell>
          <cell r="Q193">
            <v>4.2</v>
          </cell>
          <cell r="R193" t="str">
            <v>*5*</v>
          </cell>
        </row>
        <row r="194">
          <cell r="E194">
            <v>4770003010</v>
          </cell>
          <cell r="F194">
            <v>4770003010</v>
          </cell>
          <cell r="I194" t="str">
            <v>RETENCION DEL IVA 100%</v>
          </cell>
          <cell r="K194">
            <v>-319.68</v>
          </cell>
          <cell r="M194">
            <v>-300</v>
          </cell>
          <cell r="O194">
            <v>-19.68</v>
          </cell>
          <cell r="Q194">
            <v>-6.6</v>
          </cell>
        </row>
        <row r="195">
          <cell r="E195">
            <v>4770003010</v>
          </cell>
          <cell r="F195" t="str">
            <v>4770003010 Retención del IVA 100%</v>
          </cell>
          <cell r="K195">
            <v>-319.68</v>
          </cell>
          <cell r="M195">
            <v>-300</v>
          </cell>
          <cell r="O195">
            <v>-19.68</v>
          </cell>
          <cell r="Q195">
            <v>-6.6</v>
          </cell>
          <cell r="R195" t="str">
            <v>*5*</v>
          </cell>
        </row>
        <row r="196">
          <cell r="F196">
            <v>4770003030</v>
          </cell>
          <cell r="I196" t="str">
            <v>RETENCION DEL IVA 30%</v>
          </cell>
          <cell r="K196">
            <v>-122.31</v>
          </cell>
          <cell r="M196">
            <v>-122.31</v>
          </cell>
          <cell r="O196">
            <v>0</v>
          </cell>
        </row>
        <row r="197">
          <cell r="F197">
            <v>4770003030</v>
          </cell>
          <cell r="I197" t="str">
            <v>RETENCION DEL IVA 30%</v>
          </cell>
          <cell r="K197">
            <v>122.31</v>
          </cell>
          <cell r="M197">
            <v>122.31</v>
          </cell>
          <cell r="O197">
            <v>0</v>
          </cell>
        </row>
        <row r="198">
          <cell r="E198">
            <v>4770003030</v>
          </cell>
          <cell r="F198" t="str">
            <v>4770003030 Retención del IVA 30%</v>
          </cell>
          <cell r="K198">
            <v>0</v>
          </cell>
          <cell r="M198">
            <v>0</v>
          </cell>
          <cell r="O198">
            <v>0</v>
          </cell>
          <cell r="R198" t="str">
            <v>*5*</v>
          </cell>
        </row>
        <row r="199">
          <cell r="I199" t="str">
            <v>RETENCION DEL IVA 70%</v>
          </cell>
          <cell r="K199">
            <v>-2632.88</v>
          </cell>
          <cell r="M199">
            <v>-2460.04</v>
          </cell>
          <cell r="O199">
            <v>-172.84</v>
          </cell>
          <cell r="Q199">
            <v>-7</v>
          </cell>
        </row>
        <row r="200">
          <cell r="I200" t="str">
            <v>RETENCION DEL IVA 70%</v>
          </cell>
          <cell r="K200">
            <v>2403.62</v>
          </cell>
          <cell r="M200">
            <v>2403.62</v>
          </cell>
          <cell r="O200">
            <v>0</v>
          </cell>
        </row>
        <row r="201">
          <cell r="E201">
            <v>4770003070</v>
          </cell>
          <cell r="F201">
            <v>4770003070</v>
          </cell>
          <cell r="K201">
            <v>-229.26</v>
          </cell>
          <cell r="M201">
            <v>-56.42</v>
          </cell>
          <cell r="O201">
            <v>-172.84</v>
          </cell>
          <cell r="Q201">
            <v>-306.3</v>
          </cell>
          <cell r="R201" t="str">
            <v>*5*</v>
          </cell>
        </row>
        <row r="202">
          <cell r="E202">
            <v>4752000000</v>
          </cell>
          <cell r="F202">
            <v>4752000000</v>
          </cell>
          <cell r="I202" t="str">
            <v>HACIENDA PUBLICA, ACREEDOR POR IMPUESTO</v>
          </cell>
          <cell r="K202">
            <v>-39.770000000000003</v>
          </cell>
          <cell r="M202">
            <v>-23.62</v>
          </cell>
          <cell r="O202">
            <v>-16.149999999999999</v>
          </cell>
          <cell r="Q202">
            <v>-68.400000000000006</v>
          </cell>
        </row>
        <row r="203">
          <cell r="E203">
            <v>4752000000</v>
          </cell>
          <cell r="F203" t="str">
            <v>4752000000 Fis. prov. imp. a las ganancias</v>
          </cell>
          <cell r="K203">
            <v>-39.770000000000003</v>
          </cell>
          <cell r="M203">
            <v>-23.62</v>
          </cell>
          <cell r="O203">
            <v>-16.149999999999999</v>
          </cell>
          <cell r="Q203">
            <v>-68.400000000000006</v>
          </cell>
          <cell r="R203" t="str">
            <v>*5*</v>
          </cell>
        </row>
        <row r="204">
          <cell r="E204">
            <v>4760000000</v>
          </cell>
          <cell r="F204">
            <v>4760000000</v>
          </cell>
          <cell r="I204" t="str">
            <v>SEGURIDAD SOCIAL ACREEDORA POR APORTES</v>
          </cell>
          <cell r="K204">
            <v>-295.85000000000002</v>
          </cell>
          <cell r="M204">
            <v>-229.43</v>
          </cell>
          <cell r="O204">
            <v>-66.42</v>
          </cell>
          <cell r="Q204">
            <v>-29</v>
          </cell>
        </row>
        <row r="205">
          <cell r="E205">
            <v>4760000000</v>
          </cell>
          <cell r="F205" t="str">
            <v>4760000000 SUSS a pagar</v>
          </cell>
          <cell r="K205">
            <v>-295.85000000000002</v>
          </cell>
          <cell r="M205">
            <v>-229.43</v>
          </cell>
          <cell r="O205">
            <v>-66.42</v>
          </cell>
          <cell r="Q205">
            <v>-29</v>
          </cell>
          <cell r="R205" t="str">
            <v>*5*</v>
          </cell>
        </row>
        <row r="206">
          <cell r="E206">
            <v>4760000700</v>
          </cell>
          <cell r="F206">
            <v>4760000700</v>
          </cell>
          <cell r="I206" t="str">
            <v>SEGURIDAD SOCIAL ACREEDORA POR FONDO DE</v>
          </cell>
          <cell r="K206">
            <v>-261.85000000000002</v>
          </cell>
          <cell r="M206">
            <v>-869.38</v>
          </cell>
          <cell r="O206">
            <v>607.53</v>
          </cell>
          <cell r="Q206">
            <v>69.900000000000006</v>
          </cell>
        </row>
        <row r="207">
          <cell r="E207">
            <v>4760000700</v>
          </cell>
          <cell r="F207" t="str">
            <v>4760000700 SUSS acreedora fondo de reserva</v>
          </cell>
          <cell r="K207">
            <v>-261.85000000000002</v>
          </cell>
          <cell r="M207">
            <v>-869.38</v>
          </cell>
          <cell r="O207">
            <v>607.53</v>
          </cell>
          <cell r="Q207">
            <v>69.900000000000006</v>
          </cell>
          <cell r="R207" t="str">
            <v>*5*</v>
          </cell>
        </row>
        <row r="208">
          <cell r="E208">
            <v>4760000800</v>
          </cell>
          <cell r="F208">
            <v>4760000800</v>
          </cell>
          <cell r="I208" t="str">
            <v>SEGURIDAD SOCIAL ACREEDORA POR PRESTAMO</v>
          </cell>
          <cell r="K208">
            <v>117.96</v>
          </cell>
          <cell r="M208">
            <v>117.96</v>
          </cell>
          <cell r="O208">
            <v>0</v>
          </cell>
        </row>
        <row r="209">
          <cell r="E209">
            <v>4760000800</v>
          </cell>
          <cell r="F209" t="str">
            <v>4760000800 SUSS acreedora prest. a empleados</v>
          </cell>
          <cell r="K209">
            <v>117.96</v>
          </cell>
          <cell r="M209">
            <v>117.96</v>
          </cell>
          <cell r="O209">
            <v>0</v>
          </cell>
          <cell r="R209" t="str">
            <v>*5*</v>
          </cell>
        </row>
        <row r="210">
          <cell r="E210">
            <v>4751501300</v>
          </cell>
          <cell r="F210">
            <v>4751501300</v>
          </cell>
          <cell r="I210" t="str">
            <v>RETENCIONES PAGOS HONORARIOS A NOTARIOS</v>
          </cell>
          <cell r="K210">
            <v>-56.8</v>
          </cell>
          <cell r="M210">
            <v>0</v>
          </cell>
          <cell r="O210">
            <v>-56.8</v>
          </cell>
        </row>
        <row r="211">
          <cell r="E211">
            <v>4751501300</v>
          </cell>
          <cell r="F211" t="str">
            <v>4751501300 Retenc. pagos honor. a notarios 8%</v>
          </cell>
          <cell r="K211">
            <v>-56.8</v>
          </cell>
          <cell r="M211">
            <v>0</v>
          </cell>
          <cell r="O211">
            <v>-56.8</v>
          </cell>
          <cell r="R211" t="str">
            <v>*5*</v>
          </cell>
        </row>
        <row r="212">
          <cell r="E212">
            <v>4751500300</v>
          </cell>
          <cell r="F212">
            <v>4751500300</v>
          </cell>
          <cell r="I212" t="str">
            <v>RETENCIONES EN PAGOS POR SEGUROS Y REAS</v>
          </cell>
          <cell r="K212">
            <v>-0.02</v>
          </cell>
          <cell r="M212">
            <v>-0.06</v>
          </cell>
          <cell r="O212">
            <v>0.04</v>
          </cell>
          <cell r="Q212">
            <v>66.7</v>
          </cell>
        </row>
        <row r="213">
          <cell r="E213">
            <v>4751500300</v>
          </cell>
          <cell r="F213" t="str">
            <v>4751500300 Retenc. pagos seguros y reaseguros</v>
          </cell>
          <cell r="K213">
            <v>-0.02</v>
          </cell>
          <cell r="M213">
            <v>-0.06</v>
          </cell>
          <cell r="O213">
            <v>0.04</v>
          </cell>
          <cell r="Q213">
            <v>66.7</v>
          </cell>
          <cell r="R213" t="str">
            <v>*6*</v>
          </cell>
        </row>
        <row r="214">
          <cell r="F214">
            <v>4751400300</v>
          </cell>
          <cell r="I214" t="str">
            <v>HP, ACREEDOR POR RET. VENTA COMB. A DIS</v>
          </cell>
          <cell r="K214">
            <v>-1986.1</v>
          </cell>
          <cell r="M214">
            <v>-2067.84</v>
          </cell>
          <cell r="O214">
            <v>81.739999999999995</v>
          </cell>
          <cell r="Q214">
            <v>4</v>
          </cell>
        </row>
        <row r="215">
          <cell r="F215">
            <v>4751400300</v>
          </cell>
          <cell r="I215" t="str">
            <v>HP, ACREEDOR POR RET. VENTA COMB. A DIS</v>
          </cell>
          <cell r="K215">
            <v>1176.8900000000001</v>
          </cell>
          <cell r="M215">
            <v>1176.8900000000001</v>
          </cell>
          <cell r="O215">
            <v>0</v>
          </cell>
        </row>
        <row r="216">
          <cell r="E216">
            <v>4751400300</v>
          </cell>
          <cell r="F216" t="str">
            <v>4751400300 HP Acreedor x ret vta. comb. a dis</v>
          </cell>
          <cell r="K216">
            <v>-809.21</v>
          </cell>
          <cell r="M216">
            <v>-890.95</v>
          </cell>
          <cell r="O216">
            <v>81.739999999999995</v>
          </cell>
          <cell r="Q216">
            <v>9.1999999999999993</v>
          </cell>
          <cell r="R216" t="str">
            <v>*6*</v>
          </cell>
        </row>
        <row r="217">
          <cell r="E217">
            <v>4751400400</v>
          </cell>
          <cell r="F217">
            <v>4751400400</v>
          </cell>
          <cell r="I217" t="str">
            <v>HP, ACREEDOR POR RET. VENTA DE COMERCIA</v>
          </cell>
          <cell r="K217">
            <v>207075.33</v>
          </cell>
          <cell r="M217">
            <v>200068.36</v>
          </cell>
          <cell r="O217">
            <v>7006.97</v>
          </cell>
          <cell r="Q217">
            <v>3.5</v>
          </cell>
        </row>
        <row r="218">
          <cell r="E218">
            <v>4751400400</v>
          </cell>
          <cell r="F218" t="str">
            <v>4751400400 HP Acreedor x ret vta. de comercia</v>
          </cell>
          <cell r="K218">
            <v>207075.33</v>
          </cell>
          <cell r="M218">
            <v>200068.36</v>
          </cell>
          <cell r="O218">
            <v>7006.97</v>
          </cell>
          <cell r="Q218">
            <v>3.5</v>
          </cell>
          <cell r="R218" t="str">
            <v>*6*</v>
          </cell>
        </row>
        <row r="219">
          <cell r="F219">
            <v>4751500800</v>
          </cell>
          <cell r="I219" t="str">
            <v>RETENCIONES EN OTROS PAGOS A PERSONAS N</v>
          </cell>
          <cell r="K219">
            <v>-199.37</v>
          </cell>
          <cell r="M219">
            <v>-198.73</v>
          </cell>
          <cell r="O219">
            <v>-0.64</v>
          </cell>
          <cell r="Q219">
            <v>-0.3</v>
          </cell>
        </row>
        <row r="220">
          <cell r="F220">
            <v>4751500800</v>
          </cell>
          <cell r="I220" t="str">
            <v>RETENCIONES EN OTROS PAGOS A PERSONAS N</v>
          </cell>
          <cell r="K220">
            <v>198.73</v>
          </cell>
          <cell r="M220">
            <v>198.73</v>
          </cell>
          <cell r="O220">
            <v>0</v>
          </cell>
        </row>
        <row r="221">
          <cell r="E221">
            <v>4751500800</v>
          </cell>
          <cell r="F221" t="str">
            <v>4751500800 Retenc. pago personas naturales</v>
          </cell>
          <cell r="K221">
            <v>-0.64</v>
          </cell>
          <cell r="M221">
            <v>0</v>
          </cell>
          <cell r="O221">
            <v>-0.64</v>
          </cell>
          <cell r="R221" t="str">
            <v>*6*</v>
          </cell>
        </row>
        <row r="222">
          <cell r="F222">
            <v>4751500900</v>
          </cell>
          <cell r="I222" t="str">
            <v>RETENCIONES EN OTROS PAGOS A SOCIEDADES</v>
          </cell>
          <cell r="K222">
            <v>-859.93</v>
          </cell>
          <cell r="M222">
            <v>-859.93</v>
          </cell>
          <cell r="O222">
            <v>0</v>
          </cell>
        </row>
        <row r="223">
          <cell r="F223">
            <v>4751500900</v>
          </cell>
          <cell r="I223" t="str">
            <v>RETENCIONES EN OTROS PAGOS A SOCIEDADES</v>
          </cell>
          <cell r="K223">
            <v>859.93</v>
          </cell>
          <cell r="M223">
            <v>859.93</v>
          </cell>
          <cell r="O223">
            <v>0</v>
          </cell>
        </row>
        <row r="224">
          <cell r="E224">
            <v>4751500900</v>
          </cell>
          <cell r="F224" t="str">
            <v>4751500900 Retenc. pago a sociedades</v>
          </cell>
          <cell r="K224">
            <v>0</v>
          </cell>
          <cell r="M224">
            <v>0</v>
          </cell>
          <cell r="O224">
            <v>0</v>
          </cell>
          <cell r="R224" t="str">
            <v>*6*</v>
          </cell>
        </row>
        <row r="225">
          <cell r="F225">
            <v>4751501000</v>
          </cell>
          <cell r="I225" t="str">
            <v>RETENCION EN PAGOS POR HONORARIOS,REGAL</v>
          </cell>
          <cell r="K225">
            <v>-485.65</v>
          </cell>
          <cell r="M225">
            <v>-485.65</v>
          </cell>
          <cell r="O225">
            <v>0</v>
          </cell>
        </row>
        <row r="226">
          <cell r="F226">
            <v>4751501000</v>
          </cell>
          <cell r="I226" t="str">
            <v>RETENCION EN PAGOS POR HONORARIOS,REGAL</v>
          </cell>
          <cell r="K226">
            <v>485.65</v>
          </cell>
          <cell r="M226">
            <v>485.65</v>
          </cell>
          <cell r="O226">
            <v>0</v>
          </cell>
        </row>
        <row r="227">
          <cell r="E227">
            <v>4751501000</v>
          </cell>
          <cell r="F227" t="str">
            <v>4751501000 Retenc. en honorarios y regalias</v>
          </cell>
          <cell r="K227">
            <v>0</v>
          </cell>
          <cell r="M227">
            <v>0</v>
          </cell>
          <cell r="O227">
            <v>0</v>
          </cell>
          <cell r="R227" t="str">
            <v>*6*</v>
          </cell>
        </row>
        <row r="228">
          <cell r="E228">
            <v>8302475150</v>
          </cell>
          <cell r="F228">
            <v>8302475150</v>
          </cell>
          <cell r="I228" t="str">
            <v>OTRAS RETENCIONES NO ESPECIFICADAS (GAA</v>
          </cell>
          <cell r="K228">
            <v>0.28999999999999998</v>
          </cell>
          <cell r="M228">
            <v>0.28999999999999998</v>
          </cell>
          <cell r="O228">
            <v>0</v>
          </cell>
        </row>
        <row r="229">
          <cell r="E229">
            <v>4751501100</v>
          </cell>
          <cell r="F229" t="str">
            <v>4751501100 Otras retenc. no especificadas</v>
          </cell>
          <cell r="K229">
            <v>0.28999999999999998</v>
          </cell>
          <cell r="M229">
            <v>0.28999999999999998</v>
          </cell>
          <cell r="O229">
            <v>0</v>
          </cell>
          <cell r="R229" t="str">
            <v>*6*</v>
          </cell>
        </row>
        <row r="230">
          <cell r="E230">
            <v>4751501400</v>
          </cell>
          <cell r="F230">
            <v>4751501400</v>
          </cell>
          <cell r="I230" t="str">
            <v>RETENC. POR SERVICIOS PERSONAS NATURALE</v>
          </cell>
          <cell r="K230">
            <v>-9.6</v>
          </cell>
          <cell r="M230">
            <v>-209.6</v>
          </cell>
          <cell r="O230">
            <v>200</v>
          </cell>
          <cell r="Q230">
            <v>95.4</v>
          </cell>
        </row>
        <row r="231">
          <cell r="E231">
            <v>4751501400</v>
          </cell>
          <cell r="F231" t="str">
            <v>4751501400 Retenc. por Serv. Pers. Natural</v>
          </cell>
          <cell r="K231">
            <v>-9.6</v>
          </cell>
          <cell r="M231">
            <v>-209.6</v>
          </cell>
          <cell r="O231">
            <v>200</v>
          </cell>
          <cell r="Q231">
            <v>95.4</v>
          </cell>
          <cell r="R231" t="str">
            <v>*6*</v>
          </cell>
        </row>
        <row r="232">
          <cell r="E232">
            <v>4751501500</v>
          </cell>
          <cell r="F232">
            <v>4751501500</v>
          </cell>
          <cell r="I232" t="str">
            <v>RETENCION POR SERV. MANO DE OBRA Y OTRO</v>
          </cell>
          <cell r="K232">
            <v>-314.08</v>
          </cell>
          <cell r="M232">
            <v>-352.85</v>
          </cell>
          <cell r="O232">
            <v>38.770000000000003</v>
          </cell>
          <cell r="Q232">
            <v>11</v>
          </cell>
        </row>
        <row r="233">
          <cell r="E233">
            <v>4751501500</v>
          </cell>
          <cell r="F233" t="str">
            <v>4751501500 Retenc. por Serv. Mano de Obra y O</v>
          </cell>
          <cell r="K233">
            <v>-314.08</v>
          </cell>
          <cell r="M233">
            <v>-352.85</v>
          </cell>
          <cell r="O233">
            <v>38.770000000000003</v>
          </cell>
          <cell r="Q233">
            <v>11</v>
          </cell>
          <cell r="R233" t="str">
            <v>*6*</v>
          </cell>
        </row>
        <row r="234">
          <cell r="E234" t="str">
            <v>HACIENDA PUBLICA ACREEDORA</v>
          </cell>
          <cell r="F234" t="str">
            <v>***HACIENDA PUBLICA ACREEDORA</v>
          </cell>
          <cell r="K234">
            <v>256658.56</v>
          </cell>
          <cell r="M234">
            <v>246958.09</v>
          </cell>
          <cell r="O234">
            <v>9700.4699999999993</v>
          </cell>
          <cell r="Q234">
            <v>3.9</v>
          </cell>
          <cell r="R234" t="str">
            <v>*3*</v>
          </cell>
        </row>
        <row r="236">
          <cell r="E236">
            <v>4100000000</v>
          </cell>
          <cell r="F236">
            <v>4100000000</v>
          </cell>
          <cell r="I236" t="str">
            <v>ACREEDORES POR PRESTACION DE SERVICIOS</v>
          </cell>
          <cell r="K236">
            <v>-630.41999999999996</v>
          </cell>
          <cell r="M236">
            <v>-12429.46</v>
          </cell>
          <cell r="O236">
            <v>11799.04</v>
          </cell>
          <cell r="Q236">
            <v>94.9</v>
          </cell>
        </row>
        <row r="237">
          <cell r="E237">
            <v>8302410000</v>
          </cell>
          <cell r="F237">
            <v>8302410000</v>
          </cell>
          <cell r="I237" t="str">
            <v>ACREEDORES POR PRESTACION DE SERVICIOS</v>
          </cell>
          <cell r="K237">
            <v>-0.28999999999999998</v>
          </cell>
          <cell r="M237">
            <v>-0.28999999999999998</v>
          </cell>
          <cell r="O237">
            <v>0</v>
          </cell>
        </row>
        <row r="238">
          <cell r="E238">
            <v>4100000000</v>
          </cell>
          <cell r="F238" t="str">
            <v>4100000000 Acreedores por prestación de serv.</v>
          </cell>
          <cell r="K238">
            <v>-630.71</v>
          </cell>
          <cell r="M238">
            <v>-12429.75</v>
          </cell>
          <cell r="O238">
            <v>11799.04</v>
          </cell>
          <cell r="Q238">
            <v>94.9</v>
          </cell>
          <cell r="R238" t="str">
            <v>*5*</v>
          </cell>
        </row>
        <row r="239">
          <cell r="E239">
            <v>4109000000</v>
          </cell>
          <cell r="F239">
            <v>4109000000</v>
          </cell>
          <cell r="I239" t="str">
            <v>ACREEDORES, FACTURAS PENDIENTES DE RECI</v>
          </cell>
          <cell r="K239">
            <v>-30284.33</v>
          </cell>
          <cell r="M239">
            <v>-26252.06</v>
          </cell>
          <cell r="O239">
            <v>-4032.27</v>
          </cell>
          <cell r="Q239">
            <v>-15.4</v>
          </cell>
        </row>
        <row r="240">
          <cell r="E240">
            <v>4109000000</v>
          </cell>
          <cell r="F240" t="str">
            <v>4109000000 Acreed. fact. pendientes de recib.</v>
          </cell>
          <cell r="K240">
            <v>-30284.33</v>
          </cell>
          <cell r="M240">
            <v>-26252.06</v>
          </cell>
          <cell r="O240">
            <v>-4032.27</v>
          </cell>
          <cell r="Q240">
            <v>-15.4</v>
          </cell>
          <cell r="R240" t="str">
            <v>*5*</v>
          </cell>
        </row>
        <row r="241">
          <cell r="E241">
            <v>4601000000</v>
          </cell>
          <cell r="F241">
            <v>4601000000</v>
          </cell>
          <cell r="I241" t="str">
            <v>OTROS ANTICIPOS AL PERSONAL</v>
          </cell>
          <cell r="K241">
            <v>0</v>
          </cell>
          <cell r="M241">
            <v>-268.58</v>
          </cell>
          <cell r="O241">
            <v>268.58</v>
          </cell>
          <cell r="Q241">
            <v>100</v>
          </cell>
        </row>
        <row r="242">
          <cell r="E242">
            <v>4601000000</v>
          </cell>
          <cell r="F242" t="str">
            <v>4601000000 Otros anticipos al personal</v>
          </cell>
          <cell r="K242">
            <v>0</v>
          </cell>
          <cell r="M242">
            <v>-268.58</v>
          </cell>
          <cell r="O242">
            <v>268.58</v>
          </cell>
          <cell r="Q242">
            <v>100</v>
          </cell>
          <cell r="R242" t="str">
            <v>*5*</v>
          </cell>
        </row>
        <row r="243">
          <cell r="E243">
            <v>4609000000</v>
          </cell>
          <cell r="F243">
            <v>4609000000</v>
          </cell>
          <cell r="I243" t="str">
            <v>EMPLEADOS, DEUDORES</v>
          </cell>
          <cell r="K243">
            <v>792.5</v>
          </cell>
          <cell r="M243">
            <v>951</v>
          </cell>
          <cell r="O243">
            <v>-158.5</v>
          </cell>
          <cell r="Q243">
            <v>-16.7</v>
          </cell>
        </row>
        <row r="244">
          <cell r="E244">
            <v>4609000000</v>
          </cell>
          <cell r="F244" t="str">
            <v>4609000000 Empleados deudores</v>
          </cell>
          <cell r="K244">
            <v>792.5</v>
          </cell>
          <cell r="M244">
            <v>951</v>
          </cell>
          <cell r="O244">
            <v>-158.5</v>
          </cell>
          <cell r="Q244">
            <v>-16.7</v>
          </cell>
          <cell r="R244" t="str">
            <v>*6*</v>
          </cell>
        </row>
        <row r="245">
          <cell r="E245">
            <v>4650105000</v>
          </cell>
          <cell r="F245">
            <v>4650105000</v>
          </cell>
          <cell r="I245" t="str">
            <v>SUELDO 13 POR PAGAR</v>
          </cell>
          <cell r="K245">
            <v>-686.41</v>
          </cell>
          <cell r="M245">
            <v>-571.74</v>
          </cell>
          <cell r="O245">
            <v>-114.67</v>
          </cell>
          <cell r="Q245">
            <v>-20.100000000000001</v>
          </cell>
        </row>
        <row r="246">
          <cell r="E246">
            <v>4650105000</v>
          </cell>
          <cell r="F246" t="str">
            <v>4650105000 Sueldo 13 por pagar</v>
          </cell>
          <cell r="K246">
            <v>-686.41</v>
          </cell>
          <cell r="M246">
            <v>-571.74</v>
          </cell>
          <cell r="O246">
            <v>-114.67</v>
          </cell>
          <cell r="Q246">
            <v>-20.100000000000001</v>
          </cell>
          <cell r="R246" t="str">
            <v>*6*</v>
          </cell>
        </row>
        <row r="247">
          <cell r="E247">
            <v>4650109000</v>
          </cell>
          <cell r="F247">
            <v>4650109000</v>
          </cell>
          <cell r="I247" t="str">
            <v>SUELDO 14 POR PAGAR</v>
          </cell>
          <cell r="K247">
            <v>-67.790000000000006</v>
          </cell>
          <cell r="M247">
            <v>-56.49</v>
          </cell>
          <cell r="O247">
            <v>-11.3</v>
          </cell>
          <cell r="Q247">
            <v>-20</v>
          </cell>
        </row>
        <row r="248">
          <cell r="E248">
            <v>4650109000</v>
          </cell>
          <cell r="F248" t="str">
            <v>4650109000 Sueldo 14 por pagar</v>
          </cell>
          <cell r="K248">
            <v>-67.790000000000006</v>
          </cell>
          <cell r="M248">
            <v>-56.49</v>
          </cell>
          <cell r="O248">
            <v>-11.3</v>
          </cell>
          <cell r="Q248">
            <v>-20</v>
          </cell>
          <cell r="R248" t="str">
            <v>*6*</v>
          </cell>
        </row>
        <row r="249">
          <cell r="E249">
            <v>4350000000</v>
          </cell>
          <cell r="F249">
            <v>4350000000</v>
          </cell>
          <cell r="I249" t="str">
            <v>CLIENTES DE DUDOSO COBRO</v>
          </cell>
          <cell r="K249">
            <v>13325.04</v>
          </cell>
          <cell r="M249">
            <v>13325.04</v>
          </cell>
          <cell r="O249">
            <v>0</v>
          </cell>
        </row>
        <row r="250">
          <cell r="E250">
            <v>4350000000</v>
          </cell>
          <cell r="F250" t="str">
            <v>4350000000 Clientes de dudoso cobro</v>
          </cell>
          <cell r="K250">
            <v>13325.04</v>
          </cell>
          <cell r="M250">
            <v>13325.04</v>
          </cell>
          <cell r="O250">
            <v>0</v>
          </cell>
          <cell r="R250" t="str">
            <v>*5*</v>
          </cell>
        </row>
        <row r="251">
          <cell r="E251" t="str">
            <v>OTROS ACREEDORES</v>
          </cell>
          <cell r="F251" t="str">
            <v>***OTROS ACREEDORES</v>
          </cell>
          <cell r="K251">
            <v>-17551.7</v>
          </cell>
          <cell r="M251">
            <v>-25302.58</v>
          </cell>
          <cell r="O251">
            <v>7750.88</v>
          </cell>
          <cell r="Q251">
            <v>30.6</v>
          </cell>
          <cell r="R251" t="str">
            <v>*3*</v>
          </cell>
        </row>
        <row r="253">
          <cell r="E253" t="str">
            <v>TOTAL DEUDAS COMECIALES C.P.</v>
          </cell>
          <cell r="F253" t="str">
            <v>**TOTAL DEUDAS COMECIALES C.P.</v>
          </cell>
          <cell r="K253">
            <v>-9940926.5500000007</v>
          </cell>
          <cell r="M253">
            <v>-9758513.1500000004</v>
          </cell>
          <cell r="O253">
            <v>-182413.4</v>
          </cell>
          <cell r="Q253">
            <v>-1.9</v>
          </cell>
          <cell r="R253" t="str">
            <v>*2*</v>
          </cell>
        </row>
        <row r="254">
          <cell r="E254" t="str">
            <v>==========</v>
          </cell>
          <cell r="F254" t="str">
            <v>=============================================</v>
          </cell>
        </row>
        <row r="256">
          <cell r="E256" t="str">
            <v>TOTAL PASIVO</v>
          </cell>
          <cell r="F256" t="str">
            <v>*TOTAL PASIVO</v>
          </cell>
          <cell r="K256">
            <v>-9922544.5</v>
          </cell>
          <cell r="M256">
            <v>-9792489.8499999996</v>
          </cell>
          <cell r="O256">
            <v>-130054.65</v>
          </cell>
          <cell r="Q256">
            <v>-1.3</v>
          </cell>
          <cell r="R256" t="str">
            <v>*1*</v>
          </cell>
        </row>
        <row r="257">
          <cell r="E257" t="str">
            <v>==========</v>
          </cell>
          <cell r="F257" t="str">
            <v>=============================================</v>
          </cell>
        </row>
        <row r="264">
          <cell r="G264" t="str">
            <v>División</v>
          </cell>
          <cell r="H264" t="str">
            <v>****</v>
          </cell>
          <cell r="N264" t="str">
            <v>Imptes en</v>
          </cell>
          <cell r="P264" t="str">
            <v>USD</v>
          </cell>
        </row>
        <row r="266">
          <cell r="E266" t="str">
            <v>Textos....</v>
          </cell>
          <cell r="F266" t="str">
            <v>Textos............................................</v>
          </cell>
          <cell r="J266" t="str">
            <v>..Interv.informe.</v>
          </cell>
          <cell r="L266" t="str">
            <v>..Comp. periodos</v>
          </cell>
          <cell r="O266" t="str">
            <v>absolutos</v>
          </cell>
          <cell r="Q266" t="str">
            <v>Rel</v>
          </cell>
          <cell r="R266" t="str">
            <v xml:space="preserve"> Tot</v>
          </cell>
        </row>
        <row r="267">
          <cell r="E267" t="str">
            <v>..........</v>
          </cell>
          <cell r="F267" t="str">
            <v>..................................................</v>
          </cell>
          <cell r="J267" t="str">
            <v>(01.2004-09.2004)</v>
          </cell>
          <cell r="L267" t="str">
            <v>(01.2004-08.2004)</v>
          </cell>
          <cell r="O267" t="str">
            <v>Desviación</v>
          </cell>
          <cell r="Q267" t="str">
            <v>Dsv</v>
          </cell>
          <cell r="R267" t="str">
            <v>Etapa</v>
          </cell>
        </row>
        <row r="269">
          <cell r="E269" t="str">
            <v>RESULTADOS</v>
          </cell>
          <cell r="F269" t="str">
            <v>RESULTADOS</v>
          </cell>
        </row>
        <row r="271">
          <cell r="E271">
            <v>7000300000</v>
          </cell>
          <cell r="F271">
            <v>7000300000</v>
          </cell>
          <cell r="I271" t="str">
            <v>VENTAS DE EXISTENCIAS COMERCIALES DE CO</v>
          </cell>
          <cell r="K271">
            <v>-30604071.41</v>
          </cell>
          <cell r="M271">
            <v>-27304154.100000001</v>
          </cell>
          <cell r="O271">
            <v>-3299917.31</v>
          </cell>
          <cell r="Q271">
            <v>-12.1</v>
          </cell>
        </row>
        <row r="272">
          <cell r="E272">
            <v>7000300000</v>
          </cell>
          <cell r="F272" t="str">
            <v>7000300000 Venta de ex. com. de combustibles</v>
          </cell>
          <cell r="K272">
            <v>-30604071.41</v>
          </cell>
          <cell r="M272">
            <v>-27304154.100000001</v>
          </cell>
          <cell r="O272">
            <v>-3299917.31</v>
          </cell>
          <cell r="Q272">
            <v>-12.1</v>
          </cell>
          <cell r="R272" t="str">
            <v>*8*</v>
          </cell>
        </row>
        <row r="273">
          <cell r="E273">
            <v>7070000000</v>
          </cell>
          <cell r="F273">
            <v>7070000000</v>
          </cell>
          <cell r="I273" t="str">
            <v>COMISIONES SOBRE VENTAS</v>
          </cell>
          <cell r="K273">
            <v>376.63</v>
          </cell>
          <cell r="M273">
            <v>376.63</v>
          </cell>
          <cell r="O273">
            <v>0</v>
          </cell>
        </row>
        <row r="274">
          <cell r="E274">
            <v>7070000000</v>
          </cell>
          <cell r="F274" t="str">
            <v>7070000000 Comisiones sobre ventas</v>
          </cell>
          <cell r="K274">
            <v>376.63</v>
          </cell>
          <cell r="M274">
            <v>376.63</v>
          </cell>
          <cell r="O274">
            <v>0</v>
          </cell>
          <cell r="R274" t="str">
            <v>*8*</v>
          </cell>
        </row>
        <row r="275">
          <cell r="E275">
            <v>7090000000</v>
          </cell>
          <cell r="F275">
            <v>7090000000</v>
          </cell>
          <cell r="I275" t="str">
            <v>RAPPELS SOBRE VENTAS DE EXISTENCIAS COM</v>
          </cell>
          <cell r="K275">
            <v>-1765.01</v>
          </cell>
          <cell r="M275">
            <v>-1609.54</v>
          </cell>
          <cell r="O275">
            <v>-155.47</v>
          </cell>
          <cell r="Q275">
            <v>-9.6999999999999993</v>
          </cell>
        </row>
        <row r="276">
          <cell r="E276">
            <v>7090000000</v>
          </cell>
          <cell r="F276" t="str">
            <v>7090000000 Rappels sobre ventas de exist. com</v>
          </cell>
          <cell r="K276">
            <v>-1765.01</v>
          </cell>
          <cell r="M276">
            <v>-1609.54</v>
          </cell>
          <cell r="O276">
            <v>-155.47</v>
          </cell>
          <cell r="Q276">
            <v>-9.6999999999999993</v>
          </cell>
          <cell r="R276" t="str">
            <v>*8*</v>
          </cell>
        </row>
        <row r="277">
          <cell r="E277" t="str">
            <v>******VENT</v>
          </cell>
          <cell r="F277" t="str">
            <v>******VENTAS</v>
          </cell>
          <cell r="K277">
            <v>-30605459.789999999</v>
          </cell>
          <cell r="M277">
            <v>-27305387.010000002</v>
          </cell>
          <cell r="O277">
            <v>-3300072.78</v>
          </cell>
          <cell r="Q277">
            <v>-12.1</v>
          </cell>
          <cell r="R277" t="str">
            <v>*6*</v>
          </cell>
        </row>
        <row r="278">
          <cell r="E278">
            <v>7130000000</v>
          </cell>
          <cell r="F278">
            <v>7130000000</v>
          </cell>
          <cell r="I278" t="str">
            <v>VARIACION EXIST. SUBPROD./RESIDUOS/MAT.</v>
          </cell>
          <cell r="K278">
            <v>-99.85</v>
          </cell>
          <cell r="M278">
            <v>-99.85</v>
          </cell>
          <cell r="O278">
            <v>0</v>
          </cell>
        </row>
        <row r="279">
          <cell r="E279">
            <v>7130000000</v>
          </cell>
          <cell r="F279" t="str">
            <v>7130000000 Variac. Exist. Subprod./residuos</v>
          </cell>
          <cell r="K279">
            <v>-99.85</v>
          </cell>
          <cell r="M279">
            <v>-99.85</v>
          </cell>
          <cell r="O279">
            <v>0</v>
          </cell>
          <cell r="R279" t="str">
            <v>*8*</v>
          </cell>
        </row>
        <row r="280">
          <cell r="E280">
            <v>7220000400</v>
          </cell>
          <cell r="F280">
            <v>7220000400</v>
          </cell>
          <cell r="I280" t="str">
            <v>RECUPERACION DE GASTOS DE TRANSPORTE</v>
          </cell>
          <cell r="K280">
            <v>-368761.04</v>
          </cell>
          <cell r="M280">
            <v>-339538.96</v>
          </cell>
          <cell r="O280">
            <v>-29222.080000000002</v>
          </cell>
          <cell r="Q280">
            <v>-8.6</v>
          </cell>
        </row>
        <row r="281">
          <cell r="E281">
            <v>7220000400</v>
          </cell>
          <cell r="F281" t="str">
            <v>7220000400 Recuperación gastos de transporte</v>
          </cell>
          <cell r="K281">
            <v>-368761.04</v>
          </cell>
          <cell r="M281">
            <v>-339538.96</v>
          </cell>
          <cell r="O281">
            <v>-29222.080000000002</v>
          </cell>
          <cell r="Q281">
            <v>-8.6</v>
          </cell>
          <cell r="R281" t="str">
            <v>*8*</v>
          </cell>
        </row>
        <row r="282">
          <cell r="E282" t="str">
            <v>******OTRO</v>
          </cell>
          <cell r="F282" t="str">
            <v>******OTROS INGRESOS</v>
          </cell>
          <cell r="K282">
            <v>-368860.89</v>
          </cell>
          <cell r="M282">
            <v>-339638.81</v>
          </cell>
          <cell r="O282">
            <v>-29222.080000000002</v>
          </cell>
          <cell r="Q282">
            <v>-8.6</v>
          </cell>
          <cell r="R282" t="str">
            <v>*6*</v>
          </cell>
        </row>
        <row r="283">
          <cell r="E283" t="str">
            <v>==========</v>
          </cell>
          <cell r="F283" t="str">
            <v>=============================================</v>
          </cell>
        </row>
        <row r="284">
          <cell r="E284" t="str">
            <v>INGRESOS OPERATIVOS</v>
          </cell>
          <cell r="F284" t="str">
            <v>*****INGRESOS OPERATIVOS</v>
          </cell>
          <cell r="K284">
            <v>-30974320.68</v>
          </cell>
          <cell r="M284">
            <v>-27645025.82</v>
          </cell>
          <cell r="O284">
            <v>-3329294.86</v>
          </cell>
          <cell r="Q284">
            <v>-12</v>
          </cell>
          <cell r="R284" t="str">
            <v>*5*</v>
          </cell>
        </row>
        <row r="285">
          <cell r="E285" t="str">
            <v>==========</v>
          </cell>
          <cell r="F285" t="str">
            <v>=============================================</v>
          </cell>
        </row>
        <row r="286">
          <cell r="E286">
            <v>6000300000</v>
          </cell>
          <cell r="F286">
            <v>6000300000</v>
          </cell>
          <cell r="I286" t="str">
            <v>COSTE DE VENTAS DE COMBUSTIBLES</v>
          </cell>
          <cell r="K286">
            <v>29970769.550000001</v>
          </cell>
          <cell r="M286">
            <v>26737194.210000001</v>
          </cell>
          <cell r="O286">
            <v>3233575.34</v>
          </cell>
          <cell r="Q286">
            <v>12.1</v>
          </cell>
        </row>
        <row r="287">
          <cell r="E287">
            <v>6000300000</v>
          </cell>
          <cell r="F287" t="str">
            <v>6000300000 Costo de ventas de combustibles</v>
          </cell>
          <cell r="K287">
            <v>29970769.550000001</v>
          </cell>
          <cell r="M287">
            <v>26737194.210000001</v>
          </cell>
          <cell r="O287">
            <v>3233575.34</v>
          </cell>
          <cell r="Q287">
            <v>12.1</v>
          </cell>
          <cell r="R287" t="str">
            <v>*8*</v>
          </cell>
        </row>
        <row r="288">
          <cell r="E288" t="str">
            <v>COSTO DE VENTAS</v>
          </cell>
          <cell r="F288" t="str">
            <v>******COSTO DE VENTAS</v>
          </cell>
          <cell r="K288">
            <v>29970769.550000001</v>
          </cell>
          <cell r="M288">
            <v>26737194.210000001</v>
          </cell>
          <cell r="O288">
            <v>3233575.34</v>
          </cell>
          <cell r="Q288">
            <v>12.1</v>
          </cell>
          <cell r="R288" t="str">
            <v>*6*</v>
          </cell>
        </row>
        <row r="289">
          <cell r="E289">
            <v>6100300000</v>
          </cell>
          <cell r="F289">
            <v>6100300000</v>
          </cell>
          <cell r="I289" t="str">
            <v>VARIACION EXISTENCIAS COMERCIALES DE CO</v>
          </cell>
          <cell r="K289">
            <v>40.799999999999997</v>
          </cell>
          <cell r="M289">
            <v>40.799999999999997</v>
          </cell>
          <cell r="O289">
            <v>0</v>
          </cell>
        </row>
        <row r="290">
          <cell r="E290">
            <v>6100300000</v>
          </cell>
          <cell r="F290" t="str">
            <v>6100300000 Variac. exist.com. combustibles</v>
          </cell>
          <cell r="K290">
            <v>40.799999999999997</v>
          </cell>
          <cell r="M290">
            <v>40.799999999999997</v>
          </cell>
          <cell r="O290">
            <v>0</v>
          </cell>
          <cell r="R290" t="str">
            <v>*8*</v>
          </cell>
        </row>
        <row r="291">
          <cell r="E291" t="str">
            <v>VARIACION DE EXISTENCIAS</v>
          </cell>
          <cell r="F291" t="str">
            <v>******VARIACION DE EXISTENCIAS</v>
          </cell>
          <cell r="K291">
            <v>40.799999999999997</v>
          </cell>
          <cell r="M291">
            <v>40.799999999999997</v>
          </cell>
          <cell r="O291">
            <v>0</v>
          </cell>
          <cell r="R291" t="str">
            <v>*6*</v>
          </cell>
        </row>
        <row r="292">
          <cell r="E292">
            <v>6400000000</v>
          </cell>
          <cell r="F292">
            <v>6400000000</v>
          </cell>
          <cell r="I292" t="str">
            <v>SALARIOS Y COMPLEMENTOS FIJOS</v>
          </cell>
          <cell r="K292">
            <v>7048.71</v>
          </cell>
          <cell r="M292">
            <v>6221.74</v>
          </cell>
          <cell r="O292">
            <v>826.97</v>
          </cell>
          <cell r="Q292">
            <v>13.3</v>
          </cell>
        </row>
        <row r="293">
          <cell r="E293">
            <v>6400000000</v>
          </cell>
          <cell r="F293" t="str">
            <v>6400000000 Salarios y complementos fijos</v>
          </cell>
          <cell r="K293">
            <v>7048.71</v>
          </cell>
          <cell r="M293">
            <v>6221.74</v>
          </cell>
          <cell r="O293">
            <v>826.97</v>
          </cell>
          <cell r="Q293">
            <v>13.3</v>
          </cell>
          <cell r="R293" t="str">
            <v>*8*</v>
          </cell>
        </row>
        <row r="294">
          <cell r="E294">
            <v>6400003000</v>
          </cell>
          <cell r="F294">
            <v>6400003000</v>
          </cell>
          <cell r="I294" t="str">
            <v>COMPLEMENTOS SOBRETIEMPO</v>
          </cell>
          <cell r="K294">
            <v>1148.1199999999999</v>
          </cell>
          <cell r="M294">
            <v>481.1</v>
          </cell>
          <cell r="O294">
            <v>667.02</v>
          </cell>
          <cell r="Q294">
            <v>138.6</v>
          </cell>
        </row>
        <row r="295">
          <cell r="E295">
            <v>6400003000</v>
          </cell>
          <cell r="F295" t="str">
            <v>6400003000 Complementos sobretiempo</v>
          </cell>
          <cell r="K295">
            <v>1148.1199999999999</v>
          </cell>
          <cell r="M295">
            <v>481.1</v>
          </cell>
          <cell r="O295">
            <v>667.02</v>
          </cell>
          <cell r="Q295">
            <v>138.6</v>
          </cell>
          <cell r="R295" t="str">
            <v>*8*</v>
          </cell>
        </row>
        <row r="296">
          <cell r="E296">
            <v>6420000000</v>
          </cell>
          <cell r="F296">
            <v>6420000000</v>
          </cell>
          <cell r="I296" t="str">
            <v>SEGURIDAD SOCIAL CARGO EMPRESA</v>
          </cell>
          <cell r="K296">
            <v>1544.26</v>
          </cell>
          <cell r="M296">
            <v>1262.4000000000001</v>
          </cell>
          <cell r="O296">
            <v>281.86</v>
          </cell>
          <cell r="Q296">
            <v>22.3</v>
          </cell>
        </row>
        <row r="297">
          <cell r="E297">
            <v>6420000000</v>
          </cell>
          <cell r="F297" t="str">
            <v>6420000000 Seguridad social cargo empresa</v>
          </cell>
          <cell r="K297">
            <v>1544.26</v>
          </cell>
          <cell r="M297">
            <v>1262.4000000000001</v>
          </cell>
          <cell r="O297">
            <v>281.86</v>
          </cell>
          <cell r="Q297">
            <v>22.3</v>
          </cell>
          <cell r="R297" t="str">
            <v>*8*</v>
          </cell>
        </row>
        <row r="298">
          <cell r="E298">
            <v>6440001000</v>
          </cell>
          <cell r="F298">
            <v>6440001000</v>
          </cell>
          <cell r="I298" t="str">
            <v>GASTOS DE VIAJE. LOCOMOCION MEDIOS AJEN</v>
          </cell>
          <cell r="K298">
            <v>463.1</v>
          </cell>
          <cell r="M298">
            <v>463.1</v>
          </cell>
          <cell r="O298">
            <v>0</v>
          </cell>
        </row>
        <row r="299">
          <cell r="E299">
            <v>6440001000</v>
          </cell>
          <cell r="F299" t="str">
            <v>6440001000 Gtos de viaje locom. medios ajenos</v>
          </cell>
          <cell r="K299">
            <v>463.1</v>
          </cell>
          <cell r="M299">
            <v>463.1</v>
          </cell>
          <cell r="O299">
            <v>0</v>
          </cell>
          <cell r="R299" t="str">
            <v>*8*</v>
          </cell>
        </row>
        <row r="300">
          <cell r="E300">
            <v>6441000000</v>
          </cell>
          <cell r="F300">
            <v>6441000000</v>
          </cell>
          <cell r="I300" t="str">
            <v>GASTOS VIAJE.ESTANCIAS,ALOJAMIENTO Y MA</v>
          </cell>
          <cell r="K300">
            <v>44.2</v>
          </cell>
          <cell r="M300">
            <v>20.62</v>
          </cell>
          <cell r="O300">
            <v>23.58</v>
          </cell>
          <cell r="Q300">
            <v>114.4</v>
          </cell>
        </row>
        <row r="301">
          <cell r="E301">
            <v>6441000000</v>
          </cell>
          <cell r="F301" t="str">
            <v>6441000000 Gtos. de viaje est.alojam.manut.</v>
          </cell>
          <cell r="K301">
            <v>44.2</v>
          </cell>
          <cell r="M301">
            <v>20.62</v>
          </cell>
          <cell r="O301">
            <v>23.58</v>
          </cell>
          <cell r="Q301">
            <v>114.4</v>
          </cell>
          <cell r="R301" t="str">
            <v>*8*</v>
          </cell>
        </row>
        <row r="302">
          <cell r="E302">
            <v>6442000000</v>
          </cell>
          <cell r="F302">
            <v>6442000000</v>
          </cell>
          <cell r="I302" t="str">
            <v>GASTOS DE VIAJE. DIETAS</v>
          </cell>
          <cell r="K302">
            <v>762.72</v>
          </cell>
          <cell r="M302">
            <v>762.72</v>
          </cell>
          <cell r="O302">
            <v>0</v>
          </cell>
        </row>
        <row r="303">
          <cell r="E303">
            <v>6442000000</v>
          </cell>
          <cell r="F303" t="str">
            <v>6442000000 Gastos de viaje dietas</v>
          </cell>
          <cell r="K303">
            <v>762.72</v>
          </cell>
          <cell r="M303">
            <v>762.72</v>
          </cell>
          <cell r="O303">
            <v>0</v>
          </cell>
          <cell r="R303" t="str">
            <v>*8*</v>
          </cell>
        </row>
        <row r="304">
          <cell r="E304">
            <v>6490002000</v>
          </cell>
          <cell r="F304">
            <v>6490002000</v>
          </cell>
          <cell r="I304" t="str">
            <v>OTROS GASTOS SOCIALES. AYUDA DE COMIDA</v>
          </cell>
          <cell r="K304">
            <v>144</v>
          </cell>
          <cell r="M304">
            <v>128</v>
          </cell>
          <cell r="O304">
            <v>16</v>
          </cell>
          <cell r="Q304">
            <v>12.5</v>
          </cell>
        </row>
        <row r="305">
          <cell r="E305">
            <v>6490002000</v>
          </cell>
          <cell r="F305" t="str">
            <v>6490002000 Otros gtos. soc. ayuda de comida</v>
          </cell>
          <cell r="K305">
            <v>144</v>
          </cell>
          <cell r="M305">
            <v>128</v>
          </cell>
          <cell r="O305">
            <v>16</v>
          </cell>
          <cell r="Q305">
            <v>12.5</v>
          </cell>
          <cell r="R305" t="str">
            <v>*8*</v>
          </cell>
        </row>
        <row r="306">
          <cell r="E306">
            <v>6490800000</v>
          </cell>
          <cell r="F306">
            <v>6490800000</v>
          </cell>
          <cell r="I306" t="str">
            <v>TRANSPORTE PERSONAL. LOCOMOCION URBANA</v>
          </cell>
          <cell r="K306">
            <v>1019.96</v>
          </cell>
          <cell r="M306">
            <v>966.46</v>
          </cell>
          <cell r="O306">
            <v>53.5</v>
          </cell>
          <cell r="Q306">
            <v>5.5</v>
          </cell>
        </row>
        <row r="307">
          <cell r="E307">
            <v>6490800000</v>
          </cell>
          <cell r="F307" t="str">
            <v>6490800000 Otros gtos. soc. locom. urbana</v>
          </cell>
          <cell r="K307">
            <v>1019.96</v>
          </cell>
          <cell r="M307">
            <v>966.46</v>
          </cell>
          <cell r="O307">
            <v>53.5</v>
          </cell>
          <cell r="Q307">
            <v>5.5</v>
          </cell>
          <cell r="R307" t="str">
            <v>*8*</v>
          </cell>
        </row>
        <row r="308">
          <cell r="E308">
            <v>6499099900</v>
          </cell>
          <cell r="F308">
            <v>6499099900</v>
          </cell>
          <cell r="I308" t="str">
            <v>OTROS GASTOS SOCIALES. OTROS</v>
          </cell>
          <cell r="K308">
            <v>175.7</v>
          </cell>
          <cell r="M308">
            <v>175.7</v>
          </cell>
          <cell r="O308">
            <v>0</v>
          </cell>
        </row>
        <row r="309">
          <cell r="E309">
            <v>6499099900</v>
          </cell>
          <cell r="F309" t="str">
            <v>6499099900 Otros gtos. soc. otros</v>
          </cell>
          <cell r="K309">
            <v>175.7</v>
          </cell>
          <cell r="M309">
            <v>175.7</v>
          </cell>
          <cell r="O309">
            <v>0</v>
          </cell>
          <cell r="R309" t="str">
            <v>*8*</v>
          </cell>
        </row>
        <row r="310">
          <cell r="E310">
            <v>6490100000</v>
          </cell>
          <cell r="F310">
            <v>6490100000</v>
          </cell>
          <cell r="I310" t="str">
            <v>OTROS GASTOS SOCIALES. TARJETAS SUPERMA</v>
          </cell>
          <cell r="K310">
            <v>40</v>
          </cell>
          <cell r="M310">
            <v>40</v>
          </cell>
          <cell r="O310">
            <v>0</v>
          </cell>
        </row>
        <row r="311">
          <cell r="E311">
            <v>6490100000</v>
          </cell>
          <cell r="F311" t="str">
            <v>6490100000 Otros gs. soc. tarjetas supermaxi</v>
          </cell>
          <cell r="K311">
            <v>40</v>
          </cell>
          <cell r="M311">
            <v>40</v>
          </cell>
          <cell r="O311">
            <v>0</v>
          </cell>
          <cell r="R311" t="str">
            <v>*8*</v>
          </cell>
        </row>
        <row r="312">
          <cell r="E312">
            <v>6490400000</v>
          </cell>
          <cell r="F312">
            <v>6490400000</v>
          </cell>
          <cell r="I312" t="str">
            <v>OTRO GASTO SOCIAL. SEGURO ACCID. Y FALL</v>
          </cell>
          <cell r="K312">
            <v>496.48</v>
          </cell>
          <cell r="M312">
            <v>416.63</v>
          </cell>
          <cell r="O312">
            <v>79.849999999999994</v>
          </cell>
          <cell r="Q312">
            <v>19.2</v>
          </cell>
        </row>
        <row r="313">
          <cell r="E313">
            <v>6490400000</v>
          </cell>
          <cell r="F313" t="str">
            <v>6490400000 Otros gs. soc. seguro acc. y fall.</v>
          </cell>
          <cell r="K313">
            <v>496.48</v>
          </cell>
          <cell r="M313">
            <v>416.63</v>
          </cell>
          <cell r="O313">
            <v>79.849999999999994</v>
          </cell>
          <cell r="Q313">
            <v>19.2</v>
          </cell>
          <cell r="R313" t="str">
            <v>*8*</v>
          </cell>
        </row>
        <row r="314">
          <cell r="E314" t="str">
            <v>GASTOS DE PERSONAL</v>
          </cell>
          <cell r="F314" t="str">
            <v>******GASTOS DE PERSONAL</v>
          </cell>
          <cell r="K314">
            <v>12887.25</v>
          </cell>
          <cell r="M314">
            <v>10938.47</v>
          </cell>
          <cell r="O314">
            <v>1948.78</v>
          </cell>
          <cell r="Q314">
            <v>17.8</v>
          </cell>
          <cell r="R314" t="str">
            <v>*6*</v>
          </cell>
        </row>
        <row r="315">
          <cell r="E315">
            <v>6310300000</v>
          </cell>
          <cell r="F315">
            <v>6310300000</v>
          </cell>
          <cell r="I315" t="str">
            <v>IMPUESTO MATRICULACION VEHICULOS</v>
          </cell>
          <cell r="K315">
            <v>223</v>
          </cell>
          <cell r="M315">
            <v>223</v>
          </cell>
          <cell r="O315">
            <v>0</v>
          </cell>
        </row>
        <row r="316">
          <cell r="E316">
            <v>6310300000</v>
          </cell>
          <cell r="F316" t="str">
            <v>6310300000 Imp. a la matriculac. de vehículos</v>
          </cell>
          <cell r="K316">
            <v>223</v>
          </cell>
          <cell r="M316">
            <v>223</v>
          </cell>
          <cell r="O316">
            <v>0</v>
          </cell>
          <cell r="R316" t="str">
            <v>*7*</v>
          </cell>
        </row>
        <row r="317">
          <cell r="E317">
            <v>6310609900</v>
          </cell>
          <cell r="F317">
            <v>6310609900</v>
          </cell>
          <cell r="I317" t="str">
            <v>TASAS MUNICIPALES Y CONTRIBUCIONES</v>
          </cell>
          <cell r="K317">
            <v>1281.3800000000001</v>
          </cell>
          <cell r="M317">
            <v>1139.27</v>
          </cell>
          <cell r="O317">
            <v>142.11000000000001</v>
          </cell>
          <cell r="Q317">
            <v>12.5</v>
          </cell>
        </row>
        <row r="318">
          <cell r="E318">
            <v>6310609900</v>
          </cell>
          <cell r="F318" t="str">
            <v>6310609900 Tasas municipales y contribuciones</v>
          </cell>
          <cell r="K318">
            <v>1281.3800000000001</v>
          </cell>
          <cell r="M318">
            <v>1139.27</v>
          </cell>
          <cell r="O318">
            <v>142.11000000000001</v>
          </cell>
          <cell r="Q318">
            <v>12.5</v>
          </cell>
          <cell r="R318" t="str">
            <v>*7*</v>
          </cell>
        </row>
        <row r="319">
          <cell r="E319">
            <v>6319900000</v>
          </cell>
          <cell r="F319">
            <v>6319900000</v>
          </cell>
          <cell r="I319" t="str">
            <v>OTROS IMPUESTOS</v>
          </cell>
          <cell r="K319">
            <v>20947.8</v>
          </cell>
          <cell r="M319">
            <v>18620.27</v>
          </cell>
          <cell r="O319">
            <v>2327.5300000000002</v>
          </cell>
          <cell r="Q319">
            <v>12.5</v>
          </cell>
        </row>
        <row r="320">
          <cell r="E320">
            <v>6319900000</v>
          </cell>
          <cell r="F320" t="str">
            <v>6319900000 Otros impuesto</v>
          </cell>
          <cell r="K320">
            <v>20947.8</v>
          </cell>
          <cell r="M320">
            <v>18620.27</v>
          </cell>
          <cell r="O320">
            <v>2327.5300000000002</v>
          </cell>
          <cell r="Q320">
            <v>12.5</v>
          </cell>
          <cell r="R320" t="str">
            <v>*7*</v>
          </cell>
        </row>
        <row r="321">
          <cell r="E321" t="str">
            <v>TRIBUTOS</v>
          </cell>
          <cell r="F321" t="str">
            <v>******TRIBUTOS</v>
          </cell>
          <cell r="K321">
            <v>22452.18</v>
          </cell>
          <cell r="M321">
            <v>19982.54</v>
          </cell>
          <cell r="O321">
            <v>2469.64</v>
          </cell>
          <cell r="Q321">
            <v>12.4</v>
          </cell>
          <cell r="R321" t="str">
            <v>*6*</v>
          </cell>
        </row>
        <row r="322">
          <cell r="E322">
            <v>6220800000</v>
          </cell>
          <cell r="F322">
            <v>6220800000</v>
          </cell>
          <cell r="I322" t="str">
            <v>REP. Y CONSERV. ELEMENTOS TRANSPORTE PO</v>
          </cell>
          <cell r="K322">
            <v>652.36</v>
          </cell>
          <cell r="M322">
            <v>646.86</v>
          </cell>
          <cell r="O322">
            <v>5.5</v>
          </cell>
          <cell r="Q322">
            <v>0.9</v>
          </cell>
        </row>
        <row r="323">
          <cell r="E323">
            <v>6220800000</v>
          </cell>
          <cell r="F323" t="str">
            <v>6220800000 Rep. y cons. de elem. de transport</v>
          </cell>
          <cell r="K323">
            <v>652.36</v>
          </cell>
          <cell r="M323">
            <v>646.86</v>
          </cell>
          <cell r="O323">
            <v>5.5</v>
          </cell>
          <cell r="Q323">
            <v>0.9</v>
          </cell>
          <cell r="R323" t="str">
            <v>*8*</v>
          </cell>
        </row>
        <row r="324">
          <cell r="E324" t="str">
            <v>MANTENIMIENTO Y REPARACION</v>
          </cell>
          <cell r="F324" t="str">
            <v>******MANTENIMIENTO Y REPARACION</v>
          </cell>
          <cell r="K324">
            <v>652.36</v>
          </cell>
          <cell r="M324">
            <v>646.86</v>
          </cell>
          <cell r="O324">
            <v>5.5</v>
          </cell>
          <cell r="Q324">
            <v>0.9</v>
          </cell>
          <cell r="R324" t="str">
            <v>*6*</v>
          </cell>
        </row>
        <row r="325">
          <cell r="E325">
            <v>6230000000</v>
          </cell>
          <cell r="F325">
            <v>6230000000</v>
          </cell>
          <cell r="I325" t="str">
            <v>SERVICIOS JURIDICOS Y CONTENCIOSOS</v>
          </cell>
          <cell r="K325">
            <v>9966.32</v>
          </cell>
          <cell r="M325">
            <v>6580.47</v>
          </cell>
          <cell r="O325">
            <v>3385.85</v>
          </cell>
          <cell r="Q325">
            <v>51.5</v>
          </cell>
        </row>
        <row r="326">
          <cell r="E326">
            <v>6230000000</v>
          </cell>
          <cell r="F326" t="str">
            <v>6230000000 Serv. jurídicos y contenciosos</v>
          </cell>
          <cell r="K326">
            <v>9966.32</v>
          </cell>
          <cell r="M326">
            <v>6580.47</v>
          </cell>
          <cell r="O326">
            <v>3385.85</v>
          </cell>
          <cell r="Q326">
            <v>51.5</v>
          </cell>
          <cell r="R326" t="str">
            <v>*8*</v>
          </cell>
        </row>
        <row r="327">
          <cell r="E327">
            <v>6230000100</v>
          </cell>
          <cell r="F327">
            <v>6230000100</v>
          </cell>
          <cell r="I327" t="str">
            <v>SERVICIOS DE AUDITORIA</v>
          </cell>
          <cell r="K327">
            <v>7234.47</v>
          </cell>
          <cell r="M327">
            <v>6455.3</v>
          </cell>
          <cell r="O327">
            <v>779.17</v>
          </cell>
          <cell r="Q327">
            <v>12.1</v>
          </cell>
        </row>
        <row r="328">
          <cell r="E328">
            <v>6230000100</v>
          </cell>
          <cell r="F328" t="str">
            <v>6230000100 Serv. de auditoría</v>
          </cell>
          <cell r="K328">
            <v>7234.47</v>
          </cell>
          <cell r="M328">
            <v>6455.3</v>
          </cell>
          <cell r="O328">
            <v>779.17</v>
          </cell>
          <cell r="Q328">
            <v>12.1</v>
          </cell>
          <cell r="R328" t="str">
            <v>*8*</v>
          </cell>
        </row>
        <row r="329">
          <cell r="E329">
            <v>6230000400</v>
          </cell>
          <cell r="F329">
            <v>6230000400</v>
          </cell>
          <cell r="I329" t="str">
            <v>CONTRATACION PERSONAL A EMPRESAS TRABAJ</v>
          </cell>
          <cell r="K329">
            <v>291.68</v>
          </cell>
          <cell r="M329">
            <v>217.24</v>
          </cell>
          <cell r="O329">
            <v>74.44</v>
          </cell>
          <cell r="Q329">
            <v>34.299999999999997</v>
          </cell>
        </row>
        <row r="330">
          <cell r="E330">
            <v>6230000400</v>
          </cell>
          <cell r="F330" t="str">
            <v>6230000400 Contrat. de pers. a empr. de trab.</v>
          </cell>
          <cell r="K330">
            <v>291.68</v>
          </cell>
          <cell r="M330">
            <v>217.24</v>
          </cell>
          <cell r="O330">
            <v>74.44</v>
          </cell>
          <cell r="Q330">
            <v>34.299999999999997</v>
          </cell>
          <cell r="R330" t="str">
            <v>*8*</v>
          </cell>
        </row>
        <row r="331">
          <cell r="E331" t="str">
            <v>SERVICIOS EXTERIORES</v>
          </cell>
          <cell r="F331" t="str">
            <v>******SERVICIOS EXTERIORES</v>
          </cell>
          <cell r="K331">
            <v>17492.47</v>
          </cell>
          <cell r="M331">
            <v>13253.01</v>
          </cell>
          <cell r="O331">
            <v>4239.46</v>
          </cell>
          <cell r="Q331">
            <v>32</v>
          </cell>
          <cell r="R331" t="str">
            <v>*7*</v>
          </cell>
        </row>
        <row r="332">
          <cell r="E332">
            <v>6250000500</v>
          </cell>
          <cell r="F332">
            <v>6250000500</v>
          </cell>
          <cell r="I332" t="str">
            <v>PRIMAS DE SEGUROS DE AUTOMOVILES</v>
          </cell>
          <cell r="K332">
            <v>456.4</v>
          </cell>
          <cell r="M332">
            <v>456.4</v>
          </cell>
          <cell r="O332">
            <v>0</v>
          </cell>
        </row>
        <row r="333">
          <cell r="E333">
            <v>6250000500</v>
          </cell>
          <cell r="F333" t="str">
            <v>6250000500 Primas de seg. de automóviles</v>
          </cell>
          <cell r="K333">
            <v>456.4</v>
          </cell>
          <cell r="M333">
            <v>456.4</v>
          </cell>
          <cell r="O333">
            <v>0</v>
          </cell>
          <cell r="R333" t="str">
            <v>*8*</v>
          </cell>
        </row>
        <row r="334">
          <cell r="E334">
            <v>6250099900</v>
          </cell>
          <cell r="F334">
            <v>6250099900</v>
          </cell>
          <cell r="I334" t="str">
            <v>PRIMAS DE OTROS SEGUROS</v>
          </cell>
          <cell r="K334">
            <v>-246</v>
          </cell>
          <cell r="M334">
            <v>-246</v>
          </cell>
          <cell r="O334">
            <v>0</v>
          </cell>
        </row>
        <row r="335">
          <cell r="E335">
            <v>6250099900</v>
          </cell>
          <cell r="F335" t="str">
            <v>6250099900 Primas de otros seguros</v>
          </cell>
          <cell r="K335">
            <v>-246</v>
          </cell>
          <cell r="M335">
            <v>-246</v>
          </cell>
          <cell r="O335">
            <v>0</v>
          </cell>
          <cell r="R335" t="str">
            <v>*8*</v>
          </cell>
        </row>
        <row r="336">
          <cell r="E336" t="str">
            <v>SEGUROS</v>
          </cell>
          <cell r="F336" t="str">
            <v>******SEGUROS</v>
          </cell>
          <cell r="K336">
            <v>210.4</v>
          </cell>
          <cell r="M336">
            <v>210.4</v>
          </cell>
          <cell r="O336">
            <v>0</v>
          </cell>
          <cell r="R336" t="str">
            <v>*7*</v>
          </cell>
        </row>
        <row r="337">
          <cell r="E337">
            <v>6260400000</v>
          </cell>
          <cell r="F337">
            <v>6260400000</v>
          </cell>
          <cell r="I337" t="str">
            <v>SERVICIOS BANCARIOS POR TRANSFERENCIAS</v>
          </cell>
          <cell r="K337">
            <v>74.709999999999994</v>
          </cell>
          <cell r="M337">
            <v>74.709999999999994</v>
          </cell>
          <cell r="O337">
            <v>0</v>
          </cell>
        </row>
        <row r="338">
          <cell r="E338">
            <v>6260400000</v>
          </cell>
          <cell r="F338" t="str">
            <v>6260400000 Serv. bcrios. x transf. y cheques</v>
          </cell>
          <cell r="K338">
            <v>74.709999999999994</v>
          </cell>
          <cell r="M338">
            <v>74.709999999999994</v>
          </cell>
          <cell r="O338">
            <v>0</v>
          </cell>
          <cell r="R338" t="str">
            <v>*8*</v>
          </cell>
        </row>
        <row r="339">
          <cell r="E339">
            <v>6260500000</v>
          </cell>
          <cell r="F339">
            <v>6260500000</v>
          </cell>
          <cell r="I339" t="str">
            <v>SERVICIOS BANCARIOS. COMISIONES SOBRE A</v>
          </cell>
          <cell r="K339">
            <v>18416.78</v>
          </cell>
          <cell r="M339">
            <v>17491.099999999999</v>
          </cell>
          <cell r="O339">
            <v>925.68</v>
          </cell>
          <cell r="Q339">
            <v>5.3</v>
          </cell>
        </row>
        <row r="340">
          <cell r="E340">
            <v>6260500000</v>
          </cell>
          <cell r="F340" t="str">
            <v>6260500000 Serv. bcrios. comis. y avales</v>
          </cell>
          <cell r="K340">
            <v>18416.78</v>
          </cell>
          <cell r="M340">
            <v>17491.099999999999</v>
          </cell>
          <cell r="O340">
            <v>925.68</v>
          </cell>
          <cell r="Q340">
            <v>5.3</v>
          </cell>
          <cell r="R340" t="str">
            <v>*8*</v>
          </cell>
        </row>
        <row r="341">
          <cell r="E341">
            <v>6269900000</v>
          </cell>
          <cell r="F341">
            <v>6269900000</v>
          </cell>
          <cell r="I341" t="str">
            <v>OTROS SERVICIOS BANCARIOS Y SIMILARES</v>
          </cell>
          <cell r="K341">
            <v>21337.52</v>
          </cell>
          <cell r="M341">
            <v>17633.02</v>
          </cell>
          <cell r="O341">
            <v>3704.5</v>
          </cell>
          <cell r="Q341">
            <v>21</v>
          </cell>
        </row>
        <row r="342">
          <cell r="E342">
            <v>6269900000</v>
          </cell>
          <cell r="F342" t="str">
            <v>6269900000 Otros serv. bcrios. y similares</v>
          </cell>
          <cell r="K342">
            <v>21337.52</v>
          </cell>
          <cell r="M342">
            <v>17633.02</v>
          </cell>
          <cell r="O342">
            <v>3704.5</v>
          </cell>
          <cell r="Q342">
            <v>21</v>
          </cell>
          <cell r="R342" t="str">
            <v>*8*</v>
          </cell>
        </row>
        <row r="343">
          <cell r="E343" t="str">
            <v>SERVICIOS BANCARIOS</v>
          </cell>
          <cell r="F343" t="str">
            <v>******SERVICIOS BANCARIOS</v>
          </cell>
          <cell r="K343">
            <v>39829.01</v>
          </cell>
          <cell r="M343">
            <v>35198.83</v>
          </cell>
          <cell r="O343">
            <v>4630.18</v>
          </cell>
          <cell r="Q343">
            <v>13.2</v>
          </cell>
          <cell r="R343" t="str">
            <v>*7*</v>
          </cell>
        </row>
        <row r="344">
          <cell r="E344">
            <v>6280000000</v>
          </cell>
          <cell r="F344">
            <v>6280000000</v>
          </cell>
          <cell r="I344" t="str">
            <v>SUMINISTROS DE ELECTRICIDAD</v>
          </cell>
          <cell r="K344">
            <v>823.73</v>
          </cell>
          <cell r="M344">
            <v>823.73</v>
          </cell>
          <cell r="O344">
            <v>0</v>
          </cell>
        </row>
        <row r="345">
          <cell r="E345">
            <v>6280000000</v>
          </cell>
          <cell r="F345" t="str">
            <v>6280000000 Suministros de electricidad</v>
          </cell>
          <cell r="K345">
            <v>823.73</v>
          </cell>
          <cell r="M345">
            <v>823.73</v>
          </cell>
          <cell r="O345">
            <v>0</v>
          </cell>
          <cell r="R345" t="str">
            <v>*9*</v>
          </cell>
        </row>
        <row r="346">
          <cell r="E346">
            <v>6280100000</v>
          </cell>
          <cell r="F346">
            <v>6280100000</v>
          </cell>
          <cell r="I346" t="str">
            <v>SUMINISTROS DE AGUA</v>
          </cell>
          <cell r="K346">
            <v>96</v>
          </cell>
          <cell r="M346">
            <v>66</v>
          </cell>
          <cell r="O346">
            <v>30</v>
          </cell>
          <cell r="Q346">
            <v>45.5</v>
          </cell>
        </row>
        <row r="347">
          <cell r="E347">
            <v>6280100000</v>
          </cell>
          <cell r="F347" t="str">
            <v>6280100000 Suministro de agua</v>
          </cell>
          <cell r="K347">
            <v>96</v>
          </cell>
          <cell r="M347">
            <v>66</v>
          </cell>
          <cell r="O347">
            <v>30</v>
          </cell>
          <cell r="Q347">
            <v>45.5</v>
          </cell>
          <cell r="R347" t="str">
            <v>*9*</v>
          </cell>
        </row>
        <row r="348">
          <cell r="E348">
            <v>6280200000</v>
          </cell>
          <cell r="F348">
            <v>6280200000</v>
          </cell>
          <cell r="I348" t="str">
            <v>TELECOMUNICACIONES</v>
          </cell>
          <cell r="K348">
            <v>8075.94</v>
          </cell>
          <cell r="M348">
            <v>7477.23</v>
          </cell>
          <cell r="O348">
            <v>598.71</v>
          </cell>
          <cell r="Q348">
            <v>8</v>
          </cell>
        </row>
        <row r="349">
          <cell r="E349">
            <v>6280200000</v>
          </cell>
          <cell r="F349" t="str">
            <v>6280200000 Telecomunicaciones</v>
          </cell>
          <cell r="K349">
            <v>8075.94</v>
          </cell>
          <cell r="M349">
            <v>7477.23</v>
          </cell>
          <cell r="O349">
            <v>598.71</v>
          </cell>
          <cell r="Q349">
            <v>8</v>
          </cell>
          <cell r="R349" t="str">
            <v>*9*</v>
          </cell>
        </row>
        <row r="350">
          <cell r="E350">
            <v>6280201000</v>
          </cell>
          <cell r="F350">
            <v>6280201000</v>
          </cell>
          <cell r="I350" t="str">
            <v>CORREOS Y MENSAJEROS</v>
          </cell>
          <cell r="K350">
            <v>128.37</v>
          </cell>
          <cell r="M350">
            <v>128.37</v>
          </cell>
          <cell r="O350">
            <v>0</v>
          </cell>
        </row>
        <row r="351">
          <cell r="E351">
            <v>6280201000</v>
          </cell>
          <cell r="F351" t="str">
            <v>6280201000 Correos y mensajeros</v>
          </cell>
          <cell r="K351">
            <v>128.37</v>
          </cell>
          <cell r="M351">
            <v>128.37</v>
          </cell>
          <cell r="O351">
            <v>0</v>
          </cell>
          <cell r="R351" t="str">
            <v>*9*</v>
          </cell>
        </row>
        <row r="352">
          <cell r="E352">
            <v>6280299000</v>
          </cell>
          <cell r="F352">
            <v>6280299000</v>
          </cell>
          <cell r="I352" t="str">
            <v>OTRAS COMUNICACIONES</v>
          </cell>
          <cell r="K352">
            <v>381.6</v>
          </cell>
          <cell r="M352">
            <v>308</v>
          </cell>
          <cell r="O352">
            <v>73.599999999999994</v>
          </cell>
          <cell r="Q352">
            <v>23.9</v>
          </cell>
        </row>
        <row r="353">
          <cell r="E353">
            <v>6280299000</v>
          </cell>
          <cell r="F353" t="str">
            <v>6280299000 Otras comunicaciones</v>
          </cell>
          <cell r="K353">
            <v>381.6</v>
          </cell>
          <cell r="M353">
            <v>308</v>
          </cell>
          <cell r="O353">
            <v>73.599999999999994</v>
          </cell>
          <cell r="Q353">
            <v>23.9</v>
          </cell>
          <cell r="R353" t="str">
            <v>*9*</v>
          </cell>
        </row>
        <row r="354">
          <cell r="E354">
            <v>6280002000</v>
          </cell>
          <cell r="F354">
            <v>6280002000</v>
          </cell>
          <cell r="I354" t="str">
            <v>SUMINISTROS DE CARBURANTES Y COMBUSTIBL</v>
          </cell>
          <cell r="K354">
            <v>5599</v>
          </cell>
          <cell r="M354">
            <v>5487.76</v>
          </cell>
          <cell r="O354">
            <v>111.24</v>
          </cell>
          <cell r="Q354">
            <v>2</v>
          </cell>
        </row>
        <row r="355">
          <cell r="E355">
            <v>6280002000</v>
          </cell>
          <cell r="F355" t="str">
            <v>6280002000 Suministro de carb. y combust.</v>
          </cell>
          <cell r="K355">
            <v>5599</v>
          </cell>
          <cell r="M355">
            <v>5487.76</v>
          </cell>
          <cell r="O355">
            <v>111.24</v>
          </cell>
          <cell r="Q355">
            <v>2</v>
          </cell>
          <cell r="R355" t="str">
            <v>*9*</v>
          </cell>
        </row>
        <row r="356">
          <cell r="E356">
            <v>6280300000</v>
          </cell>
          <cell r="F356">
            <v>6280300000</v>
          </cell>
          <cell r="I356" t="str">
            <v>MATERIAL DE OFICINA</v>
          </cell>
          <cell r="K356">
            <v>2157.46</v>
          </cell>
          <cell r="M356">
            <v>2157.46</v>
          </cell>
          <cell r="O356">
            <v>0</v>
          </cell>
        </row>
        <row r="357">
          <cell r="E357">
            <v>6280300000</v>
          </cell>
          <cell r="F357" t="str">
            <v>6280300000 Material de oficina</v>
          </cell>
          <cell r="K357">
            <v>2157.46</v>
          </cell>
          <cell r="M357">
            <v>2157.46</v>
          </cell>
          <cell r="O357">
            <v>0</v>
          </cell>
          <cell r="R357" t="str">
            <v>*9*</v>
          </cell>
        </row>
        <row r="358">
          <cell r="E358">
            <v>6280302000</v>
          </cell>
          <cell r="F358">
            <v>6280302000</v>
          </cell>
          <cell r="I358" t="str">
            <v>MATERIAL DE PROTECCION Y SEGURIDAD (NO</v>
          </cell>
          <cell r="K358">
            <v>166.29</v>
          </cell>
          <cell r="M358">
            <v>166.29</v>
          </cell>
          <cell r="O358">
            <v>0</v>
          </cell>
        </row>
        <row r="359">
          <cell r="E359">
            <v>6280302000</v>
          </cell>
          <cell r="F359" t="str">
            <v>6280302000 Mater. de protección y seguridad</v>
          </cell>
          <cell r="K359">
            <v>166.29</v>
          </cell>
          <cell r="M359">
            <v>166.29</v>
          </cell>
          <cell r="O359">
            <v>0</v>
          </cell>
          <cell r="R359" t="str">
            <v>*9*</v>
          </cell>
        </row>
        <row r="360">
          <cell r="E360" t="str">
            <v>SUMINISTROS</v>
          </cell>
          <cell r="F360" t="str">
            <v>******SUMINISTROS</v>
          </cell>
          <cell r="K360">
            <v>17428.39</v>
          </cell>
          <cell r="M360">
            <v>16614.84</v>
          </cell>
          <cell r="O360">
            <v>813.55</v>
          </cell>
          <cell r="Q360">
            <v>4.9000000000000004</v>
          </cell>
          <cell r="R360" t="str">
            <v>*7*</v>
          </cell>
        </row>
        <row r="361">
          <cell r="E361">
            <v>6240000000</v>
          </cell>
          <cell r="F361">
            <v>6240000000</v>
          </cell>
          <cell r="I361" t="str">
            <v>TRANSPORTE DE  VENTAS POR CARRETERA</v>
          </cell>
          <cell r="K361">
            <v>365425.16</v>
          </cell>
          <cell r="M361">
            <v>334190.88</v>
          </cell>
          <cell r="O361">
            <v>31234.28</v>
          </cell>
          <cell r="Q361">
            <v>9.3000000000000007</v>
          </cell>
        </row>
        <row r="362">
          <cell r="E362">
            <v>6240000000</v>
          </cell>
          <cell r="F362" t="str">
            <v>6240000000 Transporte de vtas. x carretera</v>
          </cell>
          <cell r="K362">
            <v>365425.16</v>
          </cell>
          <cell r="M362">
            <v>334190.88</v>
          </cell>
          <cell r="O362">
            <v>31234.28</v>
          </cell>
          <cell r="Q362">
            <v>9.3000000000000007</v>
          </cell>
          <cell r="R362" t="str">
            <v>*9*</v>
          </cell>
        </row>
        <row r="363">
          <cell r="E363">
            <v>6290300000</v>
          </cell>
          <cell r="F363">
            <v>6290300000</v>
          </cell>
          <cell r="I363" t="str">
            <v>SERVICIOS DE LIMPIEZA</v>
          </cell>
          <cell r="K363">
            <v>601.85</v>
          </cell>
          <cell r="M363">
            <v>594.41</v>
          </cell>
          <cell r="O363">
            <v>7.44</v>
          </cell>
          <cell r="Q363">
            <v>1.3</v>
          </cell>
        </row>
        <row r="364">
          <cell r="E364">
            <v>6290300000</v>
          </cell>
          <cell r="F364" t="str">
            <v>6290300000 Servicios de limpieza</v>
          </cell>
          <cell r="K364">
            <v>601.85</v>
          </cell>
          <cell r="M364">
            <v>594.41</v>
          </cell>
          <cell r="O364">
            <v>7.44</v>
          </cell>
          <cell r="Q364">
            <v>1.3</v>
          </cell>
          <cell r="R364" t="str">
            <v>*9*</v>
          </cell>
        </row>
        <row r="365">
          <cell r="E365">
            <v>6299900000</v>
          </cell>
          <cell r="F365">
            <v>6299900000</v>
          </cell>
          <cell r="I365" t="str">
            <v>DOCUMENTACION</v>
          </cell>
          <cell r="K365">
            <v>94.8</v>
          </cell>
          <cell r="M365">
            <v>94.8</v>
          </cell>
          <cell r="O365">
            <v>0</v>
          </cell>
        </row>
        <row r="366">
          <cell r="E366">
            <v>6299900000</v>
          </cell>
          <cell r="F366" t="str">
            <v>6299900000 Documentación</v>
          </cell>
          <cell r="K366">
            <v>94.8</v>
          </cell>
          <cell r="M366">
            <v>94.8</v>
          </cell>
          <cell r="O366">
            <v>0</v>
          </cell>
          <cell r="R366" t="str">
            <v>*10*</v>
          </cell>
        </row>
        <row r="367">
          <cell r="E367">
            <v>6299906000</v>
          </cell>
          <cell r="F367">
            <v>6299906000</v>
          </cell>
          <cell r="I367" t="str">
            <v>SERVICIOS DE SEGURIDAD Y VIGILANCIA</v>
          </cell>
          <cell r="K367">
            <v>10000</v>
          </cell>
          <cell r="M367">
            <v>8000</v>
          </cell>
          <cell r="O367">
            <v>2000</v>
          </cell>
          <cell r="Q367">
            <v>25</v>
          </cell>
        </row>
        <row r="368">
          <cell r="E368">
            <v>6299906000</v>
          </cell>
          <cell r="F368" t="str">
            <v>6299906000 Servicio de seguridad y vigilancia</v>
          </cell>
          <cell r="K368">
            <v>10000</v>
          </cell>
          <cell r="M368">
            <v>8000</v>
          </cell>
          <cell r="O368">
            <v>2000</v>
          </cell>
          <cell r="Q368">
            <v>25</v>
          </cell>
          <cell r="R368" t="str">
            <v>*10*</v>
          </cell>
        </row>
        <row r="369">
          <cell r="E369">
            <v>6299999000</v>
          </cell>
          <cell r="F369">
            <v>6299999000</v>
          </cell>
          <cell r="I369" t="str">
            <v>OTROS SERVICIOS</v>
          </cell>
          <cell r="K369">
            <v>18828.169999999998</v>
          </cell>
          <cell r="M369">
            <v>18587.68</v>
          </cell>
          <cell r="O369">
            <v>240.49</v>
          </cell>
          <cell r="Q369">
            <v>1.3</v>
          </cell>
        </row>
        <row r="370">
          <cell r="E370">
            <v>6299999000</v>
          </cell>
          <cell r="F370" t="str">
            <v>6299999000 Otros servicios</v>
          </cell>
          <cell r="K370">
            <v>18828.169999999998</v>
          </cell>
          <cell r="M370">
            <v>18587.68</v>
          </cell>
          <cell r="O370">
            <v>240.49</v>
          </cell>
          <cell r="Q370">
            <v>1.3</v>
          </cell>
          <cell r="R370" t="str">
            <v>*10*</v>
          </cell>
        </row>
        <row r="371">
          <cell r="E371" t="str">
            <v>OTROS SERVICIOS</v>
          </cell>
          <cell r="F371" t="str">
            <v>******OTROS SERVICIOS</v>
          </cell>
          <cell r="K371">
            <v>394949.98</v>
          </cell>
          <cell r="M371">
            <v>361467.77</v>
          </cell>
          <cell r="O371">
            <v>33482.21</v>
          </cell>
          <cell r="Q371">
            <v>9.3000000000000007</v>
          </cell>
          <cell r="R371" t="str">
            <v>*7*</v>
          </cell>
        </row>
        <row r="372">
          <cell r="E372">
            <v>8302681300</v>
          </cell>
          <cell r="F372">
            <v>8302681300</v>
          </cell>
          <cell r="I372" t="str">
            <v>AMORTIZACION DE FONDO DE COMERCIO (GAAP</v>
          </cell>
          <cell r="K372">
            <v>338068.59</v>
          </cell>
          <cell r="M372">
            <v>300505.32</v>
          </cell>
          <cell r="O372">
            <v>37563.269999999997</v>
          </cell>
          <cell r="Q372">
            <v>12.5</v>
          </cell>
        </row>
        <row r="373">
          <cell r="E373">
            <v>6813000000</v>
          </cell>
          <cell r="F373" t="str">
            <v>6813000000 Amortizacion fondo de comercio</v>
          </cell>
          <cell r="K373">
            <v>338068.59</v>
          </cell>
          <cell r="M373">
            <v>300505.32</v>
          </cell>
          <cell r="O373">
            <v>37563.269999999997</v>
          </cell>
          <cell r="Q373">
            <v>12.5</v>
          </cell>
          <cell r="R373" t="str">
            <v>*8*</v>
          </cell>
        </row>
        <row r="374">
          <cell r="E374">
            <v>8302682100</v>
          </cell>
          <cell r="F374">
            <v>8302682100</v>
          </cell>
          <cell r="I374" t="str">
            <v>AMORTIZACION DE EDIFICIOS EN EE.S. (GAA</v>
          </cell>
          <cell r="K374">
            <v>34381.660000000003</v>
          </cell>
          <cell r="M374">
            <v>30561.38</v>
          </cell>
          <cell r="O374">
            <v>3820.28</v>
          </cell>
          <cell r="Q374">
            <v>12.5</v>
          </cell>
        </row>
        <row r="375">
          <cell r="E375">
            <v>6821000000</v>
          </cell>
          <cell r="F375" t="str">
            <v>6821000000 Amortiz. de Edificios en EE.SS.</v>
          </cell>
          <cell r="K375">
            <v>34381.660000000003</v>
          </cell>
          <cell r="M375">
            <v>30561.38</v>
          </cell>
          <cell r="O375">
            <v>3820.28</v>
          </cell>
          <cell r="Q375">
            <v>12.5</v>
          </cell>
          <cell r="R375" t="str">
            <v>*8*</v>
          </cell>
        </row>
        <row r="376">
          <cell r="E376">
            <v>8302682200</v>
          </cell>
          <cell r="F376">
            <v>8302682200</v>
          </cell>
          <cell r="I376" t="str">
            <v>AMORTIZACION DE INSTALACIONES DE EE.S.</v>
          </cell>
          <cell r="K376">
            <v>306211.52</v>
          </cell>
          <cell r="M376">
            <v>272252.40000000002</v>
          </cell>
          <cell r="O376">
            <v>33959.120000000003</v>
          </cell>
          <cell r="Q376">
            <v>12.5</v>
          </cell>
        </row>
        <row r="377">
          <cell r="E377">
            <v>6822000000</v>
          </cell>
          <cell r="F377" t="str">
            <v>6822000000 Amortiz. de Instalac. en EE.SS.</v>
          </cell>
          <cell r="K377">
            <v>306211.52</v>
          </cell>
          <cell r="M377">
            <v>272252.40000000002</v>
          </cell>
          <cell r="O377">
            <v>33959.120000000003</v>
          </cell>
          <cell r="Q377">
            <v>12.5</v>
          </cell>
          <cell r="R377" t="str">
            <v>*8*</v>
          </cell>
        </row>
        <row r="378">
          <cell r="E378">
            <v>8302682300</v>
          </cell>
          <cell r="F378">
            <v>8302682300</v>
          </cell>
          <cell r="I378" t="str">
            <v>AMORTIZACION DE MAQUINARIA (GAAP)</v>
          </cell>
          <cell r="K378">
            <v>1846.38</v>
          </cell>
          <cell r="M378">
            <v>1673.8</v>
          </cell>
          <cell r="O378">
            <v>172.58</v>
          </cell>
          <cell r="Q378">
            <v>10.3</v>
          </cell>
        </row>
        <row r="379">
          <cell r="E379">
            <v>6823000000</v>
          </cell>
          <cell r="F379" t="str">
            <v>6823000000 Amortiz. de Maquinaria</v>
          </cell>
          <cell r="K379">
            <v>1846.38</v>
          </cell>
          <cell r="M379">
            <v>1673.8</v>
          </cell>
          <cell r="O379">
            <v>172.58</v>
          </cell>
          <cell r="Q379">
            <v>10.3</v>
          </cell>
          <cell r="R379" t="str">
            <v>*8*</v>
          </cell>
        </row>
        <row r="380">
          <cell r="E380">
            <v>8302682600</v>
          </cell>
          <cell r="F380">
            <v>8302682600</v>
          </cell>
          <cell r="I380" t="str">
            <v>AMORTIZACION DE MOBILIARIO (GAAP)</v>
          </cell>
          <cell r="K380">
            <v>3773.3</v>
          </cell>
          <cell r="M380">
            <v>3467.42</v>
          </cell>
          <cell r="O380">
            <v>305.88</v>
          </cell>
          <cell r="Q380">
            <v>8.8000000000000007</v>
          </cell>
        </row>
        <row r="381">
          <cell r="E381">
            <v>6826000000</v>
          </cell>
          <cell r="F381" t="str">
            <v>6826000000 Amortiz. de Mobiliario</v>
          </cell>
          <cell r="K381">
            <v>3773.3</v>
          </cell>
          <cell r="M381">
            <v>3467.42</v>
          </cell>
          <cell r="O381">
            <v>305.88</v>
          </cell>
          <cell r="Q381">
            <v>8.8000000000000007</v>
          </cell>
          <cell r="R381" t="str">
            <v>*8*</v>
          </cell>
        </row>
        <row r="382">
          <cell r="E382">
            <v>8302682700</v>
          </cell>
          <cell r="F382">
            <v>8302682700</v>
          </cell>
          <cell r="I382" t="str">
            <v>AMORTIZACION DE EQ. PROCESO DE DATOS (G</v>
          </cell>
          <cell r="K382">
            <v>2804.18</v>
          </cell>
          <cell r="M382">
            <v>2558.16</v>
          </cell>
          <cell r="O382">
            <v>246.02</v>
          </cell>
          <cell r="Q382">
            <v>9.6</v>
          </cell>
        </row>
        <row r="383">
          <cell r="E383">
            <v>6827000000</v>
          </cell>
          <cell r="F383" t="str">
            <v>6827000000 Amortiz. de Eq. en proceso</v>
          </cell>
          <cell r="K383">
            <v>2804.18</v>
          </cell>
          <cell r="M383">
            <v>2558.16</v>
          </cell>
          <cell r="O383">
            <v>246.02</v>
          </cell>
          <cell r="Q383">
            <v>9.6</v>
          </cell>
          <cell r="R383" t="str">
            <v>*8*</v>
          </cell>
        </row>
        <row r="384">
          <cell r="E384" t="str">
            <v>AMORTIZACIONES</v>
          </cell>
          <cell r="F384" t="str">
            <v>******AMORTIZACIONES</v>
          </cell>
          <cell r="K384">
            <v>687085.63</v>
          </cell>
          <cell r="M384">
            <v>611018.48</v>
          </cell>
          <cell r="O384">
            <v>76067.149999999994</v>
          </cell>
          <cell r="Q384">
            <v>12.4</v>
          </cell>
          <cell r="R384" t="str">
            <v>*6*</v>
          </cell>
        </row>
        <row r="385">
          <cell r="E385" t="str">
            <v>GASTOS OPERATIVOS</v>
          </cell>
          <cell r="F385" t="str">
            <v>*****GASTOS OPERATIVOS</v>
          </cell>
          <cell r="K385">
            <v>31163798.02</v>
          </cell>
          <cell r="M385">
            <v>27806566.210000001</v>
          </cell>
          <cell r="O385">
            <v>3357231.81</v>
          </cell>
          <cell r="Q385">
            <v>12.1</v>
          </cell>
          <cell r="R385" t="str">
            <v>*5*</v>
          </cell>
        </row>
        <row r="386">
          <cell r="E386" t="str">
            <v>==========</v>
          </cell>
          <cell r="F386" t="str">
            <v>=============================================</v>
          </cell>
        </row>
        <row r="387">
          <cell r="E387" t="str">
            <v>RESULTADO OPERATIVO</v>
          </cell>
          <cell r="F387" t="str">
            <v>****RESULTADO OPERATIVO</v>
          </cell>
          <cell r="K387">
            <v>189477.34</v>
          </cell>
          <cell r="M387">
            <v>161540.39000000001</v>
          </cell>
          <cell r="O387">
            <v>27936.95</v>
          </cell>
          <cell r="Q387">
            <v>17.3</v>
          </cell>
          <cell r="R387" t="str">
            <v>*4*</v>
          </cell>
        </row>
        <row r="388">
          <cell r="E388" t="str">
            <v>==========</v>
          </cell>
          <cell r="F388" t="str">
            <v>=============================================</v>
          </cell>
        </row>
        <row r="389">
          <cell r="E389">
            <v>7690300000</v>
          </cell>
          <cell r="F389">
            <v>7690300000</v>
          </cell>
          <cell r="I389" t="str">
            <v>INTERESES DE DEUDAS COMERCIALES</v>
          </cell>
          <cell r="K389">
            <v>-5166.68</v>
          </cell>
          <cell r="M389">
            <v>-4098.93</v>
          </cell>
          <cell r="O389">
            <v>-1067.75</v>
          </cell>
          <cell r="Q389">
            <v>-26</v>
          </cell>
        </row>
        <row r="390">
          <cell r="E390">
            <v>7690300000</v>
          </cell>
          <cell r="F390" t="str">
            <v>7690300000 Intereses de deudas comerciales</v>
          </cell>
          <cell r="K390">
            <v>-5166.68</v>
          </cell>
          <cell r="M390">
            <v>-4098.93</v>
          </cell>
          <cell r="O390">
            <v>-1067.75</v>
          </cell>
          <cell r="Q390">
            <v>-26</v>
          </cell>
          <cell r="R390" t="str">
            <v>*7*</v>
          </cell>
        </row>
        <row r="391">
          <cell r="E391">
            <v>7690900000</v>
          </cell>
          <cell r="F391">
            <v>7690900000</v>
          </cell>
          <cell r="I391" t="str">
            <v>OTROS INGRESOS FINANCIEROS</v>
          </cell>
          <cell r="K391">
            <v>-12240.38</v>
          </cell>
          <cell r="M391">
            <v>-10940.93</v>
          </cell>
          <cell r="O391">
            <v>-1299.45</v>
          </cell>
          <cell r="Q391">
            <v>-11.9</v>
          </cell>
        </row>
        <row r="392">
          <cell r="E392">
            <v>7690900000</v>
          </cell>
          <cell r="F392" t="str">
            <v>7690900000 Otros ingresos financieros</v>
          </cell>
          <cell r="K392">
            <v>-12240.38</v>
          </cell>
          <cell r="M392">
            <v>-10940.93</v>
          </cell>
          <cell r="O392">
            <v>-1299.45</v>
          </cell>
          <cell r="Q392">
            <v>-11.9</v>
          </cell>
          <cell r="R392" t="str">
            <v>*7*</v>
          </cell>
        </row>
        <row r="393">
          <cell r="E393" t="str">
            <v>INGRESOS FINANCIEROS</v>
          </cell>
          <cell r="F393" t="str">
            <v>*****INGRESOS FINANCIEROS</v>
          </cell>
          <cell r="K393">
            <v>-17407.060000000001</v>
          </cell>
          <cell r="M393">
            <v>-15039.86</v>
          </cell>
          <cell r="O393">
            <v>-2367.1999999999998</v>
          </cell>
          <cell r="Q393">
            <v>-15.7</v>
          </cell>
          <cell r="R393" t="str">
            <v>*5*</v>
          </cell>
        </row>
        <row r="394">
          <cell r="E394">
            <v>6633900000</v>
          </cell>
          <cell r="F394">
            <v>6633900000</v>
          </cell>
          <cell r="I394" t="str">
            <v>INTERESES DE OTRAS DEUDAS A CORTO PLAZO</v>
          </cell>
          <cell r="K394">
            <v>122.91</v>
          </cell>
          <cell r="M394">
            <v>122.91</v>
          </cell>
          <cell r="O394">
            <v>0</v>
          </cell>
        </row>
        <row r="395">
          <cell r="E395">
            <v>6633900000</v>
          </cell>
          <cell r="F395" t="str">
            <v>6633900000 Inter. de otras deudas a cp</v>
          </cell>
          <cell r="K395">
            <v>122.91</v>
          </cell>
          <cell r="M395">
            <v>122.91</v>
          </cell>
          <cell r="O395">
            <v>0</v>
          </cell>
          <cell r="R395" t="str">
            <v>*7*</v>
          </cell>
        </row>
        <row r="396">
          <cell r="E396">
            <v>6653000000</v>
          </cell>
          <cell r="F396">
            <v>6653000000</v>
          </cell>
          <cell r="I396" t="str">
            <v>DESCUENTO S/ VENTAS POR PRONTO PAGO A O</v>
          </cell>
          <cell r="K396">
            <v>15.84</v>
          </cell>
          <cell r="M396">
            <v>15.84</v>
          </cell>
          <cell r="O396">
            <v>0</v>
          </cell>
        </row>
        <row r="397">
          <cell r="E397">
            <v>6653000000</v>
          </cell>
          <cell r="F397" t="str">
            <v>6653000000 Descto. s/vtas. pronto pago OE</v>
          </cell>
          <cell r="K397">
            <v>15.84</v>
          </cell>
          <cell r="M397">
            <v>15.84</v>
          </cell>
          <cell r="O397">
            <v>0</v>
          </cell>
          <cell r="R397" t="str">
            <v>*7*</v>
          </cell>
        </row>
        <row r="398">
          <cell r="E398">
            <v>6699000000</v>
          </cell>
          <cell r="F398">
            <v>6699000000</v>
          </cell>
          <cell r="I398" t="str">
            <v>OTROS GASTOS FINANCIEROS</v>
          </cell>
          <cell r="K398">
            <v>5.86</v>
          </cell>
          <cell r="M398">
            <v>5.86</v>
          </cell>
          <cell r="O398">
            <v>0</v>
          </cell>
        </row>
        <row r="399">
          <cell r="E399">
            <v>6699000000</v>
          </cell>
          <cell r="F399" t="str">
            <v>6699000000 Otros gastos financieros</v>
          </cell>
          <cell r="K399">
            <v>5.86</v>
          </cell>
          <cell r="M399">
            <v>5.86</v>
          </cell>
          <cell r="O399">
            <v>0</v>
          </cell>
          <cell r="R399" t="str">
            <v>*7*</v>
          </cell>
        </row>
        <row r="400">
          <cell r="E400">
            <v>6940000000</v>
          </cell>
          <cell r="F400">
            <v>6940000000</v>
          </cell>
          <cell r="I400" t="str">
            <v>DOTACION A LA PROVISION P/INSOLVENCIAS</v>
          </cell>
          <cell r="K400">
            <v>19588.32</v>
          </cell>
          <cell r="M400">
            <v>4799.32</v>
          </cell>
          <cell r="O400">
            <v>14789</v>
          </cell>
          <cell r="Q400">
            <v>308.10000000000002</v>
          </cell>
        </row>
        <row r="401">
          <cell r="E401">
            <v>6940000000</v>
          </cell>
          <cell r="F401" t="str">
            <v>6940000000 Dot. prov. p/insolvencia de client</v>
          </cell>
          <cell r="K401">
            <v>19588.32</v>
          </cell>
          <cell r="M401">
            <v>4799.32</v>
          </cell>
          <cell r="O401">
            <v>14789</v>
          </cell>
          <cell r="Q401">
            <v>308.10000000000002</v>
          </cell>
          <cell r="R401" t="str">
            <v>*7*</v>
          </cell>
        </row>
        <row r="402">
          <cell r="E402" t="str">
            <v>GASTOS FINANCIEROS</v>
          </cell>
          <cell r="F402" t="str">
            <v>*****GASTOS FINANCIEROS</v>
          </cell>
          <cell r="K402">
            <v>19732.93</v>
          </cell>
          <cell r="M402">
            <v>4943.93</v>
          </cell>
          <cell r="O402">
            <v>14789</v>
          </cell>
          <cell r="Q402">
            <v>299.10000000000002</v>
          </cell>
          <cell r="R402" t="str">
            <v>*5*</v>
          </cell>
        </row>
        <row r="403">
          <cell r="E403" t="str">
            <v>RESULTADO FINANCIERO</v>
          </cell>
          <cell r="F403" t="str">
            <v>****RESULTADO FINANCIERO</v>
          </cell>
          <cell r="K403">
            <v>2325.87</v>
          </cell>
          <cell r="M403">
            <v>-10095.93</v>
          </cell>
          <cell r="O403">
            <v>12421.8</v>
          </cell>
          <cell r="Q403">
            <v>123</v>
          </cell>
          <cell r="R403" t="str">
            <v>*4*</v>
          </cell>
        </row>
        <row r="404">
          <cell r="E404" t="str">
            <v>==========</v>
          </cell>
          <cell r="F404" t="str">
            <v>=============================================</v>
          </cell>
        </row>
        <row r="405">
          <cell r="E405">
            <v>6789900000</v>
          </cell>
          <cell r="F405">
            <v>6789900000</v>
          </cell>
          <cell r="I405" t="str">
            <v>OTROS GASTOS EXTRAORDINARIOS</v>
          </cell>
          <cell r="K405">
            <v>23.71</v>
          </cell>
          <cell r="M405">
            <v>23.71</v>
          </cell>
          <cell r="O405">
            <v>0</v>
          </cell>
        </row>
        <row r="406">
          <cell r="E406">
            <v>6789900000</v>
          </cell>
          <cell r="F406" t="str">
            <v>6789900000 Otros gastos extraordinarios</v>
          </cell>
          <cell r="K406">
            <v>23.71</v>
          </cell>
          <cell r="M406">
            <v>23.71</v>
          </cell>
          <cell r="O406">
            <v>0</v>
          </cell>
          <cell r="R406" t="str">
            <v>*7*</v>
          </cell>
        </row>
        <row r="407">
          <cell r="E407">
            <v>6790000000</v>
          </cell>
          <cell r="F407">
            <v>6790000000</v>
          </cell>
          <cell r="I407" t="str">
            <v>GASTOS Y PERDIDAS DE EJERCICIOS ANTERIO</v>
          </cell>
          <cell r="K407">
            <v>58514</v>
          </cell>
          <cell r="M407">
            <v>46514</v>
          </cell>
          <cell r="O407">
            <v>12000</v>
          </cell>
          <cell r="Q407">
            <v>25.8</v>
          </cell>
        </row>
        <row r="408">
          <cell r="E408">
            <v>6790000000</v>
          </cell>
          <cell r="F408" t="str">
            <v>6790000000 Gastos y perdidas de ejerc. anter.</v>
          </cell>
          <cell r="K408">
            <v>58514</v>
          </cell>
          <cell r="M408">
            <v>46514</v>
          </cell>
          <cell r="O408">
            <v>12000</v>
          </cell>
          <cell r="Q408">
            <v>25.8</v>
          </cell>
          <cell r="R408" t="str">
            <v>*7*</v>
          </cell>
        </row>
        <row r="409">
          <cell r="E409">
            <v>7940000000</v>
          </cell>
          <cell r="F409">
            <v>7940000000</v>
          </cell>
          <cell r="I409" t="str">
            <v>PROVISION PARA INSOLVENCIAS DE CLIENTES</v>
          </cell>
          <cell r="K409">
            <v>-55652.639999999999</v>
          </cell>
          <cell r="M409">
            <v>-55652.639999999999</v>
          </cell>
          <cell r="O409">
            <v>0</v>
          </cell>
        </row>
        <row r="410">
          <cell r="E410">
            <v>7940000000</v>
          </cell>
          <cell r="F410" t="str">
            <v>7940000000 Provis. p/insolv. clientes aplic.</v>
          </cell>
          <cell r="K410">
            <v>-55652.639999999999</v>
          </cell>
          <cell r="M410">
            <v>-55652.639999999999</v>
          </cell>
          <cell r="O410">
            <v>0</v>
          </cell>
          <cell r="R410" t="str">
            <v>*7*</v>
          </cell>
        </row>
        <row r="411">
          <cell r="E411">
            <v>7780099900</v>
          </cell>
          <cell r="F411">
            <v>7780099900</v>
          </cell>
          <cell r="I411" t="str">
            <v>OTROS INGRESOS EXTRAORDINARIOS</v>
          </cell>
          <cell r="K411">
            <v>-566.80999999999995</v>
          </cell>
          <cell r="M411">
            <v>-566.80999999999995</v>
          </cell>
          <cell r="O411">
            <v>0</v>
          </cell>
        </row>
        <row r="412">
          <cell r="E412">
            <v>7780099900</v>
          </cell>
          <cell r="F412" t="str">
            <v>7780099900 Otros ingresos extraordinarios</v>
          </cell>
          <cell r="K412">
            <v>-566.80999999999995</v>
          </cell>
          <cell r="M412">
            <v>-566.80999999999995</v>
          </cell>
          <cell r="O412">
            <v>0</v>
          </cell>
          <cell r="R412" t="str">
            <v>*7*</v>
          </cell>
        </row>
        <row r="413">
          <cell r="E413">
            <v>7790000000</v>
          </cell>
          <cell r="F413">
            <v>7790000000</v>
          </cell>
          <cell r="I413" t="str">
            <v>INGRESOS Y BENEFICIOS DE EJERCICIOS ANT</v>
          </cell>
          <cell r="K413">
            <v>-1062.6199999999999</v>
          </cell>
          <cell r="M413">
            <v>-1062.6199999999999</v>
          </cell>
          <cell r="O413">
            <v>0</v>
          </cell>
        </row>
        <row r="414">
          <cell r="E414">
            <v>7790000000</v>
          </cell>
          <cell r="F414" t="str">
            <v>7790000000 Ingr. y benef. de ejerc. anter.</v>
          </cell>
          <cell r="K414">
            <v>-1062.6199999999999</v>
          </cell>
          <cell r="M414">
            <v>-1062.6199999999999</v>
          </cell>
          <cell r="O414">
            <v>0</v>
          </cell>
          <cell r="R414" t="str">
            <v>*7*</v>
          </cell>
        </row>
        <row r="415">
          <cell r="E415" t="str">
            <v>RESULTADOS EXTRAORDINARIOS</v>
          </cell>
          <cell r="F415" t="str">
            <v>****RESULTADOS EXTRAORDINARIOS</v>
          </cell>
          <cell r="K415">
            <v>1255.6400000000001</v>
          </cell>
          <cell r="M415">
            <v>-10744.36</v>
          </cell>
          <cell r="O415">
            <v>12000</v>
          </cell>
          <cell r="Q415">
            <v>111.7</v>
          </cell>
          <cell r="R415" t="str">
            <v>*4*</v>
          </cell>
        </row>
        <row r="416">
          <cell r="E416" t="str">
            <v>==========</v>
          </cell>
          <cell r="F416" t="str">
            <v>=============================================</v>
          </cell>
        </row>
        <row r="417">
          <cell r="E417" t="str">
            <v>BENEFICIOS ANTES DE IMPUESTOS</v>
          </cell>
          <cell r="F417" t="str">
            <v>***BENEFICIOS ANTES DE IMPUESTOS</v>
          </cell>
          <cell r="K417">
            <v>193058.85</v>
          </cell>
          <cell r="M417">
            <v>140700.1</v>
          </cell>
          <cell r="O417">
            <v>52358.75</v>
          </cell>
          <cell r="Q417">
            <v>37.200000000000003</v>
          </cell>
          <cell r="R417" t="str">
            <v>*3*</v>
          </cell>
        </row>
        <row r="418">
          <cell r="E418" t="str">
            <v>==========</v>
          </cell>
          <cell r="F418" t="str">
            <v>=============================================</v>
          </cell>
        </row>
        <row r="420">
          <cell r="E420" t="str">
            <v>TOTAL BENEFICIOS D.D.I. Y ANTES SOC. EXTER.</v>
          </cell>
          <cell r="F420" t="str">
            <v>**TOTAL BENEFICIOS D.D.I. Y ANTES SOC. EXTER.</v>
          </cell>
          <cell r="K420">
            <v>193058.85</v>
          </cell>
          <cell r="M420">
            <v>140700.1</v>
          </cell>
          <cell r="O420">
            <v>52358.75</v>
          </cell>
          <cell r="Q420">
            <v>37.200000000000003</v>
          </cell>
          <cell r="R420" t="str">
            <v>*2*</v>
          </cell>
        </row>
        <row r="422">
          <cell r="E422" t="str">
            <v>TOTAL BENEFICIO NETO DEL PERIODO</v>
          </cell>
          <cell r="F422" t="str">
            <v>*TOTAL BENEFICIO NETO DEL PERIODO</v>
          </cell>
          <cell r="K422">
            <v>193058.85</v>
          </cell>
          <cell r="M422">
            <v>140700.1</v>
          </cell>
          <cell r="O422">
            <v>52358.75</v>
          </cell>
          <cell r="Q422">
            <v>37.200000000000003</v>
          </cell>
          <cell r="R422" t="str">
            <v>*1*</v>
          </cell>
        </row>
        <row r="423">
          <cell r="E423" t="str">
            <v>==========</v>
          </cell>
          <cell r="F423" t="str">
            <v>=============================================</v>
          </cell>
        </row>
        <row r="430">
          <cell r="G430" t="str">
            <v>División</v>
          </cell>
          <cell r="H430" t="str">
            <v>****</v>
          </cell>
          <cell r="N430" t="str">
            <v>Imptes en</v>
          </cell>
          <cell r="P430" t="str">
            <v>USD</v>
          </cell>
        </row>
        <row r="432">
          <cell r="E432" t="str">
            <v>Textos....</v>
          </cell>
          <cell r="F432" t="str">
            <v>Textos............................................</v>
          </cell>
          <cell r="J432" t="str">
            <v>..Interv.informe.</v>
          </cell>
          <cell r="L432" t="str">
            <v>..Comp. periodos</v>
          </cell>
          <cell r="O432" t="str">
            <v>absolutos</v>
          </cell>
          <cell r="Q432" t="str">
            <v>Rel</v>
          </cell>
          <cell r="R432" t="str">
            <v xml:space="preserve"> Tot</v>
          </cell>
        </row>
        <row r="433">
          <cell r="E433" t="str">
            <v>..........</v>
          </cell>
          <cell r="F433" t="str">
            <v>..................................................</v>
          </cell>
          <cell r="J433" t="str">
            <v>(01.2004-09.2004)</v>
          </cell>
          <cell r="L433" t="str">
            <v>(01.2004-08.2004)</v>
          </cell>
          <cell r="O433" t="str">
            <v>Desviación</v>
          </cell>
          <cell r="Q433" t="str">
            <v>Dsv</v>
          </cell>
          <cell r="R433" t="str">
            <v>Etapa</v>
          </cell>
        </row>
        <row r="435">
          <cell r="K435">
            <v>-193058.85</v>
          </cell>
          <cell r="M435">
            <v>-140700.1</v>
          </cell>
          <cell r="O435">
            <v>-52358.75</v>
          </cell>
          <cell r="Q435">
            <v>-37.200000000000003</v>
          </cell>
          <cell r="R435" t="str">
            <v>*1*</v>
          </cell>
        </row>
        <row r="440">
          <cell r="G440" t="str">
            <v>División</v>
          </cell>
          <cell r="H440" t="str">
            <v>****</v>
          </cell>
          <cell r="N440" t="str">
            <v>Imptes en</v>
          </cell>
          <cell r="P440" t="str">
            <v>USD</v>
          </cell>
        </row>
        <row r="442">
          <cell r="E442" t="str">
            <v>Textos....</v>
          </cell>
          <cell r="F442" t="str">
            <v>Textos............................................</v>
          </cell>
          <cell r="J442" t="str">
            <v>..Interv.informe.</v>
          </cell>
          <cell r="L442" t="str">
            <v>..Comp. periodos</v>
          </cell>
          <cell r="O442" t="str">
            <v>absolutos</v>
          </cell>
          <cell r="Q442" t="str">
            <v>Rel</v>
          </cell>
          <cell r="R442" t="str">
            <v xml:space="preserve"> Tot</v>
          </cell>
        </row>
        <row r="443">
          <cell r="E443" t="str">
            <v>..........</v>
          </cell>
          <cell r="F443" t="str">
            <v>..................................................</v>
          </cell>
          <cell r="J443" t="str">
            <v>(01.2004-09.2004)</v>
          </cell>
          <cell r="L443" t="str">
            <v>(01.2004-08.2004)</v>
          </cell>
          <cell r="O443" t="str">
            <v>Desviación</v>
          </cell>
          <cell r="Q443" t="str">
            <v>Dsv</v>
          </cell>
          <cell r="R443" t="str">
            <v>Etapa</v>
          </cell>
        </row>
        <row r="445">
          <cell r="E445" t="str">
            <v>CUENTAS NO</v>
          </cell>
          <cell r="F445" t="str">
            <v>CUENTAS NO ASIGNADAS</v>
          </cell>
        </row>
        <row r="447">
          <cell r="E447">
            <v>2800000000</v>
          </cell>
          <cell r="F447">
            <v>2800000000</v>
          </cell>
          <cell r="I447" t="str">
            <v>AMZ. ACUMULADA DE GASTOS DE CONSTITUCIO</v>
          </cell>
          <cell r="K447">
            <v>-5621.67</v>
          </cell>
          <cell r="M447">
            <v>-5621.67</v>
          </cell>
          <cell r="O447">
            <v>0</v>
          </cell>
        </row>
        <row r="448">
          <cell r="E448">
            <v>2813000000</v>
          </cell>
          <cell r="F448">
            <v>2813000000</v>
          </cell>
          <cell r="I448" t="str">
            <v>AMZ. ACUMULADA DEL FONDO DE COMERCIO. C</v>
          </cell>
          <cell r="K448">
            <v>-1464587.1</v>
          </cell>
          <cell r="M448">
            <v>-1427341.95</v>
          </cell>
          <cell r="O448">
            <v>-37245.15</v>
          </cell>
          <cell r="Q448">
            <v>-2.6</v>
          </cell>
        </row>
        <row r="449">
          <cell r="E449">
            <v>2815000000</v>
          </cell>
          <cell r="F449">
            <v>2815000000</v>
          </cell>
          <cell r="I449" t="str">
            <v>AMZ. ACUMULADA APLICACIONES INFORMATICA</v>
          </cell>
          <cell r="K449">
            <v>-8579.98</v>
          </cell>
          <cell r="M449">
            <v>-8261.86</v>
          </cell>
          <cell r="O449">
            <v>-318.12</v>
          </cell>
          <cell r="Q449">
            <v>-3.9</v>
          </cell>
        </row>
        <row r="450">
          <cell r="E450">
            <v>2821002000</v>
          </cell>
          <cell r="F450">
            <v>2821002000</v>
          </cell>
          <cell r="I450" t="str">
            <v>AMORTIZACION ACUMULADA DE EDIFICIOS EN</v>
          </cell>
          <cell r="K450">
            <v>-17278.86</v>
          </cell>
          <cell r="M450">
            <v>-16832.810000000001</v>
          </cell>
          <cell r="O450">
            <v>-446.05</v>
          </cell>
          <cell r="Q450">
            <v>-2.6</v>
          </cell>
        </row>
        <row r="451">
          <cell r="E451">
            <v>2822002000</v>
          </cell>
          <cell r="F451">
            <v>2822002000</v>
          </cell>
          <cell r="I451" t="str">
            <v>AMZ. AC. DE INSTAL. DE CARGADEROS Y DES</v>
          </cell>
          <cell r="K451">
            <v>-71547.990000000005</v>
          </cell>
          <cell r="M451">
            <v>-68173.759999999995</v>
          </cell>
          <cell r="O451">
            <v>-3374.23</v>
          </cell>
          <cell r="Q451">
            <v>-4.9000000000000004</v>
          </cell>
        </row>
        <row r="452">
          <cell r="E452">
            <v>2822006000</v>
          </cell>
          <cell r="F452">
            <v>2822006000</v>
          </cell>
          <cell r="I452" t="str">
            <v>AMZ. ACUMULADA DE INSTALACIONES DE EE.S</v>
          </cell>
          <cell r="K452">
            <v>-1306797.48</v>
          </cell>
          <cell r="M452">
            <v>-1272838.3600000001</v>
          </cell>
          <cell r="O452">
            <v>-33959.120000000003</v>
          </cell>
          <cell r="Q452">
            <v>-2.7</v>
          </cell>
        </row>
        <row r="453">
          <cell r="E453">
            <v>2826000000</v>
          </cell>
          <cell r="F453">
            <v>2826000000</v>
          </cell>
          <cell r="I453" t="str">
            <v>AMORTIZACION ACUMULADA DE MOBILIARIO</v>
          </cell>
          <cell r="K453">
            <v>-10208.17</v>
          </cell>
          <cell r="M453">
            <v>-10035.59</v>
          </cell>
          <cell r="O453">
            <v>-172.58</v>
          </cell>
          <cell r="Q453">
            <v>-1.7</v>
          </cell>
        </row>
        <row r="454">
          <cell r="E454">
            <v>2826001000</v>
          </cell>
          <cell r="F454">
            <v>2826001000</v>
          </cell>
          <cell r="I454" t="str">
            <v>AMORTIZACION ACUMULADA DE EQUIPOS DE OF</v>
          </cell>
          <cell r="K454">
            <v>-8299.4699999999993</v>
          </cell>
          <cell r="M454">
            <v>-8173.63</v>
          </cell>
          <cell r="O454">
            <v>-125.84</v>
          </cell>
          <cell r="Q454">
            <v>-1.5</v>
          </cell>
        </row>
        <row r="455">
          <cell r="E455">
            <v>2826002000</v>
          </cell>
          <cell r="F455">
            <v>2826002000</v>
          </cell>
          <cell r="I455" t="str">
            <v>AMORTIZACION ACUMULADA DE ENSERES DIVER</v>
          </cell>
          <cell r="K455">
            <v>-199.51</v>
          </cell>
          <cell r="M455">
            <v>-194.53</v>
          </cell>
          <cell r="O455">
            <v>-4.9800000000000004</v>
          </cell>
          <cell r="Q455">
            <v>-2.6</v>
          </cell>
        </row>
        <row r="456">
          <cell r="E456">
            <v>2827000000</v>
          </cell>
          <cell r="F456">
            <v>2827000000</v>
          </cell>
          <cell r="I456" t="str">
            <v>AMZ. ACUMULADA DE EQUIPOS PARA PROCESO</v>
          </cell>
          <cell r="K456">
            <v>-16536.95</v>
          </cell>
          <cell r="M456">
            <v>-16361.89</v>
          </cell>
          <cell r="O456">
            <v>-175.06</v>
          </cell>
          <cell r="Q456">
            <v>-1.1000000000000001</v>
          </cell>
        </row>
        <row r="457">
          <cell r="E457">
            <v>2828000000</v>
          </cell>
          <cell r="F457">
            <v>2828000000</v>
          </cell>
          <cell r="I457" t="str">
            <v>AMZ.AC. ELEMENTOS TRANSPORTE POR CARRET</v>
          </cell>
          <cell r="K457">
            <v>-9408.84</v>
          </cell>
          <cell r="M457">
            <v>-9162.82</v>
          </cell>
          <cell r="O457">
            <v>-246.02</v>
          </cell>
          <cell r="Q457">
            <v>-2.7</v>
          </cell>
        </row>
        <row r="458">
          <cell r="E458">
            <v>6813000000</v>
          </cell>
          <cell r="F458">
            <v>6813000000</v>
          </cell>
          <cell r="I458" t="str">
            <v>AMORTIZACION DE FONDO DE COMERCIO</v>
          </cell>
          <cell r="K458">
            <v>335205.84000000003</v>
          </cell>
          <cell r="M458">
            <v>297960.69</v>
          </cell>
          <cell r="O458">
            <v>37245.15</v>
          </cell>
          <cell r="Q458">
            <v>12.5</v>
          </cell>
        </row>
        <row r="459">
          <cell r="E459">
            <v>6815000000</v>
          </cell>
          <cell r="F459">
            <v>6815000000</v>
          </cell>
          <cell r="I459" t="str">
            <v>AMORTIZACION DE APLICACIONES INFORMATIC</v>
          </cell>
          <cell r="K459">
            <v>2862.75</v>
          </cell>
          <cell r="M459">
            <v>2544.63</v>
          </cell>
          <cell r="O459">
            <v>318.12</v>
          </cell>
          <cell r="Q459">
            <v>12.5</v>
          </cell>
        </row>
        <row r="460">
          <cell r="E460">
            <v>6821002000</v>
          </cell>
          <cell r="F460">
            <v>6821002000</v>
          </cell>
          <cell r="I460" t="str">
            <v>AMORTIZACION DE EDIFICIOS EN ESTACIONES</v>
          </cell>
          <cell r="K460">
            <v>4014.23</v>
          </cell>
          <cell r="M460">
            <v>3568.18</v>
          </cell>
          <cell r="O460">
            <v>446.05</v>
          </cell>
          <cell r="Q460">
            <v>12.5</v>
          </cell>
        </row>
        <row r="461">
          <cell r="E461">
            <v>6822002000</v>
          </cell>
          <cell r="F461">
            <v>6822002000</v>
          </cell>
          <cell r="I461" t="str">
            <v>AMZ. DE INSTAL. DE CARGADEROS Y DESCARG</v>
          </cell>
          <cell r="K461">
            <v>30367.43</v>
          </cell>
          <cell r="M461">
            <v>26993.200000000001</v>
          </cell>
          <cell r="O461">
            <v>3374.23</v>
          </cell>
          <cell r="Q461">
            <v>12.5</v>
          </cell>
        </row>
        <row r="462">
          <cell r="E462">
            <v>6822006000</v>
          </cell>
          <cell r="F462">
            <v>6822006000</v>
          </cell>
          <cell r="I462" t="str">
            <v>AMORTIZACION DE INSTALACIONES DE EE.S.</v>
          </cell>
          <cell r="K462">
            <v>306211.52</v>
          </cell>
          <cell r="M462">
            <v>272252.40000000002</v>
          </cell>
          <cell r="O462">
            <v>33959.120000000003</v>
          </cell>
          <cell r="Q462">
            <v>12.5</v>
          </cell>
        </row>
        <row r="463">
          <cell r="E463">
            <v>6826000000</v>
          </cell>
          <cell r="F463">
            <v>6826000000</v>
          </cell>
          <cell r="I463" t="str">
            <v>AMORTIZACION DE MOBILIARIO</v>
          </cell>
          <cell r="K463">
            <v>1552</v>
          </cell>
          <cell r="M463">
            <v>1379.42</v>
          </cell>
          <cell r="O463">
            <v>172.58</v>
          </cell>
          <cell r="Q463">
            <v>12.5</v>
          </cell>
        </row>
        <row r="464">
          <cell r="E464">
            <v>6826001000</v>
          </cell>
          <cell r="F464">
            <v>6826001000</v>
          </cell>
          <cell r="I464" t="str">
            <v>AMORTIZACION DE EQUIPOS DE OFICINA</v>
          </cell>
          <cell r="K464">
            <v>1716.7</v>
          </cell>
          <cell r="M464">
            <v>1590.86</v>
          </cell>
          <cell r="O464">
            <v>125.84</v>
          </cell>
          <cell r="Q464">
            <v>7.9</v>
          </cell>
        </row>
        <row r="465">
          <cell r="E465">
            <v>6826002000</v>
          </cell>
          <cell r="F465">
            <v>6826002000</v>
          </cell>
          <cell r="I465" t="str">
            <v>AMORTIZACION DE ENSERES DIVERSOS</v>
          </cell>
          <cell r="K465">
            <v>44.79</v>
          </cell>
          <cell r="M465">
            <v>39.81</v>
          </cell>
          <cell r="O465">
            <v>4.9800000000000004</v>
          </cell>
          <cell r="Q465">
            <v>12.5</v>
          </cell>
        </row>
        <row r="466">
          <cell r="E466">
            <v>6827000000</v>
          </cell>
          <cell r="F466">
            <v>6827000000</v>
          </cell>
          <cell r="I466" t="str">
            <v>AMORTIZACION DE EQUIPOS PARA PROCESO DE</v>
          </cell>
          <cell r="K466">
            <v>2896.2</v>
          </cell>
          <cell r="M466">
            <v>2721.14</v>
          </cell>
          <cell r="O466">
            <v>175.06</v>
          </cell>
          <cell r="Q466">
            <v>6.4</v>
          </cell>
        </row>
        <row r="467">
          <cell r="E467">
            <v>6828000000</v>
          </cell>
          <cell r="F467">
            <v>6828000000</v>
          </cell>
          <cell r="I467" t="str">
            <v>AMORTIZACION DE ELEMENTOS TRANSPORTE PO</v>
          </cell>
          <cell r="K467">
            <v>2214.17</v>
          </cell>
          <cell r="M467">
            <v>1968.15</v>
          </cell>
          <cell r="O467">
            <v>246.02</v>
          </cell>
          <cell r="Q467">
            <v>12.5</v>
          </cell>
        </row>
        <row r="468">
          <cell r="E468">
            <v>8888888888</v>
          </cell>
          <cell r="F468">
            <v>8888888888</v>
          </cell>
          <cell r="I468" t="str">
            <v>Cuenta de mayor para la carga inicial.</v>
          </cell>
          <cell r="K468">
            <v>2231980.39</v>
          </cell>
          <cell r="M468">
            <v>2231980.39</v>
          </cell>
          <cell r="O468">
            <v>0</v>
          </cell>
        </row>
        <row r="469">
          <cell r="E469" t="str">
            <v>*TOTAL CUE</v>
          </cell>
          <cell r="F469" t="str">
            <v>*TOTAL CUENTAS NO ASIGNADAS</v>
          </cell>
          <cell r="K469">
            <v>0</v>
          </cell>
          <cell r="M469">
            <v>0</v>
          </cell>
          <cell r="O469">
            <v>0</v>
          </cell>
          <cell r="R469" t="str">
            <v>*1*</v>
          </cell>
        </row>
      </sheetData>
      <sheetData sheetId="1"/>
      <sheetData sheetId="2"/>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
      <sheetName val="718"/>
      <sheetName val="Sheet1"/>
    </sheetNames>
    <sheetDataSet>
      <sheetData sheetId="0" refreshError="1">
        <row r="2">
          <cell r="A2" t="str">
            <v>P99085</v>
          </cell>
          <cell r="B2" t="str">
            <v>220000B701</v>
          </cell>
          <cell r="C2">
            <v>38597</v>
          </cell>
          <cell r="D2">
            <v>-3.84</v>
          </cell>
          <cell r="E2" t="str">
            <v>USD</v>
          </cell>
        </row>
        <row r="3">
          <cell r="A3" t="str">
            <v>R37205</v>
          </cell>
          <cell r="B3" t="str">
            <v>220000B701</v>
          </cell>
          <cell r="C3">
            <v>38597</v>
          </cell>
          <cell r="D3">
            <v>-24.19</v>
          </cell>
          <cell r="E3" t="str">
            <v>USD</v>
          </cell>
        </row>
        <row r="4">
          <cell r="A4" t="str">
            <v>R35425</v>
          </cell>
          <cell r="B4" t="str">
            <v>220000B701</v>
          </cell>
          <cell r="C4">
            <v>38597</v>
          </cell>
          <cell r="D4">
            <v>-37.85</v>
          </cell>
          <cell r="E4" t="str">
            <v>USD</v>
          </cell>
        </row>
        <row r="5">
          <cell r="A5" t="str">
            <v>R40885</v>
          </cell>
          <cell r="B5" t="str">
            <v>220000B701</v>
          </cell>
          <cell r="C5">
            <v>38629</v>
          </cell>
          <cell r="D5">
            <v>-39.64</v>
          </cell>
          <cell r="E5" t="str">
            <v>USD</v>
          </cell>
        </row>
        <row r="6">
          <cell r="A6" t="str">
            <v>R33715</v>
          </cell>
          <cell r="B6" t="str">
            <v>220000B701</v>
          </cell>
          <cell r="C6">
            <v>38597</v>
          </cell>
          <cell r="D6">
            <v>-44.35</v>
          </cell>
          <cell r="E6" t="str">
            <v>USD</v>
          </cell>
        </row>
        <row r="7">
          <cell r="A7" t="str">
            <v>P01705</v>
          </cell>
          <cell r="B7" t="str">
            <v>220000B701</v>
          </cell>
          <cell r="C7">
            <v>38629</v>
          </cell>
          <cell r="D7">
            <v>-45.24</v>
          </cell>
          <cell r="E7" t="str">
            <v>USD</v>
          </cell>
        </row>
        <row r="8">
          <cell r="A8" t="str">
            <v>R40045</v>
          </cell>
          <cell r="B8" t="str">
            <v>220000B701</v>
          </cell>
          <cell r="C8">
            <v>38629</v>
          </cell>
          <cell r="D8">
            <v>-50.7</v>
          </cell>
          <cell r="E8" t="str">
            <v>USD</v>
          </cell>
        </row>
        <row r="9">
          <cell r="A9" t="str">
            <v>R36845</v>
          </cell>
          <cell r="B9" t="str">
            <v>220000B701</v>
          </cell>
          <cell r="C9">
            <v>38597</v>
          </cell>
          <cell r="D9">
            <v>-54.98</v>
          </cell>
          <cell r="E9" t="str">
            <v>USD</v>
          </cell>
        </row>
        <row r="10">
          <cell r="A10" t="str">
            <v>R35035</v>
          </cell>
          <cell r="B10" t="str">
            <v>220000B701</v>
          </cell>
          <cell r="C10">
            <v>38597</v>
          </cell>
          <cell r="D10">
            <v>-79.319999999999993</v>
          </cell>
          <cell r="E10" t="str">
            <v>USD</v>
          </cell>
        </row>
        <row r="11">
          <cell r="A11" t="str">
            <v>R41795</v>
          </cell>
          <cell r="B11" t="str">
            <v>220000B701</v>
          </cell>
          <cell r="C11">
            <v>38629</v>
          </cell>
          <cell r="D11">
            <v>-86.71</v>
          </cell>
          <cell r="E11" t="str">
            <v>USD</v>
          </cell>
        </row>
        <row r="12">
          <cell r="A12" t="str">
            <v>R33455</v>
          </cell>
          <cell r="B12" t="str">
            <v>220000B701</v>
          </cell>
          <cell r="C12">
            <v>38597</v>
          </cell>
          <cell r="D12">
            <v>-109.29</v>
          </cell>
          <cell r="E12" t="str">
            <v>USD</v>
          </cell>
        </row>
        <row r="13">
          <cell r="A13" t="str">
            <v>R40875</v>
          </cell>
          <cell r="B13" t="str">
            <v>220000B701</v>
          </cell>
          <cell r="C13">
            <v>38629</v>
          </cell>
          <cell r="D13">
            <v>-123.88</v>
          </cell>
          <cell r="E13" t="str">
            <v>USD</v>
          </cell>
        </row>
        <row r="14">
          <cell r="A14" t="str">
            <v>R37735</v>
          </cell>
          <cell r="B14" t="str">
            <v>220000B701</v>
          </cell>
          <cell r="C14">
            <v>38597</v>
          </cell>
          <cell r="D14">
            <v>-124.25</v>
          </cell>
          <cell r="E14" t="str">
            <v>USD</v>
          </cell>
        </row>
        <row r="15">
          <cell r="A15" t="str">
            <v>R43665</v>
          </cell>
          <cell r="B15" t="str">
            <v>220000B701</v>
          </cell>
          <cell r="C15">
            <v>38629</v>
          </cell>
          <cell r="D15">
            <v>-128.32</v>
          </cell>
          <cell r="E15" t="str">
            <v>USD</v>
          </cell>
        </row>
        <row r="16">
          <cell r="A16" t="str">
            <v>R42065</v>
          </cell>
          <cell r="B16" t="str">
            <v>220000B701</v>
          </cell>
          <cell r="C16">
            <v>38629</v>
          </cell>
          <cell r="D16">
            <v>-153.84</v>
          </cell>
          <cell r="E16" t="str">
            <v>USD</v>
          </cell>
        </row>
        <row r="17">
          <cell r="A17" t="str">
            <v>P96045</v>
          </cell>
          <cell r="B17" t="str">
            <v>220000B701</v>
          </cell>
          <cell r="C17">
            <v>38597</v>
          </cell>
          <cell r="D17">
            <v>-154</v>
          </cell>
          <cell r="E17" t="str">
            <v>USD</v>
          </cell>
        </row>
        <row r="18">
          <cell r="A18" t="str">
            <v>R35605</v>
          </cell>
          <cell r="B18" t="str">
            <v>220000B701</v>
          </cell>
          <cell r="C18">
            <v>38597</v>
          </cell>
          <cell r="D18">
            <v>-175.38</v>
          </cell>
          <cell r="E18" t="str">
            <v>USD</v>
          </cell>
        </row>
        <row r="19">
          <cell r="A19" t="str">
            <v>R34735</v>
          </cell>
          <cell r="B19" t="str">
            <v>220000B701</v>
          </cell>
          <cell r="C19">
            <v>38597</v>
          </cell>
          <cell r="D19">
            <v>-178.76</v>
          </cell>
          <cell r="E19" t="str">
            <v>USD</v>
          </cell>
        </row>
        <row r="20">
          <cell r="A20" t="str">
            <v>R33705</v>
          </cell>
          <cell r="B20" t="str">
            <v>220000B701</v>
          </cell>
          <cell r="C20">
            <v>38597</v>
          </cell>
          <cell r="D20">
            <v>-238.17</v>
          </cell>
          <cell r="E20" t="str">
            <v>USD</v>
          </cell>
        </row>
        <row r="21">
          <cell r="A21" t="str">
            <v>R41505</v>
          </cell>
          <cell r="B21" t="str">
            <v>220000B701</v>
          </cell>
          <cell r="C21">
            <v>38629</v>
          </cell>
          <cell r="D21">
            <v>-263.48</v>
          </cell>
          <cell r="E21" t="str">
            <v>USD</v>
          </cell>
        </row>
        <row r="22">
          <cell r="A22" t="str">
            <v>R34485</v>
          </cell>
          <cell r="B22" t="str">
            <v>220000B701</v>
          </cell>
          <cell r="C22">
            <v>38597</v>
          </cell>
          <cell r="D22">
            <v>-268.87</v>
          </cell>
          <cell r="E22" t="str">
            <v>USD</v>
          </cell>
        </row>
        <row r="23">
          <cell r="A23" t="str">
            <v>R36595</v>
          </cell>
          <cell r="B23" t="str">
            <v>220000B701</v>
          </cell>
          <cell r="C23">
            <v>38597</v>
          </cell>
          <cell r="D23">
            <v>-298.14</v>
          </cell>
          <cell r="E23" t="str">
            <v>USD</v>
          </cell>
        </row>
        <row r="24">
          <cell r="A24" t="str">
            <v>R39055</v>
          </cell>
          <cell r="B24" t="str">
            <v>220000B701</v>
          </cell>
          <cell r="C24">
            <v>38597</v>
          </cell>
          <cell r="D24">
            <v>-300.95</v>
          </cell>
          <cell r="E24" t="str">
            <v>USD</v>
          </cell>
        </row>
        <row r="25">
          <cell r="A25" t="str">
            <v>P00515</v>
          </cell>
          <cell r="B25" t="str">
            <v>220000B701</v>
          </cell>
          <cell r="C25">
            <v>38629</v>
          </cell>
          <cell r="D25">
            <v>-330</v>
          </cell>
          <cell r="E25" t="str">
            <v>USD</v>
          </cell>
        </row>
        <row r="26">
          <cell r="A26" t="str">
            <v>R40405</v>
          </cell>
          <cell r="B26" t="str">
            <v>220000B701</v>
          </cell>
          <cell r="C26">
            <v>38629</v>
          </cell>
          <cell r="D26">
            <v>-783.61</v>
          </cell>
          <cell r="E26" t="str">
            <v>USD</v>
          </cell>
        </row>
        <row r="27">
          <cell r="A27" t="str">
            <v>R33465</v>
          </cell>
          <cell r="B27" t="str">
            <v>220000B701</v>
          </cell>
          <cell r="C27">
            <v>38597</v>
          </cell>
          <cell r="D27">
            <v>-862.86</v>
          </cell>
          <cell r="E27" t="str">
            <v>USD</v>
          </cell>
        </row>
        <row r="28">
          <cell r="A28" t="str">
            <v>R38695</v>
          </cell>
          <cell r="B28" t="str">
            <v>220000B701</v>
          </cell>
          <cell r="C28">
            <v>38629</v>
          </cell>
          <cell r="D28">
            <v>-1449.79</v>
          </cell>
          <cell r="E28" t="str">
            <v>USD</v>
          </cell>
        </row>
        <row r="29">
          <cell r="A29" t="str">
            <v>R30365</v>
          </cell>
          <cell r="B29" t="str">
            <v>220000B701</v>
          </cell>
          <cell r="C29">
            <v>38597</v>
          </cell>
          <cell r="D29">
            <v>-3346.97</v>
          </cell>
          <cell r="E29" t="str">
            <v>USD</v>
          </cell>
        </row>
        <row r="30">
          <cell r="A30" t="str">
            <v>R30665</v>
          </cell>
          <cell r="B30" t="str">
            <v>220000B701</v>
          </cell>
          <cell r="C30">
            <v>38597</v>
          </cell>
          <cell r="D30">
            <v>-3726.81</v>
          </cell>
          <cell r="E30" t="str">
            <v>USD</v>
          </cell>
        </row>
        <row r="31">
          <cell r="A31" t="str">
            <v>R32055</v>
          </cell>
          <cell r="B31" t="str">
            <v>220000B701</v>
          </cell>
          <cell r="C31">
            <v>38597</v>
          </cell>
          <cell r="D31">
            <v>-4360.07</v>
          </cell>
          <cell r="E31" t="str">
            <v>USD</v>
          </cell>
        </row>
        <row r="32">
          <cell r="A32" t="str">
            <v>R34095</v>
          </cell>
          <cell r="B32" t="str">
            <v>220000B701</v>
          </cell>
          <cell r="C32">
            <v>38597</v>
          </cell>
          <cell r="D32">
            <v>-4423.13</v>
          </cell>
          <cell r="E32" t="str">
            <v>USD</v>
          </cell>
        </row>
        <row r="33">
          <cell r="A33" t="str">
            <v>R30185</v>
          </cell>
          <cell r="B33" t="str">
            <v>220000B701</v>
          </cell>
          <cell r="C33">
            <v>38597</v>
          </cell>
          <cell r="D33">
            <v>-4810.99</v>
          </cell>
          <cell r="E33" t="str">
            <v>USD</v>
          </cell>
        </row>
        <row r="34">
          <cell r="A34" t="str">
            <v>P97335</v>
          </cell>
          <cell r="B34" t="str">
            <v>220000B701</v>
          </cell>
          <cell r="C34">
            <v>38597</v>
          </cell>
          <cell r="D34">
            <v>-5081.2</v>
          </cell>
          <cell r="E34" t="str">
            <v>USD</v>
          </cell>
        </row>
        <row r="35">
          <cell r="A35" t="str">
            <v>P98595</v>
          </cell>
          <cell r="B35" t="str">
            <v>220000B701</v>
          </cell>
          <cell r="C35">
            <v>38597</v>
          </cell>
          <cell r="D35">
            <v>-8424.36</v>
          </cell>
          <cell r="E35" t="str">
            <v>USD</v>
          </cell>
        </row>
        <row r="36">
          <cell r="A36" t="str">
            <v>R35345</v>
          </cell>
          <cell r="B36" t="str">
            <v>220000B701</v>
          </cell>
          <cell r="C36">
            <v>38629</v>
          </cell>
          <cell r="D36">
            <v>-8454.33</v>
          </cell>
          <cell r="E36" t="str">
            <v>USD</v>
          </cell>
        </row>
        <row r="37">
          <cell r="A37" t="str">
            <v>R34415</v>
          </cell>
          <cell r="B37" t="str">
            <v>220000B701</v>
          </cell>
          <cell r="C37">
            <v>38597</v>
          </cell>
          <cell r="D37">
            <v>-8609.51</v>
          </cell>
          <cell r="E37" t="str">
            <v>USD</v>
          </cell>
        </row>
        <row r="38">
          <cell r="A38" t="str">
            <v>P99675</v>
          </cell>
          <cell r="B38" t="str">
            <v>220000B701</v>
          </cell>
          <cell r="C38">
            <v>38629</v>
          </cell>
          <cell r="D38">
            <v>-21719.040000000001</v>
          </cell>
          <cell r="E38" t="str">
            <v>USD</v>
          </cell>
        </row>
        <row r="39">
          <cell r="A39" t="str">
            <v>B04075</v>
          </cell>
          <cell r="B39" t="str">
            <v>220000B701</v>
          </cell>
          <cell r="C39">
            <v>38597</v>
          </cell>
          <cell r="D39">
            <v>-23093.279999999999</v>
          </cell>
          <cell r="E39" t="str">
            <v>USD</v>
          </cell>
        </row>
        <row r="40">
          <cell r="A40" t="str">
            <v>B03965</v>
          </cell>
          <cell r="B40" t="str">
            <v>220000B701</v>
          </cell>
          <cell r="C40">
            <v>38597</v>
          </cell>
          <cell r="D40">
            <v>-23153.759999999998</v>
          </cell>
          <cell r="E40" t="str">
            <v>USD</v>
          </cell>
        </row>
        <row r="41">
          <cell r="A41" t="str">
            <v>R37355</v>
          </cell>
          <cell r="B41" t="str">
            <v>220000B701</v>
          </cell>
          <cell r="C41">
            <v>38629</v>
          </cell>
          <cell r="D41">
            <v>-23756.32</v>
          </cell>
          <cell r="E41" t="str">
            <v>USD</v>
          </cell>
        </row>
        <row r="42">
          <cell r="A42" t="str">
            <v>R30555</v>
          </cell>
          <cell r="B42" t="str">
            <v>220000B701</v>
          </cell>
          <cell r="C42">
            <v>38597</v>
          </cell>
          <cell r="D42">
            <v>-33352.199999999997</v>
          </cell>
          <cell r="E42" t="str">
            <v>USD</v>
          </cell>
        </row>
        <row r="43">
          <cell r="A43" t="str">
            <v>R39845</v>
          </cell>
          <cell r="B43" t="str">
            <v>220000B701</v>
          </cell>
          <cell r="C43">
            <v>38629</v>
          </cell>
          <cell r="D43">
            <v>-36825.769999999997</v>
          </cell>
          <cell r="E43" t="str">
            <v>USD</v>
          </cell>
        </row>
        <row r="44">
          <cell r="A44" t="str">
            <v>R34175</v>
          </cell>
          <cell r="B44" t="str">
            <v>220000B701</v>
          </cell>
          <cell r="C44">
            <v>38597</v>
          </cell>
          <cell r="D44">
            <v>-69331.429999999993</v>
          </cell>
          <cell r="E44" t="str">
            <v>USD</v>
          </cell>
        </row>
        <row r="45">
          <cell r="A45" t="str">
            <v>C50445</v>
          </cell>
          <cell r="B45" t="str">
            <v>220000B701</v>
          </cell>
          <cell r="C45">
            <v>38629</v>
          </cell>
          <cell r="D45">
            <v>-81899.039999999994</v>
          </cell>
          <cell r="E45" t="str">
            <v>USD</v>
          </cell>
        </row>
        <row r="46">
          <cell r="A46" t="str">
            <v>C49265</v>
          </cell>
          <cell r="B46" t="str">
            <v>220000B701</v>
          </cell>
          <cell r="C46">
            <v>38597</v>
          </cell>
          <cell r="D46">
            <v>-81935.520000000004</v>
          </cell>
          <cell r="E46" t="str">
            <v>USD</v>
          </cell>
        </row>
        <row r="47">
          <cell r="A47" t="str">
            <v>C49295</v>
          </cell>
          <cell r="B47" t="str">
            <v>220000B701</v>
          </cell>
          <cell r="C47">
            <v>38597</v>
          </cell>
          <cell r="D47">
            <v>-81935.520000000004</v>
          </cell>
          <cell r="E47" t="str">
            <v>USD</v>
          </cell>
        </row>
        <row r="48">
          <cell r="A48" t="str">
            <v>C49805</v>
          </cell>
          <cell r="B48" t="str">
            <v>220000B701</v>
          </cell>
          <cell r="C48">
            <v>38597</v>
          </cell>
          <cell r="D48">
            <v>-82083.12</v>
          </cell>
          <cell r="E48" t="str">
            <v>USD</v>
          </cell>
        </row>
        <row r="49">
          <cell r="A49" t="str">
            <v>C50055</v>
          </cell>
          <cell r="B49" t="str">
            <v>220000B701</v>
          </cell>
          <cell r="C49">
            <v>38597</v>
          </cell>
          <cell r="D49">
            <v>-82083.12</v>
          </cell>
          <cell r="E49" t="str">
            <v>USD</v>
          </cell>
        </row>
        <row r="50">
          <cell r="A50" t="str">
            <v>C49235</v>
          </cell>
          <cell r="B50" t="str">
            <v>220000B701</v>
          </cell>
          <cell r="C50">
            <v>38597</v>
          </cell>
          <cell r="D50">
            <v>-82119.600000000006</v>
          </cell>
          <cell r="E50" t="str">
            <v>USD</v>
          </cell>
        </row>
        <row r="51">
          <cell r="A51" t="str">
            <v>C49455</v>
          </cell>
          <cell r="B51" t="str">
            <v>220000B701</v>
          </cell>
          <cell r="C51">
            <v>38597</v>
          </cell>
          <cell r="D51">
            <v>-82119.600000000006</v>
          </cell>
          <cell r="E51" t="str">
            <v>USD</v>
          </cell>
        </row>
        <row r="52">
          <cell r="A52" t="str">
            <v>C50585</v>
          </cell>
          <cell r="B52" t="str">
            <v>220000B701</v>
          </cell>
          <cell r="C52">
            <v>38629</v>
          </cell>
          <cell r="D52">
            <v>-82309.679999999993</v>
          </cell>
          <cell r="E52" t="str">
            <v>USD</v>
          </cell>
        </row>
        <row r="53">
          <cell r="A53" t="str">
            <v>C50045</v>
          </cell>
          <cell r="B53" t="str">
            <v>220000B701</v>
          </cell>
          <cell r="C53">
            <v>38597</v>
          </cell>
          <cell r="D53">
            <v>-90948.479999999996</v>
          </cell>
          <cell r="E53" t="str">
            <v>USD</v>
          </cell>
        </row>
        <row r="54">
          <cell r="A54" t="str">
            <v>C50315</v>
          </cell>
          <cell r="B54" t="str">
            <v>220000B701</v>
          </cell>
          <cell r="C54">
            <v>38629</v>
          </cell>
          <cell r="D54">
            <v>-90948.479999999996</v>
          </cell>
          <cell r="E54" t="str">
            <v>USD</v>
          </cell>
        </row>
        <row r="55">
          <cell r="A55" t="str">
            <v>C49095</v>
          </cell>
          <cell r="B55" t="str">
            <v>220000B701</v>
          </cell>
          <cell r="C55">
            <v>38597</v>
          </cell>
          <cell r="D55">
            <v>-94046.88</v>
          </cell>
          <cell r="E55" t="str">
            <v>USD</v>
          </cell>
        </row>
        <row r="56">
          <cell r="A56" t="str">
            <v>C49495</v>
          </cell>
          <cell r="B56" t="str">
            <v>220000B701</v>
          </cell>
          <cell r="C56">
            <v>38597</v>
          </cell>
          <cell r="D56">
            <v>-94046.88</v>
          </cell>
          <cell r="E56" t="str">
            <v>USD</v>
          </cell>
        </row>
        <row r="57">
          <cell r="A57" t="str">
            <v>C49685</v>
          </cell>
          <cell r="B57" t="str">
            <v>220000B701</v>
          </cell>
          <cell r="C57">
            <v>38597</v>
          </cell>
          <cell r="D57">
            <v>-96664.08</v>
          </cell>
          <cell r="E57" t="str">
            <v>USD</v>
          </cell>
        </row>
        <row r="58">
          <cell r="A58" t="str">
            <v>C49485</v>
          </cell>
          <cell r="B58" t="str">
            <v>220000B701</v>
          </cell>
          <cell r="C58">
            <v>38597</v>
          </cell>
          <cell r="D58">
            <v>-96700.56</v>
          </cell>
          <cell r="E58" t="str">
            <v>USD</v>
          </cell>
        </row>
        <row r="59">
          <cell r="A59" t="str">
            <v>C50305</v>
          </cell>
          <cell r="B59" t="str">
            <v>220000B701</v>
          </cell>
          <cell r="C59">
            <v>38629</v>
          </cell>
          <cell r="D59">
            <v>-99872.88</v>
          </cell>
          <cell r="E59" t="str">
            <v>USD</v>
          </cell>
        </row>
        <row r="60">
          <cell r="A60" t="str">
            <v>C49465</v>
          </cell>
          <cell r="B60" t="str">
            <v>220000B701</v>
          </cell>
          <cell r="C60">
            <v>38597</v>
          </cell>
          <cell r="D60">
            <v>-99909.36</v>
          </cell>
          <cell r="E60" t="str">
            <v>USD</v>
          </cell>
        </row>
        <row r="61">
          <cell r="A61" t="str">
            <v>V13545</v>
          </cell>
          <cell r="B61" t="str">
            <v>220000B701</v>
          </cell>
          <cell r="C61">
            <v>38597</v>
          </cell>
          <cell r="D61">
            <v>-103693</v>
          </cell>
          <cell r="E61" t="str">
            <v>USD</v>
          </cell>
        </row>
        <row r="62">
          <cell r="A62" t="str">
            <v>C49475</v>
          </cell>
          <cell r="B62" t="str">
            <v>220000B701</v>
          </cell>
          <cell r="C62">
            <v>38597</v>
          </cell>
          <cell r="D62">
            <v>-108777.12</v>
          </cell>
          <cell r="E62" t="str">
            <v>USD</v>
          </cell>
        </row>
        <row r="63">
          <cell r="A63" t="str">
            <v>C50605</v>
          </cell>
          <cell r="B63" t="str">
            <v>220000B701</v>
          </cell>
          <cell r="C63">
            <v>38629</v>
          </cell>
          <cell r="D63">
            <v>-108777.12</v>
          </cell>
          <cell r="E63" t="str">
            <v>USD</v>
          </cell>
        </row>
        <row r="64">
          <cell r="A64" t="str">
            <v>C50065</v>
          </cell>
          <cell r="B64" t="str">
            <v>220000B701</v>
          </cell>
          <cell r="C64">
            <v>38597</v>
          </cell>
          <cell r="D64">
            <v>-115911.6</v>
          </cell>
          <cell r="E64" t="str">
            <v>USD</v>
          </cell>
        </row>
        <row r="65">
          <cell r="A65" t="str">
            <v>C50325</v>
          </cell>
          <cell r="B65" t="str">
            <v>220000B701</v>
          </cell>
          <cell r="C65">
            <v>38629</v>
          </cell>
          <cell r="D65">
            <v>-115911.6</v>
          </cell>
          <cell r="E65" t="str">
            <v>USD</v>
          </cell>
        </row>
        <row r="66">
          <cell r="A66" t="str">
            <v>C49255</v>
          </cell>
          <cell r="B66" t="str">
            <v>220000B701</v>
          </cell>
          <cell r="C66">
            <v>38597</v>
          </cell>
          <cell r="D66">
            <v>-115948.08</v>
          </cell>
          <cell r="E66" t="str">
            <v>USD</v>
          </cell>
        </row>
        <row r="67">
          <cell r="A67" t="str">
            <v>C49585</v>
          </cell>
          <cell r="B67" t="str">
            <v>220000B701</v>
          </cell>
          <cell r="C67">
            <v>38597</v>
          </cell>
          <cell r="D67">
            <v>-163798.07999999999</v>
          </cell>
          <cell r="E67" t="str">
            <v>USD</v>
          </cell>
        </row>
        <row r="68">
          <cell r="A68" t="str">
            <v>C49865</v>
          </cell>
          <cell r="B68" t="str">
            <v>220000B701</v>
          </cell>
          <cell r="C68">
            <v>38597</v>
          </cell>
          <cell r="D68">
            <v>-163798.07999999999</v>
          </cell>
          <cell r="E68" t="str">
            <v>USD</v>
          </cell>
        </row>
        <row r="69">
          <cell r="A69" t="str">
            <v>C50335</v>
          </cell>
          <cell r="B69" t="str">
            <v>220000B701</v>
          </cell>
          <cell r="C69">
            <v>38629</v>
          </cell>
          <cell r="D69">
            <v>-163798.07999999999</v>
          </cell>
          <cell r="E69" t="str">
            <v>USD</v>
          </cell>
        </row>
        <row r="70">
          <cell r="A70" t="str">
            <v>C50455</v>
          </cell>
          <cell r="B70" t="str">
            <v>220000B701</v>
          </cell>
          <cell r="C70">
            <v>38629</v>
          </cell>
          <cell r="D70">
            <v>-163798.07999999999</v>
          </cell>
          <cell r="E70" t="str">
            <v>USD</v>
          </cell>
        </row>
        <row r="71">
          <cell r="A71" t="str">
            <v>C49365</v>
          </cell>
          <cell r="B71" t="str">
            <v>220000B701</v>
          </cell>
          <cell r="C71">
            <v>38597</v>
          </cell>
          <cell r="D71">
            <v>-163871.04000000001</v>
          </cell>
          <cell r="E71" t="str">
            <v>USD</v>
          </cell>
        </row>
        <row r="72">
          <cell r="A72" t="str">
            <v>C49575</v>
          </cell>
          <cell r="B72" t="str">
            <v>220000B701</v>
          </cell>
          <cell r="C72">
            <v>38597</v>
          </cell>
          <cell r="D72">
            <v>-164166.24</v>
          </cell>
          <cell r="E72" t="str">
            <v>USD</v>
          </cell>
        </row>
        <row r="73">
          <cell r="A73" t="str">
            <v>V13555</v>
          </cell>
          <cell r="B73" t="str">
            <v>220000B701</v>
          </cell>
          <cell r="C73">
            <v>38597</v>
          </cell>
          <cell r="D73">
            <v>-170838</v>
          </cell>
          <cell r="E73" t="str">
            <v>USD</v>
          </cell>
        </row>
        <row r="74">
          <cell r="A74" t="str">
            <v>C50465</v>
          </cell>
          <cell r="B74" t="str">
            <v>220000B701</v>
          </cell>
          <cell r="C74">
            <v>38629</v>
          </cell>
          <cell r="D74">
            <v>-188020.8</v>
          </cell>
          <cell r="E74" t="str">
            <v>USD</v>
          </cell>
        </row>
        <row r="75">
          <cell r="A75" t="str">
            <v>C48965</v>
          </cell>
          <cell r="B75" t="str">
            <v>220000B701</v>
          </cell>
          <cell r="C75">
            <v>38597</v>
          </cell>
          <cell r="D75">
            <v>-188093.76</v>
          </cell>
          <cell r="E75" t="str">
            <v>USD</v>
          </cell>
        </row>
        <row r="76">
          <cell r="A76" t="str">
            <v>C49085</v>
          </cell>
          <cell r="B76" t="str">
            <v>220000B701</v>
          </cell>
          <cell r="C76">
            <v>38597</v>
          </cell>
          <cell r="D76">
            <v>-188093.76</v>
          </cell>
          <cell r="E76" t="str">
            <v>USD</v>
          </cell>
        </row>
        <row r="77">
          <cell r="A77" t="str">
            <v>C50615</v>
          </cell>
          <cell r="B77" t="str">
            <v>220000B701</v>
          </cell>
          <cell r="C77">
            <v>38629</v>
          </cell>
          <cell r="D77">
            <v>-188093.76</v>
          </cell>
          <cell r="E77" t="str">
            <v>USD</v>
          </cell>
        </row>
        <row r="78">
          <cell r="A78" t="str">
            <v>C50965</v>
          </cell>
          <cell r="B78" t="str">
            <v>220000B701</v>
          </cell>
          <cell r="C78">
            <v>38629</v>
          </cell>
          <cell r="D78">
            <v>-188093.76</v>
          </cell>
          <cell r="E78" t="str">
            <v>USD</v>
          </cell>
        </row>
        <row r="79">
          <cell r="A79" t="str">
            <v>C49245</v>
          </cell>
          <cell r="B79" t="str">
            <v>220000B701</v>
          </cell>
          <cell r="C79">
            <v>38597</v>
          </cell>
          <cell r="D79">
            <v>-193401.12</v>
          </cell>
          <cell r="E79" t="str">
            <v>USD</v>
          </cell>
        </row>
        <row r="80">
          <cell r="A80" t="str">
            <v>C50355</v>
          </cell>
          <cell r="B80" t="str">
            <v>220000B701</v>
          </cell>
          <cell r="C80">
            <v>38629</v>
          </cell>
          <cell r="D80">
            <v>-199745.76</v>
          </cell>
          <cell r="E80" t="str">
            <v>USD</v>
          </cell>
        </row>
        <row r="81">
          <cell r="A81" t="str">
            <v>C49695</v>
          </cell>
          <cell r="B81" t="str">
            <v>220000B701</v>
          </cell>
          <cell r="C81">
            <v>38597</v>
          </cell>
          <cell r="D81">
            <v>-231823.2</v>
          </cell>
          <cell r="E81" t="str">
            <v>USD</v>
          </cell>
        </row>
        <row r="82">
          <cell r="A82" t="str">
            <v>C49815</v>
          </cell>
          <cell r="B82" t="str">
            <v>220000B701</v>
          </cell>
          <cell r="C82">
            <v>38597</v>
          </cell>
          <cell r="D82">
            <v>-231823.2</v>
          </cell>
          <cell r="E82" t="str">
            <v>USD</v>
          </cell>
        </row>
        <row r="83">
          <cell r="A83" t="str">
            <v>C50075</v>
          </cell>
          <cell r="B83" t="str">
            <v>220000B701</v>
          </cell>
          <cell r="C83">
            <v>38597</v>
          </cell>
          <cell r="D83">
            <v>-231823.2</v>
          </cell>
          <cell r="E83" t="str">
            <v>USD</v>
          </cell>
        </row>
        <row r="84">
          <cell r="A84" t="str">
            <v>C49355</v>
          </cell>
          <cell r="B84" t="str">
            <v>220000B701</v>
          </cell>
          <cell r="C84">
            <v>38597</v>
          </cell>
          <cell r="D84">
            <v>-231896.16</v>
          </cell>
          <cell r="E84" t="str">
            <v>USD</v>
          </cell>
        </row>
        <row r="86">
          <cell r="A86" t="str">
            <v>BTB278/05</v>
          </cell>
          <cell r="B86" t="str">
            <v>220000B701</v>
          </cell>
          <cell r="C86">
            <v>38629</v>
          </cell>
          <cell r="D86">
            <v>-9799</v>
          </cell>
          <cell r="E86" t="str">
            <v>USD</v>
          </cell>
        </row>
        <row r="87">
          <cell r="A87" t="str">
            <v>PO1105</v>
          </cell>
          <cell r="B87" t="str">
            <v>220000B701</v>
          </cell>
          <cell r="C87">
            <v>38629</v>
          </cell>
          <cell r="D87">
            <v>-2476.58</v>
          </cell>
          <cell r="E87" t="str">
            <v>USD</v>
          </cell>
        </row>
        <row r="88">
          <cell r="A88" t="str">
            <v>R33095</v>
          </cell>
          <cell r="B88" t="str">
            <v>220000B701</v>
          </cell>
          <cell r="C88">
            <v>38597</v>
          </cell>
          <cell r="D88">
            <v>-41.13</v>
          </cell>
          <cell r="E88" t="str">
            <v>USD</v>
          </cell>
        </row>
      </sheetData>
      <sheetData sheetId="1" refreshError="1"/>
      <sheetData sheetId="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sheetName val="Detalle"/>
      <sheetName val="NQIA Gastos Principales"/>
      <sheetName val="Capital para Proyecto"/>
      <sheetName val="Anticipos CCC"/>
      <sheetName val="Costos Transición"/>
      <sheetName val="Commitment Fee"/>
      <sheetName val="APT Junio"/>
      <sheetName val="COnfirmación Jun"/>
      <sheetName val="Límite"/>
      <sheetName val="XREF"/>
      <sheetName val="Tickmarks"/>
      <sheetName val="Inversiones en acciones"/>
      <sheetName val="Movimiento"/>
      <sheetName val="Amortización"/>
      <sheetName val="Cálculo Global"/>
      <sheetName val="MMA"/>
      <sheetName val="APT"/>
      <sheetName val="Listado"/>
      <sheetName val="Otros cargos dif"/>
      <sheetName val="Otros Activos"/>
      <sheetName val="Mov_Costo"/>
      <sheetName val="Mov_Amort"/>
      <sheetName val="C.G Amortización"/>
      <sheetName val="Límites"/>
      <sheetName val="Límites Sugeridos"/>
      <sheetName val="Mov. Intangibles"/>
      <sheetName val="Análisis Adiciones Intangibles"/>
      <sheetName val="Mov. Amortización"/>
      <sheetName val="C G Amort"/>
      <sheetName val="Software"/>
      <sheetName val="Mov. Costo"/>
      <sheetName val="Mov. Amortizacion"/>
      <sheetName val="Calculo Amorti"/>
      <sheetName val="Amort."/>
      <sheetName val="Calc. Global. Amort"/>
      <sheetName val="Nota EEFF"/>
      <sheetName val="Mov. GW costo y amort."/>
      <sheetName val="Cáculo global amor"/>
      <sheetName val="Mov. Renta tools costo y depre."/>
      <sheetName val="Cáclulo global depreciación"/>
      <sheetName val="Detalle rental tools Final"/>
      <sheetName val="Detalle rental tools Prel"/>
      <sheetName val="Cálculo del umbral"/>
      <sheetName val="Proyecto Mazar"/>
      <sheetName val="Proyecto Sopladora"/>
      <sheetName val="CxC LP"/>
      <sheetName val="Inv. Acciones"/>
      <sheetName val="Adiciones Acciones"/>
      <sheetName val="VPP"/>
      <sheetName val="Activos Intangibles y Otros"/>
      <sheetName val="Cálculo Global Amort."/>
      <sheetName val="Otros Activos (F)"/>
      <sheetName val="Otros activos (Prel)"/>
      <sheetName val="Gastos Anticipados"/>
      <sheetName val="CMA Calculations adiciones"/>
      <sheetName val="CMA Selections adiciones"/>
      <sheetName val="APT adiciones"/>
      <sheetName val="Inversiones"/>
      <sheetName val="Cálculo amortización"/>
      <sheetName val="Análisis de Adiciones"/>
      <sheetName val="VPP Inversiones"/>
      <sheetName val="Goodwill Humana"/>
      <sheetName val="Goodwill Aesculapius"/>
      <sheetName val="Sheet2"/>
      <sheetName val="Adquisición Aesculapius"/>
      <sheetName val="Acciones"/>
      <sheetName val="Aportes"/>
      <sheetName val="Detalle de acciones adquiridas"/>
      <sheetName val="CMA_Aescapulapius"/>
      <sheetName val="Análisis Aesculapius"/>
      <sheetName val="Análisis de activo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Calc. Global Sueldos"/>
      <sheetName val="MMA"/>
      <sheetName val="APT"/>
      <sheetName val="Cálc. Global Varios"/>
      <sheetName val="XREF"/>
      <sheetName val="Tickmarks"/>
      <sheetName val="Límite"/>
      <sheetName val="Tab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G.Ad.Vta"/>
      <sheetName val="MMA FINAL"/>
      <sheetName val="MMA"/>
      <sheetName val="APT Gastos"/>
      <sheetName val="Cálculo sueldos"/>
      <sheetName val="Calc.Arriendos"/>
      <sheetName val="Leasing"/>
      <sheetName val="Leasing gasto 2005"/>
      <sheetName val="Calc.Global Honorarios"/>
      <sheetName val="Determinación del Límite"/>
      <sheetName val="Límites"/>
      <sheetName val="XREF"/>
      <sheetName val="Tickmarks"/>
      <sheetName val="MMA G.Operación"/>
    </sheetNames>
    <sheetDataSet>
      <sheetData sheetId="0"/>
      <sheetData sheetId="1" refreshError="1"/>
      <sheetData sheetId="2" refreshError="1"/>
      <sheetData sheetId="3"/>
      <sheetData sheetId="4"/>
      <sheetData sheetId="5" refreshError="1"/>
      <sheetData sheetId="6" refreshError="1"/>
      <sheetData sheetId="7" refreshError="1"/>
      <sheetData sheetId="8"/>
      <sheetData sheetId="9" refreshError="1"/>
      <sheetData sheetId="10" refreshError="1"/>
      <sheetData sheetId="11"/>
      <sheetData sheetId="12" refreshError="1"/>
      <sheetData sheetId="13"/>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de Costos"/>
      <sheetName val="MMA"/>
      <sheetName val="APT Costo de Ventas"/>
      <sheetName val="XREF"/>
      <sheetName val="Tickmarks"/>
    </sheetNames>
    <sheetDataSet>
      <sheetData sheetId="0"/>
      <sheetData sheetId="1"/>
      <sheetData sheetId="2" refreshError="1"/>
      <sheetData sheetId="3"/>
      <sheetData sheetId="4"/>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MA (F)"/>
      <sheetName val="APT Gtos. (F)"/>
      <sheetName val="Cálculo sueldos"/>
      <sheetName val="MMA"/>
      <sheetName val="APT Gtos."/>
      <sheetName val="Honorarios"/>
      <sheetName val="Seguros"/>
      <sheetName val="S. de Vida"/>
      <sheetName val="Leasing"/>
      <sheetName val="Arriendos"/>
      <sheetName val="Límite"/>
      <sheetName val="XREF"/>
      <sheetName val="Tickmarks"/>
    </sheetNames>
    <sheetDataSet>
      <sheetData sheetId="0"/>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T (2)"/>
      <sheetName val="Detalle"/>
      <sheetName val="APT"/>
      <sheetName val="Cálculo sueldos"/>
      <sheetName val="Honorarios"/>
      <sheetName val="Análisis Honorarios"/>
      <sheetName val="XREF"/>
      <sheetName val="Tickmarks"/>
      <sheetName val="Analisis - APT"/>
      <sheetName val="Nómina"/>
      <sheetName val="Recálculo Nómina"/>
      <sheetName val="Regalías"/>
      <sheetName val="#REF"/>
      <sheetName val="MMA"/>
      <sheetName val="MMA Preliminar"/>
      <sheetName val="CG Sueldos"/>
      <sheetName val="Gastos Employes "/>
      <sheetName val="Cálculo del umbral Prel"/>
      <sheetName val="Cálculo del umbral Final"/>
      <sheetName val="Análisis APT Prelim"/>
      <sheetName val="Nota"/>
      <sheetName val="Analisis APT Gastos"/>
      <sheetName val="Análisis Arriendos"/>
      <sheetName val="Indemnizacione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sheetData sheetId="16"/>
      <sheetData sheetId="17" refreshError="1"/>
      <sheetData sheetId="18" refreshError="1"/>
      <sheetData sheetId="19"/>
      <sheetData sheetId="20"/>
      <sheetData sheetId="21"/>
      <sheetData sheetId="22"/>
      <sheetData sheetId="2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MA"/>
      <sheetName val="APT Gastos"/>
      <sheetName val="C.G.Sueldos"/>
      <sheetName val="C.G.Beneficios sociales"/>
      <sheetName val="Cálculo Vacaciones"/>
      <sheetName val="Arriendo"/>
      <sheetName val="Tercerizados"/>
      <sheetName val="Indemnizaciones"/>
      <sheetName val="Bono Rendimientos"/>
      <sheetName val="XREF"/>
      <sheetName val="Tickmarks"/>
      <sheetName val="Nota"/>
      <sheetName val="Nómina"/>
      <sheetName val="APT"/>
      <sheetName val="Sheet2"/>
      <sheetName val="Sheet1"/>
      <sheetName val="Sueldos y Salarios"/>
      <sheetName val="Análisis"/>
      <sheetName val="Límites"/>
      <sheetName val="#REF"/>
      <sheetName val="Gastos x CC"/>
      <sheetName val="MMA Final"/>
      <sheetName val="MMA Prel"/>
      <sheetName val="APT Gtos."/>
      <sheetName val="APT Transporte"/>
      <sheetName val="Regalías"/>
      <sheetName val="Benef. Sociales"/>
      <sheetName val="Arriendos"/>
      <sheetName val="Límite"/>
      <sheetName val="Gtos apt final"/>
      <sheetName val="Análisis nómina"/>
      <sheetName val="Límites Final"/>
      <sheetName val="Límites Preliminar"/>
      <sheetName val="Procedimientos"/>
      <sheetName val="Comentarios"/>
      <sheetName val="Nota a los EEFF"/>
      <sheetName val="Mantenimiento"/>
      <sheetName val="Outsourcing"/>
      <sheetName val="Alquileres"/>
      <sheetName val="APT de Gastos"/>
      <sheetName val="Honorarios Admnistrativos"/>
      <sheetName val="CMA Calculations"/>
      <sheetName val="CMA Selections"/>
      <sheetName val="Gastos APT"/>
      <sheetName val="Seleccion gastos y costos"/>
      <sheetName val="Bonos"/>
      <sheetName val="MMA Preliminar"/>
      <sheetName val="Remuneraciones"/>
      <sheetName val="CG Sueldos"/>
      <sheetName val="MMA  "/>
      <sheetName val="Análisis-pre"/>
      <sheetName val="C.G Sueldos"/>
      <sheetName val="Arriendos y Asesoría"/>
      <sheetName val="Detalle UIO"/>
      <sheetName val="Analisis de gastos"/>
      <sheetName val="Sueldos UIO"/>
      <sheetName val="Gto. Provisión"/>
      <sheetName val="Detalle Gastos"/>
      <sheetName val="Rol"/>
      <sheetName val="Cal.Global de Sueldos"/>
      <sheetName val="Planillas IESS"/>
      <sheetName val="MMA Gastos"/>
      <sheetName val="Revisión Analítica"/>
      <sheetName val="Seleccion APT"/>
      <sheetName val="Análisis APT"/>
      <sheetName val="Calculo Sueldos"/>
      <sheetName val="Cálculo Global Hon."/>
      <sheetName val="Selección APT Preliminar"/>
      <sheetName val="APT Preliminar"/>
      <sheetName val="Remuneraciones "/>
      <sheetName val="Pago a TCN"/>
      <sheetName val="Calc. Límites "/>
      <sheetName val="MMA(p)"/>
      <sheetName val="APT "/>
      <sheetName val="MMA "/>
      <sheetName val="CG Sueldo"/>
      <sheetName val="CG Arriendos"/>
      <sheetName val="Determinación del Límite"/>
      <sheetName val="Aná R"/>
      <sheetName val="CG GC"/>
      <sheetName val="Tabla Dinámica"/>
      <sheetName val="Base Dic 05"/>
      <sheetName val="Tabla"/>
      <sheetName val="Detalle G. Op."/>
      <sheetName val="Rev. Analítica"/>
      <sheetName val="C. Globales"/>
      <sheetName val="MMA APT"/>
      <sheetName val="Asistencia Tec. VW"/>
      <sheetName val="Costos producción"/>
      <sheetName val="Seguros"/>
      <sheetName val="Honorarios"/>
      <sheetName val="Honorarios-Mayores"/>
      <sheetName val="Sueldos"/>
      <sheetName val="Com Tarj Créd"/>
      <sheetName val="Otros Impuestos"/>
      <sheetName val="Arriendos y Cond."/>
      <sheetName val="Ints Proveedores"/>
      <sheetName val="Calc. Límites"/>
      <sheetName val="Tabla Límites"/>
      <sheetName val="Bonificaciones"/>
      <sheetName val="Comisiones TC"/>
      <sheetName val="Detalle2002"/>
      <sheetName val="Electricidad"/>
      <sheetName val="Int. Proveed."/>
      <sheetName val="I. Municipales"/>
      <sheetName val="Imp. Municipales"/>
      <sheetName val="Otras Bonificaciones"/>
      <sheetName val="Bonif. Ventas"/>
      <sheetName val="Otras Bonifs."/>
      <sheetName val="Comisiones"/>
      <sheetName val="Estadísticas Comis."/>
      <sheetName val="Comisiones por ventas"/>
      <sheetName val="Detalle01"/>
      <sheetName val="Guardianía"/>
      <sheetName val="Dietas"/>
      <sheetName val="Selección APT"/>
      <sheetName val="Cálc Glob Sueldos"/>
      <sheetName val="C.Global Benef Soc"/>
      <sheetName val="Marcas Estándar"/>
      <sheetName val="Detalle (Final)"/>
      <sheetName val="Analisis de gastos 2003"/>
      <sheetName val="Leasing Computadora"/>
      <sheetName val="Cobertura de Seguros"/>
      <sheetName val="Sueldos 2003"/>
      <sheetName val="C. Global Sueldos"/>
      <sheetName val="MMA Gastos Nuevos locales"/>
      <sheetName val="Serv. Cobranza"/>
      <sheetName val="Diciembre"/>
      <sheetName val="Selección para APT"/>
      <sheetName val="Arriendo Mercantil"/>
      <sheetName val="Cómputo Beneficios Sociales"/>
      <sheetName val="NOMINA"/>
      <sheetName val="Leasing"/>
      <sheetName val="Diciembre03"/>
      <sheetName val="Análisis Honorarios Aud. Intern"/>
      <sheetName val="Servicios Básicos"/>
      <sheetName val="Gtos Adm"/>
      <sheetName val="Gtos Ventas"/>
      <sheetName val="Cal Suel 2003"/>
      <sheetName val="Cálculo Sueldos"/>
      <sheetName val="Detalle "/>
      <sheetName val="Revisión Analítica 2002"/>
      <sheetName val="Análisis de Gastos"/>
      <sheetName val="Revisión Analítica 2001"/>
      <sheetName val="Arriendo de Oficinas"/>
      <sheetName val="Arr Merc final"/>
      <sheetName val="Comisiones Broker indiv."/>
      <sheetName val="Comisiones Broker indiv. (2)"/>
      <sheetName val="Comisiones Broker Corpor."/>
      <sheetName val="Comisiones Broker Corpor. (2)"/>
      <sheetName val="Comisiones Broker Interhealth"/>
      <sheetName val="cruce PPC"/>
      <sheetName val="APT Gastos Pre."/>
      <sheetName val="Cálc. Glob. Arriendos"/>
      <sheetName val="Cálc. Comisiones"/>
      <sheetName val="MMA APT Jun"/>
      <sheetName val="MMA APT Oct."/>
      <sheetName val="MMA APT Dic"/>
      <sheetName val="Publicidad"/>
      <sheetName val="Premios"/>
      <sheetName val="Gstos Vta"/>
      <sheetName val="Calc. Global Sueldos"/>
      <sheetName val="Cálc. Global Arriendo"/>
      <sheetName val="Selección Final"/>
      <sheetName val="Selección Preliminar"/>
      <sheetName val="Aporte patronal"/>
      <sheetName val="Detalle de sueldos"/>
      <sheetName val="A. ct. alquiler"/>
      <sheetName val="Tabla del Limite"/>
      <sheetName val="Costo ventas"/>
      <sheetName val="Cálculo Global"/>
      <sheetName val="IESS"/>
      <sheetName val="Links"/>
      <sheetName val="MANAGEMENT FEE"/>
      <sheetName val="Cuenta APT"/>
      <sheetName val="Subselección"/>
      <sheetName val="Controles"/>
      <sheetName val="Cálculo Global Sueldos"/>
      <sheetName val="Beneficios Sociales"/>
      <sheetName val="otros"/>
      <sheetName val="Preliminar"/>
      <sheetName val="MMA (2)"/>
      <sheetName val="Sueldos y Comisiones"/>
      <sheetName val="Manten. Spider"/>
      <sheetName val="APT (2)"/>
      <sheetName val="Resumen Arriendos"/>
      <sheetName val="Resumen de Roles"/>
      <sheetName val="Riesgo crediticio"/>
      <sheetName val="Recojo"/>
      <sheetName val="Const. Tiendas"/>
      <sheetName val="Hoja 1"/>
      <sheetName val="Arriendos Dic"/>
      <sheetName val="Detalle a Final"/>
      <sheetName val="Detalle-Hugo"/>
      <sheetName val="Revision analítica"/>
      <sheetName val="Nomina Terceros"/>
      <sheetName val="Resumen"/>
      <sheetName val="MMA Garan. Banc."/>
      <sheetName val="Balance Mensual"/>
      <sheetName val="Chart1"/>
      <sheetName val="Detalle a Dic-07"/>
      <sheetName val="MMA Pre Sep-07"/>
      <sheetName val="Para graficos"/>
      <sheetName val="An. Honorarios Dic"/>
      <sheetName val="Analisis APT"/>
      <sheetName val="Asistencia Medica"/>
      <sheetName val="CMA Calculations- R Factor (2)"/>
      <sheetName val="CMA_Selections"/>
      <sheetName val="Honor. Agente Manejo"/>
      <sheetName val="Comi. Administración Cartera"/>
      <sheetName val="Selección Gastos"/>
      <sheetName val="Sueldos-fin"/>
      <sheetName val="Detalle por C.Costos)"/>
      <sheetName val="Det. Otros"/>
      <sheetName val="En. Elec."/>
      <sheetName val="MMA APT "/>
      <sheetName val="Cálculo de Exceso"/>
      <sheetName val="Cálculo del Límite"/>
      <sheetName val="Detalle sueldos"/>
      <sheetName val="Cálculo del umbral"/>
      <sheetName val="MMA APT (prel)"/>
      <sheetName val="MMA APT (final)"/>
      <sheetName val="Fee"/>
      <sheetName val="Calc. Global Sueldos "/>
      <sheetName val="Límite Sueldos"/>
      <sheetName val="Gastos médicos"/>
      <sheetName val="Seleccion Gastos"/>
      <sheetName val="Muestra Gastos"/>
      <sheetName val="Muestras Adiciones"/>
      <sheetName val="CMA H.CONTR."/>
      <sheetName val="Seleccion Honorarios Contractua"/>
      <sheetName val="CMA H.PROF."/>
      <sheetName val="Honorarios profesionales"/>
      <sheetName val="APT HONORARIOS"/>
      <sheetName val="Limite"/>
      <sheetName val="Tabla del Límite"/>
      <sheetName val="Costos"/>
      <sheetName val="Energia Electrica"/>
      <sheetName val="MMA Manten"/>
      <sheetName val="APT Mantemiento"/>
      <sheetName val="Vigilancia"/>
      <sheetName val="Excess Calc"/>
      <sheetName val="TCalc"/>
      <sheetName val="APT Comunicaciones"/>
      <sheetName val="Prov Jub Patronal"/>
      <sheetName val="Sheet4"/>
      <sheetName val="Nota EEFF"/>
      <sheetName val="Gastos ADC"/>
      <sheetName val="Corpaq"/>
      <sheetName val="O&amp;M Manag. Fee "/>
      <sheetName val="Contabilidad Asesoria Otros"/>
      <sheetName val="Honorarios Dic"/>
      <sheetName val="Off Shore Operator"/>
      <sheetName val="O&amp;M Management Fee"/>
      <sheetName val="O&amp;M JUNIO &amp; Diciembre"/>
      <sheetName val="Misceláneos"/>
      <sheetName val="Límite Honorarios"/>
      <sheetName val="Gastos"/>
      <sheetName val="Sueldos y Benef."/>
      <sheetName val="MMA Gtos. y Ctos."/>
      <sheetName val="APT Gtos. y Ctos."/>
      <sheetName val="MMA Mantenim."/>
      <sheetName val="APT Mantenim."/>
      <sheetName val="Cálc. Glob. Nómina"/>
      <sheetName val="Personas Jurídicas"/>
      <sheetName val="Management  Fee"/>
      <sheetName val="Provisional"/>
      <sheetName val="Base"/>
      <sheetName val="Fábrica"/>
      <sheetName val="Cesantía"/>
      <sheetName val="Detalle de gastos"/>
      <sheetName val="Fletes"/>
      <sheetName val="Detalle de gastos por APT"/>
      <sheetName val="Mov. I.Rta y Part.Trab"/>
      <sheetName val="Composición"/>
      <sheetName val="Ventas-Comisiones"/>
      <sheetName val="C.Global Sueldos"/>
      <sheetName val="Otros C.Global Hono."/>
      <sheetName val="C.Global Hono."/>
      <sheetName val="Apt Gtos Operación"/>
      <sheetName val="Comisiones Tarj. Crédito"/>
      <sheetName val="Selección empleados"/>
      <sheetName val="Servicios"/>
      <sheetName val="Motorizados"/>
      <sheetName val="Limpieza"/>
      <sheetName val="Marca"/>
      <sheetName val="Dundell Corp."/>
      <sheetName val="indega"/>
      <sheetName val="Análisis Gastos"/>
      <sheetName val="Ingeniería"/>
      <sheetName val="MMA Ingeniería"/>
      <sheetName val="Análisis de Ingeniera"/>
      <sheetName val="SEMAD"/>
      <sheetName val="Facturas Honorarios"/>
      <sheetName val="Facturas Asistencia Técnica"/>
      <sheetName val="MMA (Diciembre)"/>
      <sheetName val="Análisis Rol de Pagos"/>
      <sheetName val="Horas Extras"/>
      <sheetName val="Tercerización (Dic)"/>
      <sheetName val="Análisis Remunerativo"/>
      <sheetName val="Asesoría Técnica"/>
      <sheetName val="MMA Premiliminar"/>
      <sheetName val="Reasignaciones"/>
      <sheetName val="Análisis Reasign"/>
      <sheetName val="Jubilación"/>
      <sheetName val="Fletes de Producto"/>
      <sheetName val="Fletes de Distribución"/>
      <sheetName val="Muestra de Gastos"/>
      <sheetName val="Análisis Sueldos"/>
      <sheetName val="Bono de Trabajo"/>
      <sheetName val="Cálculos Globales"/>
      <sheetName val="CMA H.CONTR. Prelim"/>
      <sheetName val="CMA H. Contr Final"/>
      <sheetName val="CMA H.PROF. Prelim"/>
      <sheetName val="CMA H Prof Final"/>
      <sheetName val="Movimiento"/>
      <sheetName val="Selección Adiciones Prel"/>
      <sheetName val="Muestra Adiciones Prel"/>
      <sheetName val="Adiciones"/>
      <sheetName val="PAMV"/>
      <sheetName val="Detalle de rubros rol de pagos"/>
      <sheetName val="Detalle Arriendos Bienes Inm."/>
      <sheetName val="Arriendo Bienes Inmuebles"/>
      <sheetName val="Detalle Arr. Mer."/>
      <sheetName val="Com. Distrib."/>
      <sheetName val="Cálglobal sueldos"/>
      <sheetName val="C. global Benef."/>
      <sheetName val="MMA Prel."/>
      <sheetName val="Análisis de APT"/>
      <sheetName val="Cál. Regalias"/>
      <sheetName val="Detalle Regalias"/>
      <sheetName val="Transferencias"/>
      <sheetName val="Análisis Transferencias"/>
      <sheetName val="Gastos APT "/>
      <sheetName val="Gastos de operación"/>
      <sheetName val="CMA Calculations APT"/>
      <sheetName val="CMA Selection APT"/>
      <sheetName val="Cálculo Limite Nomina"/>
      <sheetName val="Fedepal"/>
      <sheetName val="Servicios Administrativos"/>
      <sheetName val="Fedapal"/>
      <sheetName val="Ancupa"/>
      <sheetName val="Cal. Global Beneficios"/>
      <sheetName val="Impuestos"/>
      <sheetName val="Calc. Límite"/>
      <sheetName val="Cálculo Honorarios"/>
      <sheetName val="MMA (F)"/>
      <sheetName val="MMA (P)"/>
      <sheetName val="Leasing "/>
      <sheetName val="Pivot Sueldos"/>
      <sheetName val="Movimiento Benef.Sociales"/>
      <sheetName val="Actas de Finiquito"/>
      <sheetName val="Tercerizadoras"/>
      <sheetName val="Contratos-Maquila"/>
      <sheetName val="MMA Gtos-Costos"/>
      <sheetName val="APT Gtos-Costos"/>
      <sheetName val="Asistencia Tec."/>
      <sheetName val="G. Administrativo"/>
      <sheetName val="APT Costos"/>
      <sheetName val="Serv. Comerc."/>
      <sheetName val="Sheet3"/>
      <sheetName val="Detalle G.A."/>
      <sheetName val="Detalle G.O."/>
      <sheetName val="MMA GA"/>
      <sheetName val="MMA GO"/>
      <sheetName val="Análisis de Nómina"/>
      <sheetName val="Nom. vs Bancos"/>
      <sheetName val="Conazul"/>
      <sheetName val="GO"/>
      <sheetName val="Gastos Fiduciario"/>
      <sheetName val="leasing Vehículos"/>
      <sheetName val="Asistencia técnica"/>
      <sheetName val="Análisis Gastos APT"/>
      <sheetName val="Seguridad y Vigilancia"/>
      <sheetName val="Salección APT-Final"/>
      <sheetName val="Anal. Fletes"/>
      <sheetName val="Anal. Comisi."/>
      <sheetName val="CMA APT"/>
      <sheetName val="Selecc. APT-Prel"/>
      <sheetName val="Selecc. Fletes-Prel"/>
      <sheetName val="Selecc. Comisiones-Prel"/>
      <sheetName val="MMA Final Gtos. Operac."/>
      <sheetName val="APT GASTOS OPE."/>
      <sheetName val="MMA GASTOS OPE."/>
      <sheetName val="MMA COMI."/>
      <sheetName val="MMA HONO"/>
      <sheetName val="APT.COMI"/>
      <sheetName val="APT.HONO"/>
      <sheetName val="Base de Subseleccion"/>
      <sheetName val="Subseleccion ACL"/>
      <sheetName val="Reclasificación "/>
      <sheetName val="APT Final"/>
      <sheetName val="Arriendos de concesiones"/>
      <sheetName val="SA Procedures"/>
      <sheetName val="Expectation"/>
      <sheetName val="Cálc. Global Mant. Repar."/>
      <sheetName val="Análisis Fletes Vs. Ingresos"/>
      <sheetName val="Seleccion APT Final"/>
      <sheetName val="Bajas"/>
      <sheetName val="Comisión Brokers"/>
      <sheetName val="Comisión Nova"/>
      <sheetName val="Contratos Nova"/>
      <sheetName val="APT Gastos y Costos"/>
      <sheetName val="Arrendamiento"/>
      <sheetName val="Análisis APT "/>
      <sheetName val="MMA Prelim."/>
      <sheetName val="Seguros del Personal"/>
      <sheetName val="Fact-Alloc-Asignac.-Final"/>
      <sheetName val="Allocations- Final"/>
      <sheetName val="Allocations"/>
      <sheetName val="Transporte OCP"/>
      <sheetName val="Cálculo Selección APT"/>
      <sheetName val="Revis. Fact. Trans. OCP"/>
      <sheetName val="Seguro"/>
      <sheetName val="C.Despidos Intemp."/>
      <sheetName val="APT Sueldos"/>
      <sheetName val="Cal. Benef. Social Final"/>
      <sheetName val="Cal.Benef.Social."/>
      <sheetName val="CMA Base"/>
      <sheetName val="CMA Selecc."/>
      <sheetName val="Anal. APT"/>
      <sheetName val="Gasto Arriendo"/>
      <sheetName val="APT Arriendo"/>
      <sheetName val="Gto. Arriendo Equipos"/>
      <sheetName val="APT de Arriendo Equipos"/>
      <sheetName val="Imp. Ambiente"/>
      <sheetName val="Arriendo-Vigilancia"/>
      <sheetName val="Arriendo de Equipos"/>
      <sheetName val="Servicios Especializados"/>
      <sheetName val="Servicios Computación"/>
      <sheetName val="Uso marcas"/>
      <sheetName val="Movimiento Arriendos"/>
      <sheetName val="Honorarios Farmaceuticos"/>
      <sheetName val="Cal Glob Sueldos"/>
      <sheetName val="Global Honorarios"/>
      <sheetName val="Recálculo Nómina"/>
      <sheetName val=" APT Gtos Op"/>
      <sheetName val="Calculo Global Nomina"/>
      <sheetName val="Liquidaciones Emp."/>
      <sheetName val="Gasto Combustible."/>
      <sheetName val="Análisis Empleados"/>
      <sheetName val="Gasto Sueldos"/>
      <sheetName val="Transp."/>
      <sheetName val="Servicios Adm"/>
      <sheetName val="Reembolsos"/>
      <sheetName val="OrgControl"/>
      <sheetName val="SaldosCruceInv"/>
      <sheetName val="Cálculo actuarial"/>
      <sheetName val="VerNóm"/>
      <sheetName val="AnálisisGtosAPT"/>
      <sheetName val="AguaPot"/>
      <sheetName val="Análisis APT Final"/>
      <sheetName val="Selección de Cuentas"/>
      <sheetName val="Selección de Gastos"/>
      <sheetName val="Análisis APT Prelim"/>
      <sheetName val="Análisis Arriendos"/>
      <sheetName val="Comisión a Distribuidores"/>
      <sheetName val="Mantenimiento de Bienes"/>
      <sheetName val="Arrendamiento Mercantil"/>
      <sheetName val="Arriendo Inmuebles"/>
      <sheetName val="Serv. Comercialización"/>
      <sheetName val="Selec ACL"/>
      <sheetName val="Cálculo de Honorarios"/>
      <sheetName val="Presupuesto"/>
      <sheetName val="Guardia y Seguridad"/>
      <sheetName val="Central Telef."/>
      <sheetName val="Mant. Jardines"/>
      <sheetName val="Bonif. Ventas(Prel) (2)"/>
      <sheetName val="Determinación de Límites"/>
      <sheetName val="Jub.Patr."/>
      <sheetName val="Costo de Garantía"/>
      <sheetName val="Asis. Tec."/>
      <sheetName val="Selec. APT"/>
      <sheetName val="An. APT"/>
      <sheetName val="Cálculo Nómina"/>
      <sheetName val="Bonos de desempeño"/>
      <sheetName val="Movimiento Inventario Propio"/>
      <sheetName val="Análisis Hon. Contractuales"/>
      <sheetName val="Análisis Hon Profesionales"/>
      <sheetName val="Análisis Reaseguros"/>
      <sheetName val="Análisis de Inventario Propio"/>
      <sheetName val="Análisis de Sum. Consignación"/>
      <sheetName val="NOTAS E.E.F.F."/>
      <sheetName val="Pruebas Sustantivas"/>
      <sheetName val="Mov Jubilación y Desahucio"/>
      <sheetName val="Calc. Arriendos"/>
      <sheetName val="Plantilla de límites Fecha Fi"/>
      <sheetName val="Det. cargas soc. y sueldos"/>
      <sheetName val="Límites Gasto Nómina"/>
      <sheetName val="Límites provisiones"/>
      <sheetName val="Prueb.Calc.Actur"/>
      <sheetName val="Revisión de Factura-Honor."/>
      <sheetName val="Nomina final"/>
      <sheetName val="CG. Distribución Portrans"/>
      <sheetName val="CG Impuesto Salida de Divisas"/>
      <sheetName val="Gastos APT-Final"/>
      <sheetName val="Análisis de Gastos APT-Prel."/>
      <sheetName val="Cálculo Globla Nómina Final"/>
      <sheetName val="Rol de Pagos"/>
      <sheetName val="Honorarios Gerencia"/>
      <sheetName val="Cost-Sharing"/>
      <sheetName val="Servicio Relacionadas"/>
      <sheetName val="Costos APT"/>
      <sheetName val="Contratos Casa Matriz"/>
      <sheetName val="Cálculo Globla Nómina"/>
      <sheetName val="Cierre de Gastos"/>
      <sheetName val="Contribuciones"/>
      <sheetName val="Bonif. Ventas(Prel)"/>
      <sheetName val="Bonif. Ventas (Final)"/>
      <sheetName val="Otras Bonifs. (Prel)"/>
      <sheetName val="Otras Bonifs. (Final)"/>
      <sheetName val="Arriendos y Cond. (Prel)"/>
      <sheetName val="Arriendos y Cond. (Final)"/>
      <sheetName val="Comisiones (Prel)"/>
      <sheetName val="Comisiones (Final)"/>
      <sheetName val="Análisis de Gastos APT"/>
      <sheetName val="Sheet1 (2)"/>
      <sheetName val="Detalle gtos"/>
      <sheetName val="MMA Ago-05"/>
      <sheetName val="# Empleados"/>
      <sheetName val="Serv. Exter"/>
      <sheetName val="APT Gastos Honorarios"/>
      <sheetName val="Muestra Final"/>
      <sheetName val="APT 2008"/>
      <sheetName val="Comisiones en Ventas"/>
      <sheetName val="Análisis Seguros"/>
      <sheetName val="Variaciones Gastos APT"/>
      <sheetName val="CG Nómina"/>
      <sheetName val="Gtos No ded Dec08"/>
      <sheetName val="Gtos No deducibles"/>
      <sheetName val="Bonificaciones y PT Jun"/>
      <sheetName val="Bonificaciones y PT Dec"/>
      <sheetName val="Bonificaciones prel"/>
      <sheetName val="Bonificaciones Final"/>
      <sheetName val="Entrega PT"/>
      <sheetName val="CG Seguros"/>
      <sheetName val="Análisis variaciones"/>
      <sheetName val="Beneficios"/>
      <sheetName val="Serv Contrat"/>
      <sheetName val="CMA_Calculations"/>
      <sheetName val="Detalle (2)"/>
      <sheetName val="Imp. y Contrib."/>
      <sheetName val="Provisiones"/>
      <sheetName val="Serv. Contr"/>
      <sheetName val="APT Suministros"/>
      <sheetName val="Gastos Operacion"/>
      <sheetName val="Dietas y Honorarios"/>
      <sheetName val="Impuestos y Contrib y Camara"/>
      <sheetName val="Funcionarios"/>
      <sheetName val="Impuestos y Contribuciones"/>
      <sheetName val="Bono Navideño"/>
      <sheetName val="Nómina Final"/>
      <sheetName val="Arriendos Final"/>
      <sheetName val="NOTA EF"/>
      <sheetName val="Cálculo Global Seguros"/>
      <sheetName val="Arriendo de Bodegas"/>
      <sheetName val="Hon Ots"/>
      <sheetName val="Arr Of"/>
      <sheetName val="Arr Bod"/>
      <sheetName val="Com FEE"/>
      <sheetName val="Compañías Relacionadas"/>
      <sheetName val="Nota a los EE FF"/>
      <sheetName val="Cálculo Global de Nómina"/>
      <sheetName val="Análsisi de Gastos APT"/>
      <sheetName val="Salarios y Beneficios Sociales"/>
      <sheetName val="Conectividad"/>
      <sheetName val="Alquiler de Licencias"/>
      <sheetName val="Alquiler de Edificios"/>
      <sheetName val="Incentivos de Agencias"/>
      <sheetName val="Cálculo Global-Nómina"/>
      <sheetName val="Procedimientos Gastos Operacion"/>
      <sheetName val="Calculo de Nomina"/>
      <sheetName val="Hoja de límites"/>
      <sheetName val="Nuevo Enfoque APT"/>
      <sheetName val="APT Ctas Seleccionadas"/>
      <sheetName val="Analisis - APT"/>
      <sheetName val="Detalle 10"/>
      <sheetName val="Vacaciones"/>
      <sheetName val="Planillas"/>
      <sheetName val="APT de Costos"/>
      <sheetName val="NOTAs EEFF"/>
      <sheetName val="Límites Nomina"/>
      <sheetName val="Detalle de arriendos"/>
      <sheetName val="Límites "/>
      <sheetName val="Comisión Tarjetas"/>
      <sheetName val="Amortización Final"/>
      <sheetName val="Amortización"/>
      <sheetName val="Análisis variación G.Pubicidad"/>
      <sheetName val="APT Gastos "/>
      <sheetName val="Gtos. Operación"/>
      <sheetName val="Anális Leasing"/>
      <sheetName val="Jubilación patronal"/>
      <sheetName val="Publicidad "/>
      <sheetName val="Det.Dic."/>
      <sheetName val="Det.Oct."/>
      <sheetName val="Rev.Analít."/>
      <sheetName val="Arr. Mer."/>
      <sheetName val="Ener. Elec."/>
      <sheetName val="Asig. Adm"/>
      <sheetName val="Variaciones"/>
      <sheetName val="XREF1"/>
      <sheetName val="Det. Dic."/>
      <sheetName val="Det. Oct."/>
      <sheetName val="APT Servicio Transp."/>
      <sheetName val="Servicios de Distribución"/>
      <sheetName val="Patentes"/>
      <sheetName val="Validación Nómina"/>
      <sheetName val="Sel APT"/>
      <sheetName val="Ana. APT"/>
      <sheetName val="Otros Impuestos Sep"/>
      <sheetName val="Cálculo Global Beneficios Socia"/>
      <sheetName val="Ctas. Consumo Inv."/>
      <sheetName val="Limites  Nuevo Enfoque"/>
      <sheetName val="Análisis Gto. Patrocinio"/>
      <sheetName val="Notas EF"/>
      <sheetName val="Cont. Selec"/>
      <sheetName val="Indem. selec"/>
      <sheetName val="Analisis APT Preliminar"/>
      <sheetName val="Cálculo marketing FEE"/>
      <sheetName val="Sheet% Mk Fee."/>
      <sheetName val="Mano de Obra"/>
      <sheetName val="Procedimiento"/>
      <sheetName val="Observaciones"/>
      <sheetName val="Muestras Medicas"/>
      <sheetName val="Comisión Radioshack"/>
      <sheetName val="Tarjetas Créd. final"/>
      <sheetName val="Tarjetas Créd."/>
      <sheetName val="Cál. Global Arriendos Final"/>
      <sheetName val="Comisión Tarjeta"/>
      <sheetName val="Anál. Gastos APT"/>
      <sheetName val="Gastos Operacionales"/>
      <sheetName val="Gasto de administ y ventas"/>
      <sheetName val="Cálculo Royalities"/>
      <sheetName val="Nómina Dec."/>
      <sheetName val="Nómina Nov."/>
      <sheetName val="Cálculo Seguro de Vida"/>
      <sheetName val="Cálculo ley 42"/>
      <sheetName val="Cálculo de transporte"/>
      <sheetName val="Análisis Allocation"/>
      <sheetName val="External"/>
      <sheetName val="Analisis Gastos"/>
      <sheetName val="Detalle M.O."/>
      <sheetName val="Detalle cons. Inv"/>
      <sheetName val="CMA Calculations- R Factor"/>
      <sheetName val="Gastos liquidación Haberes"/>
      <sheetName val="Cálculo Global sueldos y benef."/>
      <sheetName val="Servicios Gerenciales"/>
      <sheetName val="Servic. Externos"/>
      <sheetName val="Serv.Externos final"/>
      <sheetName val="Tercerización"/>
      <sheetName val="Saldos Neg"/>
      <sheetName val="mayores "/>
      <sheetName val="Servicio Com.- Asist. Técnica"/>
      <sheetName val="Personal Discapac."/>
      <sheetName val="Gastos APT Final"/>
      <sheetName val="Gastos APT Prlim."/>
      <sheetName val="Gto fin"/>
      <sheetName val="APTfinal"/>
      <sheetName val="Fusión"/>
      <sheetName val="APTFusión"/>
      <sheetName val="ADC &amp; HAS Gtos"/>
      <sheetName val="Análisis Honorarios"/>
      <sheetName val="APT Costos y Gastos"/>
      <sheetName val="No Deducibles"/>
      <sheetName val="Provisiones No deducibles"/>
      <sheetName val="Cálculo de Arriendos"/>
      <sheetName val="Calculo de Nómina"/>
      <sheetName val="Gastos APT(P)"/>
      <sheetName val="Gastos APT (F)"/>
      <sheetName val="Regalias(P)"/>
      <sheetName val="Regalias (F)"/>
      <sheetName val="Incentivo Agencias final"/>
      <sheetName val="Cálculo Global de Incentivos"/>
      <sheetName val="Base Para el cálculo de Incenti"/>
      <sheetName val="Gastos APT Prelim."/>
      <sheetName val="Mov Juvilación y Desahucio"/>
      <sheetName val="Plantilla de límites"/>
      <sheetName val="Movimiento Jubilación Patronal"/>
      <sheetName val="Costo de Garantías"/>
      <sheetName val="Subdetalles de gastos"/>
      <sheetName val="Selección bono retiro"/>
      <sheetName val="Cál Glob Nómina"/>
      <sheetName val="Muestras médicas"/>
      <sheetName val="APT liquidaciones"/>
      <sheetName val="Notas EE.FF."/>
      <sheetName val="APT Mantenimiento"/>
      <sheetName val="Gasto APT  Preliminar"/>
      <sheetName val="APT Mantenimiento Preliminar "/>
      <sheetName val="APT  Preliminar"/>
      <sheetName val="Análisis Bono Cumplimiento (2)"/>
      <sheetName val="Detalle Sound &amp; Booth"/>
      <sheetName val="CxP Royalty"/>
      <sheetName val="Selección Sound &amp; Bolth"/>
      <sheetName val="Análisis Sound&amp;Bouth"/>
      <sheetName val="APT Seguros"/>
      <sheetName val="Límites sugeridos"/>
      <sheetName val="Cál. Global Nómina"/>
      <sheetName val="Participación Trabajadores"/>
      <sheetName val="Sueldos y Beneficios Sociales"/>
      <sheetName val="F_Dinamizacion"/>
      <sheetName val="Limites"/>
      <sheetName val="Analisis APT Gastos"/>
      <sheetName val="Análisi APT"/>
      <sheetName val="Análisi Arriendos"/>
      <sheetName val="Análisis_Var_Mens_Gtos"/>
      <sheetName val="Cálculo Globla 5 meses"/>
      <sheetName val="Matriz"/>
      <sheetName val="Integridad Base"/>
      <sheetName val="Res Contrato Colectivo"/>
      <sheetName val="Confirmaciones"/>
      <sheetName val="Contratos Matriz"/>
      <sheetName val="Cálculo Globla Nómina Final "/>
      <sheetName val="Comisiones Tarjetas "/>
      <sheetName val="Análisis de Tendencias"/>
      <sheetName val="Corte"/>
      <sheetName val="Consumos de Inventario"/>
      <sheetName val="Cal. Global seguros"/>
      <sheetName val="Limites Sugeridos"/>
      <sheetName val="APT Gastos Final"/>
      <sheetName val="APT Dic"/>
      <sheetName val="Overcomision"/>
      <sheetName val="Comisiones Tarjetas"/>
      <sheetName val="Prueba de Detalle de Nómina"/>
      <sheetName val="gto atp"/>
      <sheetName val="Mestra APT"/>
      <sheetName val="Límites pre"/>
      <sheetName val="Límites fin"/>
      <sheetName val="Gasto Jub. Pat y Desahuc"/>
      <sheetName val="Pagos "/>
      <sheetName val="8330.1 Detalle"/>
      <sheetName val="8330.1a Revisión Analítica"/>
      <sheetName val="8330.2 APT Gastos de Operación"/>
      <sheetName val="8330.3 Cálculo Global Nómina"/>
      <sheetName val="8330.4 Arriendos"/>
      <sheetName val="8330.5 Telecenter"/>
      <sheetName val="8330.6a Límites"/>
      <sheetName val="8330.6b Límites Final"/>
      <sheetName val="Sheet8"/>
      <sheetName val="Calc. Glob Arriend"/>
      <sheetName val="Gastos APT (Nov)"/>
      <sheetName val="Gastos APT Dic"/>
      <sheetName val=" CG Nómina"/>
      <sheetName val="CG Prov. Beneficios Sociales"/>
      <sheetName val="Otros gtos adminis y vtas"/>
      <sheetName val="CMA Calculations- Figure 54 (2)"/>
      <sheetName val="CMA Calculations- Figure 54 (3)"/>
      <sheetName val="Analisis Gastos APT"/>
      <sheetName val="Calculo Global de Sueldos"/>
      <sheetName val="CNT"/>
      <sheetName val="APT_CNT"/>
      <sheetName val="Revisión APT"/>
      <sheetName val="P.1. Detalle"/>
      <sheetName val="P.2. Calculo de Nómina (P)"/>
      <sheetName val="Gastos APT(F)"/>
      <sheetName val="Cálculo Nómina final "/>
      <sheetName val="Cálculo Nómina prel"/>
      <sheetName val="Gastos APT 2 NIIF"/>
      <sheetName val="Gasto Seg Vida"/>
      <sheetName val="Intercompany"/>
      <sheetName val="Detalle de Desahucio"/>
      <sheetName val="Cálculo Nómina final"/>
      <sheetName val="Análisis de Apt "/>
      <sheetName val="Prov.Inv.Lento Movto."/>
      <sheetName val="Gastos No Deducibles"/>
      <sheetName val="Desahucio"/>
      <sheetName val="Mov.Inv.Lento Mov."/>
      <sheetName val="Mov.Provisión"/>
      <sheetName val="Cálculo Global Nómina"/>
      <sheetName val="Comparación Sueldos 11-12"/>
      <sheetName val="APT Otros Gastos"/>
      <sheetName val="Rev. de Doc. soporte"/>
      <sheetName val="Cálculo Global de Arriendos"/>
      <sheetName val="Calculo Global"/>
      <sheetName val="Serv Cobranza"/>
      <sheetName val="Analisis Serv. Cobranza"/>
      <sheetName val="Análsis Mensajes de Producción"/>
      <sheetName val="Res. Confirmac."/>
      <sheetName val="Notas"/>
      <sheetName val="8330.1 Nómina"/>
      <sheetName val="Luz Eléctrica"/>
      <sheetName val="APT Gostos"/>
      <sheetName val="Transferencia de costos"/>
      <sheetName val="Nómina "/>
      <sheetName val="Feb"/>
    </sheetNames>
    <sheetDataSet>
      <sheetData sheetId="0" refreshError="1">
        <row r="10">
          <cell r="A10" t="str">
            <v>6.1.1.01.01.01</v>
          </cell>
        </row>
        <row r="299">
          <cell r="E299">
            <v>295674</v>
          </cell>
        </row>
      </sheetData>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sheetData sheetId="11"/>
      <sheetData sheetId="12" refreshError="1"/>
      <sheetData sheetId="13"/>
      <sheetData sheetId="14" refreshError="1"/>
      <sheetData sheetId="15" refreshError="1"/>
      <sheetData sheetId="16"/>
      <sheetData sheetId="17"/>
      <sheetData sheetId="18" refreshError="1"/>
      <sheetData sheetId="19"/>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ow r="6">
          <cell r="B6">
            <v>321405</v>
          </cell>
        </row>
      </sheetData>
      <sheetData sheetId="29" refreshError="1"/>
      <sheetData sheetId="30" refreshError="1"/>
      <sheetData sheetId="31" refreshError="1"/>
      <sheetData sheetId="32" refreshError="1"/>
      <sheetData sheetId="33" refreshError="1"/>
      <sheetData sheetId="34">
        <row r="299">
          <cell r="E299">
            <v>295674</v>
          </cell>
        </row>
      </sheetData>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sheetData sheetId="49"/>
      <sheetData sheetId="50" refreshError="1"/>
      <sheetData sheetId="51" refreshError="1"/>
      <sheetData sheetId="52" refreshError="1"/>
      <sheetData sheetId="53" refreshError="1"/>
      <sheetData sheetId="54"/>
      <sheetData sheetId="55" refreshError="1"/>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refreshError="1"/>
      <sheetData sheetId="91" refreshError="1"/>
      <sheetData sheetId="92"/>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sheetData sheetId="102" refreshError="1"/>
      <sheetData sheetId="103"/>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ow r="6">
          <cell r="B6">
            <v>321405</v>
          </cell>
        </row>
      </sheetData>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sheetData sheetId="170" refreshError="1"/>
      <sheetData sheetId="171" refreshError="1"/>
      <sheetData sheetId="172" refreshError="1"/>
      <sheetData sheetId="173" refreshError="1"/>
      <sheetData sheetId="174"/>
      <sheetData sheetId="175" refreshError="1"/>
      <sheetData sheetId="176"/>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sheetData sheetId="187"/>
      <sheetData sheetId="188"/>
      <sheetData sheetId="189" refreshError="1"/>
      <sheetData sheetId="190"/>
      <sheetData sheetId="191" refreshError="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sheetData sheetId="216" refreshError="1"/>
      <sheetData sheetId="217" refreshError="1"/>
      <sheetData sheetId="218" refreshError="1"/>
      <sheetData sheetId="219"/>
      <sheetData sheetId="220" refreshError="1"/>
      <sheetData sheetId="221"/>
      <sheetData sheetId="222"/>
      <sheetData sheetId="223"/>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ow r="6">
          <cell r="B6">
            <v>321405</v>
          </cell>
        </row>
      </sheetData>
      <sheetData sheetId="243" refreshError="1"/>
      <sheetData sheetId="244" refreshError="1"/>
      <sheetData sheetId="245" refreshError="1"/>
      <sheetData sheetId="246" refreshError="1"/>
      <sheetData sheetId="247"/>
      <sheetData sheetId="248"/>
      <sheetData sheetId="249"/>
      <sheetData sheetId="250"/>
      <sheetData sheetId="25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sheetData sheetId="291"/>
      <sheetData sheetId="292"/>
      <sheetData sheetId="293"/>
      <sheetData sheetId="294"/>
      <sheetData sheetId="295" refreshError="1"/>
      <sheetData sheetId="296" refreshError="1"/>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sheetData sheetId="312" refreshError="1"/>
      <sheetData sheetId="313" refreshError="1"/>
      <sheetData sheetId="314" refreshError="1"/>
      <sheetData sheetId="315" refreshError="1"/>
      <sheetData sheetId="316"/>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ow r="299">
          <cell r="E299">
            <v>295674</v>
          </cell>
        </row>
      </sheetData>
      <sheetData sheetId="340"/>
      <sheetData sheetId="341" refreshError="1"/>
      <sheetData sheetId="342" refreshError="1"/>
      <sheetData sheetId="343"/>
      <sheetData sheetId="344"/>
      <sheetData sheetId="345"/>
      <sheetData sheetId="346"/>
      <sheetData sheetId="347" refreshError="1"/>
      <sheetData sheetId="348" refreshError="1"/>
      <sheetData sheetId="349" refreshError="1"/>
      <sheetData sheetId="350"/>
      <sheetData sheetId="351" refreshError="1"/>
      <sheetData sheetId="352"/>
      <sheetData sheetId="353" refreshError="1"/>
      <sheetData sheetId="354" refreshError="1"/>
      <sheetData sheetId="355"/>
      <sheetData sheetId="356"/>
      <sheetData sheetId="357"/>
      <sheetData sheetId="358"/>
      <sheetData sheetId="359"/>
      <sheetData sheetId="360"/>
      <sheetData sheetId="361" refreshError="1"/>
      <sheetData sheetId="362"/>
      <sheetData sheetId="363"/>
      <sheetData sheetId="364" refreshError="1"/>
      <sheetData sheetId="365" refreshError="1"/>
      <sheetData sheetId="366"/>
      <sheetData sheetId="367" refreshError="1"/>
      <sheetData sheetId="368"/>
      <sheetData sheetId="369" refreshError="1"/>
      <sheetData sheetId="370"/>
      <sheetData sheetId="371"/>
      <sheetData sheetId="372"/>
      <sheetData sheetId="373" refreshError="1"/>
      <sheetData sheetId="374" refreshError="1"/>
      <sheetData sheetId="375"/>
      <sheetData sheetId="376"/>
      <sheetData sheetId="377"/>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sheetData sheetId="429"/>
      <sheetData sheetId="430"/>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sheetData sheetId="460" refreshError="1"/>
      <sheetData sheetId="461"/>
      <sheetData sheetId="462" refreshError="1"/>
      <sheetData sheetId="463" refreshError="1"/>
      <sheetData sheetId="464" refreshError="1"/>
      <sheetData sheetId="465" refreshError="1"/>
      <sheetData sheetId="466" refreshError="1"/>
      <sheetData sheetId="467" refreshError="1"/>
      <sheetData sheetId="468"/>
      <sheetData sheetId="469" refreshError="1"/>
      <sheetData sheetId="470" refreshError="1"/>
      <sheetData sheetId="471" refreshError="1"/>
      <sheetData sheetId="472" refreshError="1"/>
      <sheetData sheetId="473" refreshError="1"/>
      <sheetData sheetId="474" refreshError="1"/>
      <sheetData sheetId="475"/>
      <sheetData sheetId="476"/>
      <sheetData sheetId="477"/>
      <sheetData sheetId="478"/>
      <sheetData sheetId="479"/>
      <sheetData sheetId="480"/>
      <sheetData sheetId="481"/>
      <sheetData sheetId="482"/>
      <sheetData sheetId="483" refreshError="1"/>
      <sheetData sheetId="484" refreshError="1"/>
      <sheetData sheetId="485" refreshError="1"/>
      <sheetData sheetId="486"/>
      <sheetData sheetId="487"/>
      <sheetData sheetId="488" refreshError="1"/>
      <sheetData sheetId="489"/>
      <sheetData sheetId="490"/>
      <sheetData sheetId="491" refreshError="1"/>
      <sheetData sheetId="492" refreshError="1"/>
      <sheetData sheetId="493"/>
      <sheetData sheetId="494"/>
      <sheetData sheetId="495"/>
      <sheetData sheetId="496"/>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refreshError="1"/>
      <sheetData sheetId="517" refreshError="1"/>
      <sheetData sheetId="518" refreshError="1"/>
      <sheetData sheetId="519" refreshError="1"/>
      <sheetData sheetId="520" refreshError="1"/>
      <sheetData sheetId="521" refreshError="1"/>
      <sheetData sheetId="522"/>
      <sheetData sheetId="523" refreshError="1"/>
      <sheetData sheetId="524" refreshError="1"/>
      <sheetData sheetId="525" refreshError="1"/>
      <sheetData sheetId="526"/>
      <sheetData sheetId="527"/>
      <sheetData sheetId="528"/>
      <sheetData sheetId="529"/>
      <sheetData sheetId="530"/>
      <sheetData sheetId="531"/>
      <sheetData sheetId="532"/>
      <sheetData sheetId="533"/>
      <sheetData sheetId="534"/>
      <sheetData sheetId="535"/>
      <sheetData sheetId="536"/>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sheetData sheetId="546" refreshError="1"/>
      <sheetData sheetId="547" refreshError="1"/>
      <sheetData sheetId="548" refreshError="1"/>
      <sheetData sheetId="549" refreshError="1"/>
      <sheetData sheetId="550" refreshError="1"/>
      <sheetData sheetId="551" refreshError="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refreshError="1"/>
      <sheetData sheetId="572" refreshError="1"/>
      <sheetData sheetId="573"/>
      <sheetData sheetId="574" refreshError="1"/>
      <sheetData sheetId="575" refreshError="1"/>
      <sheetData sheetId="576" refreshError="1"/>
      <sheetData sheetId="577"/>
      <sheetData sheetId="578" refreshError="1"/>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sheetData sheetId="627"/>
      <sheetData sheetId="628" refreshError="1"/>
      <sheetData sheetId="629" refreshError="1"/>
      <sheetData sheetId="630" refreshError="1"/>
      <sheetData sheetId="631" refreshError="1"/>
      <sheetData sheetId="632" refreshError="1"/>
      <sheetData sheetId="633" refreshError="1"/>
      <sheetData sheetId="634"/>
      <sheetData sheetId="635"/>
      <sheetData sheetId="636"/>
      <sheetData sheetId="637" refreshError="1"/>
      <sheetData sheetId="638" refreshError="1"/>
      <sheetData sheetId="639" refreshError="1"/>
      <sheetData sheetId="640" refreshError="1"/>
      <sheetData sheetId="641"/>
      <sheetData sheetId="642"/>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refreshError="1"/>
      <sheetData sheetId="673" refreshError="1"/>
      <sheetData sheetId="674" refreshError="1"/>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sheetData sheetId="689"/>
      <sheetData sheetId="690"/>
      <sheetData sheetId="691" refreshError="1"/>
      <sheetData sheetId="692" refreshError="1"/>
      <sheetData sheetId="693" refreshError="1"/>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sheetData sheetId="706"/>
      <sheetData sheetId="707"/>
      <sheetData sheetId="708"/>
      <sheetData sheetId="709"/>
      <sheetData sheetId="710"/>
      <sheetData sheetId="71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sheetData sheetId="727"/>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sheetData sheetId="764"/>
      <sheetData sheetId="765"/>
      <sheetData sheetId="766" refreshError="1"/>
      <sheetData sheetId="767" refreshError="1"/>
      <sheetData sheetId="768"/>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sheetData sheetId="78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s EEFF"/>
      <sheetName val="Detalle"/>
      <sheetName val="Desembolsos 2010"/>
      <sheetName val="Contratos Préstamo"/>
      <sheetName val="Cálculo Interes Prestamos"/>
      <sheetName val="Cálculo Interes Sponsors"/>
      <sheetName val="Determinación de Límites"/>
      <sheetName val="XREF"/>
      <sheetName val="Tickmarks"/>
      <sheetName val="#REF"/>
    </sheetNames>
    <sheetDataSet>
      <sheetData sheetId="0" refreshError="1"/>
      <sheetData sheetId="1" refreshError="1">
        <row r="1">
          <cell r="A1" t="str">
            <v>Detalle de Deuda a Largo Plazo</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G. Adm."/>
      <sheetName val="Detalle G. Ventas"/>
      <sheetName val="Detalle de Interesés"/>
      <sheetName val="SUELDOS"/>
      <sheetName val="Selección "/>
      <sheetName val="APT Gastos"/>
      <sheetName val="Cálculo de Interesés"/>
      <sheetName val="XREF"/>
      <sheetName val="Tickmarks"/>
      <sheetName val="Detalle"/>
      <sheetName val="Nomina"/>
      <sheetName val="MMA"/>
      <sheetName val="Mayores"/>
      <sheetName val="Leasing"/>
      <sheetName val="Mov.Honor.Profe"/>
      <sheetName val="Variación Gtos "/>
      <sheetName val="MMA Final"/>
      <sheetName val="MMA Prel."/>
      <sheetName val="APT Final"/>
      <sheetName val="Selecc"/>
      <sheetName val="Determinación del Límite"/>
      <sheetName val="Tabla del Límit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a los Estados Financieros"/>
      <sheetName val="Avalúo"/>
      <sheetName val="Costo+Reexp"/>
      <sheetName val="Amort.Costo+Reexp"/>
      <sheetName val="Cálculo Amort."/>
      <sheetName val="Cálculo Reexp.Costo"/>
      <sheetName val="Cálculo Reexp Amort."/>
      <sheetName val="Inv. Plantas"/>
      <sheetName val="Bloques"/>
      <sheetName val="Mov. Plant.Proceso"/>
      <sheetName val="selec.adic.plantaciones"/>
      <sheetName val="Cálculo Global Plantac. Proceso"/>
      <sheetName val="Anál.Ad.plant.proc."/>
      <sheetName val="XREF"/>
      <sheetName val="Tickmarks"/>
      <sheetName val="Nota"/>
      <sheetName val="Nota P.Proceso"/>
      <sheetName val="Mov.Costo P.Proc."/>
      <sheetName val="Nota Plantaciones"/>
      <sheetName val="Mov.Costo y Reexp Plant."/>
      <sheetName val="Mov.Amort.Costo y Reexp Plant."/>
      <sheetName val="Cálculo Correción Costo Plant"/>
      <sheetName val="Cálculo Amortización"/>
      <sheetName val="Cálculo de  la Rexxp Amorti"/>
      <sheetName val="MMA"/>
      <sheetName val="Análisis adiciones"/>
      <sheetName val="Cálculo Amort. (fec.siemb.)"/>
      <sheetName val="Cálculo Reexp Amort. (fech.sie)"/>
      <sheetName val="CorrMonPlantProc"/>
      <sheetName val="selec.adic.plant.proc"/>
      <sheetName val="Detalle de ptas.adquir.{PPC}"/>
      <sheetName val="detalle M.O"/>
      <sheetName val="det.amort.acum."/>
      <sheetName val="distrib.ctosPPC"/>
      <sheetName val="Hoja2"/>
      <sheetName val="Mov."/>
      <sheetName val="Mov. Amort."/>
      <sheetName val="Cál. Amort."/>
      <sheetName val="Adic."/>
      <sheetName val="Detalle"/>
      <sheetName val=" Costo"/>
      <sheetName val="Amortización"/>
      <sheetName val="MMA "/>
      <sheetName val="APT Adiciones"/>
      <sheetName val="APT"/>
      <sheetName val="Resumen movimiento"/>
      <sheetName val="Pivot 2004"/>
      <sheetName val="Sheet1"/>
      <sheetName val="MMA Adciones"/>
      <sheetName val="Mayores"/>
      <sheetName val="NEC 17"/>
      <sheetName val="Costo"/>
      <sheetName val="Movimiento (Final)"/>
      <sheetName val="Movimiento (Preliminar)"/>
      <sheetName val="MMA(final)"/>
      <sheetName val="APT (Final)"/>
      <sheetName val="MMA(prel)"/>
      <sheetName val="Amort."/>
      <sheetName val="Cálc. Global"/>
      <sheetName val="Selección Adiciones"/>
      <sheetName val="Adiciones"/>
      <sheetName val="Mov.(Final)"/>
      <sheetName val="Mov.(Prel)"/>
      <sheetName val="Base de datos"/>
      <sheetName val="Selección"/>
      <sheetName val="Amort. Acumulada"/>
      <sheetName val="Cal. Amort."/>
      <sheetName val="Análisis"/>
      <sheetName val="Límite"/>
      <sheetName val="Récalculo Amortización"/>
      <sheetName val="Cal.Amort."/>
      <sheetName val="Análisis de Adic."/>
      <sheetName val="Análisis Importaciones"/>
      <sheetName val="Ventas"/>
      <sheetName val="Calc. Límite"/>
      <sheetName val="MMA Adiciones"/>
      <sheetName val="Mov.Costo"/>
      <sheetName val="MMA Adiciones (2)"/>
      <sheetName val="Análisis Imp. Tránsito"/>
      <sheetName val="Cál."/>
      <sheetName val="APT Adics."/>
      <sheetName val="Costo-Pivot"/>
      <sheetName val="MMA AM"/>
      <sheetName val="Nota EF"/>
      <sheetName val="Costo (dec)"/>
      <sheetName val="Amort (dec)"/>
      <sheetName val="Cal Gbl (dec)"/>
      <sheetName val="MMA (comp)"/>
      <sheetName val="MMA (reg)"/>
      <sheetName val="Anál Adi"/>
      <sheetName val="Errad"/>
      <sheetName val="Cost (ago)"/>
      <sheetName val="Amort (ago)"/>
      <sheetName val="MMA (ago)"/>
      <sheetName val="Anali. Adiciones"/>
      <sheetName val="#REF"/>
      <sheetName val="Mov. Costo"/>
      <sheetName val="Mov. Amortiz"/>
      <sheetName val="Amort"/>
      <sheetName val="Notas"/>
      <sheetName val="Mov.Plant"/>
      <sheetName val="Cálc. Deprec."/>
      <sheetName val="Mov Inversiones Agrìcolas"/>
      <sheetName val="Cómputo Amort."/>
      <sheetName val="APT Plantaciones"/>
      <sheetName val="Procedimientos"/>
      <sheetName val="Movimiento"/>
      <sheetName val="Calc. Global Depre."/>
      <sheetName val="Movimiento 1"/>
      <sheetName val="Movimiento 2"/>
      <sheetName val="Movimiento NEC"/>
      <sheetName val="Movimiento NIIF"/>
      <sheetName val="Income Statement"/>
      <sheetName val="Rat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row r="46">
          <cell r="F46" t="str">
            <v>!</v>
          </cell>
        </row>
      </sheetData>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sheetData sheetId="49" refreshError="1"/>
      <sheetData sheetId="50" refreshError="1"/>
      <sheetData sheetId="51"/>
      <sheetData sheetId="52" refreshError="1"/>
      <sheetData sheetId="53" refreshError="1"/>
      <sheetData sheetId="54" refreshError="1"/>
      <sheetData sheetId="55" refreshError="1"/>
      <sheetData sheetId="56" refreshError="1"/>
      <sheetData sheetId="57"/>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refreshError="1"/>
      <sheetData sheetId="76" refreshError="1"/>
      <sheetData sheetId="77"/>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Ant comp terr"/>
      <sheetName val=" D.Antic Prov MP"/>
      <sheetName val="D.Antic gtos import &amp; exp"/>
      <sheetName val="D. impto anticip"/>
      <sheetName val="Tildes"/>
    </sheetNames>
    <sheetDataSet>
      <sheetData sheetId="0"/>
      <sheetData sheetId="1" refreshError="1"/>
      <sheetData sheetId="2" refreshError="1"/>
      <sheetData sheetId="3" refreshError="1"/>
      <sheetData sheetId="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erminación del Limite"/>
      <sheetName val="Hoja de datos"/>
      <sheetName val="Tabla del Limite"/>
      <sheetName val="Tickmarks"/>
      <sheetName val="Module1"/>
      <sheetName val="Worksheet in     Revisión Analí"/>
      <sheetName val="Busqueda Pasivos"/>
      <sheetName val="Fact. vs Rec."/>
      <sheetName val="Tango AN 31-12-02"/>
      <sheetName val="N° RCS"/>
      <sheetName val="Base Vs 30-11-01 (2)"/>
      <sheetName val="2.Préstamos 31.05.05"/>
      <sheetName val="3.Cargo a resultados Intereses"/>
      <sheetName val="XREF"/>
      <sheetName val="BANDA A"/>
      <sheetName val="BS"/>
      <sheetName val="MASL94"/>
      <sheetName val="Cotizaciones-Bancos"/>
      <sheetName val="balance 30112003"/>
      <sheetName val="F1-F2"/>
      <sheetName val="Detalle"/>
      <sheetName val="I-02.01"/>
      <sheetName val="template"/>
      <sheetName val="BASE TOTAL"/>
      <sheetName val="ctas_cri"/>
      <sheetName val="ctas axi"/>
      <sheetName val="Análisis de Ventas"/>
    </sheetNames>
    <sheetDataSet>
      <sheetData sheetId="0" refreshError="1">
        <row r="3">
          <cell r="B3">
            <v>93905</v>
          </cell>
        </row>
        <row r="4">
          <cell r="B4">
            <v>117103</v>
          </cell>
        </row>
        <row r="15">
          <cell r="B15" t="e">
            <v>#N/A</v>
          </cell>
        </row>
      </sheetData>
      <sheetData sheetId="1"/>
      <sheetData sheetId="2">
        <row r="6">
          <cell r="A6">
            <v>1</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to. Costo"/>
      <sheetName val="Mvto. Depreciación"/>
      <sheetName val="Gasto"/>
      <sheetName val="Detalle de Ventas"/>
      <sheetName val="MMA Prelim. Vts."/>
      <sheetName val="Análisis Vts."/>
      <sheetName val="Detalle adiciones"/>
      <sheetName val="MMA Prelim. Ad."/>
      <sheetName val="Análisis Ad."/>
      <sheetName val="IMP. TRAN"/>
      <sheetName val="MMA Preli"/>
      <sheetName val="APT Imp.Tran."/>
      <sheetName val="XREF"/>
      <sheetName val="Tickmarks"/>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sheetData sheetId="10" refreshError="1"/>
      <sheetData sheetId="11" refreshError="1"/>
      <sheetData sheetId="12"/>
      <sheetData sheetId="13"/>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MA (Agosto04)"/>
      <sheetName val="APT(Agosto04)"/>
      <sheetName val="MMA (mayo04)"/>
      <sheetName val="APT (Mayo04)"/>
      <sheetName val="Op. Provisiones"/>
      <sheetName val="XREF"/>
      <sheetName val="Tickmarks"/>
      <sheetName val="MMA"/>
      <sheetName val="Hoja1"/>
      <sheetName val="Tildes"/>
      <sheetName val="Detalle 01 "/>
      <sheetName val="Revisión analítica gastos"/>
      <sheetName val="Gastos"/>
      <sheetName val="APT"/>
      <sheetName val="base de datos"/>
      <sheetName val="Detalle fin01"/>
      <sheetName val="Detalle gastos (2)"/>
      <sheetName val="Detalle gastos"/>
      <sheetName val="Costos fabric"/>
      <sheetName val="Depreciación"/>
      <sheetName val="Amortización"/>
      <sheetName val="Nómina Terceros"/>
      <sheetName val="MMA (2)"/>
      <sheetName val="Sheet1"/>
      <sheetName val="Tercerizados"/>
      <sheetName val="Análisis"/>
      <sheetName val="Honorarios 2001"/>
      <sheetName val="Honorarios 2000"/>
      <sheetName val="APT Gastos"/>
      <sheetName val="Marcas Estándar"/>
      <sheetName val="Nómina"/>
      <sheetName val="Resumen-1"/>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MA Gastos"/>
      <sheetName val="APT Gastos"/>
      <sheetName val="MMA Subcont."/>
      <sheetName val="APT Subcont."/>
      <sheetName val="Indemnizaciones"/>
      <sheetName val="Arriendos"/>
      <sheetName val="Transf. Negocios"/>
      <sheetName val="Bonos"/>
      <sheetName val="Sueldos"/>
      <sheetName val="XREF"/>
      <sheetName val="Tickmark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sheetData sheetId="10"/>
      <sheetData sheetId="1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Sheet2"/>
      <sheetName val="Sheet1"/>
      <sheetName val="1000 "/>
      <sheetName val="2000"/>
      <sheetName val="3000"/>
      <sheetName val="4000"/>
      <sheetName val="5000"/>
      <sheetName val="6000"/>
      <sheetName val="70081"/>
      <sheetName val="70082"/>
      <sheetName val="70083"/>
      <sheetName val="70084"/>
      <sheetName val="8000"/>
      <sheetName val="MMA"/>
      <sheetName val="APT"/>
      <sheetName val="Cálc. Glob. Arrend."/>
      <sheetName val="Cálculo Glb. Sueldo"/>
      <sheetName val="Protocolos"/>
      <sheetName val="Reemb. Grunenthal"/>
      <sheetName val="XREF"/>
      <sheetName val="Tickmarks"/>
    </sheetNames>
    <sheetDataSet>
      <sheetData sheetId="0"/>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refreshError="1"/>
      <sheetData sheetId="18" refreshError="1"/>
      <sheetData sheetId="19" refreshError="1"/>
      <sheetData sheetId="20"/>
      <sheetData sheetId="2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Gastos x CC"/>
      <sheetName val="MMA Final"/>
      <sheetName val="MMA Prel"/>
      <sheetName val="APT Gtos."/>
      <sheetName val="APT Transporte"/>
      <sheetName val="Regalías"/>
      <sheetName val="Benef. Sociales"/>
      <sheetName val="Arriendos"/>
      <sheetName val="Límite"/>
      <sheetName val="XREF"/>
      <sheetName val="Tickmarks"/>
      <sheetName val="Gtos apt final"/>
      <sheetName val="Servic. Externos"/>
      <sheetName val="Tercerización"/>
      <sheetName val="Saldos negativos"/>
      <sheetName val="APT Gastos"/>
      <sheetName val="Detalle de gastos "/>
      <sheetName val="mayores "/>
      <sheetName val="MMA"/>
      <sheetName val="Sueldos"/>
      <sheetName val="Análisis Remunerativo"/>
      <sheetName val="Comisiones"/>
      <sheetName val="Asesoria tecnica"/>
      <sheetName val="Honorarios"/>
      <sheetName val="Tercerizados"/>
      <sheetName val="Producipon Proye. Llama"/>
      <sheetName val="Cálculo de Honorarios"/>
      <sheetName val="Apt"/>
      <sheetName val="Seleccion Gastos"/>
      <sheetName val="Sheet1"/>
      <sheetName val="Nómina"/>
      <sheetName val="Gastos médicos"/>
      <sheetName val="Muestras Adiciones"/>
      <sheetName val="Muestra Gastos"/>
      <sheetName val="CMA H.CONTR."/>
      <sheetName val="Seleccion Honorarios Contractua"/>
      <sheetName val="CMA H.PROF."/>
      <sheetName val="Honorarios profesionales"/>
      <sheetName val="APT HONORARIOS"/>
      <sheetName val="Limite"/>
      <sheetName val="CMA Calculations"/>
      <sheetName val="CMA Selections"/>
      <sheetName val="#REF"/>
      <sheetName val="Calc. Global Sueldos "/>
      <sheetName val="MMA APT"/>
      <sheetName val="APT Suministros"/>
      <sheetName val="Límite Sueldos"/>
      <sheetName val="Indemnizaciones"/>
      <sheetName val="Gastos Operacion"/>
      <sheetName val="Dietas y Honorarios"/>
      <sheetName val="Impuestos y Contrib y Camara"/>
      <sheetName val="Funcionarios"/>
      <sheetName val="Beneficios Sociales"/>
      <sheetName val="Fletes de Distribución"/>
      <sheetName val="Fletes de Producto"/>
      <sheetName val="Muestra de Gastos"/>
      <sheetName val="Bajas"/>
      <sheetName val="Facturas Asistencia Técnica"/>
      <sheetName val="MMA (Dic)"/>
      <sheetName val="Análisis Rol de Pagos"/>
      <sheetName val="Horas Extras"/>
      <sheetName val="Asesoría Técnica"/>
      <sheetName val="Tercerización (Dic)"/>
      <sheetName val="Tercerizasción (Dic)"/>
      <sheetName val="Revisión Analítica"/>
      <sheetName val="Calc. Global Sueldos"/>
      <sheetName val="Determinación del Límite"/>
      <sheetName val="Tabla del Límite"/>
      <sheetName val="Detalle Gastos"/>
      <sheetName val="Costos producción"/>
      <sheetName val="Seguros"/>
      <sheetName val="Seguro Vida"/>
      <sheetName val="Rancho"/>
      <sheetName val="Sueldos y Beneficios"/>
      <sheetName val="MMA (F)"/>
      <sheetName val="Leasing"/>
      <sheetName val="Tercerizadora Nexos"/>
      <sheetName val="Tabla"/>
      <sheetName val="Detalle Gtos"/>
      <sheetName val="CG Sueldos"/>
      <sheetName val="Dietas"/>
      <sheetName val="Bono Navideño"/>
      <sheetName val="Arriendos y Cond."/>
      <sheetName val="Ints Proveedores"/>
      <sheetName val="Electricidad"/>
      <sheetName val="I. Municipales"/>
      <sheetName val="Comisiones TC"/>
      <sheetName val="Bonificaciones"/>
      <sheetName val="Calc. Límites"/>
      <sheetName val="Tabla Límites"/>
      <sheetName val="Guardianía"/>
      <sheetName val="MMA Garan. Banc."/>
      <sheetName val="Links"/>
      <sheetName val="Detalle Bon. y Publ."/>
      <sheetName val="Planillas IESS"/>
      <sheetName val="Gasto Publicidad"/>
      <sheetName val="T. Límite"/>
      <sheetName val="Tickmarks (2)"/>
      <sheetName val="MMA Premiliminar"/>
      <sheetName val="Reasignaciones"/>
      <sheetName val="Análisis Reasign"/>
      <sheetName val="Jubilación"/>
      <sheetName val="Cálculo de la Nómina"/>
      <sheetName val="MZO-04"/>
      <sheetName val="Análisis"/>
      <sheetName val="Com Tarj Créd"/>
      <sheetName val="Otros Impuestos"/>
      <sheetName val="Excess Calc"/>
      <sheetName val="TCalc"/>
      <sheetName val="Personas Jurídicas"/>
      <sheetName val="Nomina Terceros"/>
      <sheetName val="Cálculo Limite Nomina"/>
      <sheetName val="Fedepal"/>
      <sheetName val="Servicios Administrativos"/>
      <sheetName val="Asistencia Tec."/>
      <sheetName val="G. Administrativo"/>
      <sheetName val="Fedapal"/>
      <sheetName val="Ancupa"/>
      <sheetName val="Detalle por concepto"/>
      <sheetName val="Reembolsos "/>
      <sheetName val="Bonif. Voluntaria"/>
      <sheetName val="G. Representación"/>
      <sheetName val="Sueldos "/>
      <sheetName val="Telefonos Fijos"/>
      <sheetName val="Telefonía Celular"/>
      <sheetName val="Arriendo Mercantil"/>
      <sheetName val="Detalle a Final"/>
      <sheetName val="Cálculo Honorarios"/>
      <sheetName val="MMA (P)"/>
      <sheetName val="Leasing "/>
      <sheetName val="Detalle-Hugo"/>
      <sheetName val="Cálculo Sueldos"/>
      <sheetName val="Comisiones Tarj. Crédito"/>
      <sheetName val="Arriendos de concesiones"/>
      <sheetName val="SA Procedures"/>
      <sheetName val="Expectation"/>
      <sheetName val="Compañías Relacionadas"/>
      <sheetName val="Seleccion APT"/>
      <sheetName val="Reembolsos de gastos"/>
      <sheetName val="Gasto Fletes"/>
      <sheetName val="Ctas. Consumo Inv."/>
      <sheetName val="Nota EEFF"/>
      <sheetName val="Gastos ADC"/>
      <sheetName val="Corpaq"/>
      <sheetName val="O&amp;M Manag. Fee "/>
      <sheetName val="Contabilidad Asesoria Otros"/>
      <sheetName val="Notas EE.FF."/>
      <sheetName val="Gasto APT  Preliminar"/>
      <sheetName val="APT Mantenimiento Preliminar "/>
      <sheetName val="Seleccion gastos y costos"/>
      <sheetName val="Bonos"/>
      <sheetName val="Honorarios Admnistrativos"/>
      <sheetName val="Gastos APT"/>
      <sheetName val="Cálculo Global de Nómina"/>
      <sheetName val="Cálculo ley 42"/>
      <sheetName val="Cálculo de transporte"/>
      <sheetName val="Análisis Allocation"/>
      <sheetName val="CMA_Selections Allocation"/>
      <sheetName val="Cálculo allocation Jan-08"/>
      <sheetName val="Cálculo allocation Sep-08"/>
      <sheetName val="Analisis APT Allocation"/>
      <sheetName val="Reclasifi Allocation"/>
      <sheetName val="Ley 10 y 40"/>
      <sheetName val="Provisión Casa Matriz"/>
      <sheetName val="Analisis APT"/>
      <sheetName val="CMA_Calculations"/>
      <sheetName val="CMA_Selections"/>
      <sheetName val="Directorio"/>
      <sheetName val="MMA (APT Fianl)"/>
      <sheetName val="MMA (APT)"/>
      <sheetName val="Cálculo de sueldos final"/>
      <sheetName val="Cálculo Global Bonos"/>
      <sheetName val="CG Comisiones"/>
      <sheetName val="Cálculo Global Ryalties"/>
      <sheetName val="MMA Gastos APT"/>
      <sheetName val="Ley 42"/>
      <sheetName val="Mayor ley 42"/>
      <sheetName val="Límite Ley 42"/>
      <sheetName val="Transporte"/>
      <sheetName val="Límite Transp."/>
      <sheetName val="Imp. M Ambiente"/>
      <sheetName val="Límite M Ambiente"/>
      <sheetName val="Prov. C. Matriz"/>
      <sheetName val="Allocations"/>
      <sheetName val="Límite Allocations"/>
      <sheetName val="Sobrelevantes"/>
      <sheetName val="MMA Gastos APT (Final)"/>
      <sheetName val="CG Nómina"/>
      <sheetName val="Gtos No deducibles"/>
      <sheetName val="Bonificaciones y PT"/>
      <sheetName val="Entrega PT"/>
      <sheetName val="Corte Tardío "/>
      <sheetName val="Análisis de Tendencias"/>
      <sheetName val="Análisis APT"/>
      <sheetName val="Jub.Patr."/>
      <sheetName val="Costo de Garantía"/>
      <sheetName val="Asis. Tec."/>
      <sheetName val="Selec. APT"/>
      <sheetName val="An. APT"/>
      <sheetName val="Detalle "/>
      <sheetName val="Calculo Global Nomina"/>
      <sheetName val="Gastos APT "/>
      <sheetName val="Cálculo Global"/>
      <sheetName val="Impuestos"/>
      <sheetName val="Sheet2"/>
      <sheetName val="Resumen"/>
      <sheetName val="Detalles"/>
      <sheetName val="Análisis de pólizas"/>
      <sheetName val="Limites sueldos"/>
      <sheetName val="Nota a los EE FF"/>
      <sheetName val="Pruebas Sustantivas"/>
      <sheetName val="Selección empleados"/>
      <sheetName val="Motorizados"/>
      <sheetName val="Limpieza"/>
      <sheetName val="Marca"/>
      <sheetName val="Mantenimiento"/>
      <sheetName val="Vigilancia"/>
      <sheetName val="Det. cargas soc. y sueldos"/>
      <sheetName val="Límites Gasto Nómina"/>
      <sheetName val="Límites provisiones"/>
      <sheetName val="Calc. Arriendos"/>
      <sheetName val="Nómina "/>
      <sheetName val="Honorarios Prof."/>
      <sheetName val="Análisis Honor. Prof."/>
      <sheetName val="Pagos a terceros"/>
      <sheetName val="Arriendos Edif."/>
      <sheetName val="Análisis Arr. Edif."/>
      <sheetName val="Asistencia técnica"/>
      <sheetName val="Determinación de Límites"/>
      <sheetName val="Arriendo"/>
      <sheetName val="Cálculo Globla Nómina"/>
      <sheetName val="Nómina Final"/>
      <sheetName val="Servicio Relacionadas"/>
      <sheetName val="APT Final"/>
      <sheetName val="Cálculo Global Nómina"/>
      <sheetName val="Resumen_ROL"/>
      <sheetName val="Límites"/>
      <sheetName val="Procedimientos Gastos Operacion"/>
      <sheetName val="Calculo de Nomina"/>
      <sheetName val="Res. Confirmac."/>
      <sheetName val="Análsis Mensajes de Producción"/>
      <sheetName val="Nomina"/>
      <sheetName val="Serv Cobranza"/>
      <sheetName val="Analisis Serv. Cobranza"/>
      <sheetName val="Gtos. Operación"/>
      <sheetName val="Anális Leasing"/>
      <sheetName val="Jubilación patronal"/>
      <sheetName val="Publicidad "/>
      <sheetName val="Hoja de límites"/>
      <sheetName val="Servicios"/>
      <sheetName val="Serguros"/>
      <sheetName val="Arriendo de Equipos"/>
      <sheetName val="Servicios Especializados"/>
      <sheetName val="Servicios Computación"/>
      <sheetName val="Uso marcas"/>
      <sheetName val="Movimiento Arriendos"/>
      <sheetName val="Serv. Comercialización"/>
      <sheetName val="CálcGlobHonoPer"/>
      <sheetName val="APT de Gastos"/>
      <sheetName val="MMA APT Preliminar"/>
      <sheetName val="MMA Calculation Final"/>
      <sheetName val="MMA APT Final"/>
      <sheetName val="Ctas. signo. contra."/>
      <sheetName val="Cálculo Allocation Dic-08"/>
      <sheetName val="CMA Calculations Final"/>
      <sheetName val="CMA Selections Final"/>
      <sheetName val="MMA Gtos Oper APT"/>
      <sheetName val="Selecc Gtos Oper APT"/>
      <sheetName val="Análisis Gtos APT"/>
      <sheetName val="APT "/>
      <sheetName val="Servicios Adm"/>
      <sheetName val="Reembolsos"/>
      <sheetName val="Sheet3"/>
      <sheetName val="Subdetalles de gastos"/>
      <sheetName val="Selección bono retiro"/>
      <sheetName val="Cál Glob Nómina"/>
      <sheetName val="Muestras médicas"/>
      <sheetName val="CMA Calculations- R Factor"/>
      <sheetName val="APT liquidaciones"/>
      <sheetName val="Asesorías y Honorarios"/>
      <sheetName val="Otros benef."/>
      <sheetName val="CMA Calculations- R Factor (2)"/>
      <sheetName val="Gastos APT (Nov)"/>
      <sheetName val=" CG Nómina"/>
      <sheetName val="CG Prov. Beneficios Sociales"/>
      <sheetName val="CMA Calculations- Figure 54 (2)"/>
      <sheetName val="CMA Calculations- Figure 54 (3)"/>
      <sheetName val="Otros gtos adminis y vtas"/>
      <sheetName val="Comis"/>
      <sheetName val="Selección"/>
      <sheetName val="Arriend"/>
      <sheetName val="APT Costos"/>
      <sheetName val="Honorarios Terceros"/>
      <sheetName val="Hoja 1"/>
      <sheetName val="Cálculo Nómina"/>
      <sheetName val="&gt;Nómina"/>
      <sheetName val="Costo Sueldos"/>
      <sheetName val="Gastos"/>
      <sheetName val="TD"/>
      <sheetName val="COPIA"/>
      <sheetName val="Gastos No Deducibles"/>
      <sheetName val="Calculo Global de Nomina"/>
      <sheetName val="Glosas del SRI"/>
      <sheetName val="Cálculo Límites"/>
      <sheetName val="Cargos Legales"/>
      <sheetName val="Nota"/>
      <sheetName val="BONOS HPC"/>
      <sheetName val="Detalle de Faturación Allocati"/>
      <sheetName val="Recálculo Allocation"/>
      <sheetName val="Cálculo de Límites B.S. "/>
      <sheetName val="Cálculo de Límites"/>
      <sheetName val="Desahucio"/>
      <sheetName val="Detalle Provisión Vacaciones "/>
      <sheetName val="Detalle de Nómina"/>
      <sheetName val="Comisiones en ventas"/>
      <sheetName val="Cálculos Globales"/>
      <sheetName val="Serv Contrat"/>
      <sheetName val="Cómputo Beneficios Sociales"/>
      <sheetName val="Detalle (Final)"/>
      <sheetName val="Analisis de gastos 2003"/>
      <sheetName val="Leasing Computadora"/>
      <sheetName val="Cobertura de Seguros"/>
      <sheetName val="Sueldos 2003"/>
      <sheetName val="Detalle UIO"/>
      <sheetName val="Diciembre03"/>
      <sheetName val="Analisis de gastos"/>
      <sheetName val="Sueldos UIO"/>
      <sheetName val="Gto. Provisión"/>
      <sheetName val="Imp. y Contrib."/>
      <sheetName val="Detalle M.O."/>
      <sheetName val="APT - Gastos"/>
      <sheetName val="Benef.Soci Prel"/>
      <sheetName val="Det del Límite"/>
      <sheetName val="Análisis Sueldos"/>
      <sheetName val="Cal. Global Beneficios"/>
      <sheetName val="MMA Gastos"/>
      <sheetName val="Análisis Gastos"/>
      <sheetName val="Calc. Límite"/>
      <sheetName val=" Límite"/>
      <sheetName val="Detalle nómina"/>
      <sheetName val="Analisis Gastos"/>
      <sheetName val="Cálculo global sueldos y benef"/>
      <sheetName val="Detalle M.O.(F)"/>
      <sheetName val="CMA Calculations- Figure 5440.1"/>
      <sheetName val="Analisis de Otros Ing y Gtos"/>
      <sheetName val="Detalle M.O.(P)"/>
      <sheetName val="Detalle cons. Inv"/>
      <sheetName val="CMA Calculations(F)"/>
      <sheetName val="APT Preliminar"/>
      <sheetName val="CMA Calculations-(P)"/>
      <sheetName val="Gastos liquidación Haberes"/>
      <sheetName val="Cálculo Global sueldos y benef."/>
      <sheetName val="Detalle Nómina (F)"/>
      <sheetName val="Detalle nómina(P)"/>
      <sheetName val="Gatos APT Final"/>
      <sheetName val="Cálculo Global Base Datos"/>
      <sheetName val="Base de Datos"/>
      <sheetName val="Gatos APT Preliminar"/>
      <sheetName val="Cálculo Globla Nómina Final"/>
      <sheetName val="Honorarios Gerencia"/>
      <sheetName val="Cost-Sharing"/>
      <sheetName val="Leasing eliminar"/>
      <sheetName val="Detalle CNT"/>
      <sheetName val="Detalle CNT a Dec"/>
      <sheetName val="Application Information"/>
      <sheetName val="Record Layout for Filename"/>
      <sheetName val="CMA Reconciliation"/>
      <sheetName val="Selección ACL"/>
      <sheetName val="Selección APT"/>
      <sheetName val="Gastos de operación"/>
      <sheetName val="CMA Calculations APT"/>
      <sheetName val="CMA Selection APT"/>
      <sheetName val="Base de Subseleccion"/>
      <sheetName val="Subseleccion ACL"/>
      <sheetName val="Serv. Comerc."/>
      <sheetName val="Gasto Combustible."/>
      <sheetName val="C.Global Sueldos"/>
      <sheetName val="Otros C.Global Hono."/>
      <sheetName val="C.Global Hono."/>
      <sheetName val="Cál. Global Nómina"/>
      <sheetName val="APT Seguros"/>
      <sheetName val="Límites sugeridos"/>
      <sheetName val="Comisiones Tarjetas"/>
      <sheetName val="Cal. Global seguros"/>
      <sheetName val="Limites Sugeridos"/>
      <sheetName val="Arriendo-Vigilancia"/>
      <sheetName val="Transferencias"/>
      <sheetName val="Comisiones Tarjetas "/>
      <sheetName val="Análisis Transferencias"/>
      <sheetName val="Comisión Brokers"/>
      <sheetName val="Comisión Nova"/>
      <sheetName val="Contratos Nova"/>
      <sheetName val="Sueldos y Beneficios Sociales"/>
      <sheetName val="F_Dinamizacion"/>
      <sheetName val="Limites"/>
      <sheetName val="Contratos Casa Matriz"/>
      <sheetName val="NOTAS-borrar"/>
      <sheetName val="Transferencia de costos"/>
      <sheetName val="Selección de Cuentas"/>
      <sheetName val="Selección de Gastos"/>
      <sheetName val="Análisis Arriendos"/>
      <sheetName val="Publicidad"/>
      <sheetName val="APT Servicio Transp."/>
      <sheetName val="Servicios de Distribución"/>
      <sheetName val="Patentes"/>
      <sheetName val="Base"/>
      <sheetName val="Cálculo Nómina prel"/>
      <sheetName val="Cálculo Nómina final"/>
      <sheetName val="APT Gastos final"/>
      <sheetName val="Gasto Seg Vida"/>
      <sheetName val="Notas EF"/>
      <sheetName val="Gto fin"/>
      <sheetName val="Int ext"/>
      <sheetName val="Análisis Gastos APT"/>
      <sheetName val="Impuestos y Otros"/>
      <sheetName val="Imp. Rta. Ejec."/>
      <sheetName val="ISD"/>
      <sheetName val="Dif Camb"/>
      <sheetName val="Luz Eléctrica"/>
      <sheetName val="CORPORATIVO"/>
      <sheetName val="Validación Nómina"/>
      <sheetName val="Cálculos Globales."/>
      <sheetName val="APT Arriendos"/>
      <sheetName val="Otros Impuestos Sep"/>
      <sheetName val="Cálculo Global Sueldos"/>
      <sheetName val="Cálculo Global Beneficios Socia"/>
      <sheetName val="Limites  Nuevo Enfoque"/>
    </sheetNames>
    <sheetDataSet>
      <sheetData sheetId="0"/>
      <sheetData sheetId="1" refreshError="1"/>
      <sheetData sheetId="2" refreshError="1"/>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sheetData sheetId="113"/>
      <sheetData sheetId="114"/>
      <sheetData sheetId="115" refreshError="1"/>
      <sheetData sheetId="116" refreshError="1"/>
      <sheetData sheetId="117"/>
      <sheetData sheetId="118"/>
      <sheetData sheetId="119"/>
      <sheetData sheetId="120"/>
      <sheetData sheetId="12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sheetData sheetId="135"/>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refreshError="1"/>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refreshError="1"/>
      <sheetData sheetId="272" refreshError="1"/>
      <sheetData sheetId="273" refreshError="1"/>
      <sheetData sheetId="274"/>
      <sheetData sheetId="275"/>
      <sheetData sheetId="276"/>
      <sheetData sheetId="277"/>
      <sheetData sheetId="278"/>
      <sheetData sheetId="279"/>
      <sheetData sheetId="280" refreshError="1"/>
      <sheetData sheetId="281" refreshError="1"/>
      <sheetData sheetId="282" refreshError="1"/>
      <sheetData sheetId="283"/>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sheetData sheetId="373" refreshError="1"/>
      <sheetData sheetId="374" refreshError="1"/>
      <sheetData sheetId="375" refreshError="1"/>
      <sheetData sheetId="376" refreshError="1"/>
      <sheetData sheetId="377"/>
      <sheetData sheetId="378"/>
      <sheetData sheetId="379"/>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sheetData sheetId="395"/>
      <sheetData sheetId="396" refreshError="1"/>
      <sheetData sheetId="397" refreshError="1"/>
      <sheetData sheetId="398" refreshError="1"/>
      <sheetData sheetId="399" refreshError="1"/>
      <sheetData sheetId="400" refreshError="1"/>
      <sheetData sheetId="401" refreshError="1"/>
      <sheetData sheetId="402"/>
      <sheetData sheetId="403"/>
      <sheetData sheetId="404"/>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refreshError="1"/>
      <sheetData sheetId="425" refreshError="1"/>
      <sheetData sheetId="426" refreshError="1"/>
      <sheetData sheetId="42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sheetName val="Resumen"/>
      <sheetName val="Detalle"/>
      <sheetName val="XREF"/>
      <sheetName val="Tickmarks"/>
      <sheetName val="Ant. Prov."/>
      <sheetName val="Dep. Garantía"/>
      <sheetName val="Ptmos y Anticpos"/>
      <sheetName val="Detalle de Otras CxC"/>
      <sheetName val="Pasajes Prepag."/>
      <sheetName val="Publ. Prep. "/>
      <sheetName val="Arriend.Prep."/>
      <sheetName val="Adecuac.Prepag"/>
      <sheetName val="Mantenim.Prepag"/>
      <sheetName val="Segur.Prepag"/>
      <sheetName val="Límite Seguros Análisis Final"/>
      <sheetName val="Análisis de Seguros (Final)"/>
      <sheetName val="Impuest.Prepag"/>
      <sheetName val="CxC Bancos"/>
      <sheetName val="Anti. Utilidades"/>
      <sheetName val="Ant. Viajes Locales UIO"/>
      <sheetName val="Seguros"/>
      <sheetName val="Cargos Diferidos"/>
      <sheetName val="Servicios Anticipados"/>
      <sheetName val="Anticipos"/>
      <sheetName val="Empleados"/>
      <sheetName val="#REF"/>
      <sheetName val="Detalle Ant. Viajes"/>
      <sheetName val="Análisis ant. viajes"/>
      <sheetName val="Detalle cta. 361090"/>
      <sheetName val="Emp Rel Dep "/>
      <sheetName val="Antic Prov Auxil"/>
      <sheetName val="Dep. Garantia"/>
      <sheetName val="CxC Prov Vtas Metro"/>
      <sheetName val="Análisis Prov.Metro"/>
      <sheetName val="Retenciones"/>
      <sheetName val="Mov Ret. Fuente"/>
      <sheetName val="Cálculo Seguros"/>
      <sheetName val="Préstamos"/>
      <sheetName val="Otras CxC"/>
      <sheetName val="MMA Anticipos"/>
      <sheetName val="MMM Otras CxC"/>
      <sheetName val="Anticipos y Otras CxC"/>
      <sheetName val="Anticipos a Proveedores"/>
      <sheetName val="Tarjetas de crédito"/>
      <sheetName val="MMA Tarjetas de Crédito"/>
      <sheetName val="Anticipo Sueldo"/>
      <sheetName val="Garantías"/>
      <sheetName val="APT Anticipo Prov"/>
      <sheetName val="Retención 1%"/>
      <sheetName val="MMA Final"/>
      <sheetName val="MMA TC"/>
      <sheetName val="Analisis TC"/>
      <sheetName val="Copagos"/>
      <sheetName val="Prést. Empleados"/>
      <sheetName val="Varios Final"/>
      <sheetName val="Ant. Proveed."/>
      <sheetName val="Reservas"/>
      <sheetName val="Nova"/>
      <sheetName val="Gtos. Diferidos"/>
      <sheetName val="Ant. Empleados"/>
      <sheetName val="Ch. Protestados Prelim"/>
      <sheetName val="Varios Prel."/>
      <sheetName val="Análisis MMA"/>
      <sheetName val="Otras Cuentas Varias"/>
      <sheetName val="Anticipo Proveedores "/>
      <sheetName val="Conclina"/>
      <sheetName val="Seguros "/>
      <sheetName val="Análisis Gtos. Anticipados"/>
      <sheetName val="Limites"/>
      <sheetName val="Cheques Protestados"/>
      <sheetName val="Anticipo Proveedores"/>
      <sheetName val="Alcance 31-Dec-08"/>
      <sheetName val="Seleccion Gtos anticipados"/>
      <sheetName val="Muestra"/>
      <sheetName val="Análisis de muestra"/>
      <sheetName val="Relacionadas"/>
      <sheetName val="Muestra Gastos Anticipados"/>
      <sheetName val="Reclamos"/>
      <sheetName val="Prestamos Empleados"/>
      <sheetName val="Muestra Prestamos Personal"/>
      <sheetName val="Cuentas x Cobrar Proveedores"/>
      <sheetName val="Préstamos de Fleteros"/>
      <sheetName val="Límite"/>
      <sheetName val="CMA Calculations"/>
      <sheetName val="CMA Selections"/>
      <sheetName val="Muestra de Gtos Anticipados"/>
      <sheetName val="APT Gastos anticipados"/>
      <sheetName val="Análisis APT"/>
      <sheetName val="Anticipos nacionales"/>
      <sheetName val="Anticipos Maderos"/>
      <sheetName val="Notas EEFF"/>
      <sheetName val="Licencia Windows"/>
      <sheetName val="Anticip.Proveedores"/>
      <sheetName val="Nota EF"/>
      <sheetName val="Movimiento retenciones Fuente"/>
      <sheetName val="Anticipos y otras cuentas Final"/>
      <sheetName val="APT G. Anticipados"/>
      <sheetName val="Emp Serv Prest"/>
      <sheetName val="Antic STIMM"/>
      <sheetName val="Antic Otecel"/>
      <sheetName val="Ctas Liq Antic Otecel"/>
      <sheetName val="CXC Bco Pich"/>
      <sheetName val="Analisis"/>
      <sheetName val="Otros Gtos.Anticp."/>
      <sheetName val="Prest.Emplead."/>
      <sheetName val="CxC Varios"/>
      <sheetName val="Otr.Deudores"/>
      <sheetName val="Sobres-anticip"/>
      <sheetName val="Tesoreria"/>
      <sheetName val="Ant. Transporte"/>
      <sheetName val="Ant. Prov. Fruto"/>
      <sheetName val="Ant. Nacional"/>
      <sheetName val="Ant.Contratistas"/>
      <sheetName val="Ant. Otros"/>
      <sheetName val="Movimiento Impuestos"/>
      <sheetName val="Nacionales"/>
      <sheetName val="Ant. Contratistas"/>
      <sheetName val="Ant. Importaciones"/>
      <sheetName val="Cx C Otros"/>
      <sheetName val="Proveedores"/>
      <sheetName val="Contratista"/>
      <sheetName val="Intercomp."/>
      <sheetName val="Varios"/>
      <sheetName val="Imptos."/>
      <sheetName val="Límite Final"/>
      <sheetName val="Ant. Empleados  "/>
      <sheetName val="Impuestos"/>
      <sheetName val="Impuesto"/>
      <sheetName val="CxC Empleados"/>
      <sheetName val="APT"/>
      <sheetName val="Programa"/>
      <sheetName val="Intercompanies"/>
      <sheetName val="Validación utilidades"/>
      <sheetName val="Anticipo Utilidades"/>
      <sheetName val="Intereses x Cobrar"/>
      <sheetName val="Procedimientos"/>
      <sheetName val="Seguros Final"/>
    </sheetNames>
    <sheetDataSet>
      <sheetData sheetId="0" refreshError="1"/>
      <sheetData sheetId="1" refreshError="1"/>
      <sheetData sheetId="2" refreshError="1"/>
      <sheetData sheetId="3"/>
      <sheetData sheetId="4" refreshError="1"/>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General"/>
      <sheetName val="Resultados"/>
      <sheetName val="XREF"/>
      <sheetName val="Tickmarks"/>
      <sheetName val="#REF"/>
    </sheetNames>
    <sheetDataSet>
      <sheetData sheetId="0" refreshError="1"/>
      <sheetData sheetId="1"/>
      <sheetData sheetId="2" refreshError="1"/>
      <sheetData sheetId="3" refreshError="1"/>
      <sheetData sheetId="4"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Nota EEFF"/>
      <sheetName val="Sueldos y Salarios"/>
      <sheetName val="Provsión"/>
      <sheetName val="Planillas"/>
      <sheetName val="APT Gastos"/>
      <sheetName val="Arriendos"/>
      <sheetName val="Límites"/>
      <sheetName val="XREF"/>
      <sheetName val="Tickmarks"/>
      <sheetName val="#REF"/>
    </sheetNames>
    <sheetDataSet>
      <sheetData sheetId="0"/>
      <sheetData sheetId="1" refreshError="1"/>
      <sheetData sheetId="2"/>
      <sheetData sheetId="3"/>
      <sheetData sheetId="4" refreshError="1"/>
      <sheetData sheetId="5" refreshError="1"/>
      <sheetData sheetId="6"/>
      <sheetData sheetId="7"/>
      <sheetData sheetId="8"/>
      <sheetData sheetId="9" refreshError="1"/>
      <sheetData sheetId="1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Base Star"/>
      <sheetName val="STAR 1"/>
      <sheetName val="XREF"/>
      <sheetName val="Tickmarks"/>
      <sheetName val="#REF"/>
    </sheetNames>
    <sheetDataSet>
      <sheetData sheetId="0"/>
      <sheetData sheetId="1" refreshError="1"/>
      <sheetData sheetId="2" refreshError="1"/>
      <sheetData sheetId="3"/>
      <sheetData sheetId="4" refreshError="1"/>
      <sheetData sheetId="5"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Conciliación a mayo"/>
      <sheetName val="Partidas Conciliatorias Mayo"/>
      <sheetName val="XREF"/>
      <sheetName val="Tickmarks"/>
      <sheetName val="Conciliación a septiembre"/>
      <sheetName val="Conciliacion Nov"/>
      <sheetName val="Partidas Conciliatorias a sep"/>
      <sheetName val="Partidas Conciliatorias Nov"/>
      <sheetName val="Análisis de Partidas Negativas"/>
      <sheetName val="#REF"/>
      <sheetName val="Conciliaciones"/>
      <sheetName val="Partidas Conciliatorias"/>
      <sheetName val="Local Invest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Resumen de Conciliaciones"/>
      <sheetName val="Partidas Conciliatorias"/>
      <sheetName val="Análisis Partidas que Restan"/>
      <sheetName val="Inversiones"/>
      <sheetName val="XREF"/>
      <sheetName val="Tickmarks"/>
      <sheetName val="#REF"/>
    </sheetNames>
    <sheetDataSet>
      <sheetData sheetId="0"/>
      <sheetData sheetId="1" refreshError="1"/>
      <sheetData sheetId="2" refreshError="1"/>
      <sheetData sheetId="3" refreshError="1"/>
      <sheetData sheetId="4" refreshError="1"/>
      <sheetData sheetId="5"/>
      <sheetData sheetId="6"/>
      <sheetData sheetId="7"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Resumen de Conciliaciones"/>
      <sheetName val="Análisis Partidas Conciliatoria"/>
      <sheetName val="Análisis Partidas que Restan"/>
      <sheetName val="Inversiones"/>
      <sheetName val="XREF"/>
      <sheetName val="Tickmarks"/>
      <sheetName val="#REF"/>
    </sheetNames>
    <sheetDataSet>
      <sheetData sheetId="0"/>
      <sheetData sheetId="1" refreshError="1"/>
      <sheetData sheetId="2" refreshError="1"/>
      <sheetData sheetId="3" refreshError="1"/>
      <sheetData sheetId="4" refreshError="1"/>
      <sheetData sheetId="5"/>
      <sheetData sheetId="6" refreshError="1"/>
      <sheetData sheetId="7"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aria 2130"/>
      <sheetName val="2130-1 Conciliación Bancaria"/>
      <sheetName val="2130-2 Antiguedad Partidas"/>
      <sheetName val="2130-3 Firmantes Autorizados"/>
      <sheetName val="2130-4 Movimiento NC - CAT"/>
      <sheetName val="2130-5 Arqueo Cheques "/>
      <sheetName val="Tickmarks"/>
    </sheetNames>
    <sheetDataSet>
      <sheetData sheetId="0"/>
      <sheetData sheetId="1">
        <row r="34">
          <cell r="S34">
            <v>0</v>
          </cell>
        </row>
      </sheetData>
      <sheetData sheetId="2"/>
      <sheetData sheetId="3"/>
      <sheetData sheetId="4"/>
      <sheetData sheetId="5"/>
      <sheetData sheetId="6">
        <row r="3">
          <cell r="A3" t="str">
            <v>{a}</v>
          </cell>
        </row>
      </sheetData>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Resumen de Conciliaciones"/>
      <sheetName val="Partidas Conciliatorias"/>
      <sheetName val="Análisis Partidas que Restan"/>
      <sheetName val="Inversiones"/>
      <sheetName val="XREF"/>
      <sheetName val="Tickmarks"/>
    </sheetNames>
    <sheetDataSet>
      <sheetData sheetId="0"/>
      <sheetData sheetId="1"/>
      <sheetData sheetId="2"/>
      <sheetData sheetId="3"/>
      <sheetData sheetId="4"/>
      <sheetData sheetId="5"/>
      <sheetData sheetId="6"/>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Detalle"/>
      <sheetName val="Mov. Gast dif 02-28-99"/>
      <sheetName val="M. Amortización"/>
      <sheetName val="Cálc.Glob.R.M.Costo"/>
      <sheetName val="Cálc.Glob.Amort."/>
      <sheetName val="Anál.Adic.C.D."/>
      <sheetName val="Cobertura de seguros"/>
      <sheetName val="SegurosFuncionarios"/>
      <sheetName val="Análisis ICC"/>
      <sheetName val="Prov.Act.Irrec."/>
      <sheetName val="GastosOtrosActivos"/>
      <sheetName val="AnálisisGtosInstal-Adecuac."/>
      <sheetName val="ResumenPruebasDepart."/>
      <sheetName val="XREF"/>
      <sheetName val="Tickmarks"/>
      <sheetName val="Proveed. Loc."/>
      <sheetName val="Detalle de Gastos"/>
      <sheetName val="Links"/>
      <sheetName val="Le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A.fijo"/>
      <sheetName val="Movdep"/>
      <sheetName val="Caldep"/>
      <sheetName val="Bajas"/>
      <sheetName val="Conciliac"/>
      <sheetName val="XREF"/>
      <sheetName val="Tickmarks"/>
      <sheetName val="Detalle"/>
    </sheetNames>
    <sheetDataSet>
      <sheetData sheetId="0" refreshError="1"/>
      <sheetData sheetId="1"/>
      <sheetData sheetId="2"/>
      <sheetData sheetId="3"/>
      <sheetData sheetId="4" refreshError="1"/>
      <sheetData sheetId="5"/>
      <sheetData sheetId="6"/>
      <sheetData sheetId="7"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Revisión Analítica"/>
      <sheetName val="MMA"/>
      <sheetName val="APT"/>
      <sheetName val="Calc. Global Sueldos"/>
      <sheetName val="Límite"/>
      <sheetName val="Tabla"/>
      <sheetName val="XREF"/>
      <sheetName val="Tickmarks"/>
    </sheetNames>
    <sheetDataSet>
      <sheetData sheetId="0"/>
      <sheetData sheetId="1" refreshError="1"/>
      <sheetData sheetId="2"/>
      <sheetData sheetId="3"/>
      <sheetData sheetId="4"/>
      <sheetData sheetId="5" refreshError="1"/>
      <sheetData sheetId="6"/>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Gral."/>
      <sheetName val="Resultados"/>
      <sheetName val="XREF"/>
      <sheetName val="Tickmarks"/>
    </sheetNames>
    <sheetDataSet>
      <sheetData sheetId="0"/>
      <sheetData sheetId="1"/>
      <sheetData sheetId="2"/>
      <sheetData sheetId="3"/>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ov. Gastos dif."/>
      <sheetName val="M. Amortización"/>
      <sheetName val="Cálc.Glob.R.M.Costo"/>
      <sheetName val="Cálc.Glob.Amort."/>
      <sheetName val="Anál.Adic.C.D."/>
      <sheetName val="Cobertura de seguros"/>
      <sheetName val="Prov.Act.Irrec."/>
      <sheetName val="GastosOtrosActivos"/>
      <sheetName val="XREF"/>
      <sheetName val="Tickmarks"/>
      <sheetName val="Análisis IVA"/>
      <sheetName val="Anexo 7"/>
      <sheetName val="A"/>
      <sheetName val="DEF"/>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sheetName val="Detalle"/>
      <sheetName val="Mov. Costo"/>
      <sheetName val="Mov. Depre"/>
      <sheetName val="Cálculo Global"/>
      <sheetName val="Saldos iniciales"/>
      <sheetName val="Análisis Adiciones"/>
      <sheetName val="Límites CGD"/>
      <sheetName val="XREF"/>
      <sheetName val="Tickmarks"/>
      <sheetName val="#REF"/>
    </sheetNames>
    <sheetDataSet>
      <sheetData sheetId="0" refreshError="1"/>
      <sheetData sheetId="1"/>
      <sheetData sheetId="2"/>
      <sheetData sheetId="3"/>
      <sheetData sheetId="4" refreshError="1"/>
      <sheetData sheetId="5"/>
      <sheetData sheetId="6" refreshError="1"/>
      <sheetData sheetId="7" refreshError="1"/>
      <sheetData sheetId="8"/>
      <sheetData sheetId="9"/>
      <sheetData sheetId="1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
      <sheetName val="Balance Gral."/>
      <sheetName val="Est. Result."/>
      <sheetName val="Bancos"/>
      <sheetName val="Partidas Concil."/>
      <sheetName val="Activo Fijo"/>
      <sheetName val="Ejecución gastos"/>
      <sheetName val="APT"/>
      <sheetName val="Sueldos"/>
      <sheetName val="Transferencias"/>
      <sheetName val="Viáticos"/>
      <sheetName val="Secuencia"/>
      <sheetName val="Tickmarks"/>
    </sheetNames>
    <sheetDataSet>
      <sheetData sheetId="0" refreshError="1"/>
      <sheetData sheetId="1"/>
      <sheetData sheetId="2"/>
      <sheetData sheetId="3"/>
      <sheetData sheetId="4" refreshError="1"/>
      <sheetData sheetId="5"/>
      <sheetData sheetId="6"/>
      <sheetData sheetId="7" refreshError="1"/>
      <sheetData sheetId="8" refreshError="1"/>
      <sheetData sheetId="9"/>
      <sheetData sheetId="10" refreshError="1"/>
      <sheetData sheetId="11" refreshError="1"/>
      <sheetData sheetId="12"/>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Asignaciones"/>
      <sheetName val="APT Gastos"/>
      <sheetName val="Sueldos"/>
      <sheetName val="Honorarios"/>
      <sheetName val="Marcas Estándar"/>
      <sheetName val="XREF"/>
      <sheetName val="#REF"/>
      <sheetName val="Gtos. Admin. y Vtas."/>
      <sheetName val="MMA APT"/>
      <sheetName val="Análisis APT"/>
      <sheetName val="Tickmarks"/>
      <sheetName val="Detalle APT"/>
      <sheetName val="Selección APT"/>
      <sheetName val="Detalle Cuentas Public."/>
      <sheetName val="Sheet13"/>
      <sheetName val="Sheet12"/>
      <sheetName val="Detalle Prove Public."/>
      <sheetName val="Análisis Selec."/>
      <sheetName val="Det. Gto.Ben.Soc"/>
      <sheetName val="Det.Gst.Fij"/>
      <sheetName val="Det.GstoInterc"/>
      <sheetName val="Gsto.Interc."/>
      <sheetName val="Det.Pub."/>
      <sheetName val="MMA"/>
      <sheetName val="Anál. APT"/>
      <sheetName val="Análisis Remun."/>
      <sheetName val="GASTOS"/>
      <sheetName val="Sheet1"/>
      <sheetName val="Roles sep-00"/>
      <sheetName val="Benefic. sep.00"/>
      <sheetName val=" Sue. y prov.-final"/>
      <sheetName val="CalcuGlobalSueldo"/>
      <sheetName val=" MMA"/>
      <sheetName val="Análisis"/>
      <sheetName val="Mayores MMA (PPC)"/>
      <sheetName val="Hoja1"/>
      <sheetName val="Cálculo Sueldos"/>
      <sheetName val="Detalle abierto"/>
      <sheetName val="APT"/>
      <sheetName val="Detalle (1)"/>
      <sheetName val="Tildes"/>
      <sheetName val="Detalle -Apt"/>
      <sheetName val="CG - sueldos"/>
      <sheetName val="CG - Arriendos"/>
      <sheetName val="Comisiones pagadas"/>
      <sheetName val="Selección"/>
      <sheetName val="Siniestros pagados"/>
      <sheetName val="MMA Siniestros"/>
      <sheetName val="Siniestros pagados final"/>
      <sheetName val="MMA Anulaciones"/>
      <sheetName val="Análisis Anulaciones"/>
      <sheetName val="Sheet1 (2)"/>
      <sheetName val="Detalle  (2)"/>
      <sheetName val="CALCULO GLOBAL SUELDOS"/>
      <sheetName val="An. remuner."/>
      <sheetName val="R. Analítica"/>
      <sheetName val="Cálculo del límite"/>
      <sheetName val="Tabla del Limite"/>
      <sheetName val="Cálc. Global Sueldos (2)"/>
      <sheetName val="Detalle de Gastos"/>
      <sheetName val="Cálc. Global Sueldos"/>
      <sheetName val="Selección de Gtos."/>
      <sheetName val="Analisis de gastos"/>
      <sheetName val="Det Gtos Oper"/>
      <sheetName val="Análisis Gastos Oper"/>
      <sheetName val="Análisis de Anul y Canc"/>
      <sheetName val="MMA final"/>
      <sheetName val="Anal Sin pagados"/>
      <sheetName val="det. brokers"/>
      <sheetName val="MMA BROKERS"/>
      <sheetName val="CMA_Calculations"/>
      <sheetName val="CMA_Selections"/>
      <sheetName val="Arriendos"/>
      <sheetName val="Nómina"/>
      <sheetName val="Beneficios Sociales"/>
      <sheetName val="C.G. Comisiones"/>
      <sheetName val="Indemnizaciones"/>
      <sheetName val="C.G.Vehículos F.Vtas."/>
      <sheetName val="C.G. Arriendos"/>
      <sheetName val="C.G Honorarios"/>
      <sheetName val="C.G. Bonificaciones"/>
      <sheetName val="Límite"/>
      <sheetName val="Tabla"/>
      <sheetName val="Detalle Gastos"/>
      <sheetName val="Otros Gastos"/>
      <sheetName val="Resumen Comisiones"/>
      <sheetName val="C. Tarjetas"/>
      <sheetName val="Technical SAG."/>
      <sheetName val="Mant. redes"/>
      <sheetName val="Comisiones-bonos-residuales"/>
      <sheetName val="roles de pago"/>
      <sheetName val="Sueldo final"/>
      <sheetName val="Sueldo prel"/>
      <sheetName val="Alimentación"/>
      <sheetName val="Liq. empleados"/>
      <sheetName val="1000 "/>
      <sheetName val="2000"/>
      <sheetName val="3000"/>
      <sheetName val="4000"/>
      <sheetName val="5000"/>
      <sheetName val="6000"/>
      <sheetName val="70081"/>
      <sheetName val="70082"/>
      <sheetName val="70083"/>
      <sheetName val="70084"/>
      <sheetName val="8000"/>
      <sheetName val="Análisis Gtos.Oper."/>
      <sheetName val="Resumen"/>
      <sheetName val="Selección "/>
      <sheetName val="Cál.Glob.Arrend."/>
      <sheetName val="Sueldos Final"/>
      <sheetName val="APT Gastos (Final)"/>
      <sheetName val="Honorarios profesionales"/>
      <sheetName val="Det. dep.prov.amort."/>
      <sheetName val="Gasto Arriendo"/>
      <sheetName val="Pivot"/>
      <sheetName val="Subdetalle Final"/>
      <sheetName val="Subdetalle Prel."/>
      <sheetName val="Planillas"/>
      <sheetName val="Hoja 1"/>
      <sheetName val="Cal. Glob. Sueldos"/>
      <sheetName val="Cálculo Varios"/>
      <sheetName val="Cálc.Serv.Distr."/>
      <sheetName val="Detalle Regalías"/>
      <sheetName val="Regalías"/>
      <sheetName val="Detalle Arriendos"/>
      <sheetName val="Patentes"/>
      <sheetName val="Publicidad"/>
      <sheetName val="APT Gtos."/>
      <sheetName val="Pivot "/>
      <sheetName val="APT MMA"/>
      <sheetName val="Determinación del Límite"/>
      <sheetName val="Tabla del Límite"/>
      <sheetName val="Join V."/>
      <sheetName val="EDS"/>
      <sheetName val="Guarantee"/>
      <sheetName val="Seguros"/>
      <sheetName val="MMA "/>
      <sheetName val="APT Dic"/>
      <sheetName val="Calc. Límites Dic-04"/>
      <sheetName val=" Límite"/>
      <sheetName val="Detalle G. Op."/>
      <sheetName val="Leasing"/>
      <sheetName val="E. Electrica"/>
      <sheetName val="Consumo E. Electrica"/>
      <sheetName val="Det  Benef.Soc."/>
      <sheetName val="Gasto Sueldos"/>
      <sheetName val="Cálculo Global Sueldos"/>
      <sheetName val="Revisión analítica gastos"/>
      <sheetName val="Gráfico"/>
      <sheetName val="MMA (2)"/>
      <sheetName val="Detalle de Gastos "/>
      <sheetName val="Detalle gastos administ"/>
      <sheetName val="Detalle gastos ventas"/>
      <sheetName val="Planillas IESS"/>
      <sheetName val="Cál.Glob. Sueldos"/>
      <sheetName val="Rol"/>
      <sheetName val="Análisis Honorarios"/>
      <sheetName val="Marcas"/>
      <sheetName val="MMA Gastos"/>
      <sheetName val="Detalle de Sueldos y Salarios"/>
      <sheetName val="Trabajo Prestado"/>
      <sheetName val="Calc. Límites"/>
      <sheetName val="Persoserv"/>
      <sheetName val="Guarantee (Sep)"/>
      <sheetName val="Arriendo"/>
      <sheetName val="Remuneraciones"/>
      <sheetName val="Resumen Planillas"/>
      <sheetName val="Cuadro Comparativo"/>
      <sheetName val="Asist. Técnica"/>
      <sheetName val="Comisiones del Ext."/>
      <sheetName val="Gtos. Ventas y Administración"/>
      <sheetName val="Cálculo del umbral"/>
      <sheetName val="C. Globla Primas 2003"/>
      <sheetName val="Cálculos Globales"/>
      <sheetName val="Calc. Límites "/>
      <sheetName val="Fact.Que No Cumplen Reg. Fact."/>
      <sheetName val="C. Global Mov. y B. Resp."/>
      <sheetName val="Marca"/>
      <sheetName val="Detalle servicios especial"/>
      <sheetName val="Aportes a la AGD"/>
      <sheetName val="Aporte SIB"/>
      <sheetName val="Servipagos"/>
      <sheetName val="Tevcol"/>
      <sheetName val="Detalle 2004"/>
      <sheetName val="Variaciones Jul-Sept04"/>
      <sheetName val="MMA Sept04"/>
      <sheetName val="APT Sept04"/>
      <sheetName val="Sueldos y benef Adm"/>
      <sheetName val="Suel y Benf Estac"/>
      <sheetName val="Alquiler"/>
      <sheetName val="Depreciación FASB52"/>
      <sheetName val="MMA (var)"/>
      <sheetName val="Base"/>
      <sheetName val="MMAAPT"/>
      <sheetName val="Gtos."/>
      <sheetName val="Seleccionados"/>
      <sheetName val="Rol ejecut."/>
      <sheetName val="Indemnización"/>
      <sheetName val="Otros Serv."/>
      <sheetName val="Pivot (dic)"/>
      <sheetName val="Pivot (sept)"/>
      <sheetName val="Revisión analítica"/>
      <sheetName val="Seguro Médico"/>
      <sheetName val="Sueldos Corp."/>
      <sheetName val="MMA Prelim"/>
      <sheetName val="Interhealth"/>
      <sheetName val="Brokers"/>
      <sheetName val="Detalle Gastos APT"/>
      <sheetName val="Detalle Gastos Vtas"/>
      <sheetName val="Análisis Gastos APT"/>
      <sheetName val="C. Global Gto.Coms."/>
      <sheetName val="APTGastos"/>
      <sheetName val="Gasstos mensuales"/>
      <sheetName val="MMA Jul-Dic"/>
      <sheetName val="APT Gastos "/>
      <sheetName val="Cálculo arrendamiento"/>
      <sheetName val=" MMA Sept-04"/>
      <sheetName val="APT Sept-04"/>
      <sheetName val="Cal.Sueldos"/>
      <sheetName val="Cálculo Glob. Arriendos"/>
      <sheetName val="Análisis Gastos"/>
      <sheetName val="Imptos y Contrib."/>
      <sheetName val="Transp. Mercaderia"/>
      <sheetName val="Vtas Diners"/>
      <sheetName val="Recuper.Gtos"/>
      <sheetName val="Tabla Límites"/>
      <sheetName val="Detalle Gastos Opert."/>
      <sheetName val="Impuestos y Contribuciones"/>
      <sheetName val="Anal.Remun."/>
      <sheetName val="Tickmarks (2)"/>
      <sheetName val="Calc. Global Sueldos"/>
      <sheetName val="Arrendamiento"/>
      <sheetName val="Cálc. Glob. Arrend."/>
      <sheetName val="MMAGastos"/>
      <sheetName val="límite "/>
      <sheetName val="Revision Analitica"/>
      <sheetName val="Gastos por CC"/>
      <sheetName val="Rev. Analítica"/>
      <sheetName val="Límites Prel"/>
      <sheetName val="Límites Dic"/>
      <sheetName val="Límites"/>
      <sheetName val="Cálc. Glob. Arriendos"/>
      <sheetName val="Cálc. Glob. Guardianía"/>
      <sheetName val="Cálc. Glob. Alimentación"/>
      <sheetName val="Análisis de Gastos APT"/>
      <sheetName val="Servicios Corporativos"/>
      <sheetName val="Prorrateo"/>
      <sheetName val="Análisis Prorrateo"/>
      <sheetName val="MMA Prel"/>
      <sheetName val="Límite Ap.IESS"/>
      <sheetName val="Aj Sueldos"/>
      <sheetName val="Ben Soc"/>
      <sheetName val="Limite Arr"/>
      <sheetName val="Pivot (Fin)"/>
      <sheetName val="Pivot (Prel)"/>
      <sheetName val="MMA (APT)"/>
      <sheetName val="Asesorías"/>
      <sheetName val="Base Costos y Gastos"/>
      <sheetName val="OPERACIONALES"/>
      <sheetName val="Pivot (Dic05)"/>
      <sheetName val="Pivot(Sep05)"/>
      <sheetName val="Rev. Análitica"/>
      <sheetName val="Cal.Glob.Corp"/>
      <sheetName val="Cal. Glob. Arriend"/>
      <sheetName val="Seg. Médico"/>
      <sheetName val="Sueldos Laminado (2002)"/>
      <sheetName val="Local 101"/>
      <sheetName val="Compra de Inmodiamante."/>
      <sheetName val="Aportes AGD"/>
      <sheetName val="Contrib SBS"/>
      <sheetName val="MMA Sep-05"/>
      <sheetName val="EBITDA"/>
      <sheetName val="Remuneración Variable"/>
      <sheetName val="Gasto Vehículos"/>
      <sheetName val="Gasto Km"/>
      <sheetName val="Km Fact"/>
      <sheetName val="CCostos"/>
      <sheetName val="Cálculo Nómina"/>
      <sheetName val="MMA Junio"/>
      <sheetName val="CG Honorarios"/>
      <sheetName val="CG Seguridad"/>
      <sheetName val="CG Arriendos"/>
      <sheetName val="Sueldos y B. Soc."/>
      <sheetName val="Beneficios"/>
      <sheetName val="Servicios Profesionales"/>
      <sheetName val="RR HH"/>
      <sheetName val="Limpieza"/>
      <sheetName val="Mant y Rep"/>
      <sheetName val="Contratos"/>
      <sheetName val="Salas VIP"/>
      <sheetName val="Suministros"/>
      <sheetName val="Gastos generales"/>
      <sheetName val="Tercerización"/>
      <sheetName val="Detalle Nov-03"/>
      <sheetName val="Calculo Sueldos"/>
      <sheetName val="Calculo Mant. SPIDER"/>
      <sheetName val="C.G. Sueldos"/>
      <sheetName val="C.G. Honorarios"/>
      <sheetName val="C.G. Arriendos y Vigilancia"/>
      <sheetName val="MMA Dic"/>
      <sheetName val="MMA Sept"/>
      <sheetName val="No Operacionales"/>
      <sheetName val="Anal Sin pag sept 02"/>
      <sheetName val="Análisis gastos adminis."/>
      <sheetName val="Anal Sin pag junio 02"/>
      <sheetName val="Det. de Gastos "/>
      <sheetName val="PPC-1100103"/>
      <sheetName val="Threshold Calc"/>
      <sheetName val="Det Ctas Benef Soc"/>
      <sheetName val="S5210"/>
      <sheetName val="PPC-S5210"/>
      <sheetName val="Gtos Manufactura"/>
      <sheetName val="Reaseg Cedidos"/>
      <sheetName val="Siniestros Vida"/>
      <sheetName val="Siniestros Generales"/>
      <sheetName val="Comisiones (sep)"/>
      <sheetName val="Análisis Comisiones"/>
      <sheetName val="No proporcionales"/>
      <sheetName val="Comisiones"/>
      <sheetName val="Reaseguros Cedidos"/>
      <sheetName val="Serv. Administrativos"/>
      <sheetName val="MMA Conserv y Mant"/>
      <sheetName val="Ansalisis Conserv y Mant"/>
      <sheetName val="Comisión Brokers"/>
      <sheetName val="Comisión Nova"/>
      <sheetName val="MMA Prelim."/>
      <sheetName val="APT Comisiones"/>
      <sheetName val="MMA Sep"/>
      <sheetName val="Sueldos-Benef Cía"/>
      <sheetName val="Sueldos-Benf. Estaciones"/>
      <sheetName val="Movimiento Benf. Soc"/>
      <sheetName val="CG Vigilancia"/>
      <sheetName val="Sobresueldos"/>
      <sheetName val="Base de Datos"/>
      <sheetName val="Análisis Base de datos"/>
      <sheetName val="MMA Preliminar"/>
      <sheetName val="Asesorías y Honorarios"/>
      <sheetName val="Benef. Sociales"/>
      <sheetName val="MMA Gastos Final"/>
      <sheetName val="MMA Gastos Prelim."/>
      <sheetName val="Detalle Convenios"/>
      <sheetName val="Análisis de Comisiones"/>
      <sheetName val="Cobertura Seguros"/>
      <sheetName val="MMA Comisiones"/>
      <sheetName val="Análisis APT Gastos"/>
      <sheetName val="Análisis Siniestros"/>
      <sheetName val="Cobertura Exterior"/>
      <sheetName val="Detalle Siniestros"/>
      <sheetName val="Siniestros Ajustes Manuales"/>
      <sheetName val="Analisis Siniestros"/>
      <sheetName val="Siniestros Anulados"/>
      <sheetName val="Gs. Adm."/>
      <sheetName val="Gs. Ventas"/>
      <sheetName val="Calc. Gl. Honorarios"/>
      <sheetName val="Cálculo global"/>
      <sheetName val="Análisis de honorarios"/>
      <sheetName val="Empleados y Funcionarios"/>
      <sheetName val="MMA Comisiones Prelim."/>
      <sheetName val="MMA Liq. Rescates"/>
      <sheetName val="Remuneraciones "/>
      <sheetName val="Otros pagos"/>
      <sheetName val="Personal"/>
      <sheetName val="Total"/>
      <sheetName val="2002 "/>
      <sheetName val="2002"/>
      <sheetName val="2001 2002"/>
      <sheetName val="2001.2002"/>
      <sheetName val="Selección resumen"/>
      <sheetName val="Testing"/>
      <sheetName val="MMA Pagos"/>
      <sheetName val="APT Pagos"/>
      <sheetName val="Análisis saldos negativos"/>
      <sheetName val="Detalle Final"/>
      <sheetName val="MMA APT-Hugo"/>
      <sheetName val="Detalle-Hugo"/>
      <sheetName val="Sueldos (prel.)"/>
      <sheetName val="APT de todo"/>
      <sheetName val="MMA APT (2)"/>
      <sheetName val="Detalle (2)- prueba"/>
      <sheetName val="APT "/>
      <sheetName val="Reembolso Gstos"/>
      <sheetName val="Tarjeta Crédito"/>
      <sheetName val="Resnet"/>
      <sheetName val="Detalle-Preliminar"/>
      <sheetName val="Límites "/>
      <sheetName val="MMA - Final"/>
      <sheetName val="APT - Gastos"/>
      <sheetName val="Detalle "/>
      <sheetName val="CMA_SampleDesign"/>
      <sheetName val="DialogInsert"/>
      <sheetName val="Calculo S.B."/>
      <sheetName val="APT Final"/>
      <sheetName val="APT Preliminar"/>
      <sheetName val="Sueldos "/>
      <sheetName val="Límite Honorarios"/>
      <sheetName val="Excess Calc"/>
      <sheetName val="Pivot centro de Costo"/>
      <sheetName val="Base Pivot"/>
      <sheetName val="Agrupación"/>
      <sheetName val="Tercerizadoras"/>
      <sheetName val="Trabajo de Terceros"/>
      <sheetName val="APT Prelim"/>
      <sheetName val="Hoja de Datos"/>
      <sheetName val="Bienes y Serv. Cons"/>
      <sheetName val="Asistencia Técnica"/>
      <sheetName val="Fedapal"/>
      <sheetName val="Ancupa"/>
      <sheetName val="Calc. Límite"/>
      <sheetName val="Análisis de Adic."/>
      <sheetName val="Primas"/>
      <sheetName val="Analisis de Roles"/>
      <sheetName val="SA Procedures"/>
      <sheetName val="Expectation"/>
      <sheetName val="Explanation"/>
      <sheetName val="Análisis de Nómina"/>
      <sheetName val="Gastos Apt"/>
      <sheetName val="Serv. Comercialización"/>
      <sheetName val="Imp. salida Div."/>
      <sheetName val="Cal Global Sueldos"/>
      <sheetName val="Cálculo Tercerizadora"/>
      <sheetName val="Rotators"/>
      <sheetName val="MMA Rotators"/>
      <sheetName val="Análisis Rotators"/>
      <sheetName val="Expatriados y Consultores"/>
      <sheetName val="Facturas Exp y Consult"/>
      <sheetName val="Nota EEFF"/>
      <sheetName val="Cálculo global de Nómina"/>
      <sheetName val="Limites"/>
      <sheetName val="Analisis Gastos APT"/>
      <sheetName val="Honorarios 2"/>
      <sheetName val="Provisiones"/>
      <sheetName val="Asesorías relacionadas"/>
      <sheetName val="Hon"/>
      <sheetName val="Sueldos y Salarios"/>
      <sheetName val="Detalle de Primas"/>
      <sheetName val="Honorarios (2)"/>
      <sheetName val="APT de Gastos"/>
      <sheetName val="Asesoría Técnica"/>
      <sheetName val="Arriendos "/>
      <sheetName val="Detalle."/>
      <sheetName val="Incentivos sobre resultados"/>
      <sheetName val="APT Iguals"/>
      <sheetName val="APT Gastos Fin"/>
      <sheetName val="Sueldos y Benef."/>
      <sheetName val="Limite Benef."/>
      <sheetName val="Transporte de Quimicos"/>
      <sheetName val="Servicios Ocasionales"/>
      <sheetName val="Cálculo Global de Sueldos"/>
      <sheetName val="APT Serv Profesionales"/>
      <sheetName val="Seguros "/>
      <sheetName val="Contingencias"/>
      <sheetName val="Detalle Contingencia Inundación"/>
      <sheetName val="Gastos según CC"/>
      <sheetName val="Cuentas con Saldos Contrarios"/>
      <sheetName val="Sueldos Temporales"/>
      <sheetName val="513551"/>
      <sheetName val="Gastos de Exportación"/>
      <sheetName val="Educación Médica Continua"/>
      <sheetName val="CMA Calculations"/>
      <sheetName val="Analisis Gastos"/>
      <sheetName val="Arriendos leasing"/>
      <sheetName val="Detalle Desembolsos por Capitul"/>
      <sheetName val="Comisión Supermaxi"/>
      <sheetName val="APT Fin"/>
      <sheetName val="Nota"/>
      <sheetName val="Bonificaciones"/>
      <sheetName val="Limite Nómina"/>
      <sheetName val="Limite Comisiones"/>
      <sheetName val="Imp. Contribuciones"/>
      <sheetName val="Análisis APT Prel."/>
      <sheetName val="Selección Gastos"/>
      <sheetName val="Muestra Gastos"/>
      <sheetName val="Servicios básicos"/>
      <sheetName val="APT Gasto"/>
      <sheetName val="Honorarios "/>
      <sheetName val="APT Gastos Operacionales"/>
      <sheetName val="APT terciarizados"/>
      <sheetName val="Comisión Schlumberger"/>
      <sheetName val="Expats"/>
      <sheetName val="APT Ingenieros"/>
      <sheetName val="MMA (f)"/>
      <sheetName val="MMA(p)"/>
      <sheetName val="MMA 2004"/>
      <sheetName val="Prov. Publicidad P&amp;A"/>
      <sheetName val="Gto Interes Fideicomisos"/>
      <sheetName val="Fee Casa Matriz"/>
      <sheetName val="Facturas Casa Matriz"/>
      <sheetName val="Clasificación Gtos. 31-Dec-08"/>
      <sheetName val="Clasificación Gtos. 31-Oc-08"/>
      <sheetName val="Comisiones Dic"/>
      <sheetName val="Contratos (reaseg no proporc)"/>
      <sheetName val="ANALISIS GTS."/>
      <sheetName val="CG Asesoria"/>
      <sheetName val="Comisiones Exterior"/>
      <sheetName val="Aporte Patronal"/>
      <sheetName val="Intereses"/>
      <sheetName val="Seguridad y Vigilancia"/>
      <sheetName val="Arrendamientos"/>
      <sheetName val="Otros Impuestos"/>
      <sheetName val="Gastos No Deducibles"/>
      <sheetName val="CMA Selections"/>
      <sheetName val="Análisis de APT"/>
      <sheetName val="Nota EF"/>
      <sheetName val="pruebas sustantivas"/>
      <sheetName val="Expectativa de gastos"/>
      <sheetName val="APT Prel"/>
      <sheetName val="Arriendo Inm"/>
      <sheetName val="Guardiania"/>
      <sheetName val="Transporte Mercaderías"/>
      <sheetName val="Determinación de Límites"/>
      <sheetName val="Gtos. Bancarios"/>
      <sheetName val="Límite Sueldos"/>
      <sheetName val="Reembolso gastos"/>
      <sheetName val="Nómina "/>
      <sheetName val="Recalculo de Nómina "/>
      <sheetName val="MMA Gastos Operacionales"/>
      <sheetName val="Guardianía"/>
      <sheetName val="Tab"/>
      <sheetName val="APT Gasto Arriendo"/>
      <sheetName val="Cálculo Comisión Schlumberger"/>
      <sheetName val="APT Rotators"/>
      <sheetName val="APT Expats"/>
      <sheetName val="Procedimiento"/>
      <sheetName val="Nómina Final"/>
      <sheetName val=" APT"/>
      <sheetName val="Servicios"/>
      <sheetName val="Bono Especial"/>
      <sheetName val="Fletes"/>
      <sheetName val="Límites Nómina Final"/>
      <sheetName val="Límites Nómina"/>
      <sheetName val="Prov. Incobrables"/>
      <sheetName val="CMA Calculations (2)"/>
      <sheetName val="Sueldos y Beneficios"/>
      <sheetName val="Notas EEFF"/>
      <sheetName val="Quito"/>
      <sheetName val="Guayaquil"/>
      <sheetName val="Gatos Sini- Reclamos "/>
      <sheetName val="P.1. Detalle"/>
      <sheetName val="P.2. APT Gastos (F)"/>
      <sheetName val="P.3. Analisis de Donaciones (F)"/>
      <sheetName val="P.4. Análisis Nómina (F)"/>
      <sheetName val="Arrendamiento Mercantil"/>
      <sheetName val="Límite cp"/>
      <sheetName val="Calculo Global de Sueldos"/>
      <sheetName val="Cálculo Arriendos"/>
      <sheetName val="Admin Base datos"/>
      <sheetName val="CálculoGlob. Consultores"/>
      <sheetName val="Cálculo Global Expatriados"/>
      <sheetName val="Cálculo Global Arriendos"/>
      <sheetName val="Gastos ADC"/>
      <sheetName val="Conta, Asesor y Otros"/>
      <sheetName val="Provisión Corpaq"/>
      <sheetName val="O&amp;M Manag. Fee Prel."/>
      <sheetName val="O&amp;M Manag. Fee Final"/>
      <sheetName val="Servipago"/>
      <sheetName val="O&amp;M Manag. Fee"/>
      <sheetName val="APT Gastos ADC"/>
      <sheetName val="Serv. contables y otros"/>
      <sheetName val="O&amp;M Manag Fee"/>
      <sheetName val="Serv.Contables y Otros"/>
      <sheetName val="O&amp;M Management Fee"/>
      <sheetName val="Nota a los EEFF"/>
      <sheetName val="APT Gastos Prel"/>
      <sheetName val="Contab, Ases, Otros "/>
      <sheetName val="O&amp;M Exp.Onshore"/>
      <sheetName val="O&amp;M Exp.Offshore"/>
      <sheetName val="Corpaq Concession Fee"/>
      <sheetName val="O&amp;M Manag. Fee  Sept"/>
      <sheetName val="Calculo Global Honorarios"/>
      <sheetName val="O&amp;M Expenses Onshore"/>
      <sheetName val="O&amp;M Expenses Offshore"/>
      <sheetName val="O&amp;M Managt Fee Jul"/>
      <sheetName val="Servicios contables y otros"/>
      <sheetName val="Nomina"/>
      <sheetName val="Selección Empleados"/>
      <sheetName val="Cálculo  Arriendos"/>
      <sheetName val="Management"/>
      <sheetName val="Impuestos"/>
      <sheetName val="F316"/>
      <sheetName val="Salarios y beneficios sociales"/>
      <sheetName val="Límites Final"/>
      <sheetName val="Detalle Costos"/>
      <sheetName val="Límite am"/>
      <sheetName val="Gastos Generales "/>
      <sheetName val="Selección MMA"/>
      <sheetName val="Seguridad"/>
      <sheetName val="Internet"/>
      <sheetName val="G. Administr. Interfondos"/>
      <sheetName val="Gtos. Operación"/>
      <sheetName val="Suedos Dic'06"/>
      <sheetName val="Sueldos Aug'06"/>
      <sheetName val="Sueldos Jul'06"/>
      <sheetName val="Honorarios Dic'06"/>
      <sheetName val="Honorarios Aug'06"/>
      <sheetName val="Honorarios Jul'06"/>
      <sheetName val="MMA Serv. Varios"/>
      <sheetName val="Serv. Varios"/>
      <sheetName val="Contratos Dic'06"/>
      <sheetName val="Contratos Aug'06"/>
      <sheetName val="Contratos Jul'06"/>
      <sheetName val="MMA Desembolsos Contr."/>
      <sheetName val="An. Desembolsos Contr."/>
      <sheetName val="Subselección APT"/>
      <sheetName val="CalcArriend"/>
      <sheetName val="Subselección Apt Final"/>
      <sheetName val="Subselección APT Preliminar"/>
      <sheetName val="Análisis de liquidaciones"/>
      <sheetName val="Analisis Gastos APT "/>
      <sheetName val="Analisis de Honorarios"/>
      <sheetName val="CMA Calculations (Final)"/>
      <sheetName val="CMA Calculations (Preli)"/>
      <sheetName val="Límites Provisiones"/>
      <sheetName val="Nomina Final"/>
      <sheetName val="Courier"/>
      <sheetName val="Recálculo Nómina"/>
      <sheetName val="Nómina Prelim"/>
      <sheetName val="APT Prel_Final"/>
      <sheetName val="Nómina Ec"/>
      <sheetName val="Nómina 2011 (2)"/>
      <sheetName val="Honorarios Prof YP"/>
      <sheetName val="Honorarios Prof. Gerenciales"/>
      <sheetName val="Arriendos YP"/>
      <sheetName val="Partidas a analizar"/>
      <sheetName val="Nomina (2)"/>
      <sheetName val="Conclusión"/>
      <sheetName val="Serv. Comerc."/>
      <sheetName val="Seguros Prelim"/>
      <sheetName val="Seguros Fin"/>
      <sheetName val="CG Nómina"/>
      <sheetName val="Revisión Otros Gastos"/>
      <sheetName val="Análisis de Variaciones"/>
      <sheetName val="Análisis ISD"/>
      <sheetName val="Procedimientos"/>
      <sheetName val="Vigilancia APT"/>
      <sheetName val="Servicios Administrativos"/>
      <sheetName val="Alquiler Veh"/>
      <sheetName val="Alquiler Inmueble"/>
      <sheetName val="Serv. Tecn. y Arrendm."/>
      <sheetName val="Cálculo selección de APT"/>
      <sheetName val="Analisis APT"/>
      <sheetName val="Variación de Gastos"/>
      <sheetName val="Honorarios APT"/>
      <sheetName val="Nómina Quito"/>
      <sheetName val="Nómina Guayaquil"/>
      <sheetName val="Calculo Global Nomina"/>
      <sheetName val="Renta"/>
      <sheetName val="Cálculo de benficios sociales"/>
      <sheetName val="Análisis Nómina"/>
      <sheetName val="A. Servicios Corporativos"/>
      <sheetName val="Analsis Gastos APT"/>
      <sheetName val="Benef. Sociales "/>
      <sheetName val="Fact Allocations Dic 08"/>
      <sheetName val="Facturación Allocations"/>
      <sheetName val="Allocations"/>
      <sheetName val="Transporte OCP"/>
      <sheetName val="Corte Tardío"/>
      <sheetName val="Ley Medio Ambiente"/>
      <sheetName val="MMA Select Gastos APT"/>
      <sheetName val="08"/>
      <sheetName val="Análisis Arriendos APT"/>
      <sheetName val="Análisis Honorarios APT "/>
      <sheetName val="Cálculo Global Beneficios Socia"/>
      <sheetName val="Resumen por cuenta"/>
      <sheetName val="Cont. Selec"/>
      <sheetName val="Vacaciones"/>
      <sheetName val="Gasto Petroecuador"/>
      <sheetName val="Selección Gastos APT Final"/>
      <sheetName val="Límite de Nómina"/>
      <sheetName val="Límite de Nóminca"/>
      <sheetName val="Gto arriendo Vehi Ofic"/>
      <sheetName val="Calculo ingresos Inmocastle"/>
      <sheetName val="Contratos Varios APT"/>
      <sheetName val="Fletes y Promoc"/>
      <sheetName val="Worksheet in 8330 Análisis de G"/>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sheetData sheetId="15" refreshError="1"/>
      <sheetData sheetId="16" refreshError="1"/>
      <sheetData sheetId="17"/>
      <sheetData sheetId="18"/>
      <sheetData sheetId="19"/>
      <sheetData sheetId="20"/>
      <sheetData sheetId="21"/>
      <sheetData sheetId="22" refreshError="1"/>
      <sheetData sheetId="23"/>
      <sheetData sheetId="24" refreshError="1"/>
      <sheetData sheetId="25" refreshError="1"/>
      <sheetData sheetId="26" refreshError="1"/>
      <sheetData sheetId="27"/>
      <sheetData sheetId="28" refreshError="1"/>
      <sheetData sheetId="29"/>
      <sheetData sheetId="30"/>
      <sheetData sheetId="31"/>
      <sheetData sheetId="32" refreshError="1"/>
      <sheetData sheetId="33" refreshError="1"/>
      <sheetData sheetId="34"/>
      <sheetData sheetId="35" refreshError="1"/>
      <sheetData sheetId="36" refreshError="1"/>
      <sheetData sheetId="37"/>
      <sheetData sheetId="38"/>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refreshError="1"/>
      <sheetData sheetId="58" refreshError="1"/>
      <sheetData sheetId="59"/>
      <sheetData sheetId="60">
        <row r="16">
          <cell r="F16">
            <v>180529</v>
          </cell>
        </row>
      </sheetData>
      <sheetData sheetId="61"/>
      <sheetData sheetId="62"/>
      <sheetData sheetId="63"/>
      <sheetData sheetId="64" refreshError="1"/>
      <sheetData sheetId="65" refreshError="1"/>
      <sheetData sheetId="66" refreshError="1"/>
      <sheetData sheetId="67"/>
      <sheetData sheetId="68" refreshError="1"/>
      <sheetData sheetId="69" refreshError="1"/>
      <sheetData sheetId="70" refreshError="1"/>
      <sheetData sheetId="71"/>
      <sheetData sheetId="72"/>
      <sheetData sheetId="73"/>
      <sheetData sheetId="74" refreshError="1"/>
      <sheetData sheetId="75" refreshError="1"/>
      <sheetData sheetId="76"/>
      <sheetData sheetId="77"/>
      <sheetData sheetId="78"/>
      <sheetData sheetId="79" refreshError="1"/>
      <sheetData sheetId="80"/>
      <sheetData sheetId="81"/>
      <sheetData sheetId="82"/>
      <sheetData sheetId="83"/>
      <sheetData sheetId="84"/>
      <sheetData sheetId="85"/>
      <sheetData sheetId="86" refreshError="1"/>
      <sheetData sheetId="87"/>
      <sheetData sheetId="88"/>
      <sheetData sheetId="89"/>
      <sheetData sheetId="90"/>
      <sheetData sheetId="9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sheetData sheetId="113"/>
      <sheetData sheetId="114"/>
      <sheetData sheetId="115" refreshError="1"/>
      <sheetData sheetId="116"/>
      <sheetData sheetId="117" refreshError="1"/>
      <sheetData sheetId="118" refreshError="1"/>
      <sheetData sheetId="119" refreshError="1"/>
      <sheetData sheetId="120" refreshError="1"/>
      <sheetData sheetId="121"/>
      <sheetData sheetId="122"/>
      <sheetData sheetId="123"/>
      <sheetData sheetId="124" refreshError="1"/>
      <sheetData sheetId="125"/>
      <sheetData sheetId="126" refreshError="1"/>
      <sheetData sheetId="127" refreshError="1"/>
      <sheetData sheetId="128"/>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sheetData sheetId="144" refreshError="1"/>
      <sheetData sheetId="145" refreshError="1"/>
      <sheetData sheetId="146" refreshError="1"/>
      <sheetData sheetId="147" refreshError="1"/>
      <sheetData sheetId="148" refreshError="1"/>
      <sheetData sheetId="149"/>
      <sheetData sheetId="150" refreshError="1"/>
      <sheetData sheetId="151"/>
      <sheetData sheetId="152"/>
      <sheetData sheetId="153" refreshError="1"/>
      <sheetData sheetId="154" refreshError="1"/>
      <sheetData sheetId="155"/>
      <sheetData sheetId="156"/>
      <sheetData sheetId="157" refreshError="1"/>
      <sheetData sheetId="158" refreshError="1"/>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refreshError="1"/>
      <sheetData sheetId="217" refreshError="1"/>
      <sheetData sheetId="218" refreshError="1"/>
      <sheetData sheetId="219" refreshError="1"/>
      <sheetData sheetId="220"/>
      <sheetData sheetId="221"/>
      <sheetData sheetId="222"/>
      <sheetData sheetId="223"/>
      <sheetData sheetId="224" refreshError="1"/>
      <sheetData sheetId="225"/>
      <sheetData sheetId="226"/>
      <sheetData sheetId="227"/>
      <sheetData sheetId="228"/>
      <sheetData sheetId="229" refreshError="1"/>
      <sheetData sheetId="230"/>
      <sheetData sheetId="231"/>
      <sheetData sheetId="232" refreshError="1"/>
      <sheetData sheetId="233"/>
      <sheetData sheetId="234"/>
      <sheetData sheetId="235"/>
      <sheetData sheetId="236"/>
      <sheetData sheetId="237"/>
      <sheetData sheetId="238"/>
      <sheetData sheetId="239" refreshError="1"/>
      <sheetData sheetId="240"/>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sheetData sheetId="265"/>
      <sheetData sheetId="266"/>
      <sheetData sheetId="267" refreshError="1"/>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refreshError="1"/>
      <sheetData sheetId="286"/>
      <sheetData sheetId="287"/>
      <sheetData sheetId="288" refreshError="1"/>
      <sheetData sheetId="289" refreshError="1"/>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sheetData sheetId="302"/>
      <sheetData sheetId="303"/>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sheetData sheetId="321" refreshError="1"/>
      <sheetData sheetId="322" refreshError="1"/>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refreshError="1"/>
      <sheetData sheetId="363" refreshError="1"/>
      <sheetData sheetId="364"/>
      <sheetData sheetId="365"/>
      <sheetData sheetId="366"/>
      <sheetData sheetId="367"/>
      <sheetData sheetId="368"/>
      <sheetData sheetId="369"/>
      <sheetData sheetId="370"/>
      <sheetData sheetId="371"/>
      <sheetData sheetId="372"/>
      <sheetData sheetId="373" refreshError="1"/>
      <sheetData sheetId="374"/>
      <sheetData sheetId="375"/>
      <sheetData sheetId="376"/>
      <sheetData sheetId="377" refreshError="1"/>
      <sheetData sheetId="378" refreshError="1"/>
      <sheetData sheetId="379" refreshError="1"/>
      <sheetData sheetId="380"/>
      <sheetData sheetId="381"/>
      <sheetData sheetId="382"/>
      <sheetData sheetId="383" refreshError="1"/>
      <sheetData sheetId="384" refreshError="1"/>
      <sheetData sheetId="385"/>
      <sheetData sheetId="386" refreshError="1"/>
      <sheetData sheetId="387" refreshError="1"/>
      <sheetData sheetId="388" refreshError="1"/>
      <sheetData sheetId="389"/>
      <sheetData sheetId="390" refreshError="1"/>
      <sheetData sheetId="391"/>
      <sheetData sheetId="392" refreshError="1"/>
      <sheetData sheetId="393" refreshError="1"/>
      <sheetData sheetId="394" refreshError="1"/>
      <sheetData sheetId="395" refreshError="1"/>
      <sheetData sheetId="396" refreshError="1"/>
      <sheetData sheetId="397"/>
      <sheetData sheetId="398"/>
      <sheetData sheetId="399"/>
      <sheetData sheetId="400" refreshError="1"/>
      <sheetData sheetId="401" refreshError="1"/>
      <sheetData sheetId="402" refreshError="1"/>
      <sheetData sheetId="403" refreshError="1"/>
      <sheetData sheetId="404"/>
      <sheetData sheetId="405" refreshError="1"/>
      <sheetData sheetId="406" refreshError="1"/>
      <sheetData sheetId="407" refreshError="1"/>
      <sheetData sheetId="408" refreshError="1"/>
      <sheetData sheetId="409" refreshError="1"/>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refreshError="1"/>
      <sheetData sheetId="428"/>
      <sheetData sheetId="429" refreshError="1"/>
      <sheetData sheetId="430" refreshError="1"/>
      <sheetData sheetId="431" refreshError="1"/>
      <sheetData sheetId="432" refreshError="1"/>
      <sheetData sheetId="433" refreshError="1"/>
      <sheetData sheetId="434" refreshError="1"/>
      <sheetData sheetId="435"/>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refreshError="1"/>
      <sheetData sheetId="452"/>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sheetData sheetId="478" refreshError="1"/>
      <sheetData sheetId="479"/>
      <sheetData sheetId="480"/>
      <sheetData sheetId="481"/>
      <sheetData sheetId="482"/>
      <sheetData sheetId="483" refreshError="1"/>
      <sheetData sheetId="484"/>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sheetData sheetId="496"/>
      <sheetData sheetId="497" refreshError="1"/>
      <sheetData sheetId="498"/>
      <sheetData sheetId="499"/>
      <sheetData sheetId="500" refreshError="1"/>
      <sheetData sheetId="501" refreshError="1"/>
      <sheetData sheetId="502" refreshError="1"/>
      <sheetData sheetId="503" refreshError="1"/>
      <sheetData sheetId="504"/>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sheetData sheetId="514" refreshError="1"/>
      <sheetData sheetId="515" refreshError="1"/>
      <sheetData sheetId="516" refreshError="1"/>
      <sheetData sheetId="517" refreshError="1"/>
      <sheetData sheetId="518" refreshError="1"/>
      <sheetData sheetId="519" refreshError="1"/>
      <sheetData sheetId="520"/>
      <sheetData sheetId="521"/>
      <sheetData sheetId="522"/>
      <sheetData sheetId="523"/>
      <sheetData sheetId="524" refreshError="1"/>
      <sheetData sheetId="525"/>
      <sheetData sheetId="526"/>
      <sheetData sheetId="527"/>
      <sheetData sheetId="528" refreshError="1"/>
      <sheetData sheetId="529"/>
      <sheetData sheetId="530"/>
      <sheetData sheetId="531"/>
      <sheetData sheetId="532" refreshError="1"/>
      <sheetData sheetId="533" refreshError="1"/>
      <sheetData sheetId="534" refreshError="1"/>
      <sheetData sheetId="535"/>
      <sheetData sheetId="536" refreshError="1"/>
      <sheetData sheetId="537" refreshError="1"/>
      <sheetData sheetId="538" refreshError="1"/>
      <sheetData sheetId="539"/>
      <sheetData sheetId="540"/>
      <sheetData sheetId="541"/>
      <sheetData sheetId="542"/>
      <sheetData sheetId="543" refreshError="1"/>
      <sheetData sheetId="544" refreshError="1"/>
      <sheetData sheetId="545"/>
      <sheetData sheetId="546"/>
      <sheetData sheetId="547"/>
      <sheetData sheetId="548"/>
      <sheetData sheetId="549"/>
      <sheetData sheetId="550"/>
      <sheetData sheetId="551" refreshError="1"/>
      <sheetData sheetId="552" refreshError="1"/>
      <sheetData sheetId="553"/>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refreshError="1"/>
      <sheetData sheetId="575"/>
      <sheetData sheetId="576"/>
      <sheetData sheetId="577"/>
      <sheetData sheetId="578"/>
      <sheetData sheetId="579" refreshError="1"/>
      <sheetData sheetId="580"/>
      <sheetData sheetId="581" refreshError="1"/>
      <sheetData sheetId="582" refreshError="1"/>
      <sheetData sheetId="583"/>
      <sheetData sheetId="584" refreshError="1"/>
      <sheetData sheetId="585"/>
      <sheetData sheetId="586" refreshError="1"/>
      <sheetData sheetId="587" refreshError="1"/>
      <sheetData sheetId="588" refreshError="1"/>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sheetData sheetId="598"/>
      <sheetData sheetId="599"/>
      <sheetData sheetId="600" refreshError="1"/>
      <sheetData sheetId="601"/>
      <sheetData sheetId="602" refreshError="1"/>
      <sheetData sheetId="603" refreshError="1"/>
      <sheetData sheetId="604"/>
      <sheetData sheetId="605"/>
      <sheetData sheetId="606" refreshError="1"/>
      <sheetData sheetId="607" refreshError="1"/>
      <sheetData sheetId="608" refreshError="1"/>
      <sheetData sheetId="609" refreshError="1"/>
      <sheetData sheetId="610"/>
      <sheetData sheetId="61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sheetData sheetId="632"/>
      <sheetData sheetId="633"/>
      <sheetData sheetId="634"/>
      <sheetData sheetId="635"/>
      <sheetData sheetId="636"/>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refreshError="1"/>
      <sheetData sheetId="661" refreshError="1"/>
      <sheetData sheetId="662" refreshError="1"/>
      <sheetData sheetId="663" refreshError="1"/>
      <sheetData sheetId="664"/>
      <sheetData sheetId="665"/>
      <sheetData sheetId="666"/>
      <sheetData sheetId="667"/>
      <sheetData sheetId="668"/>
      <sheetData sheetId="669"/>
      <sheetData sheetId="670"/>
      <sheetData sheetId="671"/>
      <sheetData sheetId="672"/>
      <sheetData sheetId="673"/>
      <sheetData sheetId="674"/>
      <sheetData sheetId="675"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
      <sheetName val="Nómina"/>
      <sheetName val="Comisión Supermaxi"/>
      <sheetName val="MMA"/>
      <sheetName val="APT"/>
      <sheetName val="C.G. Comisiones"/>
      <sheetName val="Límite"/>
      <sheetName val="Tabla"/>
      <sheetName val="XREF"/>
      <sheetName val="Tickmarks"/>
      <sheetName val="Nómina 2019"/>
      <sheetName val="Nómina 2018"/>
      <sheetName val="Nómina 2017"/>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sheetData sheetId="1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s EEFF"/>
      <sheetName val="Detalle"/>
      <sheetName val="Cartera a Final"/>
      <sheetName val="Base"/>
      <sheetName val="Confirmaciones"/>
      <sheetName val="Cuentas de Díficil Cobro"/>
      <sheetName val="Provisión"/>
      <sheetName val="Cobros posteriores"/>
      <sheetName val="Neteo por Cobrar - por Pagar"/>
      <sheetName val="XREF"/>
      <sheetName val="Tickmarks"/>
      <sheetName val="Detalle Ventas Exterior"/>
      <sheetName val="Validación Base Cltes. Exterior"/>
      <sheetName val="Detalle Ventas Locales"/>
      <sheetName val="Validación Base Vtas Locales"/>
      <sheetName val="NOTA EF"/>
      <sheetName val="Detalle de Cuentas por Cobrar"/>
      <sheetName val="Provisión de Ctas. Incobrables"/>
      <sheetName val="Cartera y antigüedad"/>
      <sheetName val="Detalle Ret. Contractuales"/>
      <sheetName val="#REF"/>
      <sheetName val="Antiguedad de cartera"/>
      <sheetName val="CxC QIA "/>
      <sheetName val="Análisis"/>
      <sheetName val="Pruebas Sustantivas"/>
      <sheetName val="Cartera Preliminar"/>
      <sheetName val="Antiguedad Cartera"/>
      <sheetName val="Mov. Provisión"/>
      <sheetName val="Nota"/>
      <sheetName val="Mov.Cta.Incob."/>
      <sheetName val="Nota a los EE FF"/>
      <sheetName val="Variación cartera"/>
      <sheetName val="Revisión Variación"/>
      <sheetName val="Cartera Final"/>
      <sheetName val="Cartera"/>
      <sheetName val="Cartera por factura"/>
      <sheetName val="Movimiento incobrables"/>
      <sheetName val="Validez de antiguedad"/>
      <sheetName val="Cofirmaciones enviadas"/>
      <sheetName val="Análisis de Variación"/>
      <sheetName val="Antiguedad de Cartera Final"/>
      <sheetName val="Validación Antiguedad Cartera"/>
      <sheetName val="Antiguedad de Cartera prel"/>
      <sheetName val="Mov. Incobrables"/>
      <sheetName val="Antiguedad Cartera (Final)"/>
      <sheetName val="Variación de Cartera"/>
      <sheetName val="Pru.Conexión"/>
      <sheetName val="Antig Cartera (Final 31-Dec)"/>
      <sheetName val="Antig Cartera (Final 30-Nov)"/>
      <sheetName val="Antigüedad"/>
      <sheetName val="Mov. Prov."/>
      <sheetName val="CxCob Prel"/>
      <sheetName val="Confirm."/>
      <sheetName val="Anal. Cobros Posteriores"/>
      <sheetName val="Cartera Guayaquil"/>
      <sheetName val="Cartera Quito"/>
      <sheetName val="Prov. Incobrables"/>
      <sheetName val="Análisis Validez Fact"/>
      <sheetName val="Cartera_Preliminar (2)"/>
      <sheetName val="Sheet2"/>
      <sheetName val="Cartera_Final (2)"/>
      <sheetName val="Cartera_Final"/>
      <sheetName val="Cartera_Preliminar"/>
      <sheetName val="Recál.Prov."/>
      <sheetName val="Cartera Prel."/>
      <sheetName val="Sheet1"/>
      <sheetName val="Clientes Grupo"/>
      <sheetName val="Sheet3"/>
      <sheetName val="Saldos Relacionadas"/>
      <sheetName val="Cartera Prelim"/>
      <sheetName val="Resumen"/>
      <sheetName val="Confirmaciones final"/>
      <sheetName val="Validación de base"/>
      <sheetName val="CXC BVI (Preli)"/>
      <sheetName val="Incobrables"/>
      <sheetName val="Corte Tardío"/>
      <sheetName val="Detalle de Cartera"/>
      <sheetName val="Evolución de Cartera"/>
      <sheetName val="Antigüedad Cartera Preliminar"/>
      <sheetName val="Antigüedad masivos Preliminar"/>
      <sheetName val="Com. X cobrar"/>
      <sheetName val="Relacionadas"/>
      <sheetName val="Mov.Ctas Incob."/>
      <sheetName val="Provisión Incob."/>
      <sheetName val="Cobros posteriores enero"/>
      <sheetName val="Selec. CxC"/>
      <sheetName val="Tildes"/>
      <sheetName val="Conciliaciones Relacionadas"/>
      <sheetName val="Nota a los EEFF"/>
      <sheetName val="MMA Local"/>
      <sheetName val="MMA Exterior"/>
      <sheetName val="Confirmaciones Loc."/>
      <sheetName val="Cobros Posteriores Local"/>
      <sheetName val="Cobros Posteriores Exterior"/>
      <sheetName val="Antig. Local Oct-06"/>
      <sheetName val="Antig. Exter. Oct-06"/>
      <sheetName val="Mov. Incob."/>
      <sheetName val="Notas al EEFF"/>
      <sheetName val="MMA"/>
      <sheetName val="Selección"/>
      <sheetName val="Ctas x Cobrar Tarj. Crédito"/>
      <sheetName val="Análisis de la provisión"/>
      <sheetName val="Mov. Provision"/>
      <sheetName val="Cías Relacionadas Final"/>
      <sheetName val="Cías Relacionadas Preliminar"/>
      <sheetName val="Procedimientos"/>
      <sheetName val="Observaciones"/>
      <sheetName val="AnlAntig"/>
      <sheetName val="Anl Provisión"/>
      <sheetName val="Variaciones"/>
      <sheetName val="TarjCred"/>
      <sheetName val="Provisión Ingresos"/>
      <sheetName val="MovProv"/>
      <sheetName val="Antigüedad Prel"/>
      <sheetName val="Confirmación"/>
      <sheetName val="LLamadas telefónicas Final"/>
      <sheetName val="Otras cuentas por cobrar"/>
      <sheetName val="Tarifa Dignidad"/>
      <sheetName val="Recaudación"/>
      <sheetName val="Cruce Sidecom Fin"/>
      <sheetName val="CxC Créditos Abonados"/>
      <sheetName val="Antiguedad Cartera Abonados"/>
      <sheetName val="Análisis Provisión DTT"/>
      <sheetName val="Mov Prov."/>
      <sheetName val="Selección Cobros Posteriores"/>
      <sheetName val="Análisis Cobros Posteriores"/>
      <sheetName val="Entidades Auto."/>
      <sheetName val="Agentes MEM"/>
      <sheetName val="Gobierno"/>
      <sheetName val="Cartera-Dic"/>
      <sheetName val="Cartera-sept"/>
      <sheetName val="Provisión-Dic"/>
      <sheetName val="Provisión-sept"/>
      <sheetName val="Detalle de Clientes"/>
      <sheetName val="Clientes"/>
      <sheetName val="Contratos Firmados"/>
      <sheetName val="Cuentas incobrables"/>
      <sheetName val="Base de Cartera(Preli)"/>
      <sheetName val="Mov. Provisión (Preli)"/>
      <sheetName val="Base de Cartera (Final)"/>
      <sheetName val="Cobros Posteriores(Final)"/>
      <sheetName val="Confirmaciones(Preli)"/>
      <sheetName val="Porción CP y LP"/>
      <sheetName val="Sheet5"/>
      <sheetName val="Base de Cartera(Final)"/>
      <sheetName val="Base de Cartera"/>
      <sheetName val="Clientes seleccionados"/>
      <sheetName val="Mov. Provisión Incobrables"/>
      <sheetName val="límites cred"/>
      <sheetName val="Detalle bajas incobrables"/>
      <sheetName val="Prov. Devolución"/>
      <sheetName val="Base Cartera Octubre"/>
      <sheetName val="Movimiento de la Provisión"/>
      <sheetName val="Distribuidores"/>
      <sheetName val="Exterior"/>
      <sheetName val="Prov.Incobrables"/>
      <sheetName val="Cuentas por Cobrar Dic."/>
      <sheetName val="Cuentas por Cobrar Nov."/>
      <sheetName val="Detalle Incobrables"/>
      <sheetName val="Refinanciados"/>
      <sheetName val="Movimiento Provisión"/>
      <sheetName val="Cuentas por cobrar - Sep."/>
      <sheetName val="Seleccion"/>
      <sheetName val="Conc.Relac."/>
      <sheetName val="Cob. Post."/>
      <sheetName val="Mov Prov"/>
      <sheetName val="Relac Fin"/>
      <sheetName val="Interés"/>
      <sheetName val="Base Clientes"/>
      <sheetName val="MMA prel"/>
      <sheetName val="Relac Pre"/>
      <sheetName val="Cálculo Intereses"/>
      <sheetName val="Anal.Cias Relac.Prel."/>
      <sheetName val="Cálculo Intereses (PPC)"/>
      <sheetName val="Base de Clientes"/>
      <sheetName val="MMA Cartera"/>
      <sheetName val="Provisión Ctas. Incobrab"/>
      <sheetName val="Análisis de Incobrabilidad"/>
      <sheetName val="Detalle Tarjetas de Crédito"/>
      <sheetName val="Módulo Clientes (PPC)"/>
      <sheetName val="MMA(Módulo Clientes)"/>
      <sheetName val="Detalle Gquil (PPC)"/>
      <sheetName val="MMA(ClientesGquil)"/>
      <sheetName val="Detalle Tráfico y Ventas (PPC)"/>
      <sheetName val="MMA (Tráfico y Ventas)"/>
      <sheetName val="Seleccionados"/>
      <sheetName val="cobros posteriores (tarjetas)"/>
      <sheetName val="Detalle Trafico y Ventas (PPC)"/>
      <sheetName val="Cartera Final (PPC)"/>
      <sheetName val="Detalle Cheq. Protes."/>
      <sheetName val="Detalle Tarjetas de Crédito (PP"/>
      <sheetName val="Cartera Preliminar (PPC)"/>
      <sheetName val="Mov. Provisión Clientes"/>
      <sheetName val="Cuentas con relacionadas (PPC)"/>
      <sheetName val="Oblig.Relac. Prel"/>
      <sheetName val="Saldos Clientes Selecc 2003"/>
      <sheetName val="Asiento de reclasificación"/>
      <sheetName val="Mov. Provisión Cli."/>
      <sheetName val="Mov. Provisión Relac"/>
      <sheetName val="Adventure"/>
      <sheetName val="Selecc. Clientes Prel"/>
      <sheetName val="Selecc. Clientes Fin"/>
      <sheetName val="Saldos Clientes Selecc"/>
      <sheetName val="Rel. MTI Prel"/>
      <sheetName val="Rel. MTI Final"/>
      <sheetName val="Oblig.Relac. Fin"/>
      <sheetName val="Conci. con registros (Final)"/>
      <sheetName val="Cobros post."/>
      <sheetName val="MMA final"/>
      <sheetName val="Facturas negativas"/>
      <sheetName val="Clientes MTI prel"/>
      <sheetName val="Conciliación con registros prel"/>
      <sheetName val="Conciliación con registros"/>
      <sheetName val="Cuentas con relacionadas Final"/>
      <sheetName val="Provision"/>
      <sheetName val="Detalle CxC"/>
      <sheetName val="Cob. Post"/>
      <sheetName val="Det. Dic."/>
      <sheetName val="Det. Agos."/>
      <sheetName val="Abonados"/>
      <sheetName val="Rotación Abonados"/>
      <sheetName val=" Corresponsales"/>
      <sheetName val="Otras"/>
      <sheetName val="Selección Clientes"/>
      <sheetName val="Tráf.Entrante"/>
      <sheetName val="Tráf.Saliente"/>
      <sheetName val="Saldos"/>
      <sheetName val="Res.Ctas.T.Ent."/>
      <sheetName val="Res.Ctas.T.Sal."/>
      <sheetName val="Mov. Incob"/>
      <sheetName val="TiposCambio"/>
      <sheetName val="MMA Clientes"/>
      <sheetName val="Fac. Ptes. (Oct-03)"/>
      <sheetName val="Fact. Ptes. Inds, (Oct-03)"/>
      <sheetName val="Fact. Pendientes (sep 03)"/>
      <sheetName val="Fac. Ptes. Inds, (sep03)"/>
      <sheetName val="Detalle Incobrab 2002"/>
      <sheetName val="Castigo CXC (PPC) 2001"/>
      <sheetName val="Garantías"/>
      <sheetName val="Nota de Crédito"/>
      <sheetName val="Calc. Límites"/>
      <sheetName val="modRollFWD"/>
      <sheetName val="Detalle CXC 2002"/>
      <sheetName val="Fact. Ptes. (Final)"/>
      <sheetName val="Fact. Ptes. (Oct-02)"/>
      <sheetName val="Facturas Ptes. (Sep02)"/>
      <sheetName val="Detalle Incobrab"/>
      <sheetName val="Selecc. Clientes"/>
      <sheetName val="Antiguedad y Cobros"/>
      <sheetName val="Pagos Adventure"/>
      <sheetName val="Rel. MTI Final (PPC)"/>
      <sheetName val="Metrocorp"/>
      <sheetName val="Dep- flotantes"/>
      <sheetName val="Dep- previos"/>
      <sheetName val="Analisis Dep previos"/>
      <sheetName val="Antig Cartera"/>
      <sheetName val="Prov.Incobr."/>
      <sheetName val="Andinadatos"/>
      <sheetName val="Factura Andinada"/>
      <sheetName val="Antig, Cartera Andinada"/>
      <sheetName val="Hoja 1"/>
      <sheetName val="Base de Cartera Diciembre"/>
      <sheetName val="GLS"/>
      <sheetName val="CxC Clientes Preliminar "/>
      <sheetName val="CxC Clientes (Final)"/>
      <sheetName val="CXC Clientes"/>
      <sheetName val="Límite"/>
      <sheetName val="CXC"/>
      <sheetName val="CxC Relacionadas"/>
      <sheetName val="Análisis de validación cxc"/>
      <sheetName val="Resumen de Antigüedad"/>
      <sheetName val="Movimiento"/>
      <sheetName val="Base de cartera preliminar"/>
      <sheetName val="Análisis Relacionadas"/>
      <sheetName val="Mov Prov PxC Final"/>
      <sheetName val="Mov Prov PDoc Final"/>
      <sheetName val="Resumen Final"/>
      <sheetName val="317 DIC"/>
      <sheetName val="317-A DIC"/>
      <sheetName val="Refinanciamiento"/>
      <sheetName val="Mov Prov PxC"/>
      <sheetName val="Mov Prov PDoc"/>
      <sheetName val="Resumen Prel."/>
      <sheetName val="317 SEP"/>
      <sheetName val="317-A SEP"/>
      <sheetName val="Contragarantías"/>
      <sheetName val="317 Final"/>
      <sheetName val="317A Final"/>
      <sheetName val="317 A Sep"/>
      <sheetName val="Provisiones"/>
      <sheetName val="F. 317"/>
      <sheetName val="F. 317A"/>
      <sheetName val="Resumen Dic 13"/>
      <sheetName val="Form. 317"/>
      <sheetName val="Form. 317A."/>
      <sheetName val="Cobros Posteriores 2013"/>
      <sheetName val="Analisis Primas por Cobr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sheetData sheetId="147"/>
      <sheetData sheetId="148"/>
      <sheetData sheetId="149"/>
      <sheetData sheetId="150"/>
      <sheetData sheetId="151" refreshError="1"/>
      <sheetData sheetId="152" refreshError="1"/>
      <sheetData sheetId="153"/>
      <sheetData sheetId="154"/>
      <sheetData sheetId="155" refreshError="1"/>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sheetData sheetId="270"/>
      <sheetData sheetId="271"/>
      <sheetData sheetId="272"/>
      <sheetData sheetId="273" refreshError="1"/>
      <sheetData sheetId="274" refreshError="1"/>
      <sheetData sheetId="275" refreshError="1"/>
      <sheetData sheetId="276"/>
      <sheetData sheetId="277" refreshError="1"/>
      <sheetData sheetId="278" refreshError="1"/>
      <sheetData sheetId="279" refreshError="1"/>
      <sheetData sheetId="280"/>
      <sheetData sheetId="281"/>
      <sheetData sheetId="282" refreshError="1"/>
      <sheetData sheetId="283"/>
      <sheetData sheetId="284"/>
      <sheetData sheetId="285" refreshError="1"/>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s EEFF"/>
      <sheetName val="Riesgos"/>
      <sheetName val="Detalle"/>
      <sheetName val="Cruce Otros Activos"/>
      <sheetName val="Prov. Serv. NQIA"/>
      <sheetName val="XREF"/>
      <sheetName val="Tickmarks"/>
      <sheetName val="#REF"/>
    </sheetNames>
    <sheetDataSet>
      <sheetData sheetId="0"/>
      <sheetData sheetId="1" refreshError="1"/>
      <sheetData sheetId="2"/>
      <sheetData sheetId="3" refreshError="1"/>
      <sheetData sheetId="4" refreshError="1"/>
      <sheetData sheetId="5"/>
      <sheetData sheetId="6"/>
      <sheetData sheetId="7"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REF"/>
    </sheetNames>
    <sheetDataSet>
      <sheetData sheetId="0">
        <row r="1">
          <cell r="A1" t="str">
            <v>Detalle de Gastos de Operación</v>
          </cell>
        </row>
        <row r="136">
          <cell r="E136" t="e">
            <v>#N/A</v>
          </cell>
        </row>
        <row r="144">
          <cell r="E144">
            <v>26217</v>
          </cell>
        </row>
      </sheetData>
      <sheetData sheetId="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76EB8-BA74-4517-81D6-F358A6990C87}">
  <dimension ref="A2:AL110"/>
  <sheetViews>
    <sheetView showGridLines="0" tabSelected="1" zoomScale="80" zoomScaleNormal="80" workbookViewId="0"/>
  </sheetViews>
  <sheetFormatPr baseColWidth="10" defaultRowHeight="12.5"/>
  <cols>
    <col min="1" max="1" width="4.36328125" style="1" customWidth="1"/>
    <col min="2" max="2" width="36.54296875" style="1" customWidth="1"/>
    <col min="3" max="3" width="27.08984375" style="1" customWidth="1"/>
    <col min="4" max="4" width="39.453125" style="1" customWidth="1"/>
    <col min="5" max="7" width="16.1796875" style="1" customWidth="1"/>
    <col min="8" max="8" width="4.81640625" style="1" customWidth="1"/>
    <col min="9" max="9" width="16.1796875" style="1" customWidth="1"/>
    <col min="10" max="10" width="20" style="1" bestFit="1" customWidth="1"/>
    <col min="11" max="18" width="16.1796875" style="1" customWidth="1"/>
    <col min="19" max="19" width="24" style="1" customWidth="1"/>
    <col min="20" max="25" width="17.81640625" style="1" customWidth="1"/>
    <col min="26" max="28" width="21.08984375" style="1" customWidth="1"/>
    <col min="29" max="29" width="14.54296875" style="1" customWidth="1"/>
    <col min="30" max="30" width="5.54296875" style="1" customWidth="1"/>
    <col min="31" max="34" width="17.81640625" style="1" customWidth="1"/>
    <col min="35" max="35" width="16.1796875" style="1" customWidth="1"/>
    <col min="36" max="36" width="21.1796875" style="1" customWidth="1"/>
    <col min="37" max="45" width="17.81640625" style="1" customWidth="1"/>
    <col min="46" max="268" width="10.90625" style="1"/>
    <col min="269" max="269" width="3.81640625" style="1" customWidth="1"/>
    <col min="270" max="270" width="14.1796875" style="1" customWidth="1"/>
    <col min="271" max="271" width="35.1796875" style="1" customWidth="1"/>
    <col min="272" max="274" width="11.81640625" style="1" customWidth="1"/>
    <col min="275" max="275" width="11.54296875" style="1" bestFit="1" customWidth="1"/>
    <col min="276" max="524" width="10.90625" style="1"/>
    <col min="525" max="525" width="3.81640625" style="1" customWidth="1"/>
    <col min="526" max="526" width="14.1796875" style="1" customWidth="1"/>
    <col min="527" max="527" width="35.1796875" style="1" customWidth="1"/>
    <col min="528" max="530" width="11.81640625" style="1" customWidth="1"/>
    <col min="531" max="531" width="11.54296875" style="1" bestFit="1" customWidth="1"/>
    <col min="532" max="780" width="10.90625" style="1"/>
    <col min="781" max="781" width="3.81640625" style="1" customWidth="1"/>
    <col min="782" max="782" width="14.1796875" style="1" customWidth="1"/>
    <col min="783" max="783" width="35.1796875" style="1" customWidth="1"/>
    <col min="784" max="786" width="11.81640625" style="1" customWidth="1"/>
    <col min="787" max="787" width="11.54296875" style="1" bestFit="1" customWidth="1"/>
    <col min="788" max="1036" width="10.90625" style="1"/>
    <col min="1037" max="1037" width="3.81640625" style="1" customWidth="1"/>
    <col min="1038" max="1038" width="14.1796875" style="1" customWidth="1"/>
    <col min="1039" max="1039" width="35.1796875" style="1" customWidth="1"/>
    <col min="1040" max="1042" width="11.81640625" style="1" customWidth="1"/>
    <col min="1043" max="1043" width="11.54296875" style="1" bestFit="1" customWidth="1"/>
    <col min="1044" max="1292" width="10.90625" style="1"/>
    <col min="1293" max="1293" width="3.81640625" style="1" customWidth="1"/>
    <col min="1294" max="1294" width="14.1796875" style="1" customWidth="1"/>
    <col min="1295" max="1295" width="35.1796875" style="1" customWidth="1"/>
    <col min="1296" max="1298" width="11.81640625" style="1" customWidth="1"/>
    <col min="1299" max="1299" width="11.54296875" style="1" bestFit="1" customWidth="1"/>
    <col min="1300" max="1548" width="10.90625" style="1"/>
    <col min="1549" max="1549" width="3.81640625" style="1" customWidth="1"/>
    <col min="1550" max="1550" width="14.1796875" style="1" customWidth="1"/>
    <col min="1551" max="1551" width="35.1796875" style="1" customWidth="1"/>
    <col min="1552" max="1554" width="11.81640625" style="1" customWidth="1"/>
    <col min="1555" max="1555" width="11.54296875" style="1" bestFit="1" customWidth="1"/>
    <col min="1556" max="1804" width="10.90625" style="1"/>
    <col min="1805" max="1805" width="3.81640625" style="1" customWidth="1"/>
    <col min="1806" max="1806" width="14.1796875" style="1" customWidth="1"/>
    <col min="1807" max="1807" width="35.1796875" style="1" customWidth="1"/>
    <col min="1808" max="1810" width="11.81640625" style="1" customWidth="1"/>
    <col min="1811" max="1811" width="11.54296875" style="1" bestFit="1" customWidth="1"/>
    <col min="1812" max="2060" width="10.90625" style="1"/>
    <col min="2061" max="2061" width="3.81640625" style="1" customWidth="1"/>
    <col min="2062" max="2062" width="14.1796875" style="1" customWidth="1"/>
    <col min="2063" max="2063" width="35.1796875" style="1" customWidth="1"/>
    <col min="2064" max="2066" width="11.81640625" style="1" customWidth="1"/>
    <col min="2067" max="2067" width="11.54296875" style="1" bestFit="1" customWidth="1"/>
    <col min="2068" max="2316" width="10.90625" style="1"/>
    <col min="2317" max="2317" width="3.81640625" style="1" customWidth="1"/>
    <col min="2318" max="2318" width="14.1796875" style="1" customWidth="1"/>
    <col min="2319" max="2319" width="35.1796875" style="1" customWidth="1"/>
    <col min="2320" max="2322" width="11.81640625" style="1" customWidth="1"/>
    <col min="2323" max="2323" width="11.54296875" style="1" bestFit="1" customWidth="1"/>
    <col min="2324" max="2572" width="10.90625" style="1"/>
    <col min="2573" max="2573" width="3.81640625" style="1" customWidth="1"/>
    <col min="2574" max="2574" width="14.1796875" style="1" customWidth="1"/>
    <col min="2575" max="2575" width="35.1796875" style="1" customWidth="1"/>
    <col min="2576" max="2578" width="11.81640625" style="1" customWidth="1"/>
    <col min="2579" max="2579" width="11.54296875" style="1" bestFit="1" customWidth="1"/>
    <col min="2580" max="2828" width="10.90625" style="1"/>
    <col min="2829" max="2829" width="3.81640625" style="1" customWidth="1"/>
    <col min="2830" max="2830" width="14.1796875" style="1" customWidth="1"/>
    <col min="2831" max="2831" width="35.1796875" style="1" customWidth="1"/>
    <col min="2832" max="2834" width="11.81640625" style="1" customWidth="1"/>
    <col min="2835" max="2835" width="11.54296875" style="1" bestFit="1" customWidth="1"/>
    <col min="2836" max="3084" width="10.90625" style="1"/>
    <col min="3085" max="3085" width="3.81640625" style="1" customWidth="1"/>
    <col min="3086" max="3086" width="14.1796875" style="1" customWidth="1"/>
    <col min="3087" max="3087" width="35.1796875" style="1" customWidth="1"/>
    <col min="3088" max="3090" width="11.81640625" style="1" customWidth="1"/>
    <col min="3091" max="3091" width="11.54296875" style="1" bestFit="1" customWidth="1"/>
    <col min="3092" max="3340" width="10.90625" style="1"/>
    <col min="3341" max="3341" width="3.81640625" style="1" customWidth="1"/>
    <col min="3342" max="3342" width="14.1796875" style="1" customWidth="1"/>
    <col min="3343" max="3343" width="35.1796875" style="1" customWidth="1"/>
    <col min="3344" max="3346" width="11.81640625" style="1" customWidth="1"/>
    <col min="3347" max="3347" width="11.54296875" style="1" bestFit="1" customWidth="1"/>
    <col min="3348" max="3596" width="10.90625" style="1"/>
    <col min="3597" max="3597" width="3.81640625" style="1" customWidth="1"/>
    <col min="3598" max="3598" width="14.1796875" style="1" customWidth="1"/>
    <col min="3599" max="3599" width="35.1796875" style="1" customWidth="1"/>
    <col min="3600" max="3602" width="11.81640625" style="1" customWidth="1"/>
    <col min="3603" max="3603" width="11.54296875" style="1" bestFit="1" customWidth="1"/>
    <col min="3604" max="3852" width="10.90625" style="1"/>
    <col min="3853" max="3853" width="3.81640625" style="1" customWidth="1"/>
    <col min="3854" max="3854" width="14.1796875" style="1" customWidth="1"/>
    <col min="3855" max="3855" width="35.1796875" style="1" customWidth="1"/>
    <col min="3856" max="3858" width="11.81640625" style="1" customWidth="1"/>
    <col min="3859" max="3859" width="11.54296875" style="1" bestFit="1" customWidth="1"/>
    <col min="3860" max="4108" width="10.90625" style="1"/>
    <col min="4109" max="4109" width="3.81640625" style="1" customWidth="1"/>
    <col min="4110" max="4110" width="14.1796875" style="1" customWidth="1"/>
    <col min="4111" max="4111" width="35.1796875" style="1" customWidth="1"/>
    <col min="4112" max="4114" width="11.81640625" style="1" customWidth="1"/>
    <col min="4115" max="4115" width="11.54296875" style="1" bestFit="1" customWidth="1"/>
    <col min="4116" max="4364" width="10.90625" style="1"/>
    <col min="4365" max="4365" width="3.81640625" style="1" customWidth="1"/>
    <col min="4366" max="4366" width="14.1796875" style="1" customWidth="1"/>
    <col min="4367" max="4367" width="35.1796875" style="1" customWidth="1"/>
    <col min="4368" max="4370" width="11.81640625" style="1" customWidth="1"/>
    <col min="4371" max="4371" width="11.54296875" style="1" bestFit="1" customWidth="1"/>
    <col min="4372" max="4620" width="10.90625" style="1"/>
    <col min="4621" max="4621" width="3.81640625" style="1" customWidth="1"/>
    <col min="4622" max="4622" width="14.1796875" style="1" customWidth="1"/>
    <col min="4623" max="4623" width="35.1796875" style="1" customWidth="1"/>
    <col min="4624" max="4626" width="11.81640625" style="1" customWidth="1"/>
    <col min="4627" max="4627" width="11.54296875" style="1" bestFit="1" customWidth="1"/>
    <col min="4628" max="4876" width="10.90625" style="1"/>
    <col min="4877" max="4877" width="3.81640625" style="1" customWidth="1"/>
    <col min="4878" max="4878" width="14.1796875" style="1" customWidth="1"/>
    <col min="4879" max="4879" width="35.1796875" style="1" customWidth="1"/>
    <col min="4880" max="4882" width="11.81640625" style="1" customWidth="1"/>
    <col min="4883" max="4883" width="11.54296875" style="1" bestFit="1" customWidth="1"/>
    <col min="4884" max="5132" width="10.90625" style="1"/>
    <col min="5133" max="5133" width="3.81640625" style="1" customWidth="1"/>
    <col min="5134" max="5134" width="14.1796875" style="1" customWidth="1"/>
    <col min="5135" max="5135" width="35.1796875" style="1" customWidth="1"/>
    <col min="5136" max="5138" width="11.81640625" style="1" customWidth="1"/>
    <col min="5139" max="5139" width="11.54296875" style="1" bestFit="1" customWidth="1"/>
    <col min="5140" max="5388" width="10.90625" style="1"/>
    <col min="5389" max="5389" width="3.81640625" style="1" customWidth="1"/>
    <col min="5390" max="5390" width="14.1796875" style="1" customWidth="1"/>
    <col min="5391" max="5391" width="35.1796875" style="1" customWidth="1"/>
    <col min="5392" max="5394" width="11.81640625" style="1" customWidth="1"/>
    <col min="5395" max="5395" width="11.54296875" style="1" bestFit="1" customWidth="1"/>
    <col min="5396" max="5644" width="10.90625" style="1"/>
    <col min="5645" max="5645" width="3.81640625" style="1" customWidth="1"/>
    <col min="5646" max="5646" width="14.1796875" style="1" customWidth="1"/>
    <col min="5647" max="5647" width="35.1796875" style="1" customWidth="1"/>
    <col min="5648" max="5650" width="11.81640625" style="1" customWidth="1"/>
    <col min="5651" max="5651" width="11.54296875" style="1" bestFit="1" customWidth="1"/>
    <col min="5652" max="5900" width="10.90625" style="1"/>
    <col min="5901" max="5901" width="3.81640625" style="1" customWidth="1"/>
    <col min="5902" max="5902" width="14.1796875" style="1" customWidth="1"/>
    <col min="5903" max="5903" width="35.1796875" style="1" customWidth="1"/>
    <col min="5904" max="5906" width="11.81640625" style="1" customWidth="1"/>
    <col min="5907" max="5907" width="11.54296875" style="1" bestFit="1" customWidth="1"/>
    <col min="5908" max="6156" width="10.90625" style="1"/>
    <col min="6157" max="6157" width="3.81640625" style="1" customWidth="1"/>
    <col min="6158" max="6158" width="14.1796875" style="1" customWidth="1"/>
    <col min="6159" max="6159" width="35.1796875" style="1" customWidth="1"/>
    <col min="6160" max="6162" width="11.81640625" style="1" customWidth="1"/>
    <col min="6163" max="6163" width="11.54296875" style="1" bestFit="1" customWidth="1"/>
    <col min="6164" max="6412" width="10.90625" style="1"/>
    <col min="6413" max="6413" width="3.81640625" style="1" customWidth="1"/>
    <col min="6414" max="6414" width="14.1796875" style="1" customWidth="1"/>
    <col min="6415" max="6415" width="35.1796875" style="1" customWidth="1"/>
    <col min="6416" max="6418" width="11.81640625" style="1" customWidth="1"/>
    <col min="6419" max="6419" width="11.54296875" style="1" bestFit="1" customWidth="1"/>
    <col min="6420" max="6668" width="10.90625" style="1"/>
    <col min="6669" max="6669" width="3.81640625" style="1" customWidth="1"/>
    <col min="6670" max="6670" width="14.1796875" style="1" customWidth="1"/>
    <col min="6671" max="6671" width="35.1796875" style="1" customWidth="1"/>
    <col min="6672" max="6674" width="11.81640625" style="1" customWidth="1"/>
    <col min="6675" max="6675" width="11.54296875" style="1" bestFit="1" customWidth="1"/>
    <col min="6676" max="6924" width="10.90625" style="1"/>
    <col min="6925" max="6925" width="3.81640625" style="1" customWidth="1"/>
    <col min="6926" max="6926" width="14.1796875" style="1" customWidth="1"/>
    <col min="6927" max="6927" width="35.1796875" style="1" customWidth="1"/>
    <col min="6928" max="6930" width="11.81640625" style="1" customWidth="1"/>
    <col min="6931" max="6931" width="11.54296875" style="1" bestFit="1" customWidth="1"/>
    <col min="6932" max="7180" width="10.90625" style="1"/>
    <col min="7181" max="7181" width="3.81640625" style="1" customWidth="1"/>
    <col min="7182" max="7182" width="14.1796875" style="1" customWidth="1"/>
    <col min="7183" max="7183" width="35.1796875" style="1" customWidth="1"/>
    <col min="7184" max="7186" width="11.81640625" style="1" customWidth="1"/>
    <col min="7187" max="7187" width="11.54296875" style="1" bestFit="1" customWidth="1"/>
    <col min="7188" max="7436" width="10.90625" style="1"/>
    <col min="7437" max="7437" width="3.81640625" style="1" customWidth="1"/>
    <col min="7438" max="7438" width="14.1796875" style="1" customWidth="1"/>
    <col min="7439" max="7439" width="35.1796875" style="1" customWidth="1"/>
    <col min="7440" max="7442" width="11.81640625" style="1" customWidth="1"/>
    <col min="7443" max="7443" width="11.54296875" style="1" bestFit="1" customWidth="1"/>
    <col min="7444" max="7692" width="10.90625" style="1"/>
    <col min="7693" max="7693" width="3.81640625" style="1" customWidth="1"/>
    <col min="7694" max="7694" width="14.1796875" style="1" customWidth="1"/>
    <col min="7695" max="7695" width="35.1796875" style="1" customWidth="1"/>
    <col min="7696" max="7698" width="11.81640625" style="1" customWidth="1"/>
    <col min="7699" max="7699" width="11.54296875" style="1" bestFit="1" customWidth="1"/>
    <col min="7700" max="7948" width="10.90625" style="1"/>
    <col min="7949" max="7949" width="3.81640625" style="1" customWidth="1"/>
    <col min="7950" max="7950" width="14.1796875" style="1" customWidth="1"/>
    <col min="7951" max="7951" width="35.1796875" style="1" customWidth="1"/>
    <col min="7952" max="7954" width="11.81640625" style="1" customWidth="1"/>
    <col min="7955" max="7955" width="11.54296875" style="1" bestFit="1" customWidth="1"/>
    <col min="7956" max="8204" width="10.90625" style="1"/>
    <col min="8205" max="8205" width="3.81640625" style="1" customWidth="1"/>
    <col min="8206" max="8206" width="14.1796875" style="1" customWidth="1"/>
    <col min="8207" max="8207" width="35.1796875" style="1" customWidth="1"/>
    <col min="8208" max="8210" width="11.81640625" style="1" customWidth="1"/>
    <col min="8211" max="8211" width="11.54296875" style="1" bestFit="1" customWidth="1"/>
    <col min="8212" max="8460" width="10.90625" style="1"/>
    <col min="8461" max="8461" width="3.81640625" style="1" customWidth="1"/>
    <col min="8462" max="8462" width="14.1796875" style="1" customWidth="1"/>
    <col min="8463" max="8463" width="35.1796875" style="1" customWidth="1"/>
    <col min="8464" max="8466" width="11.81640625" style="1" customWidth="1"/>
    <col min="8467" max="8467" width="11.54296875" style="1" bestFit="1" customWidth="1"/>
    <col min="8468" max="8716" width="10.90625" style="1"/>
    <col min="8717" max="8717" width="3.81640625" style="1" customWidth="1"/>
    <col min="8718" max="8718" width="14.1796875" style="1" customWidth="1"/>
    <col min="8719" max="8719" width="35.1796875" style="1" customWidth="1"/>
    <col min="8720" max="8722" width="11.81640625" style="1" customWidth="1"/>
    <col min="8723" max="8723" width="11.54296875" style="1" bestFit="1" customWidth="1"/>
    <col min="8724" max="8972" width="10.90625" style="1"/>
    <col min="8973" max="8973" width="3.81640625" style="1" customWidth="1"/>
    <col min="8974" max="8974" width="14.1796875" style="1" customWidth="1"/>
    <col min="8975" max="8975" width="35.1796875" style="1" customWidth="1"/>
    <col min="8976" max="8978" width="11.81640625" style="1" customWidth="1"/>
    <col min="8979" max="8979" width="11.54296875" style="1" bestFit="1" customWidth="1"/>
    <col min="8980" max="9228" width="10.90625" style="1"/>
    <col min="9229" max="9229" width="3.81640625" style="1" customWidth="1"/>
    <col min="9230" max="9230" width="14.1796875" style="1" customWidth="1"/>
    <col min="9231" max="9231" width="35.1796875" style="1" customWidth="1"/>
    <col min="9232" max="9234" width="11.81640625" style="1" customWidth="1"/>
    <col min="9235" max="9235" width="11.54296875" style="1" bestFit="1" customWidth="1"/>
    <col min="9236" max="9484" width="10.90625" style="1"/>
    <col min="9485" max="9485" width="3.81640625" style="1" customWidth="1"/>
    <col min="9486" max="9486" width="14.1796875" style="1" customWidth="1"/>
    <col min="9487" max="9487" width="35.1796875" style="1" customWidth="1"/>
    <col min="9488" max="9490" width="11.81640625" style="1" customWidth="1"/>
    <col min="9491" max="9491" width="11.54296875" style="1" bestFit="1" customWidth="1"/>
    <col min="9492" max="9740" width="10.90625" style="1"/>
    <col min="9741" max="9741" width="3.81640625" style="1" customWidth="1"/>
    <col min="9742" max="9742" width="14.1796875" style="1" customWidth="1"/>
    <col min="9743" max="9743" width="35.1796875" style="1" customWidth="1"/>
    <col min="9744" max="9746" width="11.81640625" style="1" customWidth="1"/>
    <col min="9747" max="9747" width="11.54296875" style="1" bestFit="1" customWidth="1"/>
    <col min="9748" max="9996" width="10.90625" style="1"/>
    <col min="9997" max="9997" width="3.81640625" style="1" customWidth="1"/>
    <col min="9998" max="9998" width="14.1796875" style="1" customWidth="1"/>
    <col min="9999" max="9999" width="35.1796875" style="1" customWidth="1"/>
    <col min="10000" max="10002" width="11.81640625" style="1" customWidth="1"/>
    <col min="10003" max="10003" width="11.54296875" style="1" bestFit="1" customWidth="1"/>
    <col min="10004" max="10252" width="10.90625" style="1"/>
    <col min="10253" max="10253" width="3.81640625" style="1" customWidth="1"/>
    <col min="10254" max="10254" width="14.1796875" style="1" customWidth="1"/>
    <col min="10255" max="10255" width="35.1796875" style="1" customWidth="1"/>
    <col min="10256" max="10258" width="11.81640625" style="1" customWidth="1"/>
    <col min="10259" max="10259" width="11.54296875" style="1" bestFit="1" customWidth="1"/>
    <col min="10260" max="10508" width="10.90625" style="1"/>
    <col min="10509" max="10509" width="3.81640625" style="1" customWidth="1"/>
    <col min="10510" max="10510" width="14.1796875" style="1" customWidth="1"/>
    <col min="10511" max="10511" width="35.1796875" style="1" customWidth="1"/>
    <col min="10512" max="10514" width="11.81640625" style="1" customWidth="1"/>
    <col min="10515" max="10515" width="11.54296875" style="1" bestFit="1" customWidth="1"/>
    <col min="10516" max="10764" width="10.90625" style="1"/>
    <col min="10765" max="10765" width="3.81640625" style="1" customWidth="1"/>
    <col min="10766" max="10766" width="14.1796875" style="1" customWidth="1"/>
    <col min="10767" max="10767" width="35.1796875" style="1" customWidth="1"/>
    <col min="10768" max="10770" width="11.81640625" style="1" customWidth="1"/>
    <col min="10771" max="10771" width="11.54296875" style="1" bestFit="1" customWidth="1"/>
    <col min="10772" max="11020" width="10.90625" style="1"/>
    <col min="11021" max="11021" width="3.81640625" style="1" customWidth="1"/>
    <col min="11022" max="11022" width="14.1796875" style="1" customWidth="1"/>
    <col min="11023" max="11023" width="35.1796875" style="1" customWidth="1"/>
    <col min="11024" max="11026" width="11.81640625" style="1" customWidth="1"/>
    <col min="11027" max="11027" width="11.54296875" style="1" bestFit="1" customWidth="1"/>
    <col min="11028" max="11276" width="10.90625" style="1"/>
    <col min="11277" max="11277" width="3.81640625" style="1" customWidth="1"/>
    <col min="11278" max="11278" width="14.1796875" style="1" customWidth="1"/>
    <col min="11279" max="11279" width="35.1796875" style="1" customWidth="1"/>
    <col min="11280" max="11282" width="11.81640625" style="1" customWidth="1"/>
    <col min="11283" max="11283" width="11.54296875" style="1" bestFit="1" customWidth="1"/>
    <col min="11284" max="11532" width="10.90625" style="1"/>
    <col min="11533" max="11533" width="3.81640625" style="1" customWidth="1"/>
    <col min="11534" max="11534" width="14.1796875" style="1" customWidth="1"/>
    <col min="11535" max="11535" width="35.1796875" style="1" customWidth="1"/>
    <col min="11536" max="11538" width="11.81640625" style="1" customWidth="1"/>
    <col min="11539" max="11539" width="11.54296875" style="1" bestFit="1" customWidth="1"/>
    <col min="11540" max="11788" width="10.90625" style="1"/>
    <col min="11789" max="11789" width="3.81640625" style="1" customWidth="1"/>
    <col min="11790" max="11790" width="14.1796875" style="1" customWidth="1"/>
    <col min="11791" max="11791" width="35.1796875" style="1" customWidth="1"/>
    <col min="11792" max="11794" width="11.81640625" style="1" customWidth="1"/>
    <col min="11795" max="11795" width="11.54296875" style="1" bestFit="1" customWidth="1"/>
    <col min="11796" max="12044" width="10.90625" style="1"/>
    <col min="12045" max="12045" width="3.81640625" style="1" customWidth="1"/>
    <col min="12046" max="12046" width="14.1796875" style="1" customWidth="1"/>
    <col min="12047" max="12047" width="35.1796875" style="1" customWidth="1"/>
    <col min="12048" max="12050" width="11.81640625" style="1" customWidth="1"/>
    <col min="12051" max="12051" width="11.54296875" style="1" bestFit="1" customWidth="1"/>
    <col min="12052" max="12300" width="10.90625" style="1"/>
    <col min="12301" max="12301" width="3.81640625" style="1" customWidth="1"/>
    <col min="12302" max="12302" width="14.1796875" style="1" customWidth="1"/>
    <col min="12303" max="12303" width="35.1796875" style="1" customWidth="1"/>
    <col min="12304" max="12306" width="11.81640625" style="1" customWidth="1"/>
    <col min="12307" max="12307" width="11.54296875" style="1" bestFit="1" customWidth="1"/>
    <col min="12308" max="12556" width="10.90625" style="1"/>
    <col min="12557" max="12557" width="3.81640625" style="1" customWidth="1"/>
    <col min="12558" max="12558" width="14.1796875" style="1" customWidth="1"/>
    <col min="12559" max="12559" width="35.1796875" style="1" customWidth="1"/>
    <col min="12560" max="12562" width="11.81640625" style="1" customWidth="1"/>
    <col min="12563" max="12563" width="11.54296875" style="1" bestFit="1" customWidth="1"/>
    <col min="12564" max="12812" width="10.90625" style="1"/>
    <col min="12813" max="12813" width="3.81640625" style="1" customWidth="1"/>
    <col min="12814" max="12814" width="14.1796875" style="1" customWidth="1"/>
    <col min="12815" max="12815" width="35.1796875" style="1" customWidth="1"/>
    <col min="12816" max="12818" width="11.81640625" style="1" customWidth="1"/>
    <col min="12819" max="12819" width="11.54296875" style="1" bestFit="1" customWidth="1"/>
    <col min="12820" max="13068" width="10.90625" style="1"/>
    <col min="13069" max="13069" width="3.81640625" style="1" customWidth="1"/>
    <col min="13070" max="13070" width="14.1796875" style="1" customWidth="1"/>
    <col min="13071" max="13071" width="35.1796875" style="1" customWidth="1"/>
    <col min="13072" max="13074" width="11.81640625" style="1" customWidth="1"/>
    <col min="13075" max="13075" width="11.54296875" style="1" bestFit="1" customWidth="1"/>
    <col min="13076" max="13324" width="10.90625" style="1"/>
    <col min="13325" max="13325" width="3.81640625" style="1" customWidth="1"/>
    <col min="13326" max="13326" width="14.1796875" style="1" customWidth="1"/>
    <col min="13327" max="13327" width="35.1796875" style="1" customWidth="1"/>
    <col min="13328" max="13330" width="11.81640625" style="1" customWidth="1"/>
    <col min="13331" max="13331" width="11.54296875" style="1" bestFit="1" customWidth="1"/>
    <col min="13332" max="13580" width="10.90625" style="1"/>
    <col min="13581" max="13581" width="3.81640625" style="1" customWidth="1"/>
    <col min="13582" max="13582" width="14.1796875" style="1" customWidth="1"/>
    <col min="13583" max="13583" width="35.1796875" style="1" customWidth="1"/>
    <col min="13584" max="13586" width="11.81640625" style="1" customWidth="1"/>
    <col min="13587" max="13587" width="11.54296875" style="1" bestFit="1" customWidth="1"/>
    <col min="13588" max="13836" width="10.90625" style="1"/>
    <col min="13837" max="13837" width="3.81640625" style="1" customWidth="1"/>
    <col min="13838" max="13838" width="14.1796875" style="1" customWidth="1"/>
    <col min="13839" max="13839" width="35.1796875" style="1" customWidth="1"/>
    <col min="13840" max="13842" width="11.81640625" style="1" customWidth="1"/>
    <col min="13843" max="13843" width="11.54296875" style="1" bestFit="1" customWidth="1"/>
    <col min="13844" max="14092" width="10.90625" style="1"/>
    <col min="14093" max="14093" width="3.81640625" style="1" customWidth="1"/>
    <col min="14094" max="14094" width="14.1796875" style="1" customWidth="1"/>
    <col min="14095" max="14095" width="35.1796875" style="1" customWidth="1"/>
    <col min="14096" max="14098" width="11.81640625" style="1" customWidth="1"/>
    <col min="14099" max="14099" width="11.54296875" style="1" bestFit="1" customWidth="1"/>
    <col min="14100" max="14348" width="10.90625" style="1"/>
    <col min="14349" max="14349" width="3.81640625" style="1" customWidth="1"/>
    <col min="14350" max="14350" width="14.1796875" style="1" customWidth="1"/>
    <col min="14351" max="14351" width="35.1796875" style="1" customWidth="1"/>
    <col min="14352" max="14354" width="11.81640625" style="1" customWidth="1"/>
    <col min="14355" max="14355" width="11.54296875" style="1" bestFit="1" customWidth="1"/>
    <col min="14356" max="14604" width="10.90625" style="1"/>
    <col min="14605" max="14605" width="3.81640625" style="1" customWidth="1"/>
    <col min="14606" max="14606" width="14.1796875" style="1" customWidth="1"/>
    <col min="14607" max="14607" width="35.1796875" style="1" customWidth="1"/>
    <col min="14608" max="14610" width="11.81640625" style="1" customWidth="1"/>
    <col min="14611" max="14611" width="11.54296875" style="1" bestFit="1" customWidth="1"/>
    <col min="14612" max="14860" width="10.90625" style="1"/>
    <col min="14861" max="14861" width="3.81640625" style="1" customWidth="1"/>
    <col min="14862" max="14862" width="14.1796875" style="1" customWidth="1"/>
    <col min="14863" max="14863" width="35.1796875" style="1" customWidth="1"/>
    <col min="14864" max="14866" width="11.81640625" style="1" customWidth="1"/>
    <col min="14867" max="14867" width="11.54296875" style="1" bestFit="1" customWidth="1"/>
    <col min="14868" max="15116" width="10.90625" style="1"/>
    <col min="15117" max="15117" width="3.81640625" style="1" customWidth="1"/>
    <col min="15118" max="15118" width="14.1796875" style="1" customWidth="1"/>
    <col min="15119" max="15119" width="35.1796875" style="1" customWidth="1"/>
    <col min="15120" max="15122" width="11.81640625" style="1" customWidth="1"/>
    <col min="15123" max="15123" width="11.54296875" style="1" bestFit="1" customWidth="1"/>
    <col min="15124" max="15372" width="10.90625" style="1"/>
    <col min="15373" max="15373" width="3.81640625" style="1" customWidth="1"/>
    <col min="15374" max="15374" width="14.1796875" style="1" customWidth="1"/>
    <col min="15375" max="15375" width="35.1796875" style="1" customWidth="1"/>
    <col min="15376" max="15378" width="11.81640625" style="1" customWidth="1"/>
    <col min="15379" max="15379" width="11.54296875" style="1" bestFit="1" customWidth="1"/>
    <col min="15380" max="15628" width="10.90625" style="1"/>
    <col min="15629" max="15629" width="3.81640625" style="1" customWidth="1"/>
    <col min="15630" max="15630" width="14.1796875" style="1" customWidth="1"/>
    <col min="15631" max="15631" width="35.1796875" style="1" customWidth="1"/>
    <col min="15632" max="15634" width="11.81640625" style="1" customWidth="1"/>
    <col min="15635" max="15635" width="11.54296875" style="1" bestFit="1" customWidth="1"/>
    <col min="15636" max="15884" width="10.90625" style="1"/>
    <col min="15885" max="15885" width="3.81640625" style="1" customWidth="1"/>
    <col min="15886" max="15886" width="14.1796875" style="1" customWidth="1"/>
    <col min="15887" max="15887" width="35.1796875" style="1" customWidth="1"/>
    <col min="15888" max="15890" width="11.81640625" style="1" customWidth="1"/>
    <col min="15891" max="15891" width="11.54296875" style="1" bestFit="1" customWidth="1"/>
    <col min="15892" max="16140" width="10.90625" style="1"/>
    <col min="16141" max="16141" width="3.81640625" style="1" customWidth="1"/>
    <col min="16142" max="16142" width="14.1796875" style="1" customWidth="1"/>
    <col min="16143" max="16143" width="35.1796875" style="1" customWidth="1"/>
    <col min="16144" max="16146" width="11.81640625" style="1" customWidth="1"/>
    <col min="16147" max="16147" width="11.54296875" style="1" bestFit="1" customWidth="1"/>
    <col min="16148" max="16384" width="10.90625" style="1"/>
  </cols>
  <sheetData>
    <row r="2" spans="1:36" s="2" customFormat="1">
      <c r="A2" s="1"/>
      <c r="B2" s="1"/>
      <c r="C2" s="1"/>
      <c r="D2" s="1"/>
      <c r="E2" s="1"/>
      <c r="F2" s="1"/>
      <c r="G2" s="1"/>
      <c r="H2" s="1"/>
      <c r="I2" s="1"/>
      <c r="J2" s="1"/>
      <c r="K2" s="1"/>
      <c r="L2" s="1"/>
      <c r="M2" s="1"/>
      <c r="N2" s="1"/>
      <c r="O2" s="1"/>
      <c r="P2" s="1"/>
      <c r="Q2" s="1"/>
      <c r="R2" s="1"/>
      <c r="S2" s="1"/>
      <c r="T2" s="1"/>
      <c r="U2" s="1"/>
    </row>
    <row r="3" spans="1:36" s="2" customFormat="1">
      <c r="A3" s="1"/>
      <c r="B3" s="1"/>
      <c r="C3" s="1"/>
      <c r="D3" s="1"/>
      <c r="E3" s="1"/>
      <c r="F3" s="1"/>
      <c r="G3" s="1"/>
      <c r="H3" s="1"/>
      <c r="I3" s="1"/>
      <c r="J3" s="1"/>
      <c r="K3" s="1"/>
      <c r="L3" s="1"/>
      <c r="M3" s="1"/>
      <c r="N3" s="1"/>
      <c r="O3" s="1"/>
      <c r="P3" s="1"/>
      <c r="Q3" s="1"/>
      <c r="R3" s="1"/>
      <c r="S3" s="1"/>
      <c r="T3" s="1"/>
      <c r="U3" s="1"/>
    </row>
    <row r="4" spans="1:36" s="2" customFormat="1">
      <c r="A4" s="1"/>
      <c r="B4" s="1"/>
      <c r="C4" s="1"/>
      <c r="D4" s="1"/>
      <c r="E4" s="1"/>
      <c r="F4" s="1"/>
      <c r="G4" s="1"/>
      <c r="H4" s="1"/>
      <c r="I4" s="1"/>
      <c r="J4" s="1"/>
      <c r="K4" s="1"/>
      <c r="L4" s="1"/>
      <c r="M4" s="1"/>
      <c r="N4" s="1"/>
      <c r="O4" s="1"/>
      <c r="P4" s="1"/>
      <c r="Q4" s="1"/>
      <c r="R4" s="1"/>
      <c r="S4" s="1"/>
      <c r="T4" s="1"/>
      <c r="U4" s="1"/>
    </row>
    <row r="5" spans="1:36" s="2" customFormat="1">
      <c r="A5" s="1"/>
      <c r="B5" s="1"/>
      <c r="C5" s="1"/>
      <c r="D5" s="1"/>
      <c r="E5" s="1"/>
      <c r="F5" s="1"/>
      <c r="G5" s="1"/>
      <c r="H5" s="1"/>
      <c r="I5" s="1"/>
      <c r="J5" s="1"/>
      <c r="K5" s="1"/>
      <c r="L5" s="1"/>
      <c r="M5" s="1"/>
      <c r="N5" s="1"/>
      <c r="O5" s="1"/>
      <c r="P5" s="1"/>
      <c r="Q5" s="1"/>
      <c r="R5" s="1"/>
      <c r="S5" s="1"/>
      <c r="T5" s="1"/>
      <c r="U5" s="1"/>
    </row>
    <row r="6" spans="1:36" s="2" customFormat="1">
      <c r="A6" s="3"/>
      <c r="B6" s="4"/>
      <c r="C6" s="5"/>
      <c r="D6" s="5"/>
      <c r="E6" s="5"/>
      <c r="F6" s="5"/>
      <c r="G6" s="5"/>
      <c r="H6" s="5"/>
      <c r="I6" s="5"/>
      <c r="J6" s="5"/>
      <c r="K6" s="5"/>
      <c r="L6" s="5"/>
      <c r="M6" s="5"/>
      <c r="N6" s="5"/>
      <c r="O6" s="1"/>
      <c r="P6" s="1"/>
      <c r="Q6" s="1"/>
      <c r="R6" s="1"/>
      <c r="S6" s="3"/>
      <c r="T6" s="3"/>
      <c r="U6" s="3"/>
      <c r="AH6" s="33" t="s">
        <v>0</v>
      </c>
      <c r="AI6" s="33" t="s">
        <v>1</v>
      </c>
      <c r="AJ6" s="34" t="s">
        <v>24</v>
      </c>
    </row>
    <row r="7" spans="1:36" s="2" customFormat="1">
      <c r="A7" s="3"/>
      <c r="B7" s="26" t="s">
        <v>21</v>
      </c>
      <c r="C7" s="27"/>
      <c r="D7" s="5"/>
      <c r="E7" s="5"/>
      <c r="F7" s="5"/>
      <c r="G7" s="5"/>
      <c r="H7" s="5"/>
      <c r="I7" s="5"/>
      <c r="J7" s="5"/>
      <c r="K7" s="5"/>
      <c r="L7" s="5"/>
      <c r="M7" s="5"/>
      <c r="N7" s="5"/>
      <c r="O7" s="1"/>
      <c r="P7" s="1"/>
      <c r="Q7" s="1"/>
      <c r="R7" s="1"/>
      <c r="AH7" s="103" t="s">
        <v>25</v>
      </c>
      <c r="AI7" s="104" t="s">
        <v>25</v>
      </c>
      <c r="AJ7" s="35" t="s">
        <v>92</v>
      </c>
    </row>
    <row r="8" spans="1:36" s="2" customFormat="1" ht="15" customHeight="1">
      <c r="A8" s="3"/>
      <c r="B8" s="26" t="s">
        <v>23</v>
      </c>
      <c r="C8" s="27"/>
      <c r="D8" s="5"/>
      <c r="E8" s="6"/>
      <c r="F8" s="5"/>
      <c r="G8" s="5"/>
      <c r="H8" s="5"/>
      <c r="I8" s="5"/>
      <c r="J8" s="5"/>
      <c r="K8" s="5"/>
      <c r="L8" s="5"/>
      <c r="M8" s="5"/>
      <c r="N8" s="5"/>
      <c r="O8" s="1"/>
      <c r="P8" s="1"/>
      <c r="Q8" s="1"/>
      <c r="R8" s="1"/>
    </row>
    <row r="9" spans="1:36" s="2" customFormat="1">
      <c r="A9" s="3"/>
      <c r="B9" s="28" t="s">
        <v>22</v>
      </c>
      <c r="C9" s="27"/>
      <c r="D9" s="5"/>
      <c r="E9" s="5"/>
      <c r="F9" s="5"/>
      <c r="G9" s="5"/>
      <c r="H9" s="5"/>
      <c r="I9" s="5"/>
      <c r="J9" s="5"/>
      <c r="K9" s="5"/>
      <c r="L9" s="5"/>
      <c r="M9" s="5"/>
      <c r="N9" s="5"/>
      <c r="O9" s="1"/>
      <c r="P9" s="1"/>
      <c r="Q9" s="1"/>
      <c r="R9" s="1"/>
    </row>
    <row r="10" spans="1:36" s="2" customFormat="1">
      <c r="A10" s="3"/>
      <c r="B10" s="29" t="s">
        <v>40</v>
      </c>
      <c r="C10" s="27"/>
      <c r="D10" s="5"/>
      <c r="E10" s="5"/>
      <c r="F10" s="5"/>
      <c r="G10" s="5"/>
      <c r="H10" s="5"/>
      <c r="I10" s="5"/>
      <c r="J10" s="5"/>
      <c r="K10" s="5"/>
      <c r="L10" s="5"/>
      <c r="M10" s="5"/>
      <c r="N10" s="5"/>
      <c r="Q10" s="8"/>
      <c r="R10" s="9"/>
    </row>
    <row r="11" spans="1:36" s="2" customFormat="1" ht="8" customHeight="1" thickBot="1">
      <c r="A11" s="30"/>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row>
    <row r="12" spans="1:36" s="2" customFormat="1" ht="13" thickTop="1">
      <c r="A12" s="30"/>
      <c r="B12" s="32"/>
      <c r="C12" s="32"/>
      <c r="D12" s="32"/>
      <c r="E12" s="32"/>
      <c r="F12" s="32"/>
      <c r="G12" s="32"/>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row>
    <row r="13" spans="1:36" s="12" customFormat="1">
      <c r="A13" s="10"/>
      <c r="B13" s="36" t="s">
        <v>26</v>
      </c>
    </row>
    <row r="14" spans="1:36" s="12" customFormat="1" ht="7" customHeight="1">
      <c r="A14" s="10"/>
      <c r="B14" s="36"/>
    </row>
    <row r="15" spans="1:36" s="12" customFormat="1">
      <c r="A15" s="10"/>
      <c r="B15" s="12" t="s">
        <v>83</v>
      </c>
    </row>
    <row r="16" spans="1:36" s="12" customFormat="1">
      <c r="A16" s="10"/>
    </row>
    <row r="17" spans="1:38" s="12" customFormat="1">
      <c r="A17" s="10"/>
      <c r="B17" s="36" t="s">
        <v>34</v>
      </c>
    </row>
    <row r="18" spans="1:38" s="12" customFormat="1" ht="8.5" customHeight="1">
      <c r="A18" s="10"/>
    </row>
    <row r="19" spans="1:38" s="12" customFormat="1">
      <c r="A19" s="10"/>
      <c r="B19" s="46"/>
      <c r="C19" s="47" t="s">
        <v>41</v>
      </c>
      <c r="D19" s="47" t="s">
        <v>42</v>
      </c>
    </row>
    <row r="20" spans="1:38" s="12" customFormat="1">
      <c r="A20" s="10"/>
      <c r="B20" s="48" t="s">
        <v>30</v>
      </c>
      <c r="C20" s="49" t="s">
        <v>31</v>
      </c>
      <c r="D20" s="49" t="s">
        <v>31</v>
      </c>
    </row>
    <row r="21" spans="1:38" s="12" customFormat="1">
      <c r="A21" s="10"/>
      <c r="B21" s="48" t="s">
        <v>32</v>
      </c>
      <c r="C21" s="49" t="s">
        <v>31</v>
      </c>
      <c r="D21" s="49" t="s">
        <v>31</v>
      </c>
    </row>
    <row r="22" spans="1:38" s="12" customFormat="1">
      <c r="A22" s="10"/>
      <c r="B22" s="48" t="s">
        <v>33</v>
      </c>
      <c r="C22" s="49" t="s">
        <v>31</v>
      </c>
      <c r="D22" s="49" t="s">
        <v>31</v>
      </c>
    </row>
    <row r="23" spans="1:38" s="12" customFormat="1">
      <c r="A23" s="10"/>
    </row>
    <row r="24" spans="1:38" s="12" customFormat="1">
      <c r="A24" s="10"/>
      <c r="B24" s="10"/>
    </row>
    <row r="25" spans="1:38" s="12" customFormat="1">
      <c r="A25" s="10"/>
      <c r="B25" s="36" t="s">
        <v>43</v>
      </c>
    </row>
    <row r="26" spans="1:38" s="12" customFormat="1" ht="7" customHeight="1">
      <c r="A26" s="10"/>
      <c r="B26" s="36"/>
    </row>
    <row r="27" spans="1:38" s="12" customFormat="1">
      <c r="A27" s="37" t="s">
        <v>2</v>
      </c>
      <c r="B27" s="12" t="s">
        <v>84</v>
      </c>
    </row>
    <row r="28" spans="1:38" s="12" customFormat="1">
      <c r="A28" s="37" t="s">
        <v>4</v>
      </c>
      <c r="B28" s="12" t="s">
        <v>85</v>
      </c>
      <c r="AK28" s="1"/>
      <c r="AL28" s="1"/>
    </row>
    <row r="29" spans="1:38" s="12" customFormat="1">
      <c r="A29" s="38" t="s">
        <v>6</v>
      </c>
      <c r="B29" s="12" t="s">
        <v>44</v>
      </c>
      <c r="AK29" s="1"/>
      <c r="AL29" s="1"/>
    </row>
    <row r="30" spans="1:38" s="12" customFormat="1">
      <c r="A30" s="38" t="s">
        <v>27</v>
      </c>
      <c r="B30" s="105" t="s">
        <v>88</v>
      </c>
      <c r="AK30" s="1"/>
      <c r="AL30" s="1"/>
    </row>
    <row r="31" spans="1:38">
      <c r="A31" s="38" t="s">
        <v>28</v>
      </c>
      <c r="B31" s="50" t="s">
        <v>45</v>
      </c>
    </row>
    <row r="32" spans="1:38">
      <c r="A32" s="38"/>
      <c r="B32" s="50"/>
    </row>
    <row r="33" spans="1:10">
      <c r="A33" s="38"/>
      <c r="B33" s="36" t="s">
        <v>94</v>
      </c>
    </row>
    <row r="34" spans="1:10">
      <c r="A34" s="38"/>
      <c r="B34" s="50"/>
    </row>
    <row r="35" spans="1:10">
      <c r="A35" s="38"/>
      <c r="B35" s="119" t="s">
        <v>95</v>
      </c>
    </row>
    <row r="36" spans="1:10" ht="7" customHeight="1">
      <c r="A36" s="38"/>
      <c r="B36" s="119"/>
    </row>
    <row r="37" spans="1:10">
      <c r="A37" s="38"/>
      <c r="B37" s="119" t="s">
        <v>97</v>
      </c>
    </row>
    <row r="38" spans="1:10">
      <c r="A38" s="38"/>
      <c r="B38" s="119"/>
    </row>
    <row r="39" spans="1:10" ht="125.5" customHeight="1">
      <c r="A39" s="38"/>
      <c r="B39" s="124" t="s">
        <v>96</v>
      </c>
      <c r="C39" s="124"/>
      <c r="D39" s="124"/>
      <c r="E39" s="124"/>
      <c r="G39" s="113"/>
      <c r="H39" s="113"/>
      <c r="I39" s="113"/>
      <c r="J39" s="113"/>
    </row>
    <row r="40" spans="1:10">
      <c r="A40" s="38"/>
      <c r="G40" s="113"/>
      <c r="H40" s="113"/>
      <c r="I40" s="113"/>
      <c r="J40" s="113"/>
    </row>
    <row r="41" spans="1:10">
      <c r="A41" s="38"/>
      <c r="G41" s="113"/>
      <c r="H41" s="113"/>
      <c r="I41" s="113"/>
      <c r="J41" s="113"/>
    </row>
    <row r="42" spans="1:10">
      <c r="A42" s="38"/>
      <c r="B42" s="7" t="s">
        <v>98</v>
      </c>
      <c r="G42" s="113"/>
      <c r="H42" s="113"/>
      <c r="I42" s="113"/>
      <c r="J42" s="113"/>
    </row>
    <row r="43" spans="1:10">
      <c r="A43" s="38"/>
      <c r="B43" s="7"/>
      <c r="G43" s="113"/>
      <c r="H43" s="113"/>
      <c r="I43" s="113"/>
      <c r="J43" s="113"/>
    </row>
    <row r="44" spans="1:10">
      <c r="A44" s="38"/>
      <c r="B44" s="7" t="s">
        <v>99</v>
      </c>
      <c r="G44" s="113"/>
      <c r="H44" s="113"/>
      <c r="I44" s="113"/>
      <c r="J44" s="113"/>
    </row>
    <row r="45" spans="1:10" ht="7.5" customHeight="1">
      <c r="A45" s="38"/>
      <c r="B45" s="7"/>
      <c r="G45" s="113"/>
      <c r="H45" s="113"/>
      <c r="I45" s="113"/>
      <c r="J45" s="113"/>
    </row>
    <row r="46" spans="1:10" ht="109.5" customHeight="1">
      <c r="A46" s="38"/>
      <c r="B46" s="133" t="s">
        <v>103</v>
      </c>
      <c r="C46" s="133"/>
      <c r="D46" s="133"/>
      <c r="E46" s="133"/>
      <c r="G46" s="113"/>
      <c r="H46" s="113"/>
      <c r="I46" s="113"/>
      <c r="J46" s="113"/>
    </row>
    <row r="47" spans="1:10">
      <c r="A47" s="38"/>
      <c r="B47" s="123" t="s">
        <v>100</v>
      </c>
      <c r="C47" s="56" t="s">
        <v>101</v>
      </c>
      <c r="D47" s="56"/>
      <c r="E47" s="56"/>
      <c r="G47" s="113"/>
      <c r="H47" s="113"/>
      <c r="I47" s="113"/>
      <c r="J47" s="113"/>
    </row>
    <row r="48" spans="1:10">
      <c r="A48" s="38"/>
      <c r="B48" s="123" t="s">
        <v>14</v>
      </c>
      <c r="C48" s="56" t="s">
        <v>102</v>
      </c>
      <c r="D48" s="56"/>
      <c r="E48" s="56"/>
      <c r="G48" s="113"/>
      <c r="H48" s="113"/>
      <c r="I48" s="113"/>
      <c r="J48" s="113"/>
    </row>
    <row r="49" spans="1:36">
      <c r="A49" s="38"/>
      <c r="G49" s="113"/>
      <c r="H49" s="113"/>
      <c r="I49" s="113"/>
      <c r="J49" s="113"/>
      <c r="AC49" s="44" t="s">
        <v>106</v>
      </c>
    </row>
    <row r="50" spans="1:36">
      <c r="A50" s="38"/>
    </row>
    <row r="51" spans="1:36">
      <c r="A51" s="38"/>
      <c r="B51" s="36" t="s">
        <v>29</v>
      </c>
    </row>
    <row r="52" spans="1:36">
      <c r="AJ52" s="7"/>
    </row>
    <row r="53" spans="1:36">
      <c r="B53" s="21"/>
      <c r="G53" s="13"/>
      <c r="I53" s="21"/>
      <c r="J53" s="21"/>
    </row>
    <row r="54" spans="1:36" ht="14.5" customHeight="1">
      <c r="B54" s="125" t="s">
        <v>46</v>
      </c>
      <c r="C54" s="125"/>
      <c r="D54" s="125"/>
      <c r="E54" s="125"/>
      <c r="F54" s="125"/>
      <c r="G54" s="125"/>
      <c r="M54" s="130" t="s">
        <v>8</v>
      </c>
      <c r="N54" s="131"/>
      <c r="O54" s="131"/>
      <c r="P54" s="131"/>
      <c r="Q54" s="131"/>
      <c r="R54" s="131"/>
      <c r="S54" s="132"/>
      <c r="T54" s="130" t="s">
        <v>9</v>
      </c>
      <c r="U54" s="132"/>
      <c r="V54" s="130" t="s">
        <v>10</v>
      </c>
      <c r="W54" s="131"/>
      <c r="X54" s="132"/>
      <c r="AB54" s="7" t="s">
        <v>91</v>
      </c>
      <c r="AE54" s="125" t="s">
        <v>52</v>
      </c>
      <c r="AF54" s="125"/>
      <c r="AG54" s="125"/>
      <c r="AH54" s="126" t="s">
        <v>20</v>
      </c>
      <c r="AJ54" s="122" t="s">
        <v>11</v>
      </c>
    </row>
    <row r="55" spans="1:36" s="14" customFormat="1" ht="46.5" customHeight="1">
      <c r="B55" s="80" t="s">
        <v>12</v>
      </c>
      <c r="C55" s="80" t="s">
        <v>93</v>
      </c>
      <c r="D55" s="80" t="s">
        <v>47</v>
      </c>
      <c r="E55" s="80" t="s">
        <v>48</v>
      </c>
      <c r="F55" s="80" t="s">
        <v>49</v>
      </c>
      <c r="G55" s="80" t="s">
        <v>13</v>
      </c>
      <c r="H55" s="1"/>
      <c r="I55" s="80" t="s">
        <v>104</v>
      </c>
      <c r="J55" s="80" t="s">
        <v>53</v>
      </c>
      <c r="K55" s="80" t="s">
        <v>54</v>
      </c>
      <c r="L55" s="80" t="s">
        <v>90</v>
      </c>
      <c r="M55" s="80" t="s">
        <v>14</v>
      </c>
      <c r="N55" s="80" t="s">
        <v>15</v>
      </c>
      <c r="O55" s="80" t="s">
        <v>16</v>
      </c>
      <c r="P55" s="80" t="s">
        <v>55</v>
      </c>
      <c r="Q55" s="80" t="s">
        <v>56</v>
      </c>
      <c r="R55" s="80" t="s">
        <v>57</v>
      </c>
      <c r="S55" s="80" t="s">
        <v>17</v>
      </c>
      <c r="T55" s="80" t="s">
        <v>58</v>
      </c>
      <c r="U55" s="80" t="s">
        <v>59</v>
      </c>
      <c r="V55" s="80" t="s">
        <v>18</v>
      </c>
      <c r="W55" s="80" t="s">
        <v>60</v>
      </c>
      <c r="X55" s="80" t="s">
        <v>61</v>
      </c>
      <c r="Y55" s="80" t="s">
        <v>19</v>
      </c>
      <c r="Z55" s="107" t="s">
        <v>87</v>
      </c>
      <c r="AA55" s="111" t="s">
        <v>107</v>
      </c>
      <c r="AB55" s="110" t="s">
        <v>105</v>
      </c>
      <c r="AC55" s="111" t="s">
        <v>108</v>
      </c>
      <c r="AE55" s="80" t="s">
        <v>50</v>
      </c>
      <c r="AF55" s="80" t="s">
        <v>51</v>
      </c>
      <c r="AG55" s="80" t="s">
        <v>38</v>
      </c>
      <c r="AH55" s="126"/>
      <c r="AJ55" s="111" t="s">
        <v>3</v>
      </c>
    </row>
    <row r="56" spans="1:36" s="15" customFormat="1" ht="18.75" customHeight="1">
      <c r="B56" s="52"/>
      <c r="C56" s="52"/>
      <c r="D56" s="52"/>
      <c r="E56" s="53"/>
      <c r="F56" s="53">
        <v>44801</v>
      </c>
      <c r="G56" s="54"/>
      <c r="I56" s="53">
        <v>44833</v>
      </c>
      <c r="J56" s="60"/>
      <c r="K56" s="53">
        <v>44796</v>
      </c>
      <c r="L56" s="62"/>
      <c r="M56" s="63"/>
      <c r="N56" s="63"/>
      <c r="O56" s="63"/>
      <c r="P56" s="63"/>
      <c r="Q56" s="63"/>
      <c r="R56" s="63"/>
      <c r="S56" s="63"/>
      <c r="T56" s="63"/>
      <c r="U56" s="63"/>
      <c r="V56" s="63"/>
      <c r="W56" s="63"/>
      <c r="X56" s="63"/>
      <c r="Y56" s="63">
        <f>SUM(M56:U56)-SUM(V56:X56)</f>
        <v>0</v>
      </c>
      <c r="Z56" s="63">
        <f>+I56-F56</f>
        <v>32</v>
      </c>
      <c r="AA56" s="120" t="str">
        <f>IF(Z56&gt;=3,"No cumple","Cumple")</f>
        <v>No cumple</v>
      </c>
      <c r="AB56" s="121">
        <f>+I56-AE56</f>
        <v>37</v>
      </c>
      <c r="AC56" s="120" t="str">
        <f>IF(AB56&gt;=15,"No cumple","Cumple")</f>
        <v>No cumple</v>
      </c>
      <c r="AD56" s="17"/>
      <c r="AE56" s="53">
        <v>44796</v>
      </c>
      <c r="AF56" s="68"/>
      <c r="AG56" s="63"/>
      <c r="AH56" s="63">
        <f t="shared" ref="AH56:AH61" si="0">Y56-AG56</f>
        <v>0</v>
      </c>
      <c r="AJ56" s="74"/>
    </row>
    <row r="57" spans="1:36">
      <c r="B57" s="52"/>
      <c r="C57" s="52"/>
      <c r="D57" s="52"/>
      <c r="E57" s="53"/>
      <c r="F57" s="53"/>
      <c r="G57" s="54"/>
      <c r="I57" s="59"/>
      <c r="J57" s="60"/>
      <c r="K57" s="61"/>
      <c r="L57" s="62"/>
      <c r="M57" s="63"/>
      <c r="N57" s="63"/>
      <c r="O57" s="63"/>
      <c r="P57" s="63"/>
      <c r="Q57" s="63"/>
      <c r="R57" s="63"/>
      <c r="S57" s="63"/>
      <c r="T57" s="63"/>
      <c r="U57" s="63"/>
      <c r="V57" s="63"/>
      <c r="W57" s="63"/>
      <c r="X57" s="63"/>
      <c r="Y57" s="63">
        <f t="shared" ref="Y57:Y60" si="1">SUM(M57:U57)-SUM(V57:X57)</f>
        <v>0</v>
      </c>
      <c r="Z57" s="63">
        <f t="shared" ref="Z57:Z61" si="2">+I57-F57</f>
        <v>0</v>
      </c>
      <c r="AA57" s="120" t="str">
        <f t="shared" ref="AA57:AA61" si="3">IF(Z57&gt;=3,"No cumple","Cumple")</f>
        <v>Cumple</v>
      </c>
      <c r="AB57" s="121">
        <f t="shared" ref="AB57:AB61" si="4">+I57-AE57</f>
        <v>0</v>
      </c>
      <c r="AC57" s="120" t="str">
        <f t="shared" ref="AC57:AC61" si="5">IF(AB57&gt;=15,"No cumple","Cumple")</f>
        <v>Cumple</v>
      </c>
      <c r="AD57" s="18"/>
      <c r="AE57" s="69"/>
      <c r="AF57" s="64"/>
      <c r="AG57" s="70"/>
      <c r="AH57" s="70">
        <f t="shared" si="0"/>
        <v>0</v>
      </c>
      <c r="AJ57" s="75"/>
    </row>
    <row r="58" spans="1:36">
      <c r="B58" s="55" t="s">
        <v>35</v>
      </c>
      <c r="C58" s="52"/>
      <c r="D58" s="52"/>
      <c r="E58" s="53"/>
      <c r="F58" s="53"/>
      <c r="G58" s="54"/>
      <c r="H58" s="16"/>
      <c r="I58" s="59"/>
      <c r="J58" s="60"/>
      <c r="K58" s="61"/>
      <c r="L58" s="62"/>
      <c r="M58" s="63"/>
      <c r="N58" s="63"/>
      <c r="O58" s="63"/>
      <c r="P58" s="63"/>
      <c r="Q58" s="63"/>
      <c r="R58" s="63"/>
      <c r="S58" s="63"/>
      <c r="T58" s="63"/>
      <c r="U58" s="63"/>
      <c r="V58" s="63"/>
      <c r="W58" s="63"/>
      <c r="X58" s="63"/>
      <c r="Y58" s="63">
        <f t="shared" si="1"/>
        <v>0</v>
      </c>
      <c r="Z58" s="63">
        <f t="shared" si="2"/>
        <v>0</v>
      </c>
      <c r="AA58" s="120" t="str">
        <f t="shared" si="3"/>
        <v>Cumple</v>
      </c>
      <c r="AB58" s="121">
        <f t="shared" si="4"/>
        <v>0</v>
      </c>
      <c r="AC58" s="120" t="str">
        <f t="shared" si="5"/>
        <v>Cumple</v>
      </c>
      <c r="AD58" s="18"/>
      <c r="AE58" s="69"/>
      <c r="AF58" s="64"/>
      <c r="AG58" s="70"/>
      <c r="AH58" s="70">
        <f t="shared" si="0"/>
        <v>0</v>
      </c>
      <c r="AJ58" s="75"/>
    </row>
    <row r="59" spans="1:36">
      <c r="B59" s="55" t="s">
        <v>36</v>
      </c>
      <c r="C59" s="56"/>
      <c r="D59" s="52"/>
      <c r="E59" s="53"/>
      <c r="F59" s="53"/>
      <c r="G59" s="54"/>
      <c r="H59" s="16"/>
      <c r="I59" s="59"/>
      <c r="J59" s="60"/>
      <c r="K59" s="61"/>
      <c r="L59" s="62"/>
      <c r="M59" s="63"/>
      <c r="N59" s="63"/>
      <c r="O59" s="63"/>
      <c r="P59" s="63"/>
      <c r="Q59" s="63"/>
      <c r="R59" s="63"/>
      <c r="S59" s="63"/>
      <c r="T59" s="63"/>
      <c r="U59" s="63"/>
      <c r="V59" s="63"/>
      <c r="W59" s="63"/>
      <c r="X59" s="63"/>
      <c r="Y59" s="63">
        <f t="shared" si="1"/>
        <v>0</v>
      </c>
      <c r="Z59" s="63">
        <f t="shared" si="2"/>
        <v>0</v>
      </c>
      <c r="AA59" s="120" t="str">
        <f t="shared" si="3"/>
        <v>Cumple</v>
      </c>
      <c r="AB59" s="121">
        <f t="shared" si="4"/>
        <v>0</v>
      </c>
      <c r="AC59" s="120" t="str">
        <f t="shared" si="5"/>
        <v>Cumple</v>
      </c>
      <c r="AD59" s="18"/>
      <c r="AE59" s="69"/>
      <c r="AF59" s="64"/>
      <c r="AG59" s="70"/>
      <c r="AH59" s="70">
        <f t="shared" si="0"/>
        <v>0</v>
      </c>
      <c r="AJ59" s="75"/>
    </row>
    <row r="60" spans="1:36">
      <c r="B60" s="52"/>
      <c r="C60" s="52"/>
      <c r="D60" s="52"/>
      <c r="E60" s="53"/>
      <c r="F60" s="53"/>
      <c r="G60" s="54"/>
      <c r="H60" s="16"/>
      <c r="I60" s="59"/>
      <c r="J60" s="60"/>
      <c r="K60" s="61"/>
      <c r="L60" s="62"/>
      <c r="M60" s="63"/>
      <c r="N60" s="63"/>
      <c r="O60" s="63"/>
      <c r="P60" s="63"/>
      <c r="Q60" s="63"/>
      <c r="R60" s="63"/>
      <c r="S60" s="63"/>
      <c r="T60" s="63"/>
      <c r="U60" s="63"/>
      <c r="V60" s="63"/>
      <c r="W60" s="63"/>
      <c r="X60" s="63"/>
      <c r="Y60" s="63">
        <f t="shared" si="1"/>
        <v>0</v>
      </c>
      <c r="Z60" s="63">
        <f t="shared" si="2"/>
        <v>0</v>
      </c>
      <c r="AA60" s="120" t="str">
        <f t="shared" si="3"/>
        <v>Cumple</v>
      </c>
      <c r="AB60" s="121">
        <f t="shared" si="4"/>
        <v>0</v>
      </c>
      <c r="AC60" s="120" t="str">
        <f t="shared" si="5"/>
        <v>Cumple</v>
      </c>
      <c r="AD60" s="18"/>
      <c r="AE60" s="69"/>
      <c r="AF60" s="64"/>
      <c r="AG60" s="70"/>
      <c r="AH60" s="70">
        <f t="shared" si="0"/>
        <v>0</v>
      </c>
      <c r="AJ60" s="75"/>
    </row>
    <row r="61" spans="1:36">
      <c r="B61" s="52"/>
      <c r="C61" s="52"/>
      <c r="D61" s="52"/>
      <c r="E61" s="53"/>
      <c r="F61" s="53"/>
      <c r="G61" s="57"/>
      <c r="H61" s="19"/>
      <c r="I61" s="65"/>
      <c r="J61" s="66"/>
      <c r="K61" s="65"/>
      <c r="L61" s="62"/>
      <c r="M61" s="67"/>
      <c r="N61" s="67"/>
      <c r="O61" s="67"/>
      <c r="P61" s="67"/>
      <c r="Q61" s="67"/>
      <c r="R61" s="67"/>
      <c r="S61" s="67"/>
      <c r="T61" s="67"/>
      <c r="U61" s="67"/>
      <c r="V61" s="67"/>
      <c r="W61" s="67"/>
      <c r="X61" s="67"/>
      <c r="Y61" s="67">
        <f>SUM(M61:U61)-SUM(V61:X61)</f>
        <v>0</v>
      </c>
      <c r="Z61" s="63">
        <f t="shared" si="2"/>
        <v>0</v>
      </c>
      <c r="AA61" s="120" t="str">
        <f t="shared" si="3"/>
        <v>Cumple</v>
      </c>
      <c r="AB61" s="121">
        <f t="shared" si="4"/>
        <v>0</v>
      </c>
      <c r="AC61" s="120" t="str">
        <f t="shared" si="5"/>
        <v>Cumple</v>
      </c>
      <c r="AD61" s="20"/>
      <c r="AE61" s="71"/>
      <c r="AF61" s="72"/>
      <c r="AG61" s="73"/>
      <c r="AH61" s="73">
        <f t="shared" si="0"/>
        <v>0</v>
      </c>
      <c r="AJ61" s="75"/>
    </row>
    <row r="62" spans="1:36" ht="5.5" customHeight="1">
      <c r="B62" s="39"/>
      <c r="C62" s="39"/>
      <c r="D62" s="39"/>
      <c r="E62" s="40"/>
      <c r="F62" s="39"/>
      <c r="G62" s="39"/>
      <c r="I62" s="39"/>
      <c r="J62" s="41"/>
      <c r="K62" s="39"/>
      <c r="L62" s="39"/>
      <c r="M62" s="18"/>
      <c r="N62" s="18"/>
      <c r="O62" s="18"/>
      <c r="P62" s="18"/>
      <c r="Q62" s="18"/>
      <c r="R62" s="18"/>
      <c r="S62" s="18"/>
      <c r="T62" s="18"/>
      <c r="U62" s="18"/>
      <c r="V62" s="18"/>
      <c r="W62" s="18"/>
      <c r="X62" s="18"/>
      <c r="Y62" s="18"/>
      <c r="Z62" s="42"/>
      <c r="AA62" s="42"/>
      <c r="AB62" s="42"/>
      <c r="AC62" s="42"/>
      <c r="AE62" s="39"/>
      <c r="AF62" s="39"/>
      <c r="AG62" s="39"/>
      <c r="AH62" s="39"/>
      <c r="AJ62" s="39"/>
    </row>
    <row r="63" spans="1:36" ht="13" thickBot="1">
      <c r="B63" s="39"/>
      <c r="C63" s="39"/>
      <c r="D63" s="39"/>
      <c r="E63" s="39"/>
      <c r="F63" s="39"/>
      <c r="G63" s="39"/>
      <c r="I63" s="39"/>
      <c r="J63" s="39"/>
      <c r="K63" s="39"/>
      <c r="L63" s="43"/>
      <c r="M63" s="45">
        <f t="shared" ref="M63:X63" si="6">SUM(M56:M62)</f>
        <v>0</v>
      </c>
      <c r="N63" s="45">
        <f t="shared" si="6"/>
        <v>0</v>
      </c>
      <c r="O63" s="45">
        <f t="shared" si="6"/>
        <v>0</v>
      </c>
      <c r="P63" s="45">
        <f t="shared" si="6"/>
        <v>0</v>
      </c>
      <c r="Q63" s="45">
        <f t="shared" si="6"/>
        <v>0</v>
      </c>
      <c r="R63" s="45">
        <f t="shared" si="6"/>
        <v>0</v>
      </c>
      <c r="S63" s="45">
        <f t="shared" si="6"/>
        <v>0</v>
      </c>
      <c r="T63" s="45">
        <f t="shared" si="6"/>
        <v>0</v>
      </c>
      <c r="U63" s="45">
        <f t="shared" si="6"/>
        <v>0</v>
      </c>
      <c r="V63" s="45">
        <f t="shared" si="6"/>
        <v>0</v>
      </c>
      <c r="W63" s="45">
        <f t="shared" si="6"/>
        <v>0</v>
      </c>
      <c r="X63" s="45">
        <f t="shared" si="6"/>
        <v>0</v>
      </c>
      <c r="Y63" s="45">
        <f>SUM(Y56:Y62)</f>
        <v>0</v>
      </c>
      <c r="Z63" s="42"/>
      <c r="AA63" s="42"/>
      <c r="AB63" s="42"/>
      <c r="AC63" s="42"/>
      <c r="AE63" s="39"/>
      <c r="AF63" s="39"/>
      <c r="AG63" s="39"/>
      <c r="AH63" s="39"/>
      <c r="AJ63" s="39"/>
    </row>
    <row r="64" spans="1:36" ht="13" thickTop="1">
      <c r="B64" s="39"/>
      <c r="C64" s="39"/>
      <c r="D64" s="39"/>
      <c r="E64" s="39"/>
      <c r="F64" s="39"/>
      <c r="G64" s="39"/>
      <c r="I64" s="39"/>
      <c r="J64" s="39"/>
      <c r="K64" s="39"/>
      <c r="L64" s="43"/>
      <c r="M64" s="76"/>
      <c r="N64" s="76"/>
      <c r="O64" s="76"/>
      <c r="P64" s="76"/>
      <c r="Q64" s="76"/>
      <c r="R64" s="76"/>
      <c r="S64" s="76"/>
      <c r="T64" s="76"/>
      <c r="U64" s="76"/>
      <c r="V64" s="76"/>
      <c r="W64" s="76"/>
      <c r="X64" s="76"/>
      <c r="Y64" s="98" t="s">
        <v>66</v>
      </c>
      <c r="Z64" s="42"/>
      <c r="AA64" s="42"/>
      <c r="AB64" s="42"/>
      <c r="AC64" s="42"/>
      <c r="AE64" s="39"/>
      <c r="AF64" s="39"/>
      <c r="AG64" s="39"/>
      <c r="AH64" s="39"/>
      <c r="AJ64" s="39"/>
    </row>
    <row r="65" spans="2:36">
      <c r="B65" s="39"/>
      <c r="C65" s="39"/>
      <c r="D65" s="39"/>
      <c r="E65" s="39"/>
      <c r="F65" s="39"/>
      <c r="G65" s="39"/>
      <c r="I65" s="39"/>
      <c r="J65" s="39"/>
      <c r="K65" s="39"/>
      <c r="L65" s="43"/>
      <c r="M65" s="76"/>
      <c r="N65" s="76"/>
      <c r="O65" s="76"/>
      <c r="P65" s="76"/>
      <c r="Q65" s="76"/>
      <c r="R65" s="76"/>
      <c r="S65" s="76"/>
      <c r="T65" s="76"/>
      <c r="U65" s="76"/>
      <c r="V65" s="76"/>
      <c r="W65" s="76"/>
      <c r="X65" s="76"/>
      <c r="Y65" s="76"/>
      <c r="Z65" s="42"/>
      <c r="AA65" s="42"/>
      <c r="AB65" s="42"/>
      <c r="AC65" s="42"/>
      <c r="AE65" s="39"/>
      <c r="AF65" s="39"/>
      <c r="AG65" s="39"/>
      <c r="AH65" s="39"/>
      <c r="AJ65" s="39"/>
    </row>
    <row r="66" spans="2:36">
      <c r="B66" s="127" t="s">
        <v>62</v>
      </c>
      <c r="C66" s="128"/>
      <c r="D66" s="129"/>
      <c r="F66" s="39"/>
      <c r="G66" s="39"/>
      <c r="I66" s="39"/>
      <c r="J66" s="39"/>
      <c r="K66" s="39"/>
      <c r="L66" s="43"/>
      <c r="M66" s="76"/>
      <c r="N66" s="76"/>
      <c r="O66" s="76"/>
      <c r="P66" s="76"/>
      <c r="Q66" s="76"/>
      <c r="R66" s="76"/>
      <c r="S66" s="76"/>
      <c r="T66" s="76"/>
      <c r="U66" s="76"/>
      <c r="V66" s="76"/>
      <c r="W66" s="76"/>
      <c r="X66" s="76"/>
      <c r="Y66" s="76"/>
      <c r="Z66" s="42"/>
      <c r="AA66" s="42"/>
      <c r="AB66" s="42"/>
      <c r="AC66" s="42"/>
      <c r="AE66" s="39"/>
      <c r="AF66" s="39"/>
      <c r="AG66" s="39"/>
      <c r="AH66" s="39"/>
      <c r="AJ66" s="39"/>
    </row>
    <row r="67" spans="2:36">
      <c r="B67" s="77"/>
      <c r="C67" s="77"/>
      <c r="D67" s="77"/>
      <c r="F67" s="39"/>
      <c r="G67" s="39"/>
      <c r="I67" s="39"/>
      <c r="J67" s="39"/>
      <c r="K67" s="39"/>
      <c r="L67" s="43"/>
      <c r="M67" s="76"/>
      <c r="N67" s="76"/>
      <c r="O67" s="76"/>
      <c r="P67" s="76"/>
      <c r="Q67" s="76"/>
      <c r="R67" s="76"/>
      <c r="S67" s="76"/>
      <c r="T67" s="76"/>
      <c r="U67" s="76"/>
      <c r="V67" s="76"/>
      <c r="W67" s="76"/>
      <c r="X67" s="76"/>
      <c r="Y67" s="76"/>
      <c r="Z67" s="42"/>
      <c r="AA67" s="42"/>
      <c r="AB67" s="42"/>
      <c r="AC67" s="42"/>
      <c r="AE67" s="39"/>
      <c r="AF67" s="39"/>
      <c r="AG67" s="39"/>
      <c r="AH67" s="39"/>
      <c r="AJ67" s="39"/>
    </row>
    <row r="68" spans="2:36">
      <c r="B68" s="78" t="s">
        <v>68</v>
      </c>
      <c r="C68" s="7"/>
      <c r="D68" s="7"/>
      <c r="E68" s="25"/>
      <c r="F68" s="39"/>
      <c r="G68" s="39"/>
      <c r="I68" s="39"/>
      <c r="J68" s="39"/>
      <c r="K68" s="39"/>
      <c r="L68" s="43"/>
      <c r="M68" s="76"/>
      <c r="N68" s="76"/>
      <c r="O68" s="76"/>
      <c r="P68" s="76"/>
      <c r="Q68" s="76"/>
      <c r="R68" s="76"/>
      <c r="S68" s="76"/>
      <c r="T68" s="76"/>
      <c r="U68" s="76"/>
      <c r="V68" s="76"/>
      <c r="W68" s="76"/>
      <c r="X68" s="76"/>
      <c r="Y68" s="76"/>
      <c r="Z68" s="42"/>
      <c r="AA68" s="42"/>
      <c r="AB68" s="42"/>
      <c r="AC68" s="42"/>
      <c r="AE68" s="39"/>
      <c r="AF68" s="39"/>
      <c r="AG68" s="39"/>
      <c r="AH68" s="39"/>
      <c r="AJ68" s="39"/>
    </row>
    <row r="69" spans="2:36">
      <c r="B69" s="79"/>
      <c r="C69" s="7"/>
      <c r="D69" s="7"/>
      <c r="E69" s="25"/>
      <c r="F69" s="39"/>
      <c r="G69" s="39"/>
      <c r="I69" s="39"/>
      <c r="J69" s="39"/>
      <c r="K69" s="39"/>
      <c r="L69" s="43"/>
      <c r="M69" s="76"/>
      <c r="N69" s="76"/>
      <c r="O69" s="76"/>
      <c r="P69" s="76"/>
      <c r="Q69" s="76"/>
      <c r="R69" s="76"/>
      <c r="S69" s="76"/>
      <c r="T69" s="76"/>
      <c r="U69" s="76"/>
      <c r="V69" s="76"/>
      <c r="W69" s="76"/>
      <c r="X69" s="76"/>
      <c r="Y69" s="76"/>
      <c r="Z69" s="42"/>
      <c r="AA69" s="42"/>
      <c r="AB69" s="42"/>
      <c r="AC69" s="42"/>
      <c r="AE69" s="39"/>
      <c r="AF69" s="39"/>
      <c r="AG69" s="39"/>
      <c r="AH69" s="39"/>
      <c r="AJ69" s="39"/>
    </row>
    <row r="70" spans="2:36">
      <c r="B70" s="80" t="s">
        <v>63</v>
      </c>
      <c r="C70" s="80" t="s">
        <v>64</v>
      </c>
      <c r="D70" s="81" t="s">
        <v>65</v>
      </c>
      <c r="F70" s="39"/>
      <c r="G70" s="39"/>
      <c r="I70" s="39"/>
      <c r="J70" s="39"/>
      <c r="K70" s="39"/>
      <c r="L70" s="43"/>
      <c r="M70" s="76"/>
      <c r="N70" s="76"/>
      <c r="O70" s="76"/>
      <c r="P70" s="76"/>
      <c r="Q70" s="76"/>
      <c r="R70" s="76"/>
      <c r="S70" s="76"/>
      <c r="T70" s="76"/>
      <c r="U70" s="76"/>
      <c r="V70" s="76"/>
      <c r="W70" s="76"/>
      <c r="X70" s="76"/>
      <c r="Y70" s="76"/>
      <c r="Z70" s="42"/>
      <c r="AA70" s="42"/>
      <c r="AB70" s="42"/>
      <c r="AC70" s="42"/>
      <c r="AE70" s="39"/>
      <c r="AF70" s="39"/>
      <c r="AG70" s="39"/>
      <c r="AH70" s="39"/>
      <c r="AJ70" s="39"/>
    </row>
    <row r="71" spans="2:36">
      <c r="B71" s="82"/>
      <c r="C71" s="83"/>
      <c r="D71" s="84"/>
      <c r="F71" s="39"/>
      <c r="G71" s="39"/>
      <c r="I71" s="39"/>
      <c r="J71" s="39"/>
      <c r="K71" s="39"/>
      <c r="L71" s="43"/>
      <c r="M71" s="76"/>
      <c r="N71" s="76"/>
      <c r="O71" s="76"/>
      <c r="P71" s="76"/>
      <c r="Q71" s="76"/>
      <c r="R71" s="76"/>
      <c r="S71" s="76"/>
      <c r="T71" s="76"/>
      <c r="U71" s="76"/>
      <c r="V71" s="76"/>
      <c r="W71" s="76"/>
      <c r="X71" s="76"/>
      <c r="Y71" s="76"/>
      <c r="Z71" s="42"/>
      <c r="AA71" s="42"/>
      <c r="AB71" s="42"/>
      <c r="AC71" s="42"/>
      <c r="AE71" s="39"/>
      <c r="AF71" s="39"/>
      <c r="AG71" s="39"/>
      <c r="AH71" s="39"/>
      <c r="AJ71" s="39"/>
    </row>
    <row r="72" spans="2:36">
      <c r="B72" s="82"/>
      <c r="C72" s="83"/>
      <c r="D72" s="84"/>
      <c r="F72" s="39"/>
      <c r="G72" s="39"/>
      <c r="I72" s="39"/>
      <c r="J72" s="39"/>
      <c r="K72" s="39"/>
      <c r="L72" s="43"/>
      <c r="M72" s="76"/>
      <c r="N72" s="76"/>
      <c r="O72" s="76"/>
      <c r="P72" s="76"/>
      <c r="Q72" s="76"/>
      <c r="R72" s="76"/>
      <c r="S72" s="76"/>
      <c r="T72" s="76"/>
      <c r="U72" s="76"/>
      <c r="V72" s="76"/>
      <c r="W72" s="76"/>
      <c r="X72" s="76"/>
      <c r="Y72" s="76"/>
      <c r="Z72" s="42"/>
      <c r="AA72" s="42"/>
      <c r="AB72" s="42"/>
      <c r="AC72" s="42"/>
      <c r="AE72" s="39"/>
      <c r="AF72" s="39"/>
      <c r="AG72" s="39"/>
      <c r="AH72" s="39"/>
      <c r="AJ72" s="39"/>
    </row>
    <row r="73" spans="2:36">
      <c r="B73" s="82"/>
      <c r="C73" s="83"/>
      <c r="D73" s="84"/>
      <c r="F73" s="39"/>
      <c r="G73" s="39"/>
      <c r="I73" s="39"/>
      <c r="J73" s="39"/>
      <c r="K73" s="39"/>
      <c r="L73" s="43"/>
      <c r="M73" s="76"/>
      <c r="N73" s="76"/>
      <c r="O73" s="76"/>
      <c r="P73" s="76"/>
      <c r="Q73" s="76"/>
      <c r="R73" s="76"/>
      <c r="S73" s="76"/>
      <c r="T73" s="76"/>
      <c r="U73" s="76"/>
      <c r="V73" s="76"/>
      <c r="W73" s="76"/>
      <c r="X73" s="76"/>
      <c r="Y73" s="76"/>
      <c r="Z73" s="42"/>
      <c r="AA73" s="42"/>
      <c r="AB73" s="42"/>
      <c r="AC73" s="42"/>
      <c r="AE73" s="39"/>
      <c r="AF73" s="39"/>
      <c r="AG73" s="39"/>
      <c r="AH73" s="39"/>
      <c r="AJ73" s="39"/>
    </row>
    <row r="74" spans="2:36">
      <c r="B74" s="82"/>
      <c r="C74" s="83"/>
      <c r="D74" s="84"/>
      <c r="F74" s="39"/>
      <c r="G74" s="39"/>
      <c r="I74" s="39"/>
      <c r="J74" s="39"/>
      <c r="K74" s="39"/>
      <c r="L74" s="43"/>
      <c r="M74" s="76"/>
      <c r="N74" s="76"/>
      <c r="O74" s="76"/>
      <c r="P74" s="76"/>
      <c r="Q74" s="76"/>
      <c r="R74" s="76"/>
      <c r="S74" s="76"/>
      <c r="T74" s="76"/>
      <c r="U74" s="76"/>
      <c r="V74" s="76"/>
      <c r="W74" s="76"/>
      <c r="X74" s="76"/>
      <c r="Y74" s="76"/>
      <c r="Z74" s="42"/>
      <c r="AA74" s="42"/>
      <c r="AB74" s="42"/>
      <c r="AC74" s="42"/>
      <c r="AE74" s="39"/>
      <c r="AF74" s="39"/>
      <c r="AG74" s="39"/>
      <c r="AH74" s="39"/>
      <c r="AJ74" s="39"/>
    </row>
    <row r="75" spans="2:36">
      <c r="B75" s="82"/>
      <c r="C75" s="83"/>
      <c r="D75" s="84"/>
      <c r="F75" s="39"/>
      <c r="G75" s="39"/>
      <c r="I75" s="39"/>
      <c r="J75" s="39"/>
      <c r="K75" s="39"/>
      <c r="L75" s="43"/>
      <c r="M75" s="76"/>
      <c r="N75" s="76"/>
      <c r="O75" s="76"/>
      <c r="P75" s="76"/>
      <c r="Q75" s="76"/>
      <c r="R75" s="76"/>
      <c r="S75" s="76"/>
      <c r="T75" s="76"/>
      <c r="U75" s="76"/>
      <c r="V75" s="76"/>
      <c r="W75" s="76"/>
      <c r="X75" s="76"/>
      <c r="Y75" s="76"/>
      <c r="Z75" s="42"/>
      <c r="AA75" s="42"/>
      <c r="AB75" s="42"/>
      <c r="AC75" s="42"/>
      <c r="AE75" s="39"/>
      <c r="AF75" s="39"/>
      <c r="AG75" s="39"/>
      <c r="AH75" s="39"/>
      <c r="AJ75" s="39"/>
    </row>
    <row r="76" spans="2:36" ht="7" customHeight="1">
      <c r="B76" s="85"/>
      <c r="C76" s="86"/>
      <c r="D76" s="87"/>
      <c r="E76" s="88"/>
      <c r="F76" s="39"/>
      <c r="G76" s="39"/>
      <c r="I76" s="39"/>
      <c r="J76" s="39"/>
      <c r="K76" s="39"/>
      <c r="L76" s="43"/>
      <c r="M76" s="76"/>
      <c r="N76" s="76"/>
      <c r="O76" s="76"/>
      <c r="P76" s="76"/>
      <c r="Q76" s="76"/>
      <c r="R76" s="76"/>
      <c r="S76" s="76"/>
      <c r="T76" s="76"/>
      <c r="U76" s="76"/>
      <c r="V76" s="76"/>
      <c r="W76" s="76"/>
      <c r="X76" s="76"/>
      <c r="Y76" s="76"/>
      <c r="Z76" s="42"/>
      <c r="AA76" s="42"/>
      <c r="AB76" s="42"/>
      <c r="AC76" s="42"/>
      <c r="AE76" s="39"/>
      <c r="AF76" s="39"/>
      <c r="AG76" s="39"/>
      <c r="AH76" s="39"/>
      <c r="AJ76" s="39"/>
    </row>
    <row r="77" spans="2:36" ht="13" thickBot="1">
      <c r="B77" s="85"/>
      <c r="C77" s="86"/>
      <c r="D77" s="89">
        <f>+SUM(D71:D75)</f>
        <v>0</v>
      </c>
      <c r="E77" s="106" t="s">
        <v>89</v>
      </c>
      <c r="F77" s="39"/>
      <c r="G77" s="39"/>
      <c r="I77" s="39"/>
      <c r="J77" s="39"/>
      <c r="K77" s="39"/>
      <c r="L77" s="43"/>
      <c r="M77" s="76"/>
      <c r="N77" s="76"/>
      <c r="O77" s="76"/>
      <c r="P77" s="76"/>
      <c r="Q77" s="76"/>
      <c r="R77" s="76"/>
      <c r="S77" s="76"/>
      <c r="T77" s="76"/>
      <c r="U77" s="76"/>
      <c r="V77" s="76"/>
      <c r="W77" s="76"/>
      <c r="X77" s="76"/>
      <c r="Y77" s="76"/>
      <c r="Z77" s="42"/>
      <c r="AA77" s="42"/>
      <c r="AB77" s="42"/>
      <c r="AC77" s="42"/>
      <c r="AE77" s="39"/>
      <c r="AF77" s="39"/>
      <c r="AG77" s="39"/>
      <c r="AH77" s="39"/>
      <c r="AJ77" s="39"/>
    </row>
    <row r="78" spans="2:36" ht="13" thickTop="1">
      <c r="B78" s="90"/>
      <c r="C78" s="91"/>
      <c r="D78" s="92"/>
      <c r="E78" s="93"/>
      <c r="F78" s="39"/>
      <c r="G78" s="39"/>
      <c r="I78" s="39"/>
      <c r="J78" s="39"/>
      <c r="K78" s="39"/>
      <c r="L78" s="43"/>
      <c r="M78" s="76"/>
      <c r="N78" s="76"/>
      <c r="O78" s="76"/>
      <c r="P78" s="76"/>
      <c r="Q78" s="76"/>
      <c r="R78" s="76"/>
      <c r="S78" s="76"/>
      <c r="T78" s="76"/>
      <c r="U78" s="76"/>
      <c r="V78" s="76"/>
      <c r="W78" s="76"/>
      <c r="X78" s="76"/>
      <c r="Y78" s="76"/>
      <c r="Z78" s="42"/>
      <c r="AA78" s="42"/>
      <c r="AB78" s="42"/>
      <c r="AC78" s="42"/>
      <c r="AE78" s="39"/>
      <c r="AF78" s="39"/>
      <c r="AG78" s="39"/>
      <c r="AH78" s="39"/>
      <c r="AJ78" s="39"/>
    </row>
    <row r="79" spans="2:36">
      <c r="B79" s="90"/>
      <c r="C79" s="94" t="s">
        <v>69</v>
      </c>
      <c r="D79" s="95">
        <f>+Y63</f>
        <v>0</v>
      </c>
      <c r="E79" s="96" t="s">
        <v>66</v>
      </c>
      <c r="F79" s="39"/>
      <c r="G79" s="39"/>
      <c r="I79" s="39"/>
      <c r="J79" s="39"/>
      <c r="K79" s="39"/>
      <c r="L79" s="43"/>
      <c r="M79" s="76"/>
      <c r="N79" s="76"/>
      <c r="O79" s="76"/>
      <c r="P79" s="76"/>
      <c r="Q79" s="76"/>
      <c r="R79" s="76"/>
      <c r="S79" s="76"/>
      <c r="T79" s="76"/>
      <c r="U79" s="76"/>
      <c r="V79" s="76"/>
      <c r="W79" s="76"/>
      <c r="X79" s="76"/>
      <c r="Y79" s="76"/>
      <c r="Z79" s="42"/>
      <c r="AA79" s="42"/>
      <c r="AB79" s="42"/>
      <c r="AC79" s="42"/>
      <c r="AE79" s="39"/>
      <c r="AF79" s="39"/>
      <c r="AG79" s="39"/>
      <c r="AH79" s="39"/>
      <c r="AJ79" s="39"/>
    </row>
    <row r="80" spans="2:36" ht="13" thickBot="1">
      <c r="B80" s="90"/>
      <c r="C80" s="112" t="s">
        <v>67</v>
      </c>
      <c r="D80" s="97">
        <f>+D77-D79</f>
        <v>0</v>
      </c>
      <c r="E80" s="88"/>
      <c r="F80" s="39"/>
      <c r="G80" s="39"/>
      <c r="I80" s="39"/>
      <c r="J80" s="39"/>
      <c r="K80" s="39"/>
      <c r="L80" s="43"/>
      <c r="M80" s="76"/>
      <c r="N80" s="76"/>
      <c r="O80" s="76"/>
      <c r="P80" s="76"/>
      <c r="Q80" s="76"/>
      <c r="R80" s="76"/>
      <c r="S80" s="76"/>
      <c r="T80" s="76"/>
      <c r="U80" s="76"/>
      <c r="V80" s="76"/>
      <c r="W80" s="76"/>
      <c r="X80" s="76"/>
      <c r="Y80" s="76"/>
      <c r="Z80" s="42"/>
      <c r="AA80" s="42"/>
      <c r="AB80" s="42"/>
      <c r="AC80" s="42"/>
      <c r="AE80" s="39"/>
      <c r="AF80" s="39"/>
      <c r="AG80" s="39"/>
      <c r="AH80" s="39"/>
      <c r="AJ80" s="39"/>
    </row>
    <row r="81" spans="1:36" ht="13" thickTop="1">
      <c r="B81" s="39"/>
      <c r="C81" s="39"/>
      <c r="D81" s="39"/>
      <c r="E81" s="39"/>
      <c r="F81" s="39"/>
      <c r="G81" s="39"/>
      <c r="I81" s="113"/>
      <c r="J81" s="114"/>
      <c r="K81" s="114"/>
      <c r="L81" s="115"/>
      <c r="M81" s="116"/>
      <c r="N81" s="76"/>
      <c r="O81" s="76"/>
      <c r="P81" s="76"/>
      <c r="Q81" s="76"/>
      <c r="R81" s="76"/>
      <c r="S81" s="76"/>
      <c r="T81" s="76"/>
      <c r="U81" s="76"/>
      <c r="V81" s="76"/>
      <c r="W81" s="76"/>
      <c r="X81" s="76"/>
      <c r="Y81" s="76"/>
      <c r="Z81" s="42"/>
      <c r="AA81" s="42"/>
      <c r="AB81" s="42"/>
      <c r="AC81" s="42"/>
      <c r="AE81" s="39"/>
      <c r="AF81" s="39"/>
      <c r="AG81" s="39"/>
      <c r="AH81" s="39"/>
      <c r="AJ81" s="39"/>
    </row>
    <row r="82" spans="1:36">
      <c r="I82" s="14"/>
      <c r="J82" s="14"/>
      <c r="K82" s="117"/>
      <c r="L82" s="118"/>
      <c r="M82" s="118"/>
      <c r="N82" s="22"/>
      <c r="O82" s="7"/>
      <c r="P82" s="7"/>
      <c r="Q82" s="7"/>
      <c r="R82" s="7"/>
      <c r="S82" s="7"/>
    </row>
    <row r="83" spans="1:36">
      <c r="A83" s="10"/>
      <c r="B83" s="36" t="s">
        <v>37</v>
      </c>
      <c r="I83" s="14"/>
      <c r="J83" s="14"/>
      <c r="K83" s="14"/>
      <c r="L83" s="14"/>
      <c r="M83" s="14"/>
    </row>
    <row r="84" spans="1:36" ht="7" customHeight="1">
      <c r="A84" s="10"/>
      <c r="B84" s="36"/>
    </row>
    <row r="85" spans="1:36">
      <c r="A85" s="10"/>
      <c r="B85" s="99" t="s">
        <v>70</v>
      </c>
    </row>
    <row r="86" spans="1:36">
      <c r="A86" s="10"/>
      <c r="B86" s="39" t="s">
        <v>71</v>
      </c>
    </row>
    <row r="87" spans="1:36">
      <c r="A87" s="10"/>
      <c r="B87" s="39" t="s">
        <v>72</v>
      </c>
    </row>
    <row r="88" spans="1:36">
      <c r="A88" s="44"/>
      <c r="B88" s="39" t="s">
        <v>39</v>
      </c>
    </row>
    <row r="89" spans="1:36">
      <c r="A89" s="10"/>
      <c r="B89" s="11"/>
    </row>
    <row r="90" spans="1:36">
      <c r="A90" s="10"/>
      <c r="B90" s="36" t="s">
        <v>86</v>
      </c>
      <c r="O90" s="51"/>
    </row>
    <row r="91" spans="1:36" ht="7" customHeight="1">
      <c r="A91" s="10"/>
      <c r="B91" s="36"/>
      <c r="O91" s="51"/>
    </row>
    <row r="92" spans="1:36">
      <c r="A92" s="108" t="s">
        <v>3</v>
      </c>
      <c r="B92" s="12" t="s">
        <v>109</v>
      </c>
      <c r="O92" s="23"/>
    </row>
    <row r="93" spans="1:36">
      <c r="A93" s="109" t="s">
        <v>5</v>
      </c>
      <c r="N93" s="24"/>
      <c r="O93" s="23"/>
    </row>
    <row r="94" spans="1:36">
      <c r="A94" s="109" t="s">
        <v>7</v>
      </c>
      <c r="N94" s="24"/>
      <c r="O94" s="23"/>
    </row>
    <row r="95" spans="1:36">
      <c r="A95" s="21"/>
      <c r="N95" s="24"/>
      <c r="O95" s="23"/>
    </row>
    <row r="96" spans="1:36">
      <c r="A96" s="100"/>
      <c r="B96" s="36" t="s">
        <v>73</v>
      </c>
      <c r="N96" s="24"/>
      <c r="O96" s="23"/>
    </row>
    <row r="97" spans="1:15" ht="7" customHeight="1">
      <c r="A97" s="100"/>
      <c r="B97" s="36"/>
      <c r="N97" s="24"/>
      <c r="O97" s="23"/>
    </row>
    <row r="98" spans="1:15">
      <c r="A98" s="101" t="s">
        <v>74</v>
      </c>
      <c r="B98" s="36"/>
      <c r="N98" s="24"/>
      <c r="O98" s="23"/>
    </row>
    <row r="99" spans="1:15">
      <c r="A99" s="101" t="s">
        <v>75</v>
      </c>
      <c r="B99" s="36"/>
      <c r="N99" s="24"/>
      <c r="O99" s="23"/>
    </row>
    <row r="100" spans="1:15">
      <c r="A100" s="101" t="s">
        <v>76</v>
      </c>
      <c r="N100" s="24"/>
      <c r="O100" s="23"/>
    </row>
    <row r="101" spans="1:15">
      <c r="A101" s="100"/>
      <c r="B101" s="13"/>
      <c r="N101" s="24"/>
      <c r="O101" s="23"/>
    </row>
    <row r="102" spans="1:15">
      <c r="A102" s="100"/>
      <c r="B102" s="36" t="s">
        <v>77</v>
      </c>
      <c r="N102" s="24"/>
      <c r="O102" s="23"/>
    </row>
    <row r="103" spans="1:15" ht="7" customHeight="1">
      <c r="A103" s="100"/>
      <c r="B103" s="36"/>
    </row>
    <row r="104" spans="1:15">
      <c r="A104" s="101" t="s">
        <v>78</v>
      </c>
      <c r="B104" s="36"/>
    </row>
    <row r="105" spans="1:15">
      <c r="A105" s="101" t="s">
        <v>79</v>
      </c>
    </row>
    <row r="106" spans="1:15">
      <c r="A106" s="101" t="s">
        <v>80</v>
      </c>
      <c r="B106" s="102"/>
    </row>
    <row r="107" spans="1:15">
      <c r="A107" s="101"/>
      <c r="B107" s="102"/>
    </row>
    <row r="108" spans="1:15">
      <c r="A108" s="58"/>
      <c r="B108" s="36" t="s">
        <v>81</v>
      </c>
    </row>
    <row r="109" spans="1:15" ht="7" customHeight="1">
      <c r="A109" s="58"/>
      <c r="B109" s="36"/>
    </row>
    <row r="110" spans="1:15">
      <c r="A110" s="58"/>
      <c r="B110" s="44" t="s">
        <v>82</v>
      </c>
    </row>
  </sheetData>
  <mergeCells count="9">
    <mergeCell ref="B39:E39"/>
    <mergeCell ref="B54:G54"/>
    <mergeCell ref="AH54:AH55"/>
    <mergeCell ref="AE54:AG54"/>
    <mergeCell ref="B66:D66"/>
    <mergeCell ref="M54:S54"/>
    <mergeCell ref="T54:U54"/>
    <mergeCell ref="V54:X54"/>
    <mergeCell ref="B46:E4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1600.10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Admin</cp:lastModifiedBy>
  <dcterms:created xsi:type="dcterms:W3CDTF">2023-09-25T02:28:03Z</dcterms:created>
  <dcterms:modified xsi:type="dcterms:W3CDTF">2026-04-17T03:52:31Z</dcterms:modified>
</cp:coreProperties>
</file>