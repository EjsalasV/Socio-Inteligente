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3. Obligaciones Financieras\"/>
    </mc:Choice>
  </mc:AlternateContent>
  <xr:revisionPtr revIDLastSave="0" documentId="13_ncr:1_{E1510422-094B-4D72-A55D-D62828586A95}" xr6:coauthVersionLast="47" xr6:coauthVersionMax="47" xr10:uidLastSave="{00000000-0000-0000-0000-000000000000}"/>
  <bookViews>
    <workbookView xWindow="-110" yWindow="-110" windowWidth="19420" windowHeight="10300" activeTab="1" xr2:uid="{F3496301-FA0C-434B-8DE9-5FC5D0E86CE9}"/>
  </bookViews>
  <sheets>
    <sheet name="330.05.01" sheetId="18" r:id="rId1"/>
    <sheet name="330.05.02" sheetId="19" r:id="rId2"/>
  </sheets>
  <definedNames>
    <definedName name="_xlnm._FilterDatabase" localSheetId="1" hidden="1">'330.05.02'!$B$33:$J$40</definedName>
  </definedName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19" l="1"/>
  <c r="G39" i="19"/>
  <c r="G38" i="19"/>
  <c r="G37" i="19"/>
  <c r="G36" i="19"/>
  <c r="L40" i="19"/>
  <c r="L39" i="19"/>
  <c r="L38" i="19"/>
  <c r="L37" i="19"/>
  <c r="L36" i="19"/>
  <c r="D40" i="19"/>
  <c r="D39" i="19"/>
  <c r="D38" i="19"/>
  <c r="D37" i="19"/>
  <c r="I46" i="19"/>
  <c r="I45" i="19"/>
  <c r="I44" i="19"/>
  <c r="I38" i="19"/>
  <c r="I37" i="19"/>
  <c r="H35" i="19"/>
  <c r="D70" i="18" l="1"/>
  <c r="H40" i="19"/>
  <c r="H39" i="19"/>
  <c r="H38" i="19"/>
  <c r="H37" i="19"/>
  <c r="H36" i="19"/>
  <c r="D84" i="18"/>
  <c r="V35" i="18"/>
  <c r="U35" i="18"/>
  <c r="I36" i="19" l="1"/>
  <c r="J37" i="19"/>
  <c r="J36" i="19" l="1"/>
  <c r="T35" i="18"/>
  <c r="J38" i="19"/>
  <c r="I39" i="19" l="1"/>
  <c r="J39" i="19" s="1"/>
  <c r="H42" i="19"/>
  <c r="I40" i="19" l="1"/>
  <c r="J40" i="19" s="1"/>
  <c r="I42" i="19" l="1"/>
  <c r="R36" i="18"/>
  <c r="R35" i="18"/>
  <c r="J42" i="19"/>
  <c r="R46" i="18" l="1"/>
  <c r="D72" i="18" s="1"/>
  <c r="T36" i="18"/>
  <c r="P43" i="18"/>
  <c r="P42" i="18"/>
  <c r="P41" i="18"/>
  <c r="P40" i="18"/>
  <c r="P39" i="18"/>
  <c r="P38" i="18"/>
  <c r="P37" i="18"/>
  <c r="P36" i="18"/>
  <c r="P35" i="18"/>
  <c r="D58" i="18" l="1"/>
  <c r="P44" i="18"/>
  <c r="U46" i="18"/>
  <c r="T46" i="18"/>
  <c r="D73" i="18"/>
  <c r="L46" i="18"/>
  <c r="D60" i="18" s="1"/>
  <c r="D86" i="18" l="1"/>
  <c r="D87" i="18" s="1"/>
  <c r="D61" i="18"/>
  <c r="P46" i="18"/>
  <c r="V46" i="18" l="1"/>
</calcChain>
</file>

<file path=xl/sharedStrings.xml><?xml version="1.0" encoding="utf-8"?>
<sst xmlns="http://schemas.openxmlformats.org/spreadsheetml/2006/main" count="183" uniqueCount="113">
  <si>
    <t>Preparado por:</t>
  </si>
  <si>
    <t>Revisado por:</t>
  </si>
  <si>
    <t>Objetivo:</t>
  </si>
  <si>
    <t>Procedimientos:</t>
  </si>
  <si>
    <t>Fecha de préstamo</t>
  </si>
  <si>
    <t>Días</t>
  </si>
  <si>
    <t>Concesión</t>
  </si>
  <si>
    <t>Vencimiento</t>
  </si>
  <si>
    <t>Garantía otorgada</t>
  </si>
  <si>
    <t>Gasto</t>
  </si>
  <si>
    <t>Pasivo de capital corto plazo</t>
  </si>
  <si>
    <t>Diferencia</t>
  </si>
  <si>
    <t>Pago</t>
  </si>
  <si>
    <t>COMPAÑÍA MODELO S.A.</t>
  </si>
  <si>
    <t>Ref.</t>
  </si>
  <si>
    <t>Base de decisión: Materialidad</t>
  </si>
  <si>
    <t>Desarrollo:</t>
  </si>
  <si>
    <t>Observaciones:</t>
  </si>
  <si>
    <t>Conclusión:</t>
  </si>
  <si>
    <t>Notas aclaratorias:</t>
  </si>
  <si>
    <t>p/t 1600</t>
  </si>
  <si>
    <t>General</t>
  </si>
  <si>
    <t>Desempeño</t>
  </si>
  <si>
    <t>Errores Triviales</t>
  </si>
  <si>
    <t>Marcas de auditoría:</t>
  </si>
  <si>
    <t xml:space="preserve"> </t>
  </si>
  <si>
    <t>Sumatoria</t>
  </si>
  <si>
    <t>No material</t>
  </si>
  <si>
    <t>Cálculos de Auditoría</t>
  </si>
  <si>
    <t>Información proporcionada por el cliente (Detalle de préstamos bancarios)</t>
  </si>
  <si>
    <t xml:space="preserve">Circularizado o confirmaciones </t>
  </si>
  <si>
    <t>XX</t>
  </si>
  <si>
    <t>AL 31 DE DICIEMBRE DE 20XX</t>
  </si>
  <si>
    <t>Preliminar</t>
  </si>
  <si>
    <t>Final</t>
  </si>
  <si>
    <t>xxx.xxx</t>
  </si>
  <si>
    <t>Código cuenta contable</t>
  </si>
  <si>
    <t>Saldo según EEFF al _/_/20xx</t>
  </si>
  <si>
    <t>Saldo según detalle préstamos</t>
  </si>
  <si>
    <t>Saldo al _/_/20xx</t>
  </si>
  <si>
    <t>RECÁLCULO TABLAS DE AMORTIZACIÓN</t>
  </si>
  <si>
    <t>1.-</t>
  </si>
  <si>
    <t>2.-</t>
  </si>
  <si>
    <t>3.-</t>
  </si>
  <si>
    <t>Fecha inicio:</t>
  </si>
  <si>
    <t>_ /_ /20XX</t>
  </si>
  <si>
    <t>Fecha corte:</t>
  </si>
  <si>
    <t>Cuota</t>
  </si>
  <si>
    <t>Capital</t>
  </si>
  <si>
    <t>Interés</t>
  </si>
  <si>
    <t xml:space="preserve">Capital </t>
  </si>
  <si>
    <t>transcurridos</t>
  </si>
  <si>
    <t>_ /_ /2022</t>
  </si>
  <si>
    <t>Total saldo pagado</t>
  </si>
  <si>
    <t>Total gasto interes</t>
  </si>
  <si>
    <t>p/t330.03</t>
  </si>
  <si>
    <t>Total provisión interes</t>
  </si>
  <si>
    <t>Saldo según recálculo</t>
  </si>
  <si>
    <t>Valores completados en base al recálculo de la tabla de amortización</t>
  </si>
  <si>
    <t>A</t>
  </si>
  <si>
    <t>B</t>
  </si>
  <si>
    <t>C</t>
  </si>
  <si>
    <t>a)</t>
  </si>
  <si>
    <t>b)</t>
  </si>
  <si>
    <t>c)</t>
  </si>
  <si>
    <t>Obs.1</t>
  </si>
  <si>
    <t>Obs.2</t>
  </si>
  <si>
    <t>Obs.3</t>
  </si>
  <si>
    <t>Verificar la razonabilidad y exactitud de las tablas de amortización al  _ / _ / 20XX</t>
  </si>
  <si>
    <t>4.-</t>
  </si>
  <si>
    <t>FECHA DE CORTE: _ / _ / 20XX</t>
  </si>
  <si>
    <t>Verificar la exactitud o valuación de la cuenta de obligaciones financieras al _ / _ / 20XX</t>
  </si>
  <si>
    <t>Clasificación</t>
  </si>
  <si>
    <t>Total general</t>
  </si>
  <si>
    <t>Corto Plazo</t>
  </si>
  <si>
    <t>Largo Plazo</t>
  </si>
  <si>
    <t>Total</t>
  </si>
  <si>
    <t>CONCILIACIÓN DE OBLIGACIONES FINANCIERAS CON ESTADOS FINANCIEROS</t>
  </si>
  <si>
    <t>Nro.</t>
  </si>
  <si>
    <t>Institución financiera</t>
  </si>
  <si>
    <t>Nro. de operación</t>
  </si>
  <si>
    <t>Tipo de operación</t>
  </si>
  <si>
    <t>Monto de préstamo</t>
  </si>
  <si>
    <t>Saldo según confirmaciones</t>
  </si>
  <si>
    <t>Pasivo interés</t>
  </si>
  <si>
    <t>Pasivo de capital largo plazo</t>
  </si>
  <si>
    <t>Días plazo</t>
  </si>
  <si>
    <t>Nombre cuenta contable</t>
  </si>
  <si>
    <t>Verificaciones:</t>
  </si>
  <si>
    <t>*** Concluir en función del objetivo</t>
  </si>
  <si>
    <t>330.05.01</t>
  </si>
  <si>
    <t>Resumen pasivo corto plazo y largo plazo</t>
  </si>
  <si>
    <t>Información proporcionada por el cliente</t>
  </si>
  <si>
    <t>Agrupación</t>
  </si>
  <si>
    <t>Nro. de serie</t>
  </si>
  <si>
    <t>vencimiento</t>
  </si>
  <si>
    <t>Fecha de</t>
  </si>
  <si>
    <t>Tasa de</t>
  </si>
  <si>
    <t>interés</t>
  </si>
  <si>
    <t>acumulado</t>
  </si>
  <si>
    <t>Solicitar las tablas de amortización al  _ / _ / 20XX</t>
  </si>
  <si>
    <t>Realizar el respectivo recálculo</t>
  </si>
  <si>
    <t>Documentar el papel de trabajo y concluir en base al objetivo.</t>
  </si>
  <si>
    <t xml:space="preserve">Solicitar el detalle de préstamos bancarios </t>
  </si>
  <si>
    <t>Realizar los respectivos recálculos de las tablas de amortización</t>
  </si>
  <si>
    <t>Cruzar el gasto, pasivos corrientes y no corrientes con el estado de situación financiera.</t>
  </si>
  <si>
    <t>Documentar el papel de trabajo y concluir en función del objetivo.</t>
  </si>
  <si>
    <t>2) Cruce del recálculo de intereses vs estado de resultados</t>
  </si>
  <si>
    <t>1) Cruce del detalle del pasivo préstamos vs estado de situación financiera</t>
  </si>
  <si>
    <t>Cruce con estados financieros</t>
  </si>
  <si>
    <t>3) Cruce del recálculo de intereses vs estado de situación financiera (pasivos)</t>
  </si>
  <si>
    <t>330.05.02</t>
  </si>
  <si>
    <t>p/t330.05.01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</si>
</sst>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 * #,##0_ ;_ * \-#,##0_ ;_ * &quot;-&quot;_ ;_ @_ "/>
    <numFmt numFmtId="43" formatCode="_ * #,##0.00_ ;_ * \-#,##0.00_ ;_ * &quot;-&quot;??_ ;_ @_ "/>
    <numFmt numFmtId="164" formatCode="_-* #,##0.00_-;\-* #,##0.00_-;_-* &quot;-&quot;??_-;_-@_-"/>
    <numFmt numFmtId="165" formatCode="_(* #,##0_);_(* \(#,##0\);_(* &quot;-&quot;_);_(@_)"/>
    <numFmt numFmtId="166" formatCode="_(* #,##0.00_);_(* \(#,##0.00\);_(* &quot;-&quot;??_);_(@_)"/>
    <numFmt numFmtId="167" formatCode="_-* #,##0_-;\-* #,##0_-;_-* &quot;-&quot;??_-;_-@_-"/>
    <numFmt numFmtId="168" formatCode="_ * #,##0.00_ ;_ * \-#,##0.00_ ;_ * \-??_ ;_ @_ "/>
    <numFmt numFmtId="169" formatCode="_(* #,##0_);_(* \(#,##0\);_(* &quot;-&quot;??_);_(@_)"/>
    <numFmt numFmtId="170" formatCode="_(* #,##0.0_);_(* \(#,##0.0\);_(* &quot;-&quot;??_);_(@_)"/>
    <numFmt numFmtId="171" formatCode="_ * #,##0_ ;_ * \-#,##0_ ;_ * &quot;-&quot;??_ ;_ @_ "/>
    <numFmt numFmtId="172" formatCode="[$-409]d\-mmm\-yy;@"/>
  </numFmts>
  <fonts count="30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Futura-Book"/>
      <family val="2"/>
    </font>
    <font>
      <sz val="11"/>
      <color indexed="8"/>
      <name val="Calibri"/>
      <family val="2"/>
    </font>
    <font>
      <sz val="10"/>
      <color theme="1"/>
      <name val="Tahoma"/>
      <family val="2"/>
    </font>
    <font>
      <b/>
      <sz val="10"/>
      <color theme="3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b/>
      <i/>
      <u/>
      <sz val="10"/>
      <name val="Tahoma"/>
      <family val="2"/>
    </font>
    <font>
      <b/>
      <sz val="10"/>
      <color theme="1"/>
      <name val="Tahoma"/>
      <family val="2"/>
    </font>
    <font>
      <b/>
      <u val="singleAccounting"/>
      <sz val="10"/>
      <color theme="1"/>
      <name val="Tahoma"/>
      <family val="2"/>
    </font>
    <font>
      <b/>
      <i/>
      <sz val="10"/>
      <color rgb="FFFF0000"/>
      <name val="Tahoma"/>
      <family val="2"/>
    </font>
    <font>
      <sz val="10"/>
      <color theme="1"/>
      <name val="Arial"/>
      <family val="2"/>
    </font>
    <font>
      <b/>
      <sz val="10"/>
      <color rgb="FF002060"/>
      <name val="Tahoma"/>
      <family val="2"/>
    </font>
    <font>
      <sz val="10"/>
      <color rgb="FF000000"/>
      <name val="Times New Roman"/>
      <family val="1"/>
    </font>
    <font>
      <b/>
      <u/>
      <sz val="10"/>
      <color rgb="FF0000CC"/>
      <name val="Tahoma"/>
      <family val="2"/>
    </font>
    <font>
      <sz val="10"/>
      <color rgb="FFFF0000"/>
      <name val="Tahoma"/>
      <family val="2"/>
    </font>
    <font>
      <i/>
      <sz val="10"/>
      <color rgb="FFFF0000"/>
      <name val="Tahoma"/>
      <family val="2"/>
    </font>
    <font>
      <sz val="10"/>
      <color rgb="FF002060"/>
      <name val="Tahoma"/>
      <family val="2"/>
    </font>
    <font>
      <b/>
      <sz val="10"/>
      <color theme="0"/>
      <name val="Tahoma"/>
      <family val="2"/>
    </font>
    <font>
      <b/>
      <u/>
      <sz val="10"/>
      <color rgb="FF0000FF"/>
      <name val="Tahoma"/>
      <family val="2"/>
    </font>
    <font>
      <sz val="10"/>
      <color rgb="FFFF0000"/>
      <name val="Marlett"/>
      <charset val="2"/>
    </font>
    <font>
      <b/>
      <sz val="10"/>
      <color rgb="FFFF0000"/>
      <name val="Marlett"/>
      <charset val="2"/>
    </font>
    <font>
      <b/>
      <sz val="10"/>
      <color rgb="FF0000CC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166" fontId="3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" fillId="0" borderId="0"/>
    <xf numFmtId="37" fontId="4" fillId="0" borderId="0"/>
    <xf numFmtId="43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Alignment="0" applyProtection="0"/>
    <xf numFmtId="0" fontId="4" fillId="0" borderId="0"/>
    <xf numFmtId="0" fontId="18" fillId="0" borderId="0"/>
    <xf numFmtId="0" fontId="3" fillId="0" borderId="0"/>
    <xf numFmtId="0" fontId="18" fillId="0" borderId="0"/>
    <xf numFmtId="166" fontId="3" fillId="0" borderId="0" applyFont="0" applyFill="0" applyBorder="0" applyAlignment="0" applyProtection="0"/>
    <xf numFmtId="0" fontId="20" fillId="0" borderId="0"/>
    <xf numFmtId="0" fontId="4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00">
    <xf numFmtId="0" fontId="0" fillId="0" borderId="0" xfId="0"/>
    <xf numFmtId="0" fontId="7" fillId="3" borderId="0" xfId="0" applyFont="1" applyFill="1"/>
    <xf numFmtId="0" fontId="9" fillId="3" borderId="0" xfId="2" applyFont="1" applyFill="1"/>
    <xf numFmtId="0" fontId="9" fillId="3" borderId="0" xfId="2" applyFont="1" applyFill="1" applyAlignment="1">
      <alignment horizontal="center"/>
    </xf>
    <xf numFmtId="0" fontId="8" fillId="3" borderId="0" xfId="0" applyFont="1" applyFill="1" applyAlignment="1">
      <alignment horizontal="right" vertical="center"/>
    </xf>
    <xf numFmtId="15" fontId="7" fillId="3" borderId="0" xfId="0" applyNumberFormat="1" applyFont="1" applyFill="1" applyAlignment="1">
      <alignment horizontal="center"/>
    </xf>
    <xf numFmtId="49" fontId="12" fillId="3" borderId="0" xfId="0" applyNumberFormat="1" applyFont="1" applyFill="1" applyAlignment="1">
      <alignment horizontal="left" wrapText="1"/>
    </xf>
    <xf numFmtId="49" fontId="13" fillId="3" borderId="0" xfId="0" applyNumberFormat="1" applyFont="1" applyFill="1" applyAlignment="1">
      <alignment horizontal="left" wrapText="1"/>
    </xf>
    <xf numFmtId="49" fontId="13" fillId="3" borderId="0" xfId="0" applyNumberFormat="1" applyFont="1" applyFill="1" applyAlignment="1">
      <alignment horizontal="left"/>
    </xf>
    <xf numFmtId="0" fontId="9" fillId="3" borderId="0" xfId="2" applyFont="1" applyFill="1" applyAlignment="1">
      <alignment horizontal="left"/>
    </xf>
    <xf numFmtId="15" fontId="9" fillId="3" borderId="0" xfId="2" applyNumberFormat="1" applyFont="1" applyFill="1" applyAlignment="1">
      <alignment horizontal="center"/>
    </xf>
    <xf numFmtId="3" fontId="9" fillId="3" borderId="0" xfId="2" applyNumberFormat="1" applyFont="1" applyFill="1" applyAlignment="1">
      <alignment horizontal="center"/>
    </xf>
    <xf numFmtId="0" fontId="9" fillId="3" borderId="0" xfId="2" applyFont="1" applyFill="1" applyAlignment="1">
      <alignment wrapText="1"/>
    </xf>
    <xf numFmtId="165" fontId="9" fillId="3" borderId="0" xfId="8" applyNumberFormat="1" applyFont="1" applyFill="1" applyBorder="1" applyAlignment="1"/>
    <xf numFmtId="165" fontId="11" fillId="3" borderId="0" xfId="8" applyNumberFormat="1" applyFont="1" applyFill="1" applyBorder="1" applyAlignment="1">
      <alignment horizontal="center"/>
    </xf>
    <xf numFmtId="165" fontId="7" fillId="3" borderId="0" xfId="0" applyNumberFormat="1" applyFont="1" applyFill="1"/>
    <xf numFmtId="0" fontId="10" fillId="3" borderId="0" xfId="0" applyFont="1" applyFill="1"/>
    <xf numFmtId="165" fontId="9" fillId="3" borderId="0" xfId="8" applyNumberFormat="1" applyFont="1" applyFill="1" applyBorder="1" applyAlignment="1">
      <alignment vertical="center"/>
    </xf>
    <xf numFmtId="0" fontId="17" fillId="3" borderId="0" xfId="0" applyFont="1" applyFill="1" applyAlignment="1">
      <alignment horizontal="center"/>
    </xf>
    <xf numFmtId="0" fontId="10" fillId="3" borderId="0" xfId="2" applyFont="1" applyFill="1"/>
    <xf numFmtId="0" fontId="11" fillId="3" borderId="0" xfId="0" applyFont="1" applyFill="1" applyAlignment="1">
      <alignment horizontal="right"/>
    </xf>
    <xf numFmtId="0" fontId="7" fillId="0" borderId="0" xfId="0" applyFont="1"/>
    <xf numFmtId="165" fontId="11" fillId="3" borderId="0" xfId="8" applyNumberFormat="1" applyFont="1" applyFill="1" applyBorder="1" applyAlignment="1">
      <alignment horizontal="right"/>
    </xf>
    <xf numFmtId="0" fontId="11" fillId="3" borderId="0" xfId="0" applyFont="1" applyFill="1"/>
    <xf numFmtId="0" fontId="7" fillId="3" borderId="5" xfId="0" applyFont="1" applyFill="1" applyBorder="1"/>
    <xf numFmtId="0" fontId="21" fillId="2" borderId="0" xfId="5" applyFont="1" applyFill="1"/>
    <xf numFmtId="0" fontId="7" fillId="3" borderId="0" xfId="0" applyFont="1" applyFill="1" applyAlignment="1">
      <alignment horizontal="right"/>
    </xf>
    <xf numFmtId="0" fontId="19" fillId="0" borderId="0" xfId="0" applyFont="1" applyAlignment="1" applyProtection="1">
      <alignment horizontal="left" vertical="center"/>
      <protection hidden="1"/>
    </xf>
    <xf numFmtId="37" fontId="19" fillId="0" borderId="6" xfId="6" applyFont="1" applyBorder="1" applyAlignment="1" applyProtection="1">
      <alignment horizontal="left" vertical="center"/>
      <protection hidden="1"/>
    </xf>
    <xf numFmtId="0" fontId="9" fillId="3" borderId="0" xfId="3" applyFont="1" applyFill="1" applyAlignment="1">
      <alignment vertical="center"/>
    </xf>
    <xf numFmtId="0" fontId="11" fillId="0" borderId="0" xfId="4" applyFont="1" applyAlignment="1">
      <alignment vertical="center"/>
    </xf>
    <xf numFmtId="0" fontId="9" fillId="3" borderId="2" xfId="3" applyFont="1" applyFill="1" applyBorder="1" applyAlignment="1">
      <alignment horizontal="center" vertical="center"/>
    </xf>
    <xf numFmtId="0" fontId="11" fillId="0" borderId="2" xfId="4" applyFont="1" applyBorder="1" applyAlignment="1">
      <alignment horizontal="center" vertical="center"/>
    </xf>
    <xf numFmtId="0" fontId="13" fillId="0" borderId="0" xfId="16" applyFont="1"/>
    <xf numFmtId="0" fontId="13" fillId="0" borderId="2" xfId="16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165" fontId="10" fillId="3" borderId="0" xfId="8" applyNumberFormat="1" applyFont="1" applyFill="1" applyBorder="1" applyAlignment="1">
      <alignment horizontal="right"/>
    </xf>
    <xf numFmtId="165" fontId="10" fillId="3" borderId="7" xfId="8" applyNumberFormat="1" applyFont="1" applyFill="1" applyBorder="1" applyAlignment="1"/>
    <xf numFmtId="0" fontId="19" fillId="2" borderId="0" xfId="5" applyFont="1" applyFill="1" applyAlignment="1">
      <alignment vertical="top"/>
    </xf>
    <xf numFmtId="165" fontId="22" fillId="3" borderId="0" xfId="8" applyNumberFormat="1" applyFont="1" applyFill="1" applyBorder="1" applyAlignment="1">
      <alignment horizontal="right"/>
    </xf>
    <xf numFmtId="0" fontId="10" fillId="3" borderId="7" xfId="2" applyFont="1" applyFill="1" applyBorder="1"/>
    <xf numFmtId="165" fontId="9" fillId="0" borderId="0" xfId="8" applyNumberFormat="1" applyFont="1" applyFill="1" applyBorder="1" applyAlignment="1"/>
    <xf numFmtId="0" fontId="10" fillId="3" borderId="0" xfId="0" applyFont="1" applyFill="1" applyAlignment="1">
      <alignment horizontal="center"/>
    </xf>
    <xf numFmtId="41" fontId="7" fillId="3" borderId="0" xfId="0" applyNumberFormat="1" applyFont="1" applyFill="1"/>
    <xf numFmtId="165" fontId="9" fillId="0" borderId="0" xfId="8" quotePrefix="1" applyNumberFormat="1" applyFont="1" applyFill="1" applyBorder="1" applyAlignment="1"/>
    <xf numFmtId="0" fontId="9" fillId="0" borderId="0" xfId="2" applyFont="1"/>
    <xf numFmtId="0" fontId="17" fillId="0" borderId="0" xfId="0" applyFont="1" applyAlignment="1">
      <alignment horizontal="center"/>
    </xf>
    <xf numFmtId="165" fontId="9" fillId="0" borderId="0" xfId="8" applyNumberFormat="1" applyFont="1" applyFill="1" applyBorder="1"/>
    <xf numFmtId="165" fontId="10" fillId="0" borderId="0" xfId="8" applyNumberFormat="1" applyFont="1" applyFill="1" applyBorder="1" applyAlignment="1"/>
    <xf numFmtId="165" fontId="11" fillId="0" borderId="0" xfId="0" applyNumberFormat="1" applyFont="1" applyAlignment="1">
      <alignment horizontal="right" vertical="center"/>
    </xf>
    <xf numFmtId="0" fontId="11" fillId="0" borderId="0" xfId="0" applyFont="1"/>
    <xf numFmtId="0" fontId="7" fillId="0" borderId="0" xfId="0" applyFont="1" applyAlignment="1">
      <alignment horizontal="center"/>
    </xf>
    <xf numFmtId="0" fontId="10" fillId="0" borderId="0" xfId="2" applyFont="1"/>
    <xf numFmtId="0" fontId="24" fillId="3" borderId="0" xfId="0" applyFont="1" applyFill="1" applyAlignment="1">
      <alignment horizontal="center"/>
    </xf>
    <xf numFmtId="167" fontId="24" fillId="0" borderId="0" xfId="8" applyNumberFormat="1" applyFont="1" applyFill="1" applyBorder="1" applyAlignment="1">
      <alignment horizontal="center" wrapText="1"/>
    </xf>
    <xf numFmtId="0" fontId="24" fillId="3" borderId="0" xfId="2" applyFont="1" applyFill="1"/>
    <xf numFmtId="0" fontId="24" fillId="3" borderId="0" xfId="0" applyFont="1" applyFill="1"/>
    <xf numFmtId="15" fontId="24" fillId="0" borderId="0" xfId="8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6" fillId="0" borderId="0" xfId="5" applyFont="1"/>
    <xf numFmtId="0" fontId="26" fillId="2" borderId="0" xfId="5" applyFont="1" applyFill="1"/>
    <xf numFmtId="0" fontId="7" fillId="4" borderId="2" xfId="0" applyFont="1" applyFill="1" applyBorder="1"/>
    <xf numFmtId="0" fontId="26" fillId="3" borderId="0" xfId="2" applyFont="1" applyFill="1"/>
    <xf numFmtId="0" fontId="11" fillId="0" borderId="0" xfId="0" applyFont="1" applyAlignment="1">
      <alignment horizontal="center"/>
    </xf>
    <xf numFmtId="37" fontId="19" fillId="0" borderId="0" xfId="6" applyFont="1" applyAlignment="1" applyProtection="1">
      <alignment horizontal="left" vertical="center"/>
      <protection hidden="1"/>
    </xf>
    <xf numFmtId="0" fontId="13" fillId="4" borderId="2" xfId="16" applyFont="1" applyFill="1" applyBorder="1" applyAlignment="1">
      <alignment horizontal="center"/>
    </xf>
    <xf numFmtId="169" fontId="7" fillId="3" borderId="0" xfId="1" applyNumberFormat="1" applyFont="1" applyFill="1"/>
    <xf numFmtId="0" fontId="7" fillId="3" borderId="2" xfId="0" applyFont="1" applyFill="1" applyBorder="1"/>
    <xf numFmtId="0" fontId="14" fillId="3" borderId="2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center"/>
    </xf>
    <xf numFmtId="15" fontId="9" fillId="3" borderId="2" xfId="2" applyNumberFormat="1" applyFont="1" applyFill="1" applyBorder="1" applyAlignment="1">
      <alignment horizontal="center"/>
    </xf>
    <xf numFmtId="3" fontId="9" fillId="3" borderId="2" xfId="2" applyNumberFormat="1" applyFont="1" applyFill="1" applyBorder="1" applyAlignment="1">
      <alignment horizontal="center"/>
    </xf>
    <xf numFmtId="0" fontId="9" fillId="3" borderId="2" xfId="2" applyFont="1" applyFill="1" applyBorder="1"/>
    <xf numFmtId="165" fontId="9" fillId="3" borderId="2" xfId="8" applyNumberFormat="1" applyFont="1" applyFill="1" applyBorder="1" applyAlignment="1"/>
    <xf numFmtId="165" fontId="9" fillId="3" borderId="2" xfId="8" applyNumberFormat="1" applyFont="1" applyFill="1" applyBorder="1"/>
    <xf numFmtId="169" fontId="9" fillId="3" borderId="2" xfId="1" applyNumberFormat="1" applyFont="1" applyFill="1" applyBorder="1" applyAlignment="1">
      <alignment horizontal="center"/>
    </xf>
    <xf numFmtId="169" fontId="9" fillId="3" borderId="2" xfId="1" applyNumberFormat="1" applyFont="1" applyFill="1" applyBorder="1" applyAlignment="1">
      <alignment wrapText="1"/>
    </xf>
    <xf numFmtId="165" fontId="9" fillId="3" borderId="2" xfId="8" applyNumberFormat="1" applyFont="1" applyFill="1" applyBorder="1" applyAlignment="1">
      <alignment vertical="center"/>
    </xf>
    <xf numFmtId="165" fontId="22" fillId="3" borderId="2" xfId="8" applyNumberFormat="1" applyFont="1" applyFill="1" applyBorder="1" applyAlignment="1">
      <alignment horizontal="center"/>
    </xf>
    <xf numFmtId="169" fontId="7" fillId="3" borderId="2" xfId="1" applyNumberFormat="1" applyFont="1" applyFill="1" applyBorder="1"/>
    <xf numFmtId="165" fontId="9" fillId="3" borderId="2" xfId="8" quotePrefix="1" applyNumberFormat="1" applyFont="1" applyFill="1" applyBorder="1" applyAlignment="1"/>
    <xf numFmtId="0" fontId="9" fillId="3" borderId="2" xfId="2" applyFont="1" applyFill="1" applyBorder="1" applyAlignment="1">
      <alignment wrapText="1"/>
    </xf>
    <xf numFmtId="165" fontId="11" fillId="3" borderId="2" xfId="8" applyNumberFormat="1" applyFont="1" applyFill="1" applyBorder="1" applyAlignment="1">
      <alignment horizontal="center"/>
    </xf>
    <xf numFmtId="41" fontId="23" fillId="3" borderId="2" xfId="8" applyNumberFormat="1" applyFont="1" applyFill="1" applyBorder="1" applyAlignment="1"/>
    <xf numFmtId="41" fontId="9" fillId="3" borderId="2" xfId="8" applyNumberFormat="1" applyFont="1" applyFill="1" applyBorder="1" applyAlignment="1"/>
    <xf numFmtId="0" fontId="19" fillId="4" borderId="2" xfId="5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22" fillId="3" borderId="0" xfId="0" applyFont="1" applyFill="1" applyAlignment="1">
      <alignment horizontal="right"/>
    </xf>
    <xf numFmtId="170" fontId="7" fillId="3" borderId="7" xfId="0" applyNumberFormat="1" applyFont="1" applyFill="1" applyBorder="1"/>
    <xf numFmtId="169" fontId="7" fillId="3" borderId="7" xfId="1" applyNumberFormat="1" applyFont="1" applyFill="1" applyBorder="1"/>
    <xf numFmtId="0" fontId="19" fillId="4" borderId="2" xfId="0" applyFont="1" applyFill="1" applyBorder="1" applyAlignment="1">
      <alignment horizontal="center"/>
    </xf>
    <xf numFmtId="170" fontId="7" fillId="3" borderId="2" xfId="1" applyNumberFormat="1" applyFont="1" applyFill="1" applyBorder="1"/>
    <xf numFmtId="0" fontId="7" fillId="0" borderId="0" xfId="11" applyFont="1"/>
    <xf numFmtId="0" fontId="15" fillId="0" borderId="0" xfId="0" applyFont="1"/>
    <xf numFmtId="171" fontId="7" fillId="0" borderId="0" xfId="7" applyNumberFormat="1" applyFont="1" applyFill="1" applyAlignment="1">
      <alignment vertical="center"/>
    </xf>
    <xf numFmtId="171" fontId="7" fillId="0" borderId="0" xfId="7" applyNumberFormat="1" applyFont="1" applyFill="1" applyBorder="1"/>
    <xf numFmtId="172" fontId="7" fillId="4" borderId="2" xfId="11" applyNumberFormat="1" applyFont="1" applyFill="1" applyBorder="1" applyAlignment="1">
      <alignment horizontal="center" vertical="center"/>
    </xf>
    <xf numFmtId="0" fontId="7" fillId="0" borderId="0" xfId="13" applyFont="1"/>
    <xf numFmtId="165" fontId="11" fillId="0" borderId="0" xfId="5" applyNumberFormat="1" applyFont="1" applyAlignment="1">
      <alignment horizontal="center"/>
    </xf>
    <xf numFmtId="14" fontId="7" fillId="0" borderId="0" xfId="13" applyNumberFormat="1" applyFont="1"/>
    <xf numFmtId="0" fontId="27" fillId="0" borderId="0" xfId="13" applyFont="1"/>
    <xf numFmtId="0" fontId="28" fillId="0" borderId="0" xfId="13" applyFont="1"/>
    <xf numFmtId="0" fontId="19" fillId="4" borderId="1" xfId="13" applyFont="1" applyFill="1" applyBorder="1" applyAlignment="1">
      <alignment horizontal="center" vertical="center"/>
    </xf>
    <xf numFmtId="0" fontId="19" fillId="4" borderId="8" xfId="13" applyFont="1" applyFill="1" applyBorder="1" applyAlignment="1">
      <alignment horizontal="center" vertical="center"/>
    </xf>
    <xf numFmtId="0" fontId="24" fillId="0" borderId="0" xfId="13" applyFont="1"/>
    <xf numFmtId="0" fontId="19" fillId="4" borderId="10" xfId="13" applyFont="1" applyFill="1" applyBorder="1" applyAlignment="1">
      <alignment horizontal="center" vertical="center"/>
    </xf>
    <xf numFmtId="0" fontId="19" fillId="4" borderId="3" xfId="13" applyFont="1" applyFill="1" applyBorder="1" applyAlignment="1">
      <alignment horizontal="center" vertical="center"/>
    </xf>
    <xf numFmtId="165" fontId="29" fillId="0" borderId="0" xfId="14" applyNumberFormat="1" applyFont="1" applyFill="1" applyBorder="1" applyAlignment="1">
      <alignment horizontal="center"/>
    </xf>
    <xf numFmtId="172" fontId="7" fillId="0" borderId="0" xfId="13" applyNumberFormat="1" applyFont="1"/>
    <xf numFmtId="165" fontId="7" fillId="0" borderId="0" xfId="13" applyNumberFormat="1" applyFont="1"/>
    <xf numFmtId="169" fontId="22" fillId="0" borderId="0" xfId="0" applyNumberFormat="1" applyFont="1" applyAlignment="1">
      <alignment horizontal="center"/>
    </xf>
    <xf numFmtId="166" fontId="29" fillId="0" borderId="0" xfId="1" applyFont="1" applyFill="1" applyBorder="1" applyAlignment="1">
      <alignment horizontal="center"/>
    </xf>
    <xf numFmtId="170" fontId="9" fillId="0" borderId="0" xfId="13" applyNumberFormat="1" applyFont="1"/>
    <xf numFmtId="166" fontId="9" fillId="0" borderId="0" xfId="13" applyNumberFormat="1" applyFont="1"/>
    <xf numFmtId="0" fontId="15" fillId="0" borderId="0" xfId="13" applyFont="1" applyAlignment="1">
      <alignment horizontal="right"/>
    </xf>
    <xf numFmtId="165" fontId="15" fillId="0" borderId="7" xfId="13" applyNumberFormat="1" applyFont="1" applyBorder="1"/>
    <xf numFmtId="0" fontId="15" fillId="0" borderId="7" xfId="13" applyFont="1" applyBorder="1"/>
    <xf numFmtId="0" fontId="11" fillId="0" borderId="0" xfId="11" quotePrefix="1" applyFont="1" applyAlignment="1">
      <alignment horizontal="center"/>
    </xf>
    <xf numFmtId="165" fontId="15" fillId="0" borderId="0" xfId="13" applyNumberFormat="1" applyFont="1"/>
    <xf numFmtId="0" fontId="15" fillId="0" borderId="0" xfId="13" applyFont="1" applyAlignment="1">
      <alignment horizontal="center"/>
    </xf>
    <xf numFmtId="0" fontId="15" fillId="0" borderId="0" xfId="13" applyFont="1" applyAlignment="1">
      <alignment horizontal="center" vertical="center"/>
    </xf>
    <xf numFmtId="0" fontId="7" fillId="0" borderId="0" xfId="13" applyFont="1" applyAlignment="1">
      <alignment horizontal="right" vertical="center"/>
    </xf>
    <xf numFmtId="169" fontId="22" fillId="0" borderId="0" xfId="11" applyNumberFormat="1" applyFont="1" applyAlignment="1">
      <alignment horizontal="center"/>
    </xf>
    <xf numFmtId="0" fontId="7" fillId="0" borderId="0" xfId="11" applyFont="1" applyAlignment="1">
      <alignment horizontal="right"/>
    </xf>
    <xf numFmtId="0" fontId="22" fillId="0" borderId="0" xfId="11" applyFont="1" applyAlignment="1">
      <alignment horizontal="right"/>
    </xf>
    <xf numFmtId="0" fontId="22" fillId="0" borderId="0" xfId="13" applyFont="1" applyAlignment="1">
      <alignment horizontal="left"/>
    </xf>
    <xf numFmtId="165" fontId="9" fillId="0" borderId="0" xfId="8" applyNumberFormat="1" applyFont="1" applyFill="1" applyBorder="1" applyAlignment="1">
      <alignment vertical="center"/>
    </xf>
    <xf numFmtId="165" fontId="10" fillId="0" borderId="0" xfId="8" applyNumberFormat="1" applyFont="1" applyFill="1" applyBorder="1" applyAlignment="1">
      <alignment horizontal="right"/>
    </xf>
    <xf numFmtId="165" fontId="15" fillId="0" borderId="0" xfId="0" applyNumberFormat="1" applyFont="1" applyAlignment="1">
      <alignment vertical="center"/>
    </xf>
    <xf numFmtId="165" fontId="16" fillId="0" borderId="0" xfId="0" applyNumberFormat="1" applyFont="1" applyAlignment="1">
      <alignment vertical="center"/>
    </xf>
    <xf numFmtId="0" fontId="25" fillId="0" borderId="0" xfId="0" applyFont="1" applyAlignment="1">
      <alignment horizontal="center"/>
    </xf>
    <xf numFmtId="0" fontId="19" fillId="0" borderId="0" xfId="0" applyFont="1"/>
    <xf numFmtId="165" fontId="7" fillId="0" borderId="0" xfId="0" applyNumberFormat="1" applyFont="1"/>
    <xf numFmtId="0" fontId="22" fillId="0" borderId="0" xfId="0" applyFont="1" applyAlignment="1">
      <alignment horizontal="right"/>
    </xf>
    <xf numFmtId="165" fontId="15" fillId="0" borderId="0" xfId="0" applyNumberFormat="1" applyFont="1"/>
    <xf numFmtId="165" fontId="11" fillId="0" borderId="0" xfId="8" applyNumberFormat="1" applyFont="1" applyFill="1" applyBorder="1" applyAlignment="1">
      <alignment horizontal="right"/>
    </xf>
    <xf numFmtId="0" fontId="22" fillId="0" borderId="0" xfId="0" applyFont="1"/>
    <xf numFmtId="0" fontId="9" fillId="0" borderId="0" xfId="0" applyFont="1"/>
    <xf numFmtId="0" fontId="9" fillId="4" borderId="2" xfId="16" applyFont="1" applyFill="1" applyBorder="1" applyAlignment="1">
      <alignment horizontal="center"/>
    </xf>
    <xf numFmtId="0" fontId="9" fillId="4" borderId="2" xfId="0" applyFont="1" applyFill="1" applyBorder="1"/>
    <xf numFmtId="0" fontId="9" fillId="0" borderId="2" xfId="16" applyFont="1" applyBorder="1" applyAlignment="1">
      <alignment horizontal="center"/>
    </xf>
    <xf numFmtId="0" fontId="15" fillId="0" borderId="0" xfId="11" applyFont="1"/>
    <xf numFmtId="0" fontId="19" fillId="4" borderId="1" xfId="3" applyFont="1" applyFill="1" applyBorder="1" applyAlignment="1">
      <alignment horizontal="center" vertical="top"/>
    </xf>
    <xf numFmtId="0" fontId="19" fillId="4" borderId="2" xfId="4" applyFont="1" applyFill="1" applyBorder="1" applyAlignment="1">
      <alignment horizontal="center" vertical="top"/>
    </xf>
    <xf numFmtId="14" fontId="7" fillId="0" borderId="2" xfId="11" applyNumberFormat="1" applyFont="1" applyBorder="1" applyAlignment="1">
      <alignment horizontal="left"/>
    </xf>
    <xf numFmtId="165" fontId="29" fillId="0" borderId="2" xfId="14" applyNumberFormat="1" applyFont="1" applyFill="1" applyBorder="1" applyAlignment="1">
      <alignment horizontal="center"/>
    </xf>
    <xf numFmtId="0" fontId="7" fillId="0" borderId="2" xfId="13" applyFont="1" applyBorder="1"/>
    <xf numFmtId="172" fontId="7" fillId="0" borderId="2" xfId="13" applyNumberFormat="1" applyFont="1" applyBorder="1"/>
    <xf numFmtId="166" fontId="7" fillId="0" borderId="2" xfId="1" applyFont="1" applyBorder="1"/>
    <xf numFmtId="169" fontId="7" fillId="0" borderId="2" xfId="1" applyNumberFormat="1" applyFont="1" applyBorder="1"/>
    <xf numFmtId="43" fontId="9" fillId="0" borderId="2" xfId="7" applyFont="1" applyFill="1" applyBorder="1" applyAlignment="1">
      <alignment horizontal="center"/>
    </xf>
    <xf numFmtId="43" fontId="7" fillId="0" borderId="2" xfId="7" applyFont="1" applyFill="1" applyBorder="1"/>
    <xf numFmtId="165" fontId="7" fillId="0" borderId="2" xfId="13" applyNumberFormat="1" applyFont="1" applyBorder="1"/>
    <xf numFmtId="0" fontId="7" fillId="0" borderId="2" xfId="13" applyFont="1" applyBorder="1" applyAlignment="1">
      <alignment horizontal="center"/>
    </xf>
    <xf numFmtId="172" fontId="7" fillId="0" borderId="2" xfId="13" applyNumberFormat="1" applyFont="1" applyBorder="1" applyAlignment="1">
      <alignment horizontal="center"/>
    </xf>
    <xf numFmtId="165" fontId="7" fillId="0" borderId="2" xfId="13" applyNumberFormat="1" applyFont="1" applyBorder="1" applyAlignment="1">
      <alignment horizontal="center"/>
    </xf>
    <xf numFmtId="166" fontId="9" fillId="0" borderId="2" xfId="1" applyFont="1" applyFill="1" applyBorder="1" applyAlignment="1">
      <alignment horizontal="center"/>
    </xf>
    <xf numFmtId="169" fontId="7" fillId="0" borderId="2" xfId="1" applyNumberFormat="1" applyFont="1" applyFill="1" applyBorder="1"/>
    <xf numFmtId="169" fontId="9" fillId="0" borderId="2" xfId="1" applyNumberFormat="1" applyFont="1" applyBorder="1"/>
    <xf numFmtId="165" fontId="10" fillId="0" borderId="2" xfId="14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9" fillId="0" borderId="2" xfId="2" applyFont="1" applyBorder="1" applyAlignment="1">
      <alignment horizontal="right"/>
    </xf>
    <xf numFmtId="0" fontId="9" fillId="0" borderId="2" xfId="2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right"/>
    </xf>
    <xf numFmtId="0" fontId="9" fillId="0" borderId="2" xfId="2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6" fillId="0" borderId="0" xfId="2" applyFont="1"/>
    <xf numFmtId="0" fontId="2" fillId="3" borderId="0" xfId="0" applyFont="1" applyFill="1"/>
    <xf numFmtId="165" fontId="2" fillId="0" borderId="2" xfId="13" applyNumberFormat="1" applyFont="1" applyBorder="1" applyAlignment="1">
      <alignment horizontal="center"/>
    </xf>
    <xf numFmtId="0" fontId="2" fillId="0" borderId="0" xfId="11" applyFont="1"/>
    <xf numFmtId="0" fontId="2" fillId="0" borderId="0" xfId="0" applyFont="1"/>
    <xf numFmtId="0" fontId="2" fillId="0" borderId="2" xfId="0" pivotButton="1" applyFont="1" applyBorder="1"/>
    <xf numFmtId="0" fontId="2" fillId="0" borderId="2" xfId="0" applyFont="1" applyBorder="1"/>
    <xf numFmtId="0" fontId="2" fillId="0" borderId="0" xfId="0" applyFont="1" applyAlignment="1">
      <alignment vertical="center"/>
    </xf>
    <xf numFmtId="0" fontId="1" fillId="3" borderId="0" xfId="0" applyFont="1" applyFill="1"/>
    <xf numFmtId="0" fontId="11" fillId="0" borderId="0" xfId="13" applyFont="1" applyAlignment="1">
      <alignment horizontal="left"/>
    </xf>
    <xf numFmtId="0" fontId="7" fillId="0" borderId="2" xfId="13" applyNumberFormat="1" applyFont="1" applyBorder="1"/>
    <xf numFmtId="0" fontId="7" fillId="3" borderId="1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167" fontId="19" fillId="4" borderId="1" xfId="8" applyNumberFormat="1" applyFont="1" applyFill="1" applyBorder="1" applyAlignment="1">
      <alignment horizontal="center" wrapText="1"/>
    </xf>
    <xf numFmtId="167" fontId="19" fillId="4" borderId="10" xfId="8" applyNumberFormat="1" applyFont="1" applyFill="1" applyBorder="1" applyAlignment="1">
      <alignment horizontal="center" wrapText="1"/>
    </xf>
    <xf numFmtId="167" fontId="19" fillId="4" borderId="1" xfId="8" applyNumberFormat="1" applyFont="1" applyFill="1" applyBorder="1" applyAlignment="1">
      <alignment horizontal="center" vertical="center" wrapText="1"/>
    </xf>
    <xf numFmtId="167" fontId="19" fillId="4" borderId="10" xfId="8" applyNumberFormat="1" applyFont="1" applyFill="1" applyBorder="1" applyAlignment="1">
      <alignment horizontal="center" vertical="center" wrapText="1"/>
    </xf>
    <xf numFmtId="0" fontId="19" fillId="4" borderId="2" xfId="5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9" xfId="2" applyFont="1" applyBorder="1" applyAlignment="1">
      <alignment horizontal="center"/>
    </xf>
    <xf numFmtId="167" fontId="19" fillId="4" borderId="2" xfId="8" applyNumberFormat="1" applyFont="1" applyFill="1" applyBorder="1" applyAlignment="1">
      <alignment horizontal="center" vertical="center" wrapText="1"/>
    </xf>
    <xf numFmtId="0" fontId="25" fillId="0" borderId="0" xfId="2" applyFont="1" applyAlignment="1">
      <alignment horizontal="center"/>
    </xf>
    <xf numFmtId="168" fontId="19" fillId="4" borderId="2" xfId="9" applyFont="1" applyFill="1" applyBorder="1" applyAlignment="1" applyProtection="1">
      <alignment horizontal="center" vertical="center"/>
    </xf>
    <xf numFmtId="168" fontId="19" fillId="4" borderId="2" xfId="9" applyFont="1" applyFill="1" applyBorder="1" applyAlignment="1" applyProtection="1">
      <alignment horizontal="center" vertical="center" wrapText="1"/>
    </xf>
    <xf numFmtId="0" fontId="19" fillId="4" borderId="2" xfId="2" applyFont="1" applyFill="1" applyBorder="1" applyAlignment="1">
      <alignment horizontal="center" vertical="center" wrapText="1"/>
    </xf>
    <xf numFmtId="0" fontId="19" fillId="4" borderId="1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  <xf numFmtId="0" fontId="19" fillId="4" borderId="1" xfId="13" applyFont="1" applyFill="1" applyBorder="1" applyAlignment="1">
      <alignment horizontal="center" vertical="center"/>
    </xf>
    <xf numFmtId="0" fontId="19" fillId="4" borderId="10" xfId="13" applyFont="1" applyFill="1" applyBorder="1" applyAlignment="1">
      <alignment horizontal="center" vertical="center"/>
    </xf>
  </cellXfs>
  <cellStyles count="23">
    <cellStyle name="Comma 3" xfId="8" xr:uid="{4DCED0E8-8110-4946-91E1-C11C28EA4D82}"/>
    <cellStyle name="Millares" xfId="1" builtinId="3"/>
    <cellStyle name="Millares 11 2 2" xfId="14" xr:uid="{B72ABD51-6B3B-4E1F-BCCF-026AA18C686C}"/>
    <cellStyle name="Millares 11 2 2 2" xfId="20" xr:uid="{7A652E28-D7C3-49FA-B889-0C951F1A1808}"/>
    <cellStyle name="Millares 11 2 2 2 2" xfId="22" xr:uid="{6D7318FA-E081-4655-B09F-F2A6B5C5B8D6}"/>
    <cellStyle name="Millares 2" xfId="10" xr:uid="{41D04503-38DA-4140-8F2F-0E3344037714}"/>
    <cellStyle name="Millares 2 5" xfId="7" xr:uid="{EDE63661-9172-4AFE-BCD4-DD8CFD79723B}"/>
    <cellStyle name="Millares 2 5 2" xfId="21" xr:uid="{854D5CF2-43E3-4E09-8B50-4FBFB352E595}"/>
    <cellStyle name="Millares_SALDOOBLIG.AGOSTO03" xfId="9" xr:uid="{6D37D8AF-72E6-4B4E-84BF-A5D9C9A0D305}"/>
    <cellStyle name="Normal" xfId="0" builtinId="0"/>
    <cellStyle name="Normal 11 4" xfId="12" xr:uid="{2B102A3B-6F3D-4E4E-9F75-947BE3DBEE7D}"/>
    <cellStyle name="Normal 2" xfId="15" xr:uid="{26D8D663-3134-483E-AC0F-B580B3041ACC}"/>
    <cellStyle name="Normal 2 10" xfId="16" xr:uid="{31898115-4156-486C-B8AA-1C0B52349118}"/>
    <cellStyle name="Normal 2 2" xfId="2" xr:uid="{3D8AAA4F-994D-484B-B1F5-56E9A41781C7}"/>
    <cellStyle name="Normal 2 2 2 10" xfId="3" xr:uid="{F78EFDF4-CF24-408F-997E-C406C5D5A4F2}"/>
    <cellStyle name="Normal 2 2 6 2" xfId="13" xr:uid="{8A385D2C-E808-4E76-87D0-872F44A921E6}"/>
    <cellStyle name="Normal 2 2 7 2" xfId="11" xr:uid="{E132D8D5-6FA4-433D-962A-58603B4C6FF0}"/>
    <cellStyle name="Normal 50" xfId="4" xr:uid="{3E552BA3-7F43-4F4F-9B13-D8FCCE4C121D}"/>
    <cellStyle name="Normal 7" xfId="6" xr:uid="{D5445493-AA3C-48DC-9BCA-61320E66BAF3}"/>
    <cellStyle name="Normal_2102 Sumaria de Efectivo y Equivalentes" xfId="5" xr:uid="{3B5AFFFE-5EE7-4715-8B7A-C4C18B68D343}"/>
    <cellStyle name="Porcentaje 2" xfId="18" xr:uid="{199348AB-B386-49AD-913B-30E9AE039D35}"/>
    <cellStyle name="Porcentaje 3" xfId="19" xr:uid="{AE03C0AF-590F-49BC-AC6F-7B6824663776}"/>
    <cellStyle name="Porcentual 2" xfId="17" xr:uid="{108D24FC-B869-440D-91A1-F0674E7FD3C2}"/>
  </cellStyles>
  <dxfs count="2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396633</xdr:colOff>
      <xdr:row>30</xdr:row>
      <xdr:rowOff>58390</xdr:rowOff>
    </xdr:from>
    <xdr:to>
      <xdr:col>11</xdr:col>
      <xdr:colOff>1073009</xdr:colOff>
      <xdr:row>30</xdr:row>
      <xdr:rowOff>68345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9854BD3A-1FDF-499C-92B0-23635D4BBC71}"/>
            </a:ext>
          </a:extLst>
        </xdr:cNvPr>
        <xdr:cNvCxnSpPr/>
      </xdr:nvCxnSpPr>
      <xdr:spPr>
        <a:xfrm flipV="1">
          <a:off x="872883" y="4362279"/>
          <a:ext cx="21366793" cy="995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206207</xdr:colOff>
      <xdr:row>30</xdr:row>
      <xdr:rowOff>89544</xdr:rowOff>
    </xdr:from>
    <xdr:to>
      <xdr:col>21</xdr:col>
      <xdr:colOff>936727</xdr:colOff>
      <xdr:row>30</xdr:row>
      <xdr:rowOff>89544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F0D94A66-EB88-4D24-97F4-364FD143E504}"/>
            </a:ext>
          </a:extLst>
        </xdr:cNvPr>
        <xdr:cNvCxnSpPr/>
      </xdr:nvCxnSpPr>
      <xdr:spPr>
        <a:xfrm>
          <a:off x="26098879" y="4972475"/>
          <a:ext cx="585431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50747</xdr:colOff>
      <xdr:row>29</xdr:row>
      <xdr:rowOff>116767</xdr:rowOff>
    </xdr:from>
    <xdr:to>
      <xdr:col>13</xdr:col>
      <xdr:colOff>283174</xdr:colOff>
      <xdr:row>31</xdr:row>
      <xdr:rowOff>35550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175132D-DAC3-4F53-AF14-6742C780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80057" y="4780733"/>
          <a:ext cx="232427" cy="230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334793</xdr:colOff>
      <xdr:row>30</xdr:row>
      <xdr:rowOff>54742</xdr:rowOff>
    </xdr:from>
    <xdr:to>
      <xdr:col>15</xdr:col>
      <xdr:colOff>1077538</xdr:colOff>
      <xdr:row>30</xdr:row>
      <xdr:rowOff>54742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6A203614-2580-446A-9E45-DCF27FA2F6A1}"/>
            </a:ext>
          </a:extLst>
        </xdr:cNvPr>
        <xdr:cNvCxnSpPr/>
      </xdr:nvCxnSpPr>
      <xdr:spPr>
        <a:xfrm>
          <a:off x="23764103" y="4937673"/>
          <a:ext cx="1881366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169451</xdr:colOff>
      <xdr:row>29</xdr:row>
      <xdr:rowOff>202445</xdr:rowOff>
    </xdr:from>
    <xdr:to>
      <xdr:col>17</xdr:col>
      <xdr:colOff>175421</xdr:colOff>
      <xdr:row>31</xdr:row>
      <xdr:rowOff>31325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4062E25-913D-4209-8A8A-35DF51B42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76003" y="4866411"/>
          <a:ext cx="192088" cy="190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45615</xdr:colOff>
      <xdr:row>29</xdr:row>
      <xdr:rowOff>83915</xdr:rowOff>
    </xdr:from>
    <xdr:to>
      <xdr:col>1</xdr:col>
      <xdr:colOff>301285</xdr:colOff>
      <xdr:row>31</xdr:row>
      <xdr:rowOff>27151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4F39DEB-4260-48F0-BDFA-866165612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60" y="4085613"/>
          <a:ext cx="255670" cy="254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687827</xdr:colOff>
      <xdr:row>44</xdr:row>
      <xdr:rowOff>118903</xdr:rowOff>
    </xdr:from>
    <xdr:ext cx="255670" cy="255670"/>
    <xdr:pic>
      <xdr:nvPicPr>
        <xdr:cNvPr id="13" name="Imagen 12">
          <a:extLst>
            <a:ext uri="{FF2B5EF4-FFF2-40B4-BE49-F238E27FC236}">
              <a16:creationId xmlns:a16="http://schemas.microsoft.com/office/drawing/2014/main" id="{4E8BDF95-3082-4981-8D64-8C5BD3CF4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4472" y="7137324"/>
          <a:ext cx="255670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93</xdr:row>
      <xdr:rowOff>0</xdr:rowOff>
    </xdr:from>
    <xdr:ext cx="158750" cy="158750"/>
    <xdr:pic>
      <xdr:nvPicPr>
        <xdr:cNvPr id="15" name="Imagen 14">
          <a:extLst>
            <a:ext uri="{FF2B5EF4-FFF2-40B4-BE49-F238E27FC236}">
              <a16:creationId xmlns:a16="http://schemas.microsoft.com/office/drawing/2014/main" id="{1B5E9679-FB0C-424C-BF02-D32289EB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924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94</xdr:row>
      <xdr:rowOff>0</xdr:rowOff>
    </xdr:from>
    <xdr:to>
      <xdr:col>0</xdr:col>
      <xdr:colOff>158750</xdr:colOff>
      <xdr:row>95</xdr:row>
      <xdr:rowOff>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7783BD1-ACAE-40B1-BF68-7754BC65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5135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148726</xdr:colOff>
      <xdr:row>95</xdr:row>
      <xdr:rowOff>148351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32A2FAF-1DBE-4D23-8E78-839E13BE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10109"/>
          <a:ext cx="148726" cy="148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174625</xdr:colOff>
      <xdr:row>97</xdr:row>
      <xdr:rowOff>17834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844A484-D7B3-4C73-A510-AC28C989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68859"/>
          <a:ext cx="174625" cy="176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6365</xdr:colOff>
      <xdr:row>97</xdr:row>
      <xdr:rowOff>27406</xdr:rowOff>
    </xdr:from>
    <xdr:to>
      <xdr:col>0</xdr:col>
      <xdr:colOff>198453</xdr:colOff>
      <xdr:row>98</xdr:row>
      <xdr:rowOff>63934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09DCCE3-1B00-4BB2-A7B7-BFC2EAD52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5" y="11961265"/>
          <a:ext cx="192088" cy="1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3654890</xdr:colOff>
      <xdr:row>56</xdr:row>
      <xdr:rowOff>102567</xdr:rowOff>
    </xdr:from>
    <xdr:ext cx="211297" cy="211297"/>
    <xdr:pic>
      <xdr:nvPicPr>
        <xdr:cNvPr id="20" name="Imagen 19">
          <a:extLst>
            <a:ext uri="{FF2B5EF4-FFF2-40B4-BE49-F238E27FC236}">
              <a16:creationId xmlns:a16="http://schemas.microsoft.com/office/drawing/2014/main" id="{1C2264DE-76D2-486B-A216-ECE61C77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1049" y="8670466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3654890</xdr:colOff>
      <xdr:row>68</xdr:row>
      <xdr:rowOff>102567</xdr:rowOff>
    </xdr:from>
    <xdr:ext cx="211297" cy="211297"/>
    <xdr:pic>
      <xdr:nvPicPr>
        <xdr:cNvPr id="21" name="Imagen 20">
          <a:extLst>
            <a:ext uri="{FF2B5EF4-FFF2-40B4-BE49-F238E27FC236}">
              <a16:creationId xmlns:a16="http://schemas.microsoft.com/office/drawing/2014/main" id="{07D79FB7-796E-4138-A34B-FB6D2D153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9755" y="9121283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3654890</xdr:colOff>
      <xdr:row>82</xdr:row>
      <xdr:rowOff>102567</xdr:rowOff>
    </xdr:from>
    <xdr:ext cx="211297" cy="211297"/>
    <xdr:pic>
      <xdr:nvPicPr>
        <xdr:cNvPr id="23" name="Imagen 22">
          <a:extLst>
            <a:ext uri="{FF2B5EF4-FFF2-40B4-BE49-F238E27FC236}">
              <a16:creationId xmlns:a16="http://schemas.microsoft.com/office/drawing/2014/main" id="{872DDF44-B01A-45E1-AB44-6A367838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9755" y="10949053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29882</xdr:colOff>
      <xdr:row>27</xdr:row>
      <xdr:rowOff>134471</xdr:rowOff>
    </xdr:from>
    <xdr:to>
      <xdr:col>19</xdr:col>
      <xdr:colOff>425823</xdr:colOff>
      <xdr:row>30</xdr:row>
      <xdr:rowOff>67235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CCC4A7D1-5D3A-4E49-8A58-27060F9324B3}"/>
            </a:ext>
          </a:extLst>
        </xdr:cNvPr>
        <xdr:cNvCxnSpPr/>
      </xdr:nvCxnSpPr>
      <xdr:spPr>
        <a:xfrm flipH="1">
          <a:off x="28575000" y="4407647"/>
          <a:ext cx="395941" cy="40341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44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B40C0EEE-F9FB-4B70-84C9-2D7EA525E8B6}"/>
            </a:ext>
          </a:extLst>
        </xdr:cNvPr>
        <xdr:cNvSpPr txBox="1"/>
      </xdr:nvSpPr>
      <xdr:spPr>
        <a:xfrm>
          <a:off x="11417300" y="751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12</xdr:col>
      <xdr:colOff>0</xdr:colOff>
      <xdr:row>44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F50D4BD6-438F-435E-A84D-77E93D064887}"/>
            </a:ext>
          </a:extLst>
        </xdr:cNvPr>
        <xdr:cNvSpPr txBox="1"/>
      </xdr:nvSpPr>
      <xdr:spPr>
        <a:xfrm>
          <a:off x="11417300" y="751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12</xdr:col>
      <xdr:colOff>0</xdr:colOff>
      <xdr:row>44</xdr:row>
      <xdr:rowOff>0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D6BA95F9-02BC-41BC-969A-03F49741759D}"/>
            </a:ext>
          </a:extLst>
        </xdr:cNvPr>
        <xdr:cNvSpPr txBox="1"/>
      </xdr:nvSpPr>
      <xdr:spPr>
        <a:xfrm>
          <a:off x="11417300" y="751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12</xdr:col>
      <xdr:colOff>0</xdr:colOff>
      <xdr:row>44</xdr:row>
      <xdr:rowOff>0</xdr:rowOff>
    </xdr:from>
    <xdr:ext cx="184731" cy="264560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CF9787B3-1265-46F7-A74E-DB3F511D1A73}"/>
            </a:ext>
          </a:extLst>
        </xdr:cNvPr>
        <xdr:cNvSpPr txBox="1"/>
      </xdr:nvSpPr>
      <xdr:spPr>
        <a:xfrm>
          <a:off x="11417300" y="7512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EC" sz="1100"/>
        </a:p>
      </xdr:txBody>
    </xdr:sp>
    <xdr:clientData/>
  </xdr:oneCellAnchor>
  <xdr:twoCellAnchor editAs="oneCell">
    <xdr:from>
      <xdr:col>1</xdr:col>
      <xdr:colOff>367</xdr:colOff>
      <xdr:row>30</xdr:row>
      <xdr:rowOff>123043</xdr:rowOff>
    </xdr:from>
    <xdr:to>
      <xdr:col>1</xdr:col>
      <xdr:colOff>247739</xdr:colOff>
      <xdr:row>32</xdr:row>
      <xdr:rowOff>31465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1A7678-00B2-4A6E-A819-DBCD6CB8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7" y="5037943"/>
          <a:ext cx="247372" cy="238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221286</xdr:colOff>
      <xdr:row>31</xdr:row>
      <xdr:rowOff>76969</xdr:rowOff>
    </xdr:from>
    <xdr:to>
      <xdr:col>12</xdr:col>
      <xdr:colOff>267194</xdr:colOff>
      <xdr:row>31</xdr:row>
      <xdr:rowOff>80878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53146008-3DAE-45F7-BD5A-F015E64FCB27}"/>
            </a:ext>
          </a:extLst>
        </xdr:cNvPr>
        <xdr:cNvCxnSpPr/>
      </xdr:nvCxnSpPr>
      <xdr:spPr>
        <a:xfrm>
          <a:off x="475286" y="5150619"/>
          <a:ext cx="11209208" cy="3909"/>
        </a:xfrm>
        <a:prstGeom prst="straightConnector1">
          <a:avLst/>
        </a:prstGeom>
        <a:ln w="63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632818</xdr:colOff>
      <xdr:row>41</xdr:row>
      <xdr:rowOff>0</xdr:rowOff>
    </xdr:from>
    <xdr:ext cx="174625" cy="174625"/>
    <xdr:pic>
      <xdr:nvPicPr>
        <xdr:cNvPr id="9" name="Imagen 8">
          <a:extLst>
            <a:ext uri="{FF2B5EF4-FFF2-40B4-BE49-F238E27FC236}">
              <a16:creationId xmlns:a16="http://schemas.microsoft.com/office/drawing/2014/main" id="{26833897-A1D3-473E-A677-D04382838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7968" y="670560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61</xdr:row>
      <xdr:rowOff>0</xdr:rowOff>
    </xdr:from>
    <xdr:ext cx="158750" cy="158750"/>
    <xdr:pic>
      <xdr:nvPicPr>
        <xdr:cNvPr id="12" name="Imagen 11">
          <a:extLst>
            <a:ext uri="{FF2B5EF4-FFF2-40B4-BE49-F238E27FC236}">
              <a16:creationId xmlns:a16="http://schemas.microsoft.com/office/drawing/2014/main" id="{CF6B9435-E698-4CCB-9B02-D0AA6944E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54758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62</xdr:row>
      <xdr:rowOff>0</xdr:rowOff>
    </xdr:from>
    <xdr:to>
      <xdr:col>0</xdr:col>
      <xdr:colOff>158750</xdr:colOff>
      <xdr:row>63</xdr:row>
      <xdr:rowOff>4180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4294EC7-D2D9-46C7-A9C8-DCD46328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15693"/>
          <a:ext cx="158750" cy="160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148726</xdr:colOff>
      <xdr:row>63</xdr:row>
      <xdr:rowOff>148351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A7B4A46-2DB3-494E-A318-6FA43EC7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76627"/>
          <a:ext cx="148726" cy="148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174625</xdr:colOff>
      <xdr:row>65</xdr:row>
      <xdr:rowOff>7383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BED9E87-73D9-4A90-A832-58DAA853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37562"/>
          <a:ext cx="174625" cy="178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6365</xdr:colOff>
      <xdr:row>65</xdr:row>
      <xdr:rowOff>27406</xdr:rowOff>
    </xdr:from>
    <xdr:to>
      <xdr:col>0</xdr:col>
      <xdr:colOff>198453</xdr:colOff>
      <xdr:row>66</xdr:row>
      <xdr:rowOff>41988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F2D861F-9555-41A8-8815-F02784CB4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5" y="15425902"/>
          <a:ext cx="192088" cy="197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197.122600000002" createdVersion="7" refreshedVersion="7" minRefreshableVersion="3" recordCount="9" xr:uid="{EDBE3B7C-2384-4718-84EF-9F11F3A13127}">
  <cacheSource type="worksheet">
    <worksheetSource ref="B33:J42" sheet="330.05.02"/>
  </cacheSource>
  <cacheFields count="9">
    <cacheField name="N° Serie" numFmtId="0">
      <sharedItems containsNonDate="0" containsString="0" containsBlank="1"/>
    </cacheField>
    <cacheField name="Cuota" numFmtId="0">
      <sharedItems containsString="0" containsBlank="1" containsNumber="1" containsInteger="1" minValue="1" maxValue="5"/>
    </cacheField>
    <cacheField name="Fecha" numFmtId="0">
      <sharedItems containsBlank="1"/>
    </cacheField>
    <cacheField name="Días" numFmtId="0">
      <sharedItems containsBlank="1" containsMixedTypes="1" containsNumber="1" containsInteger="1" minValue="0" maxValue="450"/>
    </cacheField>
    <cacheField name="Tasa" numFmtId="0">
      <sharedItems containsBlank="1" containsMixedTypes="1" containsNumber="1" containsInteger="1" minValue="0" maxValue="0"/>
    </cacheField>
    <cacheField name="Capital" numFmtId="0">
      <sharedItems containsString="0" containsBlank="1" containsNumber="1" containsInteger="1" minValue="0" maxValue="0"/>
    </cacheField>
    <cacheField name="Clasificación" numFmtId="0">
      <sharedItems containsBlank="1" containsMixedTypes="1" containsNumber="1" containsInteger="1" minValue="0" maxValue="0" count="4">
        <m/>
        <s v="Corto Plazo"/>
        <s v="Largo Plazo"/>
        <n v="0"/>
      </sharedItems>
    </cacheField>
    <cacheField name="Interés" numFmtId="0">
      <sharedItems containsString="0" containsBlank="1" containsNumber="1" containsInteger="1" minValue="0" maxValue="0"/>
    </cacheField>
    <cacheField name="Pag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m/>
    <m/>
    <s v="Vencimiento"/>
    <s v="transcurridos"/>
    <s v="interes"/>
    <m/>
    <x v="0"/>
    <m/>
    <m/>
  </r>
  <r>
    <m/>
    <m/>
    <m/>
    <n v="0"/>
    <n v="0"/>
    <n v="0"/>
    <x v="1"/>
    <m/>
    <m/>
  </r>
  <r>
    <m/>
    <n v="1"/>
    <s v="_ /_ /2022"/>
    <n v="450"/>
    <n v="0"/>
    <n v="0"/>
    <x v="2"/>
    <n v="0"/>
    <n v="0"/>
  </r>
  <r>
    <m/>
    <n v="2"/>
    <e v="#VALUE!"/>
    <n v="0"/>
    <n v="0"/>
    <n v="0"/>
    <x v="1"/>
    <n v="0"/>
    <n v="0"/>
  </r>
  <r>
    <m/>
    <n v="3"/>
    <e v="#VALUE!"/>
    <n v="0"/>
    <n v="0"/>
    <n v="0"/>
    <x v="1"/>
    <n v="0"/>
    <n v="0"/>
  </r>
  <r>
    <m/>
    <n v="4"/>
    <e v="#VALUE!"/>
    <n v="0"/>
    <n v="0"/>
    <n v="0"/>
    <x v="1"/>
    <n v="0"/>
    <n v="0"/>
  </r>
  <r>
    <m/>
    <n v="5"/>
    <e v="#VALUE!"/>
    <n v="0"/>
    <n v="0"/>
    <n v="0"/>
    <x v="1"/>
    <n v="0"/>
    <n v="0"/>
  </r>
  <r>
    <m/>
    <m/>
    <m/>
    <m/>
    <m/>
    <m/>
    <x v="0"/>
    <m/>
    <m/>
  </r>
  <r>
    <m/>
    <m/>
    <m/>
    <m/>
    <m/>
    <m/>
    <x v="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673FA-4C95-40D2-9400-80E4FA6D77C9}" name="TablaDinámica1" cacheId="4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>
  <location ref="B50:C56" firstHeaderRow="2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3"/>
        <item x="1"/>
        <item n=" " x="0"/>
        <item x="2"/>
        <item t="default"/>
      </items>
    </pivotField>
    <pivotField compact="0" outline="0" showAll="0"/>
    <pivotField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grupación" fld="5" baseField="0" baseItem="0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6" type="button" dataOnly="0" labelOnly="1" outline="0" axis="axisRow" fieldPosition="0"/>
    </format>
    <format dxfId="16">
      <pivotArea dataOnly="0" labelOnly="1" outline="0" fieldPosition="0">
        <references count="1">
          <reference field="6" count="0"/>
        </references>
      </pivotArea>
    </format>
    <format dxfId="15">
      <pivotArea dataOnly="0" labelOnly="1" grandRow="1" outline="0" fieldPosition="0"/>
    </format>
    <format dxfId="14">
      <pivotArea type="topRight" dataOnly="0" labelOnly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6" type="button" dataOnly="0" labelOnly="1" outline="0" axis="axisRow" fieldPosition="0"/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dataOnly="0" labelOnly="1" grandRow="1" outline="0" fieldPosition="0"/>
    </format>
    <format dxfId="7">
      <pivotArea type="topRight" dataOnly="0" labelOnly="1" outline="0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type="origin" dataOnly="0" labelOnly="1" outline="0" fieldPosition="0"/>
    </format>
    <format dxfId="3">
      <pivotArea field="6" type="button" dataOnly="0" labelOnly="1" outline="0" axis="axisRow" fieldPosition="0"/>
    </format>
    <format dxfId="2">
      <pivotArea dataOnly="0" labelOnly="1" outline="0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5198-E4AC-4334-9B9D-F2F658901421}">
  <dimension ref="A3:X120"/>
  <sheetViews>
    <sheetView showGridLines="0" zoomScale="70" zoomScaleNormal="70" workbookViewId="0"/>
  </sheetViews>
  <sheetFormatPr baseColWidth="10" defaultColWidth="9.08984375" defaultRowHeight="12.5"/>
  <cols>
    <col min="1" max="1" width="6.81640625" style="35" customWidth="1"/>
    <col min="2" max="2" width="36.81640625" style="1" customWidth="1"/>
    <col min="3" max="3" width="57.08984375" style="1" customWidth="1"/>
    <col min="4" max="4" width="32.81640625" style="1" customWidth="1"/>
    <col min="5" max="5" width="15.7265625" style="1" customWidth="1"/>
    <col min="6" max="6" width="18.36328125" style="1" customWidth="1"/>
    <col min="7" max="7" width="18.08984375" style="1" customWidth="1"/>
    <col min="8" max="8" width="15.7265625" style="1" customWidth="1"/>
    <col min="9" max="9" width="24.26953125" style="1" customWidth="1"/>
    <col min="10" max="10" width="14.1796875" style="1" bestFit="1" customWidth="1"/>
    <col min="11" max="11" width="14.7265625" style="1" customWidth="1"/>
    <col min="12" max="12" width="16.26953125" style="1" customWidth="1"/>
    <col min="13" max="13" width="5.26953125" style="21" customWidth="1"/>
    <col min="14" max="14" width="18.26953125" style="1" customWidth="1"/>
    <col min="15" max="16" width="16.26953125" style="1" customWidth="1"/>
    <col min="17" max="17" width="2.7265625" style="1" customWidth="1"/>
    <col min="18" max="18" width="23.6328125" style="1" customWidth="1"/>
    <col min="19" max="19" width="13.36328125" style="1" customWidth="1"/>
    <col min="20" max="20" width="16.1796875" style="1" customWidth="1"/>
    <col min="21" max="21" width="20.1796875" style="1" customWidth="1"/>
    <col min="22" max="22" width="14.1796875" style="1" bestFit="1" customWidth="1"/>
    <col min="23" max="16384" width="9.08984375" style="1"/>
  </cols>
  <sheetData>
    <row r="3" spans="2:22">
      <c r="T3" s="143" t="s">
        <v>0</v>
      </c>
      <c r="U3" s="143" t="s">
        <v>1</v>
      </c>
      <c r="V3" s="144" t="s">
        <v>14</v>
      </c>
    </row>
    <row r="4" spans="2:22">
      <c r="B4" s="27" t="s">
        <v>13</v>
      </c>
      <c r="J4" s="29"/>
      <c r="K4" s="29"/>
      <c r="L4" s="30"/>
      <c r="M4" s="30"/>
      <c r="N4" s="30"/>
      <c r="O4" s="30"/>
      <c r="P4" s="30"/>
      <c r="Q4" s="2"/>
      <c r="T4" s="31" t="s">
        <v>31</v>
      </c>
      <c r="U4" s="31" t="s">
        <v>31</v>
      </c>
      <c r="V4" s="32" t="s">
        <v>90</v>
      </c>
    </row>
    <row r="5" spans="2:22">
      <c r="B5" s="27" t="s">
        <v>77</v>
      </c>
      <c r="Q5" s="2"/>
      <c r="R5" s="4"/>
      <c r="S5" s="4"/>
      <c r="T5" s="4"/>
      <c r="U5" s="5"/>
    </row>
    <row r="6" spans="2:22">
      <c r="B6" s="64" t="s">
        <v>32</v>
      </c>
      <c r="Q6" s="2"/>
      <c r="R6" s="4"/>
      <c r="S6" s="4"/>
      <c r="T6" s="4"/>
      <c r="U6" s="5"/>
    </row>
    <row r="7" spans="2:22">
      <c r="B7" s="64" t="s">
        <v>70</v>
      </c>
      <c r="Q7" s="2"/>
      <c r="R7" s="4"/>
      <c r="S7" s="4"/>
      <c r="T7" s="4"/>
      <c r="U7" s="5"/>
    </row>
    <row r="8" spans="2:22" ht="7" customHeight="1" thickBot="1">
      <c r="B8" s="28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2:22" ht="13" thickTop="1">
      <c r="M9" s="1"/>
    </row>
    <row r="10" spans="2:22">
      <c r="B10" s="59" t="s">
        <v>2</v>
      </c>
      <c r="D10" s="6"/>
      <c r="E10" s="7"/>
      <c r="F10" s="7"/>
      <c r="G10" s="7"/>
      <c r="H10" s="7"/>
      <c r="I10" s="8"/>
      <c r="J10" s="2"/>
      <c r="K10" s="2"/>
      <c r="L10" s="2"/>
      <c r="M10" s="45"/>
      <c r="N10" s="2"/>
      <c r="O10" s="2"/>
      <c r="P10" s="2"/>
      <c r="Q10" s="2"/>
    </row>
    <row r="11" spans="2:22" ht="8" customHeight="1">
      <c r="B11" s="59"/>
      <c r="D11" s="6"/>
      <c r="E11" s="7"/>
      <c r="F11" s="7"/>
      <c r="G11" s="7"/>
      <c r="H11" s="7"/>
      <c r="I11" s="8"/>
      <c r="J11" s="2"/>
      <c r="K11" s="2"/>
      <c r="L11" s="2"/>
      <c r="M11" s="45"/>
      <c r="N11" s="2"/>
      <c r="O11" s="2"/>
      <c r="P11" s="2"/>
      <c r="Q11" s="2"/>
    </row>
    <row r="12" spans="2:22">
      <c r="B12" s="1" t="s">
        <v>71</v>
      </c>
      <c r="D12" s="6"/>
      <c r="E12" s="7"/>
      <c r="F12" s="7"/>
      <c r="G12" s="7"/>
      <c r="H12" s="7"/>
      <c r="I12" s="8"/>
      <c r="J12" s="2"/>
      <c r="K12" s="2"/>
      <c r="L12" s="2"/>
      <c r="M12" s="45"/>
      <c r="N12" s="2"/>
      <c r="O12" s="2"/>
      <c r="P12" s="2"/>
      <c r="Q12" s="2"/>
    </row>
    <row r="13" spans="2:22">
      <c r="D13" s="6"/>
      <c r="E13" s="7"/>
      <c r="F13" s="7"/>
      <c r="G13" s="7"/>
      <c r="H13" s="7"/>
      <c r="I13" s="8"/>
      <c r="J13" s="2"/>
      <c r="K13" s="2"/>
      <c r="L13" s="2"/>
      <c r="M13" s="45"/>
      <c r="N13" s="2"/>
      <c r="O13" s="2"/>
      <c r="P13" s="2"/>
      <c r="Q13" s="2"/>
    </row>
    <row r="14" spans="2:22">
      <c r="B14" s="60" t="s">
        <v>15</v>
      </c>
      <c r="C14" s="33"/>
      <c r="D14" s="6"/>
      <c r="E14" s="7"/>
      <c r="F14" s="7"/>
      <c r="G14" s="7"/>
      <c r="H14" s="7"/>
      <c r="I14" s="8"/>
      <c r="J14" s="2"/>
      <c r="K14" s="2"/>
      <c r="L14" s="2"/>
      <c r="M14" s="45"/>
      <c r="N14" s="2"/>
      <c r="O14" s="2"/>
      <c r="P14" s="2"/>
      <c r="Q14" s="2"/>
    </row>
    <row r="15" spans="2:22">
      <c r="B15" s="21"/>
      <c r="C15" s="33"/>
      <c r="D15" s="6"/>
      <c r="E15" s="7"/>
      <c r="F15" s="7"/>
      <c r="G15" s="7"/>
      <c r="H15" s="7"/>
      <c r="I15" s="8"/>
      <c r="J15" s="2"/>
      <c r="K15" s="2"/>
      <c r="L15" s="2"/>
      <c r="M15" s="45"/>
      <c r="N15" s="2"/>
      <c r="O15" s="2"/>
      <c r="P15" s="2"/>
      <c r="Q15" s="2"/>
    </row>
    <row r="16" spans="2:22">
      <c r="B16" s="138"/>
      <c r="C16" s="139" t="s">
        <v>33</v>
      </c>
      <c r="D16" s="139" t="s">
        <v>34</v>
      </c>
      <c r="E16" s="7"/>
      <c r="F16" s="7"/>
      <c r="G16" s="7"/>
      <c r="H16" s="7"/>
      <c r="I16" s="8"/>
      <c r="J16" s="2"/>
      <c r="K16" s="2"/>
      <c r="L16" s="2"/>
      <c r="M16" s="45"/>
      <c r="N16" s="2"/>
      <c r="O16" s="2"/>
      <c r="P16" s="2"/>
      <c r="Q16" s="2"/>
    </row>
    <row r="17" spans="1:22">
      <c r="B17" s="140" t="s">
        <v>21</v>
      </c>
      <c r="C17" s="141" t="s">
        <v>35</v>
      </c>
      <c r="D17" s="141" t="s">
        <v>35</v>
      </c>
      <c r="E17" s="7"/>
      <c r="F17" s="7"/>
      <c r="G17" s="7"/>
      <c r="H17" s="7"/>
      <c r="I17" s="8"/>
      <c r="J17" s="2"/>
      <c r="K17" s="2"/>
      <c r="L17" s="2"/>
      <c r="M17" s="45"/>
      <c r="N17" s="2"/>
      <c r="O17" s="2"/>
      <c r="P17" s="2"/>
      <c r="Q17" s="2"/>
    </row>
    <row r="18" spans="1:22">
      <c r="B18" s="140" t="s">
        <v>22</v>
      </c>
      <c r="C18" s="141" t="s">
        <v>35</v>
      </c>
      <c r="D18" s="141" t="s">
        <v>35</v>
      </c>
      <c r="E18" s="7"/>
      <c r="F18" s="7"/>
      <c r="G18" s="7"/>
      <c r="H18" s="7"/>
      <c r="I18" s="8"/>
      <c r="J18" s="2"/>
      <c r="K18" s="2"/>
      <c r="L18" s="2"/>
      <c r="M18" s="45"/>
      <c r="N18" s="2"/>
      <c r="O18" s="2"/>
      <c r="P18" s="2"/>
      <c r="Q18" s="2"/>
    </row>
    <row r="19" spans="1:22">
      <c r="B19" s="140" t="s">
        <v>23</v>
      </c>
      <c r="C19" s="141" t="s">
        <v>35</v>
      </c>
      <c r="D19" s="141" t="s">
        <v>35</v>
      </c>
      <c r="E19" s="7"/>
      <c r="F19" s="7"/>
      <c r="G19" s="7"/>
      <c r="H19" s="7"/>
      <c r="I19" s="8"/>
      <c r="J19" s="2"/>
      <c r="K19" s="2"/>
      <c r="L19" s="2"/>
      <c r="M19" s="45"/>
      <c r="N19" s="2"/>
      <c r="O19" s="2"/>
      <c r="P19" s="2"/>
      <c r="Q19" s="2"/>
    </row>
    <row r="20" spans="1:22">
      <c r="D20" s="6"/>
      <c r="E20" s="7"/>
      <c r="F20" s="7"/>
      <c r="G20" s="7"/>
      <c r="H20" s="7"/>
      <c r="I20" s="8"/>
      <c r="J20" s="2"/>
      <c r="K20" s="2"/>
      <c r="L20" s="2"/>
      <c r="M20" s="45"/>
      <c r="N20" s="2"/>
      <c r="O20" s="2"/>
      <c r="P20" s="2"/>
      <c r="Q20" s="2"/>
    </row>
    <row r="21" spans="1:22">
      <c r="D21" s="6"/>
      <c r="E21" s="7"/>
      <c r="F21" s="7"/>
      <c r="G21" s="7"/>
      <c r="H21" s="7"/>
      <c r="I21" s="8"/>
      <c r="J21" s="2"/>
      <c r="K21" s="2"/>
      <c r="L21" s="2"/>
      <c r="M21" s="45"/>
      <c r="N21" s="2"/>
      <c r="O21" s="2"/>
      <c r="P21" s="2"/>
      <c r="Q21" s="2"/>
    </row>
    <row r="22" spans="1:22">
      <c r="B22" s="59" t="s">
        <v>3</v>
      </c>
      <c r="D22" s="6"/>
      <c r="E22" s="7"/>
      <c r="F22" s="7"/>
      <c r="G22" s="7"/>
      <c r="H22" s="7"/>
      <c r="I22" s="8"/>
      <c r="J22" s="2"/>
      <c r="K22" s="2"/>
      <c r="L22" s="2"/>
      <c r="M22" s="45"/>
      <c r="N22" s="2"/>
      <c r="O22" s="2"/>
      <c r="P22" s="2"/>
      <c r="Q22" s="2"/>
    </row>
    <row r="23" spans="1:22" ht="7.5" customHeight="1">
      <c r="B23" s="25"/>
      <c r="D23" s="6"/>
      <c r="E23" s="7"/>
      <c r="F23" s="7"/>
      <c r="G23" s="7"/>
      <c r="H23" s="7"/>
      <c r="I23" s="8"/>
      <c r="J23" s="2"/>
      <c r="K23" s="2"/>
      <c r="L23" s="2"/>
      <c r="M23" s="45"/>
      <c r="N23" s="2"/>
      <c r="O23" s="2"/>
      <c r="P23" s="2"/>
      <c r="Q23" s="2"/>
    </row>
    <row r="24" spans="1:22">
      <c r="A24" s="26" t="s">
        <v>41</v>
      </c>
      <c r="B24" s="177" t="s">
        <v>103</v>
      </c>
      <c r="D24" s="6"/>
      <c r="E24" s="7"/>
      <c r="F24" s="7"/>
      <c r="G24" s="7"/>
      <c r="H24" s="7"/>
      <c r="I24" s="8"/>
      <c r="J24" s="2"/>
      <c r="K24" s="2"/>
      <c r="L24" s="2"/>
      <c r="M24" s="45"/>
      <c r="N24" s="2"/>
      <c r="O24" s="2"/>
      <c r="P24" s="2"/>
      <c r="Q24" s="2"/>
    </row>
    <row r="25" spans="1:22">
      <c r="A25" s="26" t="s">
        <v>42</v>
      </c>
      <c r="B25" s="177" t="s">
        <v>104</v>
      </c>
      <c r="D25" s="6"/>
      <c r="E25" s="7"/>
      <c r="F25" s="7"/>
      <c r="G25" s="7"/>
      <c r="H25" s="7"/>
      <c r="I25" s="8"/>
      <c r="J25" s="2"/>
      <c r="K25" s="2"/>
      <c r="L25" s="2"/>
      <c r="M25" s="45"/>
      <c r="N25" s="2"/>
      <c r="O25" s="2"/>
      <c r="P25" s="2"/>
      <c r="Q25" s="2"/>
    </row>
    <row r="26" spans="1:22">
      <c r="A26" s="26" t="s">
        <v>43</v>
      </c>
      <c r="B26" s="177" t="s">
        <v>105</v>
      </c>
      <c r="D26" s="6"/>
      <c r="E26" s="7"/>
      <c r="F26" s="7"/>
      <c r="G26" s="7"/>
      <c r="H26" s="7"/>
      <c r="I26" s="8"/>
      <c r="J26" s="2"/>
      <c r="K26" s="2"/>
      <c r="L26" s="2"/>
      <c r="M26" s="45"/>
      <c r="N26" s="2"/>
      <c r="O26" s="2"/>
      <c r="P26" s="2"/>
      <c r="Q26" s="2"/>
    </row>
    <row r="27" spans="1:22">
      <c r="A27" s="26" t="s">
        <v>69</v>
      </c>
      <c r="B27" s="177" t="s">
        <v>106</v>
      </c>
      <c r="D27" s="6"/>
      <c r="E27" s="7"/>
      <c r="F27" s="7"/>
      <c r="G27" s="7"/>
      <c r="H27" s="7"/>
      <c r="I27" s="8"/>
      <c r="J27" s="2"/>
      <c r="K27" s="2"/>
      <c r="L27" s="2"/>
      <c r="M27" s="45"/>
      <c r="N27" s="2"/>
      <c r="O27" s="2"/>
      <c r="P27" s="2"/>
      <c r="Q27" s="2"/>
      <c r="S27" s="180" t="s">
        <v>58</v>
      </c>
      <c r="T27" s="181"/>
      <c r="U27" s="181"/>
      <c r="V27" s="182"/>
    </row>
    <row r="28" spans="1:22">
      <c r="D28" s="6"/>
      <c r="E28" s="7"/>
      <c r="F28" s="7"/>
      <c r="G28" s="7"/>
      <c r="H28" s="7"/>
      <c r="I28" s="8"/>
      <c r="J28" s="2"/>
      <c r="K28" s="2"/>
      <c r="L28" s="2"/>
      <c r="M28" s="45"/>
      <c r="N28" s="2"/>
      <c r="O28" s="2"/>
      <c r="P28" s="2"/>
      <c r="Q28" s="2"/>
    </row>
    <row r="29" spans="1:22">
      <c r="B29" s="59" t="s">
        <v>16</v>
      </c>
      <c r="D29" s="6"/>
      <c r="E29" s="7"/>
      <c r="F29" s="7"/>
      <c r="G29" s="7"/>
      <c r="H29" s="7"/>
      <c r="I29" s="8"/>
      <c r="J29" s="2"/>
      <c r="K29" s="2"/>
      <c r="L29" s="2"/>
      <c r="M29" s="45"/>
      <c r="N29" s="2"/>
      <c r="O29" s="2"/>
      <c r="P29" s="2"/>
      <c r="Q29" s="2"/>
    </row>
    <row r="30" spans="1:22">
      <c r="B30" s="3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46"/>
      <c r="N30" s="18"/>
      <c r="O30" s="18"/>
      <c r="P30" s="18"/>
      <c r="Q30" s="2"/>
    </row>
    <row r="31" spans="1:22" s="16" customFormat="1" ht="13" customHeight="1">
      <c r="A31" s="42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52"/>
      <c r="N31" s="192"/>
      <c r="O31" s="192"/>
      <c r="P31" s="192"/>
      <c r="Q31" s="19"/>
      <c r="R31" s="189"/>
      <c r="S31" s="189"/>
      <c r="T31" s="189"/>
      <c r="U31" s="189"/>
      <c r="V31" s="189"/>
    </row>
    <row r="32" spans="1:22" s="56" customFormat="1" ht="13" customHeight="1">
      <c r="A32" s="53"/>
      <c r="B32" s="195" t="s">
        <v>78</v>
      </c>
      <c r="C32" s="195" t="s">
        <v>79</v>
      </c>
      <c r="D32" s="196" t="s">
        <v>80</v>
      </c>
      <c r="E32" s="196" t="s">
        <v>81</v>
      </c>
      <c r="F32" s="188" t="s">
        <v>4</v>
      </c>
      <c r="G32" s="188"/>
      <c r="H32" s="196" t="s">
        <v>86</v>
      </c>
      <c r="I32" s="195" t="s">
        <v>8</v>
      </c>
      <c r="J32" s="186" t="s">
        <v>82</v>
      </c>
      <c r="K32" s="186" t="s">
        <v>14</v>
      </c>
      <c r="L32" s="184" t="s">
        <v>39</v>
      </c>
      <c r="M32" s="54"/>
      <c r="N32" s="186" t="s">
        <v>83</v>
      </c>
      <c r="O32" s="186" t="s">
        <v>14</v>
      </c>
      <c r="P32" s="191" t="s">
        <v>11</v>
      </c>
      <c r="Q32" s="55"/>
      <c r="R32" s="193" t="s">
        <v>9</v>
      </c>
      <c r="S32" s="193" t="s">
        <v>14</v>
      </c>
      <c r="T32" s="193" t="s">
        <v>84</v>
      </c>
      <c r="U32" s="194" t="s">
        <v>10</v>
      </c>
      <c r="V32" s="194" t="s">
        <v>85</v>
      </c>
    </row>
    <row r="33" spans="1:23" s="56" customFormat="1">
      <c r="A33" s="53"/>
      <c r="B33" s="195"/>
      <c r="C33" s="195"/>
      <c r="D33" s="197"/>
      <c r="E33" s="197"/>
      <c r="F33" s="86" t="s">
        <v>6</v>
      </c>
      <c r="G33" s="86" t="s">
        <v>7</v>
      </c>
      <c r="H33" s="197"/>
      <c r="I33" s="195"/>
      <c r="J33" s="187"/>
      <c r="K33" s="187"/>
      <c r="L33" s="185"/>
      <c r="M33" s="57"/>
      <c r="N33" s="187"/>
      <c r="O33" s="187"/>
      <c r="P33" s="191"/>
      <c r="Q33" s="55"/>
      <c r="R33" s="193"/>
      <c r="S33" s="193"/>
      <c r="T33" s="193"/>
      <c r="U33" s="194"/>
      <c r="V33" s="194"/>
    </row>
    <row r="34" spans="1:23">
      <c r="B34" s="67"/>
      <c r="C34" s="68"/>
      <c r="D34" s="69"/>
      <c r="E34" s="70"/>
      <c r="F34" s="71"/>
      <c r="G34" s="71"/>
      <c r="H34" s="72"/>
      <c r="I34" s="73"/>
      <c r="J34" s="74"/>
      <c r="K34" s="74"/>
      <c r="L34" s="75"/>
      <c r="M34" s="47"/>
      <c r="N34" s="75"/>
      <c r="O34" s="75"/>
      <c r="P34" s="75"/>
      <c r="Q34" s="2"/>
      <c r="R34" s="67"/>
      <c r="S34" s="67"/>
      <c r="T34" s="67"/>
      <c r="U34" s="67"/>
      <c r="V34" s="67"/>
    </row>
    <row r="35" spans="1:23">
      <c r="B35" s="161"/>
      <c r="C35" s="162"/>
      <c r="D35" s="163"/>
      <c r="E35" s="76">
        <v>0</v>
      </c>
      <c r="F35" s="76">
        <v>0</v>
      </c>
      <c r="G35" s="76">
        <v>0</v>
      </c>
      <c r="H35" s="76">
        <v>0</v>
      </c>
      <c r="I35" s="77">
        <v>0</v>
      </c>
      <c r="J35" s="78">
        <v>0</v>
      </c>
      <c r="K35" s="79"/>
      <c r="L35" s="74">
        <v>0</v>
      </c>
      <c r="M35" s="41"/>
      <c r="N35" s="74"/>
      <c r="O35" s="74"/>
      <c r="P35" s="74">
        <f t="shared" ref="P35:P43" si="0">+J35-N35</f>
        <v>0</v>
      </c>
      <c r="Q35" s="2"/>
      <c r="R35" s="85">
        <f>+'330.05.02'!I45</f>
        <v>0</v>
      </c>
      <c r="S35" s="79"/>
      <c r="T35" s="85">
        <f>+'330.05.02'!I46</f>
        <v>0</v>
      </c>
      <c r="U35" s="85">
        <f>+GETPIVOTDATA("Capital",'330.05.02'!$B$50,"Clasificación","Corto Plazo")</f>
        <v>0</v>
      </c>
      <c r="V35" s="85">
        <f>+GETPIVOTDATA("Capital",'330.05.02'!$B$50,"Clasificación","Largo Plazo")</f>
        <v>0</v>
      </c>
    </row>
    <row r="36" spans="1:23">
      <c r="B36" s="161"/>
      <c r="C36" s="164"/>
      <c r="D36" s="163"/>
      <c r="E36" s="76">
        <v>0</v>
      </c>
      <c r="F36" s="76">
        <v>0</v>
      </c>
      <c r="G36" s="76">
        <v>0</v>
      </c>
      <c r="H36" s="76">
        <v>0</v>
      </c>
      <c r="I36" s="77">
        <v>0</v>
      </c>
      <c r="J36" s="74">
        <v>0</v>
      </c>
      <c r="K36" s="79"/>
      <c r="L36" s="74">
        <v>0</v>
      </c>
      <c r="M36" s="41"/>
      <c r="N36" s="74"/>
      <c r="O36" s="74"/>
      <c r="P36" s="74">
        <f t="shared" si="0"/>
        <v>0</v>
      </c>
      <c r="Q36" s="2"/>
      <c r="R36" s="85">
        <f>+'330.05.02'!I45</f>
        <v>0</v>
      </c>
      <c r="S36" s="79"/>
      <c r="T36" s="79">
        <f>+'330.05.02'!I46</f>
        <v>0</v>
      </c>
      <c r="U36" s="85">
        <v>0</v>
      </c>
      <c r="V36" s="85">
        <v>0</v>
      </c>
    </row>
    <row r="37" spans="1:23">
      <c r="B37" s="161"/>
      <c r="C37" s="165"/>
      <c r="D37" s="163"/>
      <c r="E37" s="76">
        <v>0</v>
      </c>
      <c r="F37" s="76">
        <v>0</v>
      </c>
      <c r="G37" s="76">
        <v>0</v>
      </c>
      <c r="H37" s="76">
        <v>0</v>
      </c>
      <c r="I37" s="77">
        <v>0</v>
      </c>
      <c r="J37" s="74">
        <v>0</v>
      </c>
      <c r="K37" s="79"/>
      <c r="L37" s="74">
        <v>0</v>
      </c>
      <c r="M37" s="41"/>
      <c r="N37" s="74"/>
      <c r="O37" s="74"/>
      <c r="P37" s="74">
        <f t="shared" si="0"/>
        <v>0</v>
      </c>
      <c r="Q37" s="2"/>
      <c r="R37" s="85">
        <v>0</v>
      </c>
      <c r="S37" s="79"/>
      <c r="T37" s="85">
        <v>0</v>
      </c>
      <c r="U37" s="85">
        <v>0</v>
      </c>
      <c r="V37" s="85">
        <v>0</v>
      </c>
    </row>
    <row r="38" spans="1:23">
      <c r="B38" s="161"/>
      <c r="C38" s="162"/>
      <c r="D38" s="163"/>
      <c r="E38" s="76">
        <v>0</v>
      </c>
      <c r="F38" s="76">
        <v>0</v>
      </c>
      <c r="G38" s="76">
        <v>0</v>
      </c>
      <c r="H38" s="76">
        <v>0</v>
      </c>
      <c r="I38" s="77">
        <v>0</v>
      </c>
      <c r="J38" s="74">
        <v>0</v>
      </c>
      <c r="K38" s="79"/>
      <c r="L38" s="74">
        <v>0</v>
      </c>
      <c r="M38" s="41"/>
      <c r="N38" s="74"/>
      <c r="O38" s="74"/>
      <c r="P38" s="74">
        <f t="shared" si="0"/>
        <v>0</v>
      </c>
      <c r="Q38" s="2"/>
      <c r="R38" s="84">
        <v>0</v>
      </c>
      <c r="S38" s="79"/>
      <c r="T38" s="85">
        <v>0</v>
      </c>
      <c r="U38" s="85">
        <v>0</v>
      </c>
      <c r="V38" s="85">
        <v>0</v>
      </c>
    </row>
    <row r="39" spans="1:23">
      <c r="B39" s="161"/>
      <c r="C39" s="164"/>
      <c r="D39" s="166"/>
      <c r="E39" s="80">
        <v>0</v>
      </c>
      <c r="F39" s="76">
        <v>0</v>
      </c>
      <c r="G39" s="76">
        <v>0</v>
      </c>
      <c r="H39" s="76">
        <v>0</v>
      </c>
      <c r="I39" s="77">
        <v>0</v>
      </c>
      <c r="J39" s="74">
        <v>0</v>
      </c>
      <c r="K39" s="79"/>
      <c r="L39" s="74">
        <v>0</v>
      </c>
      <c r="M39" s="41"/>
      <c r="N39" s="74"/>
      <c r="O39" s="74"/>
      <c r="P39" s="74">
        <f t="shared" si="0"/>
        <v>0</v>
      </c>
      <c r="Q39" s="2"/>
      <c r="R39" s="85">
        <v>0</v>
      </c>
      <c r="S39" s="79"/>
      <c r="T39" s="85">
        <v>0</v>
      </c>
      <c r="U39" s="85">
        <v>0</v>
      </c>
      <c r="V39" s="85">
        <v>0</v>
      </c>
    </row>
    <row r="40" spans="1:23">
      <c r="B40" s="161"/>
      <c r="C40" s="162"/>
      <c r="D40" s="163"/>
      <c r="E40" s="80">
        <v>0</v>
      </c>
      <c r="F40" s="76">
        <v>0</v>
      </c>
      <c r="G40" s="80">
        <v>0</v>
      </c>
      <c r="H40" s="76">
        <v>0</v>
      </c>
      <c r="I40" s="77">
        <v>0</v>
      </c>
      <c r="J40" s="74">
        <v>0</v>
      </c>
      <c r="K40" s="79"/>
      <c r="L40" s="74">
        <v>0</v>
      </c>
      <c r="M40" s="41"/>
      <c r="N40" s="74"/>
      <c r="O40" s="74"/>
      <c r="P40" s="74">
        <f t="shared" si="0"/>
        <v>0</v>
      </c>
      <c r="Q40" s="2"/>
      <c r="R40" s="85">
        <v>0</v>
      </c>
      <c r="S40" s="79"/>
      <c r="T40" s="85">
        <v>0</v>
      </c>
      <c r="U40" s="85">
        <v>0</v>
      </c>
      <c r="V40" s="85">
        <v>0</v>
      </c>
    </row>
    <row r="41" spans="1:23">
      <c r="B41" s="161"/>
      <c r="C41" s="162"/>
      <c r="D41" s="163"/>
      <c r="E41" s="80">
        <v>0</v>
      </c>
      <c r="F41" s="76">
        <v>0</v>
      </c>
      <c r="G41" s="76">
        <v>0</v>
      </c>
      <c r="H41" s="76">
        <v>0</v>
      </c>
      <c r="I41" s="77">
        <v>0</v>
      </c>
      <c r="J41" s="74">
        <v>0</v>
      </c>
      <c r="K41" s="79"/>
      <c r="L41" s="81">
        <v>0</v>
      </c>
      <c r="M41" s="44"/>
      <c r="N41" s="81"/>
      <c r="O41" s="81"/>
      <c r="P41" s="74">
        <f t="shared" si="0"/>
        <v>0</v>
      </c>
      <c r="Q41" s="2"/>
      <c r="R41" s="85">
        <v>0</v>
      </c>
      <c r="S41" s="79"/>
      <c r="T41" s="85">
        <v>0</v>
      </c>
      <c r="U41" s="85">
        <v>0</v>
      </c>
      <c r="V41" s="85">
        <v>0</v>
      </c>
    </row>
    <row r="42" spans="1:23">
      <c r="B42" s="161"/>
      <c r="C42" s="162"/>
      <c r="D42" s="163"/>
      <c r="E42" s="76">
        <v>0</v>
      </c>
      <c r="F42" s="76">
        <v>0</v>
      </c>
      <c r="G42" s="76">
        <v>0</v>
      </c>
      <c r="H42" s="76">
        <v>0</v>
      </c>
      <c r="I42" s="77">
        <v>0</v>
      </c>
      <c r="J42" s="74">
        <v>0</v>
      </c>
      <c r="K42" s="79"/>
      <c r="L42" s="81">
        <v>0</v>
      </c>
      <c r="M42" s="44"/>
      <c r="N42" s="81"/>
      <c r="O42" s="81"/>
      <c r="P42" s="74">
        <f t="shared" si="0"/>
        <v>0</v>
      </c>
      <c r="Q42" s="2"/>
      <c r="R42" s="85">
        <v>0</v>
      </c>
      <c r="S42" s="79"/>
      <c r="T42" s="85">
        <v>0</v>
      </c>
      <c r="U42" s="85">
        <v>0</v>
      </c>
      <c r="V42" s="85">
        <v>0</v>
      </c>
    </row>
    <row r="43" spans="1:23">
      <c r="B43" s="161"/>
      <c r="C43" s="164"/>
      <c r="D43" s="167"/>
      <c r="E43" s="76">
        <v>0</v>
      </c>
      <c r="F43" s="76">
        <v>0</v>
      </c>
      <c r="G43" s="76">
        <v>0</v>
      </c>
      <c r="H43" s="76">
        <v>0</v>
      </c>
      <c r="I43" s="77">
        <v>0</v>
      </c>
      <c r="J43" s="74"/>
      <c r="K43" s="79"/>
      <c r="L43" s="74">
        <v>0</v>
      </c>
      <c r="M43" s="41"/>
      <c r="N43" s="74"/>
      <c r="O43" s="74"/>
      <c r="P43" s="74">
        <f t="shared" si="0"/>
        <v>0</v>
      </c>
      <c r="Q43" s="2"/>
      <c r="R43" s="85">
        <v>0</v>
      </c>
      <c r="S43" s="74"/>
      <c r="T43" s="85">
        <v>0</v>
      </c>
      <c r="U43" s="85">
        <v>0</v>
      </c>
      <c r="V43" s="85">
        <v>0</v>
      </c>
    </row>
    <row r="44" spans="1:23">
      <c r="B44" s="67"/>
      <c r="C44" s="69"/>
      <c r="D44" s="70"/>
      <c r="E44" s="70"/>
      <c r="F44" s="71"/>
      <c r="G44" s="71"/>
      <c r="H44" s="72"/>
      <c r="I44" s="82"/>
      <c r="J44" s="74"/>
      <c r="K44" s="83"/>
      <c r="L44" s="74">
        <v>0</v>
      </c>
      <c r="M44" s="41"/>
      <c r="N44" s="74"/>
      <c r="O44" s="74"/>
      <c r="P44" s="74">
        <f t="shared" ref="P44" si="1">+J44-N44</f>
        <v>0</v>
      </c>
      <c r="Q44" s="2"/>
      <c r="R44" s="85">
        <v>0</v>
      </c>
      <c r="S44" s="74"/>
      <c r="T44" s="85">
        <v>0</v>
      </c>
      <c r="U44" s="85">
        <v>0</v>
      </c>
      <c r="V44" s="85">
        <v>0</v>
      </c>
    </row>
    <row r="45" spans="1:23">
      <c r="C45" s="9"/>
      <c r="D45" s="3"/>
      <c r="E45" s="3"/>
      <c r="F45" s="10"/>
      <c r="G45" s="10"/>
      <c r="H45" s="11"/>
      <c r="I45" s="12"/>
      <c r="J45" s="13"/>
      <c r="K45" s="14"/>
      <c r="L45" s="13"/>
      <c r="M45" s="41"/>
      <c r="N45" s="13"/>
      <c r="O45" s="13"/>
      <c r="P45" s="13"/>
      <c r="Q45" s="2"/>
      <c r="R45" s="43"/>
      <c r="S45" s="15"/>
      <c r="T45" s="43"/>
      <c r="U45" s="43"/>
      <c r="V45" s="43"/>
    </row>
    <row r="46" spans="1:23" ht="13" thickBot="1">
      <c r="J46" s="17"/>
      <c r="K46" s="36"/>
      <c r="L46" s="37">
        <f>SUM(L35:L45)</f>
        <v>0</v>
      </c>
      <c r="M46" s="48"/>
      <c r="N46" s="37"/>
      <c r="O46" s="37"/>
      <c r="P46" s="37">
        <f>SUM(P35:P45)</f>
        <v>0</v>
      </c>
      <c r="Q46" s="40"/>
      <c r="R46" s="37">
        <f>SUM(R35:R45)</f>
        <v>0</v>
      </c>
      <c r="S46" s="37"/>
      <c r="T46" s="37">
        <f>SUM(T35:T45)</f>
        <v>0</v>
      </c>
      <c r="U46" s="37">
        <f>SUM(U35:U45)</f>
        <v>0</v>
      </c>
      <c r="V46" s="37">
        <f>SUM(V35:V45)</f>
        <v>0</v>
      </c>
    </row>
    <row r="47" spans="1:23" ht="13" thickTop="1">
      <c r="J47" s="17"/>
      <c r="K47" s="22"/>
      <c r="L47" s="13"/>
      <c r="M47" s="41"/>
      <c r="N47" s="13"/>
      <c r="O47" s="13"/>
      <c r="P47" s="13"/>
      <c r="Q47" s="2"/>
      <c r="R47" s="15"/>
      <c r="S47" s="15"/>
      <c r="T47" s="15"/>
      <c r="U47" s="15"/>
      <c r="V47" s="15"/>
    </row>
    <row r="48" spans="1:23">
      <c r="J48" s="17"/>
      <c r="K48" s="39"/>
      <c r="L48" s="13"/>
      <c r="M48" s="41"/>
      <c r="N48" s="13"/>
      <c r="O48" s="13"/>
      <c r="P48" s="13"/>
      <c r="Q48" s="2"/>
      <c r="R48" s="13"/>
      <c r="S48" s="13"/>
      <c r="T48" s="20"/>
      <c r="U48" s="13"/>
      <c r="V48" s="13"/>
      <c r="W48" s="23"/>
    </row>
    <row r="49" spans="1:24">
      <c r="J49" s="17"/>
      <c r="K49" s="136"/>
      <c r="L49" s="49"/>
      <c r="M49" s="49"/>
      <c r="N49" s="49"/>
      <c r="O49" s="49"/>
      <c r="P49" s="49"/>
      <c r="Q49" s="45"/>
      <c r="R49" s="49"/>
      <c r="S49" s="49"/>
      <c r="T49" s="21"/>
      <c r="U49" s="49"/>
      <c r="V49" s="49"/>
      <c r="W49" s="21"/>
      <c r="X49" s="21"/>
    </row>
    <row r="50" spans="1:24" ht="15.5">
      <c r="B50" s="183" t="s">
        <v>109</v>
      </c>
      <c r="C50" s="183"/>
      <c r="D50" s="183"/>
      <c r="J50" s="17"/>
      <c r="K50" s="128"/>
      <c r="L50" s="48"/>
      <c r="M50" s="48"/>
      <c r="N50" s="48"/>
      <c r="O50" s="48"/>
      <c r="P50" s="48"/>
      <c r="Q50" s="45"/>
      <c r="R50" s="129"/>
      <c r="S50" s="130"/>
      <c r="T50" s="129"/>
      <c r="U50" s="129"/>
      <c r="V50" s="129"/>
      <c r="W50" s="21"/>
      <c r="X50" s="21"/>
    </row>
    <row r="51" spans="1:24" s="21" customFormat="1" ht="15.5">
      <c r="A51" s="51"/>
      <c r="B51" s="168"/>
      <c r="C51" s="168"/>
      <c r="D51" s="168"/>
      <c r="J51" s="127"/>
      <c r="K51" s="128"/>
      <c r="L51" s="48"/>
      <c r="M51" s="48"/>
      <c r="N51" s="48"/>
      <c r="O51" s="48"/>
      <c r="P51" s="48"/>
      <c r="Q51" s="45"/>
      <c r="R51" s="129"/>
      <c r="S51" s="130"/>
      <c r="T51" s="129"/>
      <c r="U51" s="129"/>
      <c r="V51" s="129"/>
    </row>
    <row r="52" spans="1:24" s="21" customFormat="1" ht="15.5">
      <c r="A52" s="51"/>
      <c r="B52" s="94" t="s">
        <v>108</v>
      </c>
      <c r="C52" s="131"/>
      <c r="D52" s="131"/>
      <c r="J52" s="127"/>
      <c r="K52" s="128"/>
      <c r="L52" s="48"/>
      <c r="M52" s="48"/>
      <c r="N52" s="48"/>
      <c r="O52" s="48"/>
      <c r="P52" s="48"/>
      <c r="Q52" s="45"/>
      <c r="R52" s="129"/>
      <c r="S52" s="130"/>
      <c r="T52" s="129"/>
      <c r="U52" s="129"/>
      <c r="V52" s="129"/>
    </row>
    <row r="53" spans="1:24" ht="15.5">
      <c r="B53" s="132"/>
      <c r="C53" s="132"/>
      <c r="D53" s="132"/>
      <c r="J53" s="17"/>
      <c r="K53" s="128"/>
      <c r="L53" s="48"/>
      <c r="M53" s="48"/>
      <c r="N53" s="48"/>
      <c r="O53" s="48"/>
      <c r="P53" s="48"/>
      <c r="Q53" s="45"/>
      <c r="R53" s="129"/>
      <c r="S53" s="130"/>
      <c r="T53" s="129"/>
      <c r="U53" s="129"/>
      <c r="V53" s="129"/>
      <c r="W53" s="21"/>
      <c r="X53" s="21"/>
    </row>
    <row r="54" spans="1:24">
      <c r="A54" s="87"/>
      <c r="B54" s="91" t="s">
        <v>36</v>
      </c>
      <c r="C54" s="91" t="s">
        <v>87</v>
      </c>
      <c r="D54" s="91" t="s">
        <v>37</v>
      </c>
      <c r="K54" s="21"/>
      <c r="L54" s="58"/>
      <c r="M54" s="58"/>
      <c r="N54" s="58"/>
      <c r="O54" s="58"/>
      <c r="P54" s="58"/>
      <c r="Q54" s="21"/>
      <c r="R54" s="21"/>
      <c r="S54" s="21"/>
      <c r="T54" s="137"/>
      <c r="U54" s="58"/>
      <c r="V54" s="58"/>
      <c r="W54" s="21"/>
      <c r="X54" s="21"/>
    </row>
    <row r="55" spans="1:24">
      <c r="B55" s="92">
        <v>0</v>
      </c>
      <c r="C55" s="92">
        <v>0</v>
      </c>
      <c r="D55" s="92">
        <v>0</v>
      </c>
      <c r="K55" s="21"/>
      <c r="L55" s="50"/>
      <c r="M55" s="50"/>
      <c r="N55" s="50"/>
      <c r="O55" s="50"/>
      <c r="P55" s="50"/>
      <c r="Q55" s="21"/>
      <c r="R55" s="50"/>
      <c r="S55" s="50"/>
      <c r="T55" s="50"/>
      <c r="U55" s="50"/>
      <c r="V55" s="50"/>
      <c r="W55" s="21"/>
      <c r="X55" s="21"/>
    </row>
    <row r="56" spans="1:24">
      <c r="B56" s="92">
        <v>0</v>
      </c>
      <c r="C56" s="92">
        <v>0</v>
      </c>
      <c r="D56" s="92">
        <v>0</v>
      </c>
      <c r="K56" s="21"/>
      <c r="L56" s="50"/>
      <c r="M56" s="50"/>
      <c r="N56" s="50"/>
      <c r="O56" s="50"/>
      <c r="P56" s="50"/>
      <c r="Q56" s="21"/>
      <c r="R56" s="50"/>
      <c r="S56" s="50"/>
      <c r="T56" s="50"/>
      <c r="U56" s="50"/>
      <c r="V56" s="50"/>
      <c r="W56" s="21"/>
      <c r="X56" s="21"/>
    </row>
    <row r="57" spans="1:24" ht="7" customHeight="1">
      <c r="K57" s="21"/>
      <c r="L57" s="50"/>
      <c r="M57" s="50"/>
      <c r="N57" s="50"/>
      <c r="O57" s="50"/>
      <c r="P57" s="50"/>
      <c r="Q57" s="21"/>
      <c r="R57" s="50"/>
      <c r="S57" s="50"/>
      <c r="T57" s="50"/>
      <c r="U57" s="50"/>
      <c r="V57" s="50"/>
      <c r="W57" s="21"/>
      <c r="X57" s="21"/>
    </row>
    <row r="58" spans="1:24" ht="13" thickBot="1">
      <c r="D58" s="89">
        <f>SUM(D55:D56)</f>
        <v>0</v>
      </c>
      <c r="E58" s="23" t="s">
        <v>20</v>
      </c>
      <c r="K58" s="94"/>
      <c r="L58" s="50"/>
      <c r="M58" s="50"/>
      <c r="N58" s="50"/>
      <c r="O58" s="50"/>
      <c r="P58" s="50"/>
      <c r="Q58" s="21"/>
      <c r="R58" s="50"/>
      <c r="S58" s="50"/>
      <c r="T58" s="50"/>
      <c r="U58" s="50"/>
      <c r="V58" s="50"/>
      <c r="W58" s="21"/>
      <c r="X58" s="21"/>
    </row>
    <row r="59" spans="1:24" ht="6.5" customHeight="1" thickTop="1">
      <c r="K59" s="21"/>
      <c r="L59" s="50"/>
      <c r="M59" s="50"/>
      <c r="N59" s="50"/>
      <c r="O59" s="50"/>
      <c r="P59" s="50"/>
      <c r="Q59" s="21"/>
      <c r="R59" s="50"/>
      <c r="S59" s="50"/>
      <c r="T59" s="50"/>
      <c r="U59" s="50"/>
      <c r="V59" s="50"/>
      <c r="W59" s="21"/>
      <c r="X59" s="21"/>
    </row>
    <row r="60" spans="1:24">
      <c r="C60" s="26" t="s">
        <v>38</v>
      </c>
      <c r="D60" s="66">
        <f>+L46</f>
        <v>0</v>
      </c>
      <c r="K60" s="21"/>
      <c r="L60" s="21"/>
      <c r="N60" s="21"/>
      <c r="O60" s="21"/>
      <c r="P60" s="21"/>
      <c r="Q60" s="21"/>
      <c r="R60" s="134"/>
      <c r="S60" s="50"/>
      <c r="T60" s="21"/>
      <c r="U60" s="21"/>
      <c r="V60" s="21"/>
      <c r="W60" s="21"/>
      <c r="X60" s="21"/>
    </row>
    <row r="61" spans="1:24" ht="13" thickBot="1">
      <c r="C61" s="88" t="s">
        <v>11</v>
      </c>
      <c r="D61" s="90">
        <f>+D58-D60</f>
        <v>0</v>
      </c>
      <c r="K61" s="21"/>
      <c r="L61" s="21"/>
      <c r="N61" s="21"/>
      <c r="O61" s="21"/>
      <c r="P61" s="21"/>
      <c r="Q61" s="21"/>
      <c r="R61" s="135"/>
      <c r="S61" s="134"/>
      <c r="T61" s="50"/>
      <c r="U61" s="21"/>
      <c r="V61" s="21"/>
      <c r="W61" s="21"/>
      <c r="X61" s="21"/>
    </row>
    <row r="62" spans="1:24" ht="13" thickTop="1">
      <c r="K62" s="21"/>
      <c r="L62" s="51"/>
      <c r="M62" s="51"/>
      <c r="N62" s="51"/>
      <c r="O62" s="51"/>
      <c r="P62" s="51"/>
      <c r="Q62" s="21"/>
      <c r="R62" s="41"/>
      <c r="S62" s="41"/>
      <c r="T62" s="21"/>
      <c r="U62" s="21"/>
      <c r="V62" s="21"/>
    </row>
    <row r="63" spans="1:24">
      <c r="K63" s="21"/>
      <c r="L63" s="51"/>
      <c r="M63" s="51"/>
      <c r="N63" s="51"/>
      <c r="O63" s="51"/>
      <c r="P63" s="51"/>
      <c r="Q63" s="21"/>
      <c r="R63" s="41"/>
      <c r="S63" s="21"/>
      <c r="T63" s="21"/>
      <c r="U63" s="21"/>
      <c r="V63" s="21"/>
    </row>
    <row r="64" spans="1:24">
      <c r="B64" s="94" t="s">
        <v>107</v>
      </c>
      <c r="C64" s="131"/>
      <c r="D64" s="131"/>
      <c r="K64" s="21"/>
      <c r="L64" s="21"/>
      <c r="N64" s="21"/>
      <c r="O64" s="21"/>
      <c r="P64" s="21"/>
      <c r="Q64" s="21"/>
      <c r="R64" s="135"/>
      <c r="S64" s="133"/>
      <c r="T64" s="21"/>
      <c r="U64" s="21"/>
      <c r="V64" s="21"/>
    </row>
    <row r="65" spans="2:22">
      <c r="B65" s="132"/>
      <c r="C65" s="132"/>
      <c r="D65" s="132"/>
      <c r="K65" s="21"/>
      <c r="L65" s="21"/>
      <c r="N65" s="21"/>
      <c r="O65" s="21"/>
      <c r="P65" s="21"/>
      <c r="Q65" s="21"/>
      <c r="R65" s="21"/>
      <c r="S65" s="21"/>
      <c r="T65" s="21"/>
      <c r="U65" s="21"/>
      <c r="V65" s="21"/>
    </row>
    <row r="66" spans="2:22">
      <c r="B66" s="91" t="s">
        <v>36</v>
      </c>
      <c r="C66" s="91" t="s">
        <v>87</v>
      </c>
      <c r="D66" s="91" t="s">
        <v>37</v>
      </c>
      <c r="K66" s="21"/>
      <c r="L66" s="51"/>
      <c r="M66" s="51"/>
      <c r="N66" s="51"/>
      <c r="O66" s="51"/>
      <c r="P66" s="51"/>
      <c r="Q66" s="21"/>
      <c r="R66" s="41"/>
      <c r="S66" s="41"/>
      <c r="T66" s="21"/>
      <c r="U66" s="21"/>
      <c r="V66" s="21"/>
    </row>
    <row r="67" spans="2:22">
      <c r="B67" s="92">
        <v>0</v>
      </c>
      <c r="C67" s="92">
        <v>0</v>
      </c>
      <c r="D67" s="92">
        <v>0</v>
      </c>
      <c r="K67" s="21"/>
      <c r="L67" s="51"/>
      <c r="M67" s="51"/>
      <c r="N67" s="51"/>
      <c r="O67" s="51"/>
      <c r="P67" s="51"/>
      <c r="Q67" s="21"/>
      <c r="R67" s="41"/>
      <c r="S67" s="41"/>
      <c r="T67" s="21"/>
      <c r="U67" s="21"/>
      <c r="V67" s="21"/>
    </row>
    <row r="68" spans="2:22">
      <c r="B68" s="92">
        <v>0</v>
      </c>
      <c r="C68" s="92">
        <v>0</v>
      </c>
      <c r="D68" s="92">
        <v>0</v>
      </c>
      <c r="K68" s="21"/>
      <c r="L68" s="21"/>
      <c r="N68" s="21"/>
      <c r="O68" s="21"/>
      <c r="P68" s="21"/>
      <c r="Q68" s="21"/>
      <c r="R68" s="135"/>
      <c r="S68" s="133"/>
      <c r="T68" s="21"/>
      <c r="U68" s="21"/>
      <c r="V68" s="21"/>
    </row>
    <row r="69" spans="2:22" ht="7" customHeight="1">
      <c r="K69" s="21"/>
      <c r="L69" s="21"/>
      <c r="N69" s="21"/>
      <c r="O69" s="21"/>
      <c r="P69" s="21"/>
      <c r="Q69" s="21"/>
      <c r="R69" s="21"/>
      <c r="S69" s="21"/>
      <c r="T69" s="21"/>
      <c r="U69" s="21"/>
      <c r="V69" s="21"/>
    </row>
    <row r="70" spans="2:22" ht="13" thickBot="1">
      <c r="D70" s="89">
        <f>SUM(D67:D68)</f>
        <v>0</v>
      </c>
    </row>
    <row r="71" spans="2:22" ht="13" thickTop="1"/>
    <row r="72" spans="2:22" ht="13.25" customHeight="1">
      <c r="C72" s="26" t="s">
        <v>57</v>
      </c>
      <c r="D72" s="66">
        <f>+R46</f>
        <v>0</v>
      </c>
    </row>
    <row r="73" spans="2:22" ht="13" thickBot="1">
      <c r="C73" s="88" t="s">
        <v>11</v>
      </c>
      <c r="D73" s="90">
        <f>+D70-D72</f>
        <v>0</v>
      </c>
    </row>
    <row r="74" spans="2:22" ht="13" thickTop="1"/>
    <row r="77" spans="2:22">
      <c r="B77" s="94" t="s">
        <v>110</v>
      </c>
      <c r="C77" s="131"/>
      <c r="D77" s="131"/>
    </row>
    <row r="78" spans="2:22">
      <c r="B78" s="132"/>
      <c r="C78" s="132"/>
      <c r="D78" s="132"/>
    </row>
    <row r="79" spans="2:22">
      <c r="B79" s="91" t="s">
        <v>36</v>
      </c>
      <c r="C79" s="91" t="s">
        <v>87</v>
      </c>
      <c r="D79" s="91" t="s">
        <v>37</v>
      </c>
    </row>
    <row r="80" spans="2:22">
      <c r="B80" s="92">
        <v>0</v>
      </c>
      <c r="C80" s="92">
        <v>0</v>
      </c>
      <c r="D80" s="92">
        <v>0</v>
      </c>
    </row>
    <row r="81" spans="2:4">
      <c r="B81" s="92">
        <v>0</v>
      </c>
      <c r="C81" s="92">
        <v>0</v>
      </c>
      <c r="D81" s="92"/>
    </row>
    <row r="82" spans="2:4">
      <c r="B82" s="92">
        <v>0</v>
      </c>
      <c r="C82" s="92">
        <v>0</v>
      </c>
      <c r="D82" s="92">
        <v>0</v>
      </c>
    </row>
    <row r="83" spans="2:4" ht="7" customHeight="1"/>
    <row r="84" spans="2:4" ht="13" thickBot="1">
      <c r="D84" s="89">
        <f>SUM(D80:D82)</f>
        <v>0</v>
      </c>
    </row>
    <row r="85" spans="2:4" ht="13" thickTop="1"/>
    <row r="86" spans="2:4">
      <c r="C86" s="26" t="s">
        <v>57</v>
      </c>
      <c r="D86" s="66">
        <f>+T46</f>
        <v>0</v>
      </c>
    </row>
    <row r="87" spans="2:4" ht="13" thickBot="1">
      <c r="C87" s="88" t="s">
        <v>11</v>
      </c>
      <c r="D87" s="90">
        <f>+D84-D86</f>
        <v>0</v>
      </c>
    </row>
    <row r="88" spans="2:4" ht="13" thickTop="1"/>
    <row r="92" spans="2:4">
      <c r="B92" s="62" t="s">
        <v>24</v>
      </c>
    </row>
    <row r="93" spans="2:4" ht="7" customHeight="1">
      <c r="B93" s="62"/>
    </row>
    <row r="94" spans="2:4">
      <c r="B94" s="2" t="s">
        <v>26</v>
      </c>
    </row>
    <row r="95" spans="2:4">
      <c r="B95" s="21" t="s">
        <v>27</v>
      </c>
    </row>
    <row r="96" spans="2:4">
      <c r="B96" s="21" t="s">
        <v>29</v>
      </c>
    </row>
    <row r="97" spans="1:8">
      <c r="B97" s="21" t="s">
        <v>28</v>
      </c>
    </row>
    <row r="98" spans="1:8">
      <c r="B98" s="21" t="s">
        <v>30</v>
      </c>
    </row>
    <row r="99" spans="1:8">
      <c r="B99" s="25"/>
    </row>
    <row r="100" spans="1:8">
      <c r="A100" s="50"/>
      <c r="B100" s="169" t="s">
        <v>88</v>
      </c>
    </row>
    <row r="101" spans="1:8" ht="7" customHeight="1">
      <c r="A101" s="50"/>
      <c r="B101" s="62"/>
    </row>
    <row r="102" spans="1:8">
      <c r="A102" s="63" t="s">
        <v>59</v>
      </c>
      <c r="B102" s="62"/>
    </row>
    <row r="103" spans="1:8">
      <c r="A103" s="63" t="s">
        <v>60</v>
      </c>
      <c r="B103" s="62"/>
    </row>
    <row r="104" spans="1:8">
      <c r="A104" s="63" t="s">
        <v>61</v>
      </c>
      <c r="B104" s="62"/>
    </row>
    <row r="105" spans="1:8">
      <c r="A105" s="63"/>
      <c r="B105" s="21"/>
    </row>
    <row r="106" spans="1:8">
      <c r="A106" s="51" t="s">
        <v>25</v>
      </c>
      <c r="B106" s="62" t="s">
        <v>19</v>
      </c>
    </row>
    <row r="107" spans="1:8" ht="7" customHeight="1">
      <c r="A107" s="51"/>
      <c r="B107" s="62"/>
    </row>
    <row r="108" spans="1:8">
      <c r="A108" s="63" t="s">
        <v>62</v>
      </c>
      <c r="B108" s="62"/>
    </row>
    <row r="109" spans="1:8">
      <c r="A109" s="63" t="s">
        <v>63</v>
      </c>
      <c r="B109" s="62"/>
    </row>
    <row r="110" spans="1:8">
      <c r="A110" s="63" t="s">
        <v>64</v>
      </c>
      <c r="B110" s="62"/>
    </row>
    <row r="111" spans="1:8">
      <c r="A111" s="63"/>
      <c r="B111" s="21"/>
      <c r="C111" s="25"/>
      <c r="D111" s="25"/>
      <c r="E111" s="25"/>
      <c r="F111" s="25"/>
      <c r="G111" s="25"/>
      <c r="H111" s="25"/>
    </row>
    <row r="112" spans="1:8">
      <c r="A112" s="21"/>
      <c r="B112" s="62" t="s">
        <v>17</v>
      </c>
      <c r="C112" s="25"/>
      <c r="D112" s="25"/>
      <c r="E112" s="25"/>
      <c r="F112" s="25"/>
      <c r="G112" s="25"/>
      <c r="H112" s="25"/>
    </row>
    <row r="113" spans="1:2" ht="7" customHeight="1">
      <c r="A113" s="21"/>
      <c r="B113" s="21"/>
    </row>
    <row r="114" spans="1:2">
      <c r="A114" s="63" t="s">
        <v>65</v>
      </c>
      <c r="B114" s="21"/>
    </row>
    <row r="115" spans="1:2">
      <c r="A115" s="63" t="s">
        <v>66</v>
      </c>
      <c r="B115" s="21"/>
    </row>
    <row r="116" spans="1:2">
      <c r="A116" s="63" t="s">
        <v>67</v>
      </c>
      <c r="B116" s="21"/>
    </row>
    <row r="118" spans="1:2">
      <c r="B118" s="62" t="s">
        <v>18</v>
      </c>
    </row>
    <row r="119" spans="1:2" ht="7" customHeight="1"/>
    <row r="120" spans="1:2">
      <c r="B120" s="23" t="s">
        <v>89</v>
      </c>
    </row>
  </sheetData>
  <mergeCells count="23">
    <mergeCell ref="O32:O33"/>
    <mergeCell ref="B32:B33"/>
    <mergeCell ref="I32:I33"/>
    <mergeCell ref="D32:D33"/>
    <mergeCell ref="E32:E33"/>
    <mergeCell ref="J32:J33"/>
    <mergeCell ref="H32:H33"/>
    <mergeCell ref="S27:V27"/>
    <mergeCell ref="B50:D50"/>
    <mergeCell ref="L32:L33"/>
    <mergeCell ref="K32:K33"/>
    <mergeCell ref="F32:G32"/>
    <mergeCell ref="R31:V31"/>
    <mergeCell ref="B31:L31"/>
    <mergeCell ref="N32:N33"/>
    <mergeCell ref="P32:P33"/>
    <mergeCell ref="N31:P31"/>
    <mergeCell ref="R32:R33"/>
    <mergeCell ref="S32:S33"/>
    <mergeCell ref="T32:T33"/>
    <mergeCell ref="U32:U33"/>
    <mergeCell ref="V32:V33"/>
    <mergeCell ref="C32:C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780A-6979-4A24-981A-5D72644806F3}">
  <dimension ref="A1:N88"/>
  <sheetViews>
    <sheetView showGridLines="0" tabSelected="1" zoomScale="70" zoomScaleNormal="70" workbookViewId="0">
      <selection activeCell="C19" sqref="C19"/>
    </sheetView>
  </sheetViews>
  <sheetFormatPr baseColWidth="10" defaultColWidth="11.36328125" defaultRowHeight="12.5"/>
  <cols>
    <col min="1" max="1" width="3.7265625" style="93" customWidth="1"/>
    <col min="2" max="2" width="14.90625" style="93" bestFit="1" customWidth="1"/>
    <col min="3" max="3" width="13.36328125" style="93" customWidth="1"/>
    <col min="4" max="6" width="14.81640625" style="93" bestFit="1" customWidth="1"/>
    <col min="7" max="7" width="12.26953125" style="93" bestFit="1" customWidth="1"/>
    <col min="8" max="8" width="19.1796875" style="93" customWidth="1"/>
    <col min="9" max="9" width="15" style="93" customWidth="1"/>
    <col min="10" max="10" width="14" style="93" bestFit="1" customWidth="1"/>
    <col min="11" max="11" width="6.1796875" style="93" customWidth="1"/>
    <col min="12" max="12" width="17.81640625" style="93" customWidth="1"/>
    <col min="13" max="13" width="13" style="93" bestFit="1" customWidth="1"/>
    <col min="14" max="14" width="16.81640625" style="93" customWidth="1"/>
    <col min="15" max="16384" width="11.36328125" style="93"/>
  </cols>
  <sheetData>
    <row r="1" spans="2:14" s="1" customFormat="1"/>
    <row r="2" spans="2:14" s="1" customFormat="1"/>
    <row r="3" spans="2:14" s="1" customFormat="1">
      <c r="L3" s="143" t="s">
        <v>0</v>
      </c>
      <c r="M3" s="143" t="s">
        <v>1</v>
      </c>
      <c r="N3" s="144" t="s">
        <v>14</v>
      </c>
    </row>
    <row r="4" spans="2:14" s="1" customFormat="1">
      <c r="B4" s="27" t="s">
        <v>13</v>
      </c>
      <c r="L4" s="31" t="s">
        <v>31</v>
      </c>
      <c r="M4" s="31" t="s">
        <v>31</v>
      </c>
      <c r="N4" s="32" t="s">
        <v>111</v>
      </c>
    </row>
    <row r="5" spans="2:14" s="1" customFormat="1">
      <c r="B5" s="27" t="s">
        <v>40</v>
      </c>
      <c r="M5" s="4"/>
      <c r="N5" s="4"/>
    </row>
    <row r="6" spans="2:14" s="1" customFormat="1">
      <c r="B6" s="27" t="s">
        <v>32</v>
      </c>
      <c r="M6" s="4"/>
      <c r="N6" s="4"/>
    </row>
    <row r="7" spans="2:14" s="1" customFormat="1">
      <c r="B7" s="27" t="s">
        <v>70</v>
      </c>
      <c r="M7" s="4"/>
      <c r="N7" s="4"/>
    </row>
    <row r="8" spans="2:14" s="1" customFormat="1" ht="7" customHeight="1" thickBot="1">
      <c r="B8" s="28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2:14" s="1" customFormat="1" ht="13" thickTop="1"/>
    <row r="10" spans="2:14" s="1" customFormat="1">
      <c r="B10" s="59" t="s">
        <v>2</v>
      </c>
      <c r="D10" s="6"/>
      <c r="E10" s="7"/>
      <c r="F10" s="7"/>
      <c r="G10" s="7"/>
      <c r="H10" s="7"/>
      <c r="I10" s="7"/>
      <c r="J10" s="8"/>
      <c r="K10" s="2"/>
      <c r="L10" s="2"/>
    </row>
    <row r="11" spans="2:14" s="1" customFormat="1" ht="6" customHeight="1">
      <c r="B11" s="59"/>
      <c r="D11" s="6"/>
      <c r="E11" s="7"/>
      <c r="F11" s="7"/>
      <c r="G11" s="7"/>
      <c r="H11" s="7"/>
      <c r="I11" s="7"/>
      <c r="J11" s="8"/>
      <c r="K11" s="2"/>
      <c r="L11" s="2"/>
    </row>
    <row r="12" spans="2:14" s="1" customFormat="1" ht="11.5" customHeight="1">
      <c r="B12" s="1" t="s">
        <v>68</v>
      </c>
      <c r="D12" s="6"/>
      <c r="E12" s="7"/>
      <c r="F12" s="7"/>
      <c r="G12" s="7"/>
      <c r="H12" s="7"/>
      <c r="I12" s="7"/>
      <c r="J12" s="8"/>
      <c r="K12" s="2"/>
      <c r="L12" s="2"/>
    </row>
    <row r="13" spans="2:14" s="1" customFormat="1">
      <c r="D13" s="6"/>
      <c r="E13" s="7"/>
      <c r="F13" s="7"/>
      <c r="G13" s="7"/>
      <c r="H13" s="7"/>
      <c r="I13" s="7"/>
      <c r="J13" s="8"/>
      <c r="K13" s="2"/>
      <c r="L13" s="2"/>
    </row>
    <row r="14" spans="2:14" s="1" customFormat="1">
      <c r="B14" s="59" t="s">
        <v>15</v>
      </c>
      <c r="C14" s="33"/>
      <c r="D14" s="6"/>
      <c r="E14" s="7"/>
      <c r="F14" s="7"/>
      <c r="G14" s="7"/>
      <c r="H14" s="7"/>
      <c r="I14" s="7"/>
      <c r="J14" s="8"/>
      <c r="K14" s="2"/>
      <c r="L14" s="2"/>
    </row>
    <row r="15" spans="2:14" s="1" customFormat="1" ht="7" customHeight="1">
      <c r="B15" s="59"/>
      <c r="C15" s="33"/>
      <c r="D15" s="6"/>
      <c r="E15" s="7"/>
      <c r="F15" s="7"/>
      <c r="G15" s="7"/>
      <c r="H15" s="7"/>
      <c r="I15" s="7"/>
      <c r="J15" s="8"/>
      <c r="K15" s="2"/>
      <c r="L15" s="2"/>
    </row>
    <row r="16" spans="2:14" s="1" customFormat="1">
      <c r="B16" s="21"/>
      <c r="C16" s="65" t="s">
        <v>33</v>
      </c>
      <c r="D16" s="65" t="s">
        <v>34</v>
      </c>
      <c r="E16" s="7"/>
      <c r="F16" s="7"/>
      <c r="G16" s="7"/>
      <c r="H16" s="7"/>
      <c r="I16" s="7"/>
      <c r="J16" s="8"/>
      <c r="K16" s="2"/>
      <c r="L16" s="2"/>
    </row>
    <row r="17" spans="1:12" s="1" customFormat="1">
      <c r="B17" s="61" t="s">
        <v>21</v>
      </c>
      <c r="C17" s="34" t="s">
        <v>35</v>
      </c>
      <c r="D17" s="34" t="s">
        <v>35</v>
      </c>
      <c r="E17" s="7"/>
      <c r="F17" s="7"/>
      <c r="G17" s="7"/>
      <c r="H17" s="7"/>
      <c r="I17" s="7"/>
      <c r="J17" s="8"/>
      <c r="K17" s="2"/>
      <c r="L17" s="2"/>
    </row>
    <row r="18" spans="1:12" s="1" customFormat="1">
      <c r="B18" s="61" t="s">
        <v>22</v>
      </c>
      <c r="C18" s="34" t="s">
        <v>35</v>
      </c>
      <c r="D18" s="34" t="s">
        <v>35</v>
      </c>
      <c r="E18" s="7"/>
      <c r="F18" s="7"/>
      <c r="G18" s="7"/>
      <c r="H18" s="7"/>
      <c r="I18" s="7"/>
      <c r="J18" s="8"/>
      <c r="K18" s="2"/>
      <c r="L18" s="2"/>
    </row>
    <row r="19" spans="1:12" s="1" customFormat="1">
      <c r="B19" s="61" t="s">
        <v>23</v>
      </c>
      <c r="C19" s="34" t="s">
        <v>35</v>
      </c>
      <c r="D19" s="34" t="s">
        <v>35</v>
      </c>
      <c r="E19" s="7"/>
      <c r="F19" s="7"/>
      <c r="G19" s="7"/>
      <c r="H19" s="7"/>
      <c r="I19" s="7"/>
      <c r="J19" s="8"/>
      <c r="K19" s="2"/>
      <c r="L19" s="2"/>
    </row>
    <row r="20" spans="1:12" s="1" customFormat="1">
      <c r="D20" s="6"/>
      <c r="E20" s="7"/>
      <c r="F20" s="7"/>
      <c r="G20" s="7"/>
      <c r="H20" s="7"/>
      <c r="I20" s="7"/>
      <c r="J20" s="8"/>
      <c r="K20" s="2"/>
      <c r="L20" s="2"/>
    </row>
    <row r="21" spans="1:12" s="1" customFormat="1">
      <c r="B21" s="59" t="s">
        <v>3</v>
      </c>
      <c r="D21" s="6"/>
      <c r="E21" s="7"/>
      <c r="F21" s="7"/>
      <c r="G21" s="7"/>
      <c r="H21" s="7"/>
      <c r="I21" s="7"/>
      <c r="J21" s="8"/>
      <c r="K21" s="2"/>
      <c r="L21" s="2"/>
    </row>
    <row r="22" spans="1:12" s="1" customFormat="1" ht="7" customHeight="1">
      <c r="B22" s="25"/>
      <c r="D22" s="6"/>
      <c r="E22" s="7"/>
      <c r="F22" s="7"/>
      <c r="G22" s="7"/>
      <c r="H22" s="7"/>
      <c r="I22" s="7"/>
      <c r="J22" s="8"/>
      <c r="K22" s="2"/>
      <c r="L22" s="2"/>
    </row>
    <row r="23" spans="1:12" s="1" customFormat="1">
      <c r="A23" s="26" t="s">
        <v>41</v>
      </c>
      <c r="B23" s="170" t="s">
        <v>100</v>
      </c>
      <c r="D23" s="6"/>
      <c r="E23" s="7"/>
      <c r="F23" s="7"/>
      <c r="G23" s="7"/>
      <c r="H23" s="7"/>
      <c r="I23" s="7"/>
      <c r="J23" s="8"/>
      <c r="K23" s="2"/>
      <c r="L23" s="2"/>
    </row>
    <row r="24" spans="1:12" s="1" customFormat="1">
      <c r="A24" s="26" t="s">
        <v>42</v>
      </c>
      <c r="B24" s="170" t="s">
        <v>101</v>
      </c>
      <c r="D24" s="6"/>
      <c r="E24" s="7"/>
      <c r="F24" s="7"/>
      <c r="G24" s="7"/>
      <c r="H24" s="7"/>
      <c r="I24" s="7"/>
      <c r="J24" s="8"/>
      <c r="K24" s="2"/>
      <c r="L24" s="2"/>
    </row>
    <row r="25" spans="1:12" s="1" customFormat="1">
      <c r="A25" s="26" t="s">
        <v>43</v>
      </c>
      <c r="B25" s="176" t="s">
        <v>102</v>
      </c>
      <c r="D25" s="6"/>
      <c r="E25" s="7"/>
      <c r="F25" s="7"/>
      <c r="G25" s="7"/>
      <c r="H25" s="7"/>
      <c r="I25" s="7"/>
      <c r="J25" s="8"/>
      <c r="K25" s="2"/>
      <c r="L25" s="2"/>
    </row>
    <row r="26" spans="1:12" s="1" customFormat="1">
      <c r="D26" s="6"/>
      <c r="E26" s="7"/>
      <c r="F26" s="7"/>
      <c r="G26" s="7"/>
      <c r="H26" s="7"/>
      <c r="I26" s="7"/>
      <c r="J26" s="8"/>
      <c r="K26" s="2"/>
      <c r="L26" s="2"/>
    </row>
    <row r="27" spans="1:12" s="1" customFormat="1">
      <c r="B27" s="59" t="s">
        <v>16</v>
      </c>
      <c r="D27" s="6"/>
      <c r="E27" s="7"/>
      <c r="F27" s="7"/>
      <c r="G27" s="7"/>
      <c r="H27" s="7"/>
      <c r="I27" s="7"/>
      <c r="J27" s="8"/>
      <c r="K27" s="2"/>
      <c r="L27" s="2"/>
    </row>
    <row r="28" spans="1:12" ht="7" customHeight="1">
      <c r="B28" s="94"/>
      <c r="J28" s="95"/>
      <c r="L28" s="96"/>
    </row>
    <row r="29" spans="1:12">
      <c r="B29" s="97" t="s">
        <v>44</v>
      </c>
      <c r="C29" s="145" t="s">
        <v>45</v>
      </c>
      <c r="J29" s="95"/>
      <c r="L29" s="96"/>
    </row>
    <row r="30" spans="1:12">
      <c r="B30" s="97" t="s">
        <v>46</v>
      </c>
      <c r="C30" s="145" t="s">
        <v>45</v>
      </c>
    </row>
    <row r="31" spans="1:12" s="98" customFormat="1">
      <c r="B31" s="99"/>
      <c r="D31" s="100"/>
    </row>
    <row r="32" spans="1:12" s="98" customFormat="1" ht="13.5">
      <c r="B32" s="99"/>
      <c r="C32" s="101"/>
      <c r="D32" s="102"/>
    </row>
    <row r="33" spans="2:12" s="105" customFormat="1" ht="15" customHeight="1">
      <c r="B33" s="198" t="s">
        <v>94</v>
      </c>
      <c r="C33" s="198" t="s">
        <v>47</v>
      </c>
      <c r="D33" s="103" t="s">
        <v>96</v>
      </c>
      <c r="E33" s="104" t="s">
        <v>5</v>
      </c>
      <c r="F33" s="103" t="s">
        <v>97</v>
      </c>
      <c r="G33" s="198" t="s">
        <v>48</v>
      </c>
      <c r="H33" s="198" t="s">
        <v>72</v>
      </c>
      <c r="I33" s="198" t="s">
        <v>49</v>
      </c>
      <c r="J33" s="198" t="s">
        <v>12</v>
      </c>
      <c r="L33" s="103" t="s">
        <v>50</v>
      </c>
    </row>
    <row r="34" spans="2:12" s="105" customFormat="1">
      <c r="B34" s="199"/>
      <c r="C34" s="199"/>
      <c r="D34" s="106" t="s">
        <v>95</v>
      </c>
      <c r="E34" s="107" t="s">
        <v>51</v>
      </c>
      <c r="F34" s="106" t="s">
        <v>98</v>
      </c>
      <c r="G34" s="199"/>
      <c r="H34" s="199"/>
      <c r="I34" s="199"/>
      <c r="J34" s="199"/>
      <c r="L34" s="106" t="s">
        <v>99</v>
      </c>
    </row>
    <row r="35" spans="2:12" s="98" customFormat="1">
      <c r="B35" s="146"/>
      <c r="C35" s="147"/>
      <c r="D35" s="148"/>
      <c r="E35" s="149">
        <v>0</v>
      </c>
      <c r="F35" s="150">
        <v>0</v>
      </c>
      <c r="G35" s="150">
        <v>0</v>
      </c>
      <c r="H35" s="151" t="str">
        <f>IF(E35&gt;360,"Largo Plazo",IF(E35&lt;360,"Corto Plazo",0))</f>
        <v>Corto Plazo</v>
      </c>
      <c r="I35" s="152"/>
      <c r="J35" s="153"/>
      <c r="L35" s="160">
        <v>0</v>
      </c>
    </row>
    <row r="36" spans="2:12" s="98" customFormat="1">
      <c r="B36" s="146"/>
      <c r="C36" s="154">
        <v>1</v>
      </c>
      <c r="D36" s="155" t="s">
        <v>52</v>
      </c>
      <c r="E36" s="171"/>
      <c r="F36" s="157"/>
      <c r="G36" s="157">
        <f>+L35</f>
        <v>0</v>
      </c>
      <c r="H36" s="151" t="str">
        <f t="shared" ref="H36:H40" si="0">IF(E36&gt;360,"Largo Plazo",IF(E36&lt;360,"Corto Plazo",0))</f>
        <v>Corto Plazo</v>
      </c>
      <c r="I36" s="158">
        <f>+G36*F36/100*(E36/360)</f>
        <v>0</v>
      </c>
      <c r="J36" s="159">
        <f>+G36+I36</f>
        <v>0</v>
      </c>
      <c r="K36" s="111"/>
      <c r="L36" s="153">
        <f>+L35-G36</f>
        <v>0</v>
      </c>
    </row>
    <row r="37" spans="2:12" s="98" customFormat="1">
      <c r="B37" s="146"/>
      <c r="C37" s="154">
        <v>2</v>
      </c>
      <c r="D37" s="179" t="e">
        <f>+D36+E37</f>
        <v>#VALUE!</v>
      </c>
      <c r="E37" s="156"/>
      <c r="F37" s="157"/>
      <c r="G37" s="157">
        <f>+G36</f>
        <v>0</v>
      </c>
      <c r="H37" s="151" t="str">
        <f t="shared" si="0"/>
        <v>Corto Plazo</v>
      </c>
      <c r="I37" s="158">
        <f>+G37*F37/100*(E37/360)</f>
        <v>0</v>
      </c>
      <c r="J37" s="159">
        <f t="shared" ref="J37:J40" si="1">+G37+I37</f>
        <v>0</v>
      </c>
      <c r="K37" s="111"/>
      <c r="L37" s="153">
        <f>+L36-G37</f>
        <v>0</v>
      </c>
    </row>
    <row r="38" spans="2:12" s="98" customFormat="1">
      <c r="B38" s="146"/>
      <c r="C38" s="154">
        <v>3</v>
      </c>
      <c r="D38" s="148" t="e">
        <f>+D37+E38</f>
        <v>#VALUE!</v>
      </c>
      <c r="E38" s="156"/>
      <c r="F38" s="157"/>
      <c r="G38" s="157">
        <f>+G37</f>
        <v>0</v>
      </c>
      <c r="H38" s="151" t="str">
        <f t="shared" si="0"/>
        <v>Corto Plazo</v>
      </c>
      <c r="I38" s="158">
        <f>+G38*F38/100*(E38/360)</f>
        <v>0</v>
      </c>
      <c r="J38" s="159">
        <f t="shared" si="1"/>
        <v>0</v>
      </c>
      <c r="K38" s="111"/>
      <c r="L38" s="153">
        <f>+L37-G38</f>
        <v>0</v>
      </c>
    </row>
    <row r="39" spans="2:12" s="98" customFormat="1">
      <c r="B39" s="146"/>
      <c r="C39" s="154">
        <v>4</v>
      </c>
      <c r="D39" s="179" t="e">
        <f>+D38+E39</f>
        <v>#VALUE!</v>
      </c>
      <c r="E39" s="156"/>
      <c r="F39" s="157"/>
      <c r="G39" s="157">
        <f>+G38</f>
        <v>0</v>
      </c>
      <c r="H39" s="151" t="str">
        <f t="shared" si="0"/>
        <v>Corto Plazo</v>
      </c>
      <c r="I39" s="158">
        <f t="shared" ref="I39:I40" si="2">+G39*F39/100*(E39/360)</f>
        <v>0</v>
      </c>
      <c r="J39" s="159">
        <f t="shared" si="1"/>
        <v>0</v>
      </c>
      <c r="K39" s="111"/>
      <c r="L39" s="153">
        <f>+L38-G39</f>
        <v>0</v>
      </c>
    </row>
    <row r="40" spans="2:12" s="98" customFormat="1">
      <c r="B40" s="146"/>
      <c r="C40" s="154">
        <v>5</v>
      </c>
      <c r="D40" s="148" t="e">
        <f>+D39+E40</f>
        <v>#VALUE!</v>
      </c>
      <c r="E40" s="156"/>
      <c r="F40" s="157"/>
      <c r="G40" s="157">
        <f>+G39</f>
        <v>0</v>
      </c>
      <c r="H40" s="151" t="str">
        <f t="shared" si="0"/>
        <v>Corto Plazo</v>
      </c>
      <c r="I40" s="158">
        <f t="shared" si="2"/>
        <v>0</v>
      </c>
      <c r="J40" s="159">
        <f t="shared" si="1"/>
        <v>0</v>
      </c>
      <c r="K40" s="111"/>
      <c r="L40" s="153">
        <f>+L39-G40</f>
        <v>0</v>
      </c>
    </row>
    <row r="41" spans="2:12" s="98" customFormat="1" ht="7" customHeight="1">
      <c r="B41" s="108"/>
      <c r="D41" s="109"/>
      <c r="E41" s="110"/>
      <c r="F41" s="112"/>
      <c r="G41" s="112"/>
      <c r="H41" s="113"/>
      <c r="I41" s="110"/>
      <c r="J41" s="114"/>
      <c r="L41" s="110"/>
    </row>
    <row r="42" spans="2:12" s="98" customFormat="1" ht="13" thickBot="1">
      <c r="B42" s="108"/>
      <c r="D42" s="115"/>
      <c r="E42" s="116"/>
      <c r="F42" s="117"/>
      <c r="G42" s="117"/>
      <c r="H42" s="116">
        <f>+SUM(H36:H40)</f>
        <v>0</v>
      </c>
      <c r="I42" s="116">
        <f>+SUM(I36:I40)</f>
        <v>0</v>
      </c>
      <c r="J42" s="116">
        <f>+SUM(J36:J40)</f>
        <v>0</v>
      </c>
      <c r="K42" s="118"/>
      <c r="L42" s="119"/>
    </row>
    <row r="43" spans="2:12" s="98" customFormat="1" ht="13" thickTop="1">
      <c r="B43" s="120"/>
      <c r="C43" s="121"/>
      <c r="E43" s="121"/>
      <c r="F43" s="121"/>
      <c r="G43" s="121"/>
      <c r="H43" s="121"/>
      <c r="I43" s="119"/>
      <c r="J43" s="121"/>
      <c r="L43" s="121"/>
    </row>
    <row r="44" spans="2:12" s="98" customFormat="1">
      <c r="B44" s="120"/>
      <c r="C44" s="121"/>
      <c r="E44" s="121"/>
      <c r="F44" s="121"/>
      <c r="G44" s="121"/>
      <c r="H44" s="122" t="s">
        <v>53</v>
      </c>
      <c r="I44" s="110">
        <f>+J42</f>
        <v>0</v>
      </c>
      <c r="J44" s="123"/>
      <c r="L44" s="121"/>
    </row>
    <row r="45" spans="2:12">
      <c r="H45" s="124" t="s">
        <v>54</v>
      </c>
      <c r="I45" s="110">
        <f>+I42</f>
        <v>0</v>
      </c>
      <c r="J45" s="178" t="s">
        <v>55</v>
      </c>
    </row>
    <row r="46" spans="2:12">
      <c r="H46" s="124" t="s">
        <v>56</v>
      </c>
      <c r="I46" s="110">
        <f>SUM(I36:I37)</f>
        <v>0</v>
      </c>
      <c r="J46" s="178" t="s">
        <v>55</v>
      </c>
    </row>
    <row r="47" spans="2:12">
      <c r="B47" s="172"/>
      <c r="C47" s="172"/>
      <c r="D47" s="172"/>
      <c r="H47" s="124"/>
      <c r="I47" s="110"/>
      <c r="J47" s="125"/>
      <c r="K47" s="126"/>
    </row>
    <row r="48" spans="2:12">
      <c r="B48" s="142" t="s">
        <v>91</v>
      </c>
      <c r="C48" s="172"/>
      <c r="D48" s="172"/>
      <c r="H48" s="124"/>
      <c r="I48" s="110"/>
      <c r="J48" s="125"/>
      <c r="K48" s="126"/>
    </row>
    <row r="49" spans="1:13">
      <c r="B49" s="172"/>
      <c r="C49" s="172"/>
      <c r="D49" s="172"/>
      <c r="H49" s="124"/>
      <c r="I49" s="110"/>
      <c r="J49" s="125"/>
      <c r="K49" s="126"/>
    </row>
    <row r="50" spans="1:13" ht="14.5">
      <c r="B50" s="174" t="s">
        <v>93</v>
      </c>
      <c r="C50" s="175"/>
      <c r="D50" s="173"/>
      <c r="E50"/>
      <c r="F50"/>
      <c r="G50"/>
      <c r="H50"/>
      <c r="I50"/>
      <c r="J50" s="125"/>
      <c r="K50" s="126"/>
    </row>
    <row r="51" spans="1:13" ht="14.5">
      <c r="B51" s="174" t="s">
        <v>72</v>
      </c>
      <c r="C51" s="175" t="s">
        <v>76</v>
      </c>
      <c r="D51" s="173"/>
      <c r="E51"/>
      <c r="F51"/>
      <c r="G51"/>
      <c r="H51"/>
      <c r="I51"/>
      <c r="J51" s="125"/>
      <c r="K51" s="126"/>
    </row>
    <row r="52" spans="1:13" ht="14.5">
      <c r="B52" s="175">
        <v>0</v>
      </c>
      <c r="C52" s="175"/>
      <c r="D52" s="173"/>
      <c r="E52"/>
      <c r="F52"/>
      <c r="G52"/>
      <c r="H52"/>
      <c r="I52"/>
      <c r="J52" s="125"/>
      <c r="K52" s="126"/>
    </row>
    <row r="53" spans="1:13" ht="14.5">
      <c r="B53" s="175" t="s">
        <v>74</v>
      </c>
      <c r="C53" s="175">
        <v>0</v>
      </c>
      <c r="D53" s="178" t="s">
        <v>112</v>
      </c>
      <c r="E53"/>
      <c r="F53"/>
      <c r="G53"/>
      <c r="H53"/>
      <c r="I53"/>
      <c r="J53" s="125"/>
      <c r="K53" s="126"/>
    </row>
    <row r="54" spans="1:13" ht="14.5">
      <c r="B54" s="175" t="s">
        <v>25</v>
      </c>
      <c r="C54" s="175"/>
      <c r="D54" s="178"/>
      <c r="E54"/>
      <c r="F54"/>
      <c r="G54"/>
      <c r="H54"/>
      <c r="I54"/>
      <c r="J54" s="125"/>
      <c r="K54" s="126"/>
    </row>
    <row r="55" spans="1:13" ht="14.5">
      <c r="B55" s="175" t="s">
        <v>75</v>
      </c>
      <c r="C55" s="175">
        <v>0</v>
      </c>
      <c r="D55" s="178" t="s">
        <v>112</v>
      </c>
      <c r="E55"/>
      <c r="F55"/>
      <c r="G55"/>
      <c r="H55"/>
      <c r="I55"/>
      <c r="J55" s="125"/>
      <c r="K55" s="126"/>
    </row>
    <row r="56" spans="1:13" ht="14.5">
      <c r="B56" s="175" t="s">
        <v>73</v>
      </c>
      <c r="C56" s="175">
        <v>0</v>
      </c>
      <c r="D56" s="173"/>
      <c r="E56"/>
      <c r="F56"/>
      <c r="G56"/>
      <c r="H56"/>
      <c r="I56"/>
      <c r="J56" s="125"/>
      <c r="K56" s="126"/>
    </row>
    <row r="57" spans="1:13" ht="14.5">
      <c r="B57" s="173"/>
      <c r="C57" s="173"/>
      <c r="D57" s="173"/>
      <c r="E57"/>
      <c r="F57"/>
      <c r="G57"/>
      <c r="H57"/>
      <c r="I57"/>
      <c r="J57" s="125"/>
      <c r="K57" s="126"/>
    </row>
    <row r="58" spans="1:13" ht="14.5">
      <c r="B58"/>
      <c r="C58"/>
      <c r="D58"/>
      <c r="E58"/>
      <c r="F58"/>
      <c r="G58"/>
      <c r="H58"/>
      <c r="I58" s="110"/>
      <c r="J58" s="125"/>
      <c r="K58" s="126"/>
    </row>
    <row r="59" spans="1:13" s="1" customFormat="1">
      <c r="A59" s="35"/>
      <c r="M59" s="21"/>
    </row>
    <row r="60" spans="1:13" s="1" customFormat="1">
      <c r="A60" s="35"/>
      <c r="B60" s="62" t="s">
        <v>24</v>
      </c>
      <c r="M60" s="21"/>
    </row>
    <row r="61" spans="1:13" s="1" customFormat="1" ht="7" customHeight="1">
      <c r="A61" s="35"/>
      <c r="B61" s="62"/>
      <c r="M61" s="21"/>
    </row>
    <row r="62" spans="1:13" s="1" customFormat="1">
      <c r="A62" s="35"/>
      <c r="B62" s="2" t="s">
        <v>26</v>
      </c>
      <c r="M62" s="21"/>
    </row>
    <row r="63" spans="1:13" s="1" customFormat="1">
      <c r="A63" s="35"/>
      <c r="B63" s="21" t="s">
        <v>27</v>
      </c>
      <c r="M63" s="21"/>
    </row>
    <row r="64" spans="1:13" s="1" customFormat="1">
      <c r="A64" s="35"/>
      <c r="B64" s="173" t="s">
        <v>92</v>
      </c>
      <c r="M64" s="21"/>
    </row>
    <row r="65" spans="1:13" s="1" customFormat="1">
      <c r="A65" s="35"/>
      <c r="B65" s="21" t="s">
        <v>28</v>
      </c>
      <c r="M65" s="21"/>
    </row>
    <row r="66" spans="1:13" s="1" customFormat="1">
      <c r="A66" s="35"/>
      <c r="B66" s="21" t="s">
        <v>30</v>
      </c>
      <c r="M66" s="21"/>
    </row>
    <row r="67" spans="1:13" s="1" customFormat="1">
      <c r="A67" s="35"/>
      <c r="B67" s="25"/>
      <c r="M67" s="21"/>
    </row>
    <row r="68" spans="1:13" s="1" customFormat="1">
      <c r="A68" s="50"/>
      <c r="B68" s="169" t="s">
        <v>88</v>
      </c>
      <c r="M68" s="21"/>
    </row>
    <row r="69" spans="1:13" s="1" customFormat="1" ht="7" customHeight="1">
      <c r="A69" s="50"/>
      <c r="B69" s="62"/>
      <c r="M69" s="21"/>
    </row>
    <row r="70" spans="1:13" s="1" customFormat="1">
      <c r="A70" s="63" t="s">
        <v>59</v>
      </c>
      <c r="B70" s="62"/>
      <c r="M70" s="21"/>
    </row>
    <row r="71" spans="1:13" s="1" customFormat="1">
      <c r="A71" s="63" t="s">
        <v>60</v>
      </c>
      <c r="B71" s="62"/>
      <c r="M71" s="21"/>
    </row>
    <row r="72" spans="1:13" s="1" customFormat="1">
      <c r="A72" s="63" t="s">
        <v>61</v>
      </c>
      <c r="B72" s="62"/>
      <c r="M72" s="21"/>
    </row>
    <row r="73" spans="1:13" s="1" customFormat="1">
      <c r="A73" s="63"/>
      <c r="B73" s="21"/>
      <c r="M73" s="21"/>
    </row>
    <row r="74" spans="1:13" s="1" customFormat="1">
      <c r="A74" s="51" t="s">
        <v>25</v>
      </c>
      <c r="B74" s="62" t="s">
        <v>19</v>
      </c>
      <c r="M74" s="21"/>
    </row>
    <row r="75" spans="1:13" s="1" customFormat="1" ht="7" customHeight="1">
      <c r="A75" s="51"/>
      <c r="B75" s="62"/>
      <c r="M75" s="21"/>
    </row>
    <row r="76" spans="1:13" s="1" customFormat="1">
      <c r="A76" s="63" t="s">
        <v>62</v>
      </c>
      <c r="B76" s="62"/>
      <c r="M76" s="21"/>
    </row>
    <row r="77" spans="1:13" s="1" customFormat="1">
      <c r="A77" s="63" t="s">
        <v>63</v>
      </c>
      <c r="B77" s="62"/>
      <c r="M77" s="21"/>
    </row>
    <row r="78" spans="1:13" s="1" customFormat="1">
      <c r="A78" s="63" t="s">
        <v>64</v>
      </c>
      <c r="B78" s="62"/>
      <c r="M78" s="21"/>
    </row>
    <row r="79" spans="1:13" s="1" customFormat="1">
      <c r="A79" s="63"/>
      <c r="B79" s="21"/>
      <c r="C79" s="25"/>
      <c r="D79" s="25"/>
      <c r="E79" s="25"/>
      <c r="F79" s="25"/>
      <c r="G79" s="25"/>
      <c r="H79" s="25"/>
      <c r="M79" s="21"/>
    </row>
    <row r="80" spans="1:13" s="1" customFormat="1">
      <c r="A80" s="21"/>
      <c r="B80" s="62" t="s">
        <v>17</v>
      </c>
      <c r="C80" s="25"/>
      <c r="D80" s="25"/>
      <c r="E80" s="25"/>
      <c r="F80" s="25"/>
      <c r="G80" s="25"/>
      <c r="H80" s="25"/>
      <c r="M80" s="21"/>
    </row>
    <row r="81" spans="1:13" s="1" customFormat="1" ht="7" customHeight="1">
      <c r="A81" s="21"/>
      <c r="B81" s="21"/>
      <c r="M81" s="21"/>
    </row>
    <row r="82" spans="1:13" s="1" customFormat="1">
      <c r="A82" s="63" t="s">
        <v>65</v>
      </c>
      <c r="B82" s="21"/>
      <c r="M82" s="21"/>
    </row>
    <row r="83" spans="1:13" s="1" customFormat="1">
      <c r="A83" s="63" t="s">
        <v>66</v>
      </c>
      <c r="B83" s="21"/>
      <c r="M83" s="21"/>
    </row>
    <row r="84" spans="1:13" s="1" customFormat="1">
      <c r="A84" s="63" t="s">
        <v>67</v>
      </c>
      <c r="B84" s="21"/>
      <c r="M84" s="21"/>
    </row>
    <row r="85" spans="1:13" s="1" customFormat="1">
      <c r="A85" s="35"/>
      <c r="M85" s="21"/>
    </row>
    <row r="86" spans="1:13" s="1" customFormat="1">
      <c r="A86" s="35"/>
      <c r="B86" s="62" t="s">
        <v>18</v>
      </c>
      <c r="M86" s="21"/>
    </row>
    <row r="87" spans="1:13" s="1" customFormat="1" ht="7" customHeight="1">
      <c r="A87" s="35"/>
      <c r="M87" s="21"/>
    </row>
    <row r="88" spans="1:13" s="1" customFormat="1">
      <c r="A88" s="35"/>
      <c r="B88" s="23" t="s">
        <v>89</v>
      </c>
      <c r="M88" s="21"/>
    </row>
  </sheetData>
  <autoFilter ref="B33:J40" xr:uid="{3721780A-6979-4A24-981A-5D72644806F3}"/>
  <mergeCells count="6">
    <mergeCell ref="B33:B34"/>
    <mergeCell ref="C33:C34"/>
    <mergeCell ref="H33:H34"/>
    <mergeCell ref="I33:I34"/>
    <mergeCell ref="J33:J34"/>
    <mergeCell ref="G33:G3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330.05.01</vt:lpstr>
      <vt:lpstr>330.05.02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2022-10-25T13:57:26Z</dcterms:created>
  <dcterms:modified xsi:type="dcterms:W3CDTF">2026-04-17T03:40:10Z</dcterms:modified>
</cp:coreProperties>
</file>