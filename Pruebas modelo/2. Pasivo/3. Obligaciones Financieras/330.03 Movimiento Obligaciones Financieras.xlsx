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3. Obligaciones Financieras\"/>
    </mc:Choice>
  </mc:AlternateContent>
  <xr:revisionPtr revIDLastSave="0" documentId="13_ncr:1_{B437EEAC-5722-44B3-A285-308FA2E4A4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30.03" sheetId="1" r:id="rId1"/>
    <sheet name="Mayor contable" sheetId="2" r:id="rId2"/>
  </sheets>
  <definedNames>
    <definedName name="_xlnm._FilterDatabase" localSheetId="0" hidden="1">'330.03'!$B$33:$H$44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W4Tl/NmG64PC3iylEp4hzUNgofNu3cagX1zpBr2K8o="/>
    </ext>
  </extLst>
</workbook>
</file>

<file path=xl/calcChain.xml><?xml version="1.0" encoding="utf-8"?>
<calcChain xmlns="http://schemas.openxmlformats.org/spreadsheetml/2006/main">
  <c r="F46" i="1" l="1"/>
  <c r="G46" i="1"/>
  <c r="H46" i="1"/>
  <c r="E46" i="1" l="1"/>
  <c r="H44" i="1"/>
  <c r="H43" i="1"/>
  <c r="H42" i="1"/>
  <c r="H41" i="1"/>
  <c r="H40" i="1"/>
  <c r="H39" i="1"/>
  <c r="H38" i="1"/>
  <c r="H37" i="1"/>
  <c r="H36" i="1"/>
  <c r="H35" i="1"/>
  <c r="D62" i="1" s="1"/>
  <c r="H34" i="1"/>
  <c r="D60" i="1"/>
  <c r="D63" i="1" l="1"/>
</calcChain>
</file>

<file path=xl/sharedStrings.xml><?xml version="1.0" encoding="utf-8"?>
<sst xmlns="http://schemas.openxmlformats.org/spreadsheetml/2006/main" count="77" uniqueCount="67">
  <si>
    <t>Preparado por:</t>
  </si>
  <si>
    <t>Revisado por:</t>
  </si>
  <si>
    <t>Ref.</t>
  </si>
  <si>
    <t>XX</t>
  </si>
  <si>
    <t>330.03</t>
  </si>
  <si>
    <t>COMPAÑÍA MODELO S.A.</t>
  </si>
  <si>
    <t>MOVIMIENTO OBLIGACIONES FINANCIERAS</t>
  </si>
  <si>
    <t>AL 31 DE DICIEMBRE DE 20XX</t>
  </si>
  <si>
    <t>FECHA DE CORTE: _ / _ / 20XX</t>
  </si>
  <si>
    <t>Objetivo:</t>
  </si>
  <si>
    <t>Identificar el tipo de transacciones que se han registrado en la cuenta de obligaciones financieras al _/_/20xx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</si>
  <si>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</si>
  <si>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</si>
  <si>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</si>
  <si>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</si>
  <si>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</si>
  <si>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</si>
  <si>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</si>
  <si>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Procedimientos:</t>
  </si>
  <si>
    <t>1.-</t>
  </si>
  <si>
    <t>Solicitar a la Compañía los estados financieros al _/_/20XX</t>
  </si>
  <si>
    <t>2.-</t>
  </si>
  <si>
    <t>Solicitar a la Compañía los mayores contables al _/_/20XX</t>
  </si>
  <si>
    <t>3.-</t>
  </si>
  <si>
    <t>Clasificar los movimientos en el mayor contable de la cuenta Obligaciones Financieras</t>
  </si>
  <si>
    <t>4.-</t>
  </si>
  <si>
    <t>5.-</t>
  </si>
  <si>
    <t>Documentar el papel de trabajo y concluir en base al objetivo.</t>
  </si>
  <si>
    <t xml:space="preserve">Desarrollo: </t>
  </si>
  <si>
    <t>Código cuenta contable</t>
  </si>
  <si>
    <t>Nombre de cuenta contable</t>
  </si>
  <si>
    <t>Saldo según EEFF al  _/_/20xx</t>
  </si>
  <si>
    <t>Nuevos préstamos</t>
  </si>
  <si>
    <t>Pagos realizados</t>
  </si>
  <si>
    <t>p/t 330</t>
  </si>
  <si>
    <t>p/t 330.02</t>
  </si>
  <si>
    <t>Saldo según EEFF al _/_/20xx</t>
  </si>
  <si>
    <t>Saldo según movimiento</t>
  </si>
  <si>
    <t>Diferencia</t>
  </si>
  <si>
    <t>Marcas de auditoría:</t>
  </si>
  <si>
    <t>Sumatoria</t>
  </si>
  <si>
    <t>Tomado de mayores contables al 31/xx/20xx (Año de revisión)</t>
  </si>
  <si>
    <t>Según Estado Financiero al 31/12/202x (Año anterior)</t>
  </si>
  <si>
    <t>Según Estado Financiero al 31/12/202x (Año de revisión)</t>
  </si>
  <si>
    <t>A</t>
  </si>
  <si>
    <t>B</t>
  </si>
  <si>
    <t>C</t>
  </si>
  <si>
    <t xml:space="preserve"> 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</si>
  <si>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</si>
  <si>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</si>
  <si>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</si>
  <si>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</si>
  <si>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</si>
  <si>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</si>
  <si>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</si>
  <si>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</si>
  <si>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</si>
  <si>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Conciliar el saldo del movimiento con estados financieros</t>
  </si>
  <si>
    <t>1) Cruce del movimiento vs estado de situación financiera.</t>
  </si>
  <si>
    <t>Nombre cuenta contable</t>
  </si>
  <si>
    <t>[1]</t>
  </si>
  <si>
    <t>Cruce con estado financieros</t>
  </si>
  <si>
    <t>Verificaciones:</t>
  </si>
  <si>
    <t>***Concluir en base al objetivo</t>
  </si>
  <si>
    <t>Nro. de cuenta bancaria</t>
  </si>
  <si>
    <t>p/t 330.03</t>
  </si>
  <si>
    <t>***Base del mayor contable cuenta de obligaciones financieras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</si>
</sst>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_);_(* \(#,##0.0\);_(* &quot;-&quot;??_);_(@_)"/>
    <numFmt numFmtId="166" formatCode="_(* #,##0_);_(* \(#,##0\);_(* &quot;-&quot;??_);_(@_)"/>
  </numFmts>
  <fonts count="18" x14ac:knownFonts="1">
    <font>
      <sz val="11"/>
      <color theme="1"/>
      <name val="Calibri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u/>
      <sz val="10"/>
      <color rgb="FF0000FF"/>
      <name val="Tahoma"/>
      <family val="2"/>
    </font>
    <font>
      <b/>
      <u/>
      <sz val="10"/>
      <color rgb="FF0000CC"/>
      <name val="Tahoma"/>
      <family val="2"/>
    </font>
    <font>
      <b/>
      <u/>
      <sz val="10"/>
      <color rgb="FF0000CC"/>
      <name val="Tahoma"/>
      <family val="2"/>
    </font>
    <font>
      <b/>
      <u/>
      <sz val="10"/>
      <color theme="1"/>
      <name val="Tahoma"/>
      <family val="2"/>
    </font>
    <font>
      <b/>
      <sz val="10"/>
      <color rgb="FF000000"/>
      <name val="Tahoma"/>
      <family val="2"/>
    </font>
    <font>
      <sz val="11"/>
      <name val="Calibri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b/>
      <u/>
      <sz val="10"/>
      <color rgb="FF0000FF"/>
      <name val="Tahoma"/>
      <family val="2"/>
    </font>
    <font>
      <b/>
      <sz val="10"/>
      <color rgb="FF0000FF"/>
      <name val="Tahoma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1E4E79"/>
      </bottom>
      <diagonal/>
    </border>
    <border>
      <left/>
      <right/>
      <top/>
      <bottom style="thick">
        <color rgb="FF1F386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37" fontId="4" fillId="0" borderId="4" xfId="0" applyNumberFormat="1" applyFont="1" applyBorder="1" applyAlignment="1">
      <alignment horizontal="left" vertical="center"/>
    </xf>
    <xf numFmtId="0" fontId="2" fillId="2" borderId="5" xfId="0" applyFont="1" applyFill="1" applyBorder="1"/>
    <xf numFmtId="0" fontId="5" fillId="0" borderId="0" xfId="0" applyFont="1"/>
    <xf numFmtId="49" fontId="6" fillId="2" borderId="1" xfId="0" applyNumberFormat="1" applyFont="1" applyFill="1" applyBorder="1" applyAlignment="1">
      <alignment horizontal="left" wrapText="1"/>
    </xf>
    <xf numFmtId="0" fontId="2" fillId="0" borderId="0" xfId="0" applyFont="1"/>
    <xf numFmtId="0" fontId="7" fillId="4" borderId="1" xfId="0" applyFont="1" applyFill="1" applyBorder="1"/>
    <xf numFmtId="0" fontId="6" fillId="0" borderId="0" xfId="0" applyFont="1"/>
    <xf numFmtId="0" fontId="8" fillId="4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9" fillId="0" borderId="0" xfId="0" applyFont="1"/>
    <xf numFmtId="49" fontId="6" fillId="0" borderId="0" xfId="0" applyNumberFormat="1" applyFont="1" applyAlignment="1">
      <alignment horizontal="left" wrapText="1"/>
    </xf>
    <xf numFmtId="0" fontId="4" fillId="4" borderId="1" xfId="0" applyFont="1" applyFill="1" applyBorder="1"/>
    <xf numFmtId="49" fontId="3" fillId="2" borderId="1" xfId="0" applyNumberFormat="1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49" fontId="6" fillId="2" borderId="3" xfId="0" applyNumberFormat="1" applyFont="1" applyFill="1" applyBorder="1" applyAlignment="1">
      <alignment horizontal="left" wrapText="1"/>
    </xf>
    <xf numFmtId="164" fontId="6" fillId="2" borderId="3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/>
    </xf>
    <xf numFmtId="164" fontId="11" fillId="2" borderId="6" xfId="0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right" wrapText="1"/>
    </xf>
    <xf numFmtId="164" fontId="6" fillId="2" borderId="1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/>
    <xf numFmtId="0" fontId="4" fillId="3" borderId="3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165" fontId="2" fillId="2" borderId="3" xfId="0" applyNumberFormat="1" applyFont="1" applyFill="1" applyBorder="1"/>
    <xf numFmtId="165" fontId="2" fillId="2" borderId="6" xfId="0" applyNumberFormat="1" applyFont="1" applyFill="1" applyBorder="1"/>
    <xf numFmtId="166" fontId="2" fillId="2" borderId="1" xfId="0" applyNumberFormat="1" applyFont="1" applyFill="1" applyBorder="1"/>
    <xf numFmtId="0" fontId="14" fillId="2" borderId="1" xfId="0" applyFont="1" applyFill="1" applyBorder="1" applyAlignment="1">
      <alignment horizontal="right"/>
    </xf>
    <xf numFmtId="166" fontId="2" fillId="2" borderId="6" xfId="0" applyNumberFormat="1" applyFont="1" applyFill="1" applyBorder="1"/>
    <xf numFmtId="0" fontId="15" fillId="2" borderId="1" xfId="0" applyFont="1" applyFill="1" applyBorder="1"/>
    <xf numFmtId="49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/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0" fillId="0" borderId="3" xfId="0" applyFont="1" applyBorder="1"/>
    <xf numFmtId="49" fontId="6" fillId="0" borderId="3" xfId="0" applyNumberFormat="1" applyFont="1" applyBorder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49" fontId="6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1" fillId="0" borderId="1" xfId="0" applyNumberFormat="1" applyFont="1" applyBorder="1" applyAlignment="1">
      <alignment horizontal="center" wrapText="1"/>
    </xf>
    <xf numFmtId="0" fontId="11" fillId="0" borderId="0" xfId="0" applyFont="1"/>
    <xf numFmtId="0" fontId="16" fillId="2" borderId="1" xfId="0" applyFont="1" applyFill="1" applyBorder="1"/>
    <xf numFmtId="0" fontId="5" fillId="0" borderId="1" xfId="0" applyFont="1" applyBorder="1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right"/>
    </xf>
    <xf numFmtId="0" fontId="17" fillId="0" borderId="0" xfId="0" applyFont="1"/>
    <xf numFmtId="0" fontId="4" fillId="5" borderId="7" xfId="0" applyFont="1" applyFill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1981200</xdr:colOff>
      <xdr:row>44</xdr:row>
      <xdr:rowOff>85725</xdr:rowOff>
    </xdr:from>
    <xdr:ext cx="247650" cy="2476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805759</xdr:colOff>
      <xdr:row>31</xdr:row>
      <xdr:rowOff>69573</xdr:rowOff>
    </xdr:from>
    <xdr:ext cx="228600" cy="209550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096085" y="4486964"/>
          <a:ext cx="2286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1803400</xdr:colOff>
      <xdr:row>31</xdr:row>
      <xdr:rowOff>30694</xdr:rowOff>
    </xdr:from>
    <xdr:ext cx="219075" cy="228600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082867" y="4475694"/>
          <a:ext cx="2190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30</xdr:row>
      <xdr:rowOff>133350</xdr:rowOff>
    </xdr:from>
    <xdr:ext cx="257175" cy="257175"/>
    <xdr:pic>
      <xdr:nvPicPr>
        <xdr:cNvPr id="11" name="image6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902759</xdr:colOff>
      <xdr:row>31</xdr:row>
      <xdr:rowOff>5292</xdr:rowOff>
    </xdr:from>
    <xdr:ext cx="219075" cy="22860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014759" y="4450292"/>
          <a:ext cx="2190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3648075</xdr:colOff>
      <xdr:row>58</xdr:row>
      <xdr:rowOff>95250</xdr:rowOff>
    </xdr:from>
    <xdr:ext cx="209550" cy="20955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126802</xdr:colOff>
      <xdr:row>67</xdr:row>
      <xdr:rowOff>0</xdr:rowOff>
    </xdr:from>
    <xdr:ext cx="200025" cy="200025"/>
    <xdr:pic>
      <xdr:nvPicPr>
        <xdr:cNvPr id="14" name="image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802" y="9597543"/>
          <a:ext cx="20002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136556</xdr:colOff>
      <xdr:row>68</xdr:row>
      <xdr:rowOff>0</xdr:rowOff>
    </xdr:from>
    <xdr:ext cx="200025" cy="200025"/>
    <xdr:pic>
      <xdr:nvPicPr>
        <xdr:cNvPr id="15" name="image9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6556" y="9782861"/>
          <a:ext cx="20002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136556</xdr:colOff>
      <xdr:row>69</xdr:row>
      <xdr:rowOff>0</xdr:rowOff>
    </xdr:from>
    <xdr:ext cx="200025" cy="200025"/>
    <xdr:pic>
      <xdr:nvPicPr>
        <xdr:cNvPr id="16" name="image10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6556" y="9968179"/>
          <a:ext cx="20002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136556</xdr:colOff>
      <xdr:row>70</xdr:row>
      <xdr:rowOff>0</xdr:rowOff>
    </xdr:from>
    <xdr:ext cx="200025" cy="200025"/>
    <xdr:pic>
      <xdr:nvPicPr>
        <xdr:cNvPr id="17" name="image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6556" y="10153497"/>
          <a:ext cx="200025" cy="200025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156576</xdr:colOff>
      <xdr:row>31</xdr:row>
      <xdr:rowOff>169335</xdr:rowOff>
    </xdr:from>
    <xdr:to>
      <xdr:col>2</xdr:col>
      <xdr:colOff>3932837</xdr:colOff>
      <xdr:row>31</xdr:row>
      <xdr:rowOff>169335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18AA2AA0-7F7A-41A0-B927-C2C09D503B9B}"/>
            </a:ext>
          </a:extLst>
        </xdr:cNvPr>
        <xdr:cNvCxnSpPr/>
      </xdr:nvCxnSpPr>
      <xdr:spPr>
        <a:xfrm>
          <a:off x="689976" y="4614335"/>
          <a:ext cx="6367061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146618</xdr:colOff>
      <xdr:row>31</xdr:row>
      <xdr:rowOff>163999</xdr:rowOff>
    </xdr:from>
    <xdr:to>
      <xdr:col>7</xdr:col>
      <xdr:colOff>29838</xdr:colOff>
      <xdr:row>31</xdr:row>
      <xdr:rowOff>163999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C68EB0B3-F6F5-42D4-8D65-56AA281A1054}"/>
            </a:ext>
          </a:extLst>
        </xdr:cNvPr>
        <xdr:cNvCxnSpPr/>
      </xdr:nvCxnSpPr>
      <xdr:spPr>
        <a:xfrm>
          <a:off x="11300531" y="4581390"/>
          <a:ext cx="326528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753536</xdr:colOff>
      <xdr:row>31</xdr:row>
      <xdr:rowOff>42335</xdr:rowOff>
    </xdr:from>
    <xdr:ext cx="200025" cy="200025"/>
    <xdr:pic>
      <xdr:nvPicPr>
        <xdr:cNvPr id="21" name="image8.png">
          <a:extLst>
            <a:ext uri="{FF2B5EF4-FFF2-40B4-BE49-F238E27FC236}">
              <a16:creationId xmlns:a16="http://schemas.microsoft.com/office/drawing/2014/main" id="{01184160-B6D2-4D08-92FB-83E8AEBE1B4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290803" y="4487335"/>
          <a:ext cx="200025" cy="200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1"/>
  <sheetViews>
    <sheetView showGridLines="0" tabSelected="1" zoomScale="46" zoomScaleNormal="75" workbookViewId="0">
      <selection activeCell="E60" sqref="E60"/>
    </sheetView>
  </sheetViews>
  <sheetFormatPr baseColWidth="10" defaultColWidth="14.36328125" defaultRowHeight="15" customHeight="1" outlineLevelRow="1" x14ac:dyDescent="0.35"/>
  <cols>
    <col min="1" max="1" width="7.6328125" customWidth="1"/>
    <col min="2" max="2" width="37.08984375" customWidth="1"/>
    <col min="3" max="3" width="57.08984375" customWidth="1"/>
    <col min="4" max="4" width="31" customWidth="1"/>
    <col min="5" max="5" width="26.7265625" customWidth="1"/>
    <col min="6" max="6" width="23.08984375" customWidth="1"/>
    <col min="7" max="7" width="25.36328125" customWidth="1"/>
    <col min="8" max="8" width="26.36328125" customWidth="1"/>
    <col min="9" max="26" width="9.08984375" customWidth="1"/>
  </cols>
  <sheetData>
    <row r="1" spans="1:26" ht="12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1"/>
      <c r="B2" s="1"/>
      <c r="C2" s="1"/>
      <c r="D2" s="1"/>
      <c r="E2" s="1"/>
      <c r="F2" s="69" t="s">
        <v>0</v>
      </c>
      <c r="G2" s="69" t="s">
        <v>1</v>
      </c>
      <c r="H2" s="70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5">
      <c r="A3" s="1"/>
      <c r="B3" s="1"/>
      <c r="C3" s="1"/>
      <c r="D3" s="1"/>
      <c r="E3" s="1"/>
      <c r="F3" s="2" t="s">
        <v>3</v>
      </c>
      <c r="G3" s="2" t="s">
        <v>3</v>
      </c>
      <c r="H3" s="3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1"/>
      <c r="B4" s="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5">
      <c r="A5" s="1"/>
      <c r="B5" s="5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35">
      <c r="A6" s="1"/>
      <c r="B6" s="5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5">
      <c r="A7" s="1"/>
      <c r="B7" s="4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" customHeight="1" x14ac:dyDescent="0.35">
      <c r="A8" s="1"/>
      <c r="B8" s="6"/>
      <c r="C8" s="7"/>
      <c r="D8" s="7"/>
      <c r="E8" s="7"/>
      <c r="F8" s="7"/>
      <c r="G8" s="7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5">
      <c r="A10" s="1"/>
      <c r="B10" s="8" t="s">
        <v>9</v>
      </c>
      <c r="C10" s="1"/>
      <c r="D10" s="9"/>
      <c r="E10" s="9"/>
      <c r="F10" s="9"/>
      <c r="G10" s="9"/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" customHeight="1" x14ac:dyDescent="0.35">
      <c r="A11" s="1"/>
      <c r="B11" s="8"/>
      <c r="C11" s="1"/>
      <c r="D11" s="9"/>
      <c r="E11" s="9"/>
      <c r="F11" s="9"/>
      <c r="G11" s="9"/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5">
      <c r="A12" s="1"/>
      <c r="B12" s="10" t="s">
        <v>10</v>
      </c>
      <c r="C12" s="1"/>
      <c r="D12" s="9"/>
      <c r="E12" s="9"/>
      <c r="F12" s="9"/>
      <c r="G12" s="9"/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35">
      <c r="A13" s="1"/>
      <c r="B13" s="1"/>
      <c r="C13" s="1"/>
      <c r="D13" s="9"/>
      <c r="E13" s="9"/>
      <c r="F13" s="9"/>
      <c r="G13" s="9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1"/>
      <c r="B14" s="11" t="s">
        <v>11</v>
      </c>
      <c r="C14" s="12"/>
      <c r="D14" s="9"/>
      <c r="E14" s="9"/>
      <c r="F14" s="9"/>
      <c r="G14" s="9"/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" customHeight="1" x14ac:dyDescent="0.35">
      <c r="A15" s="1"/>
      <c r="B15" s="10"/>
      <c r="C15" s="12"/>
      <c r="D15" s="9"/>
      <c r="E15" s="9"/>
      <c r="F15" s="9"/>
      <c r="G15" s="9"/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1"/>
      <c r="B16" s="50"/>
      <c r="C16" s="51" t="s">
        <v>12</v>
      </c>
      <c r="D16" s="51" t="s">
        <v>13</v>
      </c>
      <c r="E16" s="9"/>
      <c r="F16" s="9"/>
      <c r="G16" s="9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35">
      <c r="A17" s="1"/>
      <c r="B17" s="52" t="s">
        <v>14</v>
      </c>
      <c r="C17" s="53" t="s">
        <v>15</v>
      </c>
      <c r="D17" s="53" t="s">
        <v>15</v>
      </c>
      <c r="E17" s="9"/>
      <c r="F17" s="9"/>
      <c r="G17" s="9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1"/>
      <c r="B18" s="52" t="s">
        <v>16</v>
      </c>
      <c r="C18" s="53" t="s">
        <v>15</v>
      </c>
      <c r="D18" s="53" t="s">
        <v>15</v>
      </c>
      <c r="E18" s="9"/>
      <c r="F18" s="9"/>
      <c r="G18" s="9"/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35">
      <c r="A19" s="1"/>
      <c r="B19" s="52" t="s">
        <v>17</v>
      </c>
      <c r="C19" s="53" t="s">
        <v>15</v>
      </c>
      <c r="D19" s="53" t="s">
        <v>15</v>
      </c>
      <c r="E19" s="9"/>
      <c r="F19" s="9"/>
      <c r="G19" s="9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1"/>
      <c r="B20" s="1"/>
      <c r="C20" s="1"/>
      <c r="D20" s="9"/>
      <c r="E20" s="9"/>
      <c r="F20" s="9"/>
      <c r="G20" s="9"/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5">
      <c r="A21" s="1"/>
      <c r="B21" s="8" t="s">
        <v>18</v>
      </c>
      <c r="C21" s="1"/>
      <c r="D21" s="9"/>
      <c r="E21" s="9"/>
      <c r="F21" s="9"/>
      <c r="G21" s="9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" customHeight="1" x14ac:dyDescent="0.35">
      <c r="A22" s="1"/>
      <c r="B22" s="13"/>
      <c r="C22" s="1"/>
      <c r="D22" s="9"/>
      <c r="E22" s="9"/>
      <c r="F22" s="9"/>
      <c r="G22" s="9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1.25" customHeight="1" x14ac:dyDescent="0.35">
      <c r="A23" s="14" t="s">
        <v>19</v>
      </c>
      <c r="B23" s="15" t="s">
        <v>20</v>
      </c>
      <c r="C23" s="1"/>
      <c r="D23" s="9"/>
      <c r="E23" s="9"/>
      <c r="F23" s="9"/>
      <c r="G23" s="9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1.25" customHeight="1" x14ac:dyDescent="0.35">
      <c r="A24" s="14" t="s">
        <v>21</v>
      </c>
      <c r="B24" s="15" t="s">
        <v>22</v>
      </c>
      <c r="C24" s="1"/>
      <c r="D24" s="9"/>
      <c r="E24" s="9"/>
      <c r="F24" s="9"/>
      <c r="G24" s="9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1.25" customHeight="1" x14ac:dyDescent="0.35">
      <c r="A25" s="14" t="s">
        <v>23</v>
      </c>
      <c r="B25" s="15" t="s">
        <v>24</v>
      </c>
      <c r="C25" s="1"/>
      <c r="D25" s="9"/>
      <c r="E25" s="9"/>
      <c r="F25" s="9"/>
      <c r="G25" s="9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5">
      <c r="A26" s="14" t="s">
        <v>25</v>
      </c>
      <c r="B26" s="54" t="s">
        <v>57</v>
      </c>
      <c r="C26" s="1"/>
      <c r="D26" s="9"/>
      <c r="E26" s="9"/>
      <c r="F26" s="9"/>
      <c r="G26" s="9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5">
      <c r="A27" s="14" t="s">
        <v>26</v>
      </c>
      <c r="B27" s="16" t="s">
        <v>27</v>
      </c>
      <c r="C27" s="1"/>
      <c r="D27" s="9"/>
      <c r="E27" s="9"/>
      <c r="F27" s="9"/>
      <c r="G27" s="9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5">
      <c r="A28" s="1"/>
      <c r="B28" s="1"/>
      <c r="C28" s="1"/>
      <c r="D28" s="9"/>
      <c r="E28" s="9"/>
      <c r="F28" s="9"/>
      <c r="G28" s="9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35">
      <c r="A29" s="1"/>
      <c r="B29" s="8" t="s">
        <v>28</v>
      </c>
      <c r="C29" s="1"/>
      <c r="D29" s="9"/>
      <c r="E29" s="9"/>
      <c r="F29" s="9"/>
      <c r="G29" s="9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13"/>
      <c r="B30" s="1"/>
      <c r="C30" s="9"/>
      <c r="D30" s="9"/>
      <c r="E30" s="9"/>
      <c r="F30" s="9"/>
      <c r="G30" s="9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5">
      <c r="A31" s="17"/>
      <c r="B31" s="10"/>
      <c r="C31" s="18"/>
      <c r="D31" s="18"/>
      <c r="E31" s="18"/>
      <c r="F31" s="18"/>
      <c r="G31" s="18"/>
      <c r="H31" s="1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1" customHeight="1" outlineLevel="1" x14ac:dyDescent="0.35">
      <c r="A32" s="1"/>
      <c r="B32" s="19"/>
      <c r="C32" s="20"/>
      <c r="D32" s="9"/>
      <c r="E32" s="9"/>
      <c r="F32" s="1"/>
      <c r="G32" s="9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 customHeight="1" outlineLevel="1" x14ac:dyDescent="0.35">
      <c r="A33" s="1"/>
      <c r="B33" s="21" t="s">
        <v>29</v>
      </c>
      <c r="C33" s="21" t="s">
        <v>30</v>
      </c>
      <c r="D33" s="21" t="s">
        <v>64</v>
      </c>
      <c r="E33" s="22" t="s">
        <v>31</v>
      </c>
      <c r="F33" s="21" t="s">
        <v>32</v>
      </c>
      <c r="G33" s="21" t="s">
        <v>33</v>
      </c>
      <c r="H33" s="22" t="s">
        <v>31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outlineLevel="1" x14ac:dyDescent="0.35">
      <c r="A34" s="1"/>
      <c r="B34" s="23"/>
      <c r="C34" s="24"/>
      <c r="D34" s="23"/>
      <c r="E34" s="24"/>
      <c r="F34" s="24"/>
      <c r="G34" s="24"/>
      <c r="H34" s="25">
        <f>+SUM(E34:G34)</f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outlineLevel="1" x14ac:dyDescent="0.35">
      <c r="A35" s="1"/>
      <c r="B35" s="55"/>
      <c r="C35" s="56"/>
      <c r="D35" s="23"/>
      <c r="E35" s="24"/>
      <c r="F35" s="24"/>
      <c r="G35" s="24"/>
      <c r="H35" s="25">
        <f t="shared" ref="H35:H44" si="0">+SUM(E35:G35)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outlineLevel="1" x14ac:dyDescent="0.35">
      <c r="A36" s="1"/>
      <c r="B36" s="57"/>
      <c r="C36" s="56"/>
      <c r="D36" s="23"/>
      <c r="E36" s="24"/>
      <c r="F36" s="24"/>
      <c r="G36" s="24"/>
      <c r="H36" s="25">
        <f t="shared" si="0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outlineLevel="1" x14ac:dyDescent="0.35">
      <c r="A37" s="1"/>
      <c r="B37" s="58"/>
      <c r="C37" s="57"/>
      <c r="D37" s="26"/>
      <c r="E37" s="25"/>
      <c r="F37" s="25"/>
      <c r="G37" s="25"/>
      <c r="H37" s="25">
        <f t="shared" si="0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outlineLevel="1" x14ac:dyDescent="0.35">
      <c r="A38" s="1"/>
      <c r="B38" s="58"/>
      <c r="C38" s="57"/>
      <c r="D38" s="26"/>
      <c r="E38" s="25"/>
      <c r="F38" s="25"/>
      <c r="G38" s="25"/>
      <c r="H38" s="25">
        <f t="shared" si="0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outlineLevel="1" x14ac:dyDescent="0.35">
      <c r="A39" s="1"/>
      <c r="B39" s="58"/>
      <c r="C39" s="57"/>
      <c r="D39" s="26"/>
      <c r="E39" s="25"/>
      <c r="F39" s="25"/>
      <c r="G39" s="25"/>
      <c r="H39" s="25">
        <f t="shared" si="0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outlineLevel="1" x14ac:dyDescent="0.35">
      <c r="A40" s="1"/>
      <c r="B40" s="58"/>
      <c r="C40" s="57"/>
      <c r="D40" s="26"/>
      <c r="E40" s="25"/>
      <c r="F40" s="25"/>
      <c r="G40" s="25"/>
      <c r="H40" s="25">
        <f t="shared" si="0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outlineLevel="1" x14ac:dyDescent="0.35">
      <c r="A41" s="1"/>
      <c r="B41" s="58"/>
      <c r="C41" s="57"/>
      <c r="D41" s="26"/>
      <c r="E41" s="25"/>
      <c r="F41" s="25"/>
      <c r="G41" s="25"/>
      <c r="H41" s="25">
        <f t="shared" si="0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outlineLevel="1" x14ac:dyDescent="0.35">
      <c r="A42" s="1"/>
      <c r="B42" s="58"/>
      <c r="C42" s="57"/>
      <c r="D42" s="26"/>
      <c r="E42" s="25"/>
      <c r="F42" s="25"/>
      <c r="G42" s="25"/>
      <c r="H42" s="25">
        <f t="shared" si="0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outlineLevel="1" x14ac:dyDescent="0.35">
      <c r="A43" s="1"/>
      <c r="B43" s="58"/>
      <c r="C43" s="57"/>
      <c r="D43" s="26"/>
      <c r="E43" s="25"/>
      <c r="F43" s="25"/>
      <c r="G43" s="25"/>
      <c r="H43" s="25">
        <f t="shared" si="0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outlineLevel="1" x14ac:dyDescent="0.35">
      <c r="A44" s="1"/>
      <c r="B44" s="59"/>
      <c r="C44" s="60"/>
      <c r="D44" s="23"/>
      <c r="E44" s="27"/>
      <c r="F44" s="27"/>
      <c r="G44" s="27"/>
      <c r="H44" s="25">
        <f t="shared" si="0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15" customHeight="1" outlineLevel="1" x14ac:dyDescent="0.35">
      <c r="A45" s="1"/>
      <c r="B45" s="61"/>
      <c r="C45" s="62"/>
      <c r="D45" s="1"/>
      <c r="E45" s="29"/>
      <c r="F45" s="29"/>
      <c r="G45" s="29"/>
      <c r="H45" s="2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outlineLevel="1" x14ac:dyDescent="0.35">
      <c r="A46" s="1"/>
      <c r="B46" s="63"/>
      <c r="C46" s="64"/>
      <c r="D46" s="1"/>
      <c r="E46" s="30">
        <f>+SUM(E34:E44)</f>
        <v>0</v>
      </c>
      <c r="F46" s="30">
        <f>+SUM(F34:F44)</f>
        <v>0</v>
      </c>
      <c r="G46" s="30">
        <f>+SUM(G34:G44)</f>
        <v>0</v>
      </c>
      <c r="H46" s="30">
        <f>+SUM(H34:H44)</f>
        <v>0</v>
      </c>
      <c r="I46" s="66" t="s">
        <v>60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outlineLevel="1" x14ac:dyDescent="0.35">
      <c r="A47" s="1"/>
      <c r="B47" s="1"/>
      <c r="C47" s="9"/>
      <c r="D47" s="1"/>
      <c r="E47" s="31" t="s">
        <v>34</v>
      </c>
      <c r="F47" s="32" t="s">
        <v>35</v>
      </c>
      <c r="G47" s="32" t="s">
        <v>65</v>
      </c>
      <c r="H47" s="31" t="s">
        <v>34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5">
      <c r="A48" s="1"/>
      <c r="B48" s="1"/>
      <c r="C48" s="9"/>
      <c r="D48" s="33"/>
      <c r="E48" s="33"/>
      <c r="F48" s="33"/>
      <c r="G48" s="9"/>
      <c r="H48" s="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5">
      <c r="A49" s="1"/>
      <c r="B49" s="1"/>
      <c r="C49" s="9"/>
      <c r="D49" s="33"/>
      <c r="E49" s="33"/>
      <c r="F49" s="33"/>
      <c r="G49" s="9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5">
      <c r="A52" s="1"/>
      <c r="B52" s="73" t="s">
        <v>61</v>
      </c>
      <c r="C52" s="74"/>
      <c r="D52" s="7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 x14ac:dyDescent="0.35">
      <c r="A53" s="10"/>
      <c r="B53" s="34"/>
      <c r="C53" s="34"/>
      <c r="D53" s="34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" customHeight="1" x14ac:dyDescent="0.35">
      <c r="A54" s="1"/>
      <c r="B54" s="65" t="s">
        <v>58</v>
      </c>
      <c r="C54" s="35"/>
      <c r="D54" s="3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 x14ac:dyDescent="0.35">
      <c r="A55" s="1"/>
      <c r="B55" s="36"/>
      <c r="C55" s="36"/>
      <c r="D55" s="3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5">
      <c r="A56" s="1"/>
      <c r="B56" s="37" t="s">
        <v>29</v>
      </c>
      <c r="C56" s="37" t="s">
        <v>59</v>
      </c>
      <c r="D56" s="38" t="s">
        <v>36</v>
      </c>
      <c r="E56" s="10"/>
      <c r="F56" s="34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5">
      <c r="A57" s="1"/>
      <c r="B57" s="39">
        <v>0</v>
      </c>
      <c r="C57" s="39">
        <v>0</v>
      </c>
      <c r="D57" s="39"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5">
      <c r="A58" s="1"/>
      <c r="B58" s="39">
        <v>0</v>
      </c>
      <c r="C58" s="39">
        <v>0</v>
      </c>
      <c r="D58" s="39"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5">
      <c r="A60" s="1"/>
      <c r="B60" s="1"/>
      <c r="C60" s="1"/>
      <c r="D60" s="40">
        <f>SUM(D57:D58)</f>
        <v>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35">
      <c r="A62" s="1"/>
      <c r="B62" s="1"/>
      <c r="C62" s="14" t="s">
        <v>37</v>
      </c>
      <c r="D62" s="41">
        <f>+H46</f>
        <v>0</v>
      </c>
      <c r="E62" s="66" t="s">
        <v>60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5">
      <c r="A63" s="1"/>
      <c r="B63" s="1"/>
      <c r="C63" s="71" t="s">
        <v>38</v>
      </c>
      <c r="D63" s="43">
        <f>+D60-D62</f>
        <v>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5">
      <c r="A64" s="1"/>
      <c r="B64" s="1"/>
      <c r="C64" s="42"/>
      <c r="D64" s="4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5">
      <c r="A65" s="1"/>
      <c r="B65" s="1"/>
      <c r="C65" s="42"/>
      <c r="D65" s="4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5">
      <c r="A66" s="1"/>
      <c r="B66" s="44" t="s">
        <v>39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" customHeight="1" x14ac:dyDescent="0.35">
      <c r="A67" s="1"/>
      <c r="B67" s="1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 x14ac:dyDescent="0.35">
      <c r="A68" s="45"/>
      <c r="B68" s="1" t="s">
        <v>40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 x14ac:dyDescent="0.35">
      <c r="A69" s="46"/>
      <c r="B69" s="1" t="s">
        <v>41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 x14ac:dyDescent="0.35">
      <c r="A70" s="46"/>
      <c r="B70" s="1" t="s">
        <v>42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 x14ac:dyDescent="0.35">
      <c r="A71" s="46"/>
      <c r="B71" s="1" t="s">
        <v>43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5">
      <c r="A73" s="47"/>
      <c r="B73" s="67" t="s">
        <v>62</v>
      </c>
      <c r="C73" s="1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6" customHeight="1" x14ac:dyDescent="0.35">
      <c r="A74" s="47"/>
      <c r="B74" s="44"/>
      <c r="C74" s="1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5">
      <c r="A75" s="48" t="s">
        <v>44</v>
      </c>
      <c r="B75" s="44"/>
      <c r="C75" s="1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5">
      <c r="A76" s="48" t="s">
        <v>45</v>
      </c>
      <c r="B76" s="44"/>
      <c r="C76" s="1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5">
      <c r="A77" s="48" t="s">
        <v>46</v>
      </c>
      <c r="B77" s="44"/>
      <c r="C77" s="1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5">
      <c r="A78" s="48"/>
      <c r="B78" s="10"/>
      <c r="C78" s="1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5">
      <c r="A79" s="49" t="s">
        <v>47</v>
      </c>
      <c r="B79" s="44" t="s">
        <v>48</v>
      </c>
      <c r="C79" s="1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6" customHeight="1" x14ac:dyDescent="0.35">
      <c r="A80" s="49"/>
      <c r="B80" s="44"/>
      <c r="C80" s="1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5">
      <c r="A81" s="48" t="s">
        <v>49</v>
      </c>
      <c r="B81" s="44"/>
      <c r="C81" s="1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5">
      <c r="A82" s="48" t="s">
        <v>50</v>
      </c>
      <c r="B82" s="4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5">
      <c r="A83" s="48" t="s">
        <v>51</v>
      </c>
      <c r="B83" s="4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5">
      <c r="A84" s="48"/>
      <c r="B84" s="1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5">
      <c r="A85" s="10"/>
      <c r="B85" s="44" t="s">
        <v>52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6" customHeight="1" x14ac:dyDescent="0.35">
      <c r="A86" s="10"/>
      <c r="B86" s="1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5">
      <c r="A87" s="48" t="s">
        <v>53</v>
      </c>
      <c r="B87" s="1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5">
      <c r="A88" s="48" t="s">
        <v>54</v>
      </c>
      <c r="B88" s="1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5">
      <c r="A89" s="48" t="s">
        <v>55</v>
      </c>
      <c r="B89" s="1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5">
      <c r="A90" s="28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5">
      <c r="A91" s="28"/>
      <c r="B91" s="44" t="s">
        <v>56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6" customHeight="1" x14ac:dyDescent="0.35">
      <c r="A92" s="28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5">
      <c r="A93" s="28"/>
      <c r="B93" s="68" t="s">
        <v>63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autoFilter ref="B33:H44" xr:uid="{00000000-0009-0000-0000-000000000000}"/>
  <mergeCells count="1">
    <mergeCell ref="B52:D52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108D-6922-471A-99D1-D534839EF35E}">
  <dimension ref="A3"/>
  <sheetViews>
    <sheetView workbookViewId="0">
      <selection activeCell="A3" sqref="A3"/>
    </sheetView>
  </sheetViews>
  <sheetFormatPr baseColWidth="10" defaultRowHeight="14.5" x14ac:dyDescent="0.35"/>
  <sheetData>
    <row r="3" spans="1:1" x14ac:dyDescent="0.35">
      <c r="A3" s="7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330.03</vt:lpstr>
      <vt:lpstr>Mayor contable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2022-10-25T13:57:26Z</dcterms:created>
  <dcterms:modified xsi:type="dcterms:W3CDTF">2026-04-17T03:39:22Z</dcterms:modified>
</cp:coreProperties>
</file>