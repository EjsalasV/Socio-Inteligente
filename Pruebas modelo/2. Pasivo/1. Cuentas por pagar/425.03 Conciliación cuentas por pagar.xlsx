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1. Cuentas por pagar\"/>
    </mc:Choice>
  </mc:AlternateContent>
  <xr:revisionPtr revIDLastSave="0" documentId="13_ncr:1_{FE281F02-6D17-450D-A7DA-F6BB518E9FF7}" xr6:coauthVersionLast="47" xr6:coauthVersionMax="47" xr10:uidLastSave="{00000000-0000-0000-0000-000000000000}"/>
  <bookViews>
    <workbookView xWindow="-110" yWindow="-110" windowWidth="19420" windowHeight="10300" firstSheet="1" activeTab="1" xr2:uid="{D8CDB196-C320-4032-8438-4F0439C857D0}"/>
  </bookViews>
  <sheets>
    <sheet name="130.01" sheetId="2" state="hidden" r:id="rId1"/>
    <sheet name="425.03" sheetId="3" r:id="rId2"/>
  </sheets>
  <externalReferences>
    <externalReference r:id="rId3"/>
  </externalReferences>
  <definedNames>
    <definedName name="__DAT1" localSheetId="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val2">[1]anaislis!$D$2:$D$18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1" hidden="1">'425.03'!$B$36:$M$43</definedName>
    <definedName name="_val2">[1]anaislis!$D$2:$D$18</definedName>
    <definedName name="_xlnm.Print_Area" localSheetId="0">'130.01'!$B$52:$I$52</definedName>
    <definedName name="TEST0" localSheetId="0">#REF!</definedName>
    <definedName name="TEST0">#REF!</definedName>
    <definedName name="TESTHKEY">#REF!</definedName>
    <definedName name="TESTKEYS">#REF!</definedName>
    <definedName name="TESTVKEY">#REF!</definedName>
    <definedName name="_xlnm.Print_Titles" localSheetId="0">'130.01'!#REF!</definedName>
    <definedName name="VAL" localSheetId="0">#REF!</definedName>
    <definedName name="V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3" l="1"/>
  <c r="F52" i="3"/>
  <c r="F51" i="3"/>
  <c r="F55" i="3" s="1"/>
  <c r="O43" i="3" l="1"/>
  <c r="O42" i="3"/>
  <c r="O41" i="3"/>
  <c r="O40" i="3"/>
  <c r="C61" i="3" s="1"/>
  <c r="O39" i="3"/>
  <c r="O38" i="3"/>
  <c r="O37" i="3"/>
  <c r="C60" i="3" l="1"/>
  <c r="M45" i="3"/>
  <c r="F38" i="2"/>
  <c r="E38" i="2"/>
  <c r="E43" i="2"/>
  <c r="G36" i="2"/>
  <c r="H36" i="2"/>
  <c r="G29" i="2"/>
  <c r="H29" i="2"/>
  <c r="G30" i="2"/>
  <c r="H30" i="2"/>
  <c r="G35" i="2"/>
  <c r="H35" i="2"/>
  <c r="F31" i="2"/>
  <c r="E31" i="2"/>
  <c r="E42" i="2"/>
  <c r="E44" i="2"/>
  <c r="I36" i="2"/>
  <c r="F42" i="2"/>
  <c r="F43" i="2"/>
  <c r="G34" i="2"/>
  <c r="H34" i="2"/>
  <c r="G37" i="2"/>
  <c r="H37" i="2"/>
  <c r="F44" i="2"/>
  <c r="I30" i="2"/>
  <c r="I29" i="2"/>
  <c r="I35" i="2"/>
  <c r="I37" i="2"/>
  <c r="I31" i="2"/>
  <c r="I34" i="2"/>
  <c r="I38" i="2"/>
</calcChain>
</file>

<file path=xl/sharedStrings.xml><?xml version="1.0" encoding="utf-8"?>
<sst xmlns="http://schemas.openxmlformats.org/spreadsheetml/2006/main" count="135" uniqueCount="117">
  <si>
    <t>Preparado por:</t>
  </si>
  <si>
    <t>Revisado por:</t>
  </si>
  <si>
    <t>PT</t>
  </si>
  <si>
    <t>COMPAÑÍA BULLSUPLY C.A.</t>
  </si>
  <si>
    <t>Período Terminado: Septiembre 30, 2022</t>
  </si>
  <si>
    <t>N° de Cuenta</t>
  </si>
  <si>
    <t>Tipo</t>
  </si>
  <si>
    <t>Fecha de contabilización</t>
  </si>
  <si>
    <t>Fecha de vencimiento</t>
  </si>
  <si>
    <t>Saldo vencido</t>
  </si>
  <si>
    <t>Cuenta asociada</t>
  </si>
  <si>
    <t>Clientes comerciales relacionados locales 1</t>
  </si>
  <si>
    <t>a la fecha de nuestra revisión de los Estados Financieros.</t>
  </si>
  <si>
    <t>Revisión Analítica de Cuentas por cobrar</t>
  </si>
  <si>
    <t>Cuenta</t>
  </si>
  <si>
    <t>REF PT</t>
  </si>
  <si>
    <t xml:space="preserve">Valor </t>
  </si>
  <si>
    <t>Horizontal</t>
  </si>
  <si>
    <t>Vertical</t>
  </si>
  <si>
    <t>Clientes comerciales  no relacionados locales 1</t>
  </si>
  <si>
    <t>Sub Cuenta</t>
  </si>
  <si>
    <t>Saldos al        31-dic-21</t>
  </si>
  <si>
    <t>Cuentas por Cobrar Ingresos Diferidos</t>
  </si>
  <si>
    <t>Cuentas Por Cobrar Clientes  Relacionadas</t>
  </si>
  <si>
    <t>Cuentas Por Cobrar Clientes  No Relacionadas</t>
  </si>
  <si>
    <t xml:space="preserve"> Sep 2022</t>
  </si>
  <si>
    <t>∑</t>
  </si>
  <si>
    <t>a</t>
  </si>
  <si>
    <t>aa</t>
  </si>
  <si>
    <t>h</t>
  </si>
  <si>
    <t>Saldos al     30 -Sep-22</t>
  </si>
  <si>
    <t>Fuente:</t>
  </si>
  <si>
    <t>Marcas:</t>
  </si>
  <si>
    <t>Sumado</t>
  </si>
  <si>
    <t>Cálculos efectuados por auditoria.</t>
  </si>
  <si>
    <t>Valores tomados de Estados Financieros al 30 de Septiembre del 2022.</t>
  </si>
  <si>
    <t>De acuerdo a nuestra revisión los saldos de las cuentas del grupo Cuentas por cobrar se presentan de forma razonable al 31 de diciembre de 2022.</t>
  </si>
  <si>
    <t>Objetivo:</t>
  </si>
  <si>
    <t>Procedimiento:</t>
  </si>
  <si>
    <t>Conclusión:</t>
  </si>
  <si>
    <t>MCT</t>
  </si>
  <si>
    <t>JQ</t>
  </si>
  <si>
    <t>Final</t>
  </si>
  <si>
    <t>Cuentas por Cobrar</t>
  </si>
  <si>
    <t xml:space="preserve">1.- Determinar las variaciones de los saldos de las cuentas por cobrar entre el periodo anterior versus el periodo de análisis con la finalidad de establecer las causas del sus aumentos y disminuciones </t>
  </si>
  <si>
    <t>Sumaria:</t>
  </si>
  <si>
    <t>(-) Costo Amortizado</t>
  </si>
  <si>
    <t>(-) Provisión cuentas incobrables y deterioro</t>
  </si>
  <si>
    <t>Dic 2021</t>
  </si>
  <si>
    <t>P/T 130.02</t>
  </si>
  <si>
    <t>Valores tomados de Estados Financieros al 31 de Diciembre del 2021.</t>
  </si>
  <si>
    <t>Estados Financieros proporcionadas por la empresa</t>
  </si>
  <si>
    <t>Conclusiones</t>
  </si>
  <si>
    <t>Ref.</t>
  </si>
  <si>
    <t>Diferencia</t>
  </si>
  <si>
    <t>Cuentas Por Cobrar Clientes Corrientes Relacionadas</t>
  </si>
  <si>
    <t>Cuentas Por Cobrar Clientes Corrientes No Relacionadas</t>
  </si>
  <si>
    <t>Variación</t>
  </si>
  <si>
    <t>2.- Se realizaron variaciones de las cuentas por cobrar entre los saldos al 31 de diciembre del 2021 y el saldo al 30 de septiembre 2022.</t>
  </si>
  <si>
    <t>1.- Se compararon los saldos de cuentas por cobrar entre los períodos 2021 al 30  de septiembre 2022; y, se determinaron las pruebas a realizarse para evaluar su razonabilidad.</t>
  </si>
  <si>
    <t>COMPAÑÍA MODELO S.A.</t>
  </si>
  <si>
    <t>Desarrollo:</t>
  </si>
  <si>
    <t>CONCILIACIÓN DE SALDOS DEL DETALLE DE CUENTAS POR PAGAR VS ESTADOS FINANCIEROS</t>
  </si>
  <si>
    <t>Código de proveedor</t>
  </si>
  <si>
    <t>Notas aclaratorias:</t>
  </si>
  <si>
    <t>Observaciones:</t>
  </si>
  <si>
    <t>Base de decisión: Materialidad</t>
  </si>
  <si>
    <t>Marcas de auditoría:</t>
  </si>
  <si>
    <t>General</t>
  </si>
  <si>
    <t>Desempeño</t>
  </si>
  <si>
    <t>Errores Triviales</t>
  </si>
  <si>
    <t>Sumatoria</t>
  </si>
  <si>
    <t>XX</t>
  </si>
  <si>
    <t>Preliminar</t>
  </si>
  <si>
    <t>xxx.xxx</t>
  </si>
  <si>
    <t>1.-</t>
  </si>
  <si>
    <t>2.-</t>
  </si>
  <si>
    <t>3.-</t>
  </si>
  <si>
    <t>4.-</t>
  </si>
  <si>
    <t>AL 31 DE DICIEMBRE DE 20XX</t>
  </si>
  <si>
    <t>*** El detalle varía de acuerdo a la documentación proporcionada por el cliente</t>
  </si>
  <si>
    <t>a)</t>
  </si>
  <si>
    <t>b)</t>
  </si>
  <si>
    <t>c)</t>
  </si>
  <si>
    <t>Obs. 1</t>
  </si>
  <si>
    <t>Obs. 2</t>
  </si>
  <si>
    <t>Obs. 3</t>
  </si>
  <si>
    <t>425.03</t>
  </si>
  <si>
    <t>FECHA DE CORTE: _ / _ / 20XX</t>
  </si>
  <si>
    <t>Año</t>
  </si>
  <si>
    <t>Verificaciones</t>
  </si>
  <si>
    <t>A</t>
  </si>
  <si>
    <t>B</t>
  </si>
  <si>
    <t>C</t>
  </si>
  <si>
    <t>Solictar a la Compañía los estados financieros al _/_/2022X</t>
  </si>
  <si>
    <t>Solictar a la Compañía el detalle de cuentas por pagar al _/_/2022X</t>
  </si>
  <si>
    <t>Verificar que el saldo del detalle de cuentas por pagar concilie integramente con el saldo de los estados finanieros.</t>
  </si>
  <si>
    <t>Verificar si existen partidas inusuales</t>
  </si>
  <si>
    <t>5.-</t>
  </si>
  <si>
    <t>Documentar el papel de trabajo y concluir en base al objetivo.</t>
  </si>
  <si>
    <t>Saldo contrarios</t>
  </si>
  <si>
    <t>Saldo según detalle</t>
  </si>
  <si>
    <t>Correcto</t>
  </si>
  <si>
    <t>Incorrecto</t>
  </si>
  <si>
    <t>Información proporcionada por el cliente.</t>
  </si>
  <si>
    <t>Código cuenta contable</t>
  </si>
  <si>
    <t>Nombre cuenta contable</t>
  </si>
  <si>
    <t>Resumen partidas inusuales</t>
  </si>
  <si>
    <t>Procedimientos:</t>
  </si>
  <si>
    <t>Nro. de documento</t>
  </si>
  <si>
    <t>***(Concluir en base al objetivo)</t>
  </si>
  <si>
    <t>[1]</t>
  </si>
  <si>
    <t>Nro. de cuenta</t>
  </si>
  <si>
    <t>Nombre del proveedor</t>
  </si>
  <si>
    <t>Cruce con estados financieros</t>
  </si>
  <si>
    <t>Verificar que el detalle de cuentas por pagar concilie íntegramente con los saldos de estados financieros al _ /_ / 20XX y verificar la existencia de partidas inusuales.</t>
  </si>
  <si>
    <t>Saldo según EEFF al _/_/20XX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</si>
</sst>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-* #,##0.00_-;\-* #,##0.00_-;_-* &quot;-&quot;??_-;_-@_-"/>
    <numFmt numFmtId="165" formatCode="_ * #,##0_ ;_ * \-#,##0_ ;_ * &quot;-&quot;??_ ;_ @_ "/>
    <numFmt numFmtId="166" formatCode="_(* #,##0_);_(* \(#,##0\);_(* &quot;-&quot;_);_(@_)"/>
  </numFmts>
  <fonts count="38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0"/>
      <name val="Tahoma"/>
      <family val="2"/>
    </font>
    <font>
      <b/>
      <sz val="10"/>
      <color theme="8" tint="-0.499984740745262"/>
      <name val="Tahoma"/>
      <family val="2"/>
    </font>
    <font>
      <sz val="10"/>
      <color rgb="FF000000"/>
      <name val="Tahoma"/>
      <family val="2"/>
    </font>
    <font>
      <sz val="10"/>
      <color indexed="8"/>
      <name val="Tahoma"/>
      <family val="2"/>
    </font>
    <font>
      <b/>
      <i/>
      <u/>
      <sz val="10"/>
      <color rgb="FF000000"/>
      <name val="Tahoma"/>
      <family val="2"/>
    </font>
    <font>
      <sz val="11"/>
      <color indexed="8"/>
      <name val="Calibri"/>
      <family val="2"/>
    </font>
    <font>
      <b/>
      <sz val="10"/>
      <color theme="8" tint="-0.249977111117893"/>
      <name val="Tahoma"/>
      <family val="2"/>
    </font>
    <font>
      <sz val="10"/>
      <color theme="1"/>
      <name val="Tahoma"/>
      <family val="2"/>
    </font>
    <font>
      <b/>
      <u/>
      <sz val="10"/>
      <color theme="1"/>
      <name val="Tahoma"/>
      <family val="2"/>
    </font>
    <font>
      <b/>
      <i/>
      <sz val="10"/>
      <color rgb="FFFF0000"/>
      <name val="Tahoma"/>
      <family val="2"/>
    </font>
    <font>
      <b/>
      <sz val="10"/>
      <color rgb="FFFF0000"/>
      <name val="Webdings"/>
      <family val="1"/>
      <charset val="2"/>
    </font>
    <font>
      <b/>
      <sz val="10"/>
      <color rgb="FFFF0000"/>
      <name val="Marlett"/>
      <charset val="2"/>
    </font>
    <font>
      <sz val="1"/>
      <color indexed="18"/>
      <name val="Courier"/>
      <family val="3"/>
    </font>
    <font>
      <b/>
      <i/>
      <sz val="10"/>
      <color rgb="FFFF0000"/>
      <name val="Marlett"/>
      <charset val="2"/>
    </font>
    <font>
      <b/>
      <sz val="10"/>
      <color theme="3"/>
      <name val="Tahoma"/>
      <family val="2"/>
    </font>
    <font>
      <b/>
      <sz val="10"/>
      <color rgb="FF002060"/>
      <name val="Tahoma"/>
      <family val="2"/>
    </font>
    <font>
      <sz val="10"/>
      <color rgb="FFFF0000"/>
      <name val="Tahoma"/>
      <family val="2"/>
    </font>
    <font>
      <b/>
      <u/>
      <sz val="10"/>
      <color rgb="FF0000CC"/>
      <name val="Tahoma"/>
      <family val="2"/>
    </font>
    <font>
      <b/>
      <sz val="10"/>
      <color theme="1"/>
      <name val="Calibri"/>
      <family val="2"/>
      <scheme val="minor"/>
    </font>
    <font>
      <sz val="10"/>
      <color indexed="10"/>
      <name val="Tahoma"/>
      <family val="2"/>
    </font>
    <font>
      <b/>
      <u/>
      <sz val="10"/>
      <color rgb="FF0000FF"/>
      <name val="Tahoma"/>
      <family val="2"/>
    </font>
    <font>
      <sz val="10"/>
      <color theme="3"/>
      <name val="Tahoma"/>
      <family val="2"/>
    </font>
    <font>
      <b/>
      <sz val="10"/>
      <color rgb="FF0000FF"/>
      <name val="Tahoma"/>
      <family val="2"/>
    </font>
    <font>
      <b/>
      <sz val="10"/>
      <color rgb="FF0000CC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theme="8" tint="-0.499984740745262"/>
      </top>
      <bottom/>
      <diagonal/>
    </border>
    <border>
      <left/>
      <right/>
      <top/>
      <bottom style="thick">
        <color theme="8" tint="-0.499984740745262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 style="thick">
        <color theme="8" tint="-0.4999847407452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3">
    <xf numFmtId="0" fontId="0" fillId="0" borderId="0"/>
    <xf numFmtId="43" fontId="7" fillId="0" borderId="0" applyFont="0" applyFill="0" applyBorder="0" applyAlignment="0" applyProtection="0"/>
    <xf numFmtId="0" fontId="8" fillId="0" borderId="0"/>
    <xf numFmtId="0" fontId="7" fillId="0" borderId="0"/>
    <xf numFmtId="0" fontId="9" fillId="0" borderId="0"/>
    <xf numFmtId="0" fontId="7" fillId="0" borderId="0"/>
    <xf numFmtId="0" fontId="10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0" fontId="10" fillId="0" borderId="0"/>
    <xf numFmtId="9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" fillId="0" borderId="0"/>
    <xf numFmtId="9" fontId="7" fillId="0" borderId="0" applyFont="0" applyFill="0" applyBorder="0" applyAlignment="0" applyProtection="0"/>
    <xf numFmtId="0" fontId="19" fillId="0" borderId="0"/>
    <xf numFmtId="0" fontId="26" fillId="0" borderId="0">
      <protection locked="0"/>
    </xf>
    <xf numFmtId="0" fontId="10" fillId="0" borderId="0"/>
    <xf numFmtId="0" fontId="19" fillId="0" borderId="0"/>
    <xf numFmtId="164" fontId="8" fillId="0" borderId="0" applyFont="0" applyFill="0" applyBorder="0" applyAlignment="0" applyProtection="0"/>
  </cellStyleXfs>
  <cellXfs count="143">
    <xf numFmtId="0" fontId="0" fillId="0" borderId="0" xfId="0"/>
    <xf numFmtId="0" fontId="15" fillId="2" borderId="0" xfId="2" applyFont="1" applyFill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center" vertical="center"/>
      <protection hidden="1"/>
    </xf>
    <xf numFmtId="0" fontId="14" fillId="3" borderId="1" xfId="2" applyFont="1" applyFill="1" applyBorder="1" applyAlignment="1">
      <alignment horizontal="center" vertical="center"/>
    </xf>
    <xf numFmtId="0" fontId="15" fillId="2" borderId="7" xfId="2" applyFont="1" applyFill="1" applyBorder="1" applyAlignment="1" applyProtection="1">
      <alignment horizontal="left" vertical="center"/>
      <protection hidden="1"/>
    </xf>
    <xf numFmtId="0" fontId="12" fillId="2" borderId="0" xfId="2" applyFont="1" applyFill="1" applyAlignment="1" applyProtection="1">
      <alignment horizontal="left" vertical="center"/>
      <protection hidden="1"/>
    </xf>
    <xf numFmtId="0" fontId="12" fillId="0" borderId="8" xfId="2" applyFont="1" applyBorder="1" applyAlignment="1" applyProtection="1">
      <alignment horizontal="left" vertical="center"/>
      <protection hidden="1"/>
    </xf>
    <xf numFmtId="0" fontId="16" fillId="0" borderId="0" xfId="16" applyFont="1"/>
    <xf numFmtId="0" fontId="17" fillId="3" borderId="0" xfId="0" applyFont="1" applyFill="1"/>
    <xf numFmtId="0" fontId="12" fillId="0" borderId="0" xfId="2" applyFont="1" applyAlignment="1" applyProtection="1">
      <alignment horizontal="left" vertical="center"/>
      <protection hidden="1"/>
    </xf>
    <xf numFmtId="0" fontId="18" fillId="0" borderId="0" xfId="16" applyFont="1"/>
    <xf numFmtId="0" fontId="21" fillId="0" borderId="0" xfId="0" applyFont="1"/>
    <xf numFmtId="1" fontId="12" fillId="0" borderId="14" xfId="1" applyNumberFormat="1" applyFont="1" applyBorder="1" applyAlignment="1">
      <alignment horizontal="center"/>
    </xf>
    <xf numFmtId="43" fontId="12" fillId="0" borderId="19" xfId="0" applyNumberFormat="1" applyFont="1" applyBorder="1"/>
    <xf numFmtId="0" fontId="23" fillId="0" borderId="0" xfId="16" applyFont="1" applyAlignment="1">
      <alignment horizontal="center"/>
    </xf>
    <xf numFmtId="0" fontId="23" fillId="0" borderId="0" xfId="16" applyFont="1" applyAlignment="1">
      <alignment horizontal="right"/>
    </xf>
    <xf numFmtId="0" fontId="21" fillId="0" borderId="17" xfId="0" applyFont="1" applyBorder="1"/>
    <xf numFmtId="0" fontId="22" fillId="0" borderId="0" xfId="0" applyFont="1"/>
    <xf numFmtId="43" fontId="11" fillId="0" borderId="0" xfId="1" applyFont="1" applyBorder="1"/>
    <xf numFmtId="0" fontId="13" fillId="0" borderId="0" xfId="12" applyFont="1" applyAlignment="1">
      <alignment horizontal="center"/>
    </xf>
    <xf numFmtId="0" fontId="11" fillId="0" borderId="0" xfId="12" applyFont="1"/>
    <xf numFmtId="0" fontId="21" fillId="0" borderId="10" xfId="0" applyFont="1" applyBorder="1"/>
    <xf numFmtId="43" fontId="11" fillId="0" borderId="0" xfId="1" applyFont="1" applyBorder="1" applyAlignment="1">
      <alignment horizontal="center"/>
    </xf>
    <xf numFmtId="43" fontId="11" fillId="0" borderId="17" xfId="1" applyFont="1" applyBorder="1" applyAlignment="1">
      <alignment horizontal="center"/>
    </xf>
    <xf numFmtId="43" fontId="14" fillId="0" borderId="0" xfId="1" applyFont="1" applyBorder="1" applyAlignment="1">
      <alignment horizontal="center"/>
    </xf>
    <xf numFmtId="43" fontId="12" fillId="0" borderId="0" xfId="1" applyFont="1" applyBorder="1" applyAlignment="1">
      <alignment horizontal="center"/>
    </xf>
    <xf numFmtId="0" fontId="24" fillId="0" borderId="0" xfId="16" applyFont="1" applyAlignment="1">
      <alignment horizontal="center"/>
    </xf>
    <xf numFmtId="43" fontId="21" fillId="0" borderId="0" xfId="1" applyFont="1" applyBorder="1" applyAlignment="1">
      <alignment horizontal="center"/>
    </xf>
    <xf numFmtId="0" fontId="16" fillId="0" borderId="0" xfId="16" applyFont="1" applyAlignment="1">
      <alignment horizontal="left"/>
    </xf>
    <xf numFmtId="0" fontId="27" fillId="0" borderId="0" xfId="16" applyFont="1" applyAlignment="1">
      <alignment horizontal="center"/>
    </xf>
    <xf numFmtId="0" fontId="13" fillId="0" borderId="0" xfId="16" applyFont="1" applyAlignment="1">
      <alignment horizontal="center"/>
    </xf>
    <xf numFmtId="14" fontId="12" fillId="0" borderId="0" xfId="0" applyNumberFormat="1" applyFont="1" applyAlignment="1">
      <alignment horizontal="right"/>
    </xf>
    <xf numFmtId="165" fontId="12" fillId="0" borderId="19" xfId="1" applyNumberFormat="1" applyFont="1" applyBorder="1"/>
    <xf numFmtId="0" fontId="13" fillId="0" borderId="0" xfId="0" applyFont="1" applyAlignment="1">
      <alignment horizontal="center" vertical="center"/>
    </xf>
    <xf numFmtId="0" fontId="11" fillId="0" borderId="14" xfId="12" applyFont="1" applyBorder="1"/>
    <xf numFmtId="43" fontId="13" fillId="0" borderId="15" xfId="1" applyFont="1" applyBorder="1" applyAlignment="1">
      <alignment horizontal="center"/>
    </xf>
    <xf numFmtId="43" fontId="14" fillId="0" borderId="11" xfId="1" applyFont="1" applyBorder="1"/>
    <xf numFmtId="0" fontId="11" fillId="0" borderId="17" xfId="12" applyFont="1" applyBorder="1"/>
    <xf numFmtId="43" fontId="14" fillId="0" borderId="17" xfId="1" applyFont="1" applyBorder="1"/>
    <xf numFmtId="43" fontId="14" fillId="0" borderId="18" xfId="1" applyFont="1" applyBorder="1"/>
    <xf numFmtId="0" fontId="13" fillId="0" borderId="11" xfId="0" applyFont="1" applyBorder="1" applyAlignment="1">
      <alignment horizontal="center" vertical="center"/>
    </xf>
    <xf numFmtId="0" fontId="11" fillId="3" borderId="22" xfId="20" applyFont="1" applyFill="1" applyBorder="1" applyAlignment="1">
      <alignment horizontal="center" vertical="center"/>
    </xf>
    <xf numFmtId="0" fontId="11" fillId="3" borderId="23" xfId="20" applyFont="1" applyFill="1" applyBorder="1" applyAlignment="1">
      <alignment horizontal="center" vertical="center"/>
    </xf>
    <xf numFmtId="0" fontId="16" fillId="0" borderId="0" xfId="16" applyFont="1" applyAlignment="1">
      <alignment horizontal="left" wrapText="1"/>
    </xf>
    <xf numFmtId="0" fontId="17" fillId="0" borderId="0" xfId="0" applyFont="1"/>
    <xf numFmtId="0" fontId="28" fillId="2" borderId="0" xfId="6" applyFont="1" applyFill="1" applyAlignment="1">
      <alignment vertical="center"/>
    </xf>
    <xf numFmtId="0" fontId="28" fillId="0" borderId="0" xfId="6" applyFont="1" applyAlignment="1">
      <alignment horizontal="right" vertical="center" wrapText="1"/>
    </xf>
    <xf numFmtId="0" fontId="11" fillId="0" borderId="0" xfId="2" applyFont="1" applyAlignment="1">
      <alignment horizontal="center"/>
    </xf>
    <xf numFmtId="0" fontId="11" fillId="0" borderId="1" xfId="2" applyFont="1" applyBorder="1" applyAlignment="1" applyProtection="1">
      <alignment horizontal="center" vertical="center"/>
      <protection hidden="1"/>
    </xf>
    <xf numFmtId="49" fontId="12" fillId="0" borderId="14" xfId="1" applyNumberFormat="1" applyFont="1" applyBorder="1" applyAlignment="1">
      <alignment horizontal="center"/>
    </xf>
    <xf numFmtId="0" fontId="11" fillId="0" borderId="6" xfId="2" applyFont="1" applyBorder="1" applyAlignment="1" applyProtection="1">
      <alignment horizontal="center" vertical="center" wrapText="1"/>
      <protection hidden="1"/>
    </xf>
    <xf numFmtId="0" fontId="11" fillId="2" borderId="6" xfId="16" applyFont="1" applyFill="1" applyBorder="1" applyAlignment="1" applyProtection="1">
      <alignment horizontal="center" vertical="center" wrapText="1"/>
      <protection hidden="1"/>
    </xf>
    <xf numFmtId="0" fontId="11" fillId="0" borderId="0" xfId="12" applyFont="1" applyAlignment="1">
      <alignment horizontal="center" vertical="center"/>
    </xf>
    <xf numFmtId="0" fontId="31" fillId="3" borderId="0" xfId="18" applyFont="1" applyFill="1"/>
    <xf numFmtId="0" fontId="13" fillId="0" borderId="0" xfId="0" applyFont="1"/>
    <xf numFmtId="0" fontId="20" fillId="4" borderId="4" xfId="18" applyFont="1" applyFill="1" applyBorder="1" applyAlignment="1">
      <alignment horizontal="center" vertical="center"/>
    </xf>
    <xf numFmtId="166" fontId="17" fillId="2" borderId="0" xfId="18" applyNumberFormat="1" applyFont="1" applyFill="1" applyAlignment="1">
      <alignment horizontal="left"/>
    </xf>
    <xf numFmtId="0" fontId="28" fillId="0" borderId="0" xfId="6" applyFont="1" applyAlignment="1">
      <alignment vertical="center"/>
    </xf>
    <xf numFmtId="0" fontId="11" fillId="0" borderId="10" xfId="12" applyFont="1" applyBorder="1"/>
    <xf numFmtId="43" fontId="11" fillId="0" borderId="11" xfId="1" applyFont="1" applyBorder="1" applyAlignment="1">
      <alignment horizontal="center"/>
    </xf>
    <xf numFmtId="9" fontId="11" fillId="0" borderId="0" xfId="17" applyFont="1" applyBorder="1" applyAlignment="1">
      <alignment horizontal="center"/>
    </xf>
    <xf numFmtId="9" fontId="11" fillId="0" borderId="11" xfId="17" applyFont="1" applyBorder="1" applyAlignment="1">
      <alignment horizontal="center"/>
    </xf>
    <xf numFmtId="0" fontId="11" fillId="0" borderId="16" xfId="12" applyFont="1" applyBorder="1"/>
    <xf numFmtId="0" fontId="32" fillId="0" borderId="17" xfId="0" applyFont="1" applyBorder="1"/>
    <xf numFmtId="0" fontId="11" fillId="0" borderId="18" xfId="12" applyFont="1" applyBorder="1"/>
    <xf numFmtId="0" fontId="32" fillId="0" borderId="0" xfId="0" applyFont="1"/>
    <xf numFmtId="0" fontId="32" fillId="0" borderId="24" xfId="0" applyFont="1" applyBorder="1"/>
    <xf numFmtId="0" fontId="11" fillId="0" borderId="13" xfId="12" applyFont="1" applyBorder="1"/>
    <xf numFmtId="43" fontId="14" fillId="0" borderId="0" xfId="1" applyFont="1" applyBorder="1"/>
    <xf numFmtId="0" fontId="11" fillId="0" borderId="0" xfId="0" applyFont="1"/>
    <xf numFmtId="0" fontId="11" fillId="0" borderId="0" xfId="12" applyFont="1" applyAlignment="1">
      <alignment wrapText="1"/>
    </xf>
    <xf numFmtId="0" fontId="13" fillId="0" borderId="0" xfId="0" quotePrefix="1" applyFont="1" applyAlignment="1">
      <alignment horizontal="center"/>
    </xf>
    <xf numFmtId="0" fontId="33" fillId="3" borderId="0" xfId="21" applyFont="1" applyFill="1" applyAlignment="1">
      <alignment horizontal="center"/>
    </xf>
    <xf numFmtId="0" fontId="29" fillId="2" borderId="0" xfId="2" applyFont="1" applyFill="1" applyAlignment="1" applyProtection="1">
      <alignment horizontal="left" vertical="center"/>
      <protection hidden="1"/>
    </xf>
    <xf numFmtId="0" fontId="29" fillId="0" borderId="8" xfId="2" applyFont="1" applyBorder="1" applyAlignment="1" applyProtection="1">
      <alignment horizontal="left" vertical="center"/>
      <protection hidden="1"/>
    </xf>
    <xf numFmtId="0" fontId="13" fillId="0" borderId="0" xfId="12" applyFont="1" applyAlignment="1">
      <alignment horizontal="left"/>
    </xf>
    <xf numFmtId="0" fontId="29" fillId="4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 wrapText="1"/>
    </xf>
    <xf numFmtId="43" fontId="29" fillId="4" borderId="1" xfId="1" applyFont="1" applyFill="1" applyBorder="1" applyAlignment="1">
      <alignment horizontal="center" vertical="center"/>
    </xf>
    <xf numFmtId="14" fontId="29" fillId="4" borderId="1" xfId="0" applyNumberFormat="1" applyFont="1" applyFill="1" applyBorder="1" applyAlignment="1">
      <alignment horizontal="center" vertical="center" wrapText="1" readingOrder="1"/>
    </xf>
    <xf numFmtId="14" fontId="29" fillId="4" borderId="1" xfId="1" applyNumberFormat="1" applyFont="1" applyFill="1" applyBorder="1" applyAlignment="1">
      <alignment horizontal="center" vertical="center" wrapText="1" readingOrder="1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vertical="top" wrapText="1"/>
    </xf>
    <xf numFmtId="49" fontId="6" fillId="0" borderId="1" xfId="0" applyNumberFormat="1" applyFont="1" applyBorder="1"/>
    <xf numFmtId="14" fontId="6" fillId="0" borderId="1" xfId="0" applyNumberFormat="1" applyFont="1" applyBorder="1"/>
    <xf numFmtId="4" fontId="6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0" xfId="0" applyFont="1" applyAlignment="1">
      <alignment vertical="top"/>
    </xf>
    <xf numFmtId="49" fontId="6" fillId="0" borderId="0" xfId="0" applyNumberFormat="1" applyFont="1"/>
    <xf numFmtId="14" fontId="6" fillId="0" borderId="0" xfId="0" applyNumberFormat="1" applyFont="1"/>
    <xf numFmtId="0" fontId="6" fillId="0" borderId="12" xfId="0" applyFont="1" applyBorder="1"/>
    <xf numFmtId="0" fontId="6" fillId="2" borderId="0" xfId="0" applyFont="1" applyFill="1"/>
    <xf numFmtId="0" fontId="30" fillId="0" borderId="0" xfId="12" applyFont="1" applyAlignment="1">
      <alignment horizontal="center"/>
    </xf>
    <xf numFmtId="43" fontId="13" fillId="3" borderId="0" xfId="1" applyFont="1" applyFill="1" applyBorder="1" applyAlignment="1">
      <alignment horizontal="center"/>
    </xf>
    <xf numFmtId="0" fontId="34" fillId="3" borderId="0" xfId="18" applyFont="1" applyFill="1"/>
    <xf numFmtId="166" fontId="17" fillId="2" borderId="0" xfId="18" applyNumberFormat="1" applyFont="1" applyFill="1" applyAlignment="1">
      <alignment horizontal="left" vertical="center"/>
    </xf>
    <xf numFmtId="0" fontId="29" fillId="0" borderId="0" xfId="2" applyFont="1" applyAlignment="1" applyProtection="1">
      <alignment horizontal="left" vertical="center"/>
      <protection hidden="1"/>
    </xf>
    <xf numFmtId="0" fontId="6" fillId="0" borderId="1" xfId="0" applyFont="1" applyBorder="1" applyAlignment="1">
      <alignment horizontal="center"/>
    </xf>
    <xf numFmtId="0" fontId="35" fillId="2" borderId="0" xfId="6" applyFont="1" applyFill="1" applyAlignment="1">
      <alignment horizontal="left" vertical="center" wrapText="1"/>
    </xf>
    <xf numFmtId="0" fontId="30" fillId="0" borderId="0" xfId="0" applyFont="1"/>
    <xf numFmtId="165" fontId="12" fillId="0" borderId="0" xfId="1" applyNumberFormat="1" applyFont="1" applyBorder="1"/>
    <xf numFmtId="0" fontId="5" fillId="0" borderId="0" xfId="0" applyFont="1" applyAlignment="1">
      <alignment horizontal="right"/>
    </xf>
    <xf numFmtId="14" fontId="30" fillId="0" borderId="0" xfId="0" applyNumberFormat="1" applyFont="1" applyAlignment="1">
      <alignment horizontal="right"/>
    </xf>
    <xf numFmtId="165" fontId="13" fillId="0" borderId="0" xfId="1" applyNumberFormat="1" applyFont="1" applyBorder="1"/>
    <xf numFmtId="0" fontId="36" fillId="0" borderId="0" xfId="0" applyFont="1"/>
    <xf numFmtId="165" fontId="6" fillId="0" borderId="0" xfId="1" applyNumberFormat="1" applyFont="1" applyBorder="1"/>
    <xf numFmtId="0" fontId="4" fillId="0" borderId="0" xfId="0" applyFont="1" applyAlignment="1">
      <alignment horizontal="right"/>
    </xf>
    <xf numFmtId="165" fontId="6" fillId="0" borderId="1" xfId="1" applyNumberFormat="1" applyFont="1" applyBorder="1"/>
    <xf numFmtId="0" fontId="3" fillId="0" borderId="1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2" fillId="4" borderId="1" xfId="16" applyFont="1" applyFill="1" applyBorder="1" applyAlignment="1">
      <alignment horizontal="center"/>
    </xf>
    <xf numFmtId="0" fontId="2" fillId="4" borderId="1" xfId="0" applyFont="1" applyFill="1" applyBorder="1"/>
    <xf numFmtId="0" fontId="2" fillId="0" borderId="1" xfId="16" applyFont="1" applyBorder="1" applyAlignment="1">
      <alignment horizontal="center"/>
    </xf>
    <xf numFmtId="0" fontId="29" fillId="5" borderId="2" xfId="0" applyFont="1" applyFill="1" applyBorder="1" applyAlignment="1">
      <alignment horizontal="centerContinuous"/>
    </xf>
    <xf numFmtId="0" fontId="29" fillId="5" borderId="31" xfId="0" applyFont="1" applyFill="1" applyBorder="1" applyAlignment="1">
      <alignment horizontal="centerContinuous"/>
    </xf>
    <xf numFmtId="0" fontId="6" fillId="5" borderId="31" xfId="0" applyFont="1" applyFill="1" applyBorder="1" applyAlignment="1">
      <alignment horizontal="centerContinuous"/>
    </xf>
    <xf numFmtId="0" fontId="6" fillId="5" borderId="30" xfId="0" applyFont="1" applyFill="1" applyBorder="1" applyAlignment="1">
      <alignment horizontal="centerContinuous"/>
    </xf>
    <xf numFmtId="165" fontId="6" fillId="0" borderId="19" xfId="0" applyNumberFormat="1" applyFont="1" applyBorder="1"/>
    <xf numFmtId="0" fontId="37" fillId="0" borderId="0" xfId="0" applyFont="1" applyAlignment="1">
      <alignment horizontal="center"/>
    </xf>
    <xf numFmtId="0" fontId="29" fillId="4" borderId="2" xfId="2" applyFont="1" applyFill="1" applyBorder="1" applyAlignment="1" applyProtection="1">
      <alignment horizontal="center" vertical="center"/>
      <protection hidden="1"/>
    </xf>
    <xf numFmtId="0" fontId="29" fillId="4" borderId="1" xfId="2" applyFont="1" applyFill="1" applyBorder="1" applyAlignment="1">
      <alignment horizontal="center" vertical="center"/>
    </xf>
    <xf numFmtId="0" fontId="1" fillId="0" borderId="0" xfId="0" applyFont="1"/>
    <xf numFmtId="0" fontId="25" fillId="0" borderId="0" xfId="18" applyFont="1" applyAlignment="1">
      <alignment horizontal="center" vertical="center"/>
    </xf>
    <xf numFmtId="0" fontId="20" fillId="4" borderId="20" xfId="18" applyFont="1" applyFill="1" applyBorder="1" applyAlignment="1">
      <alignment horizontal="center" vertical="center"/>
    </xf>
    <xf numFmtId="0" fontId="20" fillId="4" borderId="3" xfId="18" applyFont="1" applyFill="1" applyBorder="1" applyAlignment="1">
      <alignment horizontal="center" vertical="center"/>
    </xf>
    <xf numFmtId="0" fontId="20" fillId="4" borderId="9" xfId="18" applyFont="1" applyFill="1" applyBorder="1" applyAlignment="1">
      <alignment horizontal="center" vertical="center" wrapText="1"/>
    </xf>
    <xf numFmtId="0" fontId="20" fillId="4" borderId="4" xfId="18" applyFont="1" applyFill="1" applyBorder="1" applyAlignment="1">
      <alignment horizontal="center" vertical="center" wrapText="1"/>
    </xf>
    <xf numFmtId="0" fontId="20" fillId="4" borderId="21" xfId="18" applyFont="1" applyFill="1" applyBorder="1" applyAlignment="1">
      <alignment horizontal="center" vertical="center"/>
    </xf>
    <xf numFmtId="0" fontId="20" fillId="4" borderId="5" xfId="18" applyFont="1" applyFill="1" applyBorder="1" applyAlignment="1">
      <alignment horizontal="center" vertical="center"/>
    </xf>
    <xf numFmtId="0" fontId="20" fillId="4" borderId="9" xfId="18" applyFont="1" applyFill="1" applyBorder="1" applyAlignment="1">
      <alignment horizontal="center" vertical="center"/>
    </xf>
    <xf numFmtId="0" fontId="20" fillId="4" borderId="4" xfId="18" applyFont="1" applyFill="1" applyBorder="1" applyAlignment="1">
      <alignment horizontal="center" vertical="center"/>
    </xf>
    <xf numFmtId="0" fontId="30" fillId="2" borderId="25" xfId="6" applyFont="1" applyFill="1" applyBorder="1" applyAlignment="1">
      <alignment horizontal="center" vertical="center" wrapText="1"/>
    </xf>
    <xf numFmtId="0" fontId="35" fillId="2" borderId="12" xfId="6" applyFont="1" applyFill="1" applyBorder="1" applyAlignment="1">
      <alignment horizontal="center" vertical="center" wrapText="1"/>
    </xf>
    <xf numFmtId="0" fontId="35" fillId="2" borderId="26" xfId="6" applyFont="1" applyFill="1" applyBorder="1" applyAlignment="1">
      <alignment horizontal="center" vertical="center" wrapText="1"/>
    </xf>
    <xf numFmtId="0" fontId="35" fillId="2" borderId="27" xfId="6" applyFont="1" applyFill="1" applyBorder="1" applyAlignment="1">
      <alignment horizontal="center" vertical="center" wrapText="1"/>
    </xf>
    <xf numFmtId="0" fontId="35" fillId="2" borderId="28" xfId="6" applyFont="1" applyFill="1" applyBorder="1" applyAlignment="1">
      <alignment horizontal="center" vertical="center" wrapText="1"/>
    </xf>
    <xf numFmtId="0" fontId="35" fillId="2" borderId="29" xfId="6" applyFont="1" applyFill="1" applyBorder="1" applyAlignment="1">
      <alignment horizontal="center" vertical="center" wrapText="1"/>
    </xf>
    <xf numFmtId="0" fontId="29" fillId="5" borderId="2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</cellXfs>
  <cellStyles count="23">
    <cellStyle name="Millares" xfId="1" builtinId="3"/>
    <cellStyle name="Millares 2" xfId="9" xr:uid="{0A3C3342-CCA6-43EF-A13F-3A47512E7CB8}"/>
    <cellStyle name="Millares 2 2" xfId="19" xr:uid="{9502923C-648A-4187-A74D-4B3BDD6B132E}"/>
    <cellStyle name="Millares 3" xfId="15" xr:uid="{8633B554-ABA9-49EC-BBBB-4A7CC62A1530}"/>
    <cellStyle name="Millares 3 2" xfId="22" xr:uid="{E84DF78D-63C6-4AA2-B3A1-B3D9E37EF3DA}"/>
    <cellStyle name="Normal" xfId="0" builtinId="0"/>
    <cellStyle name="Normal 2" xfId="4" xr:uid="{99922F4E-DD4B-4B5D-A0F4-319326040BB2}"/>
    <cellStyle name="Normal 2 10" xfId="16" xr:uid="{F46D0E15-EA22-4836-8682-B318093FF1AB}"/>
    <cellStyle name="Normal 2 2" xfId="20" xr:uid="{388FAE1E-A3BF-4EA0-85E5-6F91D01ADBAE}"/>
    <cellStyle name="Normal 2 3 2" xfId="8" xr:uid="{F511D652-7FE6-45D9-8436-3AA40B6091A0}"/>
    <cellStyle name="Normal 2 3 2 5" xfId="12" xr:uid="{0B314444-EBFC-448F-915D-7126B6FB576C}"/>
    <cellStyle name="Normal 3" xfId="5" xr:uid="{17D35D70-2382-4C16-8098-4CD8F628E49E}"/>
    <cellStyle name="Normal 3 2" xfId="6" xr:uid="{0F5A7000-F357-49DA-8509-BBCCCF746C12}"/>
    <cellStyle name="Normal 4" xfId="7" xr:uid="{5105DC9A-7D69-4698-83B3-E29332C47C31}"/>
    <cellStyle name="Normal 5" xfId="3" xr:uid="{E4E1C48B-FC0D-48E1-9B60-6B9EC5E62C9D}"/>
    <cellStyle name="Normal 6" xfId="11" xr:uid="{11BA5658-887F-46CD-9D6D-DC6A5794AEF0}"/>
    <cellStyle name="Normal 7" xfId="2" xr:uid="{8404EB3F-8853-465F-94AF-C5CD29CAC08E}"/>
    <cellStyle name="Normal_2102 Sumaria de Efectivo y Equivalentes" xfId="18" xr:uid="{9C2DB25B-3119-455E-A634-EB76D4BA3C0C}"/>
    <cellStyle name="Normal_2102.1 Resumen de Conciliaciones Bancarias" xfId="21" xr:uid="{3670C196-8349-410F-9FAD-8C395EA5BB32}"/>
    <cellStyle name="Porcentaje" xfId="17" builtinId="5"/>
    <cellStyle name="Porcentaje 2" xfId="13" xr:uid="{F335E9AF-B42D-4D8E-907B-37CDE69990D7}"/>
    <cellStyle name="Porcentaje 3" xfId="10" xr:uid="{A53C3F2E-90CF-486B-A1B8-AB8AB1A49338}"/>
    <cellStyle name="Porcentual 2 2 3 2" xfId="14" xr:uid="{3EEA4F75-9F2C-4C4F-AD09-E6EEC6F371F1}"/>
  </cellStyles>
  <dxfs count="0"/>
  <tableStyles count="0" defaultTableStyle="TableStyleMedium2" defaultPivotStyle="PivotStyleLight16"/>
  <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25400</xdr:rowOff>
    </xdr:from>
    <xdr:to>
      <xdr:col>2</xdr:col>
      <xdr:colOff>676275</xdr:colOff>
      <xdr:row>3</xdr:row>
      <xdr:rowOff>103717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AE26FD-C129-47CA-B6B1-B03487D07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" y="25400"/>
          <a:ext cx="1536700" cy="555625"/>
        </a:xfrm>
        <a:prstGeom prst="rect">
          <a:avLst/>
        </a:prstGeom>
      </xdr:spPr>
    </xdr:pic>
    <xdr:clientData/>
  </xdr:twoCellAnchor>
  <xdr:twoCellAnchor>
    <xdr:from>
      <xdr:col>6</xdr:col>
      <xdr:colOff>40479</xdr:colOff>
      <xdr:row>26</xdr:row>
      <xdr:rowOff>60172</xdr:rowOff>
    </xdr:from>
    <xdr:to>
      <xdr:col>6</xdr:col>
      <xdr:colOff>885825</xdr:colOff>
      <xdr:row>26</xdr:row>
      <xdr:rowOff>133349</xdr:rowOff>
    </xdr:to>
    <xdr:grpSp>
      <xdr:nvGrpSpPr>
        <xdr:cNvPr id="3" name="Group 20">
          <a:extLst>
            <a:ext uri="{FF2B5EF4-FFF2-40B4-BE49-F238E27FC236}">
              <a16:creationId xmlns:a16="http://schemas.microsoft.com/office/drawing/2014/main" id="{99B3F2AA-A1EF-4449-AF41-F5363A5E043B}"/>
            </a:ext>
          </a:extLst>
        </xdr:cNvPr>
        <xdr:cNvGrpSpPr/>
      </xdr:nvGrpSpPr>
      <xdr:grpSpPr>
        <a:xfrm rot="10800000">
          <a:off x="8594303" y="4467819"/>
          <a:ext cx="845346" cy="73177"/>
          <a:chOff x="1566863" y="4862513"/>
          <a:chExt cx="6472237" cy="114300"/>
        </a:xfrm>
      </xdr:grpSpPr>
      <xdr:cxnSp macro="">
        <xdr:nvCxnSpPr>
          <xdr:cNvPr id="4" name="Straight Connector 18">
            <a:extLst>
              <a:ext uri="{FF2B5EF4-FFF2-40B4-BE49-F238E27FC236}">
                <a16:creationId xmlns:a16="http://schemas.microsoft.com/office/drawing/2014/main" id="{11DE0D5E-6AA0-405B-B3B2-F1282C9B11F7}"/>
              </a:ext>
            </a:extLst>
          </xdr:cNvPr>
          <xdr:cNvCxnSpPr/>
        </xdr:nvCxnSpPr>
        <xdr:spPr>
          <a:xfrm>
            <a:off x="1566863" y="4926013"/>
            <a:ext cx="6472237" cy="0"/>
          </a:xfrm>
          <a:prstGeom prst="line">
            <a:avLst/>
          </a:prstGeom>
          <a:ln w="1905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headEnd type="none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Connector 19">
            <a:extLst>
              <a:ext uri="{FF2B5EF4-FFF2-40B4-BE49-F238E27FC236}">
                <a16:creationId xmlns:a16="http://schemas.microsoft.com/office/drawing/2014/main" id="{1E66D4DE-AE45-4963-BC25-D860DE81CFA0}"/>
              </a:ext>
            </a:extLst>
          </xdr:cNvPr>
          <xdr:cNvCxnSpPr/>
        </xdr:nvCxnSpPr>
        <xdr:spPr>
          <a:xfrm flipV="1">
            <a:off x="8035925" y="4862513"/>
            <a:ext cx="0" cy="114300"/>
          </a:xfrm>
          <a:prstGeom prst="line">
            <a:avLst/>
          </a:prstGeom>
          <a:ln w="1905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headEnd type="none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190501</xdr:colOff>
      <xdr:row>26</xdr:row>
      <xdr:rowOff>45525</xdr:rowOff>
    </xdr:from>
    <xdr:to>
      <xdr:col>8</xdr:col>
      <xdr:colOff>4762</xdr:colOff>
      <xdr:row>26</xdr:row>
      <xdr:rowOff>133351</xdr:rowOff>
    </xdr:to>
    <xdr:grpSp>
      <xdr:nvGrpSpPr>
        <xdr:cNvPr id="6" name="Group 20">
          <a:extLst>
            <a:ext uri="{FF2B5EF4-FFF2-40B4-BE49-F238E27FC236}">
              <a16:creationId xmlns:a16="http://schemas.microsoft.com/office/drawing/2014/main" id="{12962442-EB0C-40EC-98CE-2AD443D3702C}"/>
            </a:ext>
          </a:extLst>
        </xdr:cNvPr>
        <xdr:cNvGrpSpPr/>
      </xdr:nvGrpSpPr>
      <xdr:grpSpPr>
        <a:xfrm>
          <a:off x="9782736" y="4453172"/>
          <a:ext cx="919908" cy="87826"/>
          <a:chOff x="1566863" y="4862513"/>
          <a:chExt cx="6472237" cy="114300"/>
        </a:xfrm>
      </xdr:grpSpPr>
      <xdr:cxnSp macro="">
        <xdr:nvCxnSpPr>
          <xdr:cNvPr id="7" name="Straight Connector 18">
            <a:extLst>
              <a:ext uri="{FF2B5EF4-FFF2-40B4-BE49-F238E27FC236}">
                <a16:creationId xmlns:a16="http://schemas.microsoft.com/office/drawing/2014/main" id="{5A60A998-4923-45F4-B93C-22DBA286C6D8}"/>
              </a:ext>
            </a:extLst>
          </xdr:cNvPr>
          <xdr:cNvCxnSpPr/>
        </xdr:nvCxnSpPr>
        <xdr:spPr>
          <a:xfrm>
            <a:off x="1566863" y="4926013"/>
            <a:ext cx="6472237" cy="0"/>
          </a:xfrm>
          <a:prstGeom prst="line">
            <a:avLst/>
          </a:prstGeom>
          <a:ln w="1905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headEnd type="none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Connector 19">
            <a:extLst>
              <a:ext uri="{FF2B5EF4-FFF2-40B4-BE49-F238E27FC236}">
                <a16:creationId xmlns:a16="http://schemas.microsoft.com/office/drawing/2014/main" id="{E8D4B215-5CBF-4990-9C65-78D123E1B08C}"/>
              </a:ext>
            </a:extLst>
          </xdr:cNvPr>
          <xdr:cNvCxnSpPr/>
        </xdr:nvCxnSpPr>
        <xdr:spPr>
          <a:xfrm flipV="1">
            <a:off x="8035925" y="4862513"/>
            <a:ext cx="0" cy="114300"/>
          </a:xfrm>
          <a:prstGeom prst="line">
            <a:avLst/>
          </a:prstGeom>
          <a:ln w="1905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headEnd type="none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344276</xdr:colOff>
      <xdr:row>34</xdr:row>
      <xdr:rowOff>113329</xdr:rowOff>
    </xdr:from>
    <xdr:to>
      <xdr:col>12</xdr:col>
      <xdr:colOff>1180878</xdr:colOff>
      <xdr:row>34</xdr:row>
      <xdr:rowOff>113329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A2467940-6733-4AA1-DF14-2FF3B36A0FAB}"/>
            </a:ext>
          </a:extLst>
        </xdr:cNvPr>
        <xdr:cNvCxnSpPr/>
      </xdr:nvCxnSpPr>
      <xdr:spPr>
        <a:xfrm>
          <a:off x="723048" y="4168417"/>
          <a:ext cx="18059584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817656</xdr:colOff>
      <xdr:row>43</xdr:row>
      <xdr:rowOff>127971</xdr:rowOff>
    </xdr:from>
    <xdr:ext cx="192088" cy="192088"/>
    <xdr:pic>
      <xdr:nvPicPr>
        <xdr:cNvPr id="7" name="Imagen 6">
          <a:extLst>
            <a:ext uri="{FF2B5EF4-FFF2-40B4-BE49-F238E27FC236}">
              <a16:creationId xmlns:a16="http://schemas.microsoft.com/office/drawing/2014/main" id="{1A0A1C7C-3D35-41B4-B81E-7306ACC00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21823" y="5199152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110340</xdr:colOff>
      <xdr:row>33</xdr:row>
      <xdr:rowOff>116809</xdr:rowOff>
    </xdr:from>
    <xdr:to>
      <xdr:col>1</xdr:col>
      <xdr:colOff>321637</xdr:colOff>
      <xdr:row>35</xdr:row>
      <xdr:rowOff>16475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1BC096D-6DD7-4271-BA41-F92DFE393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340" y="4145531"/>
          <a:ext cx="211297" cy="224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140360</xdr:colOff>
      <xdr:row>63</xdr:row>
      <xdr:rowOff>94826</xdr:rowOff>
    </xdr:from>
    <xdr:ext cx="211297" cy="211297"/>
    <xdr:pic>
      <xdr:nvPicPr>
        <xdr:cNvPr id="9" name="Imagen 8">
          <a:extLst>
            <a:ext uri="{FF2B5EF4-FFF2-40B4-BE49-F238E27FC236}">
              <a16:creationId xmlns:a16="http://schemas.microsoft.com/office/drawing/2014/main" id="{ED06CE28-208A-4B32-9CCA-39EFFB9CA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60" y="6054914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138385</xdr:colOff>
      <xdr:row>65</xdr:row>
      <xdr:rowOff>48767</xdr:rowOff>
    </xdr:from>
    <xdr:to>
      <xdr:col>0</xdr:col>
      <xdr:colOff>350590</xdr:colOff>
      <xdr:row>66</xdr:row>
      <xdr:rowOff>77266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56BC2D2-F725-4161-B935-96AE448F1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85" y="10826495"/>
          <a:ext cx="212205" cy="191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2254032</xdr:colOff>
      <xdr:row>31</xdr:row>
      <xdr:rowOff>65446</xdr:rowOff>
    </xdr:from>
    <xdr:to>
      <xdr:col>11</xdr:col>
      <xdr:colOff>534803</xdr:colOff>
      <xdr:row>34</xdr:row>
      <xdr:rowOff>14025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7CCD9E4F-33BD-41F8-8B77-9615832252A3}"/>
            </a:ext>
          </a:extLst>
        </xdr:cNvPr>
        <xdr:cNvSpPr/>
      </xdr:nvSpPr>
      <xdr:spPr>
        <a:xfrm rot="5400000">
          <a:off x="8572460" y="-1670684"/>
          <a:ext cx="437700" cy="12319419"/>
        </a:xfrm>
        <a:prstGeom prst="leftBrace">
          <a:avLst>
            <a:gd name="adj1" fmla="val 8333"/>
            <a:gd name="adj2" fmla="val 29610"/>
          </a:avLst>
        </a:prstGeom>
        <a:ln w="31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4</xdr:col>
      <xdr:colOff>1680759</xdr:colOff>
      <xdr:row>53</xdr:row>
      <xdr:rowOff>65024</xdr:rowOff>
    </xdr:from>
    <xdr:ext cx="192088" cy="192088"/>
    <xdr:pic>
      <xdr:nvPicPr>
        <xdr:cNvPr id="6" name="Imagen 5">
          <a:extLst>
            <a:ext uri="{FF2B5EF4-FFF2-40B4-BE49-F238E27FC236}">
              <a16:creationId xmlns:a16="http://schemas.microsoft.com/office/drawing/2014/main" id="{FE5E09B4-4EDB-4F5A-A8AB-0C5C32919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0951" y="9078976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OS_FREDDY_FREDDY/FREDDY/Impuestos%202010/FREDDY%20RETENFTE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2010"/>
      <sheetName val="FEBRER2010"/>
      <sheetName val="marzo2010"/>
      <sheetName val="ABRIL 2010"/>
      <sheetName val="MAYO 2010"/>
      <sheetName val="JUNIO 2010"/>
      <sheetName val="JULIO 2010"/>
      <sheetName val="AGOSTO 2010"/>
      <sheetName val="SEPTIEMBRE 2010"/>
      <sheetName val="OCTUBRE 2010"/>
      <sheetName val="anaislis"/>
      <sheetName val="42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D2">
            <v>-88.39</v>
          </cell>
        </row>
        <row r="3">
          <cell r="D3">
            <v>-114.85</v>
          </cell>
        </row>
        <row r="4">
          <cell r="D4">
            <v>-2325.75</v>
          </cell>
        </row>
        <row r="5">
          <cell r="D5">
            <v>-135.55000000000001</v>
          </cell>
        </row>
        <row r="6">
          <cell r="D6">
            <v>-126.5</v>
          </cell>
        </row>
        <row r="7">
          <cell r="D7">
            <v>-437.91</v>
          </cell>
        </row>
        <row r="8">
          <cell r="D8">
            <v>-325.48</v>
          </cell>
        </row>
        <row r="9">
          <cell r="D9">
            <v>-231.03</v>
          </cell>
        </row>
        <row r="10">
          <cell r="D10">
            <v>-235.11</v>
          </cell>
        </row>
        <row r="11">
          <cell r="D11">
            <v>-684.9</v>
          </cell>
        </row>
        <row r="12">
          <cell r="D12">
            <v>-247</v>
          </cell>
        </row>
        <row r="13">
          <cell r="D13">
            <v>-461.61</v>
          </cell>
        </row>
        <row r="14">
          <cell r="D14">
            <v>-552.9</v>
          </cell>
        </row>
        <row r="15">
          <cell r="D15">
            <v>-17</v>
          </cell>
        </row>
        <row r="16">
          <cell r="D16">
            <v>-1006.95</v>
          </cell>
        </row>
        <row r="17">
          <cell r="D17">
            <v>-139.22999999999999</v>
          </cell>
        </row>
        <row r="18">
          <cell r="D18">
            <v>-2112.71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745B-06F8-44CC-AE03-EC5032E77E9E}">
  <sheetPr>
    <pageSetUpPr fitToPage="1"/>
  </sheetPr>
  <dimension ref="A2:I117"/>
  <sheetViews>
    <sheetView showGridLines="0" topLeftCell="A26" zoomScale="85" zoomScaleNormal="85" workbookViewId="0">
      <selection activeCell="C16" sqref="C16"/>
    </sheetView>
  </sheetViews>
  <sheetFormatPr baseColWidth="10" defaultColWidth="9.1796875" defaultRowHeight="12.5" x14ac:dyDescent="0.25"/>
  <cols>
    <col min="1" max="1" width="4.81640625" style="20" customWidth="1"/>
    <col min="2" max="2" width="14.1796875" style="52" customWidth="1"/>
    <col min="3" max="3" width="57.26953125" style="52" customWidth="1"/>
    <col min="4" max="4" width="16.36328125" style="52" customWidth="1"/>
    <col min="5" max="6" width="14.81640625" style="20" customWidth="1"/>
    <col min="7" max="7" width="14.81640625" style="20" bestFit="1" customWidth="1"/>
    <col min="8" max="8" width="15.81640625" style="20" customWidth="1"/>
    <col min="9" max="9" width="15" style="20" customWidth="1"/>
    <col min="10" max="10" width="15.7265625" style="20" customWidth="1"/>
    <col min="11" max="16384" width="9.1796875" style="20"/>
  </cols>
  <sheetData>
    <row r="2" spans="2:9" x14ac:dyDescent="0.25">
      <c r="G2" s="3" t="s">
        <v>0</v>
      </c>
      <c r="H2" s="3" t="s">
        <v>1</v>
      </c>
      <c r="I2" s="3" t="s">
        <v>2</v>
      </c>
    </row>
    <row r="3" spans="2:9" x14ac:dyDescent="0.25">
      <c r="B3" s="45"/>
      <c r="C3" s="45"/>
      <c r="D3" s="45"/>
      <c r="G3" s="48" t="s">
        <v>41</v>
      </c>
      <c r="H3" s="48" t="s">
        <v>40</v>
      </c>
      <c r="I3" s="2">
        <v>130.01</v>
      </c>
    </row>
    <row r="4" spans="2:9" ht="13" thickBot="1" x14ac:dyDescent="0.3">
      <c r="B4" s="45"/>
      <c r="C4" s="45"/>
      <c r="D4" s="45"/>
      <c r="H4" s="42"/>
      <c r="I4" s="41"/>
    </row>
    <row r="5" spans="2:9" ht="13" thickTop="1" x14ac:dyDescent="0.25">
      <c r="B5" s="4" t="s">
        <v>3</v>
      </c>
      <c r="C5" s="4"/>
      <c r="D5" s="4"/>
      <c r="E5" s="4"/>
      <c r="F5" s="4"/>
      <c r="G5" s="4"/>
      <c r="H5" s="4"/>
      <c r="I5" s="4"/>
    </row>
    <row r="6" spans="2:9" x14ac:dyDescent="0.25">
      <c r="B6" s="5" t="s">
        <v>4</v>
      </c>
      <c r="C6" s="5"/>
      <c r="D6" s="5"/>
      <c r="E6" s="1"/>
      <c r="F6" s="1"/>
      <c r="G6" s="1"/>
      <c r="H6" s="1"/>
      <c r="I6" s="1"/>
    </row>
    <row r="7" spans="2:9" x14ac:dyDescent="0.25">
      <c r="B7" s="9" t="s">
        <v>43</v>
      </c>
      <c r="C7" s="5"/>
      <c r="D7" s="5"/>
      <c r="E7" s="1"/>
      <c r="F7" s="1"/>
      <c r="G7" s="1"/>
      <c r="H7" s="1"/>
      <c r="I7" s="1"/>
    </row>
    <row r="8" spans="2:9" ht="13" thickBot="1" x14ac:dyDescent="0.3">
      <c r="B8" s="6" t="s">
        <v>13</v>
      </c>
      <c r="C8" s="6"/>
      <c r="D8" s="6"/>
      <c r="E8" s="6"/>
      <c r="F8" s="6"/>
      <c r="G8" s="6"/>
      <c r="H8" s="6"/>
      <c r="I8" s="6"/>
    </row>
    <row r="9" spans="2:9" ht="13" thickTop="1" x14ac:dyDescent="0.25">
      <c r="B9" s="9"/>
      <c r="C9" s="9"/>
      <c r="D9" s="9"/>
      <c r="E9" s="9"/>
      <c r="F9" s="9"/>
      <c r="G9" s="9"/>
      <c r="H9" s="9"/>
      <c r="I9" s="9"/>
    </row>
    <row r="10" spans="2:9" x14ac:dyDescent="0.25">
      <c r="B10" s="45"/>
      <c r="C10" s="45"/>
      <c r="D10" s="45"/>
      <c r="E10" s="45"/>
      <c r="F10" s="45"/>
      <c r="G10" s="45"/>
      <c r="H10" s="45"/>
      <c r="I10" s="45"/>
    </row>
    <row r="11" spans="2:9" x14ac:dyDescent="0.25">
      <c r="B11" s="45"/>
      <c r="C11" s="45"/>
      <c r="D11" s="45"/>
      <c r="E11" s="45"/>
      <c r="F11" s="45"/>
      <c r="G11" s="45"/>
      <c r="H11" s="45"/>
      <c r="I11" s="45"/>
    </row>
    <row r="12" spans="2:9" x14ac:dyDescent="0.25">
      <c r="B12" s="53" t="s">
        <v>37</v>
      </c>
      <c r="C12" s="45"/>
      <c r="D12" s="45"/>
      <c r="E12" s="45"/>
      <c r="F12" s="45"/>
      <c r="G12" s="45"/>
      <c r="H12" s="45"/>
      <c r="I12" s="45"/>
    </row>
    <row r="13" spans="2:9" x14ac:dyDescent="0.25">
      <c r="B13" s="7" t="s">
        <v>44</v>
      </c>
      <c r="C13" s="45"/>
      <c r="D13" s="45"/>
      <c r="E13" s="45"/>
      <c r="F13" s="45"/>
      <c r="G13" s="45"/>
      <c r="H13" s="45"/>
      <c r="I13" s="45"/>
    </row>
    <row r="14" spans="2:9" x14ac:dyDescent="0.25">
      <c r="B14" s="7" t="s">
        <v>12</v>
      </c>
      <c r="C14" s="45"/>
      <c r="D14" s="45"/>
      <c r="E14" s="45"/>
      <c r="F14" s="45"/>
      <c r="G14" s="45"/>
      <c r="H14" s="45"/>
      <c r="I14" s="45"/>
    </row>
    <row r="15" spans="2:9" x14ac:dyDescent="0.25">
      <c r="B15" s="7"/>
      <c r="C15" s="45"/>
      <c r="D15" s="45"/>
      <c r="E15" s="45"/>
      <c r="F15" s="45"/>
      <c r="G15" s="45"/>
      <c r="H15" s="45"/>
      <c r="I15" s="45"/>
    </row>
    <row r="16" spans="2:9" x14ac:dyDescent="0.25">
      <c r="B16" s="7"/>
      <c r="C16" s="45"/>
      <c r="D16" s="45"/>
      <c r="E16" s="45"/>
      <c r="F16" s="45"/>
      <c r="G16" s="45"/>
      <c r="H16" s="45"/>
      <c r="I16" s="45"/>
    </row>
    <row r="17" spans="2:9" x14ac:dyDescent="0.25">
      <c r="B17" s="53" t="s">
        <v>38</v>
      </c>
      <c r="C17" s="45"/>
      <c r="D17" s="45"/>
      <c r="E17" s="45"/>
      <c r="F17" s="45"/>
      <c r="G17" s="45"/>
      <c r="H17" s="45"/>
      <c r="I17" s="45"/>
    </row>
    <row r="18" spans="2:9" x14ac:dyDescent="0.25">
      <c r="B18" s="45"/>
      <c r="C18" s="45"/>
      <c r="D18" s="45"/>
      <c r="E18" s="45"/>
      <c r="F18" s="45"/>
      <c r="G18" s="45"/>
      <c r="H18" s="45"/>
      <c r="I18" s="45"/>
    </row>
    <row r="19" spans="2:9" x14ac:dyDescent="0.25">
      <c r="B19" s="8" t="s">
        <v>59</v>
      </c>
      <c r="C19" s="45"/>
      <c r="D19" s="45"/>
      <c r="E19" s="45"/>
      <c r="F19" s="45"/>
      <c r="G19" s="45"/>
      <c r="H19" s="45"/>
      <c r="I19" s="45"/>
    </row>
    <row r="20" spans="2:9" x14ac:dyDescent="0.25">
      <c r="B20" s="8" t="s">
        <v>58</v>
      </c>
      <c r="C20" s="45"/>
      <c r="D20" s="45"/>
      <c r="E20" s="45"/>
      <c r="F20" s="45"/>
      <c r="G20" s="45"/>
      <c r="H20" s="45"/>
      <c r="I20" s="45"/>
    </row>
    <row r="21" spans="2:9" x14ac:dyDescent="0.25">
      <c r="B21" s="45"/>
      <c r="C21" s="45"/>
      <c r="D21" s="45"/>
      <c r="E21" s="45"/>
      <c r="F21" s="45"/>
      <c r="G21" s="45"/>
      <c r="H21" s="45"/>
      <c r="I21" s="45"/>
    </row>
    <row r="22" spans="2:9" x14ac:dyDescent="0.25">
      <c r="B22" s="10" t="s">
        <v>45</v>
      </c>
      <c r="C22" s="45"/>
      <c r="D22" s="45"/>
      <c r="E22" s="45"/>
      <c r="F22" s="45"/>
      <c r="G22" s="45"/>
      <c r="H22" s="45"/>
      <c r="I22" s="45"/>
    </row>
    <row r="23" spans="2:9" x14ac:dyDescent="0.25">
      <c r="B23" s="45"/>
      <c r="C23" s="45"/>
      <c r="D23" s="45"/>
      <c r="E23" s="45"/>
      <c r="F23" s="45"/>
      <c r="G23" s="45"/>
      <c r="H23" s="45"/>
      <c r="I23" s="45"/>
    </row>
    <row r="24" spans="2:9" ht="23.25" customHeight="1" thickBot="1" x14ac:dyDescent="0.3">
      <c r="B24" s="57"/>
      <c r="C24" s="57"/>
      <c r="D24" s="57"/>
      <c r="E24" s="57"/>
      <c r="F24" s="57"/>
      <c r="G24" s="57"/>
      <c r="H24" s="57"/>
      <c r="I24" s="57"/>
    </row>
    <row r="25" spans="2:9" ht="22.5" customHeight="1" x14ac:dyDescent="0.25">
      <c r="B25" s="127" t="s">
        <v>5</v>
      </c>
      <c r="C25" s="133" t="s">
        <v>14</v>
      </c>
      <c r="D25" s="133" t="s">
        <v>15</v>
      </c>
      <c r="E25" s="129" t="s">
        <v>30</v>
      </c>
      <c r="F25" s="129" t="s">
        <v>21</v>
      </c>
      <c r="G25" s="133" t="s">
        <v>57</v>
      </c>
      <c r="H25" s="133"/>
      <c r="I25" s="131" t="s">
        <v>18</v>
      </c>
    </row>
    <row r="26" spans="2:9" ht="15" customHeight="1" thickBot="1" x14ac:dyDescent="0.3">
      <c r="B26" s="128"/>
      <c r="C26" s="134"/>
      <c r="D26" s="134"/>
      <c r="E26" s="130"/>
      <c r="F26" s="130"/>
      <c r="G26" s="55" t="s">
        <v>16</v>
      </c>
      <c r="H26" s="55" t="s">
        <v>17</v>
      </c>
      <c r="I26" s="132"/>
    </row>
    <row r="27" spans="2:9" ht="13" x14ac:dyDescent="0.3">
      <c r="B27" s="58"/>
      <c r="C27" s="20"/>
      <c r="D27" s="20"/>
      <c r="E27" s="26" t="s">
        <v>28</v>
      </c>
      <c r="F27" s="26" t="s">
        <v>27</v>
      </c>
      <c r="G27" s="126" t="s">
        <v>29</v>
      </c>
      <c r="H27" s="126"/>
      <c r="I27" s="59"/>
    </row>
    <row r="28" spans="2:9" x14ac:dyDescent="0.25">
      <c r="B28" s="21"/>
      <c r="C28" s="17" t="s">
        <v>55</v>
      </c>
      <c r="D28" s="11"/>
      <c r="E28" s="19"/>
      <c r="F28" s="22"/>
      <c r="G28" s="22"/>
      <c r="H28" s="22"/>
      <c r="I28" s="59"/>
    </row>
    <row r="29" spans="2:9" x14ac:dyDescent="0.25">
      <c r="B29" s="21">
        <v>101030101</v>
      </c>
      <c r="C29" s="11" t="s">
        <v>11</v>
      </c>
      <c r="D29" s="33" t="s">
        <v>49</v>
      </c>
      <c r="E29" s="22">
        <v>901149.29</v>
      </c>
      <c r="F29" s="22">
        <v>467111.67999999999</v>
      </c>
      <c r="G29" s="22">
        <f>+E29-F29</f>
        <v>434037.61000000004</v>
      </c>
      <c r="H29" s="60">
        <f>+IFERROR(G29/F29,0)</f>
        <v>0.92919451296957523</v>
      </c>
      <c r="I29" s="61">
        <f>+E29/$E$44</f>
        <v>0.34469737512713344</v>
      </c>
    </row>
    <row r="30" spans="2:9" ht="13" thickBot="1" x14ac:dyDescent="0.3">
      <c r="B30" s="21">
        <v>101030105</v>
      </c>
      <c r="C30" s="11" t="s">
        <v>46</v>
      </c>
      <c r="D30" s="33"/>
      <c r="E30" s="23">
        <v>-5643.23</v>
      </c>
      <c r="F30" s="23">
        <v>-5643.23</v>
      </c>
      <c r="G30" s="22">
        <f>+E30-F30</f>
        <v>0</v>
      </c>
      <c r="H30" s="60">
        <f>+IFERROR(G30/F30,0)</f>
        <v>0</v>
      </c>
      <c r="I30" s="61">
        <f>+E30/$E$44</f>
        <v>-2.1585841434094599E-3</v>
      </c>
    </row>
    <row r="31" spans="2:9" x14ac:dyDescent="0.25">
      <c r="B31" s="21"/>
      <c r="C31" s="11"/>
      <c r="D31" s="11"/>
      <c r="E31" s="24">
        <f>SUM(E29:E30)</f>
        <v>895506.06</v>
      </c>
      <c r="F31" s="24">
        <f>SUM(F29:F30)</f>
        <v>461468.45</v>
      </c>
      <c r="G31" s="22"/>
      <c r="H31" s="60"/>
      <c r="I31" s="61">
        <f>+E31/$E$44</f>
        <v>0.34253879098372397</v>
      </c>
    </row>
    <row r="32" spans="2:9" x14ac:dyDescent="0.25">
      <c r="B32" s="21"/>
      <c r="C32" s="11"/>
      <c r="D32" s="11"/>
      <c r="E32" s="22"/>
      <c r="F32" s="22"/>
      <c r="G32" s="22"/>
      <c r="H32" s="60"/>
      <c r="I32" s="61"/>
    </row>
    <row r="33" spans="2:9" x14ac:dyDescent="0.25">
      <c r="B33" s="21"/>
      <c r="C33" s="17" t="s">
        <v>56</v>
      </c>
      <c r="D33" s="11"/>
      <c r="E33" s="22"/>
      <c r="F33" s="22"/>
      <c r="G33" s="22"/>
      <c r="H33" s="60"/>
      <c r="I33" s="61"/>
    </row>
    <row r="34" spans="2:9" x14ac:dyDescent="0.25">
      <c r="B34" s="21">
        <v>101030201</v>
      </c>
      <c r="C34" s="11" t="s">
        <v>19</v>
      </c>
      <c r="D34" s="33" t="s">
        <v>49</v>
      </c>
      <c r="E34" s="22">
        <v>1750202.98</v>
      </c>
      <c r="F34" s="22">
        <v>1008984.8</v>
      </c>
      <c r="G34" s="22">
        <f>+E34-F34</f>
        <v>741218.17999999993</v>
      </c>
      <c r="H34" s="60">
        <f>+IFERROR(G34/F34,0)</f>
        <v>0.73461778611531103</v>
      </c>
      <c r="I34" s="61">
        <f>+E34/$E$44</f>
        <v>0.66946773397079051</v>
      </c>
    </row>
    <row r="35" spans="2:9" x14ac:dyDescent="0.25">
      <c r="B35" s="21">
        <v>101030204</v>
      </c>
      <c r="C35" s="11" t="s">
        <v>47</v>
      </c>
      <c r="D35" s="33"/>
      <c r="E35" s="22">
        <v>-9025.4500000000007</v>
      </c>
      <c r="F35" s="22">
        <v>-9025.4500000000007</v>
      </c>
      <c r="G35" s="22">
        <f>+E35-F35</f>
        <v>0</v>
      </c>
      <c r="H35" s="60">
        <f>+IFERROR(G35/F35,0)</f>
        <v>0</v>
      </c>
      <c r="I35" s="61">
        <f>+E35/$E$44</f>
        <v>-3.4523124623903178E-3</v>
      </c>
    </row>
    <row r="36" spans="2:9" x14ac:dyDescent="0.25">
      <c r="B36" s="21">
        <v>101030206</v>
      </c>
      <c r="C36" s="11" t="s">
        <v>22</v>
      </c>
      <c r="D36" s="20"/>
      <c r="E36" s="22">
        <v>0</v>
      </c>
      <c r="F36" s="27">
        <v>53868.84</v>
      </c>
      <c r="G36" s="22">
        <f>+E36-F36</f>
        <v>-53868.84</v>
      </c>
      <c r="H36" s="60">
        <f>+IFERROR(G36/F36,0)</f>
        <v>-1</v>
      </c>
      <c r="I36" s="61">
        <f>+E36/$E$44</f>
        <v>0</v>
      </c>
    </row>
    <row r="37" spans="2:9" ht="13" thickBot="1" x14ac:dyDescent="0.3">
      <c r="B37" s="21">
        <v>101030207</v>
      </c>
      <c r="C37" s="11" t="s">
        <v>46</v>
      </c>
      <c r="D37" s="20"/>
      <c r="E37" s="23">
        <v>-22363.45</v>
      </c>
      <c r="F37" s="23">
        <v>-22363.45</v>
      </c>
      <c r="G37" s="22">
        <f>+E37-F37</f>
        <v>0</v>
      </c>
      <c r="H37" s="60">
        <f>+IFERROR(G37/F37,0)</f>
        <v>0</v>
      </c>
      <c r="I37" s="61">
        <f>+E37/$E$44</f>
        <v>-8.5542124921242427E-3</v>
      </c>
    </row>
    <row r="38" spans="2:9" x14ac:dyDescent="0.25">
      <c r="B38" s="21"/>
      <c r="C38" s="11"/>
      <c r="D38" s="20"/>
      <c r="E38" s="25">
        <f>+SUM(E34:E37)</f>
        <v>1718814.08</v>
      </c>
      <c r="F38" s="25">
        <f>+SUM(F34:F37)</f>
        <v>1031464.7400000002</v>
      </c>
      <c r="G38" s="22"/>
      <c r="H38" s="60"/>
      <c r="I38" s="61">
        <f>+E38/$E$44</f>
        <v>0.65746120901627603</v>
      </c>
    </row>
    <row r="39" spans="2:9" ht="13.5" thickBot="1" x14ac:dyDescent="0.35">
      <c r="B39" s="62"/>
      <c r="C39" s="63"/>
      <c r="D39" s="63"/>
      <c r="E39" s="37"/>
      <c r="F39" s="37"/>
      <c r="G39" s="37"/>
      <c r="H39" s="37"/>
      <c r="I39" s="64"/>
    </row>
    <row r="40" spans="2:9" ht="13.5" thickBot="1" x14ac:dyDescent="0.35">
      <c r="B40" s="20"/>
      <c r="C40" s="65"/>
      <c r="D40" s="66"/>
    </row>
    <row r="41" spans="2:9" x14ac:dyDescent="0.25">
      <c r="B41" s="67"/>
      <c r="C41" s="34"/>
      <c r="D41" s="20"/>
      <c r="E41" s="12" t="s">
        <v>25</v>
      </c>
      <c r="F41" s="49" t="s">
        <v>48</v>
      </c>
      <c r="G41" s="35" t="s">
        <v>15</v>
      </c>
      <c r="I41" s="18"/>
    </row>
    <row r="42" spans="2:9" x14ac:dyDescent="0.25">
      <c r="B42" s="58"/>
      <c r="C42" s="20" t="s">
        <v>23</v>
      </c>
      <c r="D42" s="20"/>
      <c r="E42" s="18">
        <f>+E31</f>
        <v>895506.06</v>
      </c>
      <c r="F42" s="18">
        <f>+F31</f>
        <v>461468.45</v>
      </c>
      <c r="G42" s="40"/>
      <c r="I42" s="18"/>
    </row>
    <row r="43" spans="2:9" x14ac:dyDescent="0.25">
      <c r="B43" s="58"/>
      <c r="C43" s="20" t="s">
        <v>24</v>
      </c>
      <c r="D43" s="20"/>
      <c r="E43" s="18">
        <f>+E38</f>
        <v>1718814.08</v>
      </c>
      <c r="F43" s="18">
        <f>+F38</f>
        <v>1031464.7400000002</v>
      </c>
      <c r="G43" s="40"/>
      <c r="I43" s="18"/>
    </row>
    <row r="44" spans="2:9" ht="13" thickBot="1" x14ac:dyDescent="0.3">
      <c r="B44" s="58"/>
      <c r="C44" s="20"/>
      <c r="D44" s="15" t="s">
        <v>26</v>
      </c>
      <c r="E44" s="13">
        <f>+SUM(E42:E43)</f>
        <v>2614320.14</v>
      </c>
      <c r="F44" s="13">
        <f>+SUM(F42:F43)</f>
        <v>1492933.1900000002</v>
      </c>
      <c r="G44" s="36"/>
      <c r="I44" s="18"/>
    </row>
    <row r="45" spans="2:9" ht="13.5" thickTop="1" thickBot="1" x14ac:dyDescent="0.3">
      <c r="B45" s="62"/>
      <c r="C45" s="37"/>
      <c r="D45" s="37"/>
      <c r="E45" s="16"/>
      <c r="F45" s="38"/>
      <c r="G45" s="39"/>
      <c r="H45" s="18"/>
      <c r="I45" s="18"/>
    </row>
    <row r="46" spans="2:9" x14ac:dyDescent="0.25">
      <c r="B46" s="20"/>
      <c r="C46" s="20"/>
      <c r="D46" s="11"/>
      <c r="E46" s="68"/>
      <c r="F46" s="68"/>
      <c r="G46" s="18"/>
      <c r="H46" s="18"/>
      <c r="I46" s="18"/>
    </row>
    <row r="47" spans="2:9" x14ac:dyDescent="0.25">
      <c r="B47" s="20"/>
      <c r="C47" s="20"/>
      <c r="D47" s="11"/>
      <c r="E47" s="68"/>
      <c r="F47" s="68"/>
      <c r="G47" s="18"/>
      <c r="H47" s="18"/>
      <c r="I47" s="18"/>
    </row>
    <row r="48" spans="2:9" x14ac:dyDescent="0.25">
      <c r="B48" s="53" t="s">
        <v>31</v>
      </c>
      <c r="C48" s="20"/>
      <c r="D48" s="11"/>
      <c r="E48" s="68"/>
      <c r="F48" s="68"/>
      <c r="G48" s="18"/>
      <c r="H48" s="18"/>
      <c r="I48" s="18"/>
    </row>
    <row r="49" spans="1:9" x14ac:dyDescent="0.25">
      <c r="B49" s="69" t="s">
        <v>51</v>
      </c>
      <c r="C49" s="20"/>
      <c r="D49" s="11"/>
      <c r="E49" s="68"/>
      <c r="F49" s="68"/>
      <c r="G49" s="18"/>
      <c r="H49" s="18"/>
      <c r="I49" s="18"/>
    </row>
    <row r="50" spans="1:9" x14ac:dyDescent="0.25">
      <c r="B50" s="20"/>
      <c r="C50" s="20"/>
      <c r="D50" s="11"/>
      <c r="E50" s="68"/>
      <c r="F50" s="68"/>
      <c r="G50" s="18"/>
      <c r="H50" s="18"/>
      <c r="I50" s="18"/>
    </row>
    <row r="51" spans="1:9" x14ac:dyDescent="0.25">
      <c r="B51" s="20"/>
      <c r="C51" s="20"/>
      <c r="D51" s="11"/>
      <c r="E51" s="68"/>
      <c r="F51" s="68"/>
      <c r="G51" s="18"/>
      <c r="H51" s="18"/>
      <c r="I51" s="18"/>
    </row>
    <row r="52" spans="1:9" x14ac:dyDescent="0.25">
      <c r="B52" s="53" t="s">
        <v>32</v>
      </c>
      <c r="D52" s="7"/>
      <c r="E52" s="11"/>
      <c r="F52" s="70"/>
      <c r="G52" s="70"/>
      <c r="H52" s="70"/>
      <c r="I52" s="70"/>
    </row>
    <row r="53" spans="1:9" ht="13" x14ac:dyDescent="0.3">
      <c r="A53" s="26" t="s">
        <v>28</v>
      </c>
      <c r="B53" s="7" t="s">
        <v>35</v>
      </c>
      <c r="D53" s="11"/>
      <c r="E53" s="11"/>
    </row>
    <row r="54" spans="1:9" ht="13" x14ac:dyDescent="0.3">
      <c r="A54" s="26" t="s">
        <v>27</v>
      </c>
      <c r="B54" s="7" t="s">
        <v>50</v>
      </c>
      <c r="D54" s="11"/>
      <c r="E54" s="11"/>
    </row>
    <row r="55" spans="1:9" ht="13.5" x14ac:dyDescent="0.25">
      <c r="A55" s="29" t="s">
        <v>29</v>
      </c>
      <c r="B55" s="7" t="s">
        <v>34</v>
      </c>
      <c r="D55" s="11"/>
      <c r="E55" s="11"/>
    </row>
    <row r="56" spans="1:9" x14ac:dyDescent="0.25">
      <c r="A56" s="14" t="s">
        <v>26</v>
      </c>
      <c r="B56" s="28" t="s">
        <v>33</v>
      </c>
      <c r="D56" s="11"/>
      <c r="E56" s="11"/>
    </row>
    <row r="57" spans="1:9" x14ac:dyDescent="0.25">
      <c r="B57" s="30"/>
      <c r="C57" s="7"/>
      <c r="D57" s="11"/>
      <c r="E57" s="11"/>
    </row>
    <row r="58" spans="1:9" x14ac:dyDescent="0.25">
      <c r="B58" s="53" t="s">
        <v>52</v>
      </c>
      <c r="D58" s="7"/>
      <c r="E58" s="11"/>
    </row>
    <row r="59" spans="1:9" x14ac:dyDescent="0.25">
      <c r="B59" s="7" t="s">
        <v>36</v>
      </c>
      <c r="D59" s="7"/>
      <c r="E59" s="11"/>
    </row>
    <row r="60" spans="1:9" ht="13" x14ac:dyDescent="0.3">
      <c r="C60" s="65"/>
      <c r="D60" s="65"/>
    </row>
    <row r="61" spans="1:9" ht="13" x14ac:dyDescent="0.3">
      <c r="C61" s="65"/>
      <c r="D61" s="65"/>
    </row>
    <row r="62" spans="1:9" ht="13" x14ac:dyDescent="0.3">
      <c r="C62" s="65"/>
      <c r="D62" s="65"/>
    </row>
    <row r="63" spans="1:9" ht="13" x14ac:dyDescent="0.3">
      <c r="C63" s="65"/>
      <c r="D63" s="65"/>
    </row>
    <row r="64" spans="1:9" ht="13" x14ac:dyDescent="0.3">
      <c r="C64" s="65"/>
      <c r="D64" s="65"/>
    </row>
    <row r="65" spans="3:4" ht="13" x14ac:dyDescent="0.3">
      <c r="C65" s="65"/>
      <c r="D65" s="65"/>
    </row>
    <row r="66" spans="3:4" ht="13" x14ac:dyDescent="0.3">
      <c r="C66" s="65"/>
      <c r="D66" s="65"/>
    </row>
    <row r="67" spans="3:4" ht="13" x14ac:dyDescent="0.3">
      <c r="C67" s="65"/>
      <c r="D67" s="65"/>
    </row>
    <row r="68" spans="3:4" ht="13" x14ac:dyDescent="0.3">
      <c r="C68" s="65"/>
      <c r="D68" s="65"/>
    </row>
    <row r="69" spans="3:4" ht="13" x14ac:dyDescent="0.3">
      <c r="C69" s="65"/>
      <c r="D69" s="65"/>
    </row>
    <row r="70" spans="3:4" ht="13" x14ac:dyDescent="0.3">
      <c r="C70" s="65"/>
      <c r="D70" s="65"/>
    </row>
    <row r="71" spans="3:4" ht="13" x14ac:dyDescent="0.3">
      <c r="C71" s="65"/>
      <c r="D71" s="65"/>
    </row>
    <row r="72" spans="3:4" ht="13" x14ac:dyDescent="0.3">
      <c r="C72" s="65"/>
      <c r="D72" s="65"/>
    </row>
    <row r="73" spans="3:4" ht="13" x14ac:dyDescent="0.3">
      <c r="C73" s="65"/>
      <c r="D73" s="65"/>
    </row>
    <row r="74" spans="3:4" ht="13" x14ac:dyDescent="0.3">
      <c r="C74" s="65"/>
      <c r="D74" s="65"/>
    </row>
    <row r="75" spans="3:4" ht="13" x14ac:dyDescent="0.3">
      <c r="C75" s="65"/>
      <c r="D75" s="65"/>
    </row>
    <row r="76" spans="3:4" ht="13" x14ac:dyDescent="0.3">
      <c r="C76" s="65"/>
      <c r="D76" s="65"/>
    </row>
    <row r="77" spans="3:4" ht="13" x14ac:dyDescent="0.3">
      <c r="C77" s="65"/>
      <c r="D77" s="65"/>
    </row>
    <row r="78" spans="3:4" ht="13" x14ac:dyDescent="0.3">
      <c r="C78" s="65"/>
      <c r="D78" s="65"/>
    </row>
    <row r="79" spans="3:4" ht="13" x14ac:dyDescent="0.3">
      <c r="C79" s="65"/>
      <c r="D79" s="65"/>
    </row>
    <row r="80" spans="3:4" ht="13" x14ac:dyDescent="0.3">
      <c r="C80" s="65"/>
      <c r="D80" s="65"/>
    </row>
    <row r="81" spans="3:4" ht="13" x14ac:dyDescent="0.3">
      <c r="C81" s="65"/>
      <c r="D81" s="65"/>
    </row>
    <row r="82" spans="3:4" ht="13" x14ac:dyDescent="0.3">
      <c r="C82" s="65"/>
      <c r="D82" s="65"/>
    </row>
    <row r="83" spans="3:4" ht="13" x14ac:dyDescent="0.3">
      <c r="C83" s="65"/>
      <c r="D83" s="65"/>
    </row>
    <row r="84" spans="3:4" ht="13" x14ac:dyDescent="0.3">
      <c r="C84" s="65"/>
      <c r="D84" s="65"/>
    </row>
    <row r="85" spans="3:4" ht="13" x14ac:dyDescent="0.3">
      <c r="C85" s="65"/>
      <c r="D85" s="65"/>
    </row>
    <row r="86" spans="3:4" ht="13" x14ac:dyDescent="0.3">
      <c r="C86" s="65"/>
      <c r="D86" s="65"/>
    </row>
    <row r="87" spans="3:4" ht="13" x14ac:dyDescent="0.3">
      <c r="C87" s="65"/>
      <c r="D87" s="65"/>
    </row>
    <row r="88" spans="3:4" ht="13" x14ac:dyDescent="0.3">
      <c r="C88" s="65"/>
      <c r="D88" s="65"/>
    </row>
    <row r="89" spans="3:4" ht="13" x14ac:dyDescent="0.3">
      <c r="C89" s="65"/>
      <c r="D89" s="65"/>
    </row>
    <row r="90" spans="3:4" ht="13" x14ac:dyDescent="0.3">
      <c r="C90" s="65"/>
      <c r="D90" s="65"/>
    </row>
    <row r="91" spans="3:4" ht="13" x14ac:dyDescent="0.3">
      <c r="C91" s="65"/>
      <c r="D91" s="65"/>
    </row>
    <row r="92" spans="3:4" ht="13" x14ac:dyDescent="0.3">
      <c r="C92" s="65"/>
      <c r="D92" s="65"/>
    </row>
    <row r="93" spans="3:4" ht="13" x14ac:dyDescent="0.3">
      <c r="C93" s="65"/>
      <c r="D93" s="65"/>
    </row>
    <row r="94" spans="3:4" ht="13" x14ac:dyDescent="0.3">
      <c r="C94" s="65"/>
      <c r="D94" s="65"/>
    </row>
    <row r="95" spans="3:4" ht="13" x14ac:dyDescent="0.3">
      <c r="C95" s="65"/>
      <c r="D95" s="65"/>
    </row>
    <row r="96" spans="3:4" ht="13" x14ac:dyDescent="0.3">
      <c r="C96" s="65"/>
      <c r="D96" s="65"/>
    </row>
    <row r="97" spans="3:4" ht="13" x14ac:dyDescent="0.3">
      <c r="C97" s="65"/>
      <c r="D97" s="65"/>
    </row>
    <row r="98" spans="3:4" ht="13" x14ac:dyDescent="0.3">
      <c r="C98" s="65"/>
      <c r="D98" s="65"/>
    </row>
    <row r="99" spans="3:4" ht="13" x14ac:dyDescent="0.3">
      <c r="C99" s="65"/>
      <c r="D99" s="65"/>
    </row>
    <row r="100" spans="3:4" ht="13" x14ac:dyDescent="0.3">
      <c r="C100" s="65"/>
      <c r="D100" s="65"/>
    </row>
    <row r="101" spans="3:4" ht="13" x14ac:dyDescent="0.3">
      <c r="C101" s="65"/>
      <c r="D101" s="65"/>
    </row>
    <row r="102" spans="3:4" ht="13" x14ac:dyDescent="0.3">
      <c r="C102" s="65"/>
      <c r="D102" s="65"/>
    </row>
    <row r="103" spans="3:4" ht="13" x14ac:dyDescent="0.3">
      <c r="C103" s="65"/>
      <c r="D103" s="65"/>
    </row>
    <row r="104" spans="3:4" ht="13" x14ac:dyDescent="0.3">
      <c r="C104" s="65"/>
      <c r="D104" s="65"/>
    </row>
    <row r="105" spans="3:4" ht="13" x14ac:dyDescent="0.3">
      <c r="C105" s="65"/>
      <c r="D105" s="65"/>
    </row>
    <row r="106" spans="3:4" ht="13" x14ac:dyDescent="0.3">
      <c r="C106" s="65"/>
      <c r="D106" s="65"/>
    </row>
    <row r="107" spans="3:4" ht="13" x14ac:dyDescent="0.3">
      <c r="C107" s="65"/>
      <c r="D107" s="65"/>
    </row>
    <row r="108" spans="3:4" ht="13" x14ac:dyDescent="0.3">
      <c r="C108" s="65"/>
      <c r="D108" s="65"/>
    </row>
    <row r="109" spans="3:4" ht="13" x14ac:dyDescent="0.3">
      <c r="C109" s="65"/>
      <c r="D109" s="65"/>
    </row>
    <row r="110" spans="3:4" ht="13" x14ac:dyDescent="0.3">
      <c r="C110" s="65"/>
      <c r="D110" s="65"/>
    </row>
    <row r="111" spans="3:4" ht="13" x14ac:dyDescent="0.3">
      <c r="C111" s="65"/>
      <c r="D111" s="65"/>
    </row>
    <row r="112" spans="3:4" ht="13" x14ac:dyDescent="0.3">
      <c r="C112" s="65"/>
      <c r="D112" s="65"/>
    </row>
    <row r="113" spans="3:4" ht="13" x14ac:dyDescent="0.3">
      <c r="C113" s="65"/>
      <c r="D113" s="65"/>
    </row>
    <row r="114" spans="3:4" ht="13" x14ac:dyDescent="0.3">
      <c r="C114" s="65"/>
      <c r="D114" s="65"/>
    </row>
    <row r="115" spans="3:4" ht="13" x14ac:dyDescent="0.3">
      <c r="C115" s="65"/>
      <c r="D115" s="65"/>
    </row>
    <row r="116" spans="3:4" ht="13" x14ac:dyDescent="0.3">
      <c r="C116" s="65"/>
      <c r="D116" s="65"/>
    </row>
    <row r="117" spans="3:4" ht="13" x14ac:dyDescent="0.3">
      <c r="C117" s="65"/>
      <c r="D117" s="65"/>
    </row>
  </sheetData>
  <mergeCells count="8">
    <mergeCell ref="G27:H27"/>
    <mergeCell ref="B25:B26"/>
    <mergeCell ref="F25:F26"/>
    <mergeCell ref="E25:E26"/>
    <mergeCell ref="I25:I26"/>
    <mergeCell ref="G25:H25"/>
    <mergeCell ref="C25:C26"/>
    <mergeCell ref="D25:D26"/>
  </mergeCells>
  <pageMargins left="0" right="0" top="0.75" bottom="0.75" header="0.5" footer="0.5"/>
  <pageSetup scale="72" fitToHeight="0" orientation="landscape" horizontalDpi="4294967293" r:id="rId1"/>
  <headerFooter>
    <oddHeader>&amp;L&amp;16Walkthrough Impuestos</oddHeader>
    <oddFooter>&amp;LEY Form U120A (20 May 2010)&amp;R&amp;P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FDF5-C725-4021-9C10-49F908ADD90B}">
  <dimension ref="A2:O89"/>
  <sheetViews>
    <sheetView showGridLines="0" tabSelected="1" zoomScale="52" zoomScaleNormal="75" workbookViewId="0">
      <selection activeCell="B67" sqref="B67"/>
    </sheetView>
  </sheetViews>
  <sheetFormatPr baseColWidth="10" defaultColWidth="10.81640625" defaultRowHeight="12.5" x14ac:dyDescent="0.25"/>
  <cols>
    <col min="1" max="1" width="5.36328125" style="81" bestFit="1" customWidth="1"/>
    <col min="2" max="2" width="49.36328125" style="81" customWidth="1"/>
    <col min="3" max="3" width="10.36328125" style="81" customWidth="1"/>
    <col min="4" max="4" width="19.54296875" style="81" customWidth="1"/>
    <col min="5" max="5" width="26.36328125" style="81" customWidth="1"/>
    <col min="6" max="6" width="22.7265625" style="81" customWidth="1"/>
    <col min="7" max="7" width="20.7265625" style="81" customWidth="1"/>
    <col min="8" max="8" width="11.36328125" style="94" bestFit="1" customWidth="1"/>
    <col min="9" max="9" width="16" style="81" customWidth="1"/>
    <col min="10" max="10" width="15.26953125" style="81" customWidth="1"/>
    <col min="11" max="11" width="17.36328125" style="81" customWidth="1"/>
    <col min="12" max="12" width="17.26953125" style="81" customWidth="1"/>
    <col min="13" max="13" width="17" style="81" customWidth="1"/>
    <col min="14" max="15" width="16.36328125" style="81" customWidth="1"/>
    <col min="16" max="16384" width="10.81640625" style="81"/>
  </cols>
  <sheetData>
    <row r="2" spans="1:15" x14ac:dyDescent="0.25">
      <c r="A2" s="20"/>
      <c r="B2" s="52"/>
      <c r="C2" s="52"/>
      <c r="D2" s="20"/>
      <c r="E2" s="20"/>
      <c r="F2" s="20"/>
      <c r="G2" s="20"/>
      <c r="H2" s="20"/>
      <c r="M2" s="123" t="s">
        <v>0</v>
      </c>
      <c r="N2" s="123" t="s">
        <v>1</v>
      </c>
      <c r="O2" s="124" t="s">
        <v>53</v>
      </c>
    </row>
    <row r="3" spans="1:15" x14ac:dyDescent="0.25">
      <c r="A3" s="20"/>
      <c r="B3" s="45"/>
      <c r="C3" s="45"/>
      <c r="D3" s="20"/>
      <c r="E3" s="20"/>
      <c r="F3" s="20"/>
      <c r="G3" s="20"/>
      <c r="H3" s="20"/>
      <c r="M3" s="51" t="s">
        <v>72</v>
      </c>
      <c r="N3" s="50" t="s">
        <v>72</v>
      </c>
      <c r="O3" s="2" t="s">
        <v>87</v>
      </c>
    </row>
    <row r="4" spans="1:15" x14ac:dyDescent="0.25">
      <c r="A4" s="20"/>
      <c r="B4" s="45"/>
      <c r="C4" s="45"/>
      <c r="D4" s="20"/>
      <c r="E4" s="20"/>
      <c r="F4" s="20"/>
      <c r="G4" s="20"/>
      <c r="H4" s="20"/>
      <c r="I4" s="46"/>
      <c r="J4" s="47"/>
      <c r="K4" s="20"/>
    </row>
    <row r="5" spans="1:15" x14ac:dyDescent="0.25">
      <c r="A5" s="20"/>
      <c r="B5" s="73" t="s">
        <v>60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5" x14ac:dyDescent="0.25">
      <c r="A6" s="20"/>
      <c r="B6" s="73" t="s">
        <v>62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5" x14ac:dyDescent="0.25">
      <c r="A7" s="20"/>
      <c r="B7" s="99" t="s">
        <v>79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5" x14ac:dyDescent="0.25">
      <c r="A8" s="20"/>
      <c r="B8" s="99" t="s">
        <v>88</v>
      </c>
      <c r="C8" s="5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 ht="9.25" customHeight="1" thickBot="1" x14ac:dyDescent="0.3">
      <c r="A9" s="20"/>
      <c r="B9" s="74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3" thickTop="1" x14ac:dyDescent="0.25">
      <c r="A10" s="20"/>
      <c r="B10" s="20"/>
      <c r="C10" s="20"/>
      <c r="D10" s="45"/>
      <c r="E10" s="45"/>
      <c r="F10" s="45"/>
      <c r="G10" s="45"/>
      <c r="H10" s="45"/>
      <c r="I10" s="45"/>
      <c r="J10" s="45"/>
      <c r="K10" s="45"/>
      <c r="L10" s="45"/>
      <c r="M10" s="45"/>
    </row>
    <row r="11" spans="1:15" x14ac:dyDescent="0.25">
      <c r="B11" s="97" t="s">
        <v>37</v>
      </c>
      <c r="C11" s="28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1:15" ht="5.65" customHeight="1" x14ac:dyDescent="0.25">
      <c r="B12" s="97"/>
      <c r="C12" s="28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125"/>
    </row>
    <row r="13" spans="1:15" x14ac:dyDescent="0.25">
      <c r="A13" s="82"/>
      <c r="B13" s="112" t="s">
        <v>115</v>
      </c>
      <c r="C13" s="7"/>
      <c r="D13" s="45"/>
      <c r="E13" s="45"/>
      <c r="F13" s="45"/>
      <c r="G13" s="45"/>
      <c r="H13" s="45"/>
      <c r="I13" s="45"/>
      <c r="J13" s="45"/>
      <c r="K13" s="45"/>
      <c r="L13" s="45"/>
      <c r="M13" s="45"/>
    </row>
    <row r="14" spans="1:15" x14ac:dyDescent="0.25">
      <c r="A14" s="82"/>
      <c r="C14" s="7"/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spans="1:15" x14ac:dyDescent="0.25">
      <c r="A15" s="82"/>
      <c r="B15" s="97" t="s">
        <v>66</v>
      </c>
      <c r="C15" s="7"/>
      <c r="D15" s="45"/>
      <c r="E15" s="45"/>
      <c r="F15" s="45"/>
      <c r="G15" s="45"/>
      <c r="H15" s="45"/>
      <c r="I15" s="45"/>
      <c r="J15" s="45"/>
      <c r="K15" s="45"/>
      <c r="L15" s="45"/>
      <c r="M15" s="45"/>
    </row>
    <row r="16" spans="1:15" ht="6" customHeight="1" x14ac:dyDescent="0.25">
      <c r="A16" s="82"/>
      <c r="B16" s="97"/>
      <c r="C16" s="7"/>
      <c r="D16" s="45"/>
      <c r="E16" s="45"/>
      <c r="F16" s="45"/>
      <c r="G16" s="45"/>
      <c r="H16" s="45"/>
      <c r="I16" s="45"/>
      <c r="J16" s="45"/>
      <c r="K16" s="45"/>
      <c r="L16" s="45"/>
      <c r="M16" s="45"/>
    </row>
    <row r="17" spans="1:13" x14ac:dyDescent="0.25">
      <c r="A17" s="113"/>
      <c r="B17" s="112"/>
      <c r="C17" s="114" t="s">
        <v>73</v>
      </c>
      <c r="D17" s="114" t="s">
        <v>42</v>
      </c>
      <c r="E17" s="45"/>
      <c r="F17" s="45"/>
      <c r="G17" s="45"/>
      <c r="H17" s="45"/>
      <c r="I17" s="45"/>
      <c r="J17" s="45"/>
      <c r="K17" s="45"/>
      <c r="L17" s="45"/>
      <c r="M17" s="45"/>
    </row>
    <row r="18" spans="1:13" x14ac:dyDescent="0.25">
      <c r="A18" s="113"/>
      <c r="B18" s="115" t="s">
        <v>68</v>
      </c>
      <c r="C18" s="116" t="s">
        <v>74</v>
      </c>
      <c r="D18" s="116" t="s">
        <v>74</v>
      </c>
      <c r="E18" s="45"/>
      <c r="F18" s="45"/>
      <c r="G18" s="45"/>
      <c r="H18" s="45"/>
      <c r="I18" s="45"/>
      <c r="J18" s="45"/>
      <c r="K18" s="45"/>
      <c r="L18" s="45"/>
      <c r="M18" s="45"/>
    </row>
    <row r="19" spans="1:13" x14ac:dyDescent="0.25">
      <c r="A19" s="113"/>
      <c r="B19" s="115" t="s">
        <v>69</v>
      </c>
      <c r="C19" s="116" t="s">
        <v>74</v>
      </c>
      <c r="D19" s="116" t="s">
        <v>74</v>
      </c>
      <c r="E19" s="45"/>
      <c r="F19" s="45"/>
      <c r="G19" s="45"/>
      <c r="H19" s="45"/>
      <c r="I19" s="45"/>
      <c r="J19" s="45"/>
      <c r="K19" s="45"/>
      <c r="L19" s="45"/>
      <c r="M19" s="45"/>
    </row>
    <row r="20" spans="1:13" x14ac:dyDescent="0.25">
      <c r="A20" s="113"/>
      <c r="B20" s="115" t="s">
        <v>70</v>
      </c>
      <c r="C20" s="116" t="s">
        <v>74</v>
      </c>
      <c r="D20" s="116" t="s">
        <v>74</v>
      </c>
      <c r="E20" s="45"/>
      <c r="F20" s="45"/>
      <c r="G20" s="45"/>
      <c r="H20" s="45"/>
      <c r="I20" s="45"/>
      <c r="J20" s="45"/>
      <c r="K20" s="45"/>
      <c r="L20" s="45"/>
      <c r="M20" s="45"/>
    </row>
    <row r="21" spans="1:13" x14ac:dyDescent="0.25">
      <c r="A21" s="82"/>
      <c r="B21" s="43"/>
      <c r="C21" s="43"/>
      <c r="D21" s="45"/>
      <c r="E21" s="45"/>
      <c r="F21" s="45"/>
      <c r="G21" s="45"/>
      <c r="H21" s="45"/>
      <c r="I21" s="45"/>
      <c r="J21" s="45"/>
      <c r="K21" s="45"/>
      <c r="L21" s="45"/>
      <c r="M21" s="45"/>
    </row>
    <row r="22" spans="1:13" x14ac:dyDescent="0.25">
      <c r="A22" s="82"/>
      <c r="B22" s="97" t="s">
        <v>108</v>
      </c>
      <c r="C22" s="28"/>
      <c r="D22" s="45"/>
      <c r="E22" s="45"/>
      <c r="F22" s="45"/>
      <c r="G22" s="45"/>
      <c r="H22" s="45"/>
      <c r="I22" s="45"/>
      <c r="J22" s="45"/>
      <c r="K22" s="45"/>
      <c r="L22" s="45"/>
      <c r="M22" s="45"/>
    </row>
    <row r="23" spans="1:13" ht="5" customHeight="1" x14ac:dyDescent="0.25">
      <c r="A23" s="82"/>
      <c r="B23" s="97"/>
      <c r="C23" s="28"/>
      <c r="D23" s="45"/>
      <c r="E23" s="45"/>
      <c r="F23" s="45"/>
      <c r="G23" s="45"/>
      <c r="H23" s="45"/>
      <c r="I23" s="45"/>
      <c r="J23" s="45"/>
      <c r="K23" s="45"/>
      <c r="L23" s="45"/>
      <c r="M23" s="45"/>
    </row>
    <row r="24" spans="1:13" x14ac:dyDescent="0.25">
      <c r="A24" s="82" t="s">
        <v>75</v>
      </c>
      <c r="B24" s="44" t="s">
        <v>94</v>
      </c>
      <c r="C24" s="28"/>
      <c r="D24" s="45"/>
      <c r="E24" s="45"/>
      <c r="F24" s="45"/>
      <c r="G24" s="45"/>
      <c r="H24" s="45"/>
      <c r="I24" s="45"/>
      <c r="J24" s="45"/>
      <c r="K24" s="45"/>
      <c r="L24" s="45"/>
      <c r="M24" s="45"/>
    </row>
    <row r="25" spans="1:13" x14ac:dyDescent="0.25">
      <c r="A25" s="82" t="s">
        <v>76</v>
      </c>
      <c r="B25" s="44" t="s">
        <v>95</v>
      </c>
      <c r="C25" s="28"/>
      <c r="D25" s="45"/>
      <c r="E25" s="45"/>
      <c r="F25" s="45"/>
      <c r="G25" s="45"/>
      <c r="H25" s="45"/>
      <c r="I25" s="45"/>
      <c r="J25" s="45"/>
      <c r="K25" s="45"/>
      <c r="L25" s="45"/>
      <c r="M25" s="45"/>
    </row>
    <row r="26" spans="1:13" x14ac:dyDescent="0.25">
      <c r="A26" s="82" t="s">
        <v>77</v>
      </c>
      <c r="B26" s="44" t="s">
        <v>96</v>
      </c>
      <c r="C26" s="28"/>
      <c r="D26" s="45"/>
      <c r="E26" s="45"/>
      <c r="F26" s="45"/>
      <c r="G26" s="45"/>
      <c r="H26" s="45"/>
      <c r="I26" s="45"/>
      <c r="J26" s="45"/>
      <c r="K26" s="45"/>
      <c r="L26" s="45"/>
      <c r="M26" s="45"/>
    </row>
    <row r="27" spans="1:13" x14ac:dyDescent="0.25">
      <c r="A27" s="82" t="s">
        <v>78</v>
      </c>
      <c r="B27" s="20" t="s">
        <v>97</v>
      </c>
      <c r="C27" s="28"/>
      <c r="D27" s="45"/>
      <c r="E27" s="45"/>
      <c r="F27" s="45"/>
      <c r="G27" s="45"/>
      <c r="H27" s="45"/>
      <c r="I27" s="45"/>
      <c r="J27" s="45"/>
      <c r="K27" s="45"/>
      <c r="L27" s="45"/>
      <c r="M27" s="45"/>
    </row>
    <row r="28" spans="1:13" x14ac:dyDescent="0.25">
      <c r="A28" s="109" t="s">
        <v>98</v>
      </c>
      <c r="B28" s="20" t="s">
        <v>99</v>
      </c>
      <c r="C28" s="28"/>
      <c r="D28" s="45"/>
      <c r="E28" s="45"/>
      <c r="F28" s="45"/>
      <c r="G28" s="45"/>
      <c r="H28" s="45"/>
      <c r="I28" s="45"/>
      <c r="J28" s="45"/>
      <c r="K28" s="45"/>
      <c r="L28" s="45"/>
      <c r="M28" s="45"/>
    </row>
    <row r="29" spans="1:13" x14ac:dyDescent="0.25">
      <c r="A29" s="82"/>
      <c r="B29" s="44"/>
      <c r="C29" s="28"/>
      <c r="D29" s="45"/>
      <c r="E29" s="45"/>
      <c r="F29" s="45"/>
      <c r="G29" s="45"/>
      <c r="H29" s="45"/>
      <c r="I29" s="45"/>
      <c r="J29" s="45"/>
      <c r="K29" s="45"/>
      <c r="L29" s="45"/>
      <c r="M29" s="45"/>
    </row>
    <row r="30" spans="1:13" ht="12.75" customHeight="1" x14ac:dyDescent="0.25">
      <c r="C30" s="20"/>
      <c r="D30" s="45"/>
      <c r="E30" s="45"/>
      <c r="F30" s="45"/>
      <c r="G30" s="135" t="s">
        <v>80</v>
      </c>
      <c r="H30" s="136"/>
      <c r="I30" s="136"/>
      <c r="J30" s="136"/>
      <c r="K30" s="137"/>
      <c r="L30" s="45"/>
      <c r="M30" s="45"/>
    </row>
    <row r="31" spans="1:13" x14ac:dyDescent="0.25">
      <c r="A31" s="20"/>
      <c r="B31" s="20"/>
      <c r="C31" s="20"/>
      <c r="D31" s="45"/>
      <c r="E31" s="45"/>
      <c r="F31" s="45"/>
      <c r="G31" s="138"/>
      <c r="H31" s="139"/>
      <c r="I31" s="139"/>
      <c r="J31" s="139"/>
      <c r="K31" s="140"/>
      <c r="L31" s="45"/>
      <c r="M31" s="45"/>
    </row>
    <row r="32" spans="1:13" x14ac:dyDescent="0.25">
      <c r="A32" s="20"/>
      <c r="B32" s="20"/>
      <c r="C32" s="20"/>
      <c r="D32" s="45"/>
      <c r="E32" s="45"/>
      <c r="F32" s="45"/>
      <c r="G32" s="101"/>
      <c r="H32" s="101"/>
      <c r="I32" s="101"/>
      <c r="J32" s="101"/>
      <c r="K32" s="45"/>
      <c r="L32" s="45"/>
      <c r="M32" s="45"/>
    </row>
    <row r="33" spans="1:15" x14ac:dyDescent="0.25">
      <c r="A33" s="20"/>
      <c r="B33" s="97" t="s">
        <v>61</v>
      </c>
      <c r="H33" s="81"/>
    </row>
    <row r="34" spans="1:15" x14ac:dyDescent="0.25">
      <c r="A34" s="20"/>
      <c r="B34" s="53"/>
      <c r="H34" s="81"/>
    </row>
    <row r="35" spans="1:15" x14ac:dyDescent="0.25">
      <c r="B35" s="7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</row>
    <row r="36" spans="1:15" s="83" customFormat="1" ht="25" x14ac:dyDescent="0.35">
      <c r="B36" s="76" t="s">
        <v>14</v>
      </c>
      <c r="C36" s="77" t="s">
        <v>89</v>
      </c>
      <c r="D36" s="77" t="s">
        <v>112</v>
      </c>
      <c r="E36" s="77" t="s">
        <v>20</v>
      </c>
      <c r="F36" s="77" t="s">
        <v>63</v>
      </c>
      <c r="G36" s="77" t="s">
        <v>113</v>
      </c>
      <c r="H36" s="77" t="s">
        <v>10</v>
      </c>
      <c r="I36" s="77" t="s">
        <v>6</v>
      </c>
      <c r="J36" s="77" t="s">
        <v>109</v>
      </c>
      <c r="K36" s="79" t="s">
        <v>7</v>
      </c>
      <c r="L36" s="80" t="s">
        <v>8</v>
      </c>
      <c r="M36" s="78" t="s">
        <v>9</v>
      </c>
      <c r="O36" s="78" t="s">
        <v>100</v>
      </c>
    </row>
    <row r="37" spans="1:15" x14ac:dyDescent="0.25">
      <c r="B37" s="84"/>
      <c r="C37" s="100"/>
      <c r="D37" s="100"/>
      <c r="E37" s="85"/>
      <c r="F37" s="84"/>
      <c r="G37" s="84"/>
      <c r="H37" s="86"/>
      <c r="I37" s="84"/>
      <c r="J37" s="84"/>
      <c r="K37" s="87"/>
      <c r="L37" s="84"/>
      <c r="M37" s="88"/>
      <c r="O37" s="88" t="str">
        <f>+IF(M37&lt;0,"Correcto","Incorrecto")</f>
        <v>Incorrecto</v>
      </c>
    </row>
    <row r="38" spans="1:15" x14ac:dyDescent="0.25">
      <c r="B38" s="84"/>
      <c r="C38" s="100"/>
      <c r="D38" s="100"/>
      <c r="E38" s="85"/>
      <c r="F38" s="84"/>
      <c r="G38" s="84"/>
      <c r="H38" s="86"/>
      <c r="I38" s="84"/>
      <c r="J38" s="84"/>
      <c r="K38" s="87"/>
      <c r="L38" s="84"/>
      <c r="M38" s="88"/>
      <c r="O38" s="88" t="str">
        <f t="shared" ref="O38:O43" si="0">+IF(M38&lt;0,"Correcto","Incorrecto")</f>
        <v>Incorrecto</v>
      </c>
    </row>
    <row r="39" spans="1:15" x14ac:dyDescent="0.25">
      <c r="B39" s="84"/>
      <c r="C39" s="100"/>
      <c r="D39" s="100"/>
      <c r="E39" s="85"/>
      <c r="F39" s="84"/>
      <c r="G39" s="84"/>
      <c r="H39" s="86"/>
      <c r="I39" s="84"/>
      <c r="J39" s="84"/>
      <c r="K39" s="87"/>
      <c r="L39" s="84"/>
      <c r="M39" s="88"/>
      <c r="O39" s="88" t="str">
        <f t="shared" si="0"/>
        <v>Incorrecto</v>
      </c>
    </row>
    <row r="40" spans="1:15" x14ac:dyDescent="0.25">
      <c r="B40" s="84"/>
      <c r="C40" s="100"/>
      <c r="D40" s="100"/>
      <c r="E40" s="85"/>
      <c r="F40" s="84"/>
      <c r="G40" s="84"/>
      <c r="H40" s="86"/>
      <c r="I40" s="84"/>
      <c r="J40" s="84"/>
      <c r="K40" s="87"/>
      <c r="L40" s="84"/>
      <c r="M40" s="88"/>
      <c r="O40" s="88" t="str">
        <f t="shared" si="0"/>
        <v>Incorrecto</v>
      </c>
    </row>
    <row r="41" spans="1:15" x14ac:dyDescent="0.25">
      <c r="B41" s="84"/>
      <c r="C41" s="100"/>
      <c r="D41" s="100"/>
      <c r="E41" s="89"/>
      <c r="F41" s="84"/>
      <c r="G41" s="84"/>
      <c r="H41" s="86"/>
      <c r="I41" s="84"/>
      <c r="J41" s="84"/>
      <c r="K41" s="87"/>
      <c r="L41" s="84"/>
      <c r="M41" s="84"/>
      <c r="O41" s="88" t="str">
        <f t="shared" si="0"/>
        <v>Incorrecto</v>
      </c>
    </row>
    <row r="42" spans="1:15" x14ac:dyDescent="0.25">
      <c r="B42" s="84"/>
      <c r="C42" s="100"/>
      <c r="D42" s="100"/>
      <c r="E42" s="89"/>
      <c r="F42" s="84"/>
      <c r="G42" s="84"/>
      <c r="H42" s="86"/>
      <c r="I42" s="84"/>
      <c r="J42" s="84"/>
      <c r="K42" s="87"/>
      <c r="L42" s="84"/>
      <c r="M42" s="84"/>
      <c r="O42" s="88" t="str">
        <f t="shared" si="0"/>
        <v>Incorrecto</v>
      </c>
    </row>
    <row r="43" spans="1:15" x14ac:dyDescent="0.25">
      <c r="B43" s="84"/>
      <c r="C43" s="100"/>
      <c r="D43" s="100"/>
      <c r="E43" s="89"/>
      <c r="F43" s="84"/>
      <c r="G43" s="84"/>
      <c r="H43" s="86"/>
      <c r="I43" s="84"/>
      <c r="J43" s="84"/>
      <c r="K43" s="87"/>
      <c r="L43" s="84"/>
      <c r="M43" s="84"/>
      <c r="O43" s="88" t="str">
        <f t="shared" si="0"/>
        <v>Incorrecto</v>
      </c>
    </row>
    <row r="44" spans="1:15" ht="6" customHeight="1" x14ac:dyDescent="0.25">
      <c r="E44" s="90"/>
      <c r="H44" s="91"/>
      <c r="K44" s="92"/>
      <c r="M44" s="93"/>
    </row>
    <row r="45" spans="1:15" ht="13" thickBot="1" x14ac:dyDescent="0.3">
      <c r="L45" s="31"/>
      <c r="M45" s="32">
        <f>+SUM(M37:M43)</f>
        <v>0</v>
      </c>
      <c r="N45" s="107"/>
      <c r="O45" s="122" t="s">
        <v>111</v>
      </c>
    </row>
    <row r="46" spans="1:15" ht="13" thickTop="1" x14ac:dyDescent="0.25">
      <c r="L46" s="105"/>
      <c r="M46" s="106"/>
    </row>
    <row r="47" spans="1:15" x14ac:dyDescent="0.25">
      <c r="G47" s="94"/>
      <c r="H47" s="81"/>
      <c r="K47" s="31"/>
      <c r="L47" s="103"/>
      <c r="M47" s="102"/>
    </row>
    <row r="48" spans="1:15" x14ac:dyDescent="0.25">
      <c r="B48" s="117" t="s">
        <v>114</v>
      </c>
      <c r="C48" s="118"/>
      <c r="D48" s="118"/>
      <c r="E48" s="119"/>
      <c r="F48" s="120"/>
      <c r="G48" s="94"/>
      <c r="H48" s="81"/>
      <c r="K48" s="31"/>
      <c r="L48" s="103"/>
      <c r="M48" s="102"/>
    </row>
    <row r="49" spans="1:13" x14ac:dyDescent="0.25">
      <c r="G49" s="94"/>
      <c r="H49" s="81"/>
      <c r="K49" s="31"/>
      <c r="L49" s="103"/>
      <c r="M49" s="102"/>
    </row>
    <row r="50" spans="1:13" ht="37.5" x14ac:dyDescent="0.25">
      <c r="B50" s="77" t="s">
        <v>105</v>
      </c>
      <c r="C50" s="77" t="s">
        <v>106</v>
      </c>
      <c r="D50" s="77" t="s">
        <v>116</v>
      </c>
      <c r="E50" s="77" t="s">
        <v>101</v>
      </c>
      <c r="F50" s="77" t="s">
        <v>54</v>
      </c>
      <c r="G50" s="94"/>
      <c r="H50" s="81"/>
      <c r="K50" s="31"/>
      <c r="L50" s="103"/>
      <c r="M50" s="102"/>
    </row>
    <row r="51" spans="1:13" x14ac:dyDescent="0.25">
      <c r="B51" s="84"/>
      <c r="C51" s="84"/>
      <c r="D51" s="110"/>
      <c r="E51" s="110"/>
      <c r="F51" s="110">
        <f>+D51-E51</f>
        <v>0</v>
      </c>
      <c r="G51" s="94"/>
      <c r="H51" s="81"/>
      <c r="K51" s="31"/>
      <c r="L51" s="103"/>
      <c r="M51" s="102"/>
    </row>
    <row r="52" spans="1:13" x14ac:dyDescent="0.25">
      <c r="B52" s="84"/>
      <c r="C52" s="84"/>
      <c r="D52" s="110"/>
      <c r="E52" s="110"/>
      <c r="F52" s="110">
        <f>+D52-E52</f>
        <v>0</v>
      </c>
      <c r="G52" s="94"/>
      <c r="H52" s="81"/>
      <c r="K52" s="31"/>
      <c r="L52" s="103"/>
      <c r="M52" s="102"/>
    </row>
    <row r="53" spans="1:13" x14ac:dyDescent="0.25">
      <c r="B53" s="84"/>
      <c r="C53" s="84"/>
      <c r="D53" s="110"/>
      <c r="E53" s="110"/>
      <c r="F53" s="110">
        <f>+D53-E53</f>
        <v>0</v>
      </c>
      <c r="G53" s="94"/>
      <c r="H53" s="81"/>
      <c r="K53" s="31"/>
      <c r="L53" s="103"/>
      <c r="M53" s="102"/>
    </row>
    <row r="54" spans="1:13" ht="6" customHeight="1" x14ac:dyDescent="0.25">
      <c r="G54" s="94"/>
      <c r="H54" s="81"/>
      <c r="K54" s="31"/>
      <c r="L54" s="103"/>
      <c r="M54" s="102"/>
    </row>
    <row r="55" spans="1:13" ht="13" thickBot="1" x14ac:dyDescent="0.3">
      <c r="D55" s="108"/>
      <c r="F55" s="121">
        <f>+SUM(F51:F53)</f>
        <v>0</v>
      </c>
      <c r="G55" s="94"/>
      <c r="H55" s="81"/>
      <c r="K55" s="31"/>
      <c r="L55" s="103"/>
      <c r="M55" s="102"/>
    </row>
    <row r="56" spans="1:13" ht="13" thickTop="1" x14ac:dyDescent="0.25">
      <c r="C56" s="104"/>
      <c r="D56" s="108"/>
      <c r="E56" s="107"/>
      <c r="G56" s="94"/>
      <c r="H56" s="81"/>
    </row>
    <row r="57" spans="1:13" x14ac:dyDescent="0.25">
      <c r="C57" s="104"/>
      <c r="D57" s="108"/>
      <c r="E57" s="107"/>
      <c r="G57" s="94"/>
      <c r="H57" s="81"/>
    </row>
    <row r="58" spans="1:13" x14ac:dyDescent="0.25">
      <c r="B58" s="141" t="s">
        <v>107</v>
      </c>
      <c r="C58" s="142"/>
      <c r="D58" s="108"/>
      <c r="E58" s="107"/>
      <c r="G58" s="94"/>
      <c r="H58" s="81"/>
    </row>
    <row r="59" spans="1:13" ht="14.5" x14ac:dyDescent="0.35">
      <c r="B59"/>
      <c r="C59"/>
      <c r="D59" s="108"/>
      <c r="E59" s="107"/>
      <c r="G59" s="94"/>
      <c r="H59" s="81"/>
    </row>
    <row r="60" spans="1:13" x14ac:dyDescent="0.25">
      <c r="B60" s="111" t="s">
        <v>102</v>
      </c>
      <c r="C60" s="111">
        <f>+COUNTIF(O37:O43,B60)</f>
        <v>0</v>
      </c>
      <c r="D60" s="108"/>
      <c r="E60" s="107"/>
      <c r="G60" s="94"/>
      <c r="H60" s="81"/>
    </row>
    <row r="61" spans="1:13" x14ac:dyDescent="0.25">
      <c r="B61" s="111" t="s">
        <v>103</v>
      </c>
      <c r="C61" s="111">
        <f>+COUNTIF(O37:O43,B61)</f>
        <v>7</v>
      </c>
      <c r="D61" s="108"/>
      <c r="E61" s="107"/>
      <c r="G61" s="94"/>
      <c r="H61" s="81"/>
    </row>
    <row r="62" spans="1:13" x14ac:dyDescent="0.25">
      <c r="C62" s="122" t="s">
        <v>111</v>
      </c>
      <c r="D62" s="108"/>
      <c r="E62" s="107"/>
      <c r="G62" s="94"/>
      <c r="H62" s="81"/>
    </row>
    <row r="63" spans="1:13" x14ac:dyDescent="0.25">
      <c r="A63" s="72"/>
      <c r="B63" s="97" t="s">
        <v>67</v>
      </c>
    </row>
    <row r="64" spans="1:13" ht="7.5" customHeight="1" x14ac:dyDescent="0.25">
      <c r="A64" s="72"/>
      <c r="B64" s="97"/>
    </row>
    <row r="65" spans="1:2" x14ac:dyDescent="0.25">
      <c r="A65" s="54"/>
      <c r="B65" s="98" t="s">
        <v>71</v>
      </c>
    </row>
    <row r="66" spans="1:2" x14ac:dyDescent="0.25">
      <c r="A66" s="71"/>
      <c r="B66" s="98" t="s">
        <v>104</v>
      </c>
    </row>
    <row r="67" spans="1:2" x14ac:dyDescent="0.25">
      <c r="A67" s="71"/>
      <c r="B67" s="56"/>
    </row>
    <row r="68" spans="1:2" x14ac:dyDescent="0.25">
      <c r="A68" s="71"/>
      <c r="B68" s="97" t="s">
        <v>90</v>
      </c>
    </row>
    <row r="69" spans="1:2" ht="6" customHeight="1" x14ac:dyDescent="0.25">
      <c r="A69" s="71"/>
      <c r="B69" s="97"/>
    </row>
    <row r="70" spans="1:2" x14ac:dyDescent="0.25">
      <c r="A70" s="71" t="s">
        <v>91</v>
      </c>
      <c r="B70" s="97"/>
    </row>
    <row r="71" spans="1:2" x14ac:dyDescent="0.25">
      <c r="A71" s="71" t="s">
        <v>92</v>
      </c>
      <c r="B71" s="97"/>
    </row>
    <row r="72" spans="1:2" x14ac:dyDescent="0.25">
      <c r="A72" s="71" t="s">
        <v>93</v>
      </c>
      <c r="B72" s="97"/>
    </row>
    <row r="73" spans="1:2" x14ac:dyDescent="0.25">
      <c r="A73" s="71"/>
      <c r="B73" s="97"/>
    </row>
    <row r="74" spans="1:2" x14ac:dyDescent="0.25">
      <c r="A74" s="71"/>
      <c r="B74" s="97" t="s">
        <v>64</v>
      </c>
    </row>
    <row r="75" spans="1:2" ht="6" customHeight="1" x14ac:dyDescent="0.25">
      <c r="A75" s="71"/>
      <c r="B75" s="97"/>
    </row>
    <row r="76" spans="1:2" x14ac:dyDescent="0.25">
      <c r="A76" s="71" t="s">
        <v>81</v>
      </c>
      <c r="B76" s="97"/>
    </row>
    <row r="77" spans="1:2" x14ac:dyDescent="0.25">
      <c r="A77" s="71" t="s">
        <v>82</v>
      </c>
      <c r="B77" s="97"/>
    </row>
    <row r="78" spans="1:2" x14ac:dyDescent="0.25">
      <c r="A78" s="71" t="s">
        <v>83</v>
      </c>
      <c r="B78" s="97"/>
    </row>
    <row r="79" spans="1:2" x14ac:dyDescent="0.25">
      <c r="A79" s="71"/>
      <c r="B79" s="97"/>
    </row>
    <row r="80" spans="1:2" x14ac:dyDescent="0.25">
      <c r="A80" s="96"/>
      <c r="B80" s="97" t="s">
        <v>65</v>
      </c>
    </row>
    <row r="81" spans="1:8" ht="6" customHeight="1" x14ac:dyDescent="0.25">
      <c r="A81" s="71"/>
      <c r="B81" s="97"/>
    </row>
    <row r="82" spans="1:8" x14ac:dyDescent="0.25">
      <c r="A82" s="71" t="s">
        <v>84</v>
      </c>
      <c r="B82" s="97"/>
    </row>
    <row r="83" spans="1:8" x14ac:dyDescent="0.25">
      <c r="A83" s="71" t="s">
        <v>85</v>
      </c>
      <c r="B83" s="97"/>
    </row>
    <row r="84" spans="1:8" x14ac:dyDescent="0.25">
      <c r="A84" s="71" t="s">
        <v>86</v>
      </c>
      <c r="B84" s="97"/>
    </row>
    <row r="85" spans="1:8" x14ac:dyDescent="0.25">
      <c r="A85" s="96"/>
      <c r="B85" s="56"/>
    </row>
    <row r="86" spans="1:8" x14ac:dyDescent="0.25">
      <c r="B86" s="97" t="s">
        <v>39</v>
      </c>
    </row>
    <row r="87" spans="1:8" ht="5" customHeight="1" x14ac:dyDescent="0.25">
      <c r="B87" s="97"/>
    </row>
    <row r="88" spans="1:8" x14ac:dyDescent="0.25">
      <c r="B88" s="54" t="s">
        <v>110</v>
      </c>
      <c r="H88" s="81"/>
    </row>
    <row r="89" spans="1:8" x14ac:dyDescent="0.25">
      <c r="B89" s="8"/>
    </row>
  </sheetData>
  <autoFilter ref="B36:M43" xr:uid="{DFF2FDF5-C725-4021-9C10-49F908ADD90B}"/>
  <mergeCells count="2">
    <mergeCell ref="G30:K31"/>
    <mergeCell ref="B58:C5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130.01</vt:lpstr>
      <vt:lpstr>425.03</vt:lpstr>
      <vt:lpstr>'130.01'!Área_de_impresión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 Ecuador</dc:creator>
  <cp:lastModifiedBy>Admin</cp:lastModifiedBy>
  <dcterms:created xsi:type="dcterms:W3CDTF">2022-10-21T16:50:11Z</dcterms:created>
  <dcterms:modified xsi:type="dcterms:W3CDTF">2026-04-17T03:34:36Z</dcterms:modified>
</cp:coreProperties>
</file>