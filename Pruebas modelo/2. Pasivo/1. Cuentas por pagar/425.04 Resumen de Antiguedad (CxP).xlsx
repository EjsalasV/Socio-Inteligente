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1. Cuentas por pagar\"/>
    </mc:Choice>
  </mc:AlternateContent>
  <xr:revisionPtr revIDLastSave="0" documentId="13_ncr:1_{2F28ACB9-1077-4FF8-983E-8240A0A79D02}" xr6:coauthVersionLast="47" xr6:coauthVersionMax="47" xr10:uidLastSave="{00000000-0000-0000-0000-000000000000}"/>
  <bookViews>
    <workbookView xWindow="-110" yWindow="-110" windowWidth="19420" windowHeight="10300" xr2:uid="{0C6CB9C3-71AA-4379-AC5C-61371D876968}"/>
  </bookViews>
  <sheets>
    <sheet name="425.04" sheetId="1" r:id="rId1"/>
  </sheets>
  <externalReferences>
    <externalReference r:id="rId2"/>
  </externalReferences>
  <definedNames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val2">[1]anaislis!$D$2:$D$18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0" hidden="1">'425.04'!$B$35:$N$46</definedName>
    <definedName name="_val2">[1]anaislis!$D$2:$D$18</definedName>
    <definedName name="TEST0">#REF!</definedName>
    <definedName name="TESTHKEY">#REF!</definedName>
    <definedName name="TESTKEYS">#REF!</definedName>
    <definedName name="TESTVKEY">#REF!</definedName>
    <definedName name="VAL">#REF!</definedName>
  </definedName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1" l="1"/>
  <c r="J47" i="1" l="1"/>
  <c r="L36" i="1" l="1"/>
  <c r="M36" i="1" s="1"/>
  <c r="N36" i="1" l="1"/>
  <c r="L37" i="1"/>
  <c r="M37" i="1" s="1"/>
  <c r="N37" i="1"/>
  <c r="L38" i="1"/>
  <c r="M38" i="1" s="1"/>
  <c r="N38" i="1"/>
  <c r="L39" i="1"/>
  <c r="M39" i="1" s="1"/>
  <c r="N39" i="1"/>
  <c r="L40" i="1"/>
  <c r="M40" i="1" s="1"/>
  <c r="N40" i="1"/>
  <c r="L41" i="1"/>
  <c r="M41" i="1" s="1"/>
  <c r="N41" i="1"/>
  <c r="L42" i="1"/>
  <c r="M42" i="1" s="1"/>
  <c r="N42" i="1"/>
  <c r="L43" i="1"/>
  <c r="M43" i="1" s="1"/>
  <c r="N43" i="1"/>
  <c r="L44" i="1"/>
  <c r="M44" i="1" s="1"/>
  <c r="N44" i="1"/>
  <c r="L45" i="1"/>
  <c r="M45" i="1" s="1"/>
  <c r="N45" i="1"/>
  <c r="C57" i="1" l="1"/>
  <c r="C59" i="1"/>
  <c r="C63" i="1"/>
  <c r="C60" i="1"/>
  <c r="C61" i="1"/>
  <c r="C58" i="1"/>
  <c r="C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52" authorId="0" shapeId="0" xr:uid="{CAA362BB-D1D1-4AF6-85D4-47DBECB62CD4}">
      <text>
        <r>
          <rPr>
            <sz val="9"/>
            <color indexed="81"/>
            <rFont val="Tahoma"/>
            <family val="2"/>
          </rPr>
          <t>El resumen de Antigüedad, se lo realiza por tipo de cuenta, por año y por proveedor, todo depende de la necesidad del cliente.</t>
        </r>
      </text>
    </comment>
  </commentList>
</comments>
</file>

<file path=xl/sharedStrings.xml><?xml version="1.0" encoding="utf-8"?>
<sst xmlns="http://schemas.openxmlformats.org/spreadsheetml/2006/main" count="108" uniqueCount="87">
  <si>
    <t>Total general</t>
  </si>
  <si>
    <t>Conclusión:</t>
  </si>
  <si>
    <t xml:space="preserve">Más de 360 días </t>
  </si>
  <si>
    <t xml:space="preserve">Entre 181 y 360 días </t>
  </si>
  <si>
    <t>Entre 91 y 180 días</t>
  </si>
  <si>
    <t>Entre 61 y 90 días</t>
  </si>
  <si>
    <t>Nombre</t>
  </si>
  <si>
    <t>Años</t>
  </si>
  <si>
    <t xml:space="preserve">Entre 1 y 30 días </t>
  </si>
  <si>
    <t>Vigente</t>
  </si>
  <si>
    <t>Ref.</t>
  </si>
  <si>
    <t>Monto</t>
  </si>
  <si>
    <t>Antigüedad</t>
  </si>
  <si>
    <t>Por año:</t>
  </si>
  <si>
    <t>Antigüedad de saldos</t>
  </si>
  <si>
    <t>Saldo vencido</t>
  </si>
  <si>
    <t>Fecha de vencimiento</t>
  </si>
  <si>
    <t>Fecha de contabilización</t>
  </si>
  <si>
    <t>Procedimiento:</t>
  </si>
  <si>
    <t>Objetivo:</t>
  </si>
  <si>
    <t>(Todas)</t>
  </si>
  <si>
    <t>Total</t>
  </si>
  <si>
    <t>Descripción</t>
  </si>
  <si>
    <t>COMPAÑÍA MODELO S.A.</t>
  </si>
  <si>
    <t>ANÁLISIS DE ANTIGÜEDAD CUENTAS POR PAGAR</t>
  </si>
  <si>
    <t>Desarrollo:</t>
  </si>
  <si>
    <t>Por tipo de cuenta:</t>
  </si>
  <si>
    <t>Por proveedor :</t>
  </si>
  <si>
    <t xml:space="preserve">Entre 31 y 60 días </t>
  </si>
  <si>
    <t>Notas aclaratorias:</t>
  </si>
  <si>
    <t>Observaciones:</t>
  </si>
  <si>
    <t>Preparado por:</t>
  </si>
  <si>
    <t>Revisado por:</t>
  </si>
  <si>
    <t>Base de decisión: Materialidad</t>
  </si>
  <si>
    <t>1.-</t>
  </si>
  <si>
    <t>2.-</t>
  </si>
  <si>
    <t>3.-</t>
  </si>
  <si>
    <t>4.-</t>
  </si>
  <si>
    <t>5.-</t>
  </si>
  <si>
    <t>6.-</t>
  </si>
  <si>
    <t>General</t>
  </si>
  <si>
    <t>Desempeño</t>
  </si>
  <si>
    <t>Errores Triviales</t>
  </si>
  <si>
    <t>Marcas de auditoría:</t>
  </si>
  <si>
    <t xml:space="preserve">  </t>
  </si>
  <si>
    <t>Información proporcionada por el cliente</t>
  </si>
  <si>
    <t>Cálculos de Auditoría</t>
  </si>
  <si>
    <t>Preliminar</t>
  </si>
  <si>
    <t>Final</t>
  </si>
  <si>
    <t>xxx.xxx</t>
  </si>
  <si>
    <t>XX</t>
  </si>
  <si>
    <t xml:space="preserve"> Sumatoria</t>
  </si>
  <si>
    <t>AL 31 DE DICIEMBRE DE 20XX</t>
  </si>
  <si>
    <t>425.04</t>
  </si>
  <si>
    <t>a)</t>
  </si>
  <si>
    <t>b)</t>
  </si>
  <si>
    <t>c)</t>
  </si>
  <si>
    <t>Obs. 1</t>
  </si>
  <si>
    <t>Obs. 2</t>
  </si>
  <si>
    <t>Obs. 3</t>
  </si>
  <si>
    <t>FECHA DE CORTE: _ / _ / 20XX</t>
  </si>
  <si>
    <t>Solicitar los estados financieros al _ / _ / 20XX.</t>
  </si>
  <si>
    <t>Solicitar a la Compañía el detalle de cuentas por pagar al _/_/202x</t>
  </si>
  <si>
    <t>Clasificar el saldo de cuentas por pagar por su antigüedad al _ / _ / 20XX.</t>
  </si>
  <si>
    <t>Verificar si existen cuentas por pagar con morosidad, en caso de existir, consultar con la Adminsitración su forma de liquidación.</t>
  </si>
  <si>
    <t>Documentar el papel de trabjo y concluir en función del objetivo.</t>
  </si>
  <si>
    <t>A</t>
  </si>
  <si>
    <t>B</t>
  </si>
  <si>
    <t>C</t>
  </si>
  <si>
    <t>Agrupación</t>
  </si>
  <si>
    <t>Fecha de corte</t>
  </si>
  <si>
    <t>Código cuenta contable</t>
  </si>
  <si>
    <t>Nombre cuenta contable</t>
  </si>
  <si>
    <t>Determinar y analizar la antigüedad del saldo de cuentas por pagar al _ / _ / 20XX</t>
  </si>
  <si>
    <t>Realizar tablas dinámicas de la antigüedad de cuentas por pagar por tipo de cuenta, por año y por proveedor.</t>
  </si>
  <si>
    <t>Resumen antigüedad</t>
  </si>
  <si>
    <t>p/t 425.03</t>
  </si>
  <si>
    <t>***(Concluir en base al objetivo)</t>
  </si>
  <si>
    <t>Verificaciones:</t>
  </si>
  <si>
    <t>Nro. de documento</t>
  </si>
  <si>
    <t>Nro. de referencia</t>
  </si>
  <si>
    <t>(en blanco)</t>
  </si>
  <si>
    <t>x</t>
  </si>
  <si>
    <t>Proveedor</t>
  </si>
  <si>
    <t>XX/XX/20XX</t>
  </si>
  <si>
    <t xml:space="preserve"> Saldo vencido</t>
  </si>
  <si>
    <t xml:space="preserve">  Saldo 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</si>
</sst>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_);_(* \(#,##0\);_(* &quot;-&quot;_);_(@_)"/>
    <numFmt numFmtId="165" formatCode="[$-1540A]m/d/yyyy;@"/>
    <numFmt numFmtId="166" formatCode="_ * #,##0_ ;_ * \-#,##0_ ;_ * &quot;-&quot;??_ ;_ @_ "/>
    <numFmt numFmtId="167" formatCode="_(* #,##0_);_(* \(#,##0\);_(* &quot;-&quot;??_);_(@_)"/>
    <numFmt numFmtId="168" formatCode="\ dd\/mm\/yyyy"/>
    <numFmt numFmtId="169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Marlett"/>
      <charset val="2"/>
    </font>
    <font>
      <sz val="10"/>
      <color rgb="FFFF0000"/>
      <name val="Marlett"/>
      <charset val="2"/>
    </font>
    <font>
      <sz val="10"/>
      <color indexed="10"/>
      <name val="Tahoma"/>
      <family val="2"/>
    </font>
    <font>
      <b/>
      <sz val="10"/>
      <color theme="1"/>
      <name val="Tahoma"/>
      <family val="2"/>
    </font>
    <font>
      <sz val="10"/>
      <color theme="8" tint="-0.499984740745262"/>
      <name val="Tahoma"/>
      <family val="2"/>
    </font>
    <font>
      <sz val="10"/>
      <color theme="0"/>
      <name val="Tahoma"/>
      <family val="2"/>
    </font>
    <font>
      <b/>
      <sz val="10"/>
      <color theme="8" tint="-0.499984740745262"/>
      <name val="Tahoma"/>
      <family val="2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b/>
      <sz val="10"/>
      <color theme="3"/>
      <name val="Tahoma"/>
      <family val="2"/>
    </font>
    <font>
      <sz val="10"/>
      <color theme="3"/>
      <name val="Tahoma"/>
      <family val="2"/>
    </font>
    <font>
      <b/>
      <sz val="10"/>
      <color theme="0"/>
      <name val="Tahoma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b/>
      <u/>
      <sz val="10"/>
      <color theme="1"/>
      <name val="Tahoma"/>
      <family val="2"/>
    </font>
    <font>
      <b/>
      <u/>
      <sz val="10"/>
      <color rgb="FF0000FF"/>
      <name val="Tahoma"/>
      <family val="2"/>
    </font>
    <font>
      <sz val="9"/>
      <color indexed="81"/>
      <name val="Tahoma"/>
      <family val="2"/>
    </font>
    <font>
      <b/>
      <sz val="10"/>
      <color rgb="FF0000FF"/>
      <name val="Tahoma"/>
      <family val="2"/>
    </font>
    <font>
      <b/>
      <u/>
      <sz val="10"/>
      <color rgb="FF002060"/>
      <name val="Tahoma"/>
      <family val="2"/>
    </font>
    <font>
      <sz val="10"/>
      <color rgb="FF002060"/>
      <name val="Tahoma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-0.249977111117893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7" fillId="0" borderId="0"/>
    <xf numFmtId="0" fontId="9" fillId="0" borderId="0"/>
    <xf numFmtId="0" fontId="7" fillId="0" borderId="0"/>
    <xf numFmtId="0" fontId="18" fillId="0" borderId="0"/>
    <xf numFmtId="0" fontId="9" fillId="0" borderId="0"/>
    <xf numFmtId="0" fontId="9" fillId="0" borderId="0"/>
  </cellStyleXfs>
  <cellXfs count="109">
    <xf numFmtId="0" fontId="0" fillId="0" borderId="0" xfId="0"/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6" fillId="2" borderId="0" xfId="0" applyFont="1" applyFill="1"/>
    <xf numFmtId="0" fontId="8" fillId="2" borderId="0" xfId="2" applyFont="1" applyFill="1"/>
    <xf numFmtId="43" fontId="11" fillId="2" borderId="0" xfId="1" applyFont="1" applyFill="1" applyBorder="1" applyAlignment="1">
      <alignment horizontal="center"/>
    </xf>
    <xf numFmtId="0" fontId="13" fillId="2" borderId="0" xfId="4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right"/>
    </xf>
    <xf numFmtId="0" fontId="14" fillId="0" borderId="0" xfId="5" applyFont="1" applyAlignment="1" applyProtection="1">
      <alignment horizontal="left" vertical="center"/>
      <protection hidden="1"/>
    </xf>
    <xf numFmtId="0" fontId="4" fillId="0" borderId="0" xfId="5" applyFont="1" applyAlignment="1" applyProtection="1">
      <alignment horizontal="left" vertical="center"/>
      <protection hidden="1"/>
    </xf>
    <xf numFmtId="1" fontId="14" fillId="0" borderId="0" xfId="5" applyNumberFormat="1" applyFont="1" applyAlignment="1" applyProtection="1">
      <alignment horizontal="left" vertical="center"/>
      <protection hidden="1"/>
    </xf>
    <xf numFmtId="0" fontId="10" fillId="0" borderId="0" xfId="6" applyFont="1"/>
    <xf numFmtId="0" fontId="6" fillId="0" borderId="0" xfId="0" applyFont="1"/>
    <xf numFmtId="0" fontId="20" fillId="3" borderId="0" xfId="7" applyFont="1" applyFill="1" applyAlignment="1">
      <alignment vertical="center"/>
    </xf>
    <xf numFmtId="0" fontId="14" fillId="0" borderId="2" xfId="5" applyFont="1" applyBorder="1" applyAlignment="1" applyProtection="1">
      <alignment horizontal="left" vertical="center"/>
      <protection hidden="1"/>
    </xf>
    <xf numFmtId="0" fontId="4" fillId="0" borderId="2" xfId="5" applyFont="1" applyBorder="1" applyAlignment="1" applyProtection="1">
      <alignment horizontal="left" vertical="center"/>
      <protection hidden="1"/>
    </xf>
    <xf numFmtId="1" fontId="14" fillId="0" borderId="2" xfId="5" applyNumberFormat="1" applyFont="1" applyBorder="1" applyAlignment="1" applyProtection="1">
      <alignment horizontal="left" vertical="center"/>
      <protection hidden="1"/>
    </xf>
    <xf numFmtId="0" fontId="17" fillId="3" borderId="0" xfId="5" applyFont="1" applyFill="1" applyAlignment="1" applyProtection="1">
      <alignment horizontal="left" vertical="center"/>
      <protection hidden="1"/>
    </xf>
    <xf numFmtId="0" fontId="15" fillId="3" borderId="0" xfId="5" applyFont="1" applyFill="1" applyAlignment="1" applyProtection="1">
      <alignment horizontal="left" vertical="center"/>
      <protection hidden="1"/>
    </xf>
    <xf numFmtId="1" fontId="17" fillId="3" borderId="0" xfId="5" applyNumberFormat="1" applyFont="1" applyFill="1" applyAlignment="1" applyProtection="1">
      <alignment horizontal="left" vertical="center"/>
      <protection hidden="1"/>
    </xf>
    <xf numFmtId="0" fontId="14" fillId="3" borderId="0" xfId="5" applyFont="1" applyFill="1" applyAlignment="1" applyProtection="1">
      <alignment horizontal="left" vertical="center"/>
      <protection hidden="1"/>
    </xf>
    <xf numFmtId="1" fontId="10" fillId="0" borderId="0" xfId="6" applyNumberFormat="1" applyFont="1"/>
    <xf numFmtId="0" fontId="10" fillId="0" borderId="0" xfId="6" applyFont="1" applyAlignment="1">
      <alignment horizontal="center" vertical="center"/>
    </xf>
    <xf numFmtId="1" fontId="4" fillId="3" borderId="0" xfId="0" applyNumberFormat="1" applyFont="1" applyFill="1"/>
    <xf numFmtId="0" fontId="5" fillId="0" borderId="0" xfId="0" applyFont="1" applyAlignment="1">
      <alignment horizontal="right"/>
    </xf>
    <xf numFmtId="164" fontId="12" fillId="3" borderId="0" xfId="2" applyNumberFormat="1" applyFont="1" applyFill="1" applyAlignment="1">
      <alignment horizontal="center"/>
    </xf>
    <xf numFmtId="0" fontId="10" fillId="0" borderId="1" xfId="0" applyFont="1" applyBorder="1"/>
    <xf numFmtId="164" fontId="14" fillId="0" borderId="0" xfId="0" applyNumberFormat="1" applyFont="1"/>
    <xf numFmtId="0" fontId="23" fillId="3" borderId="0" xfId="5" applyFont="1" applyFill="1" applyAlignment="1" applyProtection="1">
      <alignment horizontal="left" vertical="center"/>
      <protection hidden="1"/>
    </xf>
    <xf numFmtId="0" fontId="23" fillId="0" borderId="2" xfId="5" applyFont="1" applyBorder="1" applyAlignment="1" applyProtection="1">
      <alignment horizontal="left" vertical="center"/>
      <protection hidden="1"/>
    </xf>
    <xf numFmtId="0" fontId="21" fillId="0" borderId="0" xfId="7" applyFont="1" applyAlignment="1">
      <alignment horizontal="right" vertical="center" wrapText="1"/>
    </xf>
    <xf numFmtId="0" fontId="10" fillId="0" borderId="0" xfId="5" applyFont="1" applyAlignment="1">
      <alignment horizontal="center"/>
    </xf>
    <xf numFmtId="167" fontId="14" fillId="0" borderId="4" xfId="1" applyNumberFormat="1" applyFont="1" applyBorder="1"/>
    <xf numFmtId="167" fontId="14" fillId="0" borderId="0" xfId="1" applyNumberFormat="1" applyFont="1" applyBorder="1"/>
    <xf numFmtId="164" fontId="24" fillId="3" borderId="0" xfId="2" applyNumberFormat="1" applyFont="1" applyFill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9" fontId="6" fillId="0" borderId="1" xfId="0" applyNumberFormat="1" applyFont="1" applyBorder="1" applyAlignment="1">
      <alignment vertical="top"/>
    </xf>
    <xf numFmtId="0" fontId="16" fillId="0" borderId="0" xfId="0" applyFont="1"/>
    <xf numFmtId="14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166" fontId="22" fillId="0" borderId="0" xfId="1" applyNumberFormat="1" applyFont="1" applyFill="1" applyBorder="1"/>
    <xf numFmtId="0" fontId="5" fillId="0" borderId="0" xfId="0" quotePrefix="1" applyFont="1" applyAlignment="1">
      <alignment horizontal="center"/>
    </xf>
    <xf numFmtId="0" fontId="10" fillId="3" borderId="5" xfId="3" applyFont="1" applyFill="1" applyBorder="1" applyAlignment="1" applyProtection="1">
      <alignment horizontal="center" vertical="center" wrapText="1"/>
      <protection hidden="1"/>
    </xf>
    <xf numFmtId="0" fontId="10" fillId="0" borderId="5" xfId="5" applyFont="1" applyBorder="1" applyAlignment="1" applyProtection="1">
      <alignment horizontal="center" vertical="center" wrapText="1"/>
      <protection hidden="1"/>
    </xf>
    <xf numFmtId="0" fontId="5" fillId="0" borderId="1" xfId="5" applyFont="1" applyBorder="1" applyAlignment="1" applyProtection="1">
      <alignment horizontal="center" vertical="center"/>
      <protection hidden="1"/>
    </xf>
    <xf numFmtId="1" fontId="25" fillId="0" borderId="0" xfId="0" applyNumberFormat="1" applyFont="1"/>
    <xf numFmtId="0" fontId="19" fillId="0" borderId="0" xfId="3" applyFont="1"/>
    <xf numFmtId="0" fontId="4" fillId="0" borderId="0" xfId="0" applyFont="1" applyAlignment="1">
      <alignment horizontal="right"/>
    </xf>
    <xf numFmtId="0" fontId="26" fillId="2" borderId="0" xfId="2" applyFont="1" applyFill="1"/>
    <xf numFmtId="14" fontId="24" fillId="0" borderId="0" xfId="0" applyNumberFormat="1" applyFont="1" applyAlignment="1">
      <alignment horizontal="right"/>
    </xf>
    <xf numFmtId="0" fontId="24" fillId="0" borderId="0" xfId="0" applyFont="1"/>
    <xf numFmtId="164" fontId="6" fillId="3" borderId="0" xfId="2" applyNumberFormat="1" applyFont="1" applyFill="1" applyAlignment="1">
      <alignment horizontal="left" vertical="center"/>
    </xf>
    <xf numFmtId="0" fontId="10" fillId="0" borderId="0" xfId="3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64" fontId="6" fillId="3" borderId="0" xfId="2" applyNumberFormat="1" applyFont="1" applyFill="1" applyAlignment="1">
      <alignment vertical="center"/>
    </xf>
    <xf numFmtId="0" fontId="23" fillId="0" borderId="0" xfId="5" applyFont="1" applyAlignment="1" applyProtection="1">
      <alignment horizontal="left" vertical="center"/>
      <protection hidden="1"/>
    </xf>
    <xf numFmtId="0" fontId="5" fillId="0" borderId="0" xfId="0" applyFont="1" applyAlignment="1">
      <alignment horizontal="center"/>
    </xf>
    <xf numFmtId="165" fontId="4" fillId="0" borderId="1" xfId="0" applyNumberFormat="1" applyFont="1" applyBorder="1" applyAlignment="1">
      <alignment horizontal="left"/>
    </xf>
    <xf numFmtId="167" fontId="4" fillId="0" borderId="1" xfId="1" applyNumberFormat="1" applyFon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right"/>
    </xf>
    <xf numFmtId="167" fontId="14" fillId="0" borderId="4" xfId="0" applyNumberFormat="1" applyFont="1" applyBorder="1" applyAlignment="1">
      <alignment horizontal="center"/>
    </xf>
    <xf numFmtId="164" fontId="11" fillId="3" borderId="0" xfId="2" applyNumberFormat="1" applyFont="1" applyFill="1"/>
    <xf numFmtId="166" fontId="2" fillId="0" borderId="1" xfId="1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8" fillId="0" borderId="0" xfId="0" quotePrefix="1" applyFont="1"/>
    <xf numFmtId="0" fontId="23" fillId="4" borderId="3" xfId="5" applyFont="1" applyFill="1" applyBorder="1" applyAlignment="1" applyProtection="1">
      <alignment horizontal="center" vertical="center"/>
      <protection hidden="1"/>
    </xf>
    <xf numFmtId="0" fontId="23" fillId="4" borderId="1" xfId="5" applyFont="1" applyFill="1" applyBorder="1" applyAlignment="1">
      <alignment horizontal="center" vertical="center"/>
    </xf>
    <xf numFmtId="0" fontId="1" fillId="0" borderId="0" xfId="0" applyFont="1"/>
    <xf numFmtId="0" fontId="1" fillId="4" borderId="1" xfId="3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3" applyFont="1" applyBorder="1" applyAlignment="1">
      <alignment horizontal="center"/>
    </xf>
    <xf numFmtId="166" fontId="5" fillId="0" borderId="0" xfId="1" applyNumberFormat="1" applyFont="1" applyAlignment="1">
      <alignment horizontal="center"/>
    </xf>
    <xf numFmtId="0" fontId="5" fillId="2" borderId="0" xfId="0" applyFont="1" applyFill="1"/>
    <xf numFmtId="0" fontId="23" fillId="4" borderId="1" xfId="0" applyFont="1" applyFill="1" applyBorder="1" applyAlignment="1">
      <alignment horizontal="center" vertical="center" wrapText="1"/>
    </xf>
    <xf numFmtId="43" fontId="23" fillId="4" borderId="1" xfId="1" applyFont="1" applyFill="1" applyBorder="1" applyAlignment="1">
      <alignment horizontal="center" vertical="center" wrapText="1" readingOrder="1"/>
    </xf>
    <xf numFmtId="1" fontId="23" fillId="4" borderId="1" xfId="0" applyNumberFormat="1" applyFont="1" applyFill="1" applyBorder="1" applyAlignment="1">
      <alignment horizontal="center" vertical="center" wrapText="1" readingOrder="1"/>
    </xf>
    <xf numFmtId="43" fontId="23" fillId="4" borderId="1" xfId="1" applyFont="1" applyFill="1" applyBorder="1" applyAlignment="1">
      <alignment horizontal="center" vertical="center" wrapText="1"/>
    </xf>
    <xf numFmtId="165" fontId="23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30" fillId="4" borderId="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/>
    <xf numFmtId="164" fontId="1" fillId="0" borderId="1" xfId="0" applyNumberFormat="1" applyFont="1" applyBorder="1"/>
    <xf numFmtId="0" fontId="31" fillId="0" borderId="0" xfId="0" applyFont="1"/>
    <xf numFmtId="0" fontId="1" fillId="0" borderId="1" xfId="0" pivotButton="1" applyFont="1" applyBorder="1"/>
    <xf numFmtId="164" fontId="1" fillId="0" borderId="5" xfId="0" applyNumberFormat="1" applyFont="1" applyBorder="1"/>
    <xf numFmtId="0" fontId="1" fillId="0" borderId="5" xfId="0" applyFont="1" applyBorder="1"/>
    <xf numFmtId="0" fontId="1" fillId="3" borderId="5" xfId="0" applyFont="1" applyFill="1" applyBorder="1"/>
    <xf numFmtId="0" fontId="1" fillId="0" borderId="8" xfId="0" applyFont="1" applyBorder="1"/>
    <xf numFmtId="0" fontId="1" fillId="0" borderId="9" xfId="0" applyFont="1" applyBorder="1"/>
    <xf numFmtId="164" fontId="1" fillId="0" borderId="10" xfId="0" applyNumberFormat="1" applyFont="1" applyBorder="1"/>
    <xf numFmtId="166" fontId="1" fillId="0" borderId="5" xfId="0" applyNumberFormat="1" applyFont="1" applyBorder="1"/>
    <xf numFmtId="0" fontId="23" fillId="5" borderId="1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29" fillId="6" borderId="3" xfId="2" applyFont="1" applyFill="1" applyBorder="1" applyAlignment="1">
      <alignment horizontal="center"/>
    </xf>
    <xf numFmtId="0" fontId="29" fillId="6" borderId="6" xfId="2" applyFont="1" applyFill="1" applyBorder="1" applyAlignment="1">
      <alignment horizontal="center"/>
    </xf>
    <xf numFmtId="0" fontId="29" fillId="6" borderId="7" xfId="2" applyFont="1" applyFill="1" applyBorder="1" applyAlignment="1">
      <alignment horizontal="center"/>
    </xf>
  </cellXfs>
  <cellStyles count="8">
    <cellStyle name="Millares" xfId="1" builtinId="3"/>
    <cellStyle name="Normal" xfId="0" builtinId="0"/>
    <cellStyle name="Normal 2 10" xfId="3" xr:uid="{EC52A8ED-7B5A-426E-A6CF-29E6F9876AC2}"/>
    <cellStyle name="Normal 2 3 2 5" xfId="6" xr:uid="{1422A6F4-A03D-4D6A-A62D-2F448C7BE73A}"/>
    <cellStyle name="Normal 3 2" xfId="7" xr:uid="{40CD3F17-1988-44C3-BE10-8CA2CB67C996}"/>
    <cellStyle name="Normal 7" xfId="5" xr:uid="{BD179A00-9CBF-407E-9F4C-7807DBD89378}"/>
    <cellStyle name="Normal_2102 Sumaria de Efectivo y Equivalentes" xfId="2" xr:uid="{064AED39-AF45-4643-BDDF-D94CF0EBAC53}"/>
    <cellStyle name="Normal_2102.1 Resumen de Conciliaciones Bancarias" xfId="4" xr:uid="{DA5CB9C0-EDB1-4405-BED5-16CC1CC219E7}"/>
  </cellStyles>
  <dxfs count="134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wrapText="1"/>
    </dxf>
    <dxf>
      <font>
        <color rgb="FF002060"/>
      </font>
      <fill>
        <patternFill patternType="solid">
          <fgColor indexed="64"/>
          <bgColor theme="8" tint="0.39997558519241921"/>
        </patternFill>
      </fill>
      <alignment horizontal="center"/>
    </dxf>
    <dxf>
      <font>
        <color rgb="FF002060"/>
      </font>
      <fill>
        <patternFill patternType="solid">
          <fgColor indexed="64"/>
          <bgColor theme="8" tint="0.39997558519241921"/>
        </patternFill>
      </fill>
      <alignment horizont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-&quot;_);_(@_)"/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color rgb="FF002060"/>
      </font>
      <fill>
        <patternFill patternType="solid">
          <fgColor indexed="64"/>
          <bgColor theme="4" tint="0.79998168889431442"/>
        </patternFill>
      </fill>
      <alignment horizontal="center" vertical="center" wrapText="1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wrapText="1"/>
    </dxf>
    <dxf>
      <font>
        <color rgb="FF002060"/>
      </font>
      <fill>
        <patternFill patternType="solid">
          <fgColor indexed="64"/>
          <bgColor theme="8" tint="0.39997558519241921"/>
        </patternFill>
      </fill>
      <alignment horizontal="center"/>
    </dxf>
    <dxf>
      <font>
        <color rgb="FF002060"/>
      </font>
      <fill>
        <patternFill patternType="solid">
          <fgColor indexed="64"/>
          <bgColor theme="8" tint="0.39997558519241921"/>
        </patternFill>
      </fill>
      <alignment horizontal="center"/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-&quot;_);_(@_)"/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/>
        <top/>
        <bottom/>
      </border>
    </dxf>
    <dxf>
      <border>
        <left/>
        <top/>
        <bottom/>
      </border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color rgb="FF002060"/>
      </font>
    </dxf>
    <dxf>
      <font>
        <color rgb="FF002060"/>
      </font>
    </dxf>
    <dxf>
      <font>
        <color rgb="FF002060"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font>
        <sz val="10"/>
      </font>
    </dxf>
    <dxf>
      <font>
        <sz val="10"/>
      </font>
    </dxf>
    <dxf>
      <font>
        <name val="Tahoma"/>
        <family val="2"/>
        <scheme val="none"/>
      </font>
    </dxf>
    <dxf>
      <font>
        <name val="Tahoma"/>
        <family val="2"/>
        <scheme val="none"/>
      </font>
    </dxf>
    <dxf>
      <numFmt numFmtId="164" formatCode="_(* #,##0_);_(* \(#,##0\);_(* &quot;-&quot;_);_(@_)"/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522486</xdr:colOff>
      <xdr:row>33</xdr:row>
      <xdr:rowOff>83553</xdr:rowOff>
    </xdr:from>
    <xdr:to>
      <xdr:col>9</xdr:col>
      <xdr:colOff>1405873</xdr:colOff>
      <xdr:row>33</xdr:row>
      <xdr:rowOff>83554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1382C6A4-79BE-4DFC-9B94-BAF1523B99D1}"/>
            </a:ext>
          </a:extLst>
        </xdr:cNvPr>
        <xdr:cNvCxnSpPr/>
      </xdr:nvCxnSpPr>
      <xdr:spPr>
        <a:xfrm>
          <a:off x="913255" y="3519066"/>
          <a:ext cx="14153259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16934</xdr:colOff>
      <xdr:row>32</xdr:row>
      <xdr:rowOff>135466</xdr:rowOff>
    </xdr:from>
    <xdr:to>
      <xdr:col>1</xdr:col>
      <xdr:colOff>228231</xdr:colOff>
      <xdr:row>34</xdr:row>
      <xdr:rowOff>46078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2D2B22E-4A59-4F9D-8268-43207EBC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4495799"/>
          <a:ext cx="211297" cy="228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151661</xdr:colOff>
      <xdr:row>69</xdr:row>
      <xdr:rowOff>66782</xdr:rowOff>
    </xdr:from>
    <xdr:to>
      <xdr:col>0</xdr:col>
      <xdr:colOff>362958</xdr:colOff>
      <xdr:row>71</xdr:row>
      <xdr:rowOff>8682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AD6BD3-4FFB-4D0F-B325-7BAC1CF97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661" y="11163000"/>
          <a:ext cx="211297" cy="226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575734</xdr:colOff>
      <xdr:row>45</xdr:row>
      <xdr:rowOff>143934</xdr:rowOff>
    </xdr:from>
    <xdr:ext cx="192088" cy="192088"/>
    <xdr:pic>
      <xdr:nvPicPr>
        <xdr:cNvPr id="7" name="Imagen 6">
          <a:extLst>
            <a:ext uri="{FF2B5EF4-FFF2-40B4-BE49-F238E27FC236}">
              <a16:creationId xmlns:a16="http://schemas.microsoft.com/office/drawing/2014/main" id="{3E85ACB1-48DA-4757-A68B-5AB1EBAFE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7267" y="629073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14182</xdr:colOff>
      <xdr:row>32</xdr:row>
      <xdr:rowOff>122060</xdr:rowOff>
    </xdr:from>
    <xdr:to>
      <xdr:col>11</xdr:col>
      <xdr:colOff>225187</xdr:colOff>
      <xdr:row>34</xdr:row>
      <xdr:rowOff>26029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4A04AC1-29A9-4E93-AC4D-B20ECA0F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1950" y="4977524"/>
          <a:ext cx="211005" cy="214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3095760</xdr:colOff>
      <xdr:row>64</xdr:row>
      <xdr:rowOff>10894</xdr:rowOff>
    </xdr:from>
    <xdr:ext cx="211297" cy="211297"/>
    <xdr:pic>
      <xdr:nvPicPr>
        <xdr:cNvPr id="10" name="Imagen 9">
          <a:extLst>
            <a:ext uri="{FF2B5EF4-FFF2-40B4-BE49-F238E27FC236}">
              <a16:creationId xmlns:a16="http://schemas.microsoft.com/office/drawing/2014/main" id="{DBBBE0DE-7A83-4C19-BEAB-B43E3CEDA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6093" y="1066196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138095</xdr:colOff>
      <xdr:row>70</xdr:row>
      <xdr:rowOff>177021</xdr:rowOff>
    </xdr:from>
    <xdr:to>
      <xdr:col>0</xdr:col>
      <xdr:colOff>370522</xdr:colOff>
      <xdr:row>72</xdr:row>
      <xdr:rowOff>13341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05B2254-C966-4E81-AD52-16E85865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095" y="11362790"/>
          <a:ext cx="232427" cy="227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140248</xdr:colOff>
      <xdr:row>71</xdr:row>
      <xdr:rowOff>191442</xdr:rowOff>
    </xdr:from>
    <xdr:ext cx="232427" cy="232427"/>
    <xdr:pic>
      <xdr:nvPicPr>
        <xdr:cNvPr id="15" name="Imagen 14">
          <a:extLst>
            <a:ext uri="{FF2B5EF4-FFF2-40B4-BE49-F238E27FC236}">
              <a16:creationId xmlns:a16="http://schemas.microsoft.com/office/drawing/2014/main" id="{C856F42B-456A-42C1-905D-80B724436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48" y="11572596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457494</xdr:colOff>
      <xdr:row>33</xdr:row>
      <xdr:rowOff>65128</xdr:rowOff>
    </xdr:from>
    <xdr:to>
      <xdr:col>13</xdr:col>
      <xdr:colOff>865061</xdr:colOff>
      <xdr:row>33</xdr:row>
      <xdr:rowOff>65129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C7228E5B-BD58-45E9-BD4B-4C68BCF2ED5E}"/>
            </a:ext>
          </a:extLst>
        </xdr:cNvPr>
        <xdr:cNvCxnSpPr/>
      </xdr:nvCxnSpPr>
      <xdr:spPr>
        <a:xfrm>
          <a:off x="17863007" y="5120705"/>
          <a:ext cx="309410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203.519971180554" createdVersion="7" refreshedVersion="7" minRefreshableVersion="3" recordCount="10" xr:uid="{4908349D-9247-4B31-A134-4F2C0E6C4FFC}">
  <cacheSource type="worksheet">
    <worksheetSource ref="B35:N45" sheet="425.04"/>
  </cacheSource>
  <cacheFields count="13">
    <cacheField name="Código cuenta contable" numFmtId="0">
      <sharedItems containsNonDate="0" containsString="0" containsBlank="1" count="1">
        <m/>
      </sharedItems>
    </cacheField>
    <cacheField name="Nombre cuenta contable" numFmtId="0">
      <sharedItems containsNonDate="0" containsString="0" containsBlank="1" count="1">
        <m/>
      </sharedItems>
    </cacheField>
    <cacheField name="Nombre" numFmtId="0">
      <sharedItems containsNonDate="0" containsString="0" containsBlank="1"/>
    </cacheField>
    <cacheField name="Descripción" numFmtId="0">
      <sharedItems containsNonDate="0" containsString="0" containsBlank="1"/>
    </cacheField>
    <cacheField name="Nro. de documento" numFmtId="0">
      <sharedItems containsNonDate="0" containsString="0" containsBlank="1"/>
    </cacheField>
    <cacheField name="Fecha de contabilización" numFmtId="168">
      <sharedItems containsNonDate="0" containsString="0" containsBlank="1"/>
    </cacheField>
    <cacheField name="Fecha de vencimiento" numFmtId="168">
      <sharedItems containsNonDate="0" containsString="0" containsBlank="1"/>
    </cacheField>
    <cacheField name="Nro. de referencia" numFmtId="0">
      <sharedItems containsNonDate="0" containsString="0" containsBlank="1"/>
    </cacheField>
    <cacheField name="Saldo vencido" numFmtId="169">
      <sharedItems containsNonDate="0" containsString="0" containsBlank="1"/>
    </cacheField>
    <cacheField name="x" numFmtId="0">
      <sharedItems containsNonDate="0" containsString="0" containsBlank="1"/>
    </cacheField>
    <cacheField name="Antigüedad de saldos" numFmtId="166">
      <sharedItems/>
    </cacheField>
    <cacheField name="Agrupación" numFmtId="164">
      <sharedItems count="1">
        <e v="#VALUE!"/>
      </sharedItems>
    </cacheField>
    <cacheField name="Años" numFmtId="0">
      <sharedItems containsSemiMixedTypes="0" containsString="0" containsNumber="1" containsInteger="1" minValue="1900" maxValue="1900" count="1">
        <n v="1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  <r>
    <x v="0"/>
    <x v="0"/>
    <m/>
    <m/>
    <m/>
    <m/>
    <m/>
    <m/>
    <m/>
    <m/>
    <e v="#VALUE!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B1B8-3332-4A02-B839-3294DC392717}" name="TablaDinámica9" cacheId="39" applyNumberFormats="0" applyBorderFormats="0" applyFontFormats="0" applyPatternFormats="0" applyAlignmentFormats="0" applyWidthHeightFormats="1" dataCaption="Valores" updatedVersion="7" minRefreshableVersion="3" itemPrintTitles="1" createdVersion="7" indent="0" compact="0" compactData="0" multipleFieldFilters="0">
  <location ref="J58:K60" firstHeaderRow="1" firstDataRow="1" firstDataCol="1" rowPageCount="1" colPageCount="1"/>
  <pivotFields count="13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dataField="1" compact="0" outline="0" showAll="0" defaultSubtotal="0"/>
    <pivotField compact="0" outline="0" subtotalTop="0" showAll="0" defaultSubtotal="0"/>
    <pivotField compact="0" numFmtId="2" outline="0" subtotalTop="0" showAll="0" defaultSubtotal="0"/>
    <pivotField axis="axisPage" compact="0" outline="0" subtotalTop="0" showAll="0" defaultSubtotal="0">
      <items count="1">
        <item x="0"/>
      </items>
    </pivotField>
    <pivotField axis="axisRow" compact="0" numFmtId="166" outline="0" subtotalTop="0" showAll="0" defaultSubtotal="0">
      <items count="1">
        <item x="0"/>
      </items>
    </pivotField>
  </pivotFields>
  <rowFields count="1">
    <field x="12"/>
  </rowFields>
  <rowItems count="2">
    <i>
      <x/>
    </i>
    <i t="grand">
      <x/>
    </i>
  </rowItems>
  <colItems count="1">
    <i/>
  </colItems>
  <pageFields count="1">
    <pageField fld="11" hier="-1"/>
  </pageFields>
  <dataFields count="1">
    <dataField name=" Saldo vencido" fld="8" baseField="0" baseItem="0" numFmtId="164"/>
  </dataFields>
  <formats count="33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2" type="button" dataOnly="0" labelOnly="1" outline="0" axis="axisRow" fieldPosition="0"/>
    </format>
    <format dxfId="24">
      <pivotArea dataOnly="0" labelOnly="1" outline="0" fieldPosition="0">
        <references count="1">
          <reference field="12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2" type="button" dataOnly="0" labelOnly="1" outline="0" axis="axisRow" fieldPosition="0"/>
    </format>
    <format dxfId="18">
      <pivotArea dataOnly="0" labelOnly="1" outline="0" fieldPosition="0">
        <references count="1">
          <reference field="1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field="12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1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12" type="button" dataOnly="0" labelOnly="1" outline="0" axis="axisRow" fieldPosition="0"/>
    </format>
    <format dxfId="10">
      <pivotArea dataOnly="0" labelOnly="1" outline="0" axis="axisValues" fieldPosition="0"/>
    </format>
    <format dxfId="9">
      <pivotArea field="12" type="button" dataOnly="0" labelOnly="1" outline="0" axis="axisRow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2" type="button" dataOnly="0" labelOnly="1" outline="0" axis="axisRow" fieldPosition="0"/>
    </format>
    <format dxfId="4">
      <pivotArea dataOnly="0" labelOnly="1" outline="0" fieldPosition="0">
        <references count="1">
          <reference field="1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12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E823A-809D-4BEF-98A0-EF9ECF913E0D}" name="TablaDinámica8" cacheId="39" applyNumberFormats="0" applyBorderFormats="0" applyFontFormats="0" applyPatternFormats="0" applyAlignmentFormats="0" applyWidthHeightFormats="1" dataCaption="Valores" grandTotalCaption="  " updatedVersion="7" minRefreshableVersion="3" itemPrintTitles="1" createdVersion="7" indent="0" compact="0" compactData="0" multipleFieldFilters="0">
  <location ref="M58:O60" firstHeaderRow="1" firstDataRow="1" firstDataCol="2" rowPageCount="1" colPageCount="1"/>
  <pivotFields count="13">
    <pivotField name="Proveedor" axis="axisRow" compact="0" outline="0" subtotalTop="0" showAll="0" defaultSubtotal="0">
      <items count="1">
        <item x="0"/>
      </items>
    </pivotField>
    <pivotField axis="axisRow" compact="0" outline="0" subtotalTop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numFmtId="2" outline="0" subtotalTop="0" showAll="0" defaultSubtotal="0"/>
    <pivotField axis="axisPage" compact="0" outline="0" subtotalTop="0" showAll="0" defaultSubtotal="0">
      <items count="1">
        <item x="0"/>
      </items>
    </pivotField>
    <pivotField compact="0" outline="0" subtotalTop="0" showAll="0" defaultSubtotal="0"/>
  </pivotFields>
  <rowFields count="2">
    <field x="1"/>
    <field x="0"/>
  </rowFields>
  <rowItems count="2">
    <i>
      <x/>
      <x/>
    </i>
    <i t="grand">
      <x/>
    </i>
  </rowItems>
  <colItems count="1">
    <i/>
  </colItems>
  <pageFields count="1">
    <pageField fld="11" hier="-1"/>
  </pageFields>
  <dataFields count="1">
    <dataField name=" Saldo vencido" fld="8" baseField="0" baseItem="0" numFmtId="164"/>
  </dataFields>
  <formats count="45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1"/>
    </format>
    <format dxfId="69">
      <pivotArea dataOnly="0" labelOnly="1" outline="0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1"/>
    </format>
    <format dxfId="63">
      <pivotArea dataOnly="0" labelOnly="1" outline="0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1"/>
    </format>
    <format dxfId="59">
      <pivotArea dataOnly="0" labelOnly="1" outline="0" axis="axisValues" fieldPosition="0"/>
    </format>
    <format dxfId="58">
      <pivotArea field="0" type="button" dataOnly="0" labelOnly="1" outline="0" axis="axisRow" fieldPosition="1"/>
    </format>
    <format dxfId="57">
      <pivotArea dataOnly="0" labelOnly="1" outline="0" axis="axisValues" fieldPosition="0"/>
    </format>
    <format dxfId="56">
      <pivotArea field="0" type="button" dataOnly="0" labelOnly="1" outline="0" axis="axisRow" fieldPosition="1"/>
    </format>
    <format dxfId="55">
      <pivotArea dataOnly="0" labelOnly="1" outline="0" axis="axisValues" fieldPosition="0"/>
    </format>
    <format dxfId="54">
      <pivotArea field="0" type="button" dataOnly="0" labelOnly="1" outline="0" axis="axisRow" fieldPosition="1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1"/>
    </format>
    <format dxfId="49">
      <pivotArea dataOnly="0" labelOnly="1" outline="0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field="0" type="button" dataOnly="0" labelOnly="1" outline="0" axis="axisRow" fieldPosition="1"/>
    </format>
    <format dxfId="45">
      <pivotArea dataOnly="0" labelOnly="1" outline="0" axis="axisValues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grandRow="1" outline="0" offset="A256" fieldPosition="0"/>
    </format>
    <format dxfId="42">
      <pivotArea field="1" type="button" dataOnly="0" labelOnly="1" outline="0" axis="axisRow" fieldPosition="0"/>
    </format>
    <format dxfId="41">
      <pivotArea dataOnly="0" labelOnly="1" outline="0" fieldPosition="0">
        <references count="1">
          <reference field="1" count="0"/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field="0" type="button" dataOnly="0" labelOnly="1" outline="0" axis="axisRow" fieldPosition="1"/>
    </format>
    <format dxfId="36">
      <pivotArea dataOnly="0" labelOnly="1" outline="0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2">
          <reference field="0" count="0"/>
          <reference field="1" count="0" selected="0"/>
        </references>
      </pivotArea>
    </format>
    <format dxfId="33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3113A-DC43-452E-8881-5118B0222657}" name="TablaDinámica7" cacheId="39" applyNumberFormats="0" applyBorderFormats="0" applyFontFormats="0" applyPatternFormats="0" applyAlignmentFormats="0" applyWidthHeightFormats="1" dataCaption="Valores" grandTotalCaption="  " updatedVersion="7" minRefreshableVersion="3" itemPrintTitles="1" createdVersion="7" indent="0" compact="0" compactData="0" multipleFieldFilters="0">
  <location ref="F58:H60" firstHeaderRow="1" firstDataRow="1" firstDataCol="2" rowPageCount="1" colPageCount="1"/>
  <pivotFields count="13">
    <pivotField axis="axisRow" compact="0" outline="0" subtotalTop="0" showAll="0" defaultSubtotal="0">
      <items count="1">
        <item x="0"/>
      </items>
    </pivotField>
    <pivotField axis="axisRow" compact="0" outline="0" subtotalTop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dataField="1" compact="0" outline="0" showAll="0" defaultSubtotal="0"/>
    <pivotField compact="0" outline="0" subtotalTop="0" showAll="0" defaultSubtotal="0"/>
    <pivotField compact="0" numFmtId="2" outline="0" subtotalTop="0" showAll="0" defaultSubtotal="0"/>
    <pivotField axis="axisPage" compact="0" outline="0" subtotalTop="0" showAll="0" defaultSubtotal="0">
      <items count="1">
        <item x="0"/>
      </items>
    </pivotField>
    <pivotField compact="0" numFmtId="166" outline="0" subtotalTop="0" showAll="0" defaultSubtotal="0"/>
  </pivotFields>
  <rowFields count="2">
    <field x="0"/>
    <field x="1"/>
  </rowFields>
  <rowItems count="2">
    <i>
      <x/>
      <x/>
    </i>
    <i t="grand">
      <x/>
    </i>
  </rowItems>
  <colItems count="1">
    <i/>
  </colItems>
  <pageFields count="1">
    <pageField fld="11" hier="-1"/>
  </pageFields>
  <dataFields count="1">
    <dataField name="  Saldo vencido" fld="8" baseField="0" baseItem="0" numFmtId="164"/>
  </dataFields>
  <formats count="56"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outline="0" collapsedLevelsAreSubtotals="1" fieldPosition="0"/>
    </format>
    <format dxfId="128">
      <pivotArea type="all" dataOnly="0" outline="0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dataOnly="0" labelOnly="1" outline="0" axis="axisValues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0" type="button" dataOnly="0" labelOnly="1" outline="0" axis="axisRow" fieldPosition="0"/>
    </format>
    <format dxfId="120">
      <pivotArea field="1" type="button" dataOnly="0" labelOnly="1" outline="0" axis="axisRow" fieldPosition="1"/>
    </format>
    <format dxfId="119">
      <pivotArea dataOnly="0" labelOnly="1" outline="0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field="1" type="button" dataOnly="0" labelOnly="1" outline="0" axis="axisRow" fieldPosition="1"/>
    </format>
    <format dxfId="111">
      <pivotArea dataOnly="0" labelOnly="1" outline="0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08">
      <pivotArea dataOnly="0" labelOnly="1" outline="0" axis="axisValues" fieldPosition="0"/>
    </format>
    <format dxfId="107">
      <pivotArea field="0" type="button" dataOnly="0" labelOnly="1" outline="0" axis="axisRow" fieldPosition="0"/>
    </format>
    <format dxfId="106">
      <pivotArea field="1" type="button" dataOnly="0" labelOnly="1" outline="0" axis="axisRow" fieldPosition="1"/>
    </format>
    <format dxfId="105">
      <pivotArea dataOnly="0" labelOnly="1" outline="0" axis="axisValues" fieldPosition="0"/>
    </format>
    <format dxfId="104">
      <pivotArea field="0" type="button" dataOnly="0" labelOnly="1" outline="0" axis="axisRow" fieldPosition="0"/>
    </format>
    <format dxfId="103">
      <pivotArea field="1" type="button" dataOnly="0" labelOnly="1" outline="0" axis="axisRow" fieldPosition="1"/>
    </format>
    <format dxfId="102">
      <pivotArea dataOnly="0" labelOnly="1" outline="0" axis="axisValues" fieldPosition="0"/>
    </format>
    <format dxfId="101">
      <pivotArea field="0" type="button" dataOnly="0" labelOnly="1" outline="0" axis="axisRow" fieldPosition="0"/>
    </format>
    <format dxfId="100">
      <pivotArea field="1" type="button" dataOnly="0" labelOnly="1" outline="0" axis="axisRow" fieldPosition="1"/>
    </format>
    <format dxfId="99">
      <pivotArea dataOnly="0" labelOnly="1" outline="0" axis="axisValues" fieldPosition="0"/>
    </format>
    <format dxfId="98">
      <pivotArea field="0" type="button" dataOnly="0" labelOnly="1" outline="0" axis="axisRow" fieldPosition="0"/>
    </format>
    <format dxfId="97">
      <pivotArea field="1" type="button" dataOnly="0" labelOnly="1" outline="0" axis="axisRow" fieldPosition="1"/>
    </format>
    <format dxfId="96">
      <pivotArea dataOnly="0" labelOnly="1" outline="0" axis="axisValues" fieldPosition="0"/>
    </format>
    <format dxfId="95">
      <pivotArea field="0" type="button" dataOnly="0" labelOnly="1" outline="0" axis="axisRow" fieldPosition="0"/>
    </format>
    <format dxfId="94">
      <pivotArea field="1" type="button" dataOnly="0" labelOnly="1" outline="0" axis="axisRow" fieldPosition="1"/>
    </format>
    <format dxfId="93">
      <pivotArea dataOnly="0" labelOnly="1" outline="0" axis="axisValues" fieldPosition="0"/>
    </format>
    <format dxfId="92">
      <pivotArea outline="0" fieldPosition="0">
        <references count="2">
          <reference field="0" count="0" selected="0"/>
          <reference field="1" count="0" selected="0"/>
        </references>
      </pivotArea>
    </format>
    <format dxfId="91">
      <pivotArea field="0" type="button" dataOnly="0" labelOnly="1" outline="0" axis="axisRow" fieldPosition="0"/>
    </format>
    <format dxfId="90">
      <pivotArea field="1" type="button" dataOnly="0" labelOnly="1" outline="0" axis="axisRow" fieldPosition="1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outline="0" axis="axisValues" fieldPosition="0"/>
    </format>
    <format dxfId="87">
      <pivotArea field="0" type="button" dataOnly="0" labelOnly="1" outline="0" axis="axisRow" fieldPosition="0"/>
    </format>
    <format dxfId="86">
      <pivotArea field="1" type="button" dataOnly="0" labelOnly="1" outline="0" axis="axisRow" fieldPosition="1"/>
    </format>
    <format dxfId="85">
      <pivotArea dataOnly="0" labelOnly="1" outline="0" axis="axisValues" fieldPosition="0"/>
    </format>
    <format dxfId="84">
      <pivotArea dataOnly="0" labelOnly="1" outline="0" fieldPosition="0">
        <references count="1">
          <reference field="0" count="0"/>
        </references>
      </pivotArea>
    </format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3F5C-D77B-45F3-9A9F-BE75E40B4B1A}">
  <dimension ref="A2:Q96"/>
  <sheetViews>
    <sheetView showGridLines="0" tabSelected="1" zoomScale="75" zoomScaleNormal="75" workbookViewId="0">
      <selection activeCell="A94" sqref="A94"/>
    </sheetView>
  </sheetViews>
  <sheetFormatPr baseColWidth="10" defaultColWidth="10.90625" defaultRowHeight="12.5" x14ac:dyDescent="0.25"/>
  <cols>
    <col min="1" max="1" width="7.81640625" style="1" customWidth="1"/>
    <col min="2" max="2" width="46.7265625" style="1" customWidth="1"/>
    <col min="3" max="3" width="28.90625" style="1" customWidth="1"/>
    <col min="4" max="4" width="14" style="1" customWidth="1"/>
    <col min="5" max="5" width="17.81640625" style="1" bestFit="1" customWidth="1"/>
    <col min="6" max="6" width="29.26953125" style="1" customWidth="1"/>
    <col min="7" max="7" width="25.453125" style="2" customWidth="1"/>
    <col min="8" max="9" width="25.453125" style="1" customWidth="1"/>
    <col min="10" max="10" width="13.08984375" style="1" bestFit="1" customWidth="1"/>
    <col min="11" max="11" width="31.1796875" style="1" customWidth="1"/>
    <col min="12" max="12" width="15.6328125" style="1" customWidth="1"/>
    <col min="13" max="13" width="30.7265625" style="1" customWidth="1"/>
    <col min="14" max="14" width="13.453125" style="1" customWidth="1"/>
    <col min="15" max="15" width="22.36328125" style="1" customWidth="1"/>
    <col min="16" max="16" width="11" style="1" bestFit="1" customWidth="1"/>
    <col min="17" max="17" width="11.1796875" style="1" bestFit="1" customWidth="1"/>
    <col min="18" max="16384" width="10.90625" style="1"/>
  </cols>
  <sheetData>
    <row r="2" spans="1:15" x14ac:dyDescent="0.25">
      <c r="G2" s="26"/>
    </row>
    <row r="3" spans="1:15" x14ac:dyDescent="0.25">
      <c r="A3" s="14"/>
      <c r="B3" s="25"/>
      <c r="C3" s="25"/>
      <c r="D3" s="14"/>
      <c r="E3" s="14"/>
      <c r="F3" s="14"/>
      <c r="G3" s="24"/>
      <c r="M3" s="74" t="s">
        <v>31</v>
      </c>
      <c r="N3" s="74" t="s">
        <v>32</v>
      </c>
      <c r="O3" s="75" t="s">
        <v>10</v>
      </c>
    </row>
    <row r="4" spans="1:15" x14ac:dyDescent="0.25">
      <c r="A4" s="14"/>
      <c r="B4" s="16"/>
      <c r="C4" s="16"/>
      <c r="D4" s="14"/>
      <c r="E4" s="14"/>
      <c r="F4" s="14"/>
      <c r="G4" s="24"/>
      <c r="M4" s="48" t="s">
        <v>50</v>
      </c>
      <c r="N4" s="49" t="s">
        <v>50</v>
      </c>
      <c r="O4" s="50" t="s">
        <v>53</v>
      </c>
    </row>
    <row r="5" spans="1:15" x14ac:dyDescent="0.25">
      <c r="A5" s="14"/>
      <c r="B5" s="16"/>
      <c r="C5" s="16"/>
      <c r="D5" s="14"/>
      <c r="E5" s="14"/>
      <c r="F5" s="14"/>
      <c r="G5" s="24"/>
      <c r="H5" s="33"/>
      <c r="I5" s="34"/>
      <c r="J5" s="14"/>
    </row>
    <row r="6" spans="1:15" x14ac:dyDescent="0.25">
      <c r="A6" s="14"/>
      <c r="B6" s="31" t="s">
        <v>23</v>
      </c>
      <c r="C6" s="20"/>
      <c r="D6" s="20"/>
      <c r="E6" s="20"/>
      <c r="F6" s="20"/>
      <c r="G6" s="22"/>
      <c r="H6" s="21"/>
      <c r="I6" s="20"/>
      <c r="J6" s="20"/>
      <c r="K6" s="20"/>
      <c r="L6" s="20"/>
      <c r="M6" s="20"/>
      <c r="N6" s="20"/>
    </row>
    <row r="7" spans="1:15" x14ac:dyDescent="0.25">
      <c r="A7" s="14"/>
      <c r="B7" s="31" t="s">
        <v>24</v>
      </c>
      <c r="C7" s="23"/>
      <c r="D7" s="20"/>
      <c r="E7" s="20"/>
      <c r="F7" s="20"/>
      <c r="G7" s="22"/>
      <c r="H7" s="21"/>
      <c r="I7" s="20"/>
      <c r="J7" s="20"/>
      <c r="K7" s="20"/>
      <c r="L7" s="20"/>
      <c r="M7" s="20"/>
      <c r="N7" s="20"/>
    </row>
    <row r="8" spans="1:15" x14ac:dyDescent="0.25">
      <c r="A8" s="14"/>
      <c r="B8" s="62" t="s">
        <v>52</v>
      </c>
      <c r="C8" s="23"/>
      <c r="D8" s="20"/>
      <c r="E8" s="20"/>
      <c r="F8" s="20"/>
      <c r="G8" s="22"/>
      <c r="H8" s="21"/>
      <c r="I8" s="20"/>
      <c r="J8" s="20"/>
      <c r="K8" s="20"/>
      <c r="L8" s="20"/>
      <c r="M8" s="20"/>
      <c r="N8" s="20"/>
    </row>
    <row r="9" spans="1:15" x14ac:dyDescent="0.25">
      <c r="A9" s="14"/>
      <c r="B9" s="31" t="s">
        <v>60</v>
      </c>
      <c r="C9" s="23"/>
      <c r="D9" s="20"/>
      <c r="E9" s="20"/>
      <c r="F9" s="20"/>
      <c r="G9" s="22"/>
      <c r="H9" s="21"/>
      <c r="I9" s="20"/>
      <c r="J9" s="20"/>
      <c r="K9" s="20"/>
      <c r="L9" s="20"/>
      <c r="M9" s="20"/>
      <c r="N9" s="20"/>
    </row>
    <row r="10" spans="1:15" ht="7.5" customHeight="1" thickBot="1" x14ac:dyDescent="0.3">
      <c r="A10" s="14"/>
      <c r="B10" s="32"/>
      <c r="C10" s="17"/>
      <c r="D10" s="17"/>
      <c r="E10" s="17"/>
      <c r="F10" s="17"/>
      <c r="G10" s="19"/>
      <c r="H10" s="18"/>
      <c r="I10" s="17"/>
      <c r="J10" s="17"/>
      <c r="K10" s="17"/>
      <c r="L10" s="17"/>
      <c r="M10" s="17"/>
      <c r="N10" s="17"/>
      <c r="O10" s="17"/>
    </row>
    <row r="11" spans="1:15" ht="13" thickTop="1" x14ac:dyDescent="0.25">
      <c r="B11" s="14"/>
      <c r="C11" s="14"/>
      <c r="D11" s="16"/>
      <c r="E11" s="11"/>
      <c r="F11" s="11"/>
      <c r="G11" s="13"/>
      <c r="H11" s="12"/>
      <c r="I11" s="11"/>
      <c r="J11" s="11"/>
    </row>
    <row r="12" spans="1:15" x14ac:dyDescent="0.25">
      <c r="B12" s="54" t="s">
        <v>19</v>
      </c>
      <c r="C12" s="11"/>
      <c r="D12" s="11"/>
      <c r="E12" s="11"/>
      <c r="F12" s="11"/>
      <c r="G12" s="13"/>
      <c r="H12" s="12"/>
      <c r="I12" s="11"/>
      <c r="J12" s="11"/>
    </row>
    <row r="13" spans="1:15" ht="6.5" customHeight="1" x14ac:dyDescent="0.25">
      <c r="B13" s="6"/>
      <c r="C13" s="11"/>
      <c r="D13" s="11"/>
      <c r="E13" s="11"/>
      <c r="F13" s="11"/>
      <c r="G13" s="13"/>
      <c r="H13" s="12"/>
      <c r="I13" s="11"/>
      <c r="J13" s="11"/>
    </row>
    <row r="14" spans="1:15" x14ac:dyDescent="0.25">
      <c r="B14" s="76" t="s">
        <v>73</v>
      </c>
      <c r="C14" s="11"/>
      <c r="D14" s="11"/>
      <c r="E14" s="11"/>
      <c r="F14" s="11"/>
      <c r="G14" s="13"/>
      <c r="H14" s="12"/>
      <c r="I14" s="11"/>
      <c r="J14" s="11"/>
    </row>
    <row r="15" spans="1:15" x14ac:dyDescent="0.25">
      <c r="C15" s="11"/>
      <c r="D15" s="11"/>
      <c r="E15" s="11"/>
      <c r="F15" s="11"/>
      <c r="G15" s="13"/>
      <c r="H15" s="12"/>
      <c r="I15" s="11"/>
      <c r="J15" s="11"/>
    </row>
    <row r="16" spans="1:15" x14ac:dyDescent="0.25">
      <c r="B16" s="54" t="s">
        <v>33</v>
      </c>
      <c r="C16" s="52"/>
      <c r="D16" s="11"/>
      <c r="E16" s="11"/>
      <c r="F16" s="11"/>
      <c r="G16" s="13"/>
      <c r="H16" s="12"/>
      <c r="I16" s="11"/>
      <c r="J16" s="11"/>
    </row>
    <row r="17" spans="1:14" ht="6" customHeight="1" x14ac:dyDescent="0.25">
      <c r="B17" s="54"/>
      <c r="C17" s="52"/>
      <c r="D17" s="11"/>
      <c r="E17" s="11"/>
      <c r="F17" s="11"/>
      <c r="G17" s="13"/>
      <c r="H17" s="12"/>
      <c r="I17" s="11"/>
      <c r="J17" s="11"/>
    </row>
    <row r="18" spans="1:14" x14ac:dyDescent="0.25">
      <c r="B18" s="76"/>
      <c r="C18" s="77" t="s">
        <v>47</v>
      </c>
      <c r="D18" s="77" t="s">
        <v>48</v>
      </c>
      <c r="E18" s="11"/>
      <c r="F18" s="11"/>
      <c r="G18" s="13"/>
      <c r="H18" s="12"/>
      <c r="I18" s="11"/>
      <c r="J18" s="11"/>
    </row>
    <row r="19" spans="1:14" x14ac:dyDescent="0.25">
      <c r="B19" s="78" t="s">
        <v>40</v>
      </c>
      <c r="C19" s="79" t="s">
        <v>49</v>
      </c>
      <c r="D19" s="79" t="s">
        <v>49</v>
      </c>
      <c r="E19" s="11"/>
      <c r="F19" s="11"/>
      <c r="G19" s="13"/>
      <c r="H19" s="12"/>
      <c r="I19" s="11"/>
      <c r="J19" s="11"/>
    </row>
    <row r="20" spans="1:14" x14ac:dyDescent="0.25">
      <c r="B20" s="78" t="s">
        <v>41</v>
      </c>
      <c r="C20" s="79" t="s">
        <v>49</v>
      </c>
      <c r="D20" s="79" t="s">
        <v>49</v>
      </c>
      <c r="E20" s="11"/>
      <c r="F20" s="11"/>
      <c r="G20" s="13"/>
      <c r="H20" s="12"/>
      <c r="I20" s="11"/>
      <c r="J20" s="11"/>
    </row>
    <row r="21" spans="1:14" x14ac:dyDescent="0.25">
      <c r="B21" s="78" t="s">
        <v>42</v>
      </c>
      <c r="C21" s="79" t="s">
        <v>49</v>
      </c>
      <c r="D21" s="79" t="s">
        <v>49</v>
      </c>
      <c r="E21" s="11"/>
      <c r="F21" s="11"/>
      <c r="G21" s="13"/>
      <c r="H21" s="12"/>
      <c r="I21" s="11"/>
      <c r="J21" s="11"/>
    </row>
    <row r="22" spans="1:14" x14ac:dyDescent="0.25">
      <c r="C22" s="11"/>
      <c r="D22" s="11"/>
      <c r="E22" s="11"/>
      <c r="F22" s="11"/>
      <c r="G22" s="13"/>
      <c r="H22" s="12"/>
      <c r="I22" s="11"/>
      <c r="J22" s="11"/>
    </row>
    <row r="23" spans="1:14" x14ac:dyDescent="0.25">
      <c r="B23" s="54" t="s">
        <v>18</v>
      </c>
      <c r="C23" s="11"/>
      <c r="D23" s="11"/>
      <c r="E23" s="11"/>
      <c r="F23" s="11"/>
      <c r="G23" s="13"/>
      <c r="H23" s="12"/>
      <c r="I23" s="11"/>
      <c r="J23" s="11"/>
    </row>
    <row r="24" spans="1:14" ht="5.65" customHeight="1" x14ac:dyDescent="0.25">
      <c r="B24" s="6"/>
      <c r="C24" s="11"/>
      <c r="D24" s="11"/>
      <c r="E24" s="11"/>
      <c r="F24" s="11"/>
      <c r="G24" s="13"/>
      <c r="H24" s="12"/>
      <c r="I24" s="11"/>
      <c r="J24" s="11"/>
    </row>
    <row r="25" spans="1:14" x14ac:dyDescent="0.25">
      <c r="A25" s="53" t="s">
        <v>34</v>
      </c>
      <c r="B25" s="15" t="s">
        <v>61</v>
      </c>
      <c r="C25" s="11"/>
      <c r="D25" s="11"/>
      <c r="E25" s="11"/>
      <c r="F25" s="11"/>
      <c r="G25" s="13"/>
      <c r="H25" s="12"/>
      <c r="I25" s="11"/>
      <c r="J25" s="11"/>
    </row>
    <row r="26" spans="1:14" x14ac:dyDescent="0.25">
      <c r="A26" s="53" t="s">
        <v>35</v>
      </c>
      <c r="B26" s="15" t="s">
        <v>62</v>
      </c>
      <c r="C26" s="11"/>
      <c r="D26" s="11"/>
      <c r="E26" s="11"/>
      <c r="F26" s="11"/>
      <c r="G26" s="13"/>
      <c r="H26" s="12"/>
      <c r="I26" s="11"/>
      <c r="J26" s="11"/>
    </row>
    <row r="27" spans="1:14" x14ac:dyDescent="0.25">
      <c r="A27" s="53" t="s">
        <v>36</v>
      </c>
      <c r="B27" s="15" t="s">
        <v>63</v>
      </c>
      <c r="C27" s="11"/>
      <c r="D27" s="11"/>
      <c r="E27" s="11"/>
      <c r="F27" s="11"/>
      <c r="G27" s="13"/>
      <c r="H27" s="12"/>
      <c r="I27" s="11"/>
      <c r="J27" s="11"/>
    </row>
    <row r="28" spans="1:14" x14ac:dyDescent="0.25">
      <c r="A28" s="53" t="s">
        <v>37</v>
      </c>
      <c r="B28" s="15" t="s">
        <v>64</v>
      </c>
      <c r="C28" s="11"/>
      <c r="D28" s="11"/>
      <c r="E28" s="11"/>
      <c r="F28" s="11"/>
      <c r="G28" s="13"/>
      <c r="H28" s="12"/>
      <c r="I28" s="11"/>
      <c r="J28" s="11"/>
    </row>
    <row r="29" spans="1:14" x14ac:dyDescent="0.25">
      <c r="A29" s="53" t="s">
        <v>38</v>
      </c>
      <c r="B29" s="15" t="s">
        <v>74</v>
      </c>
      <c r="C29" s="11"/>
      <c r="D29" s="11"/>
      <c r="E29" s="11"/>
      <c r="F29" s="11"/>
      <c r="G29" s="13"/>
      <c r="H29" s="12"/>
      <c r="I29" s="11"/>
      <c r="J29" s="11"/>
    </row>
    <row r="30" spans="1:14" x14ac:dyDescent="0.25">
      <c r="A30" s="53" t="s">
        <v>39</v>
      </c>
      <c r="B30" s="14" t="s">
        <v>65</v>
      </c>
      <c r="C30" s="11"/>
      <c r="D30" s="11"/>
      <c r="E30" s="11"/>
      <c r="F30" s="11"/>
      <c r="G30" s="13"/>
      <c r="H30" s="12"/>
      <c r="I30" s="11"/>
      <c r="J30" s="11"/>
    </row>
    <row r="31" spans="1:14" x14ac:dyDescent="0.25">
      <c r="C31" s="11"/>
      <c r="D31" s="11"/>
      <c r="E31" s="11"/>
      <c r="F31" s="11"/>
      <c r="G31" s="13"/>
      <c r="H31" s="12"/>
      <c r="I31" s="11"/>
      <c r="J31" s="11"/>
      <c r="L31" s="86" t="s">
        <v>70</v>
      </c>
    </row>
    <row r="32" spans="1:14" ht="13.5" x14ac:dyDescent="0.25">
      <c r="B32" s="54" t="s">
        <v>25</v>
      </c>
      <c r="C32" s="11"/>
      <c r="D32" s="11"/>
      <c r="E32" s="11"/>
      <c r="F32" s="11"/>
      <c r="G32" s="13"/>
      <c r="H32" s="12"/>
      <c r="I32" s="11"/>
      <c r="J32" s="11"/>
      <c r="L32" s="103" t="s">
        <v>84</v>
      </c>
      <c r="M32" s="69"/>
      <c r="N32" s="69"/>
    </row>
    <row r="33" spans="2:14" ht="7" customHeight="1" x14ac:dyDescent="0.25">
      <c r="B33" s="104"/>
      <c r="C33" s="104"/>
      <c r="D33" s="104"/>
      <c r="E33" s="104"/>
      <c r="F33" s="104"/>
      <c r="G33" s="104"/>
      <c r="H33" s="104"/>
      <c r="I33" s="104"/>
      <c r="J33" s="104"/>
      <c r="K33" s="37"/>
      <c r="L33" s="105"/>
      <c r="M33" s="105"/>
      <c r="N33" s="105"/>
    </row>
    <row r="34" spans="2:14" ht="14.5" customHeight="1" x14ac:dyDescent="0.25">
      <c r="B34" s="4"/>
      <c r="M34" s="60"/>
    </row>
    <row r="35" spans="2:14" ht="25" x14ac:dyDescent="0.25">
      <c r="B35" s="82" t="s">
        <v>71</v>
      </c>
      <c r="C35" s="82" t="s">
        <v>72</v>
      </c>
      <c r="D35" s="82" t="s">
        <v>6</v>
      </c>
      <c r="E35" s="82" t="s">
        <v>22</v>
      </c>
      <c r="F35" s="82" t="s">
        <v>79</v>
      </c>
      <c r="G35" s="83" t="s">
        <v>17</v>
      </c>
      <c r="H35" s="84" t="s">
        <v>16</v>
      </c>
      <c r="I35" s="84" t="s">
        <v>80</v>
      </c>
      <c r="J35" s="85" t="s">
        <v>15</v>
      </c>
      <c r="K35" s="43" t="s">
        <v>82</v>
      </c>
      <c r="L35" s="82" t="s">
        <v>14</v>
      </c>
      <c r="M35" s="82" t="s">
        <v>69</v>
      </c>
      <c r="N35" s="82" t="s">
        <v>7</v>
      </c>
    </row>
    <row r="36" spans="2:14" x14ac:dyDescent="0.25">
      <c r="B36" s="38"/>
      <c r="C36" s="29"/>
      <c r="D36" s="39"/>
      <c r="E36" s="40"/>
      <c r="F36" s="40"/>
      <c r="G36" s="41"/>
      <c r="H36" s="41"/>
      <c r="I36" s="40"/>
      <c r="J36" s="42"/>
      <c r="L36" s="70" t="e">
        <f t="shared" ref="L36:L45" si="0">+$L$31-G36</f>
        <v>#VALUE!</v>
      </c>
      <c r="M36" s="71" t="e">
        <f>IF(AND(L36&gt;=1,L36&lt;=30),-2,IF(AND(L36&gt;=31,L36&lt;=60),-3,IF(AND(L36&gt;=61,L36&lt;=90),-4,IF(AND(L36&gt;=91,L36&lt;=180),-5,IF(AND(L36&gt;=181,L36&lt;=360),-6,IF(L36&gt;360,-7,-1))))))</f>
        <v>#VALUE!</v>
      </c>
      <c r="N36" s="72">
        <f t="shared" ref="N36:N45" si="1">+YEAR(G36)</f>
        <v>1900</v>
      </c>
    </row>
    <row r="37" spans="2:14" x14ac:dyDescent="0.25">
      <c r="B37" s="38"/>
      <c r="C37" s="29"/>
      <c r="D37" s="39"/>
      <c r="E37" s="40"/>
      <c r="F37" s="40"/>
      <c r="G37" s="41"/>
      <c r="H37" s="41"/>
      <c r="I37" s="40"/>
      <c r="J37" s="42"/>
      <c r="L37" s="70" t="e">
        <f t="shared" si="0"/>
        <v>#VALUE!</v>
      </c>
      <c r="M37" s="71" t="e">
        <f t="shared" ref="M37:M45" si="2">IF(AND(L37&gt;=1,L37&lt;=30),-2,IF(AND(L37&gt;=31,L37&lt;=60),-3,IF(AND(L37&gt;=61,L37&lt;=90),-4,IF(AND(L37&gt;=91,L37&lt;=180),-5,IF(AND(L37&gt;=181,L37&lt;=360),-6,IF(L37&gt;360,-7,-1))))))</f>
        <v>#VALUE!</v>
      </c>
      <c r="N37" s="72">
        <f t="shared" si="1"/>
        <v>1900</v>
      </c>
    </row>
    <row r="38" spans="2:14" x14ac:dyDescent="0.25">
      <c r="B38" s="38"/>
      <c r="C38" s="29"/>
      <c r="D38" s="39"/>
      <c r="E38" s="40"/>
      <c r="F38" s="40"/>
      <c r="G38" s="41"/>
      <c r="H38" s="41"/>
      <c r="I38" s="40"/>
      <c r="J38" s="42"/>
      <c r="L38" s="70" t="e">
        <f t="shared" si="0"/>
        <v>#VALUE!</v>
      </c>
      <c r="M38" s="71" t="e">
        <f t="shared" si="2"/>
        <v>#VALUE!</v>
      </c>
      <c r="N38" s="72">
        <f t="shared" si="1"/>
        <v>1900</v>
      </c>
    </row>
    <row r="39" spans="2:14" x14ac:dyDescent="0.25">
      <c r="B39" s="38"/>
      <c r="C39" s="29"/>
      <c r="D39" s="39"/>
      <c r="E39" s="40"/>
      <c r="F39" s="40"/>
      <c r="G39" s="41"/>
      <c r="H39" s="41"/>
      <c r="I39" s="40"/>
      <c r="J39" s="42"/>
      <c r="L39" s="70" t="e">
        <f t="shared" si="0"/>
        <v>#VALUE!</v>
      </c>
      <c r="M39" s="71" t="e">
        <f t="shared" si="2"/>
        <v>#VALUE!</v>
      </c>
      <c r="N39" s="72">
        <f t="shared" si="1"/>
        <v>1900</v>
      </c>
    </row>
    <row r="40" spans="2:14" x14ac:dyDescent="0.25">
      <c r="B40" s="38"/>
      <c r="C40" s="29"/>
      <c r="D40" s="39"/>
      <c r="E40" s="40"/>
      <c r="F40" s="40"/>
      <c r="G40" s="41"/>
      <c r="H40" s="41"/>
      <c r="I40" s="40"/>
      <c r="J40" s="42"/>
      <c r="L40" s="70" t="e">
        <f t="shared" si="0"/>
        <v>#VALUE!</v>
      </c>
      <c r="M40" s="71" t="e">
        <f t="shared" si="2"/>
        <v>#VALUE!</v>
      </c>
      <c r="N40" s="72">
        <f t="shared" si="1"/>
        <v>1900</v>
      </c>
    </row>
    <row r="41" spans="2:14" x14ac:dyDescent="0.25">
      <c r="B41" s="38"/>
      <c r="C41" s="29"/>
      <c r="D41" s="39"/>
      <c r="E41" s="40"/>
      <c r="F41" s="40"/>
      <c r="G41" s="41"/>
      <c r="H41" s="41"/>
      <c r="I41" s="40"/>
      <c r="J41" s="42"/>
      <c r="L41" s="70" t="e">
        <f t="shared" si="0"/>
        <v>#VALUE!</v>
      </c>
      <c r="M41" s="71" t="e">
        <f t="shared" si="2"/>
        <v>#VALUE!</v>
      </c>
      <c r="N41" s="72">
        <f t="shared" si="1"/>
        <v>1900</v>
      </c>
    </row>
    <row r="42" spans="2:14" x14ac:dyDescent="0.25">
      <c r="B42" s="38"/>
      <c r="C42" s="29"/>
      <c r="D42" s="39"/>
      <c r="E42" s="40"/>
      <c r="F42" s="40"/>
      <c r="G42" s="41"/>
      <c r="H42" s="41"/>
      <c r="I42" s="40"/>
      <c r="J42" s="42"/>
      <c r="L42" s="70" t="e">
        <f t="shared" si="0"/>
        <v>#VALUE!</v>
      </c>
      <c r="M42" s="71" t="e">
        <f t="shared" si="2"/>
        <v>#VALUE!</v>
      </c>
      <c r="N42" s="72">
        <f t="shared" si="1"/>
        <v>1900</v>
      </c>
    </row>
    <row r="43" spans="2:14" x14ac:dyDescent="0.25">
      <c r="B43" s="38"/>
      <c r="C43" s="29"/>
      <c r="D43" s="39"/>
      <c r="E43" s="40"/>
      <c r="F43" s="40"/>
      <c r="G43" s="41"/>
      <c r="H43" s="41"/>
      <c r="I43" s="40"/>
      <c r="J43" s="42"/>
      <c r="L43" s="70" t="e">
        <f t="shared" si="0"/>
        <v>#VALUE!</v>
      </c>
      <c r="M43" s="71" t="e">
        <f t="shared" si="2"/>
        <v>#VALUE!</v>
      </c>
      <c r="N43" s="72">
        <f t="shared" si="1"/>
        <v>1900</v>
      </c>
    </row>
    <row r="44" spans="2:14" x14ac:dyDescent="0.25">
      <c r="B44" s="38"/>
      <c r="C44" s="29"/>
      <c r="D44" s="39"/>
      <c r="E44" s="40"/>
      <c r="F44" s="40"/>
      <c r="G44" s="41"/>
      <c r="H44" s="41"/>
      <c r="I44" s="40"/>
      <c r="J44" s="42"/>
      <c r="L44" s="70" t="e">
        <f t="shared" si="0"/>
        <v>#VALUE!</v>
      </c>
      <c r="M44" s="71" t="e">
        <f t="shared" si="2"/>
        <v>#VALUE!</v>
      </c>
      <c r="N44" s="72">
        <f t="shared" si="1"/>
        <v>1900</v>
      </c>
    </row>
    <row r="45" spans="2:14" x14ac:dyDescent="0.25">
      <c r="B45" s="38"/>
      <c r="C45" s="29"/>
      <c r="D45" s="39"/>
      <c r="E45" s="40"/>
      <c r="F45" s="40"/>
      <c r="G45" s="41"/>
      <c r="H45" s="41"/>
      <c r="I45" s="40"/>
      <c r="J45" s="42"/>
      <c r="L45" s="70" t="e">
        <f t="shared" si="0"/>
        <v>#VALUE!</v>
      </c>
      <c r="M45" s="71" t="e">
        <f t="shared" si="2"/>
        <v>#VALUE!</v>
      </c>
      <c r="N45" s="72">
        <f t="shared" si="1"/>
        <v>1900</v>
      </c>
    </row>
    <row r="46" spans="2:14" ht="6" customHeight="1" x14ac:dyDescent="0.25">
      <c r="B46" s="43"/>
      <c r="C46" s="43"/>
      <c r="D46" s="43"/>
      <c r="E46" s="43"/>
      <c r="F46" s="43"/>
      <c r="G46" s="44"/>
      <c r="H46" s="45" t="s">
        <v>21</v>
      </c>
      <c r="I46" s="46"/>
    </row>
    <row r="47" spans="2:14" ht="13" thickBot="1" x14ac:dyDescent="0.3">
      <c r="G47" s="10"/>
      <c r="H47" s="9"/>
      <c r="I47" s="10"/>
      <c r="J47" s="35">
        <f>SUM(J36:J45)</f>
        <v>0</v>
      </c>
      <c r="K47" s="73"/>
    </row>
    <row r="48" spans="2:14" ht="13" thickTop="1" x14ac:dyDescent="0.25">
      <c r="D48" s="3"/>
      <c r="E48" s="30"/>
      <c r="F48" s="3"/>
      <c r="G48" s="1"/>
      <c r="I48" s="55"/>
      <c r="J48" s="80" t="s">
        <v>76</v>
      </c>
    </row>
    <row r="49" spans="2:17" x14ac:dyDescent="0.25">
      <c r="D49" s="27"/>
      <c r="E49" s="4"/>
      <c r="I49" s="10"/>
      <c r="J49" s="36"/>
      <c r="K49" s="56"/>
    </row>
    <row r="50" spans="2:17" x14ac:dyDescent="0.25">
      <c r="D50" s="27"/>
      <c r="E50" s="4"/>
      <c r="I50" s="10"/>
      <c r="J50" s="36"/>
      <c r="K50" s="4"/>
    </row>
    <row r="51" spans="2:17" x14ac:dyDescent="0.25">
      <c r="D51" s="27"/>
      <c r="E51" s="4"/>
      <c r="I51" s="10"/>
      <c r="J51" s="36"/>
      <c r="K51" s="4"/>
    </row>
    <row r="52" spans="2:17" x14ac:dyDescent="0.25">
      <c r="B52" s="106" t="s">
        <v>75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8"/>
    </row>
    <row r="53" spans="2:17" x14ac:dyDescent="0.25">
      <c r="F53" s="51"/>
      <c r="J53" s="51"/>
      <c r="M53" s="51"/>
    </row>
    <row r="54" spans="2:17" x14ac:dyDescent="0.25">
      <c r="F54" s="51" t="s">
        <v>26</v>
      </c>
      <c r="J54" s="51" t="s">
        <v>13</v>
      </c>
      <c r="M54" s="51" t="s">
        <v>27</v>
      </c>
    </row>
    <row r="55" spans="2:17" x14ac:dyDescent="0.25">
      <c r="B55" s="59"/>
    </row>
    <row r="56" spans="2:17" x14ac:dyDescent="0.25">
      <c r="B56" s="102" t="s">
        <v>12</v>
      </c>
      <c r="C56" s="102" t="s">
        <v>11</v>
      </c>
      <c r="D56" s="102" t="s">
        <v>69</v>
      </c>
      <c r="F56" s="94" t="s">
        <v>69</v>
      </c>
      <c r="G56" s="87" t="s">
        <v>20</v>
      </c>
      <c r="J56" s="94" t="s">
        <v>69</v>
      </c>
      <c r="K56" s="87" t="s">
        <v>20</v>
      </c>
      <c r="M56" s="94" t="s">
        <v>69</v>
      </c>
      <c r="N56" s="87" t="s">
        <v>20</v>
      </c>
    </row>
    <row r="57" spans="2:17" x14ac:dyDescent="0.25">
      <c r="B57" s="64" t="s">
        <v>9</v>
      </c>
      <c r="C57" s="65">
        <f t="shared" ref="C57:C63" si="3">+SUMIF($M$36:$M$45,D57,$J$36:$J$45)</f>
        <v>0</v>
      </c>
      <c r="D57" s="66">
        <v>-1</v>
      </c>
      <c r="G57" s="1"/>
    </row>
    <row r="58" spans="2:17" ht="14.5" customHeight="1" x14ac:dyDescent="0.25">
      <c r="B58" s="64" t="s">
        <v>8</v>
      </c>
      <c r="C58" s="65">
        <f t="shared" si="3"/>
        <v>0</v>
      </c>
      <c r="D58" s="66">
        <v>-2</v>
      </c>
      <c r="F58" s="88" t="s">
        <v>71</v>
      </c>
      <c r="G58" s="88" t="s">
        <v>72</v>
      </c>
      <c r="H58" s="89" t="s">
        <v>86</v>
      </c>
      <c r="I58" s="90"/>
      <c r="J58" s="89" t="s">
        <v>7</v>
      </c>
      <c r="K58" s="89" t="s">
        <v>85</v>
      </c>
      <c r="L58" s="90"/>
      <c r="M58" s="89" t="s">
        <v>72</v>
      </c>
      <c r="N58" s="89" t="s">
        <v>83</v>
      </c>
      <c r="O58" s="89" t="s">
        <v>85</v>
      </c>
    </row>
    <row r="59" spans="2:17" x14ac:dyDescent="0.25">
      <c r="B59" s="64" t="s">
        <v>28</v>
      </c>
      <c r="C59" s="65">
        <f t="shared" si="3"/>
        <v>0</v>
      </c>
      <c r="D59" s="66">
        <v>-3</v>
      </c>
      <c r="F59" s="97" t="s">
        <v>81</v>
      </c>
      <c r="G59" s="96" t="s">
        <v>81</v>
      </c>
      <c r="H59" s="95"/>
      <c r="I59" s="76"/>
      <c r="J59" s="101">
        <v>1900</v>
      </c>
      <c r="K59" s="100"/>
      <c r="L59" s="76"/>
      <c r="M59" s="91" t="s">
        <v>81</v>
      </c>
      <c r="N59" s="91" t="s">
        <v>81</v>
      </c>
      <c r="O59" s="92"/>
    </row>
    <row r="60" spans="2:17" x14ac:dyDescent="0.25">
      <c r="B60" s="64" t="s">
        <v>5</v>
      </c>
      <c r="C60" s="65">
        <f t="shared" si="3"/>
        <v>0</v>
      </c>
      <c r="D60" s="66">
        <v>-4</v>
      </c>
      <c r="F60" s="98" t="s">
        <v>44</v>
      </c>
      <c r="G60" s="99"/>
      <c r="H60" s="95"/>
      <c r="I60" s="76"/>
      <c r="J60" s="101" t="s">
        <v>0</v>
      </c>
      <c r="K60" s="95"/>
      <c r="L60" s="76"/>
      <c r="M60" s="91" t="s">
        <v>44</v>
      </c>
      <c r="N60" s="87"/>
      <c r="O60" s="92"/>
    </row>
    <row r="61" spans="2:17" ht="14.5" x14ac:dyDescent="0.35">
      <c r="B61" s="64" t="s">
        <v>4</v>
      </c>
      <c r="C61" s="65">
        <f t="shared" si="3"/>
        <v>0</v>
      </c>
      <c r="D61" s="66">
        <v>-5</v>
      </c>
      <c r="F61"/>
      <c r="G61"/>
      <c r="H61"/>
      <c r="I61" s="76"/>
      <c r="J61" s="76"/>
      <c r="K61" s="76"/>
      <c r="L61" s="76"/>
      <c r="M61" s="76"/>
      <c r="N61" s="76"/>
      <c r="O61"/>
      <c r="P61"/>
      <c r="Q61"/>
    </row>
    <row r="62" spans="2:17" ht="14" customHeight="1" x14ac:dyDescent="0.25">
      <c r="B62" s="64" t="s">
        <v>3</v>
      </c>
      <c r="C62" s="65">
        <f t="shared" si="3"/>
        <v>0</v>
      </c>
      <c r="D62" s="66">
        <v>-6</v>
      </c>
    </row>
    <row r="63" spans="2:17" ht="14" customHeight="1" x14ac:dyDescent="0.35">
      <c r="B63" s="64" t="s">
        <v>2</v>
      </c>
      <c r="C63" s="65">
        <f t="shared" si="3"/>
        <v>0</v>
      </c>
      <c r="D63" s="66">
        <v>-7</v>
      </c>
      <c r="F63"/>
      <c r="G63"/>
      <c r="H63"/>
      <c r="M63"/>
      <c r="N63"/>
      <c r="O63"/>
    </row>
    <row r="64" spans="2:17" ht="14" customHeight="1" thickTop="1" x14ac:dyDescent="0.35">
      <c r="F64" s="2"/>
      <c r="G64" s="1"/>
      <c r="K64" s="2"/>
      <c r="M64"/>
      <c r="N64"/>
      <c r="O64"/>
    </row>
    <row r="65" spans="1:17" ht="14" customHeight="1" thickBot="1" x14ac:dyDescent="0.4">
      <c r="B65" s="67"/>
      <c r="C65" s="68">
        <f>SUM(C57:C63)</f>
        <v>0</v>
      </c>
      <c r="D65" s="47"/>
      <c r="F65" s="2"/>
      <c r="G65" s="1"/>
      <c r="K65" s="2"/>
      <c r="M65"/>
      <c r="N65"/>
      <c r="O65"/>
    </row>
    <row r="66" spans="1:17" ht="15" thickTop="1" x14ac:dyDescent="0.35">
      <c r="C66" s="3"/>
      <c r="F66" s="2"/>
      <c r="G66" s="1"/>
      <c r="K66" s="2"/>
      <c r="M66"/>
      <c r="N66"/>
      <c r="O66"/>
    </row>
    <row r="67" spans="1:17" ht="15" thickBot="1" x14ac:dyDescent="0.4">
      <c r="F67" s="2"/>
      <c r="G67" s="1"/>
      <c r="K67" s="2"/>
      <c r="M67"/>
      <c r="N67"/>
      <c r="O67"/>
    </row>
    <row r="68" spans="1:17" ht="13" thickTop="1" x14ac:dyDescent="0.25">
      <c r="F68" s="2"/>
      <c r="G68" s="1"/>
      <c r="K68" s="2"/>
      <c r="O68" s="3"/>
    </row>
    <row r="69" spans="1:17" x14ac:dyDescent="0.25">
      <c r="A69" s="8"/>
      <c r="B69" s="54" t="s">
        <v>43</v>
      </c>
    </row>
    <row r="70" spans="1:17" ht="7" customHeight="1" x14ac:dyDescent="0.25">
      <c r="A70" s="8"/>
      <c r="B70" s="54"/>
    </row>
    <row r="71" spans="1:17" ht="15.5" customHeight="1" x14ac:dyDescent="0.25">
      <c r="A71" s="28"/>
      <c r="B71" s="57" t="s">
        <v>45</v>
      </c>
    </row>
    <row r="72" spans="1:17" ht="15.5" customHeight="1" x14ac:dyDescent="0.25">
      <c r="A72" s="7"/>
      <c r="B72" s="61" t="s">
        <v>46</v>
      </c>
    </row>
    <row r="73" spans="1:17" ht="15.5" customHeight="1" x14ac:dyDescent="0.25">
      <c r="A73" s="47"/>
      <c r="B73" s="58" t="s">
        <v>51</v>
      </c>
    </row>
    <row r="74" spans="1:17" ht="9.25" customHeight="1" x14ac:dyDescent="0.25"/>
    <row r="75" spans="1:17" ht="14.5" x14ac:dyDescent="0.35">
      <c r="B75" s="54" t="s">
        <v>78</v>
      </c>
      <c r="E75"/>
    </row>
    <row r="76" spans="1:17" ht="7" customHeight="1" x14ac:dyDescent="0.35">
      <c r="A76" s="8"/>
      <c r="B76" s="54"/>
      <c r="E76"/>
    </row>
    <row r="77" spans="1:17" ht="14.5" x14ac:dyDescent="0.35">
      <c r="A77" s="63" t="s">
        <v>66</v>
      </c>
      <c r="B77" s="54"/>
      <c r="E77"/>
      <c r="F77" s="93"/>
      <c r="G77" s="93"/>
      <c r="H77" s="93"/>
      <c r="I77" s="76"/>
      <c r="J77" s="76"/>
      <c r="K77" s="93"/>
      <c r="L77" s="93"/>
      <c r="M77" s="76"/>
      <c r="N77" s="76"/>
      <c r="O77" s="93"/>
      <c r="P77" s="93"/>
      <c r="Q77" s="93"/>
    </row>
    <row r="78" spans="1:17" ht="14.5" x14ac:dyDescent="0.35">
      <c r="A78" s="63" t="s">
        <v>67</v>
      </c>
      <c r="B78" s="54"/>
      <c r="E78"/>
      <c r="F78"/>
      <c r="G78"/>
      <c r="H78"/>
    </row>
    <row r="79" spans="1:17" ht="14.5" x14ac:dyDescent="0.35">
      <c r="A79" s="63" t="s">
        <v>68</v>
      </c>
      <c r="B79" s="54"/>
      <c r="E79"/>
      <c r="F79"/>
      <c r="G79"/>
    </row>
    <row r="80" spans="1:17" ht="14.5" x14ac:dyDescent="0.35">
      <c r="A80" s="63"/>
      <c r="B80" s="54"/>
      <c r="E80"/>
      <c r="F80"/>
      <c r="G80"/>
    </row>
    <row r="81" spans="1:7" ht="14.5" x14ac:dyDescent="0.35">
      <c r="B81" s="54" t="s">
        <v>29</v>
      </c>
      <c r="E81"/>
      <c r="F81"/>
      <c r="G81"/>
    </row>
    <row r="82" spans="1:7" ht="7" customHeight="1" x14ac:dyDescent="0.35">
      <c r="A82" s="8"/>
      <c r="B82" s="54"/>
      <c r="E82"/>
      <c r="F82"/>
      <c r="G82"/>
    </row>
    <row r="83" spans="1:7" ht="14.5" x14ac:dyDescent="0.35">
      <c r="A83" s="63" t="s">
        <v>54</v>
      </c>
      <c r="B83" s="54"/>
      <c r="E83"/>
      <c r="F83"/>
      <c r="G83"/>
    </row>
    <row r="84" spans="1:7" ht="14.5" x14ac:dyDescent="0.35">
      <c r="A84" s="63" t="s">
        <v>55</v>
      </c>
      <c r="B84" s="54"/>
      <c r="E84"/>
      <c r="F84"/>
      <c r="G84"/>
    </row>
    <row r="85" spans="1:7" ht="14.5" x14ac:dyDescent="0.35">
      <c r="A85" s="63" t="s">
        <v>56</v>
      </c>
      <c r="B85" s="54"/>
      <c r="E85"/>
      <c r="F85"/>
      <c r="G85"/>
    </row>
    <row r="86" spans="1:7" ht="14.5" x14ac:dyDescent="0.35">
      <c r="B86" s="6"/>
      <c r="E86"/>
      <c r="F86"/>
      <c r="G86"/>
    </row>
    <row r="87" spans="1:7" ht="14.5" x14ac:dyDescent="0.35">
      <c r="B87" s="54" t="s">
        <v>30</v>
      </c>
      <c r="E87"/>
      <c r="F87"/>
      <c r="G87"/>
    </row>
    <row r="88" spans="1:7" ht="7" customHeight="1" x14ac:dyDescent="0.35">
      <c r="A88" s="8"/>
      <c r="B88" s="54"/>
      <c r="E88"/>
      <c r="F88"/>
      <c r="G88"/>
    </row>
    <row r="89" spans="1:7" ht="14.5" x14ac:dyDescent="0.35">
      <c r="A89" s="4" t="s">
        <v>57</v>
      </c>
      <c r="B89" s="54"/>
      <c r="E89"/>
      <c r="F89"/>
      <c r="G89"/>
    </row>
    <row r="90" spans="1:7" ht="14.5" x14ac:dyDescent="0.35">
      <c r="A90" s="4" t="s">
        <v>58</v>
      </c>
      <c r="B90" s="54"/>
      <c r="E90"/>
      <c r="F90"/>
      <c r="G90"/>
    </row>
    <row r="91" spans="1:7" ht="14.5" x14ac:dyDescent="0.35">
      <c r="A91" s="4" t="s">
        <v>59</v>
      </c>
      <c r="B91" s="54"/>
      <c r="E91"/>
      <c r="F91"/>
      <c r="G91"/>
    </row>
    <row r="92" spans="1:7" ht="14.5" x14ac:dyDescent="0.35">
      <c r="B92" s="6"/>
      <c r="E92"/>
      <c r="F92"/>
      <c r="G92"/>
    </row>
    <row r="93" spans="1:7" x14ac:dyDescent="0.25">
      <c r="B93" s="54" t="s">
        <v>1</v>
      </c>
    </row>
    <row r="94" spans="1:7" ht="6" customHeight="1" x14ac:dyDescent="0.25">
      <c r="B94" s="54"/>
    </row>
    <row r="95" spans="1:7" x14ac:dyDescent="0.25">
      <c r="B95" s="81" t="s">
        <v>77</v>
      </c>
    </row>
    <row r="96" spans="1:7" x14ac:dyDescent="0.25">
      <c r="B96" s="5"/>
    </row>
  </sheetData>
  <autoFilter ref="B35:N46" xr:uid="{26193F5C-D77B-45F3-9A9F-BE75E40B4B1A}"/>
  <mergeCells count="3">
    <mergeCell ref="B33:J33"/>
    <mergeCell ref="L33:N33"/>
    <mergeCell ref="B52:O52"/>
  </mergeCells>
  <pageMargins left="0.7" right="0.7" top="0.75" bottom="0.75" header="0.3" footer="0.3"/>
  <pageSetup paperSize="9" orientation="portrait" r:id="rId4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425.04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2022-12-15T16:37:27Z</dcterms:created>
  <dcterms:modified xsi:type="dcterms:W3CDTF">2026-04-17T03:35:06Z</dcterms:modified>
</cp:coreProperties>
</file>