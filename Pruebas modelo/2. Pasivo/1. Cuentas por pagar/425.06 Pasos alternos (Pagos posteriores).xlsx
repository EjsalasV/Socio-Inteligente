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2. Pasivo\1. Cuentas por pagar\"/>
    </mc:Choice>
  </mc:AlternateContent>
  <xr:revisionPtr revIDLastSave="0" documentId="13_ncr:1_{FDA1E59B-60D2-40E6-AF11-59227AC1DBF9}" xr6:coauthVersionLast="47" xr6:coauthVersionMax="47" xr10:uidLastSave="{00000000-0000-0000-0000-000000000000}"/>
  <bookViews>
    <workbookView xWindow="-110" yWindow="-110" windowWidth="19420" windowHeight="10300" xr2:uid="{B8BA58EB-4AC1-4153-9BCD-97C8A2814D85}"/>
  </bookViews>
  <sheets>
    <sheet name="425.06" sheetId="9" r:id="rId1"/>
  </sheets>
  <definedNames>
    <definedName name="_xlnm._FilterDatabase" localSheetId="0" hidden="1">'425.06'!$D$33:$AE$41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34" i="9" l="1"/>
  <c r="AF34" i="9"/>
  <c r="Y34" i="9"/>
  <c r="Z34" i="9" s="1"/>
  <c r="AK40" i="9"/>
  <c r="AF40" i="9"/>
  <c r="AA40" i="9"/>
  <c r="Y40" i="9"/>
  <c r="Z40" i="9" s="1"/>
  <c r="AK39" i="9"/>
  <c r="AF39" i="9"/>
  <c r="AA39" i="9"/>
  <c r="Y39" i="9"/>
  <c r="AH39" i="9" s="1"/>
  <c r="AJ39" i="9" s="1"/>
  <c r="AK38" i="9"/>
  <c r="AF38" i="9"/>
  <c r="AA38" i="9"/>
  <c r="Y38" i="9"/>
  <c r="AH38" i="9" s="1"/>
  <c r="AK37" i="9"/>
  <c r="AF37" i="9"/>
  <c r="AA37" i="9"/>
  <c r="Y37" i="9"/>
  <c r="Z37" i="9" s="1"/>
  <c r="AK36" i="9"/>
  <c r="AF36" i="9"/>
  <c r="AA36" i="9"/>
  <c r="Y36" i="9"/>
  <c r="Z36" i="9" s="1"/>
  <c r="AK35" i="9"/>
  <c r="AF35" i="9"/>
  <c r="AA35" i="9"/>
  <c r="Y35" i="9"/>
  <c r="AH35" i="9" s="1"/>
  <c r="AA34" i="9"/>
  <c r="Z38" i="9" l="1"/>
  <c r="AA42" i="9"/>
  <c r="AJ38" i="9"/>
  <c r="AH34" i="9"/>
  <c r="AJ34" i="9" s="1"/>
  <c r="Z39" i="9"/>
  <c r="AR39" i="9" s="1"/>
  <c r="AS39" i="9" s="1"/>
  <c r="AJ35" i="9"/>
  <c r="Z35" i="9"/>
  <c r="AR35" i="9" s="1"/>
  <c r="AS35" i="9" s="1"/>
  <c r="AH40" i="9"/>
  <c r="AJ40" i="9" s="1"/>
  <c r="AH36" i="9"/>
  <c r="AJ36" i="9" s="1"/>
  <c r="AH37" i="9"/>
  <c r="AJ37" i="9" s="1"/>
  <c r="AR38" i="9"/>
  <c r="AS38" i="9" s="1"/>
  <c r="AR37" i="9" l="1"/>
  <c r="AS37" i="9" s="1"/>
  <c r="AR34" i="9"/>
  <c r="AS34" i="9" s="1"/>
  <c r="AR36" i="9"/>
  <c r="AS36" i="9" s="1"/>
  <c r="AS42" i="9" s="1"/>
  <c r="AJ42" i="9"/>
  <c r="AR40" i="9"/>
  <c r="AS40" i="9" s="1"/>
</calcChain>
</file>

<file path=xl/sharedStrings.xml><?xml version="1.0" encoding="utf-8"?>
<sst xmlns="http://schemas.openxmlformats.org/spreadsheetml/2006/main" count="104" uniqueCount="91">
  <si>
    <t>Días</t>
  </si>
  <si>
    <t>No Vencido</t>
  </si>
  <si>
    <t>30 Dias</t>
  </si>
  <si>
    <t>60 Dias</t>
  </si>
  <si>
    <t>90 Dias</t>
  </si>
  <si>
    <t>180 Dias</t>
  </si>
  <si>
    <t>+ 180 Dias</t>
  </si>
  <si>
    <t>Total</t>
  </si>
  <si>
    <t>Fecha</t>
  </si>
  <si>
    <t>Objetivo:</t>
  </si>
  <si>
    <t>A</t>
  </si>
  <si>
    <t>B</t>
  </si>
  <si>
    <t>C</t>
  </si>
  <si>
    <t>Documento</t>
  </si>
  <si>
    <t>Mes</t>
  </si>
  <si>
    <t>ID Fiscal</t>
  </si>
  <si>
    <t>IVA</t>
  </si>
  <si>
    <t xml:space="preserve">Total </t>
  </si>
  <si>
    <t>COMPAÑÍA MODELO S.A.</t>
  </si>
  <si>
    <t>Ref.</t>
  </si>
  <si>
    <t>Desarrollo:</t>
  </si>
  <si>
    <t>1.-</t>
  </si>
  <si>
    <t>2.-</t>
  </si>
  <si>
    <t>Conclusión:</t>
  </si>
  <si>
    <t>Base de decisión: Materialidad</t>
  </si>
  <si>
    <t>Marcas de auditoría:</t>
  </si>
  <si>
    <t>Preparado por:</t>
  </si>
  <si>
    <t>Revisado por:</t>
  </si>
  <si>
    <t>General</t>
  </si>
  <si>
    <t>XXX.XXX</t>
  </si>
  <si>
    <t>Desempeño</t>
  </si>
  <si>
    <t>Errores Triviales</t>
  </si>
  <si>
    <t>Procedimientos:</t>
  </si>
  <si>
    <t xml:space="preserve">Documentación de sustento </t>
  </si>
  <si>
    <t>AL 31 DE DICIEMBRE DE 20XX</t>
  </si>
  <si>
    <t>XX</t>
  </si>
  <si>
    <t>VERIFICACIÓN DE PAGOS POSTERIORES</t>
  </si>
  <si>
    <t>Proveedor</t>
  </si>
  <si>
    <t>Preliminar</t>
  </si>
  <si>
    <t>Final</t>
  </si>
  <si>
    <t>Tot Doc</t>
  </si>
  <si>
    <t>Observaciones</t>
  </si>
  <si>
    <t>Obs. 1</t>
  </si>
  <si>
    <t>Obs. 2</t>
  </si>
  <si>
    <t>Obs. 3</t>
  </si>
  <si>
    <t>Notas aclaratorias:</t>
  </si>
  <si>
    <t>a)</t>
  </si>
  <si>
    <t>b)</t>
  </si>
  <si>
    <t>c)</t>
  </si>
  <si>
    <t>FECHA DE CORTE: _/_/20XX</t>
  </si>
  <si>
    <t>Verificaciones:</t>
  </si>
  <si>
    <t>425.06</t>
  </si>
  <si>
    <t>Efectuar procedimientos alternos para validar la existencia del saldo de las cuentas por pagar no confirmadas en el periodo 20xx.</t>
  </si>
  <si>
    <t>Determinar la existencia del saldo.</t>
  </si>
  <si>
    <t>Documentar el papel de trabajo y concluir en base al objetivo.</t>
  </si>
  <si>
    <t>Solicitar a la Compañía la soliciltud de crédito que sustente la compra.</t>
  </si>
  <si>
    <t>***(Concluir en función al objetivo)</t>
  </si>
  <si>
    <t>Nro. de documento</t>
  </si>
  <si>
    <t>Información proporcionada por el cliente</t>
  </si>
  <si>
    <r>
      <t xml:space="preserve">Solicitar a la Compañía la documentación soporte de los saldos no confirmados </t>
    </r>
    <r>
      <rPr>
        <b/>
        <sz val="10"/>
        <color rgb="FFFF0000"/>
        <rFont val="Tahoma"/>
        <family val="2"/>
      </rPr>
      <t>p/t 425.05</t>
    </r>
  </si>
  <si>
    <t>3.-</t>
  </si>
  <si>
    <t>4.-</t>
  </si>
  <si>
    <t xml:space="preserve">***El formato depende de la Compañía </t>
  </si>
  <si>
    <t xml:space="preserve">***El número de filas depende de la cantidad de cobros realizados a las cuentas por cobrar que no se recibieron confirmación </t>
  </si>
  <si>
    <t>Existencia</t>
  </si>
  <si>
    <t>Exactitud</t>
  </si>
  <si>
    <t xml:space="preserve">Diferencia </t>
  </si>
  <si>
    <t>Cumplimiento tributario</t>
  </si>
  <si>
    <t>Bancarización</t>
  </si>
  <si>
    <t xml:space="preserve">Factura </t>
  </si>
  <si>
    <t xml:space="preserve">Cálculo de retención </t>
  </si>
  <si>
    <t xml:space="preserve">Según comprobante </t>
  </si>
  <si>
    <t xml:space="preserve">Comprobante de ingreso </t>
  </si>
  <si>
    <t>RUC</t>
  </si>
  <si>
    <t>Nombre del cliente</t>
  </si>
  <si>
    <t xml:space="preserve">Nro. documento </t>
  </si>
  <si>
    <t>Subtotal 0%</t>
  </si>
  <si>
    <t>Subtotal 12%</t>
  </si>
  <si>
    <t xml:space="preserve">Nro. de comprobante </t>
  </si>
  <si>
    <t>% Renta</t>
  </si>
  <si>
    <t>Valor renta</t>
  </si>
  <si>
    <t>% IVA</t>
  </si>
  <si>
    <t>Valor IVA</t>
  </si>
  <si>
    <t>Diferencia</t>
  </si>
  <si>
    <t>Días de retraso</t>
  </si>
  <si>
    <t xml:space="preserve">Nro. de operación </t>
  </si>
  <si>
    <t>Forma de cobro</t>
  </si>
  <si>
    <t xml:space="preserve">Valor según comprobante </t>
  </si>
  <si>
    <t xml:space="preserve">Cobro según auditoría </t>
  </si>
  <si>
    <t xml:space="preserve"> </t>
  </si>
  <si>
    <t>Cálculos de Auditoría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</si>
</sst>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-* #,##0\ _€_-;\-* #,##0\ _€_-;_-* &quot;-&quot;??\ _€_-;_-@_-"/>
    <numFmt numFmtId="165" formatCode="dd\/mm\/yyyy"/>
    <numFmt numFmtId="166" formatCode="_(* #,##0_);_(* \(#,##0\);_(* &quot;-&quot;??_);_(@_)"/>
    <numFmt numFmtId="167" formatCode="_ * #,##0_ ;_ * \-#,##0_ ;_ * &quot;-&quot;??_ ;_ @_ "/>
    <numFmt numFmtId="168" formatCode="[$-1540A]dd\-mmm\-yy;@"/>
    <numFmt numFmtId="169" formatCode="_(* #,##0_);_(* \(#,##0\);_(* &quot;-&quot;_);_(@_)"/>
  </numFmts>
  <fonts count="28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0"/>
      <color rgb="FFFF0000"/>
      <name val="Tahoma"/>
      <family val="2"/>
    </font>
    <font>
      <b/>
      <sz val="10"/>
      <color theme="3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b/>
      <i/>
      <u/>
      <sz val="10"/>
      <color theme="1"/>
      <name val="Tahoma"/>
      <family val="2"/>
    </font>
    <font>
      <sz val="10"/>
      <color indexed="63"/>
      <name val="Tahoma"/>
      <family val="2"/>
    </font>
    <font>
      <sz val="10"/>
      <color indexed="8"/>
      <name val="Tahoma"/>
      <family val="2"/>
    </font>
    <font>
      <b/>
      <u/>
      <sz val="10"/>
      <color theme="3" tint="0.39997558519241921"/>
      <name val="Tahoma"/>
      <family val="2"/>
    </font>
    <font>
      <b/>
      <u/>
      <sz val="10"/>
      <color rgb="FFFF0000"/>
      <name val="Tahoma"/>
      <family val="2"/>
    </font>
    <font>
      <b/>
      <sz val="10"/>
      <color rgb="FF002060"/>
      <name val="Tahoma"/>
      <family val="2"/>
    </font>
    <font>
      <b/>
      <u/>
      <sz val="10"/>
      <color rgb="FF0000FF"/>
      <name val="Tahoma"/>
      <family val="2"/>
    </font>
    <font>
      <sz val="11"/>
      <color indexed="8"/>
      <name val="Calibri"/>
      <family val="2"/>
    </font>
    <font>
      <b/>
      <u/>
      <sz val="10"/>
      <color rgb="FF0000CC"/>
      <name val="Tahoma"/>
      <family val="2"/>
    </font>
    <font>
      <sz val="10"/>
      <color rgb="FF000000"/>
      <name val="Tahoma"/>
      <family val="2"/>
    </font>
    <font>
      <sz val="11"/>
      <color theme="1"/>
      <name val="Calibri"/>
      <family val="2"/>
    </font>
    <font>
      <b/>
      <sz val="10"/>
      <color theme="0"/>
      <name val="Tahoma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CC2E5"/>
        <bgColor rgb="FF9CC2E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7" fillId="0" borderId="0" applyFont="0" applyFill="0" applyBorder="0" applyAlignment="0" applyProtection="0"/>
    <xf numFmtId="0" fontId="8" fillId="0" borderId="0"/>
    <xf numFmtId="43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22" fillId="0" borderId="0"/>
    <xf numFmtId="0" fontId="9" fillId="0" borderId="0"/>
    <xf numFmtId="0" fontId="25" fillId="0" borderId="0"/>
    <xf numFmtId="0" fontId="9" fillId="0" borderId="0"/>
    <xf numFmtId="0" fontId="9" fillId="0" borderId="0"/>
  </cellStyleXfs>
  <cellXfs count="133">
    <xf numFmtId="0" fontId="0" fillId="0" borderId="0" xfId="0"/>
    <xf numFmtId="0" fontId="6" fillId="0" borderId="0" xfId="0" applyFont="1"/>
    <xf numFmtId="1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7" fontId="6" fillId="0" borderId="0" xfId="1" applyNumberFormat="1" applyFont="1"/>
    <xf numFmtId="1" fontId="11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8" fontId="6" fillId="0" borderId="0" xfId="0" applyNumberFormat="1" applyFont="1" applyAlignment="1">
      <alignment vertical="center"/>
    </xf>
    <xf numFmtId="0" fontId="14" fillId="0" borderId="0" xfId="0" applyFont="1" applyAlignment="1">
      <alignment horizontal="center"/>
    </xf>
    <xf numFmtId="0" fontId="15" fillId="0" borderId="0" xfId="0" applyFont="1"/>
    <xf numFmtId="0" fontId="6" fillId="0" borderId="0" xfId="0" applyFont="1" applyAlignment="1">
      <alignment horizontal="center" vertical="center"/>
    </xf>
    <xf numFmtId="14" fontId="6" fillId="0" borderId="0" xfId="0" applyNumberFormat="1" applyFont="1"/>
    <xf numFmtId="0" fontId="6" fillId="0" borderId="0" xfId="2" applyFont="1"/>
    <xf numFmtId="14" fontId="6" fillId="0" borderId="0" xfId="2" applyNumberFormat="1" applyFont="1"/>
    <xf numFmtId="166" fontId="6" fillId="0" borderId="0" xfId="1" applyNumberFormat="1" applyFont="1" applyFill="1"/>
    <xf numFmtId="9" fontId="6" fillId="0" borderId="0" xfId="5" applyFont="1" applyFill="1"/>
    <xf numFmtId="1" fontId="6" fillId="0" borderId="0" xfId="0" applyNumberFormat="1" applyFont="1"/>
    <xf numFmtId="0" fontId="18" fillId="0" borderId="0" xfId="2" applyFont="1" applyAlignment="1">
      <alignment horizontal="left" vertical="center"/>
    </xf>
    <xf numFmtId="0" fontId="6" fillId="0" borderId="0" xfId="0" applyFont="1" applyAlignment="1">
      <alignment horizontal="left" wrapText="1"/>
    </xf>
    <xf numFmtId="14" fontId="6" fillId="0" borderId="0" xfId="0" applyNumberFormat="1" applyFont="1" applyAlignment="1">
      <alignment horizontal="left" wrapText="1"/>
    </xf>
    <xf numFmtId="14" fontId="6" fillId="0" borderId="0" xfId="2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14" fillId="0" borderId="0" xfId="2" applyFont="1" applyAlignment="1">
      <alignment horizontal="center" vertical="center"/>
    </xf>
    <xf numFmtId="14" fontId="6" fillId="0" borderId="0" xfId="2" applyNumberFormat="1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4" fontId="19" fillId="0" borderId="0" xfId="2" applyNumberFormat="1" applyFont="1" applyAlignment="1">
      <alignment horizontal="left" vertical="center"/>
    </xf>
    <xf numFmtId="14" fontId="6" fillId="0" borderId="0" xfId="6" applyNumberFormat="1" applyFont="1" applyAlignment="1">
      <alignment horizontal="left" vertical="center"/>
    </xf>
    <xf numFmtId="14" fontId="6" fillId="0" borderId="0" xfId="6" applyNumberFormat="1" applyFont="1"/>
    <xf numFmtId="164" fontId="17" fillId="0" borderId="0" xfId="1" applyNumberFormat="1" applyFont="1" applyFill="1" applyBorder="1"/>
    <xf numFmtId="14" fontId="15" fillId="0" borderId="0" xfId="0" applyNumberFormat="1" applyFont="1"/>
    <xf numFmtId="49" fontId="16" fillId="0" borderId="0" xfId="0" applyNumberFormat="1" applyFont="1"/>
    <xf numFmtId="14" fontId="16" fillId="0" borderId="0" xfId="0" applyNumberFormat="1" applyFont="1"/>
    <xf numFmtId="0" fontId="16" fillId="0" borderId="0" xfId="0" applyFont="1"/>
    <xf numFmtId="49" fontId="17" fillId="0" borderId="0" xfId="0" applyNumberFormat="1" applyFont="1"/>
    <xf numFmtId="164" fontId="16" fillId="0" borderId="0" xfId="1" applyNumberFormat="1" applyFont="1" applyFill="1" applyBorder="1"/>
    <xf numFmtId="165" fontId="16" fillId="0" borderId="0" xfId="0" applyNumberFormat="1" applyFont="1"/>
    <xf numFmtId="0" fontId="20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21" fillId="0" borderId="0" xfId="0" applyFont="1"/>
    <xf numFmtId="0" fontId="5" fillId="0" borderId="0" xfId="0" applyFont="1"/>
    <xf numFmtId="0" fontId="23" fillId="3" borderId="0" xfId="9" applyFont="1" applyFill="1" applyAlignment="1">
      <alignment horizontal="left"/>
    </xf>
    <xf numFmtId="0" fontId="21" fillId="3" borderId="0" xfId="8" applyFont="1" applyFill="1"/>
    <xf numFmtId="0" fontId="5" fillId="0" borderId="2" xfId="0" applyFont="1" applyBorder="1"/>
    <xf numFmtId="0" fontId="13" fillId="3" borderId="0" xfId="8" applyFont="1" applyFill="1" applyAlignment="1">
      <alignment horizontal="left" vertical="center" indent="1"/>
    </xf>
    <xf numFmtId="0" fontId="20" fillId="2" borderId="3" xfId="0" applyFont="1" applyFill="1" applyBorder="1" applyAlignment="1" applyProtection="1">
      <alignment horizontal="center" vertical="center"/>
      <protection hidden="1"/>
    </xf>
    <xf numFmtId="0" fontId="20" fillId="2" borderId="1" xfId="0" applyFont="1" applyFill="1" applyBorder="1" applyAlignment="1" applyProtection="1">
      <alignment horizontal="center" vertical="center"/>
      <protection hidden="1"/>
    </xf>
    <xf numFmtId="0" fontId="14" fillId="3" borderId="1" xfId="0" applyFont="1" applyFill="1" applyBorder="1" applyAlignment="1">
      <alignment horizontal="center" vertical="center" wrapText="1"/>
    </xf>
    <xf numFmtId="0" fontId="24" fillId="0" borderId="1" xfId="10" applyFont="1" applyBorder="1" applyAlignment="1">
      <alignment horizontal="center"/>
    </xf>
    <xf numFmtId="49" fontId="16" fillId="0" borderId="1" xfId="0" applyNumberFormat="1" applyFont="1" applyBorder="1"/>
    <xf numFmtId="14" fontId="16" fillId="0" borderId="1" xfId="0" applyNumberFormat="1" applyFont="1" applyBorder="1"/>
    <xf numFmtId="0" fontId="16" fillId="0" borderId="1" xfId="0" applyFont="1" applyBorder="1"/>
    <xf numFmtId="1" fontId="16" fillId="0" borderId="1" xfId="0" applyNumberFormat="1" applyFont="1" applyBorder="1"/>
    <xf numFmtId="49" fontId="17" fillId="0" borderId="1" xfId="0" applyNumberFormat="1" applyFont="1" applyBorder="1"/>
    <xf numFmtId="164" fontId="17" fillId="0" borderId="1" xfId="1" applyNumberFormat="1" applyFont="1" applyFill="1" applyBorder="1"/>
    <xf numFmtId="164" fontId="16" fillId="0" borderId="1" xfId="1" applyNumberFormat="1" applyFont="1" applyFill="1" applyBorder="1"/>
    <xf numFmtId="165" fontId="16" fillId="0" borderId="1" xfId="0" applyNumberFormat="1" applyFont="1" applyBorder="1"/>
    <xf numFmtId="49" fontId="16" fillId="0" borderId="4" xfId="0" applyNumberFormat="1" applyFont="1" applyBorder="1"/>
    <xf numFmtId="14" fontId="16" fillId="0" borderId="4" xfId="0" applyNumberFormat="1" applyFont="1" applyBorder="1"/>
    <xf numFmtId="0" fontId="16" fillId="0" borderId="4" xfId="0" applyFont="1" applyBorder="1"/>
    <xf numFmtId="1" fontId="16" fillId="0" borderId="4" xfId="0" applyNumberFormat="1" applyFont="1" applyBorder="1"/>
    <xf numFmtId="49" fontId="17" fillId="0" borderId="4" xfId="0" applyNumberFormat="1" applyFont="1" applyBorder="1"/>
    <xf numFmtId="164" fontId="17" fillId="0" borderId="4" xfId="1" applyNumberFormat="1" applyFont="1" applyFill="1" applyBorder="1"/>
    <xf numFmtId="164" fontId="16" fillId="0" borderId="4" xfId="1" applyNumberFormat="1" applyFont="1" applyFill="1" applyBorder="1"/>
    <xf numFmtId="0" fontId="20" fillId="0" borderId="0" xfId="11" applyFont="1" applyAlignment="1" applyProtection="1">
      <alignment horizontal="left" vertical="center"/>
      <protection hidden="1"/>
    </xf>
    <xf numFmtId="0" fontId="20" fillId="3" borderId="0" xfId="0" applyFont="1" applyFill="1" applyAlignment="1">
      <alignment horizontal="left" vertical="top"/>
    </xf>
    <xf numFmtId="49" fontId="20" fillId="2" borderId="1" xfId="0" applyNumberFormat="1" applyFont="1" applyFill="1" applyBorder="1" applyAlignment="1">
      <alignment horizontal="center" vertical="center" wrapText="1"/>
    </xf>
    <xf numFmtId="14" fontId="20" fillId="2" borderId="1" xfId="0" applyNumberFormat="1" applyFont="1" applyFill="1" applyBorder="1" applyAlignment="1">
      <alignment horizontal="center" vertical="center" wrapText="1"/>
    </xf>
    <xf numFmtId="164" fontId="20" fillId="2" borderId="1" xfId="1" applyNumberFormat="1" applyFont="1" applyFill="1" applyBorder="1" applyAlignment="1">
      <alignment horizontal="center" vertical="center" wrapText="1"/>
    </xf>
    <xf numFmtId="0" fontId="4" fillId="2" borderId="3" xfId="0" applyFont="1" applyFill="1" applyBorder="1"/>
    <xf numFmtId="0" fontId="4" fillId="2" borderId="1" xfId="0" applyFont="1" applyFill="1" applyBorder="1" applyAlignment="1">
      <alignment horizontal="center"/>
    </xf>
    <xf numFmtId="14" fontId="4" fillId="0" borderId="0" xfId="0" applyNumberFormat="1" applyFont="1"/>
    <xf numFmtId="0" fontId="3" fillId="3" borderId="1" xfId="10" applyFont="1" applyFill="1" applyBorder="1" applyAlignment="1" applyProtection="1">
      <alignment horizontal="center" vertical="center"/>
      <protection hidden="1"/>
    </xf>
    <xf numFmtId="0" fontId="3" fillId="4" borderId="1" xfId="8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6" applyFont="1" applyAlignment="1">
      <alignment horizontal="left" vertical="center"/>
    </xf>
    <xf numFmtId="0" fontId="2" fillId="0" borderId="0" xfId="6" applyFont="1"/>
    <xf numFmtId="0" fontId="12" fillId="0" borderId="0" xfId="12" applyFont="1"/>
    <xf numFmtId="0" fontId="10" fillId="0" borderId="0" xfId="0" applyFont="1"/>
    <xf numFmtId="0" fontId="12" fillId="0" borderId="0" xfId="13" applyFont="1"/>
    <xf numFmtId="0" fontId="1" fillId="0" borderId="0" xfId="6" applyFont="1" applyAlignment="1">
      <alignment horizontal="left" vertical="center"/>
    </xf>
    <xf numFmtId="0" fontId="5" fillId="0" borderId="0" xfId="2" applyFont="1" applyAlignment="1">
      <alignment horizontal="right" vertical="center"/>
    </xf>
    <xf numFmtId="49" fontId="10" fillId="0" borderId="1" xfId="0" applyNumberFormat="1" applyFont="1" applyBorder="1"/>
    <xf numFmtId="0" fontId="27" fillId="0" borderId="0" xfId="0" applyFont="1"/>
    <xf numFmtId="0" fontId="14" fillId="0" borderId="0" xfId="0" applyFont="1"/>
    <xf numFmtId="0" fontId="1" fillId="0" borderId="0" xfId="0" applyFont="1"/>
    <xf numFmtId="1" fontId="20" fillId="7" borderId="12" xfId="0" applyNumberFormat="1" applyFont="1" applyFill="1" applyBorder="1" applyAlignment="1">
      <alignment horizontal="center" vertical="center" wrapText="1"/>
    </xf>
    <xf numFmtId="14" fontId="20" fillId="7" borderId="12" xfId="0" applyNumberFormat="1" applyFont="1" applyFill="1" applyBorder="1" applyAlignment="1">
      <alignment horizontal="center" vertical="center" wrapText="1"/>
    </xf>
    <xf numFmtId="43" fontId="20" fillId="7" borderId="12" xfId="0" applyNumberFormat="1" applyFont="1" applyFill="1" applyBorder="1" applyAlignment="1">
      <alignment horizontal="center" vertical="center" wrapText="1"/>
    </xf>
    <xf numFmtId="14" fontId="20" fillId="2" borderId="1" xfId="12" applyNumberFormat="1" applyFont="1" applyFill="1" applyBorder="1" applyAlignment="1">
      <alignment horizontal="center" vertical="center" wrapText="1"/>
    </xf>
    <xf numFmtId="10" fontId="20" fillId="2" borderId="1" xfId="5" applyNumberFormat="1" applyFont="1" applyFill="1" applyBorder="1" applyAlignment="1">
      <alignment horizontal="center" vertical="center" wrapText="1"/>
    </xf>
    <xf numFmtId="43" fontId="20" fillId="2" borderId="1" xfId="3" applyFont="1" applyFill="1" applyBorder="1" applyAlignment="1">
      <alignment horizontal="center" vertical="center" wrapText="1"/>
    </xf>
    <xf numFmtId="9" fontId="20" fillId="2" borderId="1" xfId="5" applyFont="1" applyFill="1" applyBorder="1" applyAlignment="1">
      <alignment horizontal="center" vertical="center" wrapText="1"/>
    </xf>
    <xf numFmtId="0" fontId="20" fillId="2" borderId="1" xfId="12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20" fillId="7" borderId="12" xfId="0" applyNumberFormat="1" applyFont="1" applyFill="1" applyBorder="1" applyAlignment="1">
      <alignment horizontal="center" vertical="center" wrapText="1"/>
    </xf>
    <xf numFmtId="43" fontId="20" fillId="7" borderId="6" xfId="0" applyNumberFormat="1" applyFont="1" applyFill="1" applyBorder="1" applyAlignment="1">
      <alignment horizontal="center" vertical="center" wrapText="1"/>
    </xf>
    <xf numFmtId="0" fontId="1" fillId="0" borderId="12" xfId="0" applyFont="1" applyBorder="1"/>
    <xf numFmtId="14" fontId="1" fillId="0" borderId="12" xfId="0" applyNumberFormat="1" applyFont="1" applyBorder="1"/>
    <xf numFmtId="167" fontId="1" fillId="0" borderId="12" xfId="0" applyNumberFormat="1" applyFont="1" applyBorder="1"/>
    <xf numFmtId="167" fontId="25" fillId="0" borderId="0" xfId="0" applyNumberFormat="1" applyFont="1"/>
    <xf numFmtId="0" fontId="1" fillId="0" borderId="1" xfId="0" applyFont="1" applyBorder="1"/>
    <xf numFmtId="14" fontId="1" fillId="0" borderId="1" xfId="0" applyNumberFormat="1" applyFont="1" applyBorder="1"/>
    <xf numFmtId="10" fontId="1" fillId="0" borderId="1" xfId="0" applyNumberFormat="1" applyFont="1" applyBorder="1"/>
    <xf numFmtId="167" fontId="1" fillId="0" borderId="1" xfId="3" applyNumberFormat="1" applyFont="1" applyBorder="1"/>
    <xf numFmtId="9" fontId="1" fillId="0" borderId="1" xfId="0" applyNumberFormat="1" applyFont="1" applyBorder="1"/>
    <xf numFmtId="167" fontId="1" fillId="0" borderId="12" xfId="1" applyNumberFormat="1" applyFont="1" applyBorder="1"/>
    <xf numFmtId="164" fontId="14" fillId="0" borderId="13" xfId="1" applyNumberFormat="1" applyFont="1" applyFill="1" applyBorder="1"/>
    <xf numFmtId="167" fontId="25" fillId="0" borderId="9" xfId="0" applyNumberFormat="1" applyFont="1" applyBorder="1"/>
    <xf numFmtId="1" fontId="20" fillId="7" borderId="1" xfId="0" applyNumberFormat="1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14" fontId="20" fillId="7" borderId="1" xfId="0" applyNumberFormat="1" applyFont="1" applyFill="1" applyBorder="1" applyAlignment="1">
      <alignment horizontal="center" vertical="center" wrapText="1"/>
    </xf>
    <xf numFmtId="43" fontId="20" fillId="7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/>
    <xf numFmtId="167" fontId="1" fillId="0" borderId="1" xfId="0" applyNumberFormat="1" applyFont="1" applyBorder="1"/>
    <xf numFmtId="167" fontId="25" fillId="0" borderId="1" xfId="0" applyNumberFormat="1" applyFont="1" applyBorder="1"/>
    <xf numFmtId="0" fontId="25" fillId="0" borderId="1" xfId="0" applyFont="1" applyBorder="1"/>
    <xf numFmtId="0" fontId="26" fillId="6" borderId="6" xfId="0" applyFont="1" applyFill="1" applyBorder="1" applyAlignment="1">
      <alignment horizontal="center" vertical="center"/>
    </xf>
    <xf numFmtId="0" fontId="27" fillId="0" borderId="7" xfId="0" applyFont="1" applyBorder="1"/>
    <xf numFmtId="0" fontId="27" fillId="0" borderId="9" xfId="0" applyFont="1" applyBorder="1"/>
    <xf numFmtId="0" fontId="20" fillId="9" borderId="1" xfId="0" applyFont="1" applyFill="1" applyBorder="1" applyAlignment="1">
      <alignment horizontal="center" vertical="center"/>
    </xf>
    <xf numFmtId="0" fontId="27" fillId="0" borderId="1" xfId="0" applyFont="1" applyBorder="1"/>
    <xf numFmtId="49" fontId="20" fillId="5" borderId="1" xfId="12" applyNumberFormat="1" applyFont="1" applyFill="1" applyBorder="1" applyAlignment="1">
      <alignment horizontal="center" vertical="center" wrapText="1"/>
    </xf>
    <xf numFmtId="169" fontId="20" fillId="5" borderId="1" xfId="12" applyNumberFormat="1" applyFont="1" applyFill="1" applyBorder="1" applyAlignment="1">
      <alignment horizontal="center" vertical="center" wrapText="1"/>
    </xf>
    <xf numFmtId="169" fontId="20" fillId="9" borderId="6" xfId="0" applyNumberFormat="1" applyFont="1" applyFill="1" applyBorder="1" applyAlignment="1">
      <alignment horizontal="center" vertical="center"/>
    </xf>
    <xf numFmtId="169" fontId="20" fillId="9" borderId="7" xfId="0" applyNumberFormat="1" applyFont="1" applyFill="1" applyBorder="1" applyAlignment="1">
      <alignment horizontal="center" vertical="center"/>
    </xf>
    <xf numFmtId="169" fontId="20" fillId="9" borderId="11" xfId="0" applyNumberFormat="1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 wrapText="1"/>
    </xf>
    <xf numFmtId="0" fontId="20" fillId="7" borderId="10" xfId="0" applyFont="1" applyFill="1" applyBorder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/>
    </xf>
  </cellXfs>
  <cellStyles count="14">
    <cellStyle name="Millares" xfId="1" builtinId="3"/>
    <cellStyle name="Millares 3" xfId="3" xr:uid="{88BC0018-C048-4A52-8549-000DECAFD517}"/>
    <cellStyle name="Normal" xfId="0" builtinId="0"/>
    <cellStyle name="Normal 17 2" xfId="13" xr:uid="{BE973D4D-5155-4562-A654-5E2BB6386C57}"/>
    <cellStyle name="Normal 2" xfId="2" xr:uid="{4AF2BB9D-97CE-4A6C-A0D8-DEEE562E03FE}"/>
    <cellStyle name="Normal 2 10" xfId="10" xr:uid="{89DADAA1-5CA2-42D8-9C54-CD0220B78832}"/>
    <cellStyle name="Normal 2 2" xfId="8" xr:uid="{9FC8C11A-6E3E-43D2-91F2-1640DCC24C9B}"/>
    <cellStyle name="Normal 2 3 2 5" xfId="12" xr:uid="{5F4AA40C-32E9-45BC-8540-937EB268ED6B}"/>
    <cellStyle name="Normal 23" xfId="4" xr:uid="{68E25823-65AF-4D79-BE9B-C91792BB1F5A}"/>
    <cellStyle name="Normal 3" xfId="6" xr:uid="{02779A08-28FE-417B-9844-9EA968DE9F75}"/>
    <cellStyle name="Normal 7" xfId="11" xr:uid="{E612EE9F-1B96-428F-B42D-6542096CBC94}"/>
    <cellStyle name="Normal 8 2" xfId="7" xr:uid="{65106E6C-52C6-4727-B2DB-69A3C7F3E691}"/>
    <cellStyle name="Normal_2102.1.1 Analisis de Partidas Conciliatorias" xfId="9" xr:uid="{35BBE3BE-924F-4198-8705-3ECE75B92C3C}"/>
    <cellStyle name="Porcentaje" xfId="5" builtinId="5"/>
  </cellStyles>
  <dxfs count="0"/>
  <tableStyles count="0" defaultTableStyle="TableStyleMedium2" defaultPivotStyle="PivotStyleLight16"/>
  <colors>
    <mruColors>
      <color rgb="FF0F209F"/>
      <color rgb="FF0E0E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199233</xdr:colOff>
      <xdr:row>31</xdr:row>
      <xdr:rowOff>79375</xdr:rowOff>
    </xdr:from>
    <xdr:to>
      <xdr:col>16</xdr:col>
      <xdr:colOff>650875</xdr:colOff>
      <xdr:row>31</xdr:row>
      <xdr:rowOff>79375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64ED2E3-99B5-8431-790F-2CCEA34C9310}"/>
            </a:ext>
          </a:extLst>
        </xdr:cNvPr>
        <xdr:cNvCxnSpPr>
          <a:stCxn id="6" idx="3"/>
        </xdr:cNvCxnSpPr>
      </xdr:nvCxnSpPr>
      <xdr:spPr>
        <a:xfrm>
          <a:off x="405608" y="4429125"/>
          <a:ext cx="6706392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7145</xdr:colOff>
      <xdr:row>30</xdr:row>
      <xdr:rowOff>142081</xdr:rowOff>
    </xdr:from>
    <xdr:to>
      <xdr:col>1</xdr:col>
      <xdr:colOff>199233</xdr:colOff>
      <xdr:row>31</xdr:row>
      <xdr:rowOff>158836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6842EBA-574E-4F1D-BD0B-29C7CEEC4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520" y="4333081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79377</xdr:colOff>
      <xdr:row>44</xdr:row>
      <xdr:rowOff>0</xdr:rowOff>
    </xdr:from>
    <xdr:to>
      <xdr:col>0</xdr:col>
      <xdr:colOff>238127</xdr:colOff>
      <xdr:row>45</xdr:row>
      <xdr:rowOff>4153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9B4DEF2-D08A-4CF0-B9E9-3EE01F14F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7" y="7520025"/>
          <a:ext cx="158750" cy="165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79377</xdr:colOff>
      <xdr:row>45</xdr:row>
      <xdr:rowOff>7937</xdr:rowOff>
    </xdr:from>
    <xdr:to>
      <xdr:col>0</xdr:col>
      <xdr:colOff>238127</xdr:colOff>
      <xdr:row>46</xdr:row>
      <xdr:rowOff>7937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5A820E0-387F-43B3-9F0F-FDD4F1746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77" y="7421562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73152</xdr:colOff>
      <xdr:row>30</xdr:row>
      <xdr:rowOff>43891</xdr:rowOff>
    </xdr:from>
    <xdr:to>
      <xdr:col>27</xdr:col>
      <xdr:colOff>263347</xdr:colOff>
      <xdr:row>31</xdr:row>
      <xdr:rowOff>68828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D001860D-63F0-0C86-FAF4-D2C9F9346116}"/>
            </a:ext>
          </a:extLst>
        </xdr:cNvPr>
        <xdr:cNvSpPr>
          <a:spLocks noChangeAspect="1" noChangeArrowheads="1"/>
        </xdr:cNvSpPr>
      </xdr:nvSpPr>
      <xdr:spPr bwMode="auto">
        <a:xfrm>
          <a:off x="23116032" y="4747565"/>
          <a:ext cx="190195" cy="2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191512</xdr:colOff>
      <xdr:row>28</xdr:row>
      <xdr:rowOff>83601</xdr:rowOff>
    </xdr:from>
    <xdr:ext cx="239580" cy="239580"/>
    <xdr:pic>
      <xdr:nvPicPr>
        <xdr:cNvPr id="12" name="image9.png">
          <a:extLst>
            <a:ext uri="{FF2B5EF4-FFF2-40B4-BE49-F238E27FC236}">
              <a16:creationId xmlns:a16="http://schemas.microsoft.com/office/drawing/2014/main" id="{B99CFCC7-D0BE-41CD-BEA7-43C03F1A97B7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625276" y="4464388"/>
          <a:ext cx="239580" cy="23958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26</xdr:col>
      <xdr:colOff>360406</xdr:colOff>
      <xdr:row>28</xdr:row>
      <xdr:rowOff>116077</xdr:rowOff>
    </xdr:from>
    <xdr:to>
      <xdr:col>26</xdr:col>
      <xdr:colOff>578206</xdr:colOff>
      <xdr:row>30</xdr:row>
      <xdr:rowOff>19469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B8F86C6-CAC7-46AC-A36D-4F6F42466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00237" y="4496864"/>
          <a:ext cx="217800" cy="21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46030</xdr:colOff>
      <xdr:row>28</xdr:row>
      <xdr:rowOff>102243</xdr:rowOff>
    </xdr:from>
    <xdr:to>
      <xdr:col>28</xdr:col>
      <xdr:colOff>285610</xdr:colOff>
      <xdr:row>30</xdr:row>
      <xdr:rowOff>24850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F3F0C99-4B04-4E49-8AF7-8673FA39A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92299" y="4499855"/>
          <a:ext cx="239580" cy="244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34</xdr:col>
      <xdr:colOff>271469</xdr:colOff>
      <xdr:row>28</xdr:row>
      <xdr:rowOff>108521</xdr:rowOff>
    </xdr:from>
    <xdr:ext cx="217800" cy="198000"/>
    <xdr:pic>
      <xdr:nvPicPr>
        <xdr:cNvPr id="15" name="image7.png">
          <a:extLst>
            <a:ext uri="{FF2B5EF4-FFF2-40B4-BE49-F238E27FC236}">
              <a16:creationId xmlns:a16="http://schemas.microsoft.com/office/drawing/2014/main" id="{67E4D71E-24F5-4899-A2A4-150A771EAA1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8960200" y="4506133"/>
          <a:ext cx="217800" cy="198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35</xdr:col>
      <xdr:colOff>35595</xdr:colOff>
      <xdr:row>28</xdr:row>
      <xdr:rowOff>107572</xdr:rowOff>
    </xdr:from>
    <xdr:to>
      <xdr:col>35</xdr:col>
      <xdr:colOff>276216</xdr:colOff>
      <xdr:row>30</xdr:row>
      <xdr:rowOff>30179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054FF89-CC7D-437E-9D09-6C6A5A688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0446" y="4505184"/>
          <a:ext cx="240621" cy="244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38</xdr:col>
      <xdr:colOff>34959</xdr:colOff>
      <xdr:row>28</xdr:row>
      <xdr:rowOff>131021</xdr:rowOff>
    </xdr:from>
    <xdr:ext cx="180000" cy="180000"/>
    <xdr:pic>
      <xdr:nvPicPr>
        <xdr:cNvPr id="17" name="image7.png">
          <a:extLst>
            <a:ext uri="{FF2B5EF4-FFF2-40B4-BE49-F238E27FC236}">
              <a16:creationId xmlns:a16="http://schemas.microsoft.com/office/drawing/2014/main" id="{117790C7-462C-49B0-A96C-A1BF6B992066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1420172" y="4528734"/>
          <a:ext cx="180000" cy="1800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42</xdr:col>
      <xdr:colOff>979014</xdr:colOff>
      <xdr:row>28</xdr:row>
      <xdr:rowOff>138145</xdr:rowOff>
    </xdr:from>
    <xdr:to>
      <xdr:col>43</xdr:col>
      <xdr:colOff>172737</xdr:colOff>
      <xdr:row>30</xdr:row>
      <xdr:rowOff>4016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259EDE8-9C29-4D7E-BF05-E0C62D7F9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09333" y="4535858"/>
          <a:ext cx="180000" cy="184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500069</xdr:colOff>
      <xdr:row>41</xdr:row>
      <xdr:rowOff>23813</xdr:rowOff>
    </xdr:from>
    <xdr:ext cx="184404" cy="184404"/>
    <xdr:pic>
      <xdr:nvPicPr>
        <xdr:cNvPr id="19" name="image1.png">
          <a:extLst>
            <a:ext uri="{FF2B5EF4-FFF2-40B4-BE49-F238E27FC236}">
              <a16:creationId xmlns:a16="http://schemas.microsoft.com/office/drawing/2014/main" id="{DC0A90CE-8F2A-45EB-BD2E-3FC275A08A36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574969" y="7237413"/>
          <a:ext cx="184404" cy="184404"/>
        </a:xfrm>
        <a:prstGeom prst="rect">
          <a:avLst/>
        </a:prstGeom>
        <a:noFill/>
      </xdr:spPr>
    </xdr:pic>
    <xdr:clientData fLocksWithSheet="0"/>
  </xdr:oneCellAnchor>
  <xdr:oneCellAnchor>
    <xdr:from>
      <xdr:col>34</xdr:col>
      <xdr:colOff>500069</xdr:colOff>
      <xdr:row>41</xdr:row>
      <xdr:rowOff>23813</xdr:rowOff>
    </xdr:from>
    <xdr:ext cx="184404" cy="184404"/>
    <xdr:pic>
      <xdr:nvPicPr>
        <xdr:cNvPr id="20" name="image1.png">
          <a:extLst>
            <a:ext uri="{FF2B5EF4-FFF2-40B4-BE49-F238E27FC236}">
              <a16:creationId xmlns:a16="http://schemas.microsoft.com/office/drawing/2014/main" id="{62C82AE6-D8E4-42E2-A2C7-7015D62F00ED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2483769" y="7237413"/>
          <a:ext cx="184404" cy="184404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873181</xdr:colOff>
      <xdr:row>41</xdr:row>
      <xdr:rowOff>6398</xdr:rowOff>
    </xdr:from>
    <xdr:ext cx="184404" cy="184404"/>
    <xdr:pic>
      <xdr:nvPicPr>
        <xdr:cNvPr id="21" name="image1.png">
          <a:extLst>
            <a:ext uri="{FF2B5EF4-FFF2-40B4-BE49-F238E27FC236}">
              <a16:creationId xmlns:a16="http://schemas.microsoft.com/office/drawing/2014/main" id="{5FE68C88-E1C6-4F7D-825D-D14AE39FFB24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7189777" y="7146770"/>
          <a:ext cx="184404" cy="184404"/>
        </a:xfrm>
        <a:prstGeom prst="rect">
          <a:avLst/>
        </a:prstGeom>
        <a:noFill/>
      </xdr:spPr>
    </xdr:pic>
    <xdr:clientData fLocksWithSheet="0"/>
  </xdr:oneCellAnchor>
  <xdr:twoCellAnchor>
    <xdr:from>
      <xdr:col>18</xdr:col>
      <xdr:colOff>180656</xdr:colOff>
      <xdr:row>29</xdr:row>
      <xdr:rowOff>56871</xdr:rowOff>
    </xdr:from>
    <xdr:to>
      <xdr:col>25</xdr:col>
      <xdr:colOff>735416</xdr:colOff>
      <xdr:row>29</xdr:row>
      <xdr:rowOff>56871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BD3D2B10-7BFC-4419-A884-E8CF7603FC7B}"/>
            </a:ext>
          </a:extLst>
        </xdr:cNvPr>
        <xdr:cNvCxnSpPr/>
      </xdr:nvCxnSpPr>
      <xdr:spPr>
        <a:xfrm>
          <a:off x="14472895" y="4615602"/>
          <a:ext cx="6914237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258803</xdr:colOff>
      <xdr:row>29</xdr:row>
      <xdr:rowOff>66345</xdr:rowOff>
    </xdr:from>
    <xdr:to>
      <xdr:col>34</xdr:col>
      <xdr:colOff>30586</xdr:colOff>
      <xdr:row>29</xdr:row>
      <xdr:rowOff>66345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E5D4476B-6844-4D50-AEDA-A49FFC5B6DC2}"/>
            </a:ext>
          </a:extLst>
        </xdr:cNvPr>
        <xdr:cNvCxnSpPr/>
      </xdr:nvCxnSpPr>
      <xdr:spPr>
        <a:xfrm>
          <a:off x="23005072" y="4625076"/>
          <a:ext cx="5714245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339469</xdr:colOff>
      <xdr:row>29</xdr:row>
      <xdr:rowOff>66342</xdr:rowOff>
    </xdr:from>
    <xdr:to>
      <xdr:col>36</xdr:col>
      <xdr:colOff>673882</xdr:colOff>
      <xdr:row>29</xdr:row>
      <xdr:rowOff>66342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22D99015-54E2-44CE-B278-FA6D14DEC058}"/>
            </a:ext>
          </a:extLst>
        </xdr:cNvPr>
        <xdr:cNvCxnSpPr/>
      </xdr:nvCxnSpPr>
      <xdr:spPr>
        <a:xfrm>
          <a:off x="29824320" y="4625073"/>
          <a:ext cx="1130532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188467</xdr:colOff>
      <xdr:row>29</xdr:row>
      <xdr:rowOff>47289</xdr:rowOff>
    </xdr:from>
    <xdr:to>
      <xdr:col>42</xdr:col>
      <xdr:colOff>970093</xdr:colOff>
      <xdr:row>29</xdr:row>
      <xdr:rowOff>47289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97623566-E93C-4D57-99BB-56E1544BED1C}"/>
            </a:ext>
          </a:extLst>
        </xdr:cNvPr>
        <xdr:cNvCxnSpPr/>
      </xdr:nvCxnSpPr>
      <xdr:spPr>
        <a:xfrm>
          <a:off x="31573680" y="4607129"/>
          <a:ext cx="4726732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192400</xdr:colOff>
      <xdr:row>29</xdr:row>
      <xdr:rowOff>47285</xdr:rowOff>
    </xdr:from>
    <xdr:to>
      <xdr:col>44</xdr:col>
      <xdr:colOff>1089123</xdr:colOff>
      <xdr:row>29</xdr:row>
      <xdr:rowOff>47285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F916C95B-3442-4E1D-A65E-2A802D59B322}"/>
            </a:ext>
          </a:extLst>
        </xdr:cNvPr>
        <xdr:cNvCxnSpPr/>
      </xdr:nvCxnSpPr>
      <xdr:spPr>
        <a:xfrm>
          <a:off x="36508996" y="4607125"/>
          <a:ext cx="2004595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69891</xdr:colOff>
      <xdr:row>45</xdr:row>
      <xdr:rowOff>155450</xdr:rowOff>
    </xdr:from>
    <xdr:to>
      <xdr:col>0</xdr:col>
      <xdr:colOff>233527</xdr:colOff>
      <xdr:row>47</xdr:row>
      <xdr:rowOff>4796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5A9BD5FB-CABB-456F-A78C-13658EE7D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91" y="7882472"/>
          <a:ext cx="163636" cy="163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70C4-54DA-4E9D-ABD1-BEB41AA348B3}">
  <dimension ref="A2:AS73"/>
  <sheetViews>
    <sheetView showGridLines="0" tabSelected="1" zoomScale="59" zoomScaleNormal="75" workbookViewId="0"/>
  </sheetViews>
  <sheetFormatPr baseColWidth="10" defaultColWidth="11.36328125" defaultRowHeight="12.5" x14ac:dyDescent="0.25"/>
  <cols>
    <col min="1" max="1" width="5.26953125" style="1" customWidth="1"/>
    <col min="2" max="2" width="19.36328125" style="1" customWidth="1"/>
    <col min="3" max="3" width="13.6328125" style="1" customWidth="1"/>
    <col min="4" max="4" width="11.7265625" style="1" customWidth="1"/>
    <col min="5" max="5" width="10.36328125" style="12" bestFit="1" customWidth="1"/>
    <col min="6" max="6" width="8.36328125" style="1" customWidth="1"/>
    <col min="7" max="7" width="14.26953125" style="1" bestFit="1" customWidth="1"/>
    <col min="8" max="8" width="42.6328125" style="1" bestFit="1" customWidth="1"/>
    <col min="9" max="9" width="10" style="1" customWidth="1"/>
    <col min="10" max="10" width="9.6328125" style="1" bestFit="1" customWidth="1"/>
    <col min="11" max="13" width="8.36328125" style="1" bestFit="1" customWidth="1"/>
    <col min="14" max="14" width="9.36328125" style="1" bestFit="1" customWidth="1"/>
    <col min="15" max="15" width="6.7265625" style="1" bestFit="1" customWidth="1"/>
    <col min="16" max="17" width="10" style="1" customWidth="1"/>
    <col min="18" max="18" width="2.90625" style="1" customWidth="1"/>
    <col min="19" max="19" width="10.1796875" style="1" customWidth="1"/>
    <col min="20" max="20" width="28.08984375" style="1" customWidth="1"/>
    <col min="21" max="21" width="11.36328125" style="1" customWidth="1"/>
    <col min="22" max="22" width="10.26953125" style="1" customWidth="1"/>
    <col min="23" max="23" width="11" style="1" customWidth="1"/>
    <col min="24" max="24" width="10.453125" style="1" customWidth="1"/>
    <col min="25" max="25" width="9.6328125" style="1" customWidth="1"/>
    <col min="26" max="26" width="10.7265625" style="1" customWidth="1"/>
    <col min="27" max="27" width="14.6328125" style="4" customWidth="1"/>
    <col min="28" max="28" width="4.6328125" style="4" customWidth="1"/>
    <col min="29" max="31" width="17" style="1" customWidth="1"/>
    <col min="32" max="37" width="11.36328125" style="1"/>
    <col min="38" max="38" width="4.54296875" style="1" customWidth="1"/>
    <col min="39" max="43" width="14.08984375" style="1" customWidth="1"/>
    <col min="44" max="45" width="15.81640625" style="1" customWidth="1"/>
    <col min="46" max="16384" width="11.36328125" style="1"/>
  </cols>
  <sheetData>
    <row r="2" spans="1:45" ht="22.5" customHeight="1" x14ac:dyDescent="0.25">
      <c r="C2" s="2"/>
      <c r="D2" s="3"/>
      <c r="AA2" s="1"/>
    </row>
    <row r="3" spans="1:45" ht="14.5" x14ac:dyDescent="0.35">
      <c r="B3" s="5"/>
      <c r="C3" s="6"/>
      <c r="D3" s="3"/>
      <c r="AA3"/>
      <c r="AQ3" s="46" t="s">
        <v>26</v>
      </c>
      <c r="AR3" s="46" t="s">
        <v>27</v>
      </c>
      <c r="AS3" s="47" t="s">
        <v>19</v>
      </c>
    </row>
    <row r="4" spans="1:45" ht="14.5" x14ac:dyDescent="0.35">
      <c r="B4" s="38" t="s">
        <v>18</v>
      </c>
      <c r="C4" s="7"/>
      <c r="D4" s="8"/>
      <c r="AA4"/>
      <c r="AQ4" s="73" t="s">
        <v>35</v>
      </c>
      <c r="AR4" s="74" t="s">
        <v>35</v>
      </c>
      <c r="AS4" s="48" t="s">
        <v>51</v>
      </c>
    </row>
    <row r="5" spans="1:45" x14ac:dyDescent="0.25">
      <c r="B5" s="38" t="s">
        <v>36</v>
      </c>
      <c r="C5" s="7"/>
      <c r="D5" s="8"/>
      <c r="AA5" s="1"/>
    </row>
    <row r="6" spans="1:45" x14ac:dyDescent="0.25">
      <c r="B6" s="65" t="s">
        <v>34</v>
      </c>
      <c r="C6" s="7"/>
      <c r="D6" s="8"/>
      <c r="AA6" s="1"/>
    </row>
    <row r="7" spans="1:45" x14ac:dyDescent="0.25">
      <c r="B7" s="66" t="s">
        <v>49</v>
      </c>
      <c r="C7" s="7"/>
      <c r="D7" s="8"/>
      <c r="AA7" s="1"/>
    </row>
    <row r="8" spans="1:45" ht="5.65" customHeight="1" thickBot="1" x14ac:dyDescent="0.3"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</row>
    <row r="9" spans="1:45" ht="13" thickTop="1" x14ac:dyDescent="0.25"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</row>
    <row r="10" spans="1:45" x14ac:dyDescent="0.25">
      <c r="B10" s="43" t="s">
        <v>9</v>
      </c>
      <c r="C10" s="13"/>
      <c r="D10" s="14"/>
      <c r="E10" s="14"/>
      <c r="F10" s="12"/>
      <c r="G10" s="12"/>
      <c r="H10" s="12"/>
      <c r="J10" s="15"/>
      <c r="V10" s="15"/>
      <c r="AA10" s="1"/>
      <c r="AB10" s="16"/>
      <c r="AC10" s="17"/>
      <c r="AD10" s="17"/>
      <c r="AE10" s="17"/>
    </row>
    <row r="11" spans="1:45" ht="7" customHeight="1" x14ac:dyDescent="0.25">
      <c r="B11" s="43"/>
      <c r="C11" s="13"/>
      <c r="D11" s="14"/>
      <c r="E11" s="14"/>
      <c r="F11" s="12"/>
      <c r="G11" s="12"/>
      <c r="H11" s="12"/>
      <c r="J11" s="15"/>
      <c r="V11" s="15"/>
      <c r="AA11" s="1"/>
      <c r="AB11" s="16"/>
      <c r="AC11" s="17"/>
      <c r="AD11" s="17"/>
      <c r="AE11" s="17"/>
    </row>
    <row r="12" spans="1:45" ht="13.5" customHeight="1" x14ac:dyDescent="0.25">
      <c r="B12" s="75" t="s">
        <v>52</v>
      </c>
      <c r="D12" s="12"/>
      <c r="F12" s="12"/>
      <c r="G12" s="12"/>
      <c r="H12" s="12"/>
      <c r="J12" s="15"/>
      <c r="V12" s="15"/>
      <c r="AA12" s="1"/>
      <c r="AB12" s="16"/>
      <c r="AC12" s="17"/>
      <c r="AD12" s="17"/>
      <c r="AE12" s="17"/>
    </row>
    <row r="13" spans="1:45" ht="13.5" customHeight="1" x14ac:dyDescent="0.25">
      <c r="D13" s="12"/>
      <c r="F13" s="12"/>
      <c r="G13" s="12"/>
      <c r="H13" s="12"/>
      <c r="J13" s="15"/>
      <c r="V13" s="15"/>
      <c r="AA13" s="1"/>
      <c r="AB13" s="16"/>
      <c r="AC13" s="17"/>
      <c r="AD13" s="17"/>
      <c r="AE13" s="17"/>
    </row>
    <row r="14" spans="1:45" ht="13.5" customHeight="1" x14ac:dyDescent="0.25">
      <c r="B14" s="40" t="s">
        <v>24</v>
      </c>
      <c r="C14" s="41"/>
      <c r="D14" s="12"/>
      <c r="F14" s="12"/>
      <c r="G14" s="12"/>
      <c r="H14" s="12"/>
      <c r="J14" s="15"/>
      <c r="V14" s="15"/>
      <c r="AA14" s="1"/>
      <c r="AB14" s="16"/>
      <c r="AC14" s="17"/>
      <c r="AD14" s="17"/>
      <c r="AE14" s="17"/>
    </row>
    <row r="15" spans="1:45" ht="6" customHeight="1" x14ac:dyDescent="0.25">
      <c r="A15" s="75"/>
      <c r="B15" s="40"/>
      <c r="C15" s="41"/>
      <c r="D15" s="12"/>
      <c r="F15" s="12"/>
      <c r="G15" s="12"/>
      <c r="H15" s="12"/>
      <c r="J15" s="15"/>
      <c r="V15" s="15"/>
      <c r="AA15" s="1"/>
      <c r="AB15" s="16"/>
      <c r="AC15" s="17"/>
      <c r="AD15" s="17"/>
      <c r="AE15" s="17"/>
    </row>
    <row r="16" spans="1:45" ht="13.5" customHeight="1" x14ac:dyDescent="0.25">
      <c r="B16" s="42"/>
      <c r="C16" s="71" t="s">
        <v>38</v>
      </c>
      <c r="D16" s="71" t="s">
        <v>39</v>
      </c>
      <c r="F16" s="12"/>
      <c r="G16" s="12"/>
      <c r="H16" s="12"/>
      <c r="J16" s="15"/>
      <c r="V16" s="15"/>
      <c r="AA16" s="1"/>
      <c r="AB16" s="16"/>
      <c r="AC16" s="17"/>
      <c r="AD16" s="17"/>
      <c r="AE16" s="17"/>
    </row>
    <row r="17" spans="1:45" ht="13.5" customHeight="1" x14ac:dyDescent="0.25">
      <c r="B17" s="70" t="s">
        <v>28</v>
      </c>
      <c r="C17" s="49" t="s">
        <v>29</v>
      </c>
      <c r="D17" s="49" t="s">
        <v>29</v>
      </c>
      <c r="F17" s="12"/>
      <c r="G17" s="12"/>
      <c r="H17" s="12"/>
      <c r="J17" s="15"/>
      <c r="V17" s="15"/>
      <c r="AA17" s="1"/>
      <c r="AB17" s="16"/>
      <c r="AC17" s="17"/>
      <c r="AD17" s="17"/>
      <c r="AE17" s="17"/>
    </row>
    <row r="18" spans="1:45" ht="13.5" customHeight="1" x14ac:dyDescent="0.25">
      <c r="B18" s="70" t="s">
        <v>30</v>
      </c>
      <c r="C18" s="49" t="s">
        <v>29</v>
      </c>
      <c r="D18" s="49" t="s">
        <v>29</v>
      </c>
      <c r="F18" s="12"/>
      <c r="G18" s="12"/>
      <c r="H18" s="12"/>
      <c r="J18" s="15"/>
      <c r="V18" s="15"/>
      <c r="AA18" s="1"/>
      <c r="AB18" s="16"/>
      <c r="AC18" s="17"/>
      <c r="AD18" s="17"/>
      <c r="AE18" s="17"/>
    </row>
    <row r="19" spans="1:45" ht="13.5" customHeight="1" x14ac:dyDescent="0.25">
      <c r="B19" s="70" t="s">
        <v>31</v>
      </c>
      <c r="C19" s="49" t="s">
        <v>29</v>
      </c>
      <c r="D19" s="49" t="s">
        <v>29</v>
      </c>
      <c r="F19" s="12"/>
      <c r="G19" s="12"/>
      <c r="H19" s="12"/>
      <c r="J19" s="15"/>
      <c r="V19" s="15"/>
      <c r="AA19" s="1"/>
      <c r="AB19" s="16"/>
      <c r="AC19" s="17"/>
      <c r="AD19" s="17"/>
      <c r="AE19" s="17"/>
    </row>
    <row r="20" spans="1:45" ht="13.5" customHeight="1" x14ac:dyDescent="0.25">
      <c r="D20" s="12"/>
      <c r="F20" s="12"/>
      <c r="G20" s="12"/>
      <c r="H20" s="12"/>
      <c r="J20" s="15"/>
      <c r="V20" s="15"/>
      <c r="AA20" s="1"/>
      <c r="AB20" s="16"/>
      <c r="AC20" s="17"/>
      <c r="AD20" s="17"/>
      <c r="AE20" s="17"/>
    </row>
    <row r="21" spans="1:45" x14ac:dyDescent="0.25">
      <c r="B21" s="7"/>
      <c r="C21" s="7"/>
      <c r="D21" s="8"/>
      <c r="AA21" s="1"/>
    </row>
    <row r="22" spans="1:45" x14ac:dyDescent="0.25">
      <c r="B22" s="43" t="s">
        <v>32</v>
      </c>
      <c r="C22" s="26"/>
      <c r="D22" s="27"/>
      <c r="E22" s="27"/>
      <c r="F22" s="12"/>
      <c r="G22" s="12"/>
      <c r="H22" s="12"/>
      <c r="J22" s="15"/>
      <c r="V22" s="15"/>
      <c r="AA22" s="1"/>
      <c r="AB22" s="16"/>
    </row>
    <row r="23" spans="1:45" ht="7" customHeight="1" x14ac:dyDescent="0.25">
      <c r="B23" s="43"/>
      <c r="C23" s="26"/>
      <c r="D23" s="27"/>
      <c r="E23" s="27"/>
      <c r="F23" s="12"/>
      <c r="G23" s="12"/>
      <c r="H23" s="12"/>
      <c r="J23" s="15"/>
      <c r="V23" s="15"/>
      <c r="AA23" s="1"/>
      <c r="AB23" s="16"/>
    </row>
    <row r="24" spans="1:45" x14ac:dyDescent="0.25">
      <c r="A24" s="82" t="s">
        <v>21</v>
      </c>
      <c r="B24" s="81" t="s">
        <v>59</v>
      </c>
      <c r="D24" s="28"/>
      <c r="E24" s="28"/>
      <c r="F24" s="12"/>
      <c r="G24" s="12"/>
      <c r="H24" s="12"/>
      <c r="J24" s="15"/>
      <c r="V24" s="15"/>
      <c r="AA24" s="1"/>
      <c r="AB24" s="16"/>
    </row>
    <row r="25" spans="1:45" x14ac:dyDescent="0.25">
      <c r="A25" s="82" t="s">
        <v>22</v>
      </c>
      <c r="B25" s="76" t="s">
        <v>55</v>
      </c>
      <c r="D25" s="29"/>
      <c r="E25" s="29"/>
      <c r="F25" s="12"/>
      <c r="G25" s="12"/>
      <c r="H25" s="12"/>
      <c r="J25" s="15"/>
      <c r="V25" s="15"/>
      <c r="AA25" s="1"/>
      <c r="AB25" s="16"/>
    </row>
    <row r="26" spans="1:45" x14ac:dyDescent="0.25">
      <c r="A26" s="82" t="s">
        <v>60</v>
      </c>
      <c r="B26" s="77" t="s">
        <v>53</v>
      </c>
      <c r="D26" s="28"/>
      <c r="E26" s="28"/>
      <c r="F26" s="12"/>
      <c r="G26" s="12"/>
      <c r="H26" s="12"/>
      <c r="J26" s="15"/>
      <c r="V26" s="15"/>
      <c r="AA26" s="1"/>
      <c r="AB26" s="16"/>
    </row>
    <row r="27" spans="1:45" x14ac:dyDescent="0.25">
      <c r="A27" s="82" t="s">
        <v>61</v>
      </c>
      <c r="B27" s="78" t="s">
        <v>54</v>
      </c>
      <c r="D27" s="29"/>
      <c r="E27" s="29"/>
      <c r="F27" s="12"/>
      <c r="G27" s="12"/>
      <c r="H27" s="12"/>
      <c r="J27" s="15"/>
      <c r="V27" s="15"/>
      <c r="AA27" s="1"/>
      <c r="AB27" s="16"/>
    </row>
    <row r="28" spans="1:45" x14ac:dyDescent="0.25">
      <c r="B28" s="7"/>
      <c r="C28" s="7"/>
      <c r="D28" s="8"/>
      <c r="AA28" s="1"/>
    </row>
    <row r="29" spans="1:45" x14ac:dyDescent="0.25">
      <c r="B29" s="43" t="s">
        <v>20</v>
      </c>
      <c r="C29" s="7"/>
      <c r="D29" s="8"/>
      <c r="AA29" s="1"/>
    </row>
    <row r="30" spans="1:45" x14ac:dyDescent="0.25">
      <c r="B30" s="7"/>
      <c r="C30" s="7"/>
      <c r="D30" s="12"/>
      <c r="E30" s="1"/>
      <c r="AB30" s="1"/>
    </row>
    <row r="31" spans="1:45" ht="14.5" x14ac:dyDescent="0.35">
      <c r="B31" s="5"/>
      <c r="C31" s="7"/>
      <c r="D31" s="12"/>
      <c r="E31" s="1"/>
      <c r="S31" s="128" t="s">
        <v>64</v>
      </c>
      <c r="T31" s="128"/>
      <c r="U31" s="128"/>
      <c r="V31" s="128"/>
      <c r="W31" s="128" t="s">
        <v>65</v>
      </c>
      <c r="X31" s="128"/>
      <c r="Y31" s="128"/>
      <c r="Z31" s="128"/>
      <c r="AA31" s="129" t="s">
        <v>66</v>
      </c>
      <c r="AB31" s="84"/>
      <c r="AC31" s="132" t="s">
        <v>67</v>
      </c>
      <c r="AD31" s="132"/>
      <c r="AE31" s="132"/>
      <c r="AF31" s="132"/>
      <c r="AG31" s="132"/>
      <c r="AH31" s="132"/>
      <c r="AI31" s="132"/>
      <c r="AJ31" s="132"/>
      <c r="AK31" s="132"/>
      <c r="AL31" s="85"/>
      <c r="AM31" s="118" t="s">
        <v>68</v>
      </c>
      <c r="AN31" s="119"/>
      <c r="AO31" s="119"/>
      <c r="AP31" s="119"/>
      <c r="AQ31" s="119"/>
      <c r="AR31" s="119"/>
      <c r="AS31" s="120"/>
    </row>
    <row r="32" spans="1:45" s="10" customFormat="1" ht="14.5" x14ac:dyDescent="0.35">
      <c r="B32" s="39"/>
      <c r="D32" s="31"/>
      <c r="S32" s="121" t="s">
        <v>69</v>
      </c>
      <c r="T32" s="122"/>
      <c r="U32" s="122"/>
      <c r="V32" s="122"/>
      <c r="W32" s="122"/>
      <c r="X32" s="122"/>
      <c r="Y32" s="122"/>
      <c r="Z32" s="122"/>
      <c r="AA32" s="130"/>
      <c r="AB32" s="86"/>
      <c r="AC32" s="123" t="s">
        <v>70</v>
      </c>
      <c r="AD32" s="123"/>
      <c r="AE32" s="123"/>
      <c r="AF32" s="123"/>
      <c r="AG32" s="123"/>
      <c r="AH32" s="123"/>
      <c r="AI32" s="124" t="s">
        <v>71</v>
      </c>
      <c r="AJ32" s="124"/>
      <c r="AK32" s="124"/>
      <c r="AL32" s="86"/>
      <c r="AM32" s="125" t="s">
        <v>72</v>
      </c>
      <c r="AN32" s="126"/>
      <c r="AO32" s="126"/>
      <c r="AP32" s="126"/>
      <c r="AQ32" s="126"/>
      <c r="AR32" s="126"/>
      <c r="AS32" s="127"/>
    </row>
    <row r="33" spans="2:45" s="11" customFormat="1" ht="54" customHeight="1" x14ac:dyDescent="0.35">
      <c r="B33" s="67" t="s">
        <v>13</v>
      </c>
      <c r="C33" s="67" t="s">
        <v>57</v>
      </c>
      <c r="D33" s="68" t="s">
        <v>8</v>
      </c>
      <c r="E33" s="67" t="s">
        <v>14</v>
      </c>
      <c r="F33" s="67" t="s">
        <v>15</v>
      </c>
      <c r="G33" s="67" t="s">
        <v>37</v>
      </c>
      <c r="H33" s="67" t="s">
        <v>0</v>
      </c>
      <c r="I33" s="69" t="s">
        <v>1</v>
      </c>
      <c r="J33" s="69" t="s">
        <v>2</v>
      </c>
      <c r="K33" s="69" t="s">
        <v>3</v>
      </c>
      <c r="L33" s="69" t="s">
        <v>4</v>
      </c>
      <c r="M33" s="69" t="s">
        <v>5</v>
      </c>
      <c r="N33" s="69" t="s">
        <v>6</v>
      </c>
      <c r="O33" s="69" t="s">
        <v>7</v>
      </c>
      <c r="P33" s="69" t="s">
        <v>16</v>
      </c>
      <c r="Q33" s="69" t="s">
        <v>40</v>
      </c>
      <c r="S33" s="110" t="s">
        <v>73</v>
      </c>
      <c r="T33" s="111" t="s">
        <v>74</v>
      </c>
      <c r="U33" s="112" t="s">
        <v>8</v>
      </c>
      <c r="V33" s="110" t="s">
        <v>75</v>
      </c>
      <c r="W33" s="113" t="s">
        <v>76</v>
      </c>
      <c r="X33" s="113" t="s">
        <v>77</v>
      </c>
      <c r="Y33" s="113" t="s">
        <v>16</v>
      </c>
      <c r="Z33" s="113" t="s">
        <v>17</v>
      </c>
      <c r="AA33" s="131"/>
      <c r="AB33" s="84"/>
      <c r="AC33" s="88" t="s">
        <v>78</v>
      </c>
      <c r="AD33" s="90" t="s">
        <v>8</v>
      </c>
      <c r="AE33" s="91" t="s">
        <v>79</v>
      </c>
      <c r="AF33" s="92" t="s">
        <v>80</v>
      </c>
      <c r="AG33" s="93" t="s">
        <v>81</v>
      </c>
      <c r="AH33" s="92" t="s">
        <v>82</v>
      </c>
      <c r="AI33" s="92" t="s">
        <v>17</v>
      </c>
      <c r="AJ33" s="92" t="s">
        <v>83</v>
      </c>
      <c r="AK33" s="94" t="s">
        <v>84</v>
      </c>
      <c r="AL33" s="95"/>
      <c r="AM33" s="87" t="s">
        <v>78</v>
      </c>
      <c r="AN33" s="87" t="s">
        <v>85</v>
      </c>
      <c r="AO33" s="96" t="s">
        <v>86</v>
      </c>
      <c r="AP33" s="88" t="s">
        <v>8</v>
      </c>
      <c r="AQ33" s="89" t="s">
        <v>87</v>
      </c>
      <c r="AR33" s="97" t="s">
        <v>88</v>
      </c>
      <c r="AS33" s="89" t="s">
        <v>83</v>
      </c>
    </row>
    <row r="34" spans="2:45" ht="14.5" x14ac:dyDescent="0.35">
      <c r="B34" s="58"/>
      <c r="C34" s="58"/>
      <c r="D34" s="59"/>
      <c r="E34" s="60"/>
      <c r="F34" s="61"/>
      <c r="G34" s="62"/>
      <c r="H34" s="60"/>
      <c r="I34" s="63"/>
      <c r="J34" s="64"/>
      <c r="K34" s="64"/>
      <c r="L34" s="64"/>
      <c r="M34" s="64"/>
      <c r="N34" s="64"/>
      <c r="O34" s="63"/>
      <c r="P34" s="63"/>
      <c r="Q34" s="63"/>
      <c r="S34" s="114"/>
      <c r="T34" s="102"/>
      <c r="U34" s="103"/>
      <c r="V34" s="102"/>
      <c r="W34" s="115"/>
      <c r="X34" s="115"/>
      <c r="Y34" s="116">
        <f>+X34*12%</f>
        <v>0</v>
      </c>
      <c r="Z34" s="116">
        <f>+SUM(W34:Y34)</f>
        <v>0</v>
      </c>
      <c r="AA34" s="109">
        <f t="shared" ref="AA34:AA40" si="0">+W34+X34-Q34</f>
        <v>0</v>
      </c>
      <c r="AB34" s="101"/>
      <c r="AC34" s="102"/>
      <c r="AD34" s="103"/>
      <c r="AE34" s="104"/>
      <c r="AF34" s="105">
        <f>+AE34*X34</f>
        <v>0</v>
      </c>
      <c r="AG34" s="106"/>
      <c r="AH34" s="105">
        <f>+AG34*Y34</f>
        <v>0</v>
      </c>
      <c r="AI34" s="105"/>
      <c r="AJ34" s="105">
        <f>+AF34+AH34-AI34</f>
        <v>0</v>
      </c>
      <c r="AK34" s="105">
        <f>+AD34-U34</f>
        <v>0</v>
      </c>
      <c r="AL34" s="86"/>
      <c r="AM34" s="98"/>
      <c r="AN34" s="98"/>
      <c r="AO34" s="98"/>
      <c r="AP34" s="99"/>
      <c r="AQ34" s="107">
        <v>0</v>
      </c>
      <c r="AR34" s="100">
        <f>+Z34-AF34-AH34</f>
        <v>0</v>
      </c>
      <c r="AS34" s="100">
        <f>+AQ34-AR34</f>
        <v>0</v>
      </c>
    </row>
    <row r="35" spans="2:45" ht="14.5" x14ac:dyDescent="0.35">
      <c r="B35" s="83" t="s">
        <v>62</v>
      </c>
      <c r="C35" s="50"/>
      <c r="D35" s="51"/>
      <c r="E35" s="52"/>
      <c r="F35" s="53"/>
      <c r="G35" s="54"/>
      <c r="H35" s="52"/>
      <c r="I35" s="55"/>
      <c r="J35" s="56"/>
      <c r="K35" s="56"/>
      <c r="L35" s="56"/>
      <c r="M35" s="56"/>
      <c r="N35" s="56"/>
      <c r="O35" s="55"/>
      <c r="P35" s="55"/>
      <c r="Q35" s="55"/>
      <c r="S35" s="114"/>
      <c r="T35" s="102"/>
      <c r="U35" s="103"/>
      <c r="V35" s="102"/>
      <c r="W35" s="115"/>
      <c r="X35" s="115"/>
      <c r="Y35" s="116">
        <f t="shared" ref="Y35:Y40" si="1">+X35*12%</f>
        <v>0</v>
      </c>
      <c r="Z35" s="116">
        <f t="shared" ref="Z35:Z40" si="2">+SUM(W35:Y35)</f>
        <v>0</v>
      </c>
      <c r="AA35" s="109">
        <f t="shared" si="0"/>
        <v>0</v>
      </c>
      <c r="AB35" s="101"/>
      <c r="AC35" s="102"/>
      <c r="AD35" s="103"/>
      <c r="AE35" s="104"/>
      <c r="AF35" s="105">
        <f t="shared" ref="AF35:AF40" si="3">+AE35*X35</f>
        <v>0</v>
      </c>
      <c r="AG35" s="106"/>
      <c r="AH35" s="105">
        <f t="shared" ref="AH35:AH40" si="4">+AG35*Y35</f>
        <v>0</v>
      </c>
      <c r="AI35" s="105"/>
      <c r="AJ35" s="105">
        <f t="shared" ref="AJ35:AJ40" si="5">+AF35+AH35-AI35</f>
        <v>0</v>
      </c>
      <c r="AK35" s="105">
        <f t="shared" ref="AK35:AK40" si="6">+AD35-U35</f>
        <v>0</v>
      </c>
      <c r="AL35" s="86"/>
      <c r="AM35" s="98"/>
      <c r="AN35" s="98"/>
      <c r="AO35" s="98"/>
      <c r="AP35" s="99"/>
      <c r="AQ35" s="107">
        <v>0</v>
      </c>
      <c r="AR35" s="100">
        <f t="shared" ref="AR35:AR40" si="7">+Z35-AF35-AH35</f>
        <v>0</v>
      </c>
      <c r="AS35" s="100">
        <f t="shared" ref="AS35:AS40" si="8">+AQ35-AR35</f>
        <v>0</v>
      </c>
    </row>
    <row r="36" spans="2:45" ht="14.5" x14ac:dyDescent="0.35">
      <c r="B36" s="83" t="s">
        <v>63</v>
      </c>
      <c r="C36" s="50"/>
      <c r="D36" s="51"/>
      <c r="E36" s="52"/>
      <c r="F36" s="53"/>
      <c r="G36" s="54"/>
      <c r="H36" s="52"/>
      <c r="I36" s="55"/>
      <c r="J36" s="56"/>
      <c r="K36" s="56"/>
      <c r="L36" s="56"/>
      <c r="M36" s="56"/>
      <c r="N36" s="56"/>
      <c r="O36" s="55"/>
      <c r="P36" s="55"/>
      <c r="Q36" s="55"/>
      <c r="S36" s="117"/>
      <c r="T36" s="117"/>
      <c r="U36" s="117"/>
      <c r="V36" s="117"/>
      <c r="W36" s="115"/>
      <c r="X36" s="115"/>
      <c r="Y36" s="116">
        <f t="shared" si="1"/>
        <v>0</v>
      </c>
      <c r="Z36" s="116">
        <f t="shared" si="2"/>
        <v>0</v>
      </c>
      <c r="AA36" s="109">
        <f t="shared" si="0"/>
        <v>0</v>
      </c>
      <c r="AB36" s="101"/>
      <c r="AC36" s="102"/>
      <c r="AD36" s="103"/>
      <c r="AE36" s="104"/>
      <c r="AF36" s="105">
        <f t="shared" si="3"/>
        <v>0</v>
      </c>
      <c r="AG36" s="106"/>
      <c r="AH36" s="105">
        <f t="shared" si="4"/>
        <v>0</v>
      </c>
      <c r="AI36" s="105"/>
      <c r="AJ36" s="105">
        <f t="shared" si="5"/>
        <v>0</v>
      </c>
      <c r="AK36" s="105">
        <f t="shared" si="6"/>
        <v>0</v>
      </c>
      <c r="AL36" s="86"/>
      <c r="AM36" s="98"/>
      <c r="AN36" s="98"/>
      <c r="AO36" s="98" t="s">
        <v>89</v>
      </c>
      <c r="AP36" s="99"/>
      <c r="AQ36" s="107">
        <v>0</v>
      </c>
      <c r="AR36" s="100">
        <f t="shared" si="7"/>
        <v>0</v>
      </c>
      <c r="AS36" s="100">
        <f t="shared" si="8"/>
        <v>0</v>
      </c>
    </row>
    <row r="37" spans="2:45" ht="14.5" x14ac:dyDescent="0.35">
      <c r="B37" s="50"/>
      <c r="C37" s="50"/>
      <c r="D37" s="51"/>
      <c r="E37" s="52"/>
      <c r="F37" s="53"/>
      <c r="G37" s="54"/>
      <c r="H37" s="52"/>
      <c r="I37" s="55"/>
      <c r="J37" s="56"/>
      <c r="K37" s="56"/>
      <c r="L37" s="56"/>
      <c r="M37" s="56"/>
      <c r="N37" s="56"/>
      <c r="O37" s="55"/>
      <c r="P37" s="55"/>
      <c r="Q37" s="55"/>
      <c r="S37" s="117"/>
      <c r="T37" s="117"/>
      <c r="U37" s="117"/>
      <c r="V37" s="117"/>
      <c r="W37" s="115"/>
      <c r="X37" s="115"/>
      <c r="Y37" s="116">
        <f t="shared" si="1"/>
        <v>0</v>
      </c>
      <c r="Z37" s="116">
        <f t="shared" si="2"/>
        <v>0</v>
      </c>
      <c r="AA37" s="109">
        <f t="shared" si="0"/>
        <v>0</v>
      </c>
      <c r="AB37" s="101"/>
      <c r="AC37" s="102"/>
      <c r="AD37" s="103"/>
      <c r="AE37" s="104"/>
      <c r="AF37" s="105">
        <f t="shared" si="3"/>
        <v>0</v>
      </c>
      <c r="AG37" s="106"/>
      <c r="AH37" s="105">
        <f t="shared" si="4"/>
        <v>0</v>
      </c>
      <c r="AI37" s="105"/>
      <c r="AJ37" s="105">
        <f t="shared" si="5"/>
        <v>0</v>
      </c>
      <c r="AK37" s="105">
        <f t="shared" si="6"/>
        <v>0</v>
      </c>
      <c r="AL37" s="86"/>
      <c r="AM37" s="98"/>
      <c r="AN37" s="98"/>
      <c r="AO37" s="98"/>
      <c r="AP37" s="99"/>
      <c r="AQ37" s="107">
        <v>0</v>
      </c>
      <c r="AR37" s="100">
        <f t="shared" si="7"/>
        <v>0</v>
      </c>
      <c r="AS37" s="100">
        <f t="shared" si="8"/>
        <v>0</v>
      </c>
    </row>
    <row r="38" spans="2:45" ht="14.5" x14ac:dyDescent="0.35">
      <c r="B38" s="50"/>
      <c r="C38" s="50"/>
      <c r="D38" s="51"/>
      <c r="E38" s="52"/>
      <c r="F38" s="53"/>
      <c r="G38" s="54"/>
      <c r="H38" s="52"/>
      <c r="I38" s="55"/>
      <c r="J38" s="56"/>
      <c r="K38" s="56"/>
      <c r="L38" s="56"/>
      <c r="M38" s="56"/>
      <c r="N38" s="56"/>
      <c r="O38" s="55"/>
      <c r="P38" s="55"/>
      <c r="Q38" s="55"/>
      <c r="S38" s="117"/>
      <c r="T38" s="117"/>
      <c r="U38" s="117"/>
      <c r="V38" s="117"/>
      <c r="W38" s="115"/>
      <c r="X38" s="115"/>
      <c r="Y38" s="116">
        <f t="shared" si="1"/>
        <v>0</v>
      </c>
      <c r="Z38" s="116">
        <f t="shared" si="2"/>
        <v>0</v>
      </c>
      <c r="AA38" s="109">
        <f t="shared" si="0"/>
        <v>0</v>
      </c>
      <c r="AB38" s="101"/>
      <c r="AC38" s="102"/>
      <c r="AD38" s="103"/>
      <c r="AE38" s="104"/>
      <c r="AF38" s="105">
        <f t="shared" si="3"/>
        <v>0</v>
      </c>
      <c r="AG38" s="106"/>
      <c r="AH38" s="105">
        <f t="shared" si="4"/>
        <v>0</v>
      </c>
      <c r="AI38" s="105"/>
      <c r="AJ38" s="105">
        <f t="shared" si="5"/>
        <v>0</v>
      </c>
      <c r="AK38" s="105">
        <f t="shared" si="6"/>
        <v>0</v>
      </c>
      <c r="AL38" s="86"/>
      <c r="AM38" s="98"/>
      <c r="AN38" s="98"/>
      <c r="AO38" s="98"/>
      <c r="AP38" s="99"/>
      <c r="AQ38" s="107">
        <v>0</v>
      </c>
      <c r="AR38" s="100">
        <f t="shared" si="7"/>
        <v>0</v>
      </c>
      <c r="AS38" s="100">
        <f t="shared" si="8"/>
        <v>0</v>
      </c>
    </row>
    <row r="39" spans="2:45" ht="14.5" x14ac:dyDescent="0.35">
      <c r="B39" s="50"/>
      <c r="C39" s="50"/>
      <c r="D39" s="51"/>
      <c r="E39" s="52"/>
      <c r="F39" s="57"/>
      <c r="G39" s="54"/>
      <c r="H39" s="52"/>
      <c r="I39" s="55"/>
      <c r="J39" s="56"/>
      <c r="K39" s="56"/>
      <c r="L39" s="56"/>
      <c r="M39" s="56"/>
      <c r="N39" s="56"/>
      <c r="O39" s="55"/>
      <c r="P39" s="55"/>
      <c r="Q39" s="55"/>
      <c r="S39" s="117"/>
      <c r="T39" s="117"/>
      <c r="U39" s="117"/>
      <c r="V39" s="117"/>
      <c r="W39" s="115"/>
      <c r="X39" s="115"/>
      <c r="Y39" s="116">
        <f t="shared" si="1"/>
        <v>0</v>
      </c>
      <c r="Z39" s="116">
        <f t="shared" si="2"/>
        <v>0</v>
      </c>
      <c r="AA39" s="109">
        <f t="shared" si="0"/>
        <v>0</v>
      </c>
      <c r="AB39" s="101"/>
      <c r="AC39" s="102"/>
      <c r="AD39" s="103"/>
      <c r="AE39" s="104"/>
      <c r="AF39" s="105">
        <f t="shared" si="3"/>
        <v>0</v>
      </c>
      <c r="AG39" s="106"/>
      <c r="AH39" s="105">
        <f t="shared" si="4"/>
        <v>0</v>
      </c>
      <c r="AI39" s="105"/>
      <c r="AJ39" s="105">
        <f t="shared" si="5"/>
        <v>0</v>
      </c>
      <c r="AK39" s="105">
        <f t="shared" si="6"/>
        <v>0</v>
      </c>
      <c r="AL39" s="86"/>
      <c r="AM39" s="98"/>
      <c r="AN39" s="98"/>
      <c r="AO39" s="98"/>
      <c r="AP39" s="99"/>
      <c r="AQ39" s="107">
        <v>0</v>
      </c>
      <c r="AR39" s="100">
        <f t="shared" si="7"/>
        <v>0</v>
      </c>
      <c r="AS39" s="100">
        <f t="shared" si="8"/>
        <v>0</v>
      </c>
    </row>
    <row r="40" spans="2:45" ht="14.5" x14ac:dyDescent="0.35">
      <c r="B40" s="50"/>
      <c r="C40" s="50"/>
      <c r="D40" s="51"/>
      <c r="E40" s="52"/>
      <c r="F40" s="57"/>
      <c r="G40" s="54"/>
      <c r="H40" s="52"/>
      <c r="I40" s="55"/>
      <c r="J40" s="56"/>
      <c r="K40" s="56"/>
      <c r="L40" s="56"/>
      <c r="M40" s="56"/>
      <c r="N40" s="56"/>
      <c r="O40" s="55"/>
      <c r="P40" s="55"/>
      <c r="Q40" s="55"/>
      <c r="S40" s="117"/>
      <c r="T40" s="117"/>
      <c r="U40" s="117"/>
      <c r="V40" s="117"/>
      <c r="W40" s="115"/>
      <c r="X40" s="115"/>
      <c r="Y40" s="116">
        <f t="shared" si="1"/>
        <v>0</v>
      </c>
      <c r="Z40" s="116">
        <f t="shared" si="2"/>
        <v>0</v>
      </c>
      <c r="AA40" s="109">
        <f t="shared" si="0"/>
        <v>0</v>
      </c>
      <c r="AB40" s="101"/>
      <c r="AC40" s="102"/>
      <c r="AD40" s="103"/>
      <c r="AE40" s="104"/>
      <c r="AF40" s="105">
        <f t="shared" si="3"/>
        <v>0</v>
      </c>
      <c r="AG40" s="106"/>
      <c r="AH40" s="105">
        <f t="shared" si="4"/>
        <v>0</v>
      </c>
      <c r="AI40" s="105"/>
      <c r="AJ40" s="105">
        <f t="shared" si="5"/>
        <v>0</v>
      </c>
      <c r="AK40" s="105">
        <f t="shared" si="6"/>
        <v>0</v>
      </c>
      <c r="AL40" s="86"/>
      <c r="AM40" s="98"/>
      <c r="AN40" s="98"/>
      <c r="AO40" s="98"/>
      <c r="AP40" s="99"/>
      <c r="AQ40" s="107">
        <v>0</v>
      </c>
      <c r="AR40" s="100">
        <f t="shared" si="7"/>
        <v>0</v>
      </c>
      <c r="AS40" s="100">
        <f t="shared" si="8"/>
        <v>0</v>
      </c>
    </row>
    <row r="41" spans="2:45" ht="7" customHeight="1" x14ac:dyDescent="0.35">
      <c r="B41" s="32"/>
      <c r="C41" s="32"/>
      <c r="D41" s="33"/>
      <c r="E41" s="34"/>
      <c r="F41" s="37"/>
      <c r="G41" s="35"/>
      <c r="H41" s="34"/>
      <c r="I41" s="30"/>
      <c r="J41" s="36"/>
      <c r="K41" s="36"/>
      <c r="L41" s="36"/>
      <c r="M41" s="36"/>
      <c r="N41" s="36"/>
      <c r="O41" s="30"/>
      <c r="P41" s="30"/>
      <c r="Q41" s="30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 spans="2:45" ht="15" thickBot="1" x14ac:dyDescent="0.4">
      <c r="B42" s="18"/>
      <c r="C42" s="19"/>
      <c r="D42" s="20"/>
      <c r="F42" s="12"/>
      <c r="G42" s="12"/>
      <c r="I42" s="15"/>
      <c r="S42"/>
      <c r="T42"/>
      <c r="U42"/>
      <c r="V42"/>
      <c r="W42"/>
      <c r="X42"/>
      <c r="Y42"/>
      <c r="Z42" s="35"/>
      <c r="AA42" s="108">
        <f>+SUM(AA34:AA40)</f>
        <v>0</v>
      </c>
      <c r="AB42"/>
      <c r="AC42"/>
      <c r="AD42"/>
      <c r="AE42"/>
      <c r="AF42"/>
      <c r="AG42"/>
      <c r="AH42"/>
      <c r="AI42" s="35"/>
      <c r="AJ42" s="108">
        <f>+SUM(AJ34:AJ40)</f>
        <v>0</v>
      </c>
      <c r="AK42"/>
      <c r="AL42"/>
      <c r="AM42"/>
      <c r="AN42"/>
      <c r="AO42"/>
      <c r="AP42"/>
      <c r="AQ42"/>
      <c r="AR42" s="35"/>
      <c r="AS42" s="108">
        <f>+SUM(AS34:AS40)</f>
        <v>0</v>
      </c>
    </row>
    <row r="43" spans="2:45" ht="13" thickTop="1" x14ac:dyDescent="0.25">
      <c r="B43" s="43" t="s">
        <v>25</v>
      </c>
      <c r="D43" s="20"/>
      <c r="E43" s="20"/>
      <c r="F43" s="12"/>
      <c r="G43" s="12"/>
      <c r="H43" s="12"/>
      <c r="J43" s="15"/>
      <c r="V43" s="15"/>
      <c r="AA43" s="1"/>
      <c r="AB43" s="16"/>
      <c r="AC43" s="17"/>
      <c r="AD43" s="17"/>
      <c r="AE43" s="17"/>
    </row>
    <row r="44" spans="2:45" ht="7" customHeight="1" x14ac:dyDescent="0.25">
      <c r="B44" s="43"/>
      <c r="D44" s="20"/>
      <c r="E44" s="20"/>
      <c r="F44" s="12"/>
      <c r="G44" s="12"/>
      <c r="H44" s="12"/>
      <c r="J44" s="15"/>
      <c r="V44" s="15"/>
      <c r="AA44" s="1"/>
      <c r="AB44" s="16"/>
      <c r="AC44" s="17"/>
      <c r="AD44" s="17"/>
      <c r="AE44" s="17"/>
    </row>
    <row r="45" spans="2:45" x14ac:dyDescent="0.25">
      <c r="B45" s="80" t="s">
        <v>58</v>
      </c>
      <c r="D45" s="20"/>
      <c r="E45" s="20"/>
      <c r="F45" s="12"/>
      <c r="G45" s="12"/>
      <c r="J45" s="15"/>
      <c r="V45" s="15"/>
      <c r="AA45" s="1"/>
      <c r="AB45" s="16"/>
    </row>
    <row r="46" spans="2:45" x14ac:dyDescent="0.25">
      <c r="B46" s="1" t="s">
        <v>33</v>
      </c>
      <c r="D46" s="20"/>
      <c r="E46" s="20"/>
      <c r="F46" s="12"/>
      <c r="G46" s="12"/>
      <c r="J46" s="15"/>
      <c r="V46" s="15"/>
      <c r="AA46" s="1"/>
      <c r="AB46" s="16"/>
    </row>
    <row r="47" spans="2:45" x14ac:dyDescent="0.25">
      <c r="B47" s="1" t="s">
        <v>90</v>
      </c>
      <c r="D47" s="20"/>
      <c r="E47" s="20"/>
      <c r="F47" s="12"/>
      <c r="G47" s="12"/>
      <c r="J47" s="15"/>
      <c r="V47" s="15"/>
      <c r="AA47" s="1"/>
      <c r="AB47" s="16"/>
    </row>
    <row r="48" spans="2:45" x14ac:dyDescent="0.25">
      <c r="D48" s="20"/>
      <c r="E48" s="20"/>
      <c r="F48" s="12"/>
      <c r="G48" s="12"/>
      <c r="J48" s="15"/>
      <c r="V48" s="15"/>
      <c r="AA48" s="1"/>
      <c r="AB48" s="16"/>
    </row>
    <row r="49" spans="1:28" x14ac:dyDescent="0.25">
      <c r="B49" s="43" t="s">
        <v>50</v>
      </c>
      <c r="D49" s="21"/>
      <c r="E49" s="21"/>
      <c r="F49" s="12"/>
      <c r="G49" s="12"/>
      <c r="H49" s="12"/>
      <c r="J49" s="15"/>
      <c r="V49" s="15"/>
      <c r="AA49" s="1"/>
      <c r="AB49" s="16"/>
    </row>
    <row r="50" spans="1:28" ht="7" customHeight="1" x14ac:dyDescent="0.25">
      <c r="B50" s="43"/>
      <c r="D50" s="21"/>
      <c r="E50" s="21"/>
      <c r="F50" s="12"/>
      <c r="G50" s="12"/>
      <c r="J50" s="15"/>
      <c r="V50" s="15"/>
      <c r="AA50" s="1"/>
      <c r="AB50" s="16"/>
    </row>
    <row r="51" spans="1:28" x14ac:dyDescent="0.25">
      <c r="A51" s="9" t="s">
        <v>10</v>
      </c>
      <c r="B51" s="22"/>
      <c r="D51" s="12"/>
      <c r="F51" s="12"/>
      <c r="G51" s="12"/>
      <c r="J51" s="15"/>
      <c r="V51" s="15"/>
      <c r="AA51" s="1"/>
      <c r="AB51" s="16"/>
    </row>
    <row r="52" spans="1:28" x14ac:dyDescent="0.25">
      <c r="A52" s="9" t="s">
        <v>11</v>
      </c>
      <c r="B52" s="23"/>
      <c r="D52" s="21"/>
      <c r="E52" s="21"/>
      <c r="F52" s="12"/>
      <c r="G52" s="12"/>
      <c r="H52" s="12"/>
      <c r="J52" s="15"/>
      <c r="V52" s="15"/>
      <c r="AA52" s="1"/>
      <c r="AB52" s="16"/>
    </row>
    <row r="53" spans="1:28" x14ac:dyDescent="0.25">
      <c r="A53" s="9" t="s">
        <v>12</v>
      </c>
      <c r="D53" s="21"/>
      <c r="E53" s="21"/>
      <c r="F53" s="12"/>
      <c r="G53" s="12"/>
      <c r="H53" s="72"/>
      <c r="J53" s="15"/>
      <c r="V53" s="15"/>
      <c r="AA53" s="1"/>
      <c r="AB53" s="16"/>
    </row>
    <row r="54" spans="1:28" x14ac:dyDescent="0.25">
      <c r="A54" s="9"/>
      <c r="D54" s="21"/>
      <c r="E54" s="21"/>
      <c r="F54" s="12"/>
      <c r="G54" s="12"/>
      <c r="H54" s="12"/>
      <c r="J54" s="15"/>
      <c r="V54" s="15"/>
      <c r="AA54" s="1"/>
      <c r="AB54" s="16"/>
    </row>
    <row r="55" spans="1:28" x14ac:dyDescent="0.25">
      <c r="B55" s="43" t="s">
        <v>45</v>
      </c>
      <c r="D55" s="21"/>
      <c r="E55" s="21"/>
      <c r="F55" s="12"/>
      <c r="G55" s="12"/>
      <c r="H55" s="12"/>
      <c r="J55" s="15"/>
      <c r="V55" s="15"/>
      <c r="AA55" s="1"/>
      <c r="AB55" s="16"/>
    </row>
    <row r="56" spans="1:28" ht="7" customHeight="1" x14ac:dyDescent="0.25">
      <c r="B56" s="43"/>
      <c r="D56" s="21"/>
      <c r="E56" s="21"/>
      <c r="F56" s="12"/>
      <c r="G56" s="12"/>
      <c r="H56" s="12"/>
      <c r="J56" s="15"/>
      <c r="V56" s="15"/>
      <c r="AA56" s="1"/>
      <c r="AB56" s="16"/>
    </row>
    <row r="57" spans="1:28" x14ac:dyDescent="0.25">
      <c r="A57" s="9" t="s">
        <v>46</v>
      </c>
      <c r="B57" s="22"/>
      <c r="D57" s="12"/>
      <c r="F57" s="12"/>
      <c r="G57" s="12"/>
      <c r="H57" s="12"/>
      <c r="J57" s="15"/>
      <c r="V57" s="15"/>
      <c r="AA57" s="1"/>
      <c r="AB57" s="16"/>
    </row>
    <row r="58" spans="1:28" x14ac:dyDescent="0.25">
      <c r="A58" s="9" t="s">
        <v>47</v>
      </c>
      <c r="B58" s="23"/>
      <c r="D58" s="21"/>
      <c r="E58" s="21"/>
      <c r="F58" s="12"/>
      <c r="G58" s="12"/>
      <c r="H58" s="12"/>
      <c r="J58" s="15"/>
      <c r="V58" s="15"/>
      <c r="AA58" s="1"/>
      <c r="AB58" s="16"/>
    </row>
    <row r="59" spans="1:28" x14ac:dyDescent="0.25">
      <c r="A59" s="9" t="s">
        <v>48</v>
      </c>
      <c r="D59" s="21"/>
      <c r="E59" s="21"/>
      <c r="F59" s="12"/>
      <c r="G59" s="12"/>
      <c r="H59" s="12"/>
      <c r="J59" s="15"/>
      <c r="V59" s="15"/>
      <c r="AA59" s="1"/>
      <c r="AB59" s="16"/>
    </row>
    <row r="60" spans="1:28" ht="13.5" customHeight="1" x14ac:dyDescent="0.25">
      <c r="B60" s="24"/>
      <c r="C60" s="23"/>
      <c r="D60" s="25"/>
      <c r="E60" s="25"/>
      <c r="F60" s="23"/>
      <c r="G60" s="23"/>
      <c r="H60" s="23"/>
      <c r="J60" s="15"/>
      <c r="V60" s="15"/>
      <c r="AA60" s="1"/>
      <c r="AB60" s="16"/>
    </row>
    <row r="61" spans="1:28" x14ac:dyDescent="0.25">
      <c r="B61" s="43" t="s">
        <v>41</v>
      </c>
      <c r="D61" s="21"/>
      <c r="E61" s="21"/>
      <c r="F61" s="12"/>
      <c r="G61" s="12"/>
      <c r="H61" s="12"/>
      <c r="J61" s="15"/>
      <c r="V61" s="15"/>
      <c r="AA61" s="1"/>
      <c r="AB61" s="16"/>
    </row>
    <row r="62" spans="1:28" ht="7" customHeight="1" x14ac:dyDescent="0.25">
      <c r="B62" s="43"/>
      <c r="D62" s="21"/>
      <c r="E62" s="21"/>
      <c r="F62" s="12"/>
      <c r="G62" s="12"/>
      <c r="H62" s="12"/>
      <c r="J62" s="15"/>
      <c r="V62" s="15"/>
      <c r="AA62" s="1"/>
      <c r="AB62" s="16"/>
    </row>
    <row r="63" spans="1:28" x14ac:dyDescent="0.25">
      <c r="A63" s="9" t="s">
        <v>42</v>
      </c>
      <c r="B63" s="22"/>
      <c r="D63" s="12"/>
      <c r="F63" s="12"/>
      <c r="G63" s="12"/>
      <c r="H63" s="12"/>
      <c r="J63" s="15"/>
      <c r="V63" s="15"/>
      <c r="AA63" s="1"/>
      <c r="AB63" s="16"/>
    </row>
    <row r="64" spans="1:28" x14ac:dyDescent="0.25">
      <c r="A64" s="9" t="s">
        <v>43</v>
      </c>
      <c r="B64" s="23"/>
      <c r="D64" s="21"/>
      <c r="E64" s="21"/>
      <c r="F64" s="12"/>
      <c r="G64" s="12"/>
      <c r="H64" s="12"/>
      <c r="J64" s="15"/>
      <c r="V64" s="15"/>
      <c r="AA64" s="1"/>
      <c r="AB64" s="16"/>
    </row>
    <row r="65" spans="1:28" x14ac:dyDescent="0.25">
      <c r="A65" s="9" t="s">
        <v>44</v>
      </c>
      <c r="D65" s="21"/>
      <c r="E65" s="21"/>
      <c r="F65" s="12"/>
      <c r="G65" s="12"/>
      <c r="H65" s="12"/>
      <c r="J65" s="15"/>
      <c r="V65" s="15"/>
      <c r="AA65" s="1"/>
      <c r="AB65" s="16"/>
    </row>
    <row r="66" spans="1:28" x14ac:dyDescent="0.25">
      <c r="A66" s="9"/>
      <c r="D66" s="21"/>
      <c r="E66" s="21"/>
      <c r="F66" s="12"/>
      <c r="G66" s="12"/>
      <c r="H66" s="12"/>
      <c r="J66" s="15"/>
      <c r="V66" s="15"/>
      <c r="AA66" s="1"/>
      <c r="AB66" s="16"/>
    </row>
    <row r="67" spans="1:28" x14ac:dyDescent="0.25">
      <c r="B67" s="43" t="s">
        <v>23</v>
      </c>
      <c r="D67" s="12"/>
      <c r="F67" s="12"/>
      <c r="G67" s="12"/>
      <c r="H67" s="12"/>
      <c r="J67" s="15"/>
      <c r="V67" s="15"/>
      <c r="AA67" s="1"/>
      <c r="AB67" s="16"/>
    </row>
    <row r="68" spans="1:28" ht="7" customHeight="1" x14ac:dyDescent="0.25">
      <c r="B68" s="43"/>
      <c r="D68" s="21"/>
      <c r="E68" s="21"/>
      <c r="F68" s="12"/>
      <c r="G68" s="12"/>
      <c r="H68" s="12"/>
      <c r="J68" s="15"/>
      <c r="V68" s="15"/>
      <c r="AA68" s="1"/>
      <c r="AB68" s="16"/>
    </row>
    <row r="69" spans="1:28" x14ac:dyDescent="0.25">
      <c r="B69" s="79" t="s">
        <v>56</v>
      </c>
      <c r="D69" s="12"/>
      <c r="F69" s="12"/>
      <c r="G69" s="12"/>
      <c r="H69" s="12"/>
      <c r="J69" s="15"/>
      <c r="V69" s="15"/>
      <c r="AA69" s="1"/>
      <c r="AB69" s="16"/>
    </row>
    <row r="70" spans="1:28" x14ac:dyDescent="0.25">
      <c r="D70" s="12"/>
      <c r="F70" s="12"/>
      <c r="G70" s="12"/>
      <c r="H70" s="12"/>
      <c r="J70" s="15"/>
      <c r="V70" s="15"/>
      <c r="AA70" s="1"/>
      <c r="AB70" s="16"/>
    </row>
    <row r="71" spans="1:28" x14ac:dyDescent="0.25">
      <c r="D71" s="12"/>
      <c r="F71" s="12"/>
      <c r="G71" s="12"/>
      <c r="H71" s="12"/>
      <c r="J71" s="15"/>
      <c r="V71" s="15"/>
      <c r="AA71" s="1"/>
      <c r="AB71" s="16"/>
    </row>
    <row r="72" spans="1:28" x14ac:dyDescent="0.25">
      <c r="D72" s="12"/>
      <c r="F72" s="12"/>
      <c r="G72" s="12"/>
      <c r="H72" s="12"/>
      <c r="J72" s="15"/>
      <c r="V72" s="15"/>
      <c r="AA72" s="1"/>
      <c r="AB72" s="16"/>
    </row>
    <row r="73" spans="1:28" x14ac:dyDescent="0.25">
      <c r="D73" s="12"/>
      <c r="F73" s="12"/>
      <c r="G73" s="12"/>
      <c r="H73" s="12"/>
      <c r="J73" s="15"/>
      <c r="V73" s="15"/>
      <c r="AA73" s="1"/>
      <c r="AB73" s="16"/>
    </row>
  </sheetData>
  <mergeCells count="9">
    <mergeCell ref="AM31:AS31"/>
    <mergeCell ref="S32:Z32"/>
    <mergeCell ref="AC32:AH32"/>
    <mergeCell ref="AI32:AK32"/>
    <mergeCell ref="AM32:AS32"/>
    <mergeCell ref="S31:V31"/>
    <mergeCell ref="W31:Z31"/>
    <mergeCell ref="AA31:AA33"/>
    <mergeCell ref="AC31:AK31"/>
  </mergeCells>
  <pageMargins left="0.7" right="0.7" top="0.75" bottom="0.75" header="0.3" footer="0.3"/>
  <pageSetup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425.06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Guerra</dc:creator>
  <cp:lastModifiedBy>Admin</cp:lastModifiedBy>
  <dcterms:created xsi:type="dcterms:W3CDTF">2019-01-31T19:59:46Z</dcterms:created>
  <dcterms:modified xsi:type="dcterms:W3CDTF">2026-04-17T03:35:48Z</dcterms:modified>
</cp:coreProperties>
</file>