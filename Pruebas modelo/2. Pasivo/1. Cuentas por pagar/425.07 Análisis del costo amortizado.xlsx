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1. Cuentas por pagar\"/>
    </mc:Choice>
  </mc:AlternateContent>
  <xr:revisionPtr revIDLastSave="0" documentId="13_ncr:1_{E918D83D-1C5A-40C1-9B0E-6CE8A95D1EFA}" xr6:coauthVersionLast="47" xr6:coauthVersionMax="47" xr10:uidLastSave="{00000000-0000-0000-0000-000000000000}"/>
  <bookViews>
    <workbookView xWindow="-110" yWindow="-110" windowWidth="19420" windowHeight="10300" xr2:uid="{378E279C-52ED-48B2-B7EF-45E7279A0C40}"/>
  </bookViews>
  <sheets>
    <sheet name="425.07" sheetId="1" r:id="rId1"/>
    <sheet name="425.07.01" sheetId="2" r:id="rId2"/>
    <sheet name="Ba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9" i="1" l="1"/>
  <c r="D119" i="1" l="1"/>
  <c r="D105" i="1"/>
  <c r="D78" i="1"/>
  <c r="D85" i="1" s="1"/>
  <c r="D94" i="1"/>
  <c r="E85" i="1" l="1"/>
  <c r="F83" i="1"/>
  <c r="F82" i="1"/>
  <c r="F81" i="1"/>
  <c r="F80" i="1"/>
  <c r="F79" i="1"/>
  <c r="F78" i="1"/>
  <c r="F70" i="1"/>
  <c r="D122" i="1" s="1"/>
  <c r="D125" i="1" s="1"/>
  <c r="E70" i="1"/>
  <c r="D107" i="1" s="1"/>
  <c r="D70" i="1"/>
  <c r="G68" i="1"/>
  <c r="G67" i="1"/>
  <c r="G66" i="1"/>
  <c r="G65" i="1"/>
  <c r="G64" i="1"/>
  <c r="G63" i="1"/>
  <c r="G62" i="1"/>
  <c r="G61" i="1"/>
  <c r="G60" i="1"/>
  <c r="O54" i="1"/>
  <c r="K54" i="1"/>
  <c r="R52" i="1"/>
  <c r="S52" i="1" s="1"/>
  <c r="T52" i="1" s="1"/>
  <c r="U52" i="1" s="1"/>
  <c r="R51" i="1"/>
  <c r="S51" i="1" s="1"/>
  <c r="T51" i="1" s="1"/>
  <c r="U51" i="1" s="1"/>
  <c r="R50" i="1"/>
  <c r="S50" i="1" s="1"/>
  <c r="T50" i="1" s="1"/>
  <c r="U50" i="1" s="1"/>
  <c r="R49" i="1"/>
  <c r="S49" i="1" s="1"/>
  <c r="T49" i="1" s="1"/>
  <c r="U49" i="1" s="1"/>
  <c r="R48" i="1"/>
  <c r="S48" i="1" s="1"/>
  <c r="T48" i="1" s="1"/>
  <c r="U48" i="1" s="1"/>
  <c r="R47" i="1"/>
  <c r="S47" i="1" s="1"/>
  <c r="T47" i="1" s="1"/>
  <c r="U47" i="1" s="1"/>
  <c r="U54" i="1" s="1"/>
  <c r="D96" i="1" s="1"/>
  <c r="D97" i="1" s="1"/>
  <c r="G70" i="1" l="1"/>
  <c r="F85" i="1"/>
</calcChain>
</file>

<file path=xl/sharedStrings.xml><?xml version="1.0" encoding="utf-8"?>
<sst xmlns="http://schemas.openxmlformats.org/spreadsheetml/2006/main" count="142" uniqueCount="114">
  <si>
    <t>Preparado por:</t>
  </si>
  <si>
    <t>Revisado por:</t>
  </si>
  <si>
    <t>Ref.</t>
  </si>
  <si>
    <t>XX</t>
  </si>
  <si>
    <t>425.07</t>
  </si>
  <si>
    <t>COMPAÑÍA MODELO S.A.</t>
  </si>
  <si>
    <t>ANÁLISIS DEL COSTO AMORTIZADO</t>
  </si>
  <si>
    <t>AL 31 DE DICIEMBRE DE 20XX</t>
  </si>
  <si>
    <t>FECHA DE CORTE: _ / _ / 20XX</t>
  </si>
  <si>
    <t>Objetivo: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</si>
  <si>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</si>
  <si>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</si>
  <si>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</si>
  <si>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</si>
  <si>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</si>
  <si>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</si>
  <si>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</si>
  <si>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Procedimiento:</t>
  </si>
  <si>
    <t>1.-</t>
  </si>
  <si>
    <t>2.-</t>
  </si>
  <si>
    <t>3.-</t>
  </si>
  <si>
    <t>4.-</t>
  </si>
  <si>
    <t>5.-</t>
  </si>
  <si>
    <t>6.-</t>
  </si>
  <si>
    <t>Desarrollo:</t>
  </si>
  <si>
    <t>Tasa utilizada</t>
  </si>
  <si>
    <t>Comentario</t>
  </si>
  <si>
    <t xml:space="preserve">Fecha </t>
  </si>
  <si>
    <t>_ /_ /20XX</t>
  </si>
  <si>
    <t>p/t 425.07.01</t>
  </si>
  <si>
    <t>Código de proveedor</t>
  </si>
  <si>
    <t>Nombre de acreedor</t>
  </si>
  <si>
    <t>Tipo</t>
  </si>
  <si>
    <t>Fecha de contabilización</t>
  </si>
  <si>
    <t>Fecha de vencimiento</t>
  </si>
  <si>
    <t>Número de referencia del SN</t>
  </si>
  <si>
    <t>Saldo</t>
  </si>
  <si>
    <t>Días cálculo</t>
  </si>
  <si>
    <t>Tasa diaria</t>
  </si>
  <si>
    <t>VNA</t>
  </si>
  <si>
    <t>Interés Implícito</t>
  </si>
  <si>
    <t>Deterioro</t>
  </si>
  <si>
    <t>a</t>
  </si>
  <si>
    <t>Días por vencer</t>
  </si>
  <si>
    <t>T%</t>
  </si>
  <si>
    <t>Valor presente</t>
  </si>
  <si>
    <t>[1]</t>
  </si>
  <si>
    <t>Movimiento costo amortizado:</t>
  </si>
  <si>
    <t>Nombre cuenta contable</t>
  </si>
  <si>
    <t>Gasto</t>
  </si>
  <si>
    <t>Ingreso</t>
  </si>
  <si>
    <t>p/t 425</t>
  </si>
  <si>
    <t>[2]</t>
  </si>
  <si>
    <t>[3]</t>
  </si>
  <si>
    <t>Código cuenta contable</t>
  </si>
  <si>
    <t>Saldo según detalle</t>
  </si>
  <si>
    <t>Diferencia</t>
  </si>
  <si>
    <t>Saldo según EEFF al _/_/20xx</t>
  </si>
  <si>
    <t>pt/1600.XX</t>
  </si>
  <si>
    <t>p/t 1500.XX</t>
  </si>
  <si>
    <t>Marcas de auditoría:</t>
  </si>
  <si>
    <t>Sumatoria</t>
  </si>
  <si>
    <t>Verificaciones: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</si>
  <si>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</si>
  <si>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</si>
  <si>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</si>
  <si>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</si>
  <si>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</si>
  <si>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</si>
  <si>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</si>
  <si>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</si>
  <si>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</si>
  <si>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</si>
  <si>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</si>
  <si>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Conclusión:</t>
  </si>
  <si>
    <t>*** Concluir en función del objetivo</t>
  </si>
  <si>
    <t>Tasas referenciales a diciembre 2022</t>
  </si>
  <si>
    <t>*** Base de mayores con la que se efectúa el movimiento</t>
  </si>
  <si>
    <t>p/t 425.07</t>
  </si>
  <si>
    <t xml:space="preserve">Documentar en el papel de trabajo y concluir en base al objetivo. </t>
  </si>
  <si>
    <t>Solicitar a la Compañía el detalle del cálculo del costo amortizado de las cuentas por pagar al _/_/20XX.</t>
  </si>
  <si>
    <t>Nro. de documento</t>
  </si>
  <si>
    <t>Cruce con estados financieros</t>
  </si>
  <si>
    <t>SI</t>
  </si>
  <si>
    <t>NO</t>
  </si>
  <si>
    <t>4) Cruce ingreso costo amortizado vs estado de resultados</t>
  </si>
  <si>
    <t>Análisis de la tasa de descuento utilizada por la Compañía</t>
  </si>
  <si>
    <t>Validar que la tasa de descuento de la Compañía sea la adecuada.</t>
  </si>
  <si>
    <r>
      <t xml:space="preserve">Hacer un recálculo del interés implícito trayendo a valor presente el saldo de las cuentas por pagar con la tasa activa referencial del BCE al _/_/20XX. Según tasa de descuento definida </t>
    </r>
    <r>
      <rPr>
        <sz val="10"/>
        <color rgb="FFFF0000"/>
        <rFont val="Tahoma"/>
        <family val="2"/>
      </rPr>
      <t>p/t 425.07.01</t>
    </r>
  </si>
  <si>
    <t>*** Nota: El auditor selecciona la tasa de descuento tras la evaluación a la tasa de descuento utilizada por la Compañía. Una de las fuentes a considerarse es el BCE.</t>
  </si>
  <si>
    <t>Identificar las cuentas que no constan en el anexo proporcionado por la compañía y las que no están en el detalle de cuentas por pagar consolidado al _/_/20XX.</t>
  </si>
  <si>
    <t>Validar la exactitud del saldo registrado en el interés implícito de las cuentas por pagar al _ / _ / 20XX</t>
  </si>
  <si>
    <t>Conciliar con el detalle proporcionado por la Compañía y con estados financieros al _/_/20XX</t>
  </si>
  <si>
    <t>Saldo según EEFF al _/_/20XX</t>
  </si>
  <si>
    <r>
      <rPr>
        <b/>
        <sz val="8"/>
        <color rgb="FF002060"/>
        <rFont val="Tahoma"/>
        <family val="2"/>
      </rPr>
      <t>¿</t>
    </r>
    <r>
      <rPr>
        <b/>
        <sz val="10"/>
        <color rgb="FF002060"/>
        <rFont val="Tahoma"/>
        <family val="2"/>
      </rPr>
      <t>Es adecuada?</t>
    </r>
  </si>
  <si>
    <t>XXX</t>
  </si>
  <si>
    <t>Sí</t>
  </si>
  <si>
    <t>No</t>
  </si>
  <si>
    <t>Interés implícito</t>
  </si>
  <si>
    <t>Tasa referencial</t>
  </si>
  <si>
    <t>Recálculo del interés implícito</t>
  </si>
  <si>
    <t>3) Cruce gasto costo amortizado vs estado de resultados</t>
  </si>
  <si>
    <t>2. Cruce recálculo interés implícito vs estado de situación financiera</t>
  </si>
  <si>
    <t>Saldo según recálculo</t>
  </si>
  <si>
    <t>1. Cruce detalle vs estado de situación financiera</t>
  </si>
  <si>
    <t>Según movimiento cuentas por pagar</t>
  </si>
  <si>
    <t>Según movimiento cuentas por cobrar</t>
  </si>
  <si>
    <t>Según Estado Financiero al 31/12/202x (Año de revisión)</t>
  </si>
  <si>
    <t>Tomado de mayores contables al 31/xx/20xx (Año de revisión)</t>
  </si>
  <si>
    <t>Información proporcionada por el cliente</t>
  </si>
  <si>
    <t>*** El número de filas depende las cuentas por cobrar que presenta la Compañía Modelo S.A.</t>
  </si>
  <si>
    <t>*** El formato depende del anexo entregado por la Compañía Modelo</t>
  </si>
  <si>
    <t>Saldo según movimiento</t>
  </si>
  <si>
    <t>***Referenciar con el papel del análisis del costo amortizado en las cuentas por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</si>
</sst>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 * #,##0_ ;_ * \-#,##0_ ;_ * &quot;-&quot;??_ ;_ @_ "/>
    <numFmt numFmtId="166" formatCode="_ * #,##0.0_ ;_ * \-#,##0.0_ ;_ * &quot;-&quot;??_ ;_ @_ "/>
    <numFmt numFmtId="167" formatCode="[$-1540A]m/d/yyyy;@"/>
  </numFmts>
  <fonts count="26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</font>
    <font>
      <b/>
      <sz val="10"/>
      <color rgb="FF002060"/>
      <name val="Tahoma"/>
      <family val="2"/>
    </font>
    <font>
      <b/>
      <sz val="10"/>
      <color theme="3"/>
      <name val="Tahoma"/>
      <family val="2"/>
    </font>
    <font>
      <b/>
      <sz val="10"/>
      <color rgb="FFFF0000"/>
      <name val="Tahoma"/>
      <family val="2"/>
    </font>
    <font>
      <b/>
      <sz val="10"/>
      <color theme="8" tint="-0.499984740745262"/>
      <name val="Tahoma"/>
      <family val="2"/>
    </font>
    <font>
      <sz val="11"/>
      <color indexed="8"/>
      <name val="Calibri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u/>
      <sz val="10"/>
      <color rgb="FF0000CC"/>
      <name val="Tahoma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sz val="10"/>
      <color rgb="FF0000FF"/>
      <name val="Tahoma"/>
      <family val="2"/>
    </font>
    <font>
      <b/>
      <sz val="10"/>
      <color rgb="FF0000FF"/>
      <name val="Tahoma"/>
      <family val="2"/>
    </font>
    <font>
      <b/>
      <sz val="10"/>
      <color theme="4" tint="-0.249977111117893"/>
      <name val="Tahoma"/>
      <family val="2"/>
    </font>
    <font>
      <sz val="10"/>
      <color theme="4" tint="-0.249977111117893"/>
      <name val="Tahoma"/>
      <family val="2"/>
    </font>
    <font>
      <i/>
      <sz val="10"/>
      <color theme="1"/>
      <name val="Tahoma"/>
      <family val="2"/>
    </font>
    <font>
      <b/>
      <sz val="8"/>
      <color theme="1"/>
      <name val="Tahoma"/>
      <family val="2"/>
    </font>
    <font>
      <sz val="8"/>
      <name val="Tahoma"/>
      <family val="2"/>
    </font>
    <font>
      <b/>
      <sz val="8"/>
      <color rgb="FF00206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7" fillId="0" borderId="0"/>
    <xf numFmtId="0" fontId="5" fillId="0" borderId="0"/>
    <xf numFmtId="0" fontId="5" fillId="0" borderId="0"/>
    <xf numFmtId="0" fontId="12" fillId="0" borderId="0"/>
  </cellStyleXfs>
  <cellXfs count="151">
    <xf numFmtId="0" fontId="0" fillId="0" borderId="0" xfId="0"/>
    <xf numFmtId="0" fontId="1" fillId="2" borderId="0" xfId="0" applyFont="1" applyFill="1"/>
    <xf numFmtId="0" fontId="6" fillId="2" borderId="0" xfId="3" applyFont="1" applyFill="1"/>
    <xf numFmtId="0" fontId="6" fillId="2" borderId="0" xfId="3" applyFont="1" applyFill="1" applyAlignment="1">
      <alignment horizontal="center" vertical="center"/>
    </xf>
    <xf numFmtId="14" fontId="8" fillId="3" borderId="1" xfId="4" applyNumberFormat="1" applyFont="1" applyFill="1" applyBorder="1" applyAlignment="1" applyProtection="1">
      <alignment horizontal="center" vertical="center"/>
      <protection hidden="1"/>
    </xf>
    <xf numFmtId="0" fontId="8" fillId="3" borderId="1" xfId="4" applyFont="1" applyFill="1" applyBorder="1" applyAlignment="1" applyProtection="1">
      <alignment horizontal="center" vertical="center"/>
      <protection hidden="1"/>
    </xf>
    <xf numFmtId="0" fontId="8" fillId="3" borderId="1" xfId="4" applyFont="1" applyFill="1" applyBorder="1" applyAlignment="1">
      <alignment horizontal="center" vertical="center"/>
    </xf>
    <xf numFmtId="0" fontId="9" fillId="2" borderId="0" xfId="5" applyFont="1" applyFill="1" applyAlignment="1">
      <alignment vertical="center"/>
    </xf>
    <xf numFmtId="14" fontId="6" fillId="2" borderId="1" xfId="6" applyNumberFormat="1" applyFont="1" applyFill="1" applyBorder="1" applyAlignment="1" applyProtection="1">
      <alignment horizontal="center" vertical="center" wrapText="1"/>
      <protection hidden="1"/>
    </xf>
    <xf numFmtId="0" fontId="6" fillId="2" borderId="1" xfId="4" applyFont="1" applyFill="1" applyBorder="1" applyAlignment="1" applyProtection="1">
      <alignment horizontal="center" vertical="center" wrapText="1"/>
      <protection hidden="1"/>
    </xf>
    <xf numFmtId="0" fontId="10" fillId="2" borderId="1" xfId="4" quotePrefix="1" applyFont="1" applyFill="1" applyBorder="1" applyAlignment="1" applyProtection="1">
      <alignment horizontal="center" vertical="center"/>
      <protection hidden="1"/>
    </xf>
    <xf numFmtId="0" fontId="8" fillId="2" borderId="0" xfId="4" applyFont="1" applyFill="1" applyAlignment="1" applyProtection="1">
      <alignment horizontal="left" vertical="center"/>
      <protection hidden="1"/>
    </xf>
    <xf numFmtId="0" fontId="11" fillId="2" borderId="0" xfId="4" applyFont="1" applyFill="1" applyAlignment="1" applyProtection="1">
      <alignment horizontal="left" vertical="center"/>
      <protection hidden="1"/>
    </xf>
    <xf numFmtId="0" fontId="3" fillId="2" borderId="0" xfId="4" applyFont="1" applyFill="1" applyAlignment="1" applyProtection="1">
      <alignment horizontal="left" vertical="center"/>
      <protection hidden="1"/>
    </xf>
    <xf numFmtId="0" fontId="8" fillId="0" borderId="0" xfId="4" applyFont="1" applyAlignment="1" applyProtection="1">
      <alignment horizontal="left" vertical="center"/>
      <protection hidden="1"/>
    </xf>
    <xf numFmtId="9" fontId="8" fillId="2" borderId="0" xfId="2" applyFont="1" applyFill="1" applyAlignment="1" applyProtection="1">
      <alignment horizontal="left" vertical="center"/>
      <protection hidden="1"/>
    </xf>
    <xf numFmtId="0" fontId="8" fillId="0" borderId="2" xfId="4" applyFont="1" applyBorder="1" applyAlignment="1" applyProtection="1">
      <alignment horizontal="left" vertical="center"/>
      <protection hidden="1"/>
    </xf>
    <xf numFmtId="0" fontId="3" fillId="2" borderId="2" xfId="4" applyFont="1" applyFill="1" applyBorder="1" applyAlignment="1" applyProtection="1">
      <alignment horizontal="left" vertical="center"/>
      <protection hidden="1"/>
    </xf>
    <xf numFmtId="14" fontId="9" fillId="2" borderId="0" xfId="5" applyNumberFormat="1" applyFont="1" applyFill="1" applyAlignment="1">
      <alignment vertical="center"/>
    </xf>
    <xf numFmtId="0" fontId="13" fillId="2" borderId="0" xfId="7" applyFont="1" applyFill="1"/>
    <xf numFmtId="0" fontId="14" fillId="2" borderId="0" xfId="6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6" fillId="2" borderId="0" xfId="6" applyFont="1" applyFill="1"/>
    <xf numFmtId="0" fontId="14" fillId="2" borderId="0" xfId="6" applyFont="1" applyFill="1"/>
    <xf numFmtId="0" fontId="13" fillId="4" borderId="0" xfId="7" applyFont="1" applyFill="1"/>
    <xf numFmtId="0" fontId="14" fillId="0" borderId="0" xfId="6" applyFont="1"/>
    <xf numFmtId="0" fontId="14" fillId="3" borderId="1" xfId="6" applyFont="1" applyFill="1" applyBorder="1" applyAlignment="1">
      <alignment horizontal="center"/>
    </xf>
    <xf numFmtId="0" fontId="14" fillId="0" borderId="1" xfId="6" applyFont="1" applyBorder="1" applyAlignment="1">
      <alignment horizontal="center"/>
    </xf>
    <xf numFmtId="0" fontId="15" fillId="2" borderId="0" xfId="7" applyFont="1" applyFill="1"/>
    <xf numFmtId="0" fontId="6" fillId="2" borderId="0" xfId="7" applyFont="1" applyFill="1"/>
    <xf numFmtId="0" fontId="1" fillId="2" borderId="0" xfId="6" applyFont="1" applyFill="1"/>
    <xf numFmtId="0" fontId="3" fillId="0" borderId="0" xfId="0" applyFont="1"/>
    <xf numFmtId="0" fontId="16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0" borderId="0" xfId="0" applyFont="1"/>
    <xf numFmtId="166" fontId="17" fillId="0" borderId="1" xfId="1" applyNumberFormat="1" applyFont="1" applyFill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165" fontId="3" fillId="0" borderId="3" xfId="1" applyNumberFormat="1" applyFont="1" applyBorder="1"/>
    <xf numFmtId="0" fontId="19" fillId="2" borderId="0" xfId="0" applyFont="1" applyFill="1" applyAlignment="1">
      <alignment horizontal="center"/>
    </xf>
    <xf numFmtId="0" fontId="3" fillId="2" borderId="0" xfId="0" applyFont="1" applyFill="1"/>
    <xf numFmtId="0" fontId="2" fillId="0" borderId="0" xfId="0" applyFont="1"/>
    <xf numFmtId="0" fontId="20" fillId="2" borderId="0" xfId="0" applyFont="1" applyFill="1"/>
    <xf numFmtId="0" fontId="8" fillId="0" borderId="0" xfId="3" applyFont="1" applyAlignment="1">
      <alignment horizontal="left"/>
    </xf>
    <xf numFmtId="0" fontId="6" fillId="2" borderId="0" xfId="0" applyFont="1" applyFill="1"/>
    <xf numFmtId="4" fontId="3" fillId="0" borderId="0" xfId="0" applyNumberFormat="1" applyFont="1"/>
    <xf numFmtId="165" fontId="3" fillId="0" borderId="3" xfId="1" applyNumberFormat="1" applyFont="1" applyFill="1" applyBorder="1"/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right"/>
    </xf>
    <xf numFmtId="0" fontId="21" fillId="0" borderId="0" xfId="0" applyFont="1"/>
    <xf numFmtId="0" fontId="8" fillId="3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22" fillId="0" borderId="0" xfId="0" applyFont="1"/>
    <xf numFmtId="0" fontId="16" fillId="2" borderId="0" xfId="0" applyFont="1" applyFill="1"/>
    <xf numFmtId="0" fontId="21" fillId="2" borderId="0" xfId="0" applyFont="1" applyFill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6" fillId="0" borderId="0" xfId="0" applyNumberFormat="1" applyFont="1"/>
    <xf numFmtId="1" fontId="6" fillId="0" borderId="0" xfId="1" applyNumberFormat="1" applyFont="1" applyFill="1" applyBorder="1" applyAlignment="1" applyProtection="1"/>
    <xf numFmtId="165" fontId="6" fillId="0" borderId="0" xfId="1" applyNumberFormat="1" applyFont="1" applyFill="1" applyBorder="1"/>
    <xf numFmtId="0" fontId="19" fillId="0" borderId="0" xfId="0" applyFont="1" applyAlignment="1">
      <alignment vertical="center"/>
    </xf>
    <xf numFmtId="165" fontId="6" fillId="0" borderId="3" xfId="1" applyNumberFormat="1" applyFont="1" applyBorder="1"/>
    <xf numFmtId="165" fontId="6" fillId="2" borderId="0" xfId="1" applyNumberFormat="1" applyFont="1" applyFill="1"/>
    <xf numFmtId="164" fontId="2" fillId="2" borderId="0" xfId="1" applyFont="1" applyFill="1" applyAlignment="1">
      <alignment horizontal="right"/>
    </xf>
    <xf numFmtId="3" fontId="2" fillId="2" borderId="0" xfId="1" applyNumberFormat="1" applyFont="1" applyFill="1" applyBorder="1"/>
    <xf numFmtId="0" fontId="10" fillId="2" borderId="0" xfId="0" applyFont="1" applyFill="1"/>
    <xf numFmtId="3" fontId="14" fillId="0" borderId="0" xfId="0" applyNumberFormat="1" applyFont="1" applyAlignment="1">
      <alignment horizontal="right" vertical="center" wrapText="1"/>
    </xf>
    <xf numFmtId="0" fontId="2" fillId="2" borderId="0" xfId="0" applyFont="1" applyFill="1" applyAlignment="1">
      <alignment horizontal="left"/>
    </xf>
    <xf numFmtId="0" fontId="6" fillId="2" borderId="1" xfId="0" applyFont="1" applyFill="1" applyBorder="1"/>
    <xf numFmtId="165" fontId="6" fillId="2" borderId="1" xfId="1" applyNumberFormat="1" applyFont="1" applyFill="1" applyBorder="1"/>
    <xf numFmtId="0" fontId="19" fillId="2" borderId="0" xfId="0" applyFont="1" applyFill="1" applyAlignment="1">
      <alignment horizontal="left"/>
    </xf>
    <xf numFmtId="165" fontId="6" fillId="2" borderId="0" xfId="1" applyNumberFormat="1" applyFont="1" applyFill="1" applyBorder="1"/>
    <xf numFmtId="0" fontId="18" fillId="2" borderId="0" xfId="0" applyFont="1" applyFill="1" applyAlignment="1">
      <alignment horizontal="left"/>
    </xf>
    <xf numFmtId="165" fontId="2" fillId="2" borderId="3" xfId="1" applyNumberFormat="1" applyFont="1" applyFill="1" applyBorder="1"/>
    <xf numFmtId="165" fontId="2" fillId="2" borderId="4" xfId="1" applyNumberFormat="1" applyFont="1" applyFill="1" applyBorder="1"/>
    <xf numFmtId="165" fontId="2" fillId="2" borderId="7" xfId="1" applyNumberFormat="1" applyFont="1" applyFill="1" applyBorder="1"/>
    <xf numFmtId="0" fontId="10" fillId="0" borderId="0" xfId="0" applyFont="1" applyAlignment="1">
      <alignment horizontal="left"/>
    </xf>
    <xf numFmtId="0" fontId="6" fillId="2" borderId="0" xfId="7" applyFont="1" applyFill="1" applyAlignment="1">
      <alignment horizontal="left" vertical="center"/>
    </xf>
    <xf numFmtId="0" fontId="10" fillId="0" borderId="0" xfId="0" applyFont="1"/>
    <xf numFmtId="0" fontId="6" fillId="2" borderId="0" xfId="7" applyFont="1" applyFill="1" applyAlignment="1">
      <alignment vertical="center"/>
    </xf>
    <xf numFmtId="165" fontId="10" fillId="0" borderId="0" xfId="0" applyNumberFormat="1" applyFont="1" applyAlignment="1">
      <alignment horizontal="center"/>
    </xf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0" fontId="0" fillId="2" borderId="0" xfId="0" applyFill="1" applyAlignment="1">
      <alignment horizontal="right"/>
    </xf>
    <xf numFmtId="0" fontId="0" fillId="3" borderId="1" xfId="0" applyFill="1" applyBorder="1"/>
    <xf numFmtId="0" fontId="0" fillId="2" borderId="0" xfId="6" applyFont="1" applyFill="1"/>
    <xf numFmtId="165" fontId="0" fillId="2" borderId="0" xfId="0" applyNumberFormat="1" applyFill="1"/>
    <xf numFmtId="165" fontId="0" fillId="0" borderId="0" xfId="0" applyNumberFormat="1"/>
    <xf numFmtId="164" fontId="0" fillId="0" borderId="0" xfId="1" applyFont="1"/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/>
    </xf>
    <xf numFmtId="166" fontId="0" fillId="0" borderId="1" xfId="1" applyNumberFormat="1" applyFont="1" applyFill="1" applyBorder="1"/>
    <xf numFmtId="0" fontId="0" fillId="0" borderId="1" xfId="1" applyNumberFormat="1" applyFont="1" applyFill="1" applyBorder="1"/>
    <xf numFmtId="10" fontId="0" fillId="0" borderId="1" xfId="2" applyNumberFormat="1" applyFont="1" applyFill="1" applyBorder="1"/>
    <xf numFmtId="165" fontId="0" fillId="0" borderId="1" xfId="1" applyNumberFormat="1" applyFont="1" applyFill="1" applyBorder="1"/>
    <xf numFmtId="165" fontId="0" fillId="0" borderId="0" xfId="1" applyNumberFormat="1" applyFont="1" applyFill="1"/>
    <xf numFmtId="0" fontId="0" fillId="0" borderId="0" xfId="0" applyAlignment="1">
      <alignment horizontal="center"/>
    </xf>
    <xf numFmtId="167" fontId="0" fillId="0" borderId="0" xfId="0" applyNumberFormat="1"/>
    <xf numFmtId="165" fontId="0" fillId="0" borderId="0" xfId="1" applyNumberFormat="1" applyFont="1" applyFill="1" applyBorder="1"/>
    <xf numFmtId="10" fontId="0" fillId="0" borderId="0" xfId="2" applyNumberFormat="1" applyFont="1" applyFill="1" applyBorder="1"/>
    <xf numFmtId="165" fontId="0" fillId="0" borderId="0" xfId="1" applyNumberFormat="1" applyFont="1"/>
    <xf numFmtId="165" fontId="0" fillId="0" borderId="3" xfId="1" applyNumberFormat="1" applyFont="1" applyBorder="1"/>
    <xf numFmtId="10" fontId="0" fillId="0" borderId="3" xfId="2" applyNumberFormat="1" applyFont="1" applyBorder="1"/>
    <xf numFmtId="165" fontId="0" fillId="0" borderId="1" xfId="1" applyNumberFormat="1" applyFont="1" applyBorder="1"/>
    <xf numFmtId="4" fontId="0" fillId="0" borderId="0" xfId="0" applyNumberFormat="1"/>
    <xf numFmtId="0" fontId="0" fillId="0" borderId="4" xfId="0" applyBorder="1"/>
    <xf numFmtId="165" fontId="0" fillId="0" borderId="4" xfId="1" applyNumberFormat="1" applyFont="1" applyBorder="1"/>
    <xf numFmtId="165" fontId="0" fillId="0" borderId="3" xfId="1" applyNumberFormat="1" applyFont="1" applyFill="1" applyBorder="1"/>
    <xf numFmtId="0" fontId="0" fillId="0" borderId="6" xfId="0" applyBorder="1"/>
    <xf numFmtId="4" fontId="0" fillId="0" borderId="6" xfId="0" applyNumberFormat="1" applyBorder="1"/>
    <xf numFmtId="165" fontId="0" fillId="0" borderId="6" xfId="1" applyNumberFormat="1" applyFont="1" applyBorder="1"/>
    <xf numFmtId="0" fontId="0" fillId="0" borderId="0" xfId="0" applyAlignment="1">
      <alignment vertical="center"/>
    </xf>
    <xf numFmtId="1" fontId="0" fillId="0" borderId="0" xfId="0" applyNumberFormat="1"/>
    <xf numFmtId="165" fontId="0" fillId="0" borderId="0" xfId="1" applyNumberFormat="1" applyFont="1" applyBorder="1"/>
    <xf numFmtId="3" fontId="0" fillId="0" borderId="0" xfId="0" applyNumberFormat="1" applyAlignment="1">
      <alignment horizontal="right" vertical="center" wrapText="1"/>
    </xf>
    <xf numFmtId="3" fontId="0" fillId="0" borderId="0" xfId="0" applyNumberFormat="1"/>
    <xf numFmtId="0" fontId="0" fillId="2" borderId="0" xfId="0" applyFill="1" applyAlignment="1">
      <alignment horizontal="left"/>
    </xf>
    <xf numFmtId="0" fontId="23" fillId="2" borderId="0" xfId="0" applyFont="1" applyFill="1" applyAlignment="1" applyProtection="1">
      <alignment horizontal="left" vertical="center"/>
      <protection hidden="1"/>
    </xf>
    <xf numFmtId="0" fontId="24" fillId="2" borderId="0" xfId="6" applyFont="1" applyFill="1" applyAlignment="1" applyProtection="1">
      <alignment horizontal="center" vertical="center" wrapText="1"/>
      <protection hidden="1"/>
    </xf>
    <xf numFmtId="0" fontId="10" fillId="0" borderId="0" xfId="0" quotePrefix="1" applyFont="1" applyAlignment="1">
      <alignment horizontal="center"/>
    </xf>
    <xf numFmtId="0" fontId="4" fillId="2" borderId="0" xfId="0" applyFont="1" applyFill="1"/>
    <xf numFmtId="0" fontId="4" fillId="2" borderId="0" xfId="3" applyFont="1" applyFill="1"/>
    <xf numFmtId="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8" fillId="5" borderId="8" xfId="0" applyFont="1" applyFill="1" applyBorder="1" applyAlignment="1">
      <alignment horizontal="centerContinuous"/>
    </xf>
    <xf numFmtId="0" fontId="8" fillId="5" borderId="9" xfId="0" applyFont="1" applyFill="1" applyBorder="1" applyAlignment="1">
      <alignment horizontal="centerContinuous"/>
    </xf>
    <xf numFmtId="0" fontId="8" fillId="5" borderId="10" xfId="0" applyFont="1" applyFill="1" applyBorder="1" applyAlignment="1">
      <alignment horizontal="centerContinuous"/>
    </xf>
    <xf numFmtId="1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0" fillId="2" borderId="0" xfId="0" applyFont="1" applyFill="1" applyAlignment="1" applyProtection="1">
      <alignment horizontal="left" vertical="center"/>
      <protection hidden="1"/>
    </xf>
    <xf numFmtId="0" fontId="8" fillId="3" borderId="1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Border="1"/>
    <xf numFmtId="0" fontId="6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right"/>
    </xf>
    <xf numFmtId="165" fontId="6" fillId="2" borderId="9" xfId="1" applyNumberFormat="1" applyFont="1" applyFill="1" applyBorder="1"/>
    <xf numFmtId="0" fontId="2" fillId="0" borderId="0" xfId="0" applyFont="1" applyBorder="1"/>
    <xf numFmtId="164" fontId="10" fillId="2" borderId="0" xfId="1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10" fillId="0" borderId="0" xfId="0" applyFont="1" applyAlignment="1">
      <alignment horizontal="right"/>
    </xf>
    <xf numFmtId="14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65" fontId="6" fillId="2" borderId="4" xfId="1" applyNumberFormat="1" applyFont="1" applyFill="1" applyBorder="1"/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8">
    <cellStyle name="Millares" xfId="1" builtinId="3"/>
    <cellStyle name="Normal" xfId="0" builtinId="0"/>
    <cellStyle name="Normal 2 10" xfId="6" xr:uid="{CF9E77B7-5416-49AB-812C-E10E2314DD89}"/>
    <cellStyle name="Normal 2 3 2 5" xfId="3" xr:uid="{D0F63085-45A0-4176-A787-5D7B5802A38A}"/>
    <cellStyle name="Normal 3 2" xfId="5" xr:uid="{2B87A943-6F13-4118-B373-36C6680476BC}"/>
    <cellStyle name="Normal 7" xfId="4" xr:uid="{44CDA89C-DAD0-4D8B-9793-E2D35FFF049C}"/>
    <cellStyle name="Normal_2102 Sumaria de Efectivo y Equivalentes" xfId="7" xr:uid="{4FFF014F-B5D4-4D22-BFA5-8F71D1EAD4EC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207171</xdr:colOff>
      <xdr:row>44</xdr:row>
      <xdr:rowOff>78029</xdr:rowOff>
    </xdr:from>
    <xdr:to>
      <xdr:col>21</xdr:col>
      <xdr:colOff>0</xdr:colOff>
      <xdr:row>44</xdr:row>
      <xdr:rowOff>79904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957757A-D070-4B17-B36D-EAD36E202E20}"/>
            </a:ext>
          </a:extLst>
        </xdr:cNvPr>
        <xdr:cNvCxnSpPr>
          <a:stCxn id="7" idx="3"/>
        </xdr:cNvCxnSpPr>
      </xdr:nvCxnSpPr>
      <xdr:spPr>
        <a:xfrm flipV="1">
          <a:off x="25408035" y="6332525"/>
          <a:ext cx="3567472" cy="1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50475</xdr:colOff>
      <xdr:row>43</xdr:row>
      <xdr:rowOff>58171</xdr:rowOff>
    </xdr:from>
    <xdr:to>
      <xdr:col>1</xdr:col>
      <xdr:colOff>282902</xdr:colOff>
      <xdr:row>44</xdr:row>
      <xdr:rowOff>133398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E14486-1DBA-4E83-98EC-3F596823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017" y="6151733"/>
          <a:ext cx="232427" cy="236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165438</xdr:colOff>
      <xdr:row>128</xdr:row>
      <xdr:rowOff>76586</xdr:rowOff>
    </xdr:from>
    <xdr:to>
      <xdr:col>0</xdr:col>
      <xdr:colOff>357526</xdr:colOff>
      <xdr:row>130</xdr:row>
      <xdr:rowOff>10912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47B9CC-48F8-4C46-A4AB-7C753D6D6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438" y="20473816"/>
          <a:ext cx="192088" cy="19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357171</xdr:colOff>
      <xdr:row>44</xdr:row>
      <xdr:rowOff>47626</xdr:rowOff>
    </xdr:from>
    <xdr:to>
      <xdr:col>15</xdr:col>
      <xdr:colOff>1111911</xdr:colOff>
      <xdr:row>44</xdr:row>
      <xdr:rowOff>68275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5C1B547A-2298-4388-88DB-58628D4ABCED}"/>
            </a:ext>
          </a:extLst>
        </xdr:cNvPr>
        <xdr:cNvCxnSpPr/>
      </xdr:nvCxnSpPr>
      <xdr:spPr>
        <a:xfrm>
          <a:off x="810713" y="6302122"/>
          <a:ext cx="24178011" cy="2064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15083</xdr:colOff>
      <xdr:row>43</xdr:row>
      <xdr:rowOff>141970</xdr:rowOff>
    </xdr:from>
    <xdr:to>
      <xdr:col>17</xdr:col>
      <xdr:colOff>207171</xdr:colOff>
      <xdr:row>45</xdr:row>
      <xdr:rowOff>17838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E5A6D20-7E2A-4FB5-BEA9-BB61EDAAC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5947" y="6235532"/>
          <a:ext cx="192088" cy="197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2228569</xdr:colOff>
      <xdr:row>53</xdr:row>
      <xdr:rowOff>15440</xdr:rowOff>
    </xdr:from>
    <xdr:ext cx="174625" cy="174625"/>
    <xdr:pic>
      <xdr:nvPicPr>
        <xdr:cNvPr id="8" name="Imagen 7">
          <a:extLst>
            <a:ext uri="{FF2B5EF4-FFF2-40B4-BE49-F238E27FC236}">
              <a16:creationId xmlns:a16="http://schemas.microsoft.com/office/drawing/2014/main" id="{EFB3B3EA-A728-4D21-B072-A8C47BBD5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2783" y="7791498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22752</xdr:colOff>
      <xdr:row>55</xdr:row>
      <xdr:rowOff>161372</xdr:rowOff>
    </xdr:from>
    <xdr:to>
      <xdr:col>1</xdr:col>
      <xdr:colOff>245928</xdr:colOff>
      <xdr:row>57</xdr:row>
      <xdr:rowOff>38456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58F5C42-31ED-4976-91F3-C072801B2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94" y="8800623"/>
          <a:ext cx="223176" cy="198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3239856</xdr:colOff>
      <xdr:row>83</xdr:row>
      <xdr:rowOff>161171</xdr:rowOff>
    </xdr:from>
    <xdr:ext cx="192088" cy="192088"/>
    <xdr:pic>
      <xdr:nvPicPr>
        <xdr:cNvPr id="11" name="Imagen 10">
          <a:extLst>
            <a:ext uri="{FF2B5EF4-FFF2-40B4-BE49-F238E27FC236}">
              <a16:creationId xmlns:a16="http://schemas.microsoft.com/office/drawing/2014/main" id="{F51C934E-6B9A-4621-874B-E61964F02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8112" y="1362845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160473</xdr:colOff>
      <xdr:row>283</xdr:row>
      <xdr:rowOff>48946</xdr:rowOff>
    </xdr:from>
    <xdr:to>
      <xdr:col>7</xdr:col>
      <xdr:colOff>16884</xdr:colOff>
      <xdr:row>283</xdr:row>
      <xdr:rowOff>48946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51B6C923-F29F-4081-873C-9C5AC6984053}"/>
            </a:ext>
          </a:extLst>
        </xdr:cNvPr>
        <xdr:cNvCxnSpPr/>
      </xdr:nvCxnSpPr>
      <xdr:spPr>
        <a:xfrm>
          <a:off x="614015" y="46295640"/>
          <a:ext cx="1183139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160473</xdr:colOff>
      <xdr:row>280</xdr:row>
      <xdr:rowOff>134124</xdr:rowOff>
    </xdr:from>
    <xdr:to>
      <xdr:col>7</xdr:col>
      <xdr:colOff>16884</xdr:colOff>
      <xdr:row>280</xdr:row>
      <xdr:rowOff>134124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C2B17E48-5286-4CA0-8EFA-C890B01D6B59}"/>
            </a:ext>
          </a:extLst>
        </xdr:cNvPr>
        <xdr:cNvCxnSpPr/>
      </xdr:nvCxnSpPr>
      <xdr:spPr>
        <a:xfrm>
          <a:off x="614015" y="45898015"/>
          <a:ext cx="1183139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156336</xdr:colOff>
      <xdr:row>129</xdr:row>
      <xdr:rowOff>189166</xdr:rowOff>
    </xdr:from>
    <xdr:to>
      <xdr:col>0</xdr:col>
      <xdr:colOff>352388</xdr:colOff>
      <xdr:row>131</xdr:row>
      <xdr:rowOff>1110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3CDB577-B383-4853-AE1C-6F96584C2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36" y="20663625"/>
          <a:ext cx="196052" cy="206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150277</xdr:colOff>
      <xdr:row>131</xdr:row>
      <xdr:rowOff>4587</xdr:rowOff>
    </xdr:from>
    <xdr:ext cx="198485" cy="198485"/>
    <xdr:pic>
      <xdr:nvPicPr>
        <xdr:cNvPr id="17" name="Imagen 16">
          <a:extLst>
            <a:ext uri="{FF2B5EF4-FFF2-40B4-BE49-F238E27FC236}">
              <a16:creationId xmlns:a16="http://schemas.microsoft.com/office/drawing/2014/main" id="{EB1E3B07-EA78-49B0-AB72-795371DF8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77" y="20873776"/>
          <a:ext cx="198485" cy="198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146381</xdr:colOff>
      <xdr:row>132</xdr:row>
      <xdr:rowOff>0</xdr:rowOff>
    </xdr:from>
    <xdr:to>
      <xdr:col>0</xdr:col>
      <xdr:colOff>340697</xdr:colOff>
      <xdr:row>133</xdr:row>
      <xdr:rowOff>12770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D08975D-913D-4D7F-B7F6-0E2504979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81" y="21066554"/>
          <a:ext cx="194316" cy="19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492382</xdr:colOff>
      <xdr:row>53</xdr:row>
      <xdr:rowOff>25696</xdr:rowOff>
    </xdr:from>
    <xdr:ext cx="192088" cy="192088"/>
    <xdr:pic>
      <xdr:nvPicPr>
        <xdr:cNvPr id="20" name="Imagen 19">
          <a:extLst>
            <a:ext uri="{FF2B5EF4-FFF2-40B4-BE49-F238E27FC236}">
              <a16:creationId xmlns:a16="http://schemas.microsoft.com/office/drawing/2014/main" id="{24B4C0A9-889C-44FA-A128-68247E37E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12318" y="780175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3185090</xdr:colOff>
      <xdr:row>69</xdr:row>
      <xdr:rowOff>20534</xdr:rowOff>
    </xdr:from>
    <xdr:ext cx="211297" cy="211297"/>
    <xdr:pic>
      <xdr:nvPicPr>
        <xdr:cNvPr id="21" name="Imagen 20">
          <a:extLst>
            <a:ext uri="{FF2B5EF4-FFF2-40B4-BE49-F238E27FC236}">
              <a16:creationId xmlns:a16="http://schemas.microsoft.com/office/drawing/2014/main" id="{DF288DE8-4841-4796-B8A5-3D9D2800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3346" y="10898236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1288566</xdr:colOff>
      <xdr:row>53</xdr:row>
      <xdr:rowOff>11782</xdr:rowOff>
    </xdr:from>
    <xdr:ext cx="174625" cy="174625"/>
    <xdr:pic>
      <xdr:nvPicPr>
        <xdr:cNvPr id="23" name="Imagen 22">
          <a:extLst>
            <a:ext uri="{FF2B5EF4-FFF2-40B4-BE49-F238E27FC236}">
              <a16:creationId xmlns:a16="http://schemas.microsoft.com/office/drawing/2014/main" id="{C1295030-B8A0-47D9-859B-D5F753FF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3385" y="778784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56</xdr:row>
      <xdr:rowOff>0</xdr:rowOff>
    </xdr:from>
    <xdr:to>
      <xdr:col>4</xdr:col>
      <xdr:colOff>223176</xdr:colOff>
      <xdr:row>57</xdr:row>
      <xdr:rowOff>42893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D9C2512-8780-4762-80BB-187F0D65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9363" y="8800186"/>
          <a:ext cx="223176" cy="203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526694</xdr:colOff>
      <xdr:row>56</xdr:row>
      <xdr:rowOff>0</xdr:rowOff>
    </xdr:from>
    <xdr:to>
      <xdr:col>6</xdr:col>
      <xdr:colOff>754221</xdr:colOff>
      <xdr:row>58</xdr:row>
      <xdr:rowOff>426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A776582-1F24-4E09-B650-F33EFC8E1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6537" y="8800186"/>
          <a:ext cx="227527" cy="234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3171786</xdr:colOff>
      <xdr:row>93</xdr:row>
      <xdr:rowOff>1282</xdr:rowOff>
    </xdr:from>
    <xdr:ext cx="158750" cy="158750"/>
    <xdr:pic>
      <xdr:nvPicPr>
        <xdr:cNvPr id="32" name="Imagen 31">
          <a:extLst>
            <a:ext uri="{FF2B5EF4-FFF2-40B4-BE49-F238E27FC236}">
              <a16:creationId xmlns:a16="http://schemas.microsoft.com/office/drawing/2014/main" id="{8EF31229-6D93-4F56-BBEB-69760661A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0042" y="1557534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643575</xdr:colOff>
      <xdr:row>33</xdr:row>
      <xdr:rowOff>137297</xdr:rowOff>
    </xdr:from>
    <xdr:ext cx="211297" cy="211297"/>
    <xdr:pic>
      <xdr:nvPicPr>
        <xdr:cNvPr id="30" name="Imagen 29">
          <a:extLst>
            <a:ext uri="{FF2B5EF4-FFF2-40B4-BE49-F238E27FC236}">
              <a16:creationId xmlns:a16="http://schemas.microsoft.com/office/drawing/2014/main" id="{F34B7791-F8CB-4C5E-B493-492A6B7C6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16" y="508858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270620</xdr:colOff>
      <xdr:row>56</xdr:row>
      <xdr:rowOff>122363</xdr:rowOff>
    </xdr:from>
    <xdr:to>
      <xdr:col>2</xdr:col>
      <xdr:colOff>3315483</xdr:colOff>
      <xdr:row>56</xdr:row>
      <xdr:rowOff>128714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E86E02EB-180D-4671-AC17-EB2AE610B2A1}"/>
            </a:ext>
          </a:extLst>
        </xdr:cNvPr>
        <xdr:cNvCxnSpPr/>
      </xdr:nvCxnSpPr>
      <xdr:spPr>
        <a:xfrm flipV="1">
          <a:off x="751161" y="8446012"/>
          <a:ext cx="4735336" cy="635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211100</xdr:colOff>
      <xdr:row>56</xdr:row>
      <xdr:rowOff>137297</xdr:rowOff>
    </xdr:from>
    <xdr:to>
      <xdr:col>5</xdr:col>
      <xdr:colOff>1909339</xdr:colOff>
      <xdr:row>56</xdr:row>
      <xdr:rowOff>137298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2E93B7C0-C396-40AA-B0B4-0AAD13672536}"/>
            </a:ext>
          </a:extLst>
        </xdr:cNvPr>
        <xdr:cNvCxnSpPr/>
      </xdr:nvCxnSpPr>
      <xdr:spPr>
        <a:xfrm flipV="1">
          <a:off x="7908330" y="8460946"/>
          <a:ext cx="3594658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3171786</xdr:colOff>
      <xdr:row>104</xdr:row>
      <xdr:rowOff>1282</xdr:rowOff>
    </xdr:from>
    <xdr:ext cx="158750" cy="158750"/>
    <xdr:pic>
      <xdr:nvPicPr>
        <xdr:cNvPr id="34" name="Imagen 33">
          <a:extLst>
            <a:ext uri="{FF2B5EF4-FFF2-40B4-BE49-F238E27FC236}">
              <a16:creationId xmlns:a16="http://schemas.microsoft.com/office/drawing/2014/main" id="{C4A7E91B-DC2F-43D1-8FB0-465129AAE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2800" y="14554796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3171786</xdr:colOff>
      <xdr:row>118</xdr:row>
      <xdr:rowOff>1282</xdr:rowOff>
    </xdr:from>
    <xdr:ext cx="158750" cy="158750"/>
    <xdr:pic>
      <xdr:nvPicPr>
        <xdr:cNvPr id="35" name="Imagen 34">
          <a:extLst>
            <a:ext uri="{FF2B5EF4-FFF2-40B4-BE49-F238E27FC236}">
              <a16:creationId xmlns:a16="http://schemas.microsoft.com/office/drawing/2014/main" id="{2EF1382E-4EB2-4C0B-B59D-49573B472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2800" y="16502701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33</xdr:row>
      <xdr:rowOff>127001</xdr:rowOff>
    </xdr:from>
    <xdr:to>
      <xdr:col>2</xdr:col>
      <xdr:colOff>211297</xdr:colOff>
      <xdr:row>35</xdr:row>
      <xdr:rowOff>25683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DDE39273-A850-42F1-9C7A-28CA26AC5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8769" y="4904155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219806</xdr:colOff>
      <xdr:row>34</xdr:row>
      <xdr:rowOff>68384</xdr:rowOff>
    </xdr:from>
    <xdr:to>
      <xdr:col>2</xdr:col>
      <xdr:colOff>3238500</xdr:colOff>
      <xdr:row>34</xdr:row>
      <xdr:rowOff>70848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DF3594B4-2032-44AA-9C2A-25FA71BBEBFD}"/>
            </a:ext>
          </a:extLst>
        </xdr:cNvPr>
        <xdr:cNvCxnSpPr/>
      </xdr:nvCxnSpPr>
      <xdr:spPr>
        <a:xfrm flipV="1">
          <a:off x="2393460" y="5138615"/>
          <a:ext cx="3018694" cy="246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211777</xdr:colOff>
      <xdr:row>41</xdr:row>
      <xdr:rowOff>86353</xdr:rowOff>
    </xdr:from>
    <xdr:to>
      <xdr:col>14</xdr:col>
      <xdr:colOff>591853</xdr:colOff>
      <xdr:row>42</xdr:row>
      <xdr:rowOff>154417</xdr:rowOff>
    </xdr:to>
    <xdr:sp macro="" textlink="">
      <xdr:nvSpPr>
        <xdr:cNvPr id="38" name="Abrir llave 37">
          <a:extLst>
            <a:ext uri="{FF2B5EF4-FFF2-40B4-BE49-F238E27FC236}">
              <a16:creationId xmlns:a16="http://schemas.microsoft.com/office/drawing/2014/main" id="{C2937F46-316F-4A4C-AF06-9E757B97E41D}"/>
            </a:ext>
          </a:extLst>
        </xdr:cNvPr>
        <xdr:cNvSpPr/>
      </xdr:nvSpPr>
      <xdr:spPr>
        <a:xfrm rot="5400000">
          <a:off x="13411741" y="-4832153"/>
          <a:ext cx="226814" cy="22287576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801843</xdr:colOff>
      <xdr:row>55</xdr:row>
      <xdr:rowOff>147307</xdr:rowOff>
    </xdr:from>
    <xdr:to>
      <xdr:col>3</xdr:col>
      <xdr:colOff>999843</xdr:colOff>
      <xdr:row>57</xdr:row>
      <xdr:rowOff>32692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B4392A44-E883-4720-9826-CC4C4331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4997" y="8509769"/>
          <a:ext cx="198000" cy="19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648583</xdr:colOff>
      <xdr:row>21</xdr:row>
      <xdr:rowOff>26517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175FB1-9778-4CFA-8C36-CB749162B8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628"/>
        <a:stretch/>
      </xdr:blipFill>
      <xdr:spPr>
        <a:xfrm>
          <a:off x="0" y="172566"/>
          <a:ext cx="6200542" cy="3277802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15</xdr:row>
      <xdr:rowOff>28575</xdr:rowOff>
    </xdr:from>
    <xdr:to>
      <xdr:col>4</xdr:col>
      <xdr:colOff>450850</xdr:colOff>
      <xdr:row>16</xdr:row>
      <xdr:rowOff>34925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8ABCF59-3E5F-4635-8D24-8231A6B85968}"/>
            </a:ext>
          </a:extLst>
        </xdr:cNvPr>
        <xdr:cNvSpPr/>
      </xdr:nvSpPr>
      <xdr:spPr>
        <a:xfrm>
          <a:off x="123825" y="2771775"/>
          <a:ext cx="2982443" cy="18923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476250</xdr:colOff>
      <xdr:row>15</xdr:row>
      <xdr:rowOff>114300</xdr:rowOff>
    </xdr:from>
    <xdr:to>
      <xdr:col>8</xdr:col>
      <xdr:colOff>609600</xdr:colOff>
      <xdr:row>15</xdr:row>
      <xdr:rowOff>123825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17D8A888-DAEE-49DB-BA20-2540ED4DA3AA}"/>
            </a:ext>
          </a:extLst>
        </xdr:cNvPr>
        <xdr:cNvCxnSpPr/>
      </xdr:nvCxnSpPr>
      <xdr:spPr>
        <a:xfrm>
          <a:off x="3131668" y="2857500"/>
          <a:ext cx="3410559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EBCC-6C1F-4895-A3E3-2CF61DB2AD6A}">
  <dimension ref="A1:U155"/>
  <sheetViews>
    <sheetView showGridLines="0" tabSelected="1" zoomScale="65" zoomScaleNormal="10" workbookViewId="0"/>
  </sheetViews>
  <sheetFormatPr baseColWidth="10" defaultColWidth="12.6328125" defaultRowHeight="12.5" x14ac:dyDescent="0.25"/>
  <cols>
    <col min="1" max="1" width="6.90625" customWidth="1"/>
    <col min="2" max="2" width="24.1796875" customWidth="1"/>
    <col min="3" max="3" width="51.90625" bestFit="1" customWidth="1"/>
    <col min="4" max="5" width="27.08984375" bestFit="1" customWidth="1"/>
    <col min="6" max="6" width="31.1796875" customWidth="1"/>
    <col min="7" max="7" width="20.36328125" customWidth="1"/>
    <col min="8" max="8" width="19.36328125" bestFit="1" customWidth="1"/>
    <col min="9" max="9" width="19.36328125" customWidth="1"/>
    <col min="10" max="10" width="37.54296875" customWidth="1"/>
    <col min="11" max="11" width="19.6328125" bestFit="1" customWidth="1"/>
    <col min="12" max="12" width="17.81640625" customWidth="1"/>
    <col min="13" max="13" width="19.36328125" bestFit="1" customWidth="1"/>
    <col min="14" max="14" width="22.6328125" customWidth="1"/>
    <col min="15" max="15" width="18.1796875" customWidth="1"/>
    <col min="16" max="16" width="17.08984375" bestFit="1" customWidth="1"/>
    <col min="17" max="17" width="3" customWidth="1"/>
    <col min="18" max="18" width="16.36328125" customWidth="1"/>
    <col min="19" max="19" width="17.6328125" customWidth="1"/>
    <col min="20" max="20" width="15.81640625" customWidth="1"/>
    <col min="21" max="21" width="17.81640625" customWidth="1"/>
  </cols>
  <sheetData>
    <row r="1" spans="1:21" x14ac:dyDescent="0.25">
      <c r="A1" s="125" t="s">
        <v>83</v>
      </c>
      <c r="B1" s="83"/>
      <c r="C1" s="83"/>
      <c r="D1" s="83"/>
      <c r="E1" s="83"/>
      <c r="F1" s="83"/>
      <c r="G1" s="84"/>
      <c r="J1" s="83"/>
    </row>
    <row r="2" spans="1:21" x14ac:dyDescent="0.25">
      <c r="A2" s="126" t="s">
        <v>84</v>
      </c>
      <c r="B2" s="3"/>
      <c r="C2" s="3"/>
      <c r="D2" s="2"/>
      <c r="E2" s="2"/>
      <c r="F2" s="83"/>
      <c r="G2" s="84"/>
      <c r="J2" s="83"/>
      <c r="S2" s="4" t="s">
        <v>0</v>
      </c>
      <c r="T2" s="5" t="s">
        <v>1</v>
      </c>
      <c r="U2" s="6" t="s">
        <v>2</v>
      </c>
    </row>
    <row r="3" spans="1:21" x14ac:dyDescent="0.25">
      <c r="A3" s="2"/>
      <c r="B3" s="7"/>
      <c r="C3" s="7"/>
      <c r="D3" s="2"/>
      <c r="E3" s="2"/>
      <c r="F3" s="83"/>
      <c r="G3" s="85"/>
      <c r="H3" s="83"/>
      <c r="I3" s="83"/>
      <c r="J3" s="83"/>
      <c r="S3" s="8" t="s">
        <v>3</v>
      </c>
      <c r="T3" s="9" t="s">
        <v>3</v>
      </c>
      <c r="U3" s="10" t="s">
        <v>4</v>
      </c>
    </row>
    <row r="4" spans="1:21" x14ac:dyDescent="0.25">
      <c r="A4" s="2"/>
      <c r="B4" s="11" t="s">
        <v>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21" x14ac:dyDescent="0.25">
      <c r="A5" s="2"/>
      <c r="B5" s="11" t="s">
        <v>6</v>
      </c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21" x14ac:dyDescent="0.25">
      <c r="A6" s="2"/>
      <c r="B6" s="14" t="s">
        <v>7</v>
      </c>
      <c r="C6" s="1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21" x14ac:dyDescent="0.25">
      <c r="A7" s="2"/>
      <c r="B7" s="15" t="s">
        <v>8</v>
      </c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21" ht="6" customHeight="1" thickBot="1" x14ac:dyDescent="0.3">
      <c r="A8" s="2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 ht="13" thickTop="1" x14ac:dyDescent="0.25">
      <c r="A9" s="2"/>
      <c r="B9" s="2"/>
      <c r="C9" s="2"/>
      <c r="D9" s="7"/>
      <c r="E9" s="7"/>
      <c r="F9" s="7"/>
      <c r="G9" s="18"/>
      <c r="H9" s="7"/>
      <c r="I9" s="7"/>
      <c r="J9" s="83"/>
    </row>
    <row r="10" spans="1:21" x14ac:dyDescent="0.25">
      <c r="A10" s="83"/>
      <c r="B10" s="19" t="s">
        <v>9</v>
      </c>
      <c r="C10" s="20"/>
      <c r="D10" s="7"/>
      <c r="E10" s="7"/>
      <c r="F10" s="83"/>
      <c r="G10" s="85"/>
      <c r="H10" s="83"/>
      <c r="I10" s="83"/>
      <c r="J10" s="83"/>
    </row>
    <row r="11" spans="1:21" ht="6" customHeight="1" x14ac:dyDescent="0.25">
      <c r="A11" s="83"/>
      <c r="B11" s="19"/>
      <c r="C11" s="20"/>
      <c r="D11" s="7"/>
      <c r="E11" s="7"/>
      <c r="F11" s="83"/>
      <c r="G11" s="85"/>
      <c r="H11" s="83"/>
      <c r="I11" s="83"/>
      <c r="J11" s="83"/>
    </row>
    <row r="12" spans="1:21" x14ac:dyDescent="0.25">
      <c r="A12" s="86"/>
      <c r="B12" s="22" t="s">
        <v>91</v>
      </c>
      <c r="C12" s="23"/>
      <c r="D12" s="7"/>
      <c r="E12" s="7"/>
      <c r="F12" s="83"/>
      <c r="G12" s="85"/>
      <c r="H12" s="83"/>
      <c r="I12" s="83"/>
      <c r="J12" s="83"/>
    </row>
    <row r="13" spans="1:21" x14ac:dyDescent="0.25">
      <c r="A13" s="86"/>
      <c r="B13" s="22"/>
      <c r="C13" s="23"/>
      <c r="D13" s="7"/>
      <c r="E13" s="7"/>
      <c r="F13" s="83"/>
      <c r="G13" s="85"/>
      <c r="H13" s="83"/>
      <c r="I13" s="83"/>
      <c r="J13" s="83"/>
    </row>
    <row r="14" spans="1:21" x14ac:dyDescent="0.25">
      <c r="A14" s="86"/>
      <c r="B14" s="24" t="s">
        <v>10</v>
      </c>
      <c r="C14" s="25"/>
      <c r="D14" s="7"/>
      <c r="E14" s="7"/>
      <c r="F14" s="83"/>
      <c r="G14" s="85"/>
      <c r="H14" s="83"/>
      <c r="I14" s="83"/>
      <c r="J14" s="83"/>
    </row>
    <row r="15" spans="1:21" ht="6" customHeight="1" x14ac:dyDescent="0.25">
      <c r="A15" s="86"/>
      <c r="C15" s="25"/>
      <c r="D15" s="7"/>
      <c r="E15" s="7"/>
      <c r="F15" s="83"/>
      <c r="G15" s="85"/>
      <c r="H15" s="83"/>
      <c r="I15" s="83"/>
      <c r="J15" s="83"/>
    </row>
    <row r="16" spans="1:21" x14ac:dyDescent="0.25">
      <c r="A16" s="86"/>
      <c r="C16" s="26" t="s">
        <v>11</v>
      </c>
      <c r="D16" s="26" t="s">
        <v>12</v>
      </c>
      <c r="E16" s="7"/>
      <c r="F16" s="83"/>
      <c r="G16" s="85"/>
      <c r="H16" s="83"/>
      <c r="I16" s="83"/>
      <c r="J16" s="83"/>
    </row>
    <row r="17" spans="1:16" x14ac:dyDescent="0.25">
      <c r="A17" s="86"/>
      <c r="B17" s="87" t="s">
        <v>13</v>
      </c>
      <c r="C17" s="27" t="s">
        <v>14</v>
      </c>
      <c r="D17" s="27" t="s">
        <v>14</v>
      </c>
      <c r="E17" s="7"/>
      <c r="F17" s="83"/>
      <c r="G17" s="85"/>
      <c r="H17" s="83"/>
      <c r="I17" s="83"/>
      <c r="J17" s="83"/>
    </row>
    <row r="18" spans="1:16" x14ac:dyDescent="0.25">
      <c r="A18" s="86"/>
      <c r="B18" s="87" t="s">
        <v>15</v>
      </c>
      <c r="C18" s="27" t="s">
        <v>14</v>
      </c>
      <c r="D18" s="27" t="s">
        <v>14</v>
      </c>
      <c r="E18" s="7"/>
      <c r="F18" s="83"/>
      <c r="G18" s="85"/>
      <c r="H18" s="83"/>
      <c r="I18" s="83"/>
      <c r="J18" s="83"/>
    </row>
    <row r="19" spans="1:16" x14ac:dyDescent="0.25">
      <c r="A19" s="86"/>
      <c r="B19" s="87" t="s">
        <v>16</v>
      </c>
      <c r="C19" s="27" t="s">
        <v>14</v>
      </c>
      <c r="D19" s="27" t="s">
        <v>14</v>
      </c>
      <c r="E19" s="7"/>
      <c r="F19" s="83"/>
      <c r="G19" s="85"/>
      <c r="H19" s="83"/>
      <c r="I19" s="83"/>
      <c r="J19" s="83"/>
    </row>
    <row r="20" spans="1:16" x14ac:dyDescent="0.25">
      <c r="A20" s="86"/>
      <c r="B20" s="22"/>
      <c r="C20" s="23"/>
      <c r="D20" s="7"/>
      <c r="E20" s="7"/>
      <c r="F20" s="83"/>
      <c r="G20" s="85"/>
      <c r="H20" s="83"/>
      <c r="I20" s="83"/>
      <c r="J20" s="83"/>
    </row>
    <row r="21" spans="1:16" x14ac:dyDescent="0.25">
      <c r="A21" s="86"/>
      <c r="B21" s="19" t="s">
        <v>17</v>
      </c>
      <c r="C21" s="20"/>
      <c r="D21" s="7"/>
      <c r="E21" s="7"/>
      <c r="F21" s="7"/>
      <c r="G21" s="85"/>
      <c r="H21" s="83"/>
      <c r="I21" s="83"/>
      <c r="J21" s="83"/>
    </row>
    <row r="22" spans="1:16" ht="6" customHeight="1" x14ac:dyDescent="0.25">
      <c r="A22" s="86"/>
      <c r="B22" s="28"/>
      <c r="C22" s="20"/>
      <c r="D22" s="7"/>
      <c r="E22" s="7"/>
      <c r="F22" s="7"/>
      <c r="G22" s="85"/>
      <c r="H22" s="83"/>
      <c r="I22" s="83"/>
      <c r="J22" s="83"/>
    </row>
    <row r="23" spans="1:16" x14ac:dyDescent="0.25">
      <c r="A23" s="21" t="s">
        <v>18</v>
      </c>
      <c r="B23" s="29" t="s">
        <v>80</v>
      </c>
      <c r="C23" s="20"/>
      <c r="D23" s="7"/>
      <c r="E23" s="7"/>
      <c r="F23" s="7"/>
      <c r="G23" s="85"/>
      <c r="H23" s="83"/>
      <c r="I23" s="83"/>
      <c r="J23" s="83"/>
    </row>
    <row r="24" spans="1:16" x14ac:dyDescent="0.25">
      <c r="A24" s="21" t="s">
        <v>19</v>
      </c>
      <c r="B24" s="29" t="s">
        <v>87</v>
      </c>
      <c r="C24" s="20"/>
      <c r="D24" s="7"/>
      <c r="E24" s="7"/>
      <c r="F24" s="7"/>
      <c r="G24" s="18"/>
      <c r="H24" s="7"/>
      <c r="I24" s="83"/>
      <c r="J24" s="83"/>
    </row>
    <row r="25" spans="1:16" x14ac:dyDescent="0.25">
      <c r="A25" s="21" t="s">
        <v>20</v>
      </c>
      <c r="B25" s="29" t="s">
        <v>88</v>
      </c>
      <c r="C25" s="20"/>
      <c r="D25" s="7"/>
      <c r="E25" s="7"/>
      <c r="F25" s="7"/>
      <c r="G25" s="18"/>
      <c r="H25" s="7"/>
      <c r="I25" s="83"/>
      <c r="J25" s="83"/>
    </row>
    <row r="26" spans="1:16" x14ac:dyDescent="0.25">
      <c r="A26" s="21" t="s">
        <v>21</v>
      </c>
      <c r="B26" s="29" t="s">
        <v>90</v>
      </c>
      <c r="C26" s="20"/>
      <c r="D26" s="7"/>
      <c r="E26" s="7"/>
      <c r="F26" s="7"/>
      <c r="G26" s="18"/>
      <c r="H26" s="7"/>
      <c r="I26" s="83"/>
      <c r="J26" s="83"/>
    </row>
    <row r="27" spans="1:16" x14ac:dyDescent="0.25">
      <c r="A27" s="21" t="s">
        <v>22</v>
      </c>
      <c r="B27" s="29" t="s">
        <v>92</v>
      </c>
      <c r="C27" s="20"/>
      <c r="D27" s="7"/>
      <c r="E27" s="7"/>
      <c r="F27" s="7"/>
      <c r="G27" s="18"/>
      <c r="H27" s="7"/>
      <c r="I27" s="83"/>
      <c r="J27" s="83"/>
    </row>
    <row r="28" spans="1:16" x14ac:dyDescent="0.25">
      <c r="A28" s="21" t="s">
        <v>23</v>
      </c>
      <c r="B28" s="30" t="s">
        <v>79</v>
      </c>
      <c r="C28" s="20"/>
      <c r="D28" s="7"/>
      <c r="E28" s="7"/>
      <c r="F28" s="7"/>
      <c r="G28" s="18"/>
      <c r="H28" s="7"/>
      <c r="I28" s="83"/>
      <c r="J28" s="83"/>
    </row>
    <row r="29" spans="1:16" x14ac:dyDescent="0.25">
      <c r="A29" s="21"/>
      <c r="C29" s="20"/>
      <c r="D29" s="7"/>
      <c r="E29" s="7"/>
      <c r="F29" s="7"/>
      <c r="G29" s="18"/>
      <c r="H29" s="7"/>
      <c r="I29" s="83"/>
      <c r="J29" s="83"/>
    </row>
    <row r="30" spans="1:16" x14ac:dyDescent="0.25">
      <c r="A30" s="83"/>
      <c r="B30" s="88"/>
      <c r="C30" s="20"/>
      <c r="D30" s="7"/>
      <c r="E30" s="7"/>
      <c r="F30" s="7"/>
      <c r="G30" s="18"/>
      <c r="H30" s="7"/>
      <c r="I30" s="83"/>
      <c r="J30" s="83"/>
    </row>
    <row r="31" spans="1:16" x14ac:dyDescent="0.25">
      <c r="A31" s="83"/>
      <c r="B31" s="24" t="s">
        <v>24</v>
      </c>
      <c r="C31" s="83"/>
      <c r="D31" s="89"/>
      <c r="E31" s="7"/>
      <c r="F31" s="83"/>
      <c r="G31" s="83"/>
      <c r="H31" s="89"/>
      <c r="I31" s="83"/>
      <c r="N31" s="90"/>
      <c r="O31" s="90"/>
      <c r="P31" s="90"/>
    </row>
    <row r="32" spans="1:16" ht="6" customHeight="1" x14ac:dyDescent="0.25">
      <c r="A32" s="83"/>
      <c r="B32" s="24"/>
      <c r="C32" s="83"/>
      <c r="D32" s="89"/>
      <c r="E32" s="7"/>
      <c r="F32" s="83"/>
      <c r="G32" s="83"/>
      <c r="H32" s="89"/>
      <c r="I32" s="83"/>
      <c r="N32" s="90"/>
      <c r="O32" s="90"/>
      <c r="P32" s="90"/>
    </row>
    <row r="33" spans="1:21" x14ac:dyDescent="0.25">
      <c r="B33" s="31" t="s">
        <v>86</v>
      </c>
      <c r="K33" s="84"/>
      <c r="L33" s="91"/>
    </row>
    <row r="34" spans="1:21" x14ac:dyDescent="0.25">
      <c r="K34" s="84"/>
      <c r="L34" s="91"/>
      <c r="R34" s="32"/>
      <c r="S34" s="32"/>
    </row>
    <row r="35" spans="1:21" x14ac:dyDescent="0.25">
      <c r="J35" s="84"/>
      <c r="K35" s="91"/>
      <c r="Q35" s="32"/>
      <c r="R35" s="32"/>
    </row>
    <row r="36" spans="1:21" x14ac:dyDescent="0.25">
      <c r="A36" s="36" t="s">
        <v>96</v>
      </c>
      <c r="B36" s="34" t="s">
        <v>25</v>
      </c>
      <c r="C36" s="34" t="s">
        <v>94</v>
      </c>
      <c r="D36" s="34" t="s">
        <v>26</v>
      </c>
      <c r="J36" s="84"/>
      <c r="K36" s="91"/>
      <c r="Q36" s="32"/>
      <c r="R36" s="32"/>
    </row>
    <row r="37" spans="1:21" x14ac:dyDescent="0.25">
      <c r="A37" s="36" t="s">
        <v>97</v>
      </c>
      <c r="B37" s="132" t="s">
        <v>95</v>
      </c>
      <c r="C37" s="133" t="s">
        <v>96</v>
      </c>
      <c r="D37" s="133"/>
      <c r="J37" s="84"/>
      <c r="K37" s="91"/>
      <c r="Q37" s="32"/>
      <c r="R37" s="32"/>
    </row>
    <row r="38" spans="1:21" x14ac:dyDescent="0.25">
      <c r="J38" s="84"/>
      <c r="K38" s="91"/>
      <c r="Q38" s="32"/>
      <c r="R38" s="32"/>
    </row>
    <row r="39" spans="1:21" x14ac:dyDescent="0.25">
      <c r="B39" s="31" t="s">
        <v>100</v>
      </c>
      <c r="F39" s="42" t="s">
        <v>110</v>
      </c>
      <c r="K39" s="84"/>
      <c r="L39" s="91"/>
      <c r="R39" s="135" t="s">
        <v>27</v>
      </c>
      <c r="S39" s="135" t="s">
        <v>99</v>
      </c>
    </row>
    <row r="40" spans="1:21" x14ac:dyDescent="0.25">
      <c r="F40" s="42" t="s">
        <v>111</v>
      </c>
      <c r="R40" s="93" t="s">
        <v>28</v>
      </c>
      <c r="S40" s="94">
        <v>0</v>
      </c>
      <c r="T40" s="134" t="s">
        <v>29</v>
      </c>
    </row>
    <row r="41" spans="1:21" x14ac:dyDescent="0.25">
      <c r="F41" s="42"/>
      <c r="R41" s="146"/>
      <c r="S41" s="147"/>
      <c r="T41" s="134"/>
    </row>
    <row r="42" spans="1:21" x14ac:dyDescent="0.25">
      <c r="F42" s="42"/>
      <c r="R42" s="146"/>
      <c r="S42" s="147"/>
      <c r="T42" s="134"/>
    </row>
    <row r="43" spans="1:21" x14ac:dyDescent="0.25">
      <c r="F43" s="42"/>
      <c r="R43" s="146"/>
      <c r="S43" s="147"/>
      <c r="T43" s="134"/>
    </row>
    <row r="45" spans="1:21" x14ac:dyDescent="0.25">
      <c r="B45" s="35"/>
      <c r="S45" s="35"/>
    </row>
    <row r="46" spans="1:21" ht="25" x14ac:dyDescent="0.25">
      <c r="B46" s="33" t="s">
        <v>54</v>
      </c>
      <c r="C46" s="33" t="s">
        <v>48</v>
      </c>
      <c r="D46" s="33" t="s">
        <v>30</v>
      </c>
      <c r="E46" s="33" t="s">
        <v>31</v>
      </c>
      <c r="F46" s="33" t="s">
        <v>32</v>
      </c>
      <c r="G46" s="33" t="s">
        <v>81</v>
      </c>
      <c r="H46" s="34" t="s">
        <v>33</v>
      </c>
      <c r="I46" s="34" t="s">
        <v>34</v>
      </c>
      <c r="J46" s="34" t="s">
        <v>35</v>
      </c>
      <c r="K46" s="33" t="s">
        <v>36</v>
      </c>
      <c r="L46" s="33" t="s">
        <v>37</v>
      </c>
      <c r="M46" s="33" t="s">
        <v>38</v>
      </c>
      <c r="N46" s="33" t="s">
        <v>39</v>
      </c>
      <c r="O46" s="33" t="s">
        <v>40</v>
      </c>
      <c r="P46" s="33" t="s">
        <v>41</v>
      </c>
      <c r="Q46" s="36" t="s">
        <v>42</v>
      </c>
      <c r="R46" s="34" t="s">
        <v>43</v>
      </c>
      <c r="S46" s="34" t="s">
        <v>44</v>
      </c>
      <c r="T46" s="34" t="s">
        <v>45</v>
      </c>
      <c r="U46" s="34" t="s">
        <v>98</v>
      </c>
    </row>
    <row r="47" spans="1:21" x14ac:dyDescent="0.25">
      <c r="B47" s="95"/>
      <c r="C47" s="96"/>
      <c r="D47" s="96"/>
      <c r="E47" s="96"/>
      <c r="F47" s="95"/>
      <c r="G47" s="96"/>
      <c r="H47" s="96"/>
      <c r="I47" s="96"/>
      <c r="J47" s="96"/>
      <c r="K47" s="96"/>
      <c r="L47" s="96"/>
      <c r="M47" s="96"/>
      <c r="N47" s="96"/>
      <c r="O47" s="96"/>
      <c r="P47" s="96"/>
      <c r="R47" s="97" t="e">
        <f t="shared" ref="R47:R52" si="0">+$R$40-I47</f>
        <v>#VALUE!</v>
      </c>
      <c r="S47" s="98" t="e">
        <f t="shared" ref="S47:S52" si="1">+R47/365*$S$40</f>
        <v>#VALUE!</v>
      </c>
      <c r="T47" s="99" t="e">
        <f>+K47/(1+S47)</f>
        <v>#VALUE!</v>
      </c>
      <c r="U47" s="97" t="e">
        <f>+K47-T47</f>
        <v>#VALUE!</v>
      </c>
    </row>
    <row r="48" spans="1:21" x14ac:dyDescent="0.25">
      <c r="B48" s="95"/>
      <c r="C48" s="96"/>
      <c r="D48" s="96"/>
      <c r="E48" s="96"/>
      <c r="F48" s="95"/>
      <c r="G48" s="96"/>
      <c r="H48" s="96"/>
      <c r="I48" s="96"/>
      <c r="J48" s="96"/>
      <c r="K48" s="96"/>
      <c r="L48" s="96"/>
      <c r="M48" s="96"/>
      <c r="N48" s="96"/>
      <c r="O48" s="96"/>
      <c r="P48" s="96"/>
      <c r="R48" s="97" t="e">
        <f t="shared" si="0"/>
        <v>#VALUE!</v>
      </c>
      <c r="S48" s="98" t="e">
        <f t="shared" si="1"/>
        <v>#VALUE!</v>
      </c>
      <c r="T48" s="99" t="e">
        <f>+K48/(1+S48)</f>
        <v>#VALUE!</v>
      </c>
      <c r="U48" s="97" t="e">
        <f t="shared" ref="U48:U52" si="2">+K48-T48</f>
        <v>#VALUE!</v>
      </c>
    </row>
    <row r="49" spans="1:21" x14ac:dyDescent="0.25">
      <c r="B49" s="95"/>
      <c r="C49" s="96"/>
      <c r="D49" s="96"/>
      <c r="E49" s="96"/>
      <c r="F49" s="95"/>
      <c r="G49" s="96"/>
      <c r="H49" s="96"/>
      <c r="I49" s="96"/>
      <c r="J49" s="96"/>
      <c r="K49" s="96"/>
      <c r="L49" s="96"/>
      <c r="M49" s="96"/>
      <c r="N49" s="96"/>
      <c r="O49" s="96"/>
      <c r="P49" s="96"/>
      <c r="R49" s="97" t="e">
        <f t="shared" si="0"/>
        <v>#VALUE!</v>
      </c>
      <c r="S49" s="98" t="e">
        <f t="shared" si="1"/>
        <v>#VALUE!</v>
      </c>
      <c r="T49" s="99" t="e">
        <f>+K49/(1+S49)</f>
        <v>#VALUE!</v>
      </c>
      <c r="U49" s="97" t="e">
        <f t="shared" si="2"/>
        <v>#VALUE!</v>
      </c>
    </row>
    <row r="50" spans="1:21" x14ac:dyDescent="0.25">
      <c r="B50" s="95"/>
      <c r="C50" s="96"/>
      <c r="D50" s="96"/>
      <c r="E50" s="96"/>
      <c r="F50" s="95"/>
      <c r="G50" s="96"/>
      <c r="H50" s="96"/>
      <c r="I50" s="96"/>
      <c r="J50" s="96"/>
      <c r="K50" s="96"/>
      <c r="L50" s="96"/>
      <c r="M50" s="96"/>
      <c r="N50" s="96"/>
      <c r="O50" s="96"/>
      <c r="P50" s="96"/>
      <c r="R50" s="99" t="e">
        <f t="shared" si="0"/>
        <v>#VALUE!</v>
      </c>
      <c r="S50" s="98" t="e">
        <f t="shared" si="1"/>
        <v>#VALUE!</v>
      </c>
      <c r="T50" s="99" t="e">
        <f>+K50/(1+S50)</f>
        <v>#VALUE!</v>
      </c>
      <c r="U50" s="97" t="e">
        <f t="shared" si="2"/>
        <v>#VALUE!</v>
      </c>
    </row>
    <row r="51" spans="1:21" x14ac:dyDescent="0.25">
      <c r="B51" s="37"/>
      <c r="C51" s="96"/>
      <c r="D51" s="96"/>
      <c r="E51" s="96"/>
      <c r="F51" s="95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100"/>
      <c r="R51" s="99" t="e">
        <f t="shared" si="0"/>
        <v>#VALUE!</v>
      </c>
      <c r="S51" s="98" t="e">
        <f t="shared" si="1"/>
        <v>#VALUE!</v>
      </c>
      <c r="T51" s="99" t="e">
        <f>+K51/(1+S51)</f>
        <v>#VALUE!</v>
      </c>
      <c r="U51" s="97" t="e">
        <f t="shared" si="2"/>
        <v>#VALUE!</v>
      </c>
    </row>
    <row r="52" spans="1:21" x14ac:dyDescent="0.25">
      <c r="B52" s="37"/>
      <c r="C52" s="96"/>
      <c r="D52" s="96"/>
      <c r="E52" s="96"/>
      <c r="F52" s="95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100"/>
      <c r="R52" s="99" t="e">
        <f t="shared" si="0"/>
        <v>#VALUE!</v>
      </c>
      <c r="S52" s="98" t="e">
        <f t="shared" si="1"/>
        <v>#VALUE!</v>
      </c>
      <c r="T52" s="99" t="e">
        <f t="shared" ref="T52" si="3">+K52/(1+S52)</f>
        <v>#VALUE!</v>
      </c>
      <c r="U52" s="97" t="e">
        <f t="shared" si="2"/>
        <v>#VALUE!</v>
      </c>
    </row>
    <row r="53" spans="1:21" ht="6" customHeight="1" x14ac:dyDescent="0.25">
      <c r="B53" s="38"/>
      <c r="F53" s="101"/>
      <c r="H53" s="102"/>
      <c r="I53" s="102"/>
      <c r="K53" s="103"/>
      <c r="O53" s="103"/>
      <c r="P53" s="103"/>
      <c r="Q53" s="103"/>
      <c r="R53" s="103"/>
      <c r="S53" s="104"/>
      <c r="T53" s="103"/>
      <c r="U53" s="103"/>
    </row>
    <row r="54" spans="1:21" ht="16.75" customHeight="1" thickBot="1" x14ac:dyDescent="0.3">
      <c r="I54" s="84"/>
      <c r="J54" s="31"/>
      <c r="K54" s="39">
        <f>+SUM(K47:K52)</f>
        <v>0</v>
      </c>
      <c r="O54" s="39">
        <f>+SUM(O47:O52)</f>
        <v>0</v>
      </c>
      <c r="Q54" s="105"/>
      <c r="R54" s="106"/>
      <c r="S54" s="107"/>
      <c r="T54" s="39"/>
      <c r="U54" s="39" t="e">
        <f>+SUM(U47:U52)</f>
        <v>#VALUE!</v>
      </c>
    </row>
    <row r="55" spans="1:21" ht="13" thickTop="1" x14ac:dyDescent="0.25">
      <c r="B55" s="41" t="s">
        <v>47</v>
      </c>
      <c r="F55" s="42"/>
    </row>
    <row r="56" spans="1:21" x14ac:dyDescent="0.25">
      <c r="B56" s="43"/>
      <c r="F56" s="42"/>
    </row>
    <row r="57" spans="1:21" x14ac:dyDescent="0.25">
      <c r="B57" s="44"/>
      <c r="C57" s="45"/>
      <c r="D57" s="45"/>
      <c r="E57" s="45"/>
      <c r="F57" s="45"/>
      <c r="G57" s="45"/>
    </row>
    <row r="58" spans="1:21" ht="5.65" customHeight="1" x14ac:dyDescent="0.25"/>
    <row r="59" spans="1:21" ht="25" x14ac:dyDescent="0.25">
      <c r="B59" s="34" t="s">
        <v>54</v>
      </c>
      <c r="C59" s="34" t="s">
        <v>48</v>
      </c>
      <c r="D59" s="34" t="s">
        <v>93</v>
      </c>
      <c r="E59" s="34" t="s">
        <v>49</v>
      </c>
      <c r="F59" s="34" t="s">
        <v>50</v>
      </c>
      <c r="G59" s="34" t="s">
        <v>93</v>
      </c>
    </row>
    <row r="60" spans="1:21" x14ac:dyDescent="0.25">
      <c r="B60" s="108"/>
      <c r="C60" s="108"/>
      <c r="D60" s="108"/>
      <c r="E60" s="108"/>
      <c r="F60" s="108"/>
      <c r="G60" s="108">
        <f>+SUM(D60:F60)</f>
        <v>0</v>
      </c>
    </row>
    <row r="61" spans="1:21" x14ac:dyDescent="0.25">
      <c r="A61" s="109"/>
      <c r="B61" s="108"/>
      <c r="C61" s="108"/>
      <c r="D61" s="108"/>
      <c r="E61" s="108"/>
      <c r="F61" s="108"/>
      <c r="G61" s="108">
        <f t="shared" ref="G61:G68" si="4">+SUM(D61:F61)</f>
        <v>0</v>
      </c>
      <c r="H61" s="109"/>
      <c r="Q61" s="109"/>
      <c r="R61" s="109"/>
      <c r="S61" s="109"/>
    </row>
    <row r="62" spans="1:21" x14ac:dyDescent="0.25">
      <c r="A62" s="109"/>
      <c r="B62" s="108"/>
      <c r="C62" s="108"/>
      <c r="D62" s="108"/>
      <c r="E62" s="108"/>
      <c r="F62" s="108"/>
      <c r="G62" s="108">
        <f t="shared" si="4"/>
        <v>0</v>
      </c>
      <c r="H62" s="109"/>
      <c r="Q62" s="109"/>
      <c r="R62" s="109"/>
      <c r="S62" s="109"/>
    </row>
    <row r="63" spans="1:21" x14ac:dyDescent="0.25">
      <c r="A63" s="109"/>
      <c r="B63" s="108"/>
      <c r="C63" s="108"/>
      <c r="D63" s="108"/>
      <c r="E63" s="108"/>
      <c r="F63" s="108"/>
      <c r="G63" s="108">
        <f t="shared" si="4"/>
        <v>0</v>
      </c>
      <c r="H63" s="109"/>
      <c r="Q63" s="109"/>
      <c r="R63" s="109"/>
      <c r="S63" s="109"/>
    </row>
    <row r="64" spans="1:21" x14ac:dyDescent="0.25">
      <c r="A64" s="109"/>
      <c r="B64" s="108"/>
      <c r="C64" s="108"/>
      <c r="D64" s="108"/>
      <c r="E64" s="108"/>
      <c r="F64" s="108"/>
      <c r="G64" s="108">
        <f t="shared" si="4"/>
        <v>0</v>
      </c>
      <c r="H64" s="109"/>
      <c r="Q64" s="109"/>
      <c r="R64" s="109"/>
      <c r="S64" s="109"/>
    </row>
    <row r="65" spans="1:19" x14ac:dyDescent="0.25">
      <c r="A65" s="109"/>
      <c r="B65" s="108"/>
      <c r="C65" s="108"/>
      <c r="D65" s="108"/>
      <c r="E65" s="108"/>
      <c r="F65" s="108"/>
      <c r="G65" s="108">
        <f t="shared" si="4"/>
        <v>0</v>
      </c>
      <c r="H65" s="109"/>
      <c r="Q65" s="109"/>
      <c r="R65" s="109"/>
      <c r="S65" s="109"/>
    </row>
    <row r="66" spans="1:19" x14ac:dyDescent="0.25">
      <c r="A66" s="109"/>
      <c r="B66" s="108"/>
      <c r="C66" s="108"/>
      <c r="D66" s="108"/>
      <c r="E66" s="108"/>
      <c r="F66" s="108"/>
      <c r="G66" s="108">
        <f t="shared" si="4"/>
        <v>0</v>
      </c>
      <c r="H66" s="109"/>
      <c r="Q66" s="109"/>
      <c r="R66" s="109"/>
      <c r="S66" s="109"/>
    </row>
    <row r="67" spans="1:19" x14ac:dyDescent="0.25">
      <c r="B67" s="108"/>
      <c r="C67" s="108"/>
      <c r="D67" s="108"/>
      <c r="E67" s="108"/>
      <c r="F67" s="108"/>
      <c r="G67" s="108">
        <f t="shared" si="4"/>
        <v>0</v>
      </c>
    </row>
    <row r="68" spans="1:19" x14ac:dyDescent="0.25">
      <c r="B68" s="92"/>
      <c r="C68" s="92"/>
      <c r="D68" s="108"/>
      <c r="E68" s="108"/>
      <c r="F68" s="108"/>
      <c r="G68" s="108">
        <f t="shared" si="4"/>
        <v>0</v>
      </c>
    </row>
    <row r="69" spans="1:19" ht="6.4" customHeight="1" x14ac:dyDescent="0.25">
      <c r="B69" s="110"/>
      <c r="C69" s="110"/>
      <c r="D69" s="111"/>
      <c r="E69" s="111"/>
      <c r="F69" s="111"/>
      <c r="G69" s="111"/>
    </row>
    <row r="70" spans="1:19" ht="13" thickBot="1" x14ac:dyDescent="0.3">
      <c r="A70" s="46"/>
      <c r="B70" s="46"/>
      <c r="C70" s="109"/>
      <c r="D70" s="112">
        <f>SUM(D60:D68)</f>
        <v>0</v>
      </c>
      <c r="E70" s="112">
        <f>SUM(E60:E68)</f>
        <v>0</v>
      </c>
      <c r="F70" s="112">
        <f>SUM(F60:F68)</f>
        <v>0</v>
      </c>
      <c r="G70" s="47">
        <f>SUM(G60:G68)</f>
        <v>0</v>
      </c>
      <c r="H70" s="46"/>
    </row>
    <row r="71" spans="1:19" ht="13" thickTop="1" x14ac:dyDescent="0.25">
      <c r="D71" s="127" t="s">
        <v>51</v>
      </c>
      <c r="E71" s="40" t="s">
        <v>52</v>
      </c>
      <c r="F71" s="40" t="s">
        <v>53</v>
      </c>
      <c r="G71" s="127" t="s">
        <v>51</v>
      </c>
    </row>
    <row r="72" spans="1:19" x14ac:dyDescent="0.25">
      <c r="D72" s="48"/>
      <c r="G72" s="49"/>
    </row>
    <row r="73" spans="1:19" x14ac:dyDescent="0.25">
      <c r="B73" s="129" t="s">
        <v>82</v>
      </c>
      <c r="C73" s="130"/>
      <c r="D73" s="130"/>
      <c r="E73" s="130"/>
      <c r="F73" s="131"/>
      <c r="G73" s="49"/>
    </row>
    <row r="74" spans="1:19" x14ac:dyDescent="0.25">
      <c r="D74" s="48"/>
      <c r="G74" s="49"/>
    </row>
    <row r="75" spans="1:19" ht="13.15" customHeight="1" x14ac:dyDescent="0.25">
      <c r="B75" s="31" t="s">
        <v>104</v>
      </c>
      <c r="C75" s="45"/>
      <c r="D75" s="45"/>
      <c r="E75" s="45"/>
    </row>
    <row r="76" spans="1:19" ht="13.15" customHeight="1" x14ac:dyDescent="0.25">
      <c r="B76" s="50"/>
      <c r="C76" s="45"/>
      <c r="D76" s="45"/>
      <c r="E76" s="45"/>
    </row>
    <row r="77" spans="1:19" ht="25" x14ac:dyDescent="0.25">
      <c r="B77" s="51" t="s">
        <v>54</v>
      </c>
      <c r="C77" s="51" t="s">
        <v>48</v>
      </c>
      <c r="D77" s="51" t="s">
        <v>55</v>
      </c>
      <c r="E77" s="52" t="s">
        <v>93</v>
      </c>
      <c r="F77" s="53" t="s">
        <v>56</v>
      </c>
    </row>
    <row r="78" spans="1:19" x14ac:dyDescent="0.25">
      <c r="B78" s="113"/>
      <c r="C78" s="114"/>
      <c r="D78" s="115">
        <f>+K47</f>
        <v>0</v>
      </c>
      <c r="E78" s="115">
        <v>0</v>
      </c>
      <c r="F78" s="115">
        <f>+E78-D78</f>
        <v>0</v>
      </c>
    </row>
    <row r="79" spans="1:19" x14ac:dyDescent="0.25">
      <c r="B79" s="92"/>
      <c r="C79" s="92"/>
      <c r="D79" s="108">
        <v>0</v>
      </c>
      <c r="E79" s="108">
        <v>0</v>
      </c>
      <c r="F79" s="108">
        <f t="shared" ref="F79:F83" si="5">+E79-D79</f>
        <v>0</v>
      </c>
      <c r="G79" s="54"/>
    </row>
    <row r="80" spans="1:19" x14ac:dyDescent="0.25">
      <c r="B80" s="92"/>
      <c r="C80" s="92"/>
      <c r="D80" s="108">
        <v>0</v>
      </c>
      <c r="E80" s="108">
        <v>0</v>
      </c>
      <c r="F80" s="108">
        <f t="shared" si="5"/>
        <v>0</v>
      </c>
    </row>
    <row r="81" spans="2:10" x14ac:dyDescent="0.25">
      <c r="B81" s="92"/>
      <c r="C81" s="92"/>
      <c r="D81" s="108">
        <v>0</v>
      </c>
      <c r="E81" s="108">
        <v>0</v>
      </c>
      <c r="F81" s="108">
        <f t="shared" si="5"/>
        <v>0</v>
      </c>
    </row>
    <row r="82" spans="2:10" x14ac:dyDescent="0.25">
      <c r="B82" s="92"/>
      <c r="C82" s="92"/>
      <c r="D82" s="108">
        <v>0</v>
      </c>
      <c r="E82" s="108">
        <v>0</v>
      </c>
      <c r="F82" s="108">
        <f t="shared" si="5"/>
        <v>0</v>
      </c>
    </row>
    <row r="83" spans="2:10" x14ac:dyDescent="0.25">
      <c r="B83" s="92"/>
      <c r="C83" s="92"/>
      <c r="D83" s="108">
        <v>0</v>
      </c>
      <c r="E83" s="108">
        <v>0</v>
      </c>
      <c r="F83" s="108">
        <f t="shared" si="5"/>
        <v>0</v>
      </c>
    </row>
    <row r="84" spans="2:10" x14ac:dyDescent="0.25">
      <c r="B84" s="110"/>
      <c r="C84" s="110"/>
      <c r="D84" s="111"/>
      <c r="E84" s="111"/>
      <c r="F84" s="111"/>
    </row>
    <row r="85" spans="2:10" ht="13" thickBot="1" x14ac:dyDescent="0.3">
      <c r="B85" s="46"/>
      <c r="C85" s="46"/>
      <c r="D85" s="47">
        <f>SUM(D78:D83)</f>
        <v>0</v>
      </c>
      <c r="E85" s="47">
        <f>SUM(E78:E83)</f>
        <v>0</v>
      </c>
      <c r="F85" s="47">
        <f>SUM(F78:F83)</f>
        <v>0</v>
      </c>
      <c r="G85" s="54"/>
    </row>
    <row r="86" spans="2:10" ht="13" thickTop="1" x14ac:dyDescent="0.25">
      <c r="E86" s="128" t="s">
        <v>51</v>
      </c>
      <c r="G86" s="54"/>
    </row>
    <row r="87" spans="2:10" x14ac:dyDescent="0.25">
      <c r="B87" s="45"/>
      <c r="C87" s="45"/>
      <c r="D87" s="45"/>
      <c r="E87" s="45"/>
    </row>
    <row r="88" spans="2:10" x14ac:dyDescent="0.25">
      <c r="B88" s="55" t="s">
        <v>102</v>
      </c>
      <c r="C88" s="45"/>
      <c r="D88" s="45"/>
      <c r="E88" s="45"/>
    </row>
    <row r="89" spans="2:10" x14ac:dyDescent="0.25">
      <c r="B89" s="57"/>
      <c r="C89" s="57"/>
      <c r="D89" s="57"/>
      <c r="F89" s="57"/>
      <c r="I89" s="58"/>
      <c r="J89" s="58"/>
    </row>
    <row r="90" spans="2:10" ht="25" x14ac:dyDescent="0.25">
      <c r="B90" s="34" t="s">
        <v>54</v>
      </c>
      <c r="C90" s="34" t="s">
        <v>48</v>
      </c>
      <c r="D90" s="34" t="s">
        <v>93</v>
      </c>
      <c r="E90" s="116"/>
      <c r="F90" s="103"/>
      <c r="I90" s="59"/>
      <c r="J90" s="117"/>
    </row>
    <row r="91" spans="2:10" x14ac:dyDescent="0.25">
      <c r="B91" s="92"/>
      <c r="C91" s="92"/>
      <c r="D91" s="108"/>
      <c r="E91" s="116"/>
      <c r="F91" s="103"/>
      <c r="I91" s="59"/>
      <c r="J91" s="117"/>
    </row>
    <row r="92" spans="2:10" x14ac:dyDescent="0.25">
      <c r="B92" s="92"/>
      <c r="C92" s="92"/>
      <c r="D92" s="108"/>
      <c r="E92" s="116"/>
      <c r="F92" s="103"/>
      <c r="I92" s="60"/>
      <c r="J92" s="117"/>
    </row>
    <row r="93" spans="2:10" ht="6" customHeight="1" x14ac:dyDescent="0.25">
      <c r="B93" s="110"/>
      <c r="C93" s="110"/>
      <c r="D93" s="111"/>
      <c r="E93" s="116"/>
      <c r="F93" s="61"/>
      <c r="I93" s="59"/>
      <c r="J93" s="117"/>
    </row>
    <row r="94" spans="2:10" ht="13" thickBot="1" x14ac:dyDescent="0.3">
      <c r="D94" s="106">
        <f>+SUM(D91:D93)</f>
        <v>0</v>
      </c>
      <c r="E94" s="116"/>
      <c r="F94" s="103"/>
    </row>
    <row r="95" spans="2:10" ht="13" thickTop="1" x14ac:dyDescent="0.25">
      <c r="D95" s="118"/>
      <c r="E95" s="116"/>
      <c r="F95" s="103"/>
    </row>
    <row r="96" spans="2:10" x14ac:dyDescent="0.25">
      <c r="C96" s="136" t="s">
        <v>103</v>
      </c>
      <c r="D96" s="111" t="e">
        <f>+U54</f>
        <v>#VALUE!</v>
      </c>
      <c r="E96" s="62" t="s">
        <v>46</v>
      </c>
      <c r="F96" s="103"/>
    </row>
    <row r="97" spans="2:10" ht="13" thickBot="1" x14ac:dyDescent="0.3">
      <c r="C97" s="145" t="s">
        <v>56</v>
      </c>
      <c r="D97" s="63" t="e">
        <f>+SUM(D94-D96)</f>
        <v>#VALUE!</v>
      </c>
      <c r="E97" s="116"/>
    </row>
    <row r="98" spans="2:10" ht="13" thickTop="1" x14ac:dyDescent="0.25">
      <c r="B98" s="56"/>
      <c r="C98" s="65"/>
      <c r="D98" s="66"/>
      <c r="E98" s="67"/>
    </row>
    <row r="99" spans="2:10" x14ac:dyDescent="0.25">
      <c r="B99" s="55" t="s">
        <v>101</v>
      </c>
      <c r="C99" s="65"/>
      <c r="D99" s="66"/>
      <c r="H99" s="68"/>
      <c r="I99" s="119"/>
      <c r="J99" s="120"/>
    </row>
    <row r="100" spans="2:10" x14ac:dyDescent="0.25">
      <c r="B100" s="45"/>
      <c r="C100" s="45"/>
      <c r="D100" s="45"/>
      <c r="H100" s="149"/>
      <c r="I100" s="150"/>
      <c r="J100" s="120"/>
    </row>
    <row r="101" spans="2:10" ht="25" x14ac:dyDescent="0.25">
      <c r="B101" s="34" t="s">
        <v>54</v>
      </c>
      <c r="C101" s="34" t="s">
        <v>48</v>
      </c>
      <c r="D101" s="34" t="s">
        <v>93</v>
      </c>
      <c r="H101" s="149"/>
      <c r="I101" s="150"/>
      <c r="J101" s="120"/>
    </row>
    <row r="102" spans="2:10" x14ac:dyDescent="0.25">
      <c r="B102" s="70"/>
      <c r="C102" s="70"/>
      <c r="D102" s="71">
        <v>0</v>
      </c>
      <c r="E102" s="69"/>
    </row>
    <row r="103" spans="2:10" x14ac:dyDescent="0.25">
      <c r="B103" s="70"/>
      <c r="C103" s="70"/>
      <c r="D103" s="71">
        <v>0</v>
      </c>
      <c r="E103" s="144" t="s">
        <v>58</v>
      </c>
    </row>
    <row r="104" spans="2:10" s="137" customFormat="1" x14ac:dyDescent="0.25">
      <c r="B104" s="138"/>
      <c r="C104" s="138"/>
      <c r="D104" s="73"/>
      <c r="E104" s="139"/>
    </row>
    <row r="105" spans="2:10" s="137" customFormat="1" ht="13" thickBot="1" x14ac:dyDescent="0.3">
      <c r="B105" s="138"/>
      <c r="C105"/>
      <c r="D105" s="106">
        <f>+SUM(D102:D103)</f>
        <v>0</v>
      </c>
      <c r="E105" s="139"/>
    </row>
    <row r="106" spans="2:10" s="137" customFormat="1" ht="13" thickTop="1" x14ac:dyDescent="0.25">
      <c r="B106" s="138"/>
      <c r="C106"/>
      <c r="D106" s="118"/>
      <c r="E106" s="139"/>
    </row>
    <row r="107" spans="2:10" x14ac:dyDescent="0.25">
      <c r="B107" s="138"/>
      <c r="C107" s="140" t="s">
        <v>112</v>
      </c>
      <c r="D107" s="141">
        <f>+E70</f>
        <v>0</v>
      </c>
      <c r="E107" s="72" t="s">
        <v>52</v>
      </c>
    </row>
    <row r="108" spans="2:10" ht="6" customHeight="1" x14ac:dyDescent="0.25">
      <c r="B108" s="45"/>
      <c r="C108" s="45"/>
      <c r="D108" s="73"/>
      <c r="E108" s="74"/>
    </row>
    <row r="109" spans="2:10" ht="13" thickBot="1" x14ac:dyDescent="0.3">
      <c r="B109" s="45"/>
      <c r="C109" s="143" t="s">
        <v>56</v>
      </c>
      <c r="D109" s="75">
        <f>+D105+D107</f>
        <v>0</v>
      </c>
    </row>
    <row r="110" spans="2:10" ht="13" thickTop="1" x14ac:dyDescent="0.25">
      <c r="B110" s="45"/>
    </row>
    <row r="113" spans="2:7" x14ac:dyDescent="0.25">
      <c r="B113" s="55" t="s">
        <v>85</v>
      </c>
      <c r="C113" s="65"/>
      <c r="D113" s="66"/>
      <c r="E113" s="45"/>
    </row>
    <row r="114" spans="2:7" x14ac:dyDescent="0.25">
      <c r="B114" s="45"/>
      <c r="C114" s="45"/>
      <c r="D114" s="45"/>
      <c r="E114" s="45"/>
    </row>
    <row r="115" spans="2:7" ht="25" x14ac:dyDescent="0.25">
      <c r="B115" s="34" t="s">
        <v>54</v>
      </c>
      <c r="C115" s="34" t="s">
        <v>48</v>
      </c>
      <c r="D115" s="34" t="s">
        <v>57</v>
      </c>
    </row>
    <row r="116" spans="2:7" x14ac:dyDescent="0.25">
      <c r="B116" s="70"/>
      <c r="C116" s="70"/>
      <c r="D116" s="71"/>
      <c r="E116" s="80" t="s">
        <v>59</v>
      </c>
    </row>
    <row r="117" spans="2:7" x14ac:dyDescent="0.25">
      <c r="B117" s="70"/>
      <c r="C117" s="70"/>
      <c r="D117" s="71"/>
      <c r="E117" s="42"/>
    </row>
    <row r="118" spans="2:7" s="137" customFormat="1" x14ac:dyDescent="0.25">
      <c r="B118" s="138"/>
      <c r="C118" s="138"/>
      <c r="D118" s="73"/>
      <c r="E118" s="142"/>
    </row>
    <row r="119" spans="2:7" s="137" customFormat="1" ht="13" thickBot="1" x14ac:dyDescent="0.3">
      <c r="B119" s="138"/>
      <c r="C119"/>
      <c r="D119" s="106">
        <f>+SUM(D116:D117)</f>
        <v>0</v>
      </c>
      <c r="E119" s="142"/>
    </row>
    <row r="120" spans="2:7" s="137" customFormat="1" ht="13" thickTop="1" x14ac:dyDescent="0.25">
      <c r="B120" s="138"/>
      <c r="C120" s="138"/>
      <c r="D120" s="73"/>
      <c r="E120" s="142"/>
    </row>
    <row r="121" spans="2:7" s="137" customFormat="1" x14ac:dyDescent="0.25">
      <c r="B121" s="138"/>
      <c r="C121" s="138"/>
      <c r="D121" s="73"/>
      <c r="E121" s="142"/>
    </row>
    <row r="122" spans="2:7" x14ac:dyDescent="0.25">
      <c r="B122" s="138"/>
      <c r="C122" s="140" t="s">
        <v>105</v>
      </c>
      <c r="D122" s="148">
        <f>+F70</f>
        <v>0</v>
      </c>
      <c r="E122" s="72" t="s">
        <v>53</v>
      </c>
      <c r="F122" s="42"/>
      <c r="G122" s="84"/>
    </row>
    <row r="123" spans="2:7" x14ac:dyDescent="0.25">
      <c r="B123" s="138"/>
      <c r="C123" s="140" t="s">
        <v>106</v>
      </c>
      <c r="D123" s="141">
        <v>0</v>
      </c>
      <c r="E123" s="144" t="s">
        <v>113</v>
      </c>
      <c r="G123" s="84"/>
    </row>
    <row r="124" spans="2:7" ht="6" customHeight="1" x14ac:dyDescent="0.25">
      <c r="B124" s="45"/>
      <c r="C124" s="45"/>
      <c r="D124" s="64"/>
      <c r="E124" s="69"/>
      <c r="G124" s="84"/>
    </row>
    <row r="125" spans="2:7" ht="13" thickBot="1" x14ac:dyDescent="0.3">
      <c r="B125" s="45"/>
      <c r="C125" s="143" t="s">
        <v>56</v>
      </c>
      <c r="D125" s="76">
        <f>+D119-D122-D123</f>
        <v>0</v>
      </c>
      <c r="G125" s="84"/>
    </row>
    <row r="126" spans="2:7" ht="13" thickTop="1" x14ac:dyDescent="0.25">
      <c r="B126" s="45"/>
      <c r="D126" s="77"/>
      <c r="G126" s="84"/>
    </row>
    <row r="127" spans="2:7" x14ac:dyDescent="0.25">
      <c r="C127" s="78"/>
      <c r="D127" s="100"/>
    </row>
    <row r="128" spans="2:7" x14ac:dyDescent="0.25">
      <c r="B128" s="24" t="s">
        <v>60</v>
      </c>
      <c r="C128" s="78"/>
      <c r="D128" s="100"/>
    </row>
    <row r="129" spans="1:4" ht="6" customHeight="1" x14ac:dyDescent="0.25">
      <c r="B129" s="28"/>
      <c r="C129" s="78"/>
      <c r="D129" s="100"/>
    </row>
    <row r="130" spans="1:4" ht="15.5" customHeight="1" x14ac:dyDescent="0.25">
      <c r="B130" s="79" t="s">
        <v>109</v>
      </c>
      <c r="C130" s="78"/>
      <c r="D130" s="100"/>
    </row>
    <row r="131" spans="1:4" ht="15.5" customHeight="1" x14ac:dyDescent="0.25">
      <c r="B131" s="79" t="s">
        <v>107</v>
      </c>
      <c r="C131" s="78"/>
      <c r="D131" s="100"/>
    </row>
    <row r="132" spans="1:4" ht="15.5" customHeight="1" x14ac:dyDescent="0.25">
      <c r="A132" s="80"/>
      <c r="B132" s="79" t="s">
        <v>61</v>
      </c>
      <c r="C132" s="78"/>
      <c r="D132" s="100"/>
    </row>
    <row r="133" spans="1:4" ht="15.5" customHeight="1" x14ac:dyDescent="0.25">
      <c r="B133" s="79" t="s">
        <v>108</v>
      </c>
      <c r="C133" s="78"/>
      <c r="D133" s="100"/>
    </row>
    <row r="134" spans="1:4" ht="18" customHeight="1" x14ac:dyDescent="0.25">
      <c r="B134" s="81"/>
      <c r="C134" s="78"/>
      <c r="D134" s="100"/>
    </row>
    <row r="135" spans="1:4" ht="18" customHeight="1" x14ac:dyDescent="0.25">
      <c r="B135" s="24" t="s">
        <v>62</v>
      </c>
      <c r="C135" s="78"/>
      <c r="D135" s="100"/>
    </row>
    <row r="136" spans="1:4" ht="6" customHeight="1" x14ac:dyDescent="0.25">
      <c r="B136" s="24"/>
      <c r="C136" s="78"/>
      <c r="D136" s="100"/>
    </row>
    <row r="137" spans="1:4" x14ac:dyDescent="0.25">
      <c r="A137" s="82" t="s">
        <v>63</v>
      </c>
      <c r="C137" s="89"/>
    </row>
    <row r="138" spans="1:4" x14ac:dyDescent="0.25">
      <c r="A138" s="82" t="s">
        <v>64</v>
      </c>
      <c r="C138" s="89"/>
    </row>
    <row r="139" spans="1:4" x14ac:dyDescent="0.25">
      <c r="A139" s="82" t="s">
        <v>65</v>
      </c>
      <c r="C139" s="89"/>
    </row>
    <row r="140" spans="1:4" x14ac:dyDescent="0.25">
      <c r="D140" s="105"/>
    </row>
    <row r="141" spans="1:4" ht="18" customHeight="1" x14ac:dyDescent="0.25">
      <c r="B141" s="24" t="s">
        <v>66</v>
      </c>
      <c r="C141" s="78"/>
      <c r="D141" s="100"/>
    </row>
    <row r="142" spans="1:4" ht="6" customHeight="1" x14ac:dyDescent="0.25">
      <c r="B142" s="24"/>
      <c r="C142" s="78"/>
      <c r="D142" s="100"/>
    </row>
    <row r="143" spans="1:4" x14ac:dyDescent="0.25">
      <c r="A143" s="82" t="s">
        <v>67</v>
      </c>
      <c r="C143" s="89"/>
    </row>
    <row r="144" spans="1:4" x14ac:dyDescent="0.25">
      <c r="A144" s="82" t="s">
        <v>68</v>
      </c>
      <c r="C144" s="89"/>
    </row>
    <row r="145" spans="1:4" x14ac:dyDescent="0.25">
      <c r="A145" s="82" t="s">
        <v>69</v>
      </c>
      <c r="C145" s="89"/>
    </row>
    <row r="146" spans="1:4" ht="18" customHeight="1" x14ac:dyDescent="0.25">
      <c r="D146" s="105"/>
    </row>
    <row r="147" spans="1:4" x14ac:dyDescent="0.25">
      <c r="B147" s="24" t="s">
        <v>70</v>
      </c>
      <c r="D147" s="105"/>
    </row>
    <row r="148" spans="1:4" ht="6" customHeight="1" x14ac:dyDescent="0.25">
      <c r="B148" s="24"/>
      <c r="C148" s="78"/>
      <c r="D148" s="100"/>
    </row>
    <row r="149" spans="1:4" x14ac:dyDescent="0.25">
      <c r="A149" s="80" t="s">
        <v>71</v>
      </c>
      <c r="B149" s="24"/>
      <c r="D149" s="105"/>
    </row>
    <row r="150" spans="1:4" x14ac:dyDescent="0.25">
      <c r="A150" s="80" t="s">
        <v>72</v>
      </c>
      <c r="B150" s="24"/>
      <c r="D150" s="105"/>
    </row>
    <row r="151" spans="1:4" x14ac:dyDescent="0.25">
      <c r="A151" s="80" t="s">
        <v>73</v>
      </c>
      <c r="B151" s="24"/>
      <c r="D151" s="105"/>
    </row>
    <row r="152" spans="1:4" x14ac:dyDescent="0.25">
      <c r="B152" s="121"/>
      <c r="C152" s="89"/>
      <c r="D152" s="89"/>
    </row>
    <row r="153" spans="1:4" x14ac:dyDescent="0.25">
      <c r="B153" s="24" t="s">
        <v>74</v>
      </c>
    </row>
    <row r="154" spans="1:4" ht="6" customHeight="1" x14ac:dyDescent="0.25"/>
    <row r="155" spans="1:4" x14ac:dyDescent="0.25">
      <c r="B155" s="80" t="s">
        <v>75</v>
      </c>
    </row>
  </sheetData>
  <mergeCells count="2">
    <mergeCell ref="H100:H101"/>
    <mergeCell ref="I100:I101"/>
  </mergeCells>
  <dataValidations disablePrompts="1" count="1">
    <dataValidation type="list" allowBlank="1" showInputMessage="1" showErrorMessage="1" sqref="C37" xr:uid="{0B881305-4CF7-44C9-A36E-1B05C6BBD78E}">
      <formula1>$A$36:$A$37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C932-9972-4F87-A063-00423425FFA9}">
  <dimension ref="B2:K16"/>
  <sheetViews>
    <sheetView showGridLines="0" zoomScale="74" zoomScaleNormal="75" workbookViewId="0">
      <selection activeCell="M12" sqref="M12"/>
    </sheetView>
  </sheetViews>
  <sheetFormatPr baseColWidth="10" defaultRowHeight="12.5" x14ac:dyDescent="0.25"/>
  <cols>
    <col min="1" max="1" width="3" customWidth="1"/>
  </cols>
  <sheetData>
    <row r="2" spans="2:11" x14ac:dyDescent="0.25">
      <c r="B2" s="41" t="s">
        <v>76</v>
      </c>
      <c r="C2" s="1"/>
      <c r="D2" s="1"/>
      <c r="E2" s="1"/>
      <c r="F2" s="1"/>
      <c r="G2" s="1"/>
      <c r="H2" s="122"/>
      <c r="I2" s="123"/>
    </row>
    <row r="3" spans="2:11" x14ac:dyDescent="0.25">
      <c r="K3" s="42" t="s">
        <v>89</v>
      </c>
    </row>
    <row r="16" spans="2:11" x14ac:dyDescent="0.25">
      <c r="J16" s="124" t="s">
        <v>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CB56-6931-47FA-BA8D-4F1CD2BE41FB}">
  <dimension ref="B2"/>
  <sheetViews>
    <sheetView showGridLines="0" workbookViewId="0">
      <selection activeCell="B2" sqref="B2"/>
    </sheetView>
  </sheetViews>
  <sheetFormatPr baseColWidth="10" defaultRowHeight="12.5" x14ac:dyDescent="0.25"/>
  <cols>
    <col min="1" max="1" width="3.453125" customWidth="1"/>
  </cols>
  <sheetData>
    <row r="2" spans="2:2" x14ac:dyDescent="0.25">
      <c r="B2" s="8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425.07</vt:lpstr>
      <vt:lpstr>425.07.01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2023-09-29T05:15:29Z</dcterms:created>
  <dcterms:modified xsi:type="dcterms:W3CDTF">2026-04-17T03:36:09Z</dcterms:modified>
</cp:coreProperties>
</file>