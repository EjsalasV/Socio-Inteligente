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43AF6E67-CF09-4FE6-96A7-E9FD3BC19562}" xr6:coauthVersionLast="47" xr6:coauthVersionMax="47" xr10:uidLastSave="{00000000-0000-0000-0000-000000000000}"/>
  <bookViews>
    <workbookView xWindow="-110" yWindow="-110" windowWidth="19420" windowHeight="10300" tabRatio="783" xr2:uid="{00000000-000D-0000-FFFF-FFFF00000000}"/>
  </bookViews>
  <sheets>
    <sheet name="324.03" sheetId="29" r:id="rId1"/>
    <sheet name="Base de compras" sheetId="31" r:id="rId2"/>
    <sheet name="Base de retenciones" sheetId="33" r:id="rId3"/>
    <sheet name="Base" sheetId="30" state="hidden" r:id="rId4"/>
  </sheets>
  <definedNames>
    <definedName name="_xlnm._FilterDatabase" localSheetId="3" hidden="1">Base!$A$1:$J$201</definedName>
  </definedNames>
  <calcPr calcId="191029"/>
  <pivotCaches>
    <pivotCache cacheId="4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" i="29" l="1"/>
  <c r="E61" i="29"/>
  <c r="E60" i="29"/>
  <c r="F51" i="29"/>
  <c r="E51" i="29"/>
  <c r="D51" i="29"/>
  <c r="C51" i="29"/>
  <c r="I41" i="29"/>
  <c r="F61" i="29"/>
  <c r="F60" i="29"/>
  <c r="F62" i="29"/>
  <c r="F64" i="29" l="1"/>
  <c r="S38" i="29" l="1"/>
  <c r="R38" i="29"/>
  <c r="Q38" i="29"/>
  <c r="P38" i="29"/>
  <c r="I38" i="29"/>
  <c r="J51" i="29"/>
  <c r="H51" i="29"/>
  <c r="G51" i="29"/>
  <c r="I39" i="29"/>
  <c r="E201" i="30"/>
  <c r="E200" i="30"/>
  <c r="E199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E181" i="30"/>
  <c r="E180" i="30"/>
  <c r="E179" i="30"/>
  <c r="E178" i="30"/>
  <c r="E177" i="30"/>
  <c r="E176" i="30"/>
  <c r="E175" i="30"/>
  <c r="E174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9" i="30"/>
  <c r="E8" i="30"/>
  <c r="E7" i="30"/>
  <c r="E6" i="30"/>
  <c r="E5" i="30"/>
  <c r="E4" i="30"/>
  <c r="E3" i="30"/>
  <c r="V49" i="29"/>
  <c r="U49" i="29"/>
  <c r="V48" i="29"/>
  <c r="U48" i="29"/>
  <c r="V47" i="29"/>
  <c r="U47" i="29"/>
  <c r="V46" i="29"/>
  <c r="U46" i="29"/>
  <c r="V45" i="29"/>
  <c r="U45" i="29"/>
  <c r="T49" i="29" l="1"/>
  <c r="S49" i="29"/>
  <c r="R49" i="29"/>
  <c r="Q49" i="29"/>
  <c r="T48" i="29"/>
  <c r="S48" i="29"/>
  <c r="R48" i="29"/>
  <c r="Q48" i="29"/>
  <c r="T47" i="29"/>
  <c r="S47" i="29"/>
  <c r="R47" i="29"/>
  <c r="Q47" i="29"/>
  <c r="T46" i="29"/>
  <c r="S46" i="29"/>
  <c r="R46" i="29"/>
  <c r="Q46" i="29"/>
  <c r="T45" i="29"/>
  <c r="S45" i="29"/>
  <c r="R45" i="29"/>
  <c r="Q45" i="29"/>
  <c r="V44" i="29"/>
  <c r="U44" i="29"/>
  <c r="T44" i="29"/>
  <c r="S44" i="29"/>
  <c r="R44" i="29"/>
  <c r="Q44" i="29"/>
  <c r="V43" i="29"/>
  <c r="U43" i="29"/>
  <c r="T43" i="29"/>
  <c r="S43" i="29"/>
  <c r="R43" i="29"/>
  <c r="Q43" i="29"/>
  <c r="V42" i="29"/>
  <c r="U42" i="29"/>
  <c r="T42" i="29"/>
  <c r="S42" i="29"/>
  <c r="R42" i="29"/>
  <c r="Q42" i="29"/>
  <c r="V41" i="29"/>
  <c r="U41" i="29"/>
  <c r="T41" i="29"/>
  <c r="S41" i="29"/>
  <c r="R41" i="29"/>
  <c r="Q41" i="29"/>
  <c r="V40" i="29"/>
  <c r="U40" i="29"/>
  <c r="T40" i="29"/>
  <c r="S40" i="29"/>
  <c r="R40" i="29"/>
  <c r="Q40" i="29"/>
  <c r="V39" i="29"/>
  <c r="U39" i="29"/>
  <c r="T39" i="29"/>
  <c r="S39" i="29"/>
  <c r="R39" i="29"/>
  <c r="Q39" i="29"/>
  <c r="V38" i="29"/>
  <c r="U38" i="29"/>
  <c r="T38" i="29"/>
  <c r="O51" i="29"/>
  <c r="N51" i="29"/>
  <c r="M51" i="29"/>
  <c r="L51" i="29"/>
  <c r="K51" i="29"/>
  <c r="P49" i="29"/>
  <c r="I49" i="29"/>
  <c r="P48" i="29"/>
  <c r="I48" i="29"/>
  <c r="P47" i="29"/>
  <c r="P46" i="29"/>
  <c r="P45" i="29"/>
  <c r="P44" i="29"/>
  <c r="P43" i="29"/>
  <c r="P42" i="29"/>
  <c r="P41" i="29"/>
  <c r="P40" i="29"/>
  <c r="P39" i="29"/>
  <c r="W49" i="29" l="1"/>
  <c r="W48" i="29"/>
  <c r="W38" i="29"/>
  <c r="U51" i="29"/>
  <c r="R51" i="29"/>
  <c r="V51" i="29"/>
  <c r="P51" i="29"/>
  <c r="T51" i="29"/>
  <c r="Q51" i="29"/>
  <c r="W39" i="29"/>
  <c r="I40" i="29" l="1"/>
  <c r="W40" i="29" l="1"/>
  <c r="W41" i="29"/>
  <c r="I42" i="29" l="1"/>
  <c r="W42" i="29" l="1"/>
  <c r="I43" i="29"/>
  <c r="W43" i="29" s="1"/>
  <c r="I44" i="29" l="1"/>
  <c r="W44" i="29" s="1"/>
  <c r="I45" i="29" l="1"/>
  <c r="W45" i="29" s="1"/>
  <c r="I46" i="29" l="1"/>
  <c r="W46" i="29" s="1"/>
  <c r="S51" i="29" l="1"/>
  <c r="I47" i="29"/>
  <c r="W47" i="29" l="1"/>
  <c r="W51" i="29" s="1"/>
  <c r="I51" i="29"/>
</calcChain>
</file>

<file path=xl/sharedStrings.xml><?xml version="1.0" encoding="utf-8"?>
<sst xmlns="http://schemas.openxmlformats.org/spreadsheetml/2006/main" count="1138" uniqueCount="406">
  <si>
    <t>Preparado por:</t>
  </si>
  <si>
    <t>Revisado por:</t>
  </si>
  <si>
    <t>Mes</t>
  </si>
  <si>
    <t>Total general</t>
  </si>
  <si>
    <t>{1}</t>
  </si>
  <si>
    <t>{2}</t>
  </si>
  <si>
    <t>{3}</t>
  </si>
  <si>
    <t>{4}</t>
  </si>
  <si>
    <t>{5}</t>
  </si>
  <si>
    <t>{6}</t>
  </si>
  <si>
    <t>{8}</t>
  </si>
  <si>
    <t>{13}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</si>
  <si>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</si>
  <si>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</si>
  <si>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</si>
  <si>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</si>
  <si>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</si>
  <si>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</si>
  <si>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</si>
  <si>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</si>
  <si>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</si>
  <si>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</si>
  <si>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</si>
  <si>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</si>
  <si>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Diferencias</t>
  </si>
  <si>
    <t>Retención del 10%</t>
  </si>
  <si>
    <t xml:space="preserve">Retención del 20% </t>
  </si>
  <si>
    <t>Retención del 30%</t>
  </si>
  <si>
    <t>Retención del 50%</t>
  </si>
  <si>
    <t>Retención del 70%</t>
  </si>
  <si>
    <t>Retención del 100%</t>
  </si>
  <si>
    <t>Total retenciones de IVA</t>
  </si>
  <si>
    <t>Retención del 10%
(casillero 721)</t>
  </si>
  <si>
    <t>Retención del 20% 
(casillero 723)</t>
  </si>
  <si>
    <t>Retención del 30%
(casillero 725)</t>
  </si>
  <si>
    <t>Retención del 50%
(casillero 727)</t>
  </si>
  <si>
    <t>Retención del 70%
(casillero 729)</t>
  </si>
  <si>
    <t>Retención del 100%
(casillero 731)</t>
  </si>
  <si>
    <t>Total IVA retenido
(casillero 799)</t>
  </si>
  <si>
    <t xml:space="preserve">Diferencia en retención del 10% </t>
  </si>
  <si>
    <t xml:space="preserve">Diferencia en retención del 20% </t>
  </si>
  <si>
    <t xml:space="preserve">Diferencia en retención del 30% </t>
  </si>
  <si>
    <t xml:space="preserve">Diferencia en retención del 50% </t>
  </si>
  <si>
    <t xml:space="preserve">Diferencia en retención del 70% </t>
  </si>
  <si>
    <t xml:space="preserve">Diferencia en retención del 100% </t>
  </si>
  <si>
    <t>Total diferencias en IVA retenido</t>
  </si>
  <si>
    <t>{7}={1+2+3+4+5+6}</t>
  </si>
  <si>
    <t>{9}</t>
  </si>
  <si>
    <t>{10}</t>
  </si>
  <si>
    <t>{11}</t>
  </si>
  <si>
    <t>{12}</t>
  </si>
  <si>
    <t>{14}</t>
  </si>
  <si>
    <t>{15}={8-1}</t>
  </si>
  <si>
    <t>{16}={9-2}</t>
  </si>
  <si>
    <t>{17}={10-3}</t>
  </si>
  <si>
    <t>{18}={11-4}</t>
  </si>
  <si>
    <t>{19}={12-5}</t>
  </si>
  <si>
    <t>{20}={13-6}</t>
  </si>
  <si>
    <t>{21}={14-7}</t>
  </si>
  <si>
    <t>Cuenta</t>
  </si>
  <si>
    <t>Fecha</t>
  </si>
  <si>
    <t>Movimiento</t>
  </si>
  <si>
    <t>Marcas de auditoría:</t>
  </si>
  <si>
    <t>Objetivo:</t>
  </si>
  <si>
    <t>Código</t>
  </si>
  <si>
    <t>Trans_id</t>
  </si>
  <si>
    <t>Comentario</t>
  </si>
  <si>
    <t>Debe</t>
  </si>
  <si>
    <t>Haber</t>
  </si>
  <si>
    <t>Pasivos</t>
  </si>
  <si>
    <t>Retención Fuente de IVA 30%</t>
  </si>
  <si>
    <t>04/01/2022</t>
  </si>
  <si>
    <t>07/02/2022</t>
  </si>
  <si>
    <t>21/02/2022</t>
  </si>
  <si>
    <t>21/03/2022</t>
  </si>
  <si>
    <t>01/04/2022</t>
  </si>
  <si>
    <t>13/04/2022</t>
  </si>
  <si>
    <t>19/04/2022</t>
  </si>
  <si>
    <t>09/05/2022</t>
  </si>
  <si>
    <t>18/05/2022</t>
  </si>
  <si>
    <t>19/05/2022</t>
  </si>
  <si>
    <t>20/05/2022</t>
  </si>
  <si>
    <t>24/05/2022</t>
  </si>
  <si>
    <t>01/07/2022</t>
  </si>
  <si>
    <t>19/08/2022</t>
  </si>
  <si>
    <t>ND PAGO RETENCIONES IVA JULIO 2022 SRI FORM 104</t>
  </si>
  <si>
    <t>20/09/2022</t>
  </si>
  <si>
    <t>19/10/2022</t>
  </si>
  <si>
    <t>Retención Fuente de IVA 70%</t>
  </si>
  <si>
    <t>05/01/2022</t>
  </si>
  <si>
    <t>06/01/2022</t>
  </si>
  <si>
    <t>12/01/2022</t>
  </si>
  <si>
    <t>19/01/2022</t>
  </si>
  <si>
    <t>21/01/2022</t>
  </si>
  <si>
    <t>24/01/2022</t>
  </si>
  <si>
    <t>01/02/2022</t>
  </si>
  <si>
    <t>16/02/2022</t>
  </si>
  <si>
    <t>10/03/2022</t>
  </si>
  <si>
    <t>14/03/2022</t>
  </si>
  <si>
    <t>31/05/2022</t>
  </si>
  <si>
    <t>02/06/2022</t>
  </si>
  <si>
    <t>30/06/2022</t>
  </si>
  <si>
    <t>19/07/2022</t>
  </si>
  <si>
    <t>09/08/2022</t>
  </si>
  <si>
    <t>22/09/2022</t>
  </si>
  <si>
    <t>Retención Fuente de IVA 100%</t>
  </si>
  <si>
    <t>18/03/2022</t>
  </si>
  <si>
    <t>04/05/2022</t>
  </si>
  <si>
    <t>25/05/2022</t>
  </si>
  <si>
    <t>23/06/2022</t>
  </si>
  <si>
    <t>11/07/2022</t>
  </si>
  <si>
    <t>12/10/2022</t>
  </si>
  <si>
    <t>Suma de Movimiento</t>
  </si>
  <si>
    <t>Conclusión</t>
  </si>
  <si>
    <t>FAC.8945 COMPRA LAPTO GATEWAY GWTN156 R5 S.1GWTN15</t>
  </si>
  <si>
    <t>ND PAGO RETENCION IVA FEBRERO 2022 SRI FORM 104</t>
  </si>
  <si>
    <t>FC#2046 AIRE ACONDICIONADO PARA OFICINA VIKEMAN</t>
  </si>
  <si>
    <t>21/06/2022</t>
  </si>
  <si>
    <t>ND 22416615 PAGO RETENCIONES IVA MAYO SRI FORM 104</t>
  </si>
  <si>
    <t>03/01/2022</t>
  </si>
  <si>
    <t>01/01/2022</t>
  </si>
  <si>
    <t>FAC,.4950 INCINERATOR-PASSENGER-ADMINISTRACION</t>
  </si>
  <si>
    <t>FAC. 4948 SERVICIOS COMPELEMTARIOS</t>
  </si>
  <si>
    <t>FC 3158 RECARGA Y MANT EXTINTOR 20,10LBS</t>
  </si>
  <si>
    <t>FACT. 734 HOSPEDAJE GALAPAGOS GUILLERMO RODAS Y PA</t>
  </si>
  <si>
    <t>FC.8228 E.M.A. TARIFA CORPORATIVA VALORADO AL 31 D</t>
  </si>
  <si>
    <t>FACT. 2570 HOSPEDAJE LEONID COELLO QUITO ATENCION</t>
  </si>
  <si>
    <t>FACX. 964 AUDITORIA A LOS ESTADOS DINANCIEROS AL 3</t>
  </si>
  <si>
    <t>ND PAGO RETENCIONES IVA DICIEMBRE 2021 SRI FOR 104</t>
  </si>
  <si>
    <t>FAC.3342 HONORARIO NULIDAD DE SENTENCIA EDISON CAL</t>
  </si>
  <si>
    <t>FAC.16631 INGRESO ECUAPAS,ADM. VTO.SERVICIOS DE EM</t>
  </si>
  <si>
    <t>25/01/2022</t>
  </si>
  <si>
    <t>FAC. 551 MANT. Y DESP. HELICOPTERO DEL 25 AL 28 DE</t>
  </si>
  <si>
    <t>27/01/2022</t>
  </si>
  <si>
    <t>FAC.000000113 SERVICIOS REEMPLAZO PATRICIO VILLACR</t>
  </si>
  <si>
    <t>FAC. 4341 SERVICIOS POR ACTIVIDADES DE COMERCIO EX</t>
  </si>
  <si>
    <t>FAC.985 AUDITORIA A LOS ESTADOS FINANCIEROS AL 31/</t>
  </si>
  <si>
    <t>10/02/2022</t>
  </si>
  <si>
    <t>FAC. 4346 SERVICIOS POR ACTIVIDADES DE COMERCIO EX</t>
  </si>
  <si>
    <t>FACT. 13564 HOTEL ORO VERDE HOSPEDAJE DIEGO SERRAN</t>
  </si>
  <si>
    <t>FACT. 13564 HOTEL ORO VERDE HOSPEDAJE PAUL DEL CAS</t>
  </si>
  <si>
    <t>FACT. 16335 HOTEL ORO VERDE HOSPEDAJE GUILLERMO RO</t>
  </si>
  <si>
    <t>17/02/2022</t>
  </si>
  <si>
    <t>FAC. 000003421 TRANSPORTE DE HELICOPTERO DE CANADA</t>
  </si>
  <si>
    <t>ND PAGO RETEN IVA ENERO 2022 SRI FORMULARIO 104</t>
  </si>
  <si>
    <t>25/02/2022</t>
  </si>
  <si>
    <t>FC#16547 HOTEL ORO VERDE HOSPEDAJE DIEGO SERRANO 2</t>
  </si>
  <si>
    <t>02/03/2022</t>
  </si>
  <si>
    <t>FC#758 HOSPEDAJE GUILLERMO RODAS DEL 25/02 AL 01/0</t>
  </si>
  <si>
    <t>04/03/2022</t>
  </si>
  <si>
    <t>FC#1730 CARMIGNIANI PEREZ, SERVICIOS ADMINISTRATIV</t>
  </si>
  <si>
    <t>FC#3454 HON. PROF.  LOCALES ENE-2022 PROFORMA 2180</t>
  </si>
  <si>
    <t>08/03/2022</t>
  </si>
  <si>
    <t>FC#10085 HOSPEDAJE JAVIER QUISHPE DEL 07 AL 08 MAR</t>
  </si>
  <si>
    <t>FC#178 SERVICIO DESINFECCION, FUMIGACION Y CONTROL</t>
  </si>
  <si>
    <t>09/03/2022</t>
  </si>
  <si>
    <t>FC#1023 AUDITORIA A LOS ESTADOS FINANCIEROS AL 31/</t>
  </si>
  <si>
    <t>FC#48 IMPLANTACION SISTEMA SEGURIDAD OPERACIONAL S</t>
  </si>
  <si>
    <t>12/03/2022</t>
  </si>
  <si>
    <t>FC#8 SERVICIOS PROFESIONALES</t>
  </si>
  <si>
    <t>FC#553 MTTO BELL 407, BELL 505 FEB-MAR/2022 - MTTO</t>
  </si>
  <si>
    <t>FC#17254 HOTEL ORO VERDE HOSPEDAJE DIEGO SERRANO 1</t>
  </si>
  <si>
    <t>24/03/2022</t>
  </si>
  <si>
    <t>FC#3444 TRANSPORTE DE HELICOPTERO DE CANADA A GUAY</t>
  </si>
  <si>
    <t>FC#17765 HOTEL ORO VERDE HOSPEDAJE PAUL DEL CASTIL</t>
  </si>
  <si>
    <t>FC#17775 HOTEL ORO VERDE HOSPEDAJE GUILLERMO RODAS</t>
  </si>
  <si>
    <t>FC#5516 GH &amp; PARKING MARZO 2022 ECUACENTAIR</t>
  </si>
  <si>
    <t>08/04/2022</t>
  </si>
  <si>
    <t>FC#3525 HON. PROF. LOCALES FEB-2022 PROFORMA 21906</t>
  </si>
  <si>
    <t>FC#5582 ATENCION VUEVLO 28/03/22 Y 08/04/2022  N24</t>
  </si>
  <si>
    <t>FC#4726 LA CASA DE MARITA, HOSPEDAJE DEL 24 AL 27</t>
  </si>
  <si>
    <t>FC#4727 LA CASA DE MARITA, HOSPEDAJE DEL 08 AL 11</t>
  </si>
  <si>
    <t>FC#18145 HOTEL ORO VERDE HOSPEDAJE GUILLERMO RODAS</t>
  </si>
  <si>
    <t>FC#18155 HOTEL ORO VERDE HOSPEDAJE PAUL DEL CASTIL</t>
  </si>
  <si>
    <t>FC#18144 HOTEL ORO VERDE HOSPEDAJE GUILLERMO RODAS</t>
  </si>
  <si>
    <t>FC#5639 ATENCION VUEVLO 11 Y 12 DE ABRIL  N245FH E</t>
  </si>
  <si>
    <t>FC#5640 ATENCION VUELO 13 Y 15 DE ABRIL  N245FH EC</t>
  </si>
  <si>
    <t>ND 26131844 PAGO RETENCIONES IVA MARZO SRI FORM 10</t>
  </si>
  <si>
    <t>21/04/2022</t>
  </si>
  <si>
    <t>FC#3569 HON. PROF. LOCALES MAR-2022 PROFORMA 22024</t>
  </si>
  <si>
    <t>02/05/2022</t>
  </si>
  <si>
    <t>01/05/2022</t>
  </si>
  <si>
    <t>FC#5229 GH &amp; PARKING DICIEMBRE 2021 ECUACENTAIR</t>
  </si>
  <si>
    <t>FC#5230 GH &amp; PARKING ENERO 2022 ECUACENTAIR</t>
  </si>
  <si>
    <t>FC#5304 GH &amp; PARKING FEBRERO 2022 N245FH ECUACENTA</t>
  </si>
  <si>
    <t>FC#5719 GH &amp; PARKING ABRIL 2022 ECUACENTAIR</t>
  </si>
  <si>
    <t>FC#5180 ATENCION VUELO 01/12/21 Y 03/02/2022  N245</t>
  </si>
  <si>
    <t>FC#5228 ATENCION VUEVLO 06/02/22 Y 14/02/2022  N24</t>
  </si>
  <si>
    <t>FC#5293 ATENCION VUEVLO 16/02/22 Y 25/02/2022  N24</t>
  </si>
  <si>
    <t>FC#5367 ATENCION VUELO 01/03/22 Y 02/03/2022  N245</t>
  </si>
  <si>
    <t>FC#5466 ATENCION VUEVLO 28/03/22 Y 08/04/2022  N24</t>
  </si>
  <si>
    <t>Factura de proveedores - Cancelación - PN179243166</t>
  </si>
  <si>
    <t>FC#9665 TRABAJOS MTTO CAMBIO STRAP EN EL CVK</t>
  </si>
  <si>
    <t>FC#127 SERVICIOS PROFESIONALES</t>
  </si>
  <si>
    <t>FC#19347 HOTEL ORO VERDE HOSPEDAJE GUILLERMO RODAS</t>
  </si>
  <si>
    <t>FC#19428 HOTEL ORO VERDE HOSPEDAJE GUILLERMO RODAS</t>
  </si>
  <si>
    <t>ND 25372360 PAGO RETENCIONES IVA ABRIL 2022 SRI FO</t>
  </si>
  <si>
    <t>FC#19455 HOTEL ORO VERDE HOSPEDAJE GUILLERMO RODAS</t>
  </si>
  <si>
    <t>FC#19444 HOTEL ORO VERDE HOSPEDAJE DIEGO SERRANO 1</t>
  </si>
  <si>
    <t>FC#19560 HOTEL ORO VERDE HOSPEDAJE DIEGO SERRANO 2</t>
  </si>
  <si>
    <t>FC#301 ASIS Y MTTO HC-CVK. HC-CXH, HC-CTD, HC-CVX</t>
  </si>
  <si>
    <t>01/06/2022</t>
  </si>
  <si>
    <t>FC#19735 HOSPEDAJE 31 MAY/2022 DEL CASTILLO PAUL</t>
  </si>
  <si>
    <t>FC#19794 HOSPEDAJE 31 MAY/2022 RODAS GUILLERMO</t>
  </si>
  <si>
    <t>FC#19719 HOSPEDAJE 31 MAY/2022 SERRANO DIEGO</t>
  </si>
  <si>
    <t>FC#5882 GH &amp; PARKING MAYO 2022 ECUACENTAIR</t>
  </si>
  <si>
    <t>FC#5856 ATENCION VUEVLO 07/05/22 Y 31/05/2022  N24</t>
  </si>
  <si>
    <t>FC#5898 ATENCION VUELO 01/06/26 Y 02/06/2022  N245</t>
  </si>
  <si>
    <t>07/06/2022</t>
  </si>
  <si>
    <t>FC#16 HOSPEDAJE 28/05/22 SR.MARCO FARFAN</t>
  </si>
  <si>
    <t>FC#598 ASESORIA AERONAUTICA (2.3 HORAS HC-CVK)</t>
  </si>
  <si>
    <t>FC#303 ASIS Y MTTO HC-CVK. HC-CXH, HC-CTD, HC-CVX</t>
  </si>
  <si>
    <t>FC#532 ATENCION VUELO 27/12/2021 N751SJ ECUACENTAI</t>
  </si>
  <si>
    <t>FC#4951 PARKING HANGAR HCCVK  10 Y 11 DICIEMBRE EC</t>
  </si>
  <si>
    <t>FC#4953 ATENCION VUEVLO 26/12/21  N245FH ECUACENTA</t>
  </si>
  <si>
    <t>FC#4955 ATENCION VUELO DEL 26/12/21 AL 27/12/21 N7</t>
  </si>
  <si>
    <t>FC#4978 ATENCION VUELO 02/01/22 AL 03/01/22 N751SJ</t>
  </si>
  <si>
    <t>FC#4993 ATENCION VUELO 05/01/2022 N751SJ ECUACENTA</t>
  </si>
  <si>
    <t>FC#532 ATENCION VUELO 15/11/21-10/12/21-02/01/22 H</t>
  </si>
  <si>
    <t>FC#53 ALCANCE FC#32 ATENCION VUELO 27/12/2021 N751</t>
  </si>
  <si>
    <t>FC#54 ATENCION VUELO 14/02/2022 - 16/02/2022 N245F</t>
  </si>
  <si>
    <t>FC#63 ATENCION VUELO 25/02/2022 N245FH ECUACENTAIR</t>
  </si>
  <si>
    <t>FC#5264 ATENCION VUELO 18/02/2022 - 20/02/2022 HCC</t>
  </si>
  <si>
    <t>FC#5265 ATENCION VUELO 20/02/2022 - 21/02/2022 HCC</t>
  </si>
  <si>
    <t>FC#5303 PARKING HANGAR FBO FEBRERO ECUACENTAIR</t>
  </si>
  <si>
    <t>FC#82 ATENCION VUELO 27/03/2022 - 28/03/2022 N245F</t>
  </si>
  <si>
    <t>FC#90 ATENCION VUELO 12/04/2022 - 13/04/2022 N245F</t>
  </si>
  <si>
    <t>FC#108 ATENCION VUELO 31/05/2022 - 01/06/2022 N245</t>
  </si>
  <si>
    <t>FC#5871 DESPACHO 18/08/22 Y 31/05/22 HCCVK</t>
  </si>
  <si>
    <t>FC#5987 ATENCION VUELO 12/06/2022 - 17/06/2022 N24</t>
  </si>
  <si>
    <t>FC#5871 DESPACHO 01/06/22 HCCVK</t>
  </si>
  <si>
    <t>FC#6188 GH &amp; PARKING JUNIO 2022 ECUACENTAIR</t>
  </si>
  <si>
    <t>07/07/2022</t>
  </si>
  <si>
    <t>FC#20820 HOSPEDAJE 05 JUL 2022 SERRANO DIEGO</t>
  </si>
  <si>
    <t>09/07/2022</t>
  </si>
  <si>
    <t>FC#20908 HOSPEDAJE ORO VERDE DEL 04/07 AL 09/07 RO</t>
  </si>
  <si>
    <t>FC#3942 RECARGA EXTINTOR 150 LBS, MANOMETRO Y MANG</t>
  </si>
  <si>
    <t>FC#737 CARGA DE NITROGENO EXTINTOR PLATAFORMA</t>
  </si>
  <si>
    <t>FC#39 CURSO INICIAL MERC PELIGROSAS-SEG AVIACION S</t>
  </si>
  <si>
    <t>ND PAGO RETEN IVA JUNIO 2022 FORM 104 SRI</t>
  </si>
  <si>
    <t>21/07/2022</t>
  </si>
  <si>
    <t>FC#6286 GH &amp; PARKING FEBRERO 2022 N585T ECUACENTAI</t>
  </si>
  <si>
    <t>FC#6287 ATENCION VUELO 29 AGO - 01 SEP N245FH ECUA</t>
  </si>
  <si>
    <t>FC#6288 ATENCION VUELO 28 SEP - 08 OCT N245FH ECUA</t>
  </si>
  <si>
    <t>FC#6289 ATENCION VUELO 11/10/21 - 13/10/21 N245FH</t>
  </si>
  <si>
    <t>FC#6290 ATENCION VUELO 14/10/21 - 21/10/21 N245FH</t>
  </si>
  <si>
    <t>FC#6294 PARKING HANGAR FBO NOVIEMBRE HCCVK ECUACEN</t>
  </si>
  <si>
    <t>FC#6295 PARKING HANGAR HCCVK  01 AL 08 DICIEMBRE E</t>
  </si>
  <si>
    <t>FC#120 ATENCION VUELO 13/10/2021 - 14/10/2021 N245</t>
  </si>
  <si>
    <t>FC#121 ATENCION VUELO 21/10/2021  N245FH ECUACENTA</t>
  </si>
  <si>
    <t>FC#122 ATENCION VUELO 29/10/2021 N245FH ECUACENTAI</t>
  </si>
  <si>
    <t>01/08/2022</t>
  </si>
  <si>
    <t>30/07/2022</t>
  </si>
  <si>
    <t>FC#305 LIMP Y MTTO HC-CVK. HC-CXH, HC-CTD</t>
  </si>
  <si>
    <t>FC 2540 AJUSTE Y CALIBRACION TORQUIMETRO K-D TOOLS</t>
  </si>
  <si>
    <t>FC#6337 ATENCION VUELO 24/07/2022 - 29/07/2022 N24</t>
  </si>
  <si>
    <t>03/08/2022</t>
  </si>
  <si>
    <t>FC#6389 ATENCION VUELO 03/08/2022 N245FH ECUACENTA</t>
  </si>
  <si>
    <t>FC#6383 ATENCION VUELO 02/08/2022 - 03/08/2022 N24</t>
  </si>
  <si>
    <t>08/08/2022</t>
  </si>
  <si>
    <t>FC#33 HOSPEDAJE DEL 21 AL 24 JUL/2022 SR.MARCO FAR</t>
  </si>
  <si>
    <t>FC#6426 ATENCION VUELO 03/08/2022 - 09/08/2022 N24</t>
  </si>
  <si>
    <t>18/08/2022</t>
  </si>
  <si>
    <t>FC#22413 HOSPEDAJE ORO VERDE 17/08/2022 CARVAJAL S</t>
  </si>
  <si>
    <t>FC#22451 HOSPEDAJE 18 AGO 2022 SERRANO DIEGO</t>
  </si>
  <si>
    <t>FC#22492 HOSPEDAJE 18 AGO 2022 BENAVIDES XIMENA</t>
  </si>
  <si>
    <t>01/09/2022</t>
  </si>
  <si>
    <t>FC#306 LIMP Y MTTO HC-CVK, HC-CXH, HC-CTD</t>
  </si>
  <si>
    <t>06/09/2022</t>
  </si>
  <si>
    <t>FC#6587 ATENCION VUELO 28/08/2022 - 06/09/2022 N24</t>
  </si>
  <si>
    <t>07/09/2022</t>
  </si>
  <si>
    <t>FC#23216 HOSPEDAJE 05-06 SEP 2022 BENAVIDES XIMENA</t>
  </si>
  <si>
    <t>08/09/2022</t>
  </si>
  <si>
    <t>FC#23256 HOSPEDAJE 05-06-07 SEP 2022 SERRANO DIEGO</t>
  </si>
  <si>
    <t>FC#23260 HOSPEDAJE 06-07 SEP 2022 RODAS GUILLERMO</t>
  </si>
  <si>
    <t>FC#23270 HOSPEDAJE 06-07 SEP 2022 DEL CASTILLO PAU</t>
  </si>
  <si>
    <t>15/09/2022</t>
  </si>
  <si>
    <t>FC#3945 HON. PROF. LOCALES JUL-2022 PROFORMA 22469</t>
  </si>
  <si>
    <t>ND 29962347 PAGO RETEN IVA AGOSTO 2022 SRI FOMR 10</t>
  </si>
  <si>
    <t>FC#704 ATENCION VUELO 08/09/2022 - 22/09/2022 N245</t>
  </si>
  <si>
    <t>03/10/2022</t>
  </si>
  <si>
    <t>FC#307 LIMP Y MTTO HC-CVK, HC-CXH, HC-CTD</t>
  </si>
  <si>
    <t>FC#188704 DECLARACION JURAMENTADA BANCO CENTRAL</t>
  </si>
  <si>
    <t>ND 29958070 PAGO RETEN IVA SEPT 2022 SRI FORM 104</t>
  </si>
  <si>
    <t>13/09/2022</t>
  </si>
  <si>
    <t>FC#186755 DECLARACION JURAMENTADA CERTIFICACION DO</t>
  </si>
  <si>
    <t>Saldo</t>
  </si>
  <si>
    <t>01/11/2022</t>
  </si>
  <si>
    <t>FC#25048 HOSPEDAJE 31 OCT 2022 SERRANO DIEGO</t>
  </si>
  <si>
    <t>FC#25070 HOSPEDAJE 31 OCT 2022 PAUL DEL CASTILLO</t>
  </si>
  <si>
    <t>FC#25069 HOSPEDAJE 31 OCT 2022 RODAS GUILLERMO</t>
  </si>
  <si>
    <t>FC#6967 ATENCION VUELO 22/10/2022 - 31/10/2022 N24</t>
  </si>
  <si>
    <t>FC#6971 GH &amp; HANGAR PLATAFORMA OCT/2022 N245FH ECU</t>
  </si>
  <si>
    <t>03/11/2022</t>
  </si>
  <si>
    <t>FC#7001 ATENCION VUELO 01/11/2022 - 03/11/2022 N24</t>
  </si>
  <si>
    <t>09/11/2022</t>
  </si>
  <si>
    <t>FC#25405 HOSPEDAJE 08 NOV 2022 RODAS GUILLERMO</t>
  </si>
  <si>
    <t>FC#25406 HOSPEDAJE 08 NOV 2022 BENAVIDES XIMENA</t>
  </si>
  <si>
    <t>FC#2137 BIOMETRICO HUELLA Y FACIAL MB10-VL  MATERI</t>
  </si>
  <si>
    <t>10/11/2022</t>
  </si>
  <si>
    <t>FC#1174 SERV AUDITORIA EEFF 2022 CUOTA 1/5</t>
  </si>
  <si>
    <t>FC#25434 HOSPEDAJE 09 NOV 2022 RODAS GUILLERMO</t>
  </si>
  <si>
    <t>11/11/2022</t>
  </si>
  <si>
    <t>FC#25477 HOSPEDAJE 10 NOV 2022 RODAS GUILLERMO</t>
  </si>
  <si>
    <t>15/11/2022</t>
  </si>
  <si>
    <t>FC#697 SERV ADMINISTRATIVOS (CANJE AEROPACIFICO)</t>
  </si>
  <si>
    <t>FC#7069 ATENCION VUELO 11/11/2022 - 12/11/2022 N24</t>
  </si>
  <si>
    <t>FC#7070 ATENCION VUELO 12/11/2022 - 13/11/2022 HC</t>
  </si>
  <si>
    <t>17/11/2022</t>
  </si>
  <si>
    <t>FC#9731 TRABAJOS MTTO HC-CVK VIBRACIONES DE ROTOR,</t>
  </si>
  <si>
    <t>21/11/2022</t>
  </si>
  <si>
    <t>19/11/2022</t>
  </si>
  <si>
    <t>FC#7097 ATENCION VUELO 13/11/2022 - 19/11/2022 HC</t>
  </si>
  <si>
    <t>20/11/2022</t>
  </si>
  <si>
    <t>FC#7100 ATENCION VUELO 19/11/2022 - 20/11/2022 HC</t>
  </si>
  <si>
    <t>ND 126808064 PAGO RETEN IVA OCTUBRE 2022 SRI</t>
  </si>
  <si>
    <t>FC#7103 ATENCION VUELO 07/11/2022 - 21/11/2022 N24</t>
  </si>
  <si>
    <t>22/11/2022</t>
  </si>
  <si>
    <t>FC#25801 HOSPEDAJE 21 NOV 2022 PAUL DEL CASTILLO</t>
  </si>
  <si>
    <t>FC#981 TRABAJOS MTTO AERONAVE HC-CTD 28-29-31 OCT/</t>
  </si>
  <si>
    <t>FC#25783 HOSPEDAJE 21 NOV 2022 RODAS GUILLERMO</t>
  </si>
  <si>
    <t>FC#25784 HOSPEDAJE 21 NOV 2022 SERRANO DIEGO</t>
  </si>
  <si>
    <t>01/12/2022</t>
  </si>
  <si>
    <t>FC#7169 ATENCION VUELO 27/11/2022 - 30/11/2022 HC</t>
  </si>
  <si>
    <t>FC#7179 GH &amp; HANGAR PLATAFORMA NOV/2022 N245FH ECU</t>
  </si>
  <si>
    <t>FC#7170 ATENCION VUELO 27/11/2022 - 30/11/2022 HC</t>
  </si>
  <si>
    <t>02/12/2022</t>
  </si>
  <si>
    <t>FC#7175 ATENCION VUELO 26/11/2022 - 27/11/2022 HC</t>
  </si>
  <si>
    <t>FC#7205 ATENCION VUELO 22/11/2022 - 02/12/2022 N24</t>
  </si>
  <si>
    <t>FC#26129 HOSPEDAJE 01 DIC 2022 BENAVIDES XIMENA</t>
  </si>
  <si>
    <t>08/12/2022</t>
  </si>
  <si>
    <t>FC#7240 ATENCION VUELO 05/12/2022 - 08/12/2022 N24</t>
  </si>
  <si>
    <t>13/12/2022</t>
  </si>
  <si>
    <t>FC#1185 SERV AUDITORIA EEFF 2022 CUOTA 2/5</t>
  </si>
  <si>
    <t>20/12/2022</t>
  </si>
  <si>
    <t>FC#10457 ESTUDIO ACTUARIAL AL 31/12/2022 8 TRABAJA</t>
  </si>
  <si>
    <t>ND 41100281 PAGO RETEN IVA NOV 2022 SRI FORM 104</t>
  </si>
  <si>
    <t>FC#7320 ATENCION VUELO 12/12/2022 - 20/12/2022 N24</t>
  </si>
  <si>
    <t>21/12/2022</t>
  </si>
  <si>
    <t>FC#5949 LA CASA DE MARITA, HOSPEDAJE DEL 02 AL 05</t>
  </si>
  <si>
    <t>FC#7349 ATENCION VUELO 20/12/2022 - 21/12/2022 N24</t>
  </si>
  <si>
    <t>27/12/2022</t>
  </si>
  <si>
    <t>FC#7374 ATENCION VUELO 26/12/2022 - 27/12/2022 N24</t>
  </si>
  <si>
    <t>28/11/2022</t>
  </si>
  <si>
    <t>FC#894 COMPRA DE ACEITE HELICOPTERO HC-CVK</t>
  </si>
  <si>
    <t>12/12/2022</t>
  </si>
  <si>
    <t>FC#1 SERVICIOS AERONAUTICOS NOV/2022</t>
  </si>
  <si>
    <t>Mes2</t>
  </si>
  <si>
    <t>01. Adiciones</t>
  </si>
  <si>
    <t>02. Pago</t>
  </si>
  <si>
    <t>00.Saldo Inicial</t>
  </si>
  <si>
    <t>Comentario2</t>
  </si>
  <si>
    <t>COMPAÑÍA MODELO S.A.</t>
  </si>
  <si>
    <t>Ref.</t>
  </si>
  <si>
    <t>Notas aclaratorias:</t>
  </si>
  <si>
    <t>Base de decisión: Materialidad</t>
  </si>
  <si>
    <t>General</t>
  </si>
  <si>
    <t>Desempeño</t>
  </si>
  <si>
    <t>Errores Triviales</t>
  </si>
  <si>
    <t>5.-</t>
  </si>
  <si>
    <t>1.-</t>
  </si>
  <si>
    <t>2.-</t>
  </si>
  <si>
    <t>3.-</t>
  </si>
  <si>
    <t>4.-</t>
  </si>
  <si>
    <t>Desarrollo:</t>
  </si>
  <si>
    <t>Observaciones:</t>
  </si>
  <si>
    <t>Sumatoria</t>
  </si>
  <si>
    <t>AL 31 DE DICIEMBRE DE 20XX</t>
  </si>
  <si>
    <t>XX</t>
  </si>
  <si>
    <t>Preliminar</t>
  </si>
  <si>
    <t>Final</t>
  </si>
  <si>
    <t>xxx.xxx</t>
  </si>
  <si>
    <t>Valores según las declaraciones de IVA del contribuyente</t>
  </si>
  <si>
    <t>Tomado de mayores contables al 31/xx/20xx (Año de revisión)</t>
  </si>
  <si>
    <t>Según Estado Financiero al 31/12/202x (Año de revisión)</t>
  </si>
  <si>
    <t>a)</t>
  </si>
  <si>
    <t>b)</t>
  </si>
  <si>
    <t>c)</t>
  </si>
  <si>
    <t>Obs. 1</t>
  </si>
  <si>
    <t>Obs. 3</t>
  </si>
  <si>
    <t>Obs. 2</t>
  </si>
  <si>
    <t>FECHA DE CORTE: _ / _ / 20XX</t>
  </si>
  <si>
    <t>Verificaciones</t>
  </si>
  <si>
    <t>A</t>
  </si>
  <si>
    <t>B</t>
  </si>
  <si>
    <t>C</t>
  </si>
  <si>
    <t>Solicitar los formularios 104 de enero a XXXXXXXX del año 20XX</t>
  </si>
  <si>
    <t>Documentar el papel de trabajo y concluir en función del objetivo.</t>
  </si>
  <si>
    <t>CONCILIACIÓN DE RETENCIONES DEL IVA VS ESTADOS FINANCIEROS</t>
  </si>
  <si>
    <t>Conciliar los valores declarados en los formularios de retención de IVA vs estados financieros.</t>
  </si>
  <si>
    <t>Solicitar los mayores de compras de la Compañía.</t>
  </si>
  <si>
    <t>Realizar el cruce de valores de las declaraciones con libros.</t>
  </si>
  <si>
    <t>Cruzar el saldo por pagar de la declaración vs estados financieros.</t>
  </si>
  <si>
    <t>*** Base de mayores con la que se efectúa el movimiento</t>
  </si>
  <si>
    <t>Cruce con estados financieros</t>
  </si>
  <si>
    <t>Código cuenta contable</t>
  </si>
  <si>
    <t>Nombre cuenta contable</t>
  </si>
  <si>
    <t>Saldo según EEFF al XX/XX/202X</t>
  </si>
  <si>
    <t>Diferencia</t>
  </si>
  <si>
    <t>Saldo según formulario de declaración</t>
  </si>
  <si>
    <t>Conciliación de retenciones en la fuente del impuesto al valor agregado declaradas vs estados financieros</t>
  </si>
  <si>
    <t>Información proporcionada por el cliente</t>
  </si>
  <si>
    <t>*** Concluir en función del objetivo.</t>
  </si>
  <si>
    <t>Procedimientos:</t>
  </si>
  <si>
    <t>324.03</t>
  </si>
  <si>
    <t>Valores según registros contables del contribuyente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</si>
</sst>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_(* #,##0_);_(* \(#,##0\);_(* &quot;-&quot;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4" tint="-0.499984740745262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name val="Tahoma"/>
      <family val="2"/>
    </font>
    <font>
      <b/>
      <sz val="10"/>
      <color theme="0"/>
      <name val="Tahoma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5" fillId="0" borderId="0" applyFont="0" applyFill="0" applyBorder="0" applyAlignment="0" applyProtection="0"/>
    <xf numFmtId="0" fontId="5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0" fontId="20" fillId="0" borderId="0"/>
  </cellStyleXfs>
  <cellXfs count="79">
    <xf numFmtId="0" fontId="0" fillId="0" borderId="0" xfId="0"/>
    <xf numFmtId="0" fontId="0" fillId="0" borderId="0" xfId="0" pivotButton="1"/>
    <xf numFmtId="43" fontId="0" fillId="0" borderId="0" xfId="0" applyNumberFormat="1"/>
    <xf numFmtId="0" fontId="8" fillId="2" borderId="1" xfId="3" applyFont="1" applyFill="1" applyBorder="1"/>
    <xf numFmtId="0" fontId="8" fillId="0" borderId="0" xfId="0" applyFont="1"/>
    <xf numFmtId="0" fontId="8" fillId="0" borderId="1" xfId="3" applyFont="1" applyBorder="1"/>
    <xf numFmtId="43" fontId="8" fillId="2" borderId="1" xfId="1" applyFont="1" applyFill="1" applyBorder="1"/>
    <xf numFmtId="43" fontId="8" fillId="0" borderId="1" xfId="1" applyFont="1" applyFill="1" applyBorder="1"/>
    <xf numFmtId="0" fontId="10" fillId="0" borderId="0" xfId="0" applyFont="1"/>
    <xf numFmtId="165" fontId="10" fillId="0" borderId="0" xfId="4" applyNumberFormat="1" applyFont="1" applyFill="1"/>
    <xf numFmtId="0" fontId="12" fillId="0" borderId="0" xfId="0" applyFont="1" applyAlignment="1" applyProtection="1">
      <alignment horizontal="left" vertical="center"/>
      <protection hidden="1"/>
    </xf>
    <xf numFmtId="0" fontId="8" fillId="2" borderId="1" xfId="17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4" fillId="0" borderId="0" xfId="0" applyFont="1"/>
    <xf numFmtId="0" fontId="13" fillId="4" borderId="4" xfId="0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/>
    </xf>
    <xf numFmtId="14" fontId="13" fillId="4" borderId="4" xfId="0" applyNumberFormat="1" applyFont="1" applyFill="1" applyBorder="1" applyAlignment="1">
      <alignment horizontal="center" vertical="center"/>
    </xf>
    <xf numFmtId="43" fontId="13" fillId="4" borderId="4" xfId="18" applyFont="1" applyFill="1" applyBorder="1" applyAlignment="1">
      <alignment horizontal="center" vertical="center"/>
    </xf>
    <xf numFmtId="164" fontId="13" fillId="4" borderId="4" xfId="1" applyNumberFormat="1" applyFont="1" applyFill="1" applyBorder="1" applyAlignment="1">
      <alignment horizontal="center" vertical="center"/>
    </xf>
    <xf numFmtId="164" fontId="13" fillId="4" borderId="0" xfId="1" applyNumberFormat="1" applyFont="1" applyFill="1" applyBorder="1" applyAlignment="1">
      <alignment horizontal="center" vertical="center"/>
    </xf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0" fontId="15" fillId="0" borderId="6" xfId="0" applyFont="1" applyBorder="1"/>
    <xf numFmtId="0" fontId="16" fillId="0" borderId="0" xfId="2" applyFont="1"/>
    <xf numFmtId="0" fontId="3" fillId="0" borderId="0" xfId="0" applyFont="1"/>
    <xf numFmtId="0" fontId="16" fillId="2" borderId="0" xfId="0" applyFont="1" applyFill="1"/>
    <xf numFmtId="0" fontId="16" fillId="2" borderId="0" xfId="3" applyFont="1" applyFill="1"/>
    <xf numFmtId="0" fontId="3" fillId="0" borderId="6" xfId="0" applyFont="1" applyBorder="1"/>
    <xf numFmtId="165" fontId="3" fillId="0" borderId="0" xfId="4" applyNumberFormat="1" applyFont="1" applyFill="1"/>
    <xf numFmtId="165" fontId="3" fillId="0" borderId="0" xfId="0" applyNumberFormat="1" applyFont="1"/>
    <xf numFmtId="43" fontId="3" fillId="0" borderId="1" xfId="1" applyFont="1" applyBorder="1"/>
    <xf numFmtId="43" fontId="3" fillId="0" borderId="1" xfId="1" applyFont="1" applyFill="1" applyBorder="1"/>
    <xf numFmtId="0" fontId="3" fillId="2" borderId="0" xfId="0" applyFont="1" applyFill="1"/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center"/>
    </xf>
    <xf numFmtId="0" fontId="17" fillId="0" borderId="0" xfId="17" applyFont="1"/>
    <xf numFmtId="0" fontId="18" fillId="2" borderId="0" xfId="3" applyFont="1" applyFill="1"/>
    <xf numFmtId="0" fontId="9" fillId="2" borderId="0" xfId="0" applyFont="1" applyFill="1" applyAlignment="1">
      <alignment horizontal="center"/>
    </xf>
    <xf numFmtId="0" fontId="16" fillId="3" borderId="0" xfId="2" applyFont="1" applyFill="1"/>
    <xf numFmtId="0" fontId="8" fillId="0" borderId="0" xfId="19" applyFont="1"/>
    <xf numFmtId="0" fontId="8" fillId="2" borderId="2" xfId="3" applyFont="1" applyFill="1" applyBorder="1"/>
    <xf numFmtId="43" fontId="3" fillId="0" borderId="2" xfId="1" applyFont="1" applyBorder="1"/>
    <xf numFmtId="43" fontId="8" fillId="2" borderId="2" xfId="1" applyFont="1" applyFill="1" applyBorder="1"/>
    <xf numFmtId="0" fontId="3" fillId="0" borderId="7" xfId="0" applyFont="1" applyBorder="1"/>
    <xf numFmtId="0" fontId="8" fillId="2" borderId="8" xfId="3" applyFont="1" applyFill="1" applyBorder="1"/>
    <xf numFmtId="43" fontId="3" fillId="0" borderId="8" xfId="1" applyFont="1" applyBorder="1"/>
    <xf numFmtId="43" fontId="8" fillId="2" borderId="8" xfId="1" applyFont="1" applyFill="1" applyBorder="1"/>
    <xf numFmtId="43" fontId="8" fillId="0" borderId="8" xfId="1" applyFont="1" applyFill="1" applyBorder="1"/>
    <xf numFmtId="0" fontId="9" fillId="2" borderId="5" xfId="3" applyFont="1" applyFill="1" applyBorder="1"/>
    <xf numFmtId="0" fontId="11" fillId="0" borderId="0" xfId="0" applyFont="1"/>
    <xf numFmtId="167" fontId="14" fillId="2" borderId="0" xfId="2" applyNumberFormat="1" applyFont="1" applyFill="1" applyAlignment="1">
      <alignment horizontal="left" vertical="center"/>
    </xf>
    <xf numFmtId="0" fontId="11" fillId="0" borderId="0" xfId="0" quotePrefix="1" applyFont="1" applyAlignment="1">
      <alignment horizontal="center"/>
    </xf>
    <xf numFmtId="0" fontId="15" fillId="0" borderId="0" xfId="20" applyFont="1" applyAlignment="1" applyProtection="1">
      <alignment horizontal="left" vertical="center"/>
      <protection hidden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5" borderId="1" xfId="17" applyFont="1" applyFill="1" applyBorder="1" applyAlignment="1">
      <alignment horizontal="center"/>
    </xf>
    <xf numFmtId="0" fontId="1" fillId="5" borderId="1" xfId="0" applyFont="1" applyFill="1" applyBorder="1"/>
    <xf numFmtId="0" fontId="1" fillId="0" borderId="1" xfId="17" applyFont="1" applyBorder="1" applyAlignment="1">
      <alignment horizontal="center"/>
    </xf>
    <xf numFmtId="0" fontId="21" fillId="0" borderId="0" xfId="0" applyFont="1"/>
    <xf numFmtId="0" fontId="10" fillId="5" borderId="9" xfId="2" applyFont="1" applyFill="1" applyBorder="1" applyAlignment="1">
      <alignment horizontal="center" vertical="center" wrapText="1"/>
    </xf>
    <xf numFmtId="166" fontId="10" fillId="5" borderId="9" xfId="0" applyNumberFormat="1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Continuous"/>
    </xf>
    <xf numFmtId="0" fontId="15" fillId="6" borderId="4" xfId="0" applyFont="1" applyFill="1" applyBorder="1" applyAlignment="1">
      <alignment horizontal="centerContinuous"/>
    </xf>
    <xf numFmtId="0" fontId="1" fillId="6" borderId="4" xfId="0" applyFont="1" applyFill="1" applyBorder="1" applyAlignment="1">
      <alignment horizontal="centerContinuous"/>
    </xf>
    <xf numFmtId="0" fontId="1" fillId="6" borderId="10" xfId="0" applyFont="1" applyFill="1" applyBorder="1" applyAlignment="1">
      <alignment horizontal="centerContinuous"/>
    </xf>
    <xf numFmtId="0" fontId="15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5" fontId="1" fillId="0" borderId="1" xfId="1" applyNumberFormat="1" applyFont="1" applyBorder="1"/>
    <xf numFmtId="165" fontId="1" fillId="0" borderId="0" xfId="1" applyNumberFormat="1" applyFont="1" applyBorder="1"/>
    <xf numFmtId="165" fontId="1" fillId="0" borderId="5" xfId="0" applyNumberFormat="1" applyFont="1" applyBorder="1"/>
    <xf numFmtId="0" fontId="15" fillId="5" borderId="3" xfId="0" applyFont="1" applyFill="1" applyBorder="1" applyAlignment="1" applyProtection="1">
      <alignment horizontal="center" vertical="center"/>
      <protection hidden="1"/>
    </xf>
    <xf numFmtId="0" fontId="15" fillId="5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5" fillId="6" borderId="9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4" fontId="8" fillId="2" borderId="5" xfId="3" applyNumberFormat="1" applyFont="1" applyFill="1" applyBorder="1"/>
    <xf numFmtId="0" fontId="10" fillId="5" borderId="9" xfId="2" applyFont="1" applyFill="1" applyBorder="1" applyAlignment="1">
      <alignment horizontal="center" vertical="center" wrapText="1"/>
    </xf>
    <xf numFmtId="0" fontId="19" fillId="7" borderId="9" xfId="2" applyFont="1" applyFill="1" applyBorder="1" applyAlignment="1">
      <alignment horizontal="center" vertical="center" wrapText="1"/>
    </xf>
  </cellXfs>
  <cellStyles count="21">
    <cellStyle name="Comma_ANALISIS1 2" xfId="8" xr:uid="{00000000-0005-0000-0000-000000000000}"/>
    <cellStyle name="Millares" xfId="1" builtinId="3"/>
    <cellStyle name="Millares 11 2 2" xfId="11" xr:uid="{00000000-0005-0000-0000-000002000000}"/>
    <cellStyle name="Millares 2" xfId="4" xr:uid="{00000000-0005-0000-0000-000003000000}"/>
    <cellStyle name="Millares 2 2" xfId="14" xr:uid="{00000000-0005-0000-0000-000004000000}"/>
    <cellStyle name="Millares 2 3" xfId="15" xr:uid="{00000000-0005-0000-0000-000005000000}"/>
    <cellStyle name="Millares 2 5" xfId="18" xr:uid="{C9746B59-333F-4115-B81D-3599ADB85522}"/>
    <cellStyle name="Normal" xfId="0" builtinId="0"/>
    <cellStyle name="Normal 10" xfId="9" xr:uid="{00000000-0005-0000-0000-000008000000}"/>
    <cellStyle name="Normal 12" xfId="12" xr:uid="{00000000-0005-0000-0000-000009000000}"/>
    <cellStyle name="Normal 2 10" xfId="17" xr:uid="{37731273-11A2-4B48-92DA-75B7C8C3E480}"/>
    <cellStyle name="Normal 2 11" xfId="16" xr:uid="{00000000-0005-0000-0000-00000A000000}"/>
    <cellStyle name="Normal 2 2" xfId="3" xr:uid="{00000000-0005-0000-0000-00000B000000}"/>
    <cellStyle name="Normal 2 3 2 5" xfId="19" xr:uid="{55C5DF3A-FD08-426F-9E11-1C4FDC868D4F}"/>
    <cellStyle name="Normal 2 8" xfId="10" xr:uid="{00000000-0005-0000-0000-00000C000000}"/>
    <cellStyle name="Normal 3 10 2" xfId="6" xr:uid="{00000000-0005-0000-0000-00000D000000}"/>
    <cellStyle name="Normal 7" xfId="20" xr:uid="{6AAA71F7-B602-40AA-AFA5-DE5909A65BC1}"/>
    <cellStyle name="Normal_2102 Sumaria de Efectivo y Equivalentes" xfId="2" xr:uid="{00000000-0005-0000-0000-00000E000000}"/>
    <cellStyle name="Porcentaje 2" xfId="13" xr:uid="{00000000-0005-0000-0000-000013000000}"/>
    <cellStyle name="Porcentaje 3" xfId="7" xr:uid="{00000000-0005-0000-0000-000014000000}"/>
    <cellStyle name="Porcentual 2" xfId="5" xr:uid="{00000000-0005-0000-0000-000015000000}"/>
  </cellStyles>
  <dxfs count="1"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91324</xdr:colOff>
      <xdr:row>32</xdr:row>
      <xdr:rowOff>103079</xdr:rowOff>
    </xdr:from>
    <xdr:to>
      <xdr:col>1</xdr:col>
      <xdr:colOff>302621</xdr:colOff>
      <xdr:row>33</xdr:row>
      <xdr:rowOff>149749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3AFB62-5696-4B8B-9405-1E815F3B6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72" y="475974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301996</xdr:colOff>
      <xdr:row>33</xdr:row>
      <xdr:rowOff>82314</xdr:rowOff>
    </xdr:from>
    <xdr:to>
      <xdr:col>8</xdr:col>
      <xdr:colOff>1855174</xdr:colOff>
      <xdr:row>33</xdr:row>
      <xdr:rowOff>82314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376283FE-0D6F-4749-93C0-491D1D2F9655}"/>
            </a:ext>
          </a:extLst>
        </xdr:cNvPr>
        <xdr:cNvCxnSpPr/>
      </xdr:nvCxnSpPr>
      <xdr:spPr>
        <a:xfrm>
          <a:off x="490144" y="4903610"/>
          <a:ext cx="8491141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159721</xdr:colOff>
      <xdr:row>32</xdr:row>
      <xdr:rowOff>101072</xdr:rowOff>
    </xdr:from>
    <xdr:to>
      <xdr:col>9</xdr:col>
      <xdr:colOff>351809</xdr:colOff>
      <xdr:row>33</xdr:row>
      <xdr:rowOff>126819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FD2D64-2DEB-4A68-AA64-5C33CC65D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3795" y="4757739"/>
          <a:ext cx="192088" cy="190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287263</xdr:colOff>
      <xdr:row>33</xdr:row>
      <xdr:rowOff>58323</xdr:rowOff>
    </xdr:from>
    <xdr:to>
      <xdr:col>15</xdr:col>
      <xdr:colOff>657801</xdr:colOff>
      <xdr:row>33</xdr:row>
      <xdr:rowOff>58323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3CFE835D-6119-4E20-A784-10DBC41E348C}"/>
            </a:ext>
          </a:extLst>
        </xdr:cNvPr>
        <xdr:cNvCxnSpPr/>
      </xdr:nvCxnSpPr>
      <xdr:spPr>
        <a:xfrm>
          <a:off x="9271337" y="4879619"/>
          <a:ext cx="637952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1467076</xdr:colOff>
      <xdr:row>49</xdr:row>
      <xdr:rowOff>73843</xdr:rowOff>
    </xdr:from>
    <xdr:ext cx="232427" cy="232427"/>
    <xdr:pic>
      <xdr:nvPicPr>
        <xdr:cNvPr id="7" name="Imagen 6">
          <a:extLst>
            <a:ext uri="{FF2B5EF4-FFF2-40B4-BE49-F238E27FC236}">
              <a16:creationId xmlns:a16="http://schemas.microsoft.com/office/drawing/2014/main" id="{E90A6B1C-5068-4D3B-BDF1-616CC1EE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898" y="801569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239765</xdr:colOff>
      <xdr:row>68</xdr:row>
      <xdr:rowOff>50194</xdr:rowOff>
    </xdr:from>
    <xdr:ext cx="164141" cy="164141"/>
    <xdr:pic>
      <xdr:nvPicPr>
        <xdr:cNvPr id="8" name="Imagen 7">
          <a:extLst>
            <a:ext uri="{FF2B5EF4-FFF2-40B4-BE49-F238E27FC236}">
              <a16:creationId xmlns:a16="http://schemas.microsoft.com/office/drawing/2014/main" id="{98F7891C-8BD9-4F01-A872-8336F3A60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765" y="11318976"/>
          <a:ext cx="164141" cy="164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231830</xdr:colOff>
      <xdr:row>69</xdr:row>
      <xdr:rowOff>50730</xdr:rowOff>
    </xdr:from>
    <xdr:to>
      <xdr:col>0</xdr:col>
      <xdr:colOff>416367</xdr:colOff>
      <xdr:row>69</xdr:row>
      <xdr:rowOff>207746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8565828-1CD8-4939-A235-2DB811FE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30" y="11530082"/>
          <a:ext cx="184537" cy="157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238318</xdr:colOff>
      <xdr:row>70</xdr:row>
      <xdr:rowOff>27174</xdr:rowOff>
    </xdr:from>
    <xdr:to>
      <xdr:col>0</xdr:col>
      <xdr:colOff>430135</xdr:colOff>
      <xdr:row>70</xdr:row>
      <xdr:rowOff>181999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ABD348E-2511-4E0E-A9D7-49B3BE3B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318" y="11717096"/>
          <a:ext cx="191817" cy="15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250116</xdr:colOff>
      <xdr:row>71</xdr:row>
      <xdr:rowOff>41381</xdr:rowOff>
    </xdr:from>
    <xdr:to>
      <xdr:col>0</xdr:col>
      <xdr:colOff>414318</xdr:colOff>
      <xdr:row>71</xdr:row>
      <xdr:rowOff>199831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6883997-AEAD-484A-9A33-887C94958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16" y="11941873"/>
          <a:ext cx="164202" cy="15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715153</xdr:colOff>
      <xdr:row>62</xdr:row>
      <xdr:rowOff>156464</xdr:rowOff>
    </xdr:from>
    <xdr:ext cx="192088" cy="192088"/>
    <xdr:pic>
      <xdr:nvPicPr>
        <xdr:cNvPr id="12" name="Imagen 11">
          <a:extLst>
            <a:ext uri="{FF2B5EF4-FFF2-40B4-BE49-F238E27FC236}">
              <a16:creationId xmlns:a16="http://schemas.microsoft.com/office/drawing/2014/main" id="{A36A0107-7FAA-4081-9912-AAB0C60BE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2833" y="1053906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" refreshedDate="45008.754893518519" createdVersion="7" refreshedVersion="7" minRefreshableVersion="3" recordCount="200" xr:uid="{E912FAAA-1B78-41D3-9E47-1B66A0353BFA}">
  <cacheSource type="worksheet">
    <worksheetSource ref="A1:L201" sheet="Base"/>
  </cacheSource>
  <cacheFields count="12">
    <cacheField name="Código" numFmtId="0">
      <sharedItems containsSemiMixedTypes="0" containsString="0" containsNumber="1" containsInteger="1" minValue="201040211" maxValue="201040213" count="3">
        <n v="201040211"/>
        <n v="201040212"/>
        <n v="201040213"/>
      </sharedItems>
    </cacheField>
    <cacheField name="Cuenta" numFmtId="0">
      <sharedItems containsBlank="1" count="4">
        <m/>
        <s v="Retención Fuente de IVA 30%"/>
        <s v="Retención Fuente de IVA 70%"/>
        <s v="Retención Fuente de IVA 100%"/>
      </sharedItems>
    </cacheField>
    <cacheField name="Mes" numFmtId="0">
      <sharedItems containsMixedTypes="1" containsNumber="1" containsInteger="1" minValue="2021" maxValue="2021" count="87">
        <n v="2021"/>
        <s v="07/02/2022"/>
        <s v="21/03/2022"/>
        <s v="24/05/2022"/>
        <s v="21/06/2022"/>
        <s v="09/11/2022"/>
        <s v="28/11/2022"/>
        <s v="20/12/2022"/>
        <s v="03/01/2022"/>
        <s v="04/01/2022"/>
        <s v="05/01/2022"/>
        <s v="06/01/2022"/>
        <s v="12/01/2022"/>
        <s v="19/01/2022"/>
        <s v="21/01/2022"/>
        <s v="24/01/2022"/>
        <s v="25/01/2022"/>
        <s v="27/01/2022"/>
        <s v="01/02/2022"/>
        <s v="10/02/2022"/>
        <s v="16/02/2022"/>
        <s v="17/02/2022"/>
        <s v="21/02/2022"/>
        <s v="25/02/2022"/>
        <s v="02/03/2022"/>
        <s v="04/03/2022"/>
        <s v="08/03/2022"/>
        <s v="09/03/2022"/>
        <s v="10/03/2022"/>
        <s v="14/03/2022"/>
        <s v="18/03/2022"/>
        <s v="24/03/2022"/>
        <s v="01/04/2022"/>
        <s v="08/04/2022"/>
        <s v="13/04/2022"/>
        <s v="19/04/2022"/>
        <s v="21/04/2022"/>
        <s v="02/05/2022"/>
        <s v="04/05/2022"/>
        <s v="09/05/2022"/>
        <s v="18/05/2022"/>
        <s v="19/05/2022"/>
        <s v="20/05/2022"/>
        <s v="25/05/2022"/>
        <s v="31/05/2022"/>
        <s v="01/06/2022"/>
        <s v="02/06/2022"/>
        <s v="07/06/2022"/>
        <s v="23/06/2022"/>
        <s v="30/06/2022"/>
        <s v="01/07/2022"/>
        <s v="07/07/2022"/>
        <s v="11/07/2022"/>
        <s v="19/07/2022"/>
        <s v="21/07/2022"/>
        <s v="01/08/2022"/>
        <s v="03/08/2022"/>
        <s v="08/08/2022"/>
        <s v="09/08/2022"/>
        <s v="18/08/2022"/>
        <s v="19/08/2022"/>
        <s v="01/09/2022"/>
        <s v="06/09/2022"/>
        <s v="07/09/2022"/>
        <s v="08/09/2022"/>
        <s v="15/09/2022"/>
        <s v="20/09/2022"/>
        <s v="22/09/2022"/>
        <s v="03/10/2022"/>
        <s v="12/10/2022"/>
        <s v="19/10/2022"/>
        <s v="01/11/2022"/>
        <s v="03/11/2022"/>
        <s v="10/11/2022"/>
        <s v="11/11/2022"/>
        <s v="15/11/2022"/>
        <s v="17/11/2022"/>
        <s v="21/11/2022"/>
        <s v="22/11/2022"/>
        <s v="01/12/2022"/>
        <s v="02/12/2022"/>
        <s v="08/12/2022"/>
        <s v="13/12/2022"/>
        <s v="21/12/2022"/>
        <s v="27/12/2022"/>
        <s v="13/09/2022"/>
        <s v="12/12/2022"/>
      </sharedItems>
    </cacheField>
    <cacheField name="Fecha" numFmtId="0">
      <sharedItems/>
    </cacheField>
    <cacheField name="Mes2" numFmtId="0">
      <sharedItems containsString="0" containsBlank="1" containsNumber="1" containsInteger="1" minValue="1" maxValue="12" count="13">
        <m/>
        <n v="2"/>
        <n v="3"/>
        <n v="5"/>
        <n v="6"/>
        <n v="11"/>
        <n v="12"/>
        <n v="1"/>
        <n v="4"/>
        <n v="7"/>
        <n v="8"/>
        <n v="9"/>
        <n v="10"/>
      </sharedItems>
    </cacheField>
    <cacheField name="Trans_id" numFmtId="0">
      <sharedItems containsString="0" containsBlank="1" containsNumber="1" containsInteger="1" minValue="7942" maxValue="9745"/>
    </cacheField>
    <cacheField name="Comentario" numFmtId="0">
      <sharedItems/>
    </cacheField>
    <cacheField name="Debe" numFmtId="164">
      <sharedItems containsString="0" containsBlank="1" containsNumber="1" minValue="0" maxValue="3297.96"/>
    </cacheField>
    <cacheField name="Haber" numFmtId="164">
      <sharedItems containsString="0" containsBlank="1" containsNumber="1" minValue="-43.47" maxValue="580.44000000000005"/>
    </cacheField>
    <cacheField name="Movimiento" numFmtId="164">
      <sharedItems containsSemiMixedTypes="0" containsString="0" containsNumber="1" minValue="-3297.96" maxValue="3297.96" count="132">
        <n v="0"/>
        <n v="-24.11"/>
        <n v="24.11"/>
        <n v="-12.5"/>
        <n v="12.5"/>
        <n v="-8.84"/>
        <n v="-10.37"/>
        <n v="19.21"/>
        <n v="-3297.96"/>
        <n v="-17.25"/>
        <n v="-12.01"/>
        <n v="-10.92"/>
        <n v="-17.14"/>
        <n v="-19.32"/>
        <n v="-6.72"/>
        <n v="-33.6"/>
        <n v="3297.96"/>
        <n v="-13.86"/>
        <n v="-34.86"/>
        <n v="-50.4"/>
        <n v="-16.8"/>
        <n v="-40.32"/>
        <n v="-580.44000000000005"/>
        <n v="-5.04"/>
        <n v="-10.08"/>
        <n v="-11.97"/>
        <n v="273.2"/>
        <n v="-0.95"/>
        <n v="-36.4"/>
        <n v="-2.5099999999999998"/>
        <n v="-15.96"/>
        <n v="-168"/>
        <n v="-41.64"/>
        <n v="661.29"/>
        <n v="-17.850000000000001"/>
        <n v="-214.2"/>
        <n v="-18.760000000000002"/>
        <n v="-45.38"/>
        <n v="-42.84"/>
        <n v="-75.22"/>
        <n v="-36.5"/>
        <n v="-33.99"/>
        <n v="405.95"/>
        <n v="-3.92"/>
        <n v="-36.229999999999997"/>
        <n v="-30.03"/>
        <n v="-18.02"/>
        <n v="-37.36"/>
        <n v="-43.89"/>
        <n v="36.229999999999997"/>
        <n v="-384.72"/>
        <n v="-3.36"/>
        <n v="496.01"/>
        <n v="-25.2"/>
        <n v="-88.2"/>
        <n v="-5.17"/>
        <n v="-57.23"/>
        <n v="-33.94"/>
        <n v="1554.05"/>
        <n v="-135.24"/>
        <n v="-45.75"/>
        <n v="-139.05000000000001"/>
        <n v="-57.29"/>
        <n v="-123.38"/>
        <n v="-179.92"/>
        <n v="-45.28"/>
        <n v="-1.68"/>
        <n v="-27.52"/>
        <n v="-42.82"/>
        <n v="-15.9"/>
        <n v="-14.01"/>
        <n v="-15.12"/>
        <n v="-25.25"/>
        <n v="-26.59"/>
        <n v="-26.54"/>
        <n v="-17.64"/>
        <n v="-43"/>
        <n v="-11.76"/>
        <n v="26.59"/>
        <n v="42.82"/>
        <n v="25.25"/>
        <n v="-17.37"/>
        <n v="-4.12"/>
        <n v="-84"/>
        <n v="492.95"/>
        <n v="-231"/>
        <n v="-40"/>
        <n v="-60.48"/>
        <n v="-26.31"/>
        <n v="-51.8"/>
        <n v="-43.47"/>
        <n v="43.47"/>
        <n v="-111.72"/>
        <n v="-14.2"/>
        <n v="-41.92"/>
        <n v="-6.47"/>
        <n v="-21.02"/>
        <n v="-12.6"/>
        <n v="-35.01"/>
        <n v="1810.17"/>
        <n v="-138.18"/>
        <n v="-21.62"/>
        <n v="-5.32"/>
        <n v="146.47"/>
        <n v="-19.64"/>
        <n v="-4.8899999999999997"/>
        <n v="230.12"/>
        <n v="-16.809999999999999"/>
        <n v="-40.299999999999997"/>
        <n v="-8.1"/>
        <n v="-58.8"/>
        <n v="-6.97"/>
        <n v="-4.05"/>
        <n v="-57.96"/>
        <n v="-25.26"/>
        <n v="-6.62"/>
        <n v="140.13"/>
        <n v="-53.76"/>
        <n v="-13.48"/>
        <n v="-1.1499999999999999"/>
        <n v="-5.62"/>
        <n v="-50.6"/>
        <n v="-44.39"/>
        <n v="-20.16"/>
        <n v="601.47"/>
        <n v="-56.97"/>
        <n v="-42.34"/>
        <n v="-57.69"/>
        <n v="-58.07"/>
        <n v="-7.03"/>
        <n v="7.03"/>
        <n v="-420"/>
      </sharedItems>
    </cacheField>
    <cacheField name="Saldo" numFmtId="164">
      <sharedItems containsSemiMixedTypes="0" containsString="0" containsNumber="1" minValue="-3414.92" maxValue="0"/>
    </cacheField>
    <cacheField name="Comentario2" numFmtId="0">
      <sharedItems containsBlank="1" count="4">
        <s v="00.Saldo Inicial"/>
        <s v="01. Adiciones"/>
        <s v="02. Pag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s v="Pasivos"/>
    <x v="0"/>
    <m/>
    <s v="Retención Fuente de IVA 30%"/>
    <m/>
    <m/>
    <x v="0"/>
    <n v="0"/>
    <x v="0"/>
  </r>
  <r>
    <x v="0"/>
    <x v="1"/>
    <x v="1"/>
    <s v="07/02/2022"/>
    <x v="1"/>
    <n v="8062"/>
    <s v="FAC.8945 COMPRA LAPTO GATEWAY GWTN156 R5 S.1GWTN15"/>
    <m/>
    <n v="24.11"/>
    <x v="1"/>
    <n v="-24.11"/>
    <x v="1"/>
  </r>
  <r>
    <x v="0"/>
    <x v="1"/>
    <x v="2"/>
    <s v="21/03/2022"/>
    <x v="2"/>
    <n v="8368"/>
    <s v="ND PAGO RETENCION IVA FEBRERO 2022 SRI FORM 104"/>
    <n v="24.11"/>
    <m/>
    <x v="2"/>
    <n v="0"/>
    <x v="2"/>
  </r>
  <r>
    <x v="0"/>
    <x v="1"/>
    <x v="3"/>
    <s v="24/05/2022"/>
    <x v="3"/>
    <n v="8583"/>
    <s v="FC#2046 AIRE ACONDICIONADO PARA OFICINA VIKEMAN"/>
    <m/>
    <n v="12.5"/>
    <x v="3"/>
    <n v="-12.5"/>
    <x v="1"/>
  </r>
  <r>
    <x v="0"/>
    <x v="1"/>
    <x v="4"/>
    <s v="21/06/2022"/>
    <x v="4"/>
    <n v="8885"/>
    <s v="ND 22416615 PAGO RETENCIONES IVA MAYO SRI FORM 104"/>
    <n v="12.5"/>
    <m/>
    <x v="4"/>
    <n v="0"/>
    <x v="2"/>
  </r>
  <r>
    <x v="0"/>
    <x v="1"/>
    <x v="5"/>
    <s v="09/11/2022"/>
    <x v="5"/>
    <n v="9474"/>
    <s v="FC#2137 BIOMETRICO HUELLA Y FACIAL MB10-VL  MATERI"/>
    <m/>
    <n v="8.84"/>
    <x v="5"/>
    <n v="-8.84"/>
    <x v="1"/>
  </r>
  <r>
    <x v="0"/>
    <x v="1"/>
    <x v="6"/>
    <s v="28/11/2022"/>
    <x v="5"/>
    <n v="9547"/>
    <s v="FC#894 COMPRA DE ACEITE HELICOPTERO HC-CVK"/>
    <m/>
    <n v="10.37"/>
    <x v="6"/>
    <n v="-19.21"/>
    <x v="1"/>
  </r>
  <r>
    <x v="0"/>
    <x v="1"/>
    <x v="7"/>
    <s v="20/12/2022"/>
    <x v="6"/>
    <n v="9726"/>
    <s v="ND 41100281 PAGO RETEN IVA NOV 2022 SRI FORM 104"/>
    <n v="19.21"/>
    <m/>
    <x v="7"/>
    <n v="0"/>
    <x v="2"/>
  </r>
  <r>
    <x v="1"/>
    <x v="0"/>
    <x v="0"/>
    <s v="Pasivos"/>
    <x v="0"/>
    <m/>
    <s v="Retención Fuente de IVA 70%"/>
    <m/>
    <m/>
    <x v="8"/>
    <n v="-3297.96"/>
    <x v="0"/>
  </r>
  <r>
    <x v="1"/>
    <x v="2"/>
    <x v="8"/>
    <s v="01/01/2022"/>
    <x v="7"/>
    <n v="8007"/>
    <s v="FAC,.4950 INCINERATOR-PASSENGER-ADMINISTRACION"/>
    <m/>
    <n v="17.25"/>
    <x v="9"/>
    <n v="-3315.21"/>
    <x v="1"/>
  </r>
  <r>
    <x v="1"/>
    <x v="2"/>
    <x v="8"/>
    <s v="01/01/2022"/>
    <x v="7"/>
    <n v="8008"/>
    <s v="FAC. 4948 SERVICIOS COMPELEMTARIOS"/>
    <m/>
    <n v="12.01"/>
    <x v="10"/>
    <n v="-3327.22"/>
    <x v="1"/>
  </r>
  <r>
    <x v="1"/>
    <x v="2"/>
    <x v="9"/>
    <s v="04/01/2022"/>
    <x v="7"/>
    <n v="7942"/>
    <s v="FC 3158 RECARGA Y MANT EXTINTOR 20,10LBS"/>
    <m/>
    <n v="10.92"/>
    <x v="11"/>
    <n v="-3338.14"/>
    <x v="1"/>
  </r>
  <r>
    <x v="1"/>
    <x v="2"/>
    <x v="10"/>
    <s v="05/01/2022"/>
    <x v="7"/>
    <n v="8000"/>
    <s v="FACT. 734 HOSPEDAJE GALAPAGOS GUILLERMO RODAS Y PA"/>
    <m/>
    <n v="17.14"/>
    <x v="12"/>
    <n v="-3355.28"/>
    <x v="1"/>
  </r>
  <r>
    <x v="1"/>
    <x v="2"/>
    <x v="11"/>
    <s v="06/01/2022"/>
    <x v="7"/>
    <n v="7944"/>
    <s v="FC.8228 E.M.A. TARIFA CORPORATIVA VALORADO AL 31 D"/>
    <m/>
    <n v="19.32"/>
    <x v="13"/>
    <n v="-3374.6"/>
    <x v="1"/>
  </r>
  <r>
    <x v="1"/>
    <x v="2"/>
    <x v="12"/>
    <s v="12/01/2022"/>
    <x v="7"/>
    <n v="7995"/>
    <s v="FACT. 2570 HOSPEDAJE LEONID COELLO QUITO ATENCION"/>
    <m/>
    <n v="6.72"/>
    <x v="14"/>
    <n v="-3381.32"/>
    <x v="1"/>
  </r>
  <r>
    <x v="1"/>
    <x v="2"/>
    <x v="12"/>
    <s v="12/01/2022"/>
    <x v="7"/>
    <n v="8011"/>
    <s v="FACX. 964 AUDITORIA A LOS ESTADOS DINANCIEROS AL 3"/>
    <m/>
    <n v="33.6"/>
    <x v="15"/>
    <n v="-3414.92"/>
    <x v="1"/>
  </r>
  <r>
    <x v="1"/>
    <x v="2"/>
    <x v="13"/>
    <s v="19/01/2022"/>
    <x v="7"/>
    <n v="8071"/>
    <s v="ND PAGO RETENCIONES IVA DICIEMBRE 2021 SRI FOR 104"/>
    <n v="3297.96"/>
    <m/>
    <x v="16"/>
    <n v="-116.96"/>
    <x v="2"/>
  </r>
  <r>
    <x v="1"/>
    <x v="2"/>
    <x v="14"/>
    <s v="21/01/2022"/>
    <x v="7"/>
    <n v="8020"/>
    <s v="FAC.3342 HONORARIO NULIDAD DE SENTENCIA EDISON CAL"/>
    <m/>
    <n v="13.86"/>
    <x v="17"/>
    <n v="-130.82"/>
    <x v="1"/>
  </r>
  <r>
    <x v="1"/>
    <x v="2"/>
    <x v="15"/>
    <s v="24/01/2022"/>
    <x v="7"/>
    <n v="7970"/>
    <s v="FAC.16631 INGRESO ECUAPAS,ADM. VTO.SERVICIOS DE EM"/>
    <m/>
    <n v="34.86"/>
    <x v="18"/>
    <n v="-165.68"/>
    <x v="1"/>
  </r>
  <r>
    <x v="1"/>
    <x v="2"/>
    <x v="16"/>
    <s v="25/01/2022"/>
    <x v="7"/>
    <n v="8021"/>
    <s v="FAC. 551 MANT. Y DESP. HELICOPTERO DEL 25 AL 28 DE"/>
    <m/>
    <n v="50.4"/>
    <x v="19"/>
    <n v="-216.08"/>
    <x v="1"/>
  </r>
  <r>
    <x v="1"/>
    <x v="2"/>
    <x v="17"/>
    <s v="27/01/2022"/>
    <x v="7"/>
    <n v="8057"/>
    <s v="FAC.000000113 SERVICIOS REEMPLAZO PATRICIO VILLACR"/>
    <m/>
    <n v="16.8"/>
    <x v="20"/>
    <n v="-232.88"/>
    <x v="1"/>
  </r>
  <r>
    <x v="1"/>
    <x v="2"/>
    <x v="17"/>
    <s v="27/01/2022"/>
    <x v="7"/>
    <n v="8083"/>
    <s v="FAC. 4341 SERVICIOS POR ACTIVIDADES DE COMERCIO EX"/>
    <m/>
    <n v="40.32"/>
    <x v="21"/>
    <n v="-273.2"/>
    <x v="1"/>
  </r>
  <r>
    <x v="1"/>
    <x v="2"/>
    <x v="18"/>
    <s v="01/02/2022"/>
    <x v="1"/>
    <n v="8086"/>
    <s v="FAC.985 AUDITORIA A LOS ESTADOS FINANCIEROS AL 31/"/>
    <m/>
    <n v="33.6"/>
    <x v="15"/>
    <n v="-306.8"/>
    <x v="1"/>
  </r>
  <r>
    <x v="1"/>
    <x v="2"/>
    <x v="19"/>
    <s v="10/02/2022"/>
    <x v="1"/>
    <n v="8108"/>
    <s v="FAC. 4346 SERVICIOS POR ACTIVIDADES DE COMERCIO EX"/>
    <m/>
    <n v="580.44000000000005"/>
    <x v="22"/>
    <n v="-887.24"/>
    <x v="1"/>
  </r>
  <r>
    <x v="1"/>
    <x v="2"/>
    <x v="20"/>
    <s v="16/02/2022"/>
    <x v="1"/>
    <n v="8113"/>
    <s v="FACT. 13564 HOTEL ORO VERDE HOSPEDAJE DIEGO SERRAN"/>
    <m/>
    <n v="5.04"/>
    <x v="23"/>
    <n v="-892.28"/>
    <x v="1"/>
  </r>
  <r>
    <x v="1"/>
    <x v="2"/>
    <x v="20"/>
    <s v="16/02/2022"/>
    <x v="1"/>
    <n v="8114"/>
    <s v="FACT. 13564 HOTEL ORO VERDE HOSPEDAJE PAUL DEL CAS"/>
    <m/>
    <n v="10.08"/>
    <x v="24"/>
    <n v="-902.36"/>
    <x v="1"/>
  </r>
  <r>
    <x v="1"/>
    <x v="2"/>
    <x v="20"/>
    <s v="16/02/2022"/>
    <x v="1"/>
    <n v="8115"/>
    <s v="FACT. 16335 HOTEL ORO VERDE HOSPEDAJE GUILLERMO RO"/>
    <m/>
    <n v="10.08"/>
    <x v="24"/>
    <n v="-912.44"/>
    <x v="1"/>
  </r>
  <r>
    <x v="1"/>
    <x v="2"/>
    <x v="21"/>
    <s v="17/02/2022"/>
    <x v="1"/>
    <n v="8093"/>
    <s v="FAC. 000003421 TRANSPORTE DE HELICOPTERO DE CANADA"/>
    <m/>
    <n v="11.97"/>
    <x v="25"/>
    <n v="-924.41"/>
    <x v="1"/>
  </r>
  <r>
    <x v="1"/>
    <x v="2"/>
    <x v="22"/>
    <s v="21/02/2022"/>
    <x v="1"/>
    <n v="8311"/>
    <s v="ND PAGO RETEN IVA ENERO 2022 SRI FORMULARIO 104"/>
    <n v="273.2"/>
    <m/>
    <x v="26"/>
    <n v="-651.21"/>
    <x v="2"/>
  </r>
  <r>
    <x v="1"/>
    <x v="2"/>
    <x v="23"/>
    <s v="25/02/2022"/>
    <x v="1"/>
    <n v="8262"/>
    <s v="FC#16547 HOTEL ORO VERDE HOSPEDAJE DIEGO SERRANO 2"/>
    <m/>
    <n v="10.08"/>
    <x v="24"/>
    <n v="-661.29"/>
    <x v="1"/>
  </r>
  <r>
    <x v="1"/>
    <x v="2"/>
    <x v="24"/>
    <s v="02/03/2022"/>
    <x v="2"/>
    <n v="8284"/>
    <s v="FC#758 HOSPEDAJE GUILLERMO RODAS DEL 25/02 AL 01/0"/>
    <m/>
    <n v="33.6"/>
    <x v="15"/>
    <n v="-694.89"/>
    <x v="1"/>
  </r>
  <r>
    <x v="1"/>
    <x v="2"/>
    <x v="25"/>
    <s v="04/03/2022"/>
    <x v="2"/>
    <n v="8288"/>
    <s v="FC#1730 CARMIGNIANI PEREZ, SERVICIOS ADMINISTRATIV"/>
    <m/>
    <n v="0.95"/>
    <x v="27"/>
    <n v="-695.84"/>
    <x v="1"/>
  </r>
  <r>
    <x v="1"/>
    <x v="2"/>
    <x v="25"/>
    <s v="04/03/2022"/>
    <x v="2"/>
    <n v="8289"/>
    <s v="FC#3454 HON. PROF.  LOCALES ENE-2022 PROFORMA 2180"/>
    <m/>
    <n v="36.4"/>
    <x v="28"/>
    <n v="-732.24"/>
    <x v="1"/>
  </r>
  <r>
    <x v="1"/>
    <x v="2"/>
    <x v="26"/>
    <s v="08/03/2022"/>
    <x v="2"/>
    <n v="8290"/>
    <s v="FC#10085 HOSPEDAJE JAVIER QUISHPE DEL 07 AL 08 MAR"/>
    <m/>
    <n v="2.5099999999999998"/>
    <x v="29"/>
    <n v="-734.75"/>
    <x v="1"/>
  </r>
  <r>
    <x v="1"/>
    <x v="2"/>
    <x v="26"/>
    <s v="08/03/2022"/>
    <x v="2"/>
    <n v="8291"/>
    <s v="FC#178 SERVICIO DESINFECCION, FUMIGACION Y CONTROL"/>
    <m/>
    <n v="15.96"/>
    <x v="30"/>
    <n v="-750.71"/>
    <x v="1"/>
  </r>
  <r>
    <x v="1"/>
    <x v="2"/>
    <x v="27"/>
    <s v="09/03/2022"/>
    <x v="2"/>
    <n v="8348"/>
    <s v="FC#1023 AUDITORIA A LOS ESTADOS FINANCIEROS AL 31/"/>
    <m/>
    <n v="33.6"/>
    <x v="15"/>
    <n v="-784.31"/>
    <x v="1"/>
  </r>
  <r>
    <x v="1"/>
    <x v="2"/>
    <x v="28"/>
    <s v="10/03/2022"/>
    <x v="2"/>
    <n v="8351"/>
    <s v="FC#48 IMPLANTACION SISTEMA SEGURIDAD OPERACIONAL S"/>
    <m/>
    <n v="168"/>
    <x v="31"/>
    <n v="-952.31"/>
    <x v="1"/>
  </r>
  <r>
    <x v="1"/>
    <x v="2"/>
    <x v="29"/>
    <s v="12/03/2022"/>
    <x v="2"/>
    <n v="8322"/>
    <s v="FC#8 SERVICIOS PROFESIONALES"/>
    <m/>
    <n v="41.64"/>
    <x v="32"/>
    <n v="-993.95"/>
    <x v="1"/>
  </r>
  <r>
    <x v="1"/>
    <x v="2"/>
    <x v="29"/>
    <s v="14/03/2022"/>
    <x v="2"/>
    <n v="8321"/>
    <s v="FC#553 MTTO BELL 407, BELL 505 FEB-MAR/2022 - MTTO"/>
    <m/>
    <n v="50.4"/>
    <x v="19"/>
    <n v="-1044.3499999999999"/>
    <x v="1"/>
  </r>
  <r>
    <x v="1"/>
    <x v="2"/>
    <x v="30"/>
    <s v="18/03/2022"/>
    <x v="2"/>
    <n v="8334"/>
    <s v="FC#17254 HOTEL ORO VERDE HOSPEDAJE DIEGO SERRANO 1"/>
    <m/>
    <n v="5.04"/>
    <x v="23"/>
    <n v="-1049.3900000000001"/>
    <x v="1"/>
  </r>
  <r>
    <x v="1"/>
    <x v="2"/>
    <x v="2"/>
    <s v="21/03/2022"/>
    <x v="2"/>
    <n v="8368"/>
    <s v="ND PAGO RETENCION IVA FEBRERO 2022 SRI FORM 104"/>
    <n v="661.29"/>
    <m/>
    <x v="33"/>
    <n v="-388.1"/>
    <x v="2"/>
  </r>
  <r>
    <x v="1"/>
    <x v="2"/>
    <x v="31"/>
    <s v="24/03/2022"/>
    <x v="2"/>
    <n v="8294"/>
    <s v="FC#3444 TRANSPORTE DE HELICOPTERO DE CANADA A GUAY"/>
    <m/>
    <n v="17.850000000000001"/>
    <x v="34"/>
    <n v="-405.95"/>
    <x v="1"/>
  </r>
  <r>
    <x v="1"/>
    <x v="2"/>
    <x v="32"/>
    <s v="01/04/2022"/>
    <x v="8"/>
    <n v="8409"/>
    <s v="FC#17765 HOTEL ORO VERDE HOSPEDAJE PAUL DEL CASTIL"/>
    <m/>
    <n v="5.04"/>
    <x v="23"/>
    <n v="-410.99"/>
    <x v="1"/>
  </r>
  <r>
    <x v="1"/>
    <x v="2"/>
    <x v="32"/>
    <s v="01/04/2022"/>
    <x v="8"/>
    <n v="8411"/>
    <s v="FC#17775 HOTEL ORO VERDE HOSPEDAJE GUILLERMO RODAS"/>
    <m/>
    <n v="5.04"/>
    <x v="23"/>
    <n v="-416.03"/>
    <x v="1"/>
  </r>
  <r>
    <x v="1"/>
    <x v="2"/>
    <x v="32"/>
    <s v="01/04/2022"/>
    <x v="8"/>
    <n v="8477"/>
    <s v="FC#5516 GH &amp; PARKING MARZO 2022 ECUACENTAIR"/>
    <m/>
    <n v="214.2"/>
    <x v="35"/>
    <n v="-630.23"/>
    <x v="1"/>
  </r>
  <r>
    <x v="1"/>
    <x v="2"/>
    <x v="33"/>
    <s v="08/04/2022"/>
    <x v="8"/>
    <n v="8417"/>
    <s v="FC#3525 HON. PROF. LOCALES FEB-2022 PROFORMA 21906"/>
    <m/>
    <n v="18.760000000000002"/>
    <x v="36"/>
    <n v="-648.99"/>
    <x v="1"/>
  </r>
  <r>
    <x v="1"/>
    <x v="2"/>
    <x v="33"/>
    <s v="08/04/2022"/>
    <x v="8"/>
    <n v="8478"/>
    <s v="FC#5582 ATENCION VUEVLO 28/03/22 Y 08/04/2022  N24"/>
    <m/>
    <n v="45.38"/>
    <x v="37"/>
    <n v="-694.37"/>
    <x v="1"/>
  </r>
  <r>
    <x v="1"/>
    <x v="2"/>
    <x v="34"/>
    <s v="13/04/2022"/>
    <x v="8"/>
    <n v="8378"/>
    <s v="FC#4726 LA CASA DE MARITA, HOSPEDAJE DEL 24 AL 27"/>
    <m/>
    <n v="42.84"/>
    <x v="38"/>
    <n v="-737.21"/>
    <x v="1"/>
  </r>
  <r>
    <x v="1"/>
    <x v="2"/>
    <x v="34"/>
    <s v="13/04/2022"/>
    <x v="8"/>
    <n v="8379"/>
    <s v="FC#4727 LA CASA DE MARITA, HOSPEDAJE DEL 08 AL 11"/>
    <m/>
    <n v="75.22"/>
    <x v="39"/>
    <n v="-812.43"/>
    <x v="1"/>
  </r>
  <r>
    <x v="1"/>
    <x v="2"/>
    <x v="34"/>
    <s v="13/04/2022"/>
    <x v="8"/>
    <n v="8418"/>
    <s v="FC#18145 HOTEL ORO VERDE HOSPEDAJE GUILLERMO RODAS"/>
    <m/>
    <n v="5.04"/>
    <x v="23"/>
    <n v="-817.47"/>
    <x v="1"/>
  </r>
  <r>
    <x v="1"/>
    <x v="2"/>
    <x v="34"/>
    <s v="13/04/2022"/>
    <x v="8"/>
    <n v="8419"/>
    <s v="FC#18155 HOTEL ORO VERDE HOSPEDAJE PAUL DEL CASTIL"/>
    <m/>
    <n v="5.04"/>
    <x v="23"/>
    <n v="-822.51"/>
    <x v="1"/>
  </r>
  <r>
    <x v="1"/>
    <x v="2"/>
    <x v="34"/>
    <s v="13/04/2022"/>
    <x v="8"/>
    <n v="8475"/>
    <s v="FC#18144 HOTEL ORO VERDE HOSPEDAJE GUILLERMO RODAS"/>
    <m/>
    <n v="5.04"/>
    <x v="23"/>
    <n v="-827.55"/>
    <x v="1"/>
  </r>
  <r>
    <x v="1"/>
    <x v="2"/>
    <x v="35"/>
    <s v="19/04/2022"/>
    <x v="8"/>
    <n v="8479"/>
    <s v="FC#5639 ATENCION VUEVLO 11 Y 12 DE ABRIL  N245FH E"/>
    <m/>
    <n v="36.5"/>
    <x v="40"/>
    <n v="-864.05"/>
    <x v="1"/>
  </r>
  <r>
    <x v="1"/>
    <x v="2"/>
    <x v="35"/>
    <s v="19/04/2022"/>
    <x v="8"/>
    <n v="8480"/>
    <s v="FC#5640 ATENCION VUELO 13 Y 15 DE ABRIL  N245FH EC"/>
    <m/>
    <n v="33.99"/>
    <x v="41"/>
    <n v="-898.04"/>
    <x v="1"/>
  </r>
  <r>
    <x v="1"/>
    <x v="2"/>
    <x v="35"/>
    <s v="19/04/2022"/>
    <x v="8"/>
    <n v="8573"/>
    <s v="ND 26131844 PAGO RETENCIONES IVA MARZO SRI FORM 10"/>
    <n v="405.95"/>
    <m/>
    <x v="42"/>
    <n v="-492.09"/>
    <x v="2"/>
  </r>
  <r>
    <x v="1"/>
    <x v="2"/>
    <x v="36"/>
    <s v="21/04/2022"/>
    <x v="8"/>
    <n v="8444"/>
    <s v="FC#3569 HON. PROF. LOCALES MAR-2022 PROFORMA 22024"/>
    <m/>
    <n v="3.92"/>
    <x v="43"/>
    <n v="-496.01"/>
    <x v="1"/>
  </r>
  <r>
    <x v="1"/>
    <x v="2"/>
    <x v="37"/>
    <s v="01/05/2022"/>
    <x v="3"/>
    <n v="8521"/>
    <s v="FC#5229 GH &amp; PARKING DICIEMBRE 2021 ECUACENTAIR"/>
    <m/>
    <n v="214.2"/>
    <x v="35"/>
    <n v="-710.21"/>
    <x v="1"/>
  </r>
  <r>
    <x v="1"/>
    <x v="2"/>
    <x v="37"/>
    <s v="01/05/2022"/>
    <x v="3"/>
    <n v="8522"/>
    <s v="FC#5230 GH &amp; PARKING ENERO 2022 ECUACENTAIR"/>
    <m/>
    <n v="214.2"/>
    <x v="35"/>
    <n v="-924.41"/>
    <x v="1"/>
  </r>
  <r>
    <x v="1"/>
    <x v="2"/>
    <x v="37"/>
    <s v="01/05/2022"/>
    <x v="3"/>
    <n v="8523"/>
    <s v="FC#5304 GH &amp; PARKING FEBRERO 2022 N245FH ECUACENTA"/>
    <m/>
    <n v="214.2"/>
    <x v="35"/>
    <n v="-1138.6099999999999"/>
    <x v="1"/>
  </r>
  <r>
    <x v="1"/>
    <x v="2"/>
    <x v="37"/>
    <s v="01/05/2022"/>
    <x v="3"/>
    <n v="8524"/>
    <s v="FC#5719 GH &amp; PARKING ABRIL 2022 ECUACENTAIR"/>
    <m/>
    <n v="214.2"/>
    <x v="35"/>
    <n v="-1352.81"/>
    <x v="1"/>
  </r>
  <r>
    <x v="1"/>
    <x v="2"/>
    <x v="37"/>
    <s v="01/05/2022"/>
    <x v="3"/>
    <n v="8525"/>
    <s v="FC#5180 ATENCION VUELO 01/12/21 Y 03/02/2022  N245"/>
    <m/>
    <n v="36.229999999999997"/>
    <x v="44"/>
    <n v="-1389.04"/>
    <x v="1"/>
  </r>
  <r>
    <x v="1"/>
    <x v="2"/>
    <x v="37"/>
    <s v="01/05/2022"/>
    <x v="3"/>
    <n v="8526"/>
    <s v="FC#5228 ATENCION VUEVLO 06/02/22 Y 14/02/2022  N24"/>
    <m/>
    <n v="30.03"/>
    <x v="45"/>
    <n v="-1419.07"/>
    <x v="1"/>
  </r>
  <r>
    <x v="1"/>
    <x v="2"/>
    <x v="37"/>
    <s v="01/05/2022"/>
    <x v="3"/>
    <n v="8527"/>
    <s v="FC#5293 ATENCION VUEVLO 16/02/22 Y 25/02/2022  N24"/>
    <m/>
    <n v="18.02"/>
    <x v="46"/>
    <n v="-1437.09"/>
    <x v="1"/>
  </r>
  <r>
    <x v="1"/>
    <x v="2"/>
    <x v="37"/>
    <s v="01/05/2022"/>
    <x v="3"/>
    <n v="8528"/>
    <s v="FC#5367 ATENCION VUELO 01/03/22 Y 02/03/2022  N245"/>
    <m/>
    <n v="37.36"/>
    <x v="47"/>
    <n v="-1474.45"/>
    <x v="1"/>
  </r>
  <r>
    <x v="1"/>
    <x v="2"/>
    <x v="37"/>
    <s v="01/05/2022"/>
    <x v="3"/>
    <n v="8529"/>
    <s v="FC#5466 ATENCION VUEVLO 28/03/22 Y 08/04/2022  N24"/>
    <m/>
    <n v="43.89"/>
    <x v="48"/>
    <n v="-1518.34"/>
    <x v="1"/>
  </r>
  <r>
    <x v="1"/>
    <x v="2"/>
    <x v="37"/>
    <s v="01/05/2022"/>
    <x v="3"/>
    <n v="8530"/>
    <s v="Factura de proveedores - Cancelación - PN179243166"/>
    <m/>
    <n v="-36.229999999999997"/>
    <x v="49"/>
    <n v="-1482.11"/>
    <x v="1"/>
  </r>
  <r>
    <x v="1"/>
    <x v="2"/>
    <x v="37"/>
    <s v="01/05/2022"/>
    <x v="3"/>
    <n v="8531"/>
    <s v="FC#5180 ATENCION VUELO 01/12/21 Y 03/02/2022  N245"/>
    <m/>
    <n v="36.229999999999997"/>
    <x v="44"/>
    <n v="-1518.34"/>
    <x v="1"/>
  </r>
  <r>
    <x v="1"/>
    <x v="2"/>
    <x v="38"/>
    <s v="04/05/2022"/>
    <x v="3"/>
    <n v="8467"/>
    <s v="FC#9665 TRABAJOS MTTO CAMBIO STRAP EN EL CVK"/>
    <m/>
    <n v="384.72"/>
    <x v="50"/>
    <n v="-1903.06"/>
    <x v="1"/>
  </r>
  <r>
    <x v="1"/>
    <x v="2"/>
    <x v="39"/>
    <s v="09/05/2022"/>
    <x v="3"/>
    <n v="8634"/>
    <s v="FC#127 SERVICIOS PROFESIONALES"/>
    <m/>
    <n v="3.36"/>
    <x v="51"/>
    <n v="-1906.42"/>
    <x v="1"/>
  </r>
  <r>
    <x v="1"/>
    <x v="2"/>
    <x v="40"/>
    <s v="18/05/2022"/>
    <x v="3"/>
    <n v="8613"/>
    <s v="FC#19347 HOTEL ORO VERDE HOSPEDAJE GUILLERMO RODAS"/>
    <m/>
    <n v="10.08"/>
    <x v="24"/>
    <n v="-1916.5"/>
    <x v="1"/>
  </r>
  <r>
    <x v="1"/>
    <x v="2"/>
    <x v="41"/>
    <s v="19/05/2022"/>
    <x v="3"/>
    <n v="8611"/>
    <s v="FC#19428 HOTEL ORO VERDE HOSPEDAJE GUILLERMO RODAS"/>
    <m/>
    <n v="5.04"/>
    <x v="23"/>
    <n v="-1921.54"/>
    <x v="1"/>
  </r>
  <r>
    <x v="1"/>
    <x v="2"/>
    <x v="41"/>
    <s v="19/05/2022"/>
    <x v="3"/>
    <n v="8660"/>
    <s v="ND 25372360 PAGO RETENCIONES IVA ABRIL 2022 SRI FO"/>
    <n v="496.01"/>
    <m/>
    <x v="52"/>
    <n v="-1425.53"/>
    <x v="2"/>
  </r>
  <r>
    <x v="1"/>
    <x v="2"/>
    <x v="42"/>
    <s v="20/05/2022"/>
    <x v="3"/>
    <n v="8612"/>
    <s v="FC#19455 HOTEL ORO VERDE HOSPEDAJE GUILLERMO RODAS"/>
    <m/>
    <n v="5.04"/>
    <x v="23"/>
    <n v="-1430.57"/>
    <x v="1"/>
  </r>
  <r>
    <x v="1"/>
    <x v="2"/>
    <x v="42"/>
    <s v="20/05/2022"/>
    <x v="3"/>
    <n v="8615"/>
    <s v="FC#19444 HOTEL ORO VERDE HOSPEDAJE DIEGO SERRANO 1"/>
    <m/>
    <n v="25.2"/>
    <x v="53"/>
    <n v="-1455.77"/>
    <x v="1"/>
  </r>
  <r>
    <x v="1"/>
    <x v="2"/>
    <x v="43"/>
    <s v="25/05/2022"/>
    <x v="3"/>
    <n v="8614"/>
    <s v="FC#19560 HOTEL ORO VERDE HOSPEDAJE DIEGO SERRANO 2"/>
    <m/>
    <n v="10.08"/>
    <x v="24"/>
    <n v="-1465.85"/>
    <x v="1"/>
  </r>
  <r>
    <x v="1"/>
    <x v="2"/>
    <x v="44"/>
    <s v="31/05/2022"/>
    <x v="3"/>
    <n v="8678"/>
    <s v="FC#301 ASIS Y MTTO HC-CVK. HC-CXH, HC-CTD, HC-CVX"/>
    <m/>
    <n v="88.2"/>
    <x v="54"/>
    <n v="-1554.05"/>
    <x v="1"/>
  </r>
  <r>
    <x v="1"/>
    <x v="2"/>
    <x v="45"/>
    <s v="01/06/2022"/>
    <x v="4"/>
    <n v="8689"/>
    <s v="FC#19735 HOSPEDAJE 31 MAY/2022 DEL CASTILLO PAUL"/>
    <m/>
    <n v="5.17"/>
    <x v="55"/>
    <n v="-1559.22"/>
    <x v="1"/>
  </r>
  <r>
    <x v="1"/>
    <x v="2"/>
    <x v="45"/>
    <s v="01/06/2022"/>
    <x v="4"/>
    <n v="8690"/>
    <s v="FC#19794 HOSPEDAJE 31 MAY/2022 RODAS GUILLERMO"/>
    <m/>
    <n v="5.04"/>
    <x v="23"/>
    <n v="-1564.26"/>
    <x v="1"/>
  </r>
  <r>
    <x v="1"/>
    <x v="2"/>
    <x v="45"/>
    <s v="01/06/2022"/>
    <x v="4"/>
    <n v="8691"/>
    <s v="FC#19719 HOSPEDAJE 31 MAY/2022 SERRANO DIEGO"/>
    <m/>
    <n v="5.17"/>
    <x v="55"/>
    <n v="-1569.43"/>
    <x v="1"/>
  </r>
  <r>
    <x v="1"/>
    <x v="2"/>
    <x v="45"/>
    <s v="01/06/2022"/>
    <x v="4"/>
    <n v="8753"/>
    <s v="FC#5882 GH &amp; PARKING MAYO 2022 ECUACENTAIR"/>
    <m/>
    <n v="214.2"/>
    <x v="35"/>
    <n v="-1783.63"/>
    <x v="1"/>
  </r>
  <r>
    <x v="1"/>
    <x v="2"/>
    <x v="46"/>
    <s v="02/06/2022"/>
    <x v="4"/>
    <n v="8685"/>
    <s v="FC#5856 ATENCION VUEVLO 07/05/22 Y 31/05/2022  N24"/>
    <m/>
    <n v="57.23"/>
    <x v="56"/>
    <n v="-1840.86"/>
    <x v="1"/>
  </r>
  <r>
    <x v="1"/>
    <x v="2"/>
    <x v="46"/>
    <s v="02/06/2022"/>
    <x v="4"/>
    <n v="8754"/>
    <s v="FC#5898 ATENCION VUELO 01/06/26 Y 02/06/2022  N245"/>
    <m/>
    <n v="33.94"/>
    <x v="57"/>
    <n v="-1874.8"/>
    <x v="1"/>
  </r>
  <r>
    <x v="1"/>
    <x v="2"/>
    <x v="47"/>
    <s v="07/06/2022"/>
    <x v="4"/>
    <n v="8700"/>
    <s v="FC#16 HOSPEDAJE 28/05/22 SR.MARCO FARFAN"/>
    <m/>
    <n v="3.36"/>
    <x v="51"/>
    <n v="-1878.16"/>
    <x v="1"/>
  </r>
  <r>
    <x v="1"/>
    <x v="2"/>
    <x v="4"/>
    <s v="21/06/2022"/>
    <x v="4"/>
    <n v="8885"/>
    <s v="ND 22416615 PAGO RETENCIONES IVA MAYO SRI FORM 104"/>
    <n v="1554.05"/>
    <m/>
    <x v="58"/>
    <n v="-324.11"/>
    <x v="2"/>
  </r>
  <r>
    <x v="1"/>
    <x v="2"/>
    <x v="48"/>
    <s v="23/06/2022"/>
    <x v="4"/>
    <n v="8771"/>
    <s v="FC#598 ASESORIA AERONAUTICA (2.3 HORAS HC-CVK)"/>
    <m/>
    <n v="33.6"/>
    <x v="15"/>
    <n v="-357.71"/>
    <x v="1"/>
  </r>
  <r>
    <x v="1"/>
    <x v="2"/>
    <x v="49"/>
    <s v="30/06/2022"/>
    <x v="4"/>
    <n v="8773"/>
    <s v="FC#303 ASIS Y MTTO HC-CVK. HC-CXH, HC-CTD, HC-CVX"/>
    <m/>
    <n v="135.24"/>
    <x v="59"/>
    <n v="-492.95"/>
    <x v="1"/>
  </r>
  <r>
    <x v="1"/>
    <x v="2"/>
    <x v="50"/>
    <s v="01/07/2022"/>
    <x v="9"/>
    <n v="8816"/>
    <s v="FC#532 ATENCION VUELO 27/12/2021 N751SJ ECUACENTAI"/>
    <m/>
    <n v="45.75"/>
    <x v="60"/>
    <n v="-538.70000000000005"/>
    <x v="1"/>
  </r>
  <r>
    <x v="1"/>
    <x v="2"/>
    <x v="50"/>
    <s v="01/07/2022"/>
    <x v="9"/>
    <n v="8817"/>
    <s v="FC#4951 PARKING HANGAR HCCVK  10 Y 11 DICIEMBRE EC"/>
    <m/>
    <n v="5.04"/>
    <x v="23"/>
    <n v="-543.74"/>
    <x v="1"/>
  </r>
  <r>
    <x v="1"/>
    <x v="2"/>
    <x v="50"/>
    <s v="01/07/2022"/>
    <x v="9"/>
    <n v="8818"/>
    <s v="FC#4953 ATENCION VUEVLO 26/12/21  N245FH ECUACENTA"/>
    <m/>
    <n v="139.05000000000001"/>
    <x v="61"/>
    <n v="-682.79"/>
    <x v="1"/>
  </r>
  <r>
    <x v="1"/>
    <x v="2"/>
    <x v="50"/>
    <s v="01/07/2022"/>
    <x v="9"/>
    <n v="8819"/>
    <s v="FC#4955 ATENCION VUELO DEL 26/12/21 AL 27/12/21 N7"/>
    <m/>
    <n v="57.29"/>
    <x v="62"/>
    <n v="-740.08"/>
    <x v="1"/>
  </r>
  <r>
    <x v="1"/>
    <x v="2"/>
    <x v="50"/>
    <s v="01/07/2022"/>
    <x v="9"/>
    <n v="8820"/>
    <s v="FC#4978 ATENCION VUELO 02/01/22 AL 03/01/22 N751SJ"/>
    <m/>
    <n v="123.38"/>
    <x v="63"/>
    <n v="-863.46"/>
    <x v="1"/>
  </r>
  <r>
    <x v="1"/>
    <x v="2"/>
    <x v="50"/>
    <s v="01/07/2022"/>
    <x v="9"/>
    <n v="8821"/>
    <s v="FC#4993 ATENCION VUELO 05/01/2022 N751SJ ECUACENTA"/>
    <m/>
    <n v="179.92"/>
    <x v="64"/>
    <n v="-1043.3800000000001"/>
    <x v="1"/>
  </r>
  <r>
    <x v="1"/>
    <x v="2"/>
    <x v="50"/>
    <s v="01/07/2022"/>
    <x v="9"/>
    <n v="8822"/>
    <s v="FC#532 ATENCION VUELO 15/11/21-10/12/21-02/01/22 H"/>
    <m/>
    <n v="45.28"/>
    <x v="65"/>
    <n v="-1088.6600000000001"/>
    <x v="1"/>
  </r>
  <r>
    <x v="1"/>
    <x v="2"/>
    <x v="50"/>
    <s v="01/07/2022"/>
    <x v="9"/>
    <n v="8823"/>
    <s v="FC#53 ALCANCE FC#32 ATENCION VUELO 27/12/2021 N751"/>
    <m/>
    <n v="1.68"/>
    <x v="66"/>
    <n v="-1090.3399999999999"/>
    <x v="1"/>
  </r>
  <r>
    <x v="1"/>
    <x v="2"/>
    <x v="50"/>
    <s v="01/07/2022"/>
    <x v="9"/>
    <n v="8824"/>
    <s v="FC#54 ATENCION VUELO 14/02/2022 - 16/02/2022 N245F"/>
    <m/>
    <n v="27.52"/>
    <x v="67"/>
    <n v="-1117.8599999999999"/>
    <x v="1"/>
  </r>
  <r>
    <x v="1"/>
    <x v="2"/>
    <x v="50"/>
    <s v="01/07/2022"/>
    <x v="9"/>
    <n v="8825"/>
    <s v="FC#63 ATENCION VUELO 25/02/2022 N245FH ECUACENTAIR"/>
    <m/>
    <n v="42.82"/>
    <x v="68"/>
    <n v="-1160.68"/>
    <x v="1"/>
  </r>
  <r>
    <x v="1"/>
    <x v="2"/>
    <x v="50"/>
    <s v="01/07/2022"/>
    <x v="9"/>
    <n v="8826"/>
    <s v="FC#5264 ATENCION VUELO 18/02/2022 - 20/02/2022 HCC"/>
    <m/>
    <n v="15.9"/>
    <x v="69"/>
    <n v="-1176.58"/>
    <x v="1"/>
  </r>
  <r>
    <x v="1"/>
    <x v="2"/>
    <x v="50"/>
    <s v="01/07/2022"/>
    <x v="9"/>
    <n v="8827"/>
    <s v="FC#5265 ATENCION VUELO 20/02/2022 - 21/02/2022 HCC"/>
    <m/>
    <n v="14.01"/>
    <x v="70"/>
    <n v="-1190.5899999999999"/>
    <x v="1"/>
  </r>
  <r>
    <x v="1"/>
    <x v="2"/>
    <x v="50"/>
    <s v="01/07/2022"/>
    <x v="9"/>
    <n v="8828"/>
    <s v="FC#5303 PARKING HANGAR FBO FEBRERO ECUACENTAIR"/>
    <m/>
    <n v="15.12"/>
    <x v="71"/>
    <n v="-1205.71"/>
    <x v="1"/>
  </r>
  <r>
    <x v="1"/>
    <x v="2"/>
    <x v="50"/>
    <s v="01/07/2022"/>
    <x v="9"/>
    <n v="8829"/>
    <s v="FC#82 ATENCION VUELO 27/03/2022 - 28/03/2022 N245F"/>
    <m/>
    <n v="25.25"/>
    <x v="72"/>
    <n v="-1230.96"/>
    <x v="1"/>
  </r>
  <r>
    <x v="1"/>
    <x v="2"/>
    <x v="50"/>
    <s v="01/07/2022"/>
    <x v="9"/>
    <n v="8830"/>
    <s v="FC#90 ATENCION VUELO 12/04/2022 - 13/04/2022 N245F"/>
    <m/>
    <n v="26.59"/>
    <x v="73"/>
    <n v="-1257.55"/>
    <x v="1"/>
  </r>
  <r>
    <x v="1"/>
    <x v="2"/>
    <x v="50"/>
    <s v="01/07/2022"/>
    <x v="9"/>
    <n v="8831"/>
    <s v="FC#108 ATENCION VUELO 31/05/2022 - 01/06/2022 N245"/>
    <m/>
    <n v="26.54"/>
    <x v="74"/>
    <n v="-1284.0899999999999"/>
    <x v="1"/>
  </r>
  <r>
    <x v="1"/>
    <x v="2"/>
    <x v="50"/>
    <s v="01/07/2022"/>
    <x v="9"/>
    <n v="8832"/>
    <s v="FC#5871 DESPACHO 18/08/22 Y 31/05/22 HCCVK"/>
    <m/>
    <n v="17.64"/>
    <x v="75"/>
    <n v="-1301.73"/>
    <x v="1"/>
  </r>
  <r>
    <x v="1"/>
    <x v="2"/>
    <x v="50"/>
    <s v="01/07/2022"/>
    <x v="9"/>
    <n v="8833"/>
    <s v="FC#5987 ATENCION VUELO 12/06/2022 - 17/06/2022 N24"/>
    <m/>
    <n v="43"/>
    <x v="76"/>
    <n v="-1344.73"/>
    <x v="1"/>
  </r>
  <r>
    <x v="1"/>
    <x v="2"/>
    <x v="50"/>
    <s v="01/07/2022"/>
    <x v="9"/>
    <n v="8834"/>
    <s v="FC#5871 DESPACHO 01/06/22 HCCVK"/>
    <m/>
    <n v="11.76"/>
    <x v="77"/>
    <n v="-1356.49"/>
    <x v="1"/>
  </r>
  <r>
    <x v="1"/>
    <x v="2"/>
    <x v="50"/>
    <s v="01/07/2022"/>
    <x v="9"/>
    <n v="8835"/>
    <s v="FC#6188 GH &amp; PARKING JUNIO 2022 ECUACENTAIR"/>
    <m/>
    <n v="214.2"/>
    <x v="35"/>
    <n v="-1570.69"/>
    <x v="1"/>
  </r>
  <r>
    <x v="1"/>
    <x v="2"/>
    <x v="50"/>
    <s v="01/07/2022"/>
    <x v="9"/>
    <n v="9014"/>
    <s v="Factura de proveedores - Cancelación - PN179243166"/>
    <m/>
    <n v="-26.59"/>
    <x v="78"/>
    <n v="-1544.1"/>
    <x v="1"/>
  </r>
  <r>
    <x v="1"/>
    <x v="2"/>
    <x v="50"/>
    <s v="01/07/2022"/>
    <x v="9"/>
    <n v="9015"/>
    <s v="Factura de proveedores - Cancelación - PN179243166"/>
    <m/>
    <n v="-42.82"/>
    <x v="79"/>
    <n v="-1501.28"/>
    <x v="1"/>
  </r>
  <r>
    <x v="1"/>
    <x v="2"/>
    <x v="50"/>
    <s v="01/07/2022"/>
    <x v="9"/>
    <n v="9016"/>
    <s v="Factura de proveedores - Cancelación - PN179243166"/>
    <m/>
    <n v="-25.25"/>
    <x v="80"/>
    <n v="-1476.03"/>
    <x v="1"/>
  </r>
  <r>
    <x v="1"/>
    <x v="2"/>
    <x v="50"/>
    <s v="01/07/2022"/>
    <x v="9"/>
    <n v="9017"/>
    <s v="FC#82 ATENCION VUELO 27/03/2022 - 28/03/2022 N245F"/>
    <m/>
    <n v="25.25"/>
    <x v="72"/>
    <n v="-1501.28"/>
    <x v="1"/>
  </r>
  <r>
    <x v="1"/>
    <x v="2"/>
    <x v="50"/>
    <s v="01/07/2022"/>
    <x v="9"/>
    <n v="9018"/>
    <s v="FC#90 ATENCION VUELO 12/04/2022 - 13/04/2022 N245F"/>
    <m/>
    <n v="26.59"/>
    <x v="73"/>
    <n v="-1527.87"/>
    <x v="1"/>
  </r>
  <r>
    <x v="1"/>
    <x v="2"/>
    <x v="50"/>
    <s v="01/07/2022"/>
    <x v="9"/>
    <n v="9019"/>
    <s v="FC#63 ATENCION VUELO 25/02/2022 N245FH ECUACENTAIR"/>
    <m/>
    <n v="42.82"/>
    <x v="68"/>
    <n v="-1570.69"/>
    <x v="1"/>
  </r>
  <r>
    <x v="1"/>
    <x v="2"/>
    <x v="50"/>
    <s v="01/07/2022"/>
    <x v="9"/>
    <n v="9020"/>
    <s v="Factura de proveedores - Cancelación - PN179243166"/>
    <m/>
    <n v="-42.82"/>
    <x v="79"/>
    <n v="-1527.87"/>
    <x v="1"/>
  </r>
  <r>
    <x v="1"/>
    <x v="2"/>
    <x v="50"/>
    <s v="01/07/2022"/>
    <x v="9"/>
    <n v="9021"/>
    <s v="FC#63 ATENCION VUELO 25/02/2022 N245FH ECUACENTAIR"/>
    <m/>
    <n v="42.82"/>
    <x v="68"/>
    <n v="-1570.69"/>
    <x v="1"/>
  </r>
  <r>
    <x v="1"/>
    <x v="2"/>
    <x v="50"/>
    <s v="01/07/2022"/>
    <x v="9"/>
    <n v="9022"/>
    <s v="Factura de proveedores - Cancelación - PN179243166"/>
    <m/>
    <n v="-25.25"/>
    <x v="80"/>
    <n v="-1545.44"/>
    <x v="1"/>
  </r>
  <r>
    <x v="1"/>
    <x v="2"/>
    <x v="50"/>
    <s v="01/07/2022"/>
    <x v="9"/>
    <n v="9023"/>
    <s v="FC#82 ATENCION VUELO 27/03/2022 - 28/03/2022 N245F"/>
    <m/>
    <n v="25.25"/>
    <x v="72"/>
    <n v="-1570.69"/>
    <x v="1"/>
  </r>
  <r>
    <x v="1"/>
    <x v="2"/>
    <x v="50"/>
    <s v="01/07/2022"/>
    <x v="9"/>
    <n v="9024"/>
    <s v="Factura de proveedores - Cancelación - PN179243166"/>
    <m/>
    <n v="-26.59"/>
    <x v="78"/>
    <n v="-1544.1"/>
    <x v="1"/>
  </r>
  <r>
    <x v="1"/>
    <x v="2"/>
    <x v="50"/>
    <s v="01/07/2022"/>
    <x v="9"/>
    <n v="9025"/>
    <s v="FC#90 ATENCION VUELO 12/04/2022 - 13/04/2022 N245F"/>
    <m/>
    <n v="26.59"/>
    <x v="73"/>
    <n v="-1570.69"/>
    <x v="1"/>
  </r>
  <r>
    <x v="1"/>
    <x v="2"/>
    <x v="51"/>
    <s v="07/07/2022"/>
    <x v="9"/>
    <n v="8868"/>
    <s v="FC#20820 HOSPEDAJE 05 JUL 2022 SERRANO DIEGO"/>
    <m/>
    <n v="10.08"/>
    <x v="24"/>
    <n v="-1580.77"/>
    <x v="1"/>
  </r>
  <r>
    <x v="1"/>
    <x v="2"/>
    <x v="52"/>
    <s v="09/07/2022"/>
    <x v="9"/>
    <n v="8806"/>
    <s v="FC#20908 HOSPEDAJE ORO VERDE DEL 04/07 AL 09/07 RO"/>
    <m/>
    <n v="25.2"/>
    <x v="53"/>
    <n v="-1605.97"/>
    <x v="1"/>
  </r>
  <r>
    <x v="1"/>
    <x v="2"/>
    <x v="52"/>
    <s v="11/07/2022"/>
    <x v="9"/>
    <n v="8799"/>
    <s v="FC#3942 RECARGA EXTINTOR 150 LBS, MANOMETRO Y MANG"/>
    <m/>
    <n v="17.37"/>
    <x v="81"/>
    <n v="-1623.34"/>
    <x v="1"/>
  </r>
  <r>
    <x v="1"/>
    <x v="2"/>
    <x v="52"/>
    <s v="11/07/2022"/>
    <x v="9"/>
    <n v="8800"/>
    <s v="FC#737 CARGA DE NITROGENO EXTINTOR PLATAFORMA"/>
    <m/>
    <n v="4.12"/>
    <x v="82"/>
    <n v="-1627.46"/>
    <x v="1"/>
  </r>
  <r>
    <x v="1"/>
    <x v="2"/>
    <x v="52"/>
    <s v="11/07/2022"/>
    <x v="9"/>
    <n v="8905"/>
    <s v="FC#39 CURSO INICIAL MERC PELIGROSAS-SEG AVIACION S"/>
    <m/>
    <n v="84"/>
    <x v="83"/>
    <n v="-1711.46"/>
    <x v="1"/>
  </r>
  <r>
    <x v="1"/>
    <x v="2"/>
    <x v="53"/>
    <s v="19/07/2022"/>
    <x v="9"/>
    <n v="8955"/>
    <s v="ND PAGO RETEN IVA JUNIO 2022 FORM 104 SRI"/>
    <n v="492.95"/>
    <m/>
    <x v="84"/>
    <n v="-1218.51"/>
    <x v="2"/>
  </r>
  <r>
    <x v="1"/>
    <x v="2"/>
    <x v="54"/>
    <s v="21/07/2022"/>
    <x v="9"/>
    <n v="8836"/>
    <s v="FC#6286 GH &amp; PARKING FEBRERO 2022 N585T ECUACENTAI"/>
    <m/>
    <n v="231"/>
    <x v="85"/>
    <n v="-1449.51"/>
    <x v="1"/>
  </r>
  <r>
    <x v="1"/>
    <x v="2"/>
    <x v="54"/>
    <s v="21/07/2022"/>
    <x v="9"/>
    <n v="8837"/>
    <s v="FC#6287 ATENCION VUELO 29 AGO - 01 SEP N245FH ECUA"/>
    <n v="0"/>
    <n v="0"/>
    <x v="0"/>
    <n v="-1449.51"/>
    <x v="3"/>
  </r>
  <r>
    <x v="1"/>
    <x v="2"/>
    <x v="54"/>
    <s v="21/07/2022"/>
    <x v="9"/>
    <n v="8838"/>
    <s v="FC#6288 ATENCION VUELO 28 SEP - 08 OCT N245FH ECUA"/>
    <m/>
    <n v="40"/>
    <x v="86"/>
    <n v="-1489.51"/>
    <x v="1"/>
  </r>
  <r>
    <x v="1"/>
    <x v="2"/>
    <x v="54"/>
    <s v="21/07/2022"/>
    <x v="9"/>
    <n v="8839"/>
    <s v="FC#6289 ATENCION VUELO 11/10/21 - 13/10/21 N245FH"/>
    <m/>
    <n v="18.02"/>
    <x v="46"/>
    <n v="-1507.53"/>
    <x v="1"/>
  </r>
  <r>
    <x v="1"/>
    <x v="2"/>
    <x v="54"/>
    <s v="21/07/2022"/>
    <x v="9"/>
    <n v="8840"/>
    <s v="FC#6290 ATENCION VUELO 14/10/21 - 21/10/21 N245FH"/>
    <m/>
    <n v="12.01"/>
    <x v="10"/>
    <n v="-1519.54"/>
    <x v="1"/>
  </r>
  <r>
    <x v="1"/>
    <x v="2"/>
    <x v="54"/>
    <s v="21/07/2022"/>
    <x v="9"/>
    <n v="8841"/>
    <s v="FC#6294 PARKING HANGAR FBO NOVIEMBRE HCCVK ECUACEN"/>
    <m/>
    <n v="60.48"/>
    <x v="87"/>
    <n v="-1580.02"/>
    <x v="1"/>
  </r>
  <r>
    <x v="1"/>
    <x v="2"/>
    <x v="54"/>
    <s v="21/07/2022"/>
    <x v="9"/>
    <n v="8842"/>
    <s v="FC#6295 PARKING HANGAR HCCVK  01 AL 08 DICIEMBRE E"/>
    <m/>
    <n v="40.32"/>
    <x v="21"/>
    <n v="-1620.34"/>
    <x v="1"/>
  </r>
  <r>
    <x v="1"/>
    <x v="2"/>
    <x v="54"/>
    <s v="21/07/2022"/>
    <x v="9"/>
    <n v="8843"/>
    <s v="FC#120 ATENCION VUELO 13/10/2021 - 14/10/2021 N245"/>
    <m/>
    <n v="26.31"/>
    <x v="88"/>
    <n v="-1646.65"/>
    <x v="1"/>
  </r>
  <r>
    <x v="1"/>
    <x v="2"/>
    <x v="54"/>
    <s v="21/07/2022"/>
    <x v="9"/>
    <n v="8844"/>
    <s v="FC#121 ATENCION VUELO 21/10/2021  N245FH ECUACENTA"/>
    <m/>
    <n v="51.8"/>
    <x v="89"/>
    <n v="-1698.45"/>
    <x v="1"/>
  </r>
  <r>
    <x v="1"/>
    <x v="2"/>
    <x v="54"/>
    <s v="21/07/2022"/>
    <x v="9"/>
    <n v="8845"/>
    <s v="FC#122 ATENCION VUELO 29/10/2021 N245FH ECUACENTAI"/>
    <m/>
    <n v="43.47"/>
    <x v="90"/>
    <n v="-1741.92"/>
    <x v="1"/>
  </r>
  <r>
    <x v="1"/>
    <x v="2"/>
    <x v="54"/>
    <s v="21/07/2022"/>
    <x v="9"/>
    <n v="8974"/>
    <s v="Factura de proveedores - Cancelación - PN179243166"/>
    <m/>
    <n v="-43.47"/>
    <x v="91"/>
    <n v="-1698.45"/>
    <x v="1"/>
  </r>
  <r>
    <x v="1"/>
    <x v="2"/>
    <x v="55"/>
    <s v="30/07/2022"/>
    <x v="9"/>
    <n v="8938"/>
    <s v="FC#305 LIMP Y MTTO HC-CVK. HC-CXH, HC-CTD"/>
    <m/>
    <n v="111.72"/>
    <x v="92"/>
    <n v="-1810.17"/>
    <x v="1"/>
  </r>
  <r>
    <x v="1"/>
    <x v="2"/>
    <x v="55"/>
    <s v="01/08/2022"/>
    <x v="10"/>
    <n v="9013"/>
    <s v="FC 2540 AJUSTE Y CALIBRACION TORQUIMETRO K-D TOOLS"/>
    <m/>
    <n v="14.2"/>
    <x v="93"/>
    <n v="-1824.37"/>
    <x v="1"/>
  </r>
  <r>
    <x v="1"/>
    <x v="2"/>
    <x v="55"/>
    <s v="01/08/2022"/>
    <x v="10"/>
    <n v="9029"/>
    <s v="FC#6337 ATENCION VUELO 24/07/2022 - 29/07/2022 N24"/>
    <m/>
    <n v="41.92"/>
    <x v="94"/>
    <n v="-1866.29"/>
    <x v="1"/>
  </r>
  <r>
    <x v="1"/>
    <x v="2"/>
    <x v="56"/>
    <s v="03/08/2022"/>
    <x v="10"/>
    <n v="9030"/>
    <s v="FC#6389 ATENCION VUELO 03/08/2022 N245FH ECUACENTA"/>
    <m/>
    <n v="6.47"/>
    <x v="95"/>
    <n v="-1872.76"/>
    <x v="1"/>
  </r>
  <r>
    <x v="1"/>
    <x v="2"/>
    <x v="56"/>
    <s v="03/08/2022"/>
    <x v="10"/>
    <n v="9031"/>
    <s v="FC#6383 ATENCION VUELO 02/08/2022 - 03/08/2022 N24"/>
    <m/>
    <n v="21.02"/>
    <x v="96"/>
    <n v="-1893.78"/>
    <x v="1"/>
  </r>
  <r>
    <x v="1"/>
    <x v="2"/>
    <x v="57"/>
    <s v="08/08/2022"/>
    <x v="10"/>
    <n v="9144"/>
    <s v="FC#33 HOSPEDAJE DEL 21 AL 24 JUL/2022 SR.MARCO FAR"/>
    <m/>
    <n v="12.6"/>
    <x v="97"/>
    <n v="-1906.38"/>
    <x v="1"/>
  </r>
  <r>
    <x v="1"/>
    <x v="2"/>
    <x v="58"/>
    <s v="09/08/2022"/>
    <x v="10"/>
    <n v="9101"/>
    <s v="FC#6426 ATENCION VUELO 03/08/2022 - 09/08/2022 N24"/>
    <m/>
    <n v="35.01"/>
    <x v="98"/>
    <n v="-1941.39"/>
    <x v="1"/>
  </r>
  <r>
    <x v="1"/>
    <x v="2"/>
    <x v="59"/>
    <s v="18/08/2022"/>
    <x v="10"/>
    <n v="9028"/>
    <s v="FC#22413 HOSPEDAJE ORO VERDE 17/08/2022 CARVAJAL S"/>
    <m/>
    <n v="5.04"/>
    <x v="23"/>
    <n v="-1946.43"/>
    <x v="1"/>
  </r>
  <r>
    <x v="1"/>
    <x v="2"/>
    <x v="60"/>
    <s v="19/08/2022"/>
    <x v="10"/>
    <n v="9102"/>
    <s v="FC#22451 HOSPEDAJE 18 AGO 2022 SERRANO DIEGO"/>
    <m/>
    <n v="5.17"/>
    <x v="55"/>
    <n v="-1951.6"/>
    <x v="1"/>
  </r>
  <r>
    <x v="1"/>
    <x v="2"/>
    <x v="60"/>
    <s v="19/08/2022"/>
    <x v="10"/>
    <n v="9103"/>
    <s v="FC#22492 HOSPEDAJE 18 AGO 2022 BENAVIDES XIMENA"/>
    <m/>
    <n v="5.04"/>
    <x v="23"/>
    <n v="-1956.64"/>
    <x v="1"/>
  </r>
  <r>
    <x v="1"/>
    <x v="2"/>
    <x v="60"/>
    <s v="19/08/2022"/>
    <x v="10"/>
    <n v="9151"/>
    <s v="ND PAGO RETENCIONES IVA JULIO 2022 SRI FORM 104"/>
    <n v="1810.17"/>
    <m/>
    <x v="99"/>
    <n v="-146.47"/>
    <x v="2"/>
  </r>
  <r>
    <x v="1"/>
    <x v="2"/>
    <x v="61"/>
    <s v="01/09/2022"/>
    <x v="11"/>
    <n v="9238"/>
    <s v="FC#306 LIMP Y MTTO HC-CVK, HC-CXH, HC-CTD"/>
    <m/>
    <n v="138.18"/>
    <x v="100"/>
    <n v="-284.64999999999998"/>
    <x v="1"/>
  </r>
  <r>
    <x v="1"/>
    <x v="2"/>
    <x v="62"/>
    <s v="06/09/2022"/>
    <x v="11"/>
    <n v="9265"/>
    <s v="FC#6587 ATENCION VUELO 28/08/2022 - 06/09/2022 N24"/>
    <m/>
    <n v="21.62"/>
    <x v="101"/>
    <n v="-306.27"/>
    <x v="1"/>
  </r>
  <r>
    <x v="1"/>
    <x v="2"/>
    <x v="63"/>
    <s v="07/09/2022"/>
    <x v="11"/>
    <n v="9179"/>
    <s v="FC#23216 HOSPEDAJE 05-06 SEP 2022 BENAVIDES XIMENA"/>
    <m/>
    <n v="10.08"/>
    <x v="24"/>
    <n v="-316.35000000000002"/>
    <x v="1"/>
  </r>
  <r>
    <x v="1"/>
    <x v="2"/>
    <x v="64"/>
    <s v="08/09/2022"/>
    <x v="11"/>
    <n v="9180"/>
    <s v="FC#23256 HOSPEDAJE 05-06-07 SEP 2022 SERRANO DIEGO"/>
    <m/>
    <n v="15.12"/>
    <x v="71"/>
    <n v="-331.47"/>
    <x v="1"/>
  </r>
  <r>
    <x v="1"/>
    <x v="2"/>
    <x v="64"/>
    <s v="08/09/2022"/>
    <x v="11"/>
    <n v="9181"/>
    <s v="FC#23260 HOSPEDAJE 06-07 SEP 2022 RODAS GUILLERMO"/>
    <m/>
    <n v="10.08"/>
    <x v="24"/>
    <n v="-341.55"/>
    <x v="1"/>
  </r>
  <r>
    <x v="1"/>
    <x v="2"/>
    <x v="64"/>
    <s v="08/09/2022"/>
    <x v="11"/>
    <n v="9182"/>
    <s v="FC#23270 HOSPEDAJE 06-07 SEP 2022 DEL CASTILLO PAU"/>
    <m/>
    <n v="10.08"/>
    <x v="24"/>
    <n v="-351.63"/>
    <x v="1"/>
  </r>
  <r>
    <x v="1"/>
    <x v="2"/>
    <x v="65"/>
    <s v="15/09/2022"/>
    <x v="11"/>
    <n v="9260"/>
    <s v="FC#3945 HON. PROF. LOCALES JUL-2022 PROFORMA 22469"/>
    <m/>
    <n v="5.32"/>
    <x v="102"/>
    <n v="-356.95"/>
    <x v="1"/>
  </r>
  <r>
    <x v="1"/>
    <x v="2"/>
    <x v="66"/>
    <s v="20/09/2022"/>
    <x v="11"/>
    <n v="9285"/>
    <s v="ND 29962347 PAGO RETEN IVA AGOSTO 2022 SRI FOMR 10"/>
    <n v="146.47"/>
    <m/>
    <x v="103"/>
    <n v="-210.48"/>
    <x v="2"/>
  </r>
  <r>
    <x v="1"/>
    <x v="2"/>
    <x v="67"/>
    <s v="22/09/2022"/>
    <x v="11"/>
    <n v="9264"/>
    <s v="FC#704 ATENCION VUELO 08/09/2022 - 22/09/2022 N245"/>
    <m/>
    <n v="19.64"/>
    <x v="104"/>
    <n v="-230.12"/>
    <x v="1"/>
  </r>
  <r>
    <x v="1"/>
    <x v="2"/>
    <x v="68"/>
    <s v="03/10/2022"/>
    <x v="12"/>
    <n v="9353"/>
    <s v="FC#307 LIMP Y MTTO HC-CVK, HC-CXH, HC-CTD"/>
    <m/>
    <n v="135.24"/>
    <x v="59"/>
    <n v="-365.36"/>
    <x v="1"/>
  </r>
  <r>
    <x v="1"/>
    <x v="2"/>
    <x v="69"/>
    <s v="12/10/2022"/>
    <x v="12"/>
    <n v="9295"/>
    <s v="FC#188704 DECLARACION JURAMENTADA BANCO CENTRAL"/>
    <m/>
    <n v="4.8899999999999997"/>
    <x v="105"/>
    <n v="-370.25"/>
    <x v="1"/>
  </r>
  <r>
    <x v="1"/>
    <x v="2"/>
    <x v="70"/>
    <s v="19/10/2022"/>
    <x v="12"/>
    <n v="9425"/>
    <s v="ND 29958070 PAGO RETEN IVA SEPT 2022 SRI FORM 104"/>
    <n v="230.12"/>
    <m/>
    <x v="106"/>
    <n v="-140.13"/>
    <x v="2"/>
  </r>
  <r>
    <x v="1"/>
    <x v="2"/>
    <x v="71"/>
    <s v="01/11/2022"/>
    <x v="5"/>
    <n v="9435"/>
    <s v="FC#25048 HOSPEDAJE 31 OCT 2022 SERRANO DIEGO"/>
    <m/>
    <n v="5.04"/>
    <x v="23"/>
    <n v="-145.16999999999999"/>
    <x v="1"/>
  </r>
  <r>
    <x v="1"/>
    <x v="2"/>
    <x v="71"/>
    <s v="01/11/2022"/>
    <x v="5"/>
    <n v="9436"/>
    <s v="FC#25070 HOSPEDAJE 31 OCT 2022 PAUL DEL CASTILLO"/>
    <m/>
    <n v="5.04"/>
    <x v="23"/>
    <n v="-150.21"/>
    <x v="1"/>
  </r>
  <r>
    <x v="1"/>
    <x v="2"/>
    <x v="71"/>
    <s v="01/11/2022"/>
    <x v="5"/>
    <n v="9437"/>
    <s v="FC#25069 HOSPEDAJE 31 OCT 2022 RODAS GUILLERMO"/>
    <m/>
    <n v="5.04"/>
    <x v="23"/>
    <n v="-155.25"/>
    <x v="1"/>
  </r>
  <r>
    <x v="1"/>
    <x v="2"/>
    <x v="71"/>
    <s v="01/11/2022"/>
    <x v="5"/>
    <n v="9439"/>
    <s v="FC#6967 ATENCION VUELO 22/10/2022 - 31/10/2022 N24"/>
    <m/>
    <n v="16.809999999999999"/>
    <x v="107"/>
    <n v="-172.06"/>
    <x v="1"/>
  </r>
  <r>
    <x v="1"/>
    <x v="2"/>
    <x v="71"/>
    <s v="01/11/2022"/>
    <x v="5"/>
    <n v="9440"/>
    <s v="FC#6971 GH &amp; HANGAR PLATAFORMA OCT/2022 N245FH ECU"/>
    <m/>
    <n v="214.2"/>
    <x v="35"/>
    <n v="-386.26"/>
    <x v="1"/>
  </r>
  <r>
    <x v="1"/>
    <x v="2"/>
    <x v="72"/>
    <s v="03/11/2022"/>
    <x v="5"/>
    <n v="9607"/>
    <s v="FC#7001 ATENCION VUELO 01/11/2022 - 03/11/2022 N24"/>
    <m/>
    <n v="40.299999999999997"/>
    <x v="108"/>
    <n v="-426.56"/>
    <x v="1"/>
  </r>
  <r>
    <x v="1"/>
    <x v="2"/>
    <x v="5"/>
    <s v="09/11/2022"/>
    <x v="5"/>
    <n v="9452"/>
    <s v="FC#25405 HOSPEDAJE 08 NOV 2022 RODAS GUILLERMO"/>
    <m/>
    <n v="5.04"/>
    <x v="23"/>
    <n v="-431.6"/>
    <x v="1"/>
  </r>
  <r>
    <x v="1"/>
    <x v="2"/>
    <x v="5"/>
    <s v="09/11/2022"/>
    <x v="5"/>
    <n v="9453"/>
    <s v="FC#25406 HOSPEDAJE 08 NOV 2022 BENAVIDES XIMENA"/>
    <m/>
    <n v="6.72"/>
    <x v="14"/>
    <n v="-438.32"/>
    <x v="1"/>
  </r>
  <r>
    <x v="1"/>
    <x v="2"/>
    <x v="5"/>
    <s v="09/11/2022"/>
    <x v="5"/>
    <n v="9474"/>
    <s v="FC#2137 BIOMETRICO HUELLA Y FACIAL MB10-VL  MATERI"/>
    <m/>
    <n v="8.1"/>
    <x v="109"/>
    <n v="-446.42"/>
    <x v="1"/>
  </r>
  <r>
    <x v="1"/>
    <x v="2"/>
    <x v="73"/>
    <s v="10/11/2022"/>
    <x v="5"/>
    <n v="9450"/>
    <s v="FC#1174 SERV AUDITORIA EEFF 2022 CUOTA 1/5"/>
    <m/>
    <n v="33.6"/>
    <x v="15"/>
    <n v="-480.02"/>
    <x v="1"/>
  </r>
  <r>
    <x v="1"/>
    <x v="2"/>
    <x v="73"/>
    <s v="10/11/2022"/>
    <x v="5"/>
    <n v="9518"/>
    <s v="FC#25434 HOSPEDAJE 09 NOV 2022 RODAS GUILLERMO"/>
    <m/>
    <n v="5.17"/>
    <x v="55"/>
    <n v="-485.19"/>
    <x v="1"/>
  </r>
  <r>
    <x v="1"/>
    <x v="2"/>
    <x v="74"/>
    <s v="11/11/2022"/>
    <x v="5"/>
    <n v="9519"/>
    <s v="FC#25477 HOSPEDAJE 10 NOV 2022 RODAS GUILLERMO"/>
    <m/>
    <n v="5.17"/>
    <x v="55"/>
    <n v="-490.36"/>
    <x v="1"/>
  </r>
  <r>
    <x v="1"/>
    <x v="2"/>
    <x v="75"/>
    <s v="15/11/2022"/>
    <x v="5"/>
    <n v="9472"/>
    <s v="FC#697 SERV ADMINISTRATIVOS (CANJE AEROPACIFICO)"/>
    <m/>
    <n v="58.8"/>
    <x v="110"/>
    <n v="-549.16"/>
    <x v="1"/>
  </r>
  <r>
    <x v="1"/>
    <x v="2"/>
    <x v="75"/>
    <s v="15/11/2022"/>
    <x v="5"/>
    <n v="9608"/>
    <s v="FC#7069 ATENCION VUELO 11/11/2022 - 12/11/2022 N24"/>
    <m/>
    <n v="6.97"/>
    <x v="111"/>
    <n v="-556.13"/>
    <x v="1"/>
  </r>
  <r>
    <x v="1"/>
    <x v="2"/>
    <x v="75"/>
    <s v="15/11/2022"/>
    <x v="5"/>
    <n v="9609"/>
    <s v="FC#7070 ATENCION VUELO 12/11/2022 - 13/11/2022 HC"/>
    <m/>
    <n v="4.05"/>
    <x v="112"/>
    <n v="-560.17999999999995"/>
    <x v="1"/>
  </r>
  <r>
    <x v="1"/>
    <x v="2"/>
    <x v="76"/>
    <s v="17/11/2022"/>
    <x v="5"/>
    <n v="9517"/>
    <s v="FC#9731 TRABAJOS MTTO HC-CVK VIBRACIONES DE ROTOR,"/>
    <m/>
    <n v="57.96"/>
    <x v="113"/>
    <n v="-618.14"/>
    <x v="1"/>
  </r>
  <r>
    <x v="1"/>
    <x v="2"/>
    <x v="77"/>
    <s v="19/11/2022"/>
    <x v="5"/>
    <n v="9610"/>
    <s v="FC#7097 ATENCION VUELO 13/11/2022 - 19/11/2022 HC"/>
    <m/>
    <n v="25.26"/>
    <x v="114"/>
    <n v="-643.4"/>
    <x v="1"/>
  </r>
  <r>
    <x v="1"/>
    <x v="2"/>
    <x v="77"/>
    <s v="20/11/2022"/>
    <x v="5"/>
    <n v="9611"/>
    <s v="FC#7100 ATENCION VUELO 19/11/2022 - 20/11/2022 HC"/>
    <m/>
    <n v="6.62"/>
    <x v="115"/>
    <n v="-650.02"/>
    <x v="1"/>
  </r>
  <r>
    <x v="1"/>
    <x v="2"/>
    <x v="77"/>
    <s v="21/11/2022"/>
    <x v="5"/>
    <n v="9588"/>
    <s v="ND 126808064 PAGO RETEN IVA OCTUBRE 2022 SRI"/>
    <n v="140.13"/>
    <m/>
    <x v="116"/>
    <n v="-509.89"/>
    <x v="2"/>
  </r>
  <r>
    <x v="1"/>
    <x v="2"/>
    <x v="77"/>
    <s v="21/11/2022"/>
    <x v="5"/>
    <n v="9612"/>
    <s v="FC#7103 ATENCION VUELO 07/11/2022 - 21/11/2022 N24"/>
    <m/>
    <n v="21.02"/>
    <x v="96"/>
    <n v="-530.91"/>
    <x v="1"/>
  </r>
  <r>
    <x v="1"/>
    <x v="2"/>
    <x v="78"/>
    <s v="22/11/2022"/>
    <x v="5"/>
    <n v="9530"/>
    <s v="FC#25801 HOSPEDAJE 21 NOV 2022 PAUL DEL CASTILLO"/>
    <m/>
    <n v="5.04"/>
    <x v="23"/>
    <n v="-535.95000000000005"/>
    <x v="1"/>
  </r>
  <r>
    <x v="1"/>
    <x v="2"/>
    <x v="78"/>
    <s v="22/11/2022"/>
    <x v="5"/>
    <n v="9532"/>
    <s v="FC#981 TRABAJOS MTTO AERONAVE HC-CTD 28-29-31 OCT/"/>
    <m/>
    <n v="53.76"/>
    <x v="117"/>
    <n v="-589.71"/>
    <x v="1"/>
  </r>
  <r>
    <x v="1"/>
    <x v="2"/>
    <x v="78"/>
    <s v="22/11/2022"/>
    <x v="5"/>
    <n v="9538"/>
    <s v="FC#25783 HOSPEDAJE 21 NOV 2022 RODAS GUILLERMO"/>
    <m/>
    <n v="6.72"/>
    <x v="14"/>
    <n v="-596.42999999999995"/>
    <x v="1"/>
  </r>
  <r>
    <x v="1"/>
    <x v="2"/>
    <x v="78"/>
    <s v="22/11/2022"/>
    <x v="5"/>
    <n v="9539"/>
    <s v="FC#25784 HOSPEDAJE 21 NOV 2022 SERRANO DIEGO"/>
    <m/>
    <n v="5.04"/>
    <x v="23"/>
    <n v="-601.47"/>
    <x v="1"/>
  </r>
  <r>
    <x v="1"/>
    <x v="2"/>
    <x v="79"/>
    <s v="01/12/2022"/>
    <x v="6"/>
    <n v="9613"/>
    <s v="FC#7169 ATENCION VUELO 27/11/2022 - 30/11/2022 HC"/>
    <m/>
    <n v="13.48"/>
    <x v="118"/>
    <n v="-614.95000000000005"/>
    <x v="1"/>
  </r>
  <r>
    <x v="1"/>
    <x v="2"/>
    <x v="79"/>
    <s v="01/12/2022"/>
    <x v="6"/>
    <n v="9615"/>
    <s v="FC#7179 GH &amp; HANGAR PLATAFORMA NOV/2022 N245FH ECU"/>
    <m/>
    <n v="214.2"/>
    <x v="35"/>
    <n v="-829.15"/>
    <x v="1"/>
  </r>
  <r>
    <x v="1"/>
    <x v="2"/>
    <x v="79"/>
    <s v="01/12/2022"/>
    <x v="6"/>
    <n v="9647"/>
    <s v="FC#7170 ATENCION VUELO 27/11/2022 - 30/11/2022 HC"/>
    <m/>
    <n v="1.1499999999999999"/>
    <x v="119"/>
    <n v="-830.3"/>
    <x v="1"/>
  </r>
  <r>
    <x v="1"/>
    <x v="2"/>
    <x v="80"/>
    <s v="02/12/2022"/>
    <x v="6"/>
    <n v="9614"/>
    <s v="FC#7175 ATENCION VUELO 26/11/2022 - 27/11/2022 HC"/>
    <m/>
    <n v="5.62"/>
    <x v="120"/>
    <n v="-835.92"/>
    <x v="1"/>
  </r>
  <r>
    <x v="1"/>
    <x v="2"/>
    <x v="80"/>
    <s v="02/12/2022"/>
    <x v="6"/>
    <n v="9616"/>
    <s v="FC#7205 ATENCION VUELO 22/11/2022 - 02/12/2022 N24"/>
    <m/>
    <n v="50.6"/>
    <x v="121"/>
    <n v="-886.52"/>
    <x v="1"/>
  </r>
  <r>
    <x v="1"/>
    <x v="2"/>
    <x v="80"/>
    <s v="02/12/2022"/>
    <x v="6"/>
    <n v="9643"/>
    <s v="FC#26129 HOSPEDAJE 01 DIC 2022 BENAVIDES XIMENA"/>
    <m/>
    <n v="5.17"/>
    <x v="55"/>
    <n v="-891.69"/>
    <x v="1"/>
  </r>
  <r>
    <x v="1"/>
    <x v="2"/>
    <x v="81"/>
    <s v="08/12/2022"/>
    <x v="6"/>
    <n v="9742"/>
    <s v="FC#7240 ATENCION VUELO 05/12/2022 - 08/12/2022 N24"/>
    <m/>
    <n v="44.39"/>
    <x v="122"/>
    <n v="-936.08"/>
    <x v="1"/>
  </r>
  <r>
    <x v="1"/>
    <x v="2"/>
    <x v="82"/>
    <s v="13/12/2022"/>
    <x v="6"/>
    <n v="9682"/>
    <s v="FC#1185 SERV AUDITORIA EEFF 2022 CUOTA 2/5"/>
    <m/>
    <n v="33.6"/>
    <x v="15"/>
    <n v="-969.68"/>
    <x v="1"/>
  </r>
  <r>
    <x v="1"/>
    <x v="2"/>
    <x v="7"/>
    <s v="20/12/2022"/>
    <x v="6"/>
    <n v="9714"/>
    <s v="FC#10457 ESTUDIO ACTUARIAL AL 31/12/2022 8 TRABAJA"/>
    <m/>
    <n v="20.16"/>
    <x v="123"/>
    <n v="-989.84"/>
    <x v="1"/>
  </r>
  <r>
    <x v="1"/>
    <x v="2"/>
    <x v="7"/>
    <s v="20/12/2022"/>
    <x v="6"/>
    <n v="9726"/>
    <s v="ND 41100281 PAGO RETEN IVA NOV 2022 SRI FORM 104"/>
    <n v="601.47"/>
    <m/>
    <x v="124"/>
    <n v="-388.37"/>
    <x v="2"/>
  </r>
  <r>
    <x v="1"/>
    <x v="2"/>
    <x v="7"/>
    <s v="20/12/2022"/>
    <x v="6"/>
    <n v="9743"/>
    <s v="FC#7320 ATENCION VUELO 12/12/2022 - 20/12/2022 N24"/>
    <m/>
    <n v="56.97"/>
    <x v="125"/>
    <n v="-445.34"/>
    <x v="1"/>
  </r>
  <r>
    <x v="1"/>
    <x v="2"/>
    <x v="83"/>
    <s v="21/12/2022"/>
    <x v="6"/>
    <n v="9698"/>
    <s v="FC#5949 LA CASA DE MARITA, HOSPEDAJE DEL 02 AL 05"/>
    <m/>
    <n v="42.34"/>
    <x v="126"/>
    <n v="-487.68"/>
    <x v="1"/>
  </r>
  <r>
    <x v="1"/>
    <x v="2"/>
    <x v="83"/>
    <s v="21/12/2022"/>
    <x v="6"/>
    <n v="9744"/>
    <s v="FC#7349 ATENCION VUELO 20/12/2022 - 21/12/2022 N24"/>
    <m/>
    <n v="57.69"/>
    <x v="127"/>
    <n v="-545.37"/>
    <x v="1"/>
  </r>
  <r>
    <x v="1"/>
    <x v="2"/>
    <x v="84"/>
    <s v="27/12/2022"/>
    <x v="6"/>
    <n v="9745"/>
    <s v="FC#7374 ATENCION VUELO 26/12/2022 - 27/12/2022 N24"/>
    <m/>
    <n v="58.07"/>
    <x v="128"/>
    <n v="-603.44000000000005"/>
    <x v="1"/>
  </r>
  <r>
    <x v="2"/>
    <x v="0"/>
    <x v="0"/>
    <s v="Pasivos"/>
    <x v="0"/>
    <m/>
    <s v="Retención Fuente de IVA 100%"/>
    <m/>
    <m/>
    <x v="0"/>
    <n v="0"/>
    <x v="0"/>
  </r>
  <r>
    <x v="2"/>
    <x v="3"/>
    <x v="85"/>
    <s v="13/09/2022"/>
    <x v="11"/>
    <n v="9172"/>
    <s v="FC#186755 DECLARACION JURAMENTADA CERTIFICACION DO"/>
    <m/>
    <n v="7.03"/>
    <x v="129"/>
    <n v="-7.03"/>
    <x v="1"/>
  </r>
  <r>
    <x v="2"/>
    <x v="3"/>
    <x v="70"/>
    <s v="19/10/2022"/>
    <x v="12"/>
    <n v="9425"/>
    <s v="ND 29958070 PAGO RETEN IVA SEPT 2022 SRI FORM 104"/>
    <n v="7.03"/>
    <m/>
    <x v="130"/>
    <n v="0"/>
    <x v="2"/>
  </r>
  <r>
    <x v="2"/>
    <x v="3"/>
    <x v="86"/>
    <s v="12/12/2022"/>
    <x v="6"/>
    <n v="9686"/>
    <s v="FC#1 SERVICIOS AERONAUTICOS NOV/2022"/>
    <m/>
    <n v="420"/>
    <x v="131"/>
    <n v="-4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DCE11-2D49-4FE1-B450-30F6F1EDB0EB}" name="TablaDinámica4" cacheId="4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B205:F220" firstHeaderRow="1" firstDataRow="3" firstDataCol="1" rowPageCount="1" colPageCount="1"/>
  <pivotFields count="12">
    <pivotField axis="axisCol" compact="0" outline="0" showAll="0" defaultSubtotal="0">
      <items count="3">
        <item x="0"/>
        <item x="1"/>
        <item x="2"/>
      </items>
    </pivotField>
    <pivotField axis="axisCol" compact="0" outline="0" showAll="0">
      <items count="5">
        <item x="3"/>
        <item x="1"/>
        <item x="2"/>
        <item h="1" x="0"/>
        <item t="default"/>
      </items>
    </pivotField>
    <pivotField compact="0" outline="0" showAll="0">
      <items count="88">
        <item x="0"/>
        <item x="18"/>
        <item x="32"/>
        <item x="45"/>
        <item x="50"/>
        <item x="55"/>
        <item x="61"/>
        <item x="71"/>
        <item x="79"/>
        <item x="24"/>
        <item x="37"/>
        <item x="46"/>
        <item x="80"/>
        <item x="8"/>
        <item x="56"/>
        <item x="68"/>
        <item x="72"/>
        <item x="9"/>
        <item x="25"/>
        <item x="38"/>
        <item x="10"/>
        <item x="11"/>
        <item x="62"/>
        <item x="1"/>
        <item x="47"/>
        <item x="51"/>
        <item x="63"/>
        <item x="26"/>
        <item x="33"/>
        <item x="57"/>
        <item x="64"/>
        <item x="81"/>
        <item x="27"/>
        <item x="39"/>
        <item x="58"/>
        <item x="5"/>
        <item x="19"/>
        <item x="28"/>
        <item x="73"/>
        <item x="52"/>
        <item x="74"/>
        <item x="12"/>
        <item x="69"/>
        <item x="86"/>
        <item x="34"/>
        <item x="85"/>
        <item x="82"/>
        <item x="29"/>
        <item x="65"/>
        <item x="75"/>
        <item x="20"/>
        <item x="21"/>
        <item x="76"/>
        <item x="30"/>
        <item x="40"/>
        <item x="59"/>
        <item x="13"/>
        <item x="35"/>
        <item x="41"/>
        <item x="53"/>
        <item x="60"/>
        <item x="70"/>
        <item x="42"/>
        <item x="66"/>
        <item x="7"/>
        <item x="14"/>
        <item x="22"/>
        <item x="2"/>
        <item x="36"/>
        <item x="4"/>
        <item x="54"/>
        <item x="77"/>
        <item x="83"/>
        <item x="67"/>
        <item x="78"/>
        <item x="48"/>
        <item x="15"/>
        <item x="31"/>
        <item x="3"/>
        <item x="16"/>
        <item x="23"/>
        <item x="43"/>
        <item x="17"/>
        <item x="84"/>
        <item x="6"/>
        <item x="49"/>
        <item x="44"/>
        <item t="default"/>
      </items>
    </pivotField>
    <pivotField compact="0" outline="0" showAll="0"/>
    <pivotField axis="axisRow" compact="0" outline="0" showAll="0" sortType="ascending" defaultSubtotal="0">
      <items count="13">
        <item x="7"/>
        <item x="1"/>
        <item x="2"/>
        <item x="8"/>
        <item x="3"/>
        <item x="4"/>
        <item x="9"/>
        <item x="10"/>
        <item x="11"/>
        <item x="12"/>
        <item x="5"/>
        <item x="6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>
      <items count="133">
        <item x="8"/>
        <item x="22"/>
        <item x="131"/>
        <item x="50"/>
        <item x="85"/>
        <item x="35"/>
        <item x="64"/>
        <item x="31"/>
        <item x="61"/>
        <item x="100"/>
        <item x="59"/>
        <item x="63"/>
        <item x="92"/>
        <item x="54"/>
        <item x="83"/>
        <item x="39"/>
        <item x="87"/>
        <item x="110"/>
        <item x="128"/>
        <item x="113"/>
        <item x="127"/>
        <item x="62"/>
        <item x="56"/>
        <item x="125"/>
        <item x="117"/>
        <item x="89"/>
        <item x="121"/>
        <item x="19"/>
        <item x="60"/>
        <item x="37"/>
        <item x="65"/>
        <item x="122"/>
        <item x="48"/>
        <item x="90"/>
        <item x="76"/>
        <item x="38"/>
        <item x="68"/>
        <item x="126"/>
        <item x="94"/>
        <item x="32"/>
        <item x="21"/>
        <item x="108"/>
        <item x="86"/>
        <item x="47"/>
        <item x="40"/>
        <item x="28"/>
        <item x="44"/>
        <item x="98"/>
        <item x="18"/>
        <item x="41"/>
        <item x="57"/>
        <item x="15"/>
        <item x="45"/>
        <item x="67"/>
        <item x="73"/>
        <item x="74"/>
        <item x="88"/>
        <item x="114"/>
        <item x="72"/>
        <item x="53"/>
        <item x="1"/>
        <item x="101"/>
        <item x="96"/>
        <item x="123"/>
        <item x="104"/>
        <item x="13"/>
        <item x="36"/>
        <item x="46"/>
        <item x="34"/>
        <item x="75"/>
        <item x="81"/>
        <item x="9"/>
        <item x="12"/>
        <item x="107"/>
        <item x="20"/>
        <item x="30"/>
        <item x="69"/>
        <item x="71"/>
        <item x="93"/>
        <item x="70"/>
        <item x="17"/>
        <item x="118"/>
        <item x="97"/>
        <item x="3"/>
        <item x="10"/>
        <item x="25"/>
        <item x="77"/>
        <item x="11"/>
        <item x="6"/>
        <item x="24"/>
        <item x="5"/>
        <item x="109"/>
        <item x="129"/>
        <item x="111"/>
        <item x="14"/>
        <item x="115"/>
        <item x="95"/>
        <item x="120"/>
        <item x="102"/>
        <item x="55"/>
        <item x="23"/>
        <item x="105"/>
        <item x="82"/>
        <item x="112"/>
        <item x="43"/>
        <item x="51"/>
        <item x="29"/>
        <item x="66"/>
        <item x="119"/>
        <item x="27"/>
        <item x="0"/>
        <item x="130"/>
        <item x="4"/>
        <item x="7"/>
        <item x="2"/>
        <item x="80"/>
        <item x="78"/>
        <item x="49"/>
        <item x="79"/>
        <item x="91"/>
        <item x="116"/>
        <item x="103"/>
        <item x="106"/>
        <item x="26"/>
        <item x="42"/>
        <item x="84"/>
        <item x="52"/>
        <item x="124"/>
        <item x="33"/>
        <item x="58"/>
        <item x="99"/>
        <item x="16"/>
        <item t="default"/>
      </items>
    </pivotField>
    <pivotField compact="0" numFmtId="164" outline="0" showAll="0"/>
    <pivotField axis="axisPage" compact="0" outline="0" multipleItemSelectionAllowed="1" showAll="0">
      <items count="5">
        <item h="1" x="0"/>
        <item x="1"/>
        <item h="1" x="2"/>
        <item h="1" x="3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1"/>
  </colFields>
  <colItems count="4">
    <i>
      <x/>
      <x v="1"/>
    </i>
    <i>
      <x v="1"/>
      <x v="2"/>
    </i>
    <i>
      <x v="2"/>
      <x/>
    </i>
    <i t="grand">
      <x/>
    </i>
  </colItems>
  <pageFields count="1">
    <pageField fld="11" hier="-1"/>
  </pageFields>
  <dataFields count="1">
    <dataField name="Suma de Movimiento" fld="9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5D1C-B22A-4542-94AE-41FCCE203086}">
  <dimension ref="A2:W95"/>
  <sheetViews>
    <sheetView showGridLines="0" tabSelected="1" topLeftCell="B1" zoomScale="73" zoomScaleNormal="75" workbookViewId="0">
      <selection activeCell="I13" sqref="I13"/>
    </sheetView>
  </sheetViews>
  <sheetFormatPr baseColWidth="10" defaultColWidth="10.90625" defaultRowHeight="12.5" x14ac:dyDescent="0.25"/>
  <cols>
    <col min="1" max="1" width="7.08984375" style="25" customWidth="1"/>
    <col min="2" max="2" width="26.1796875" style="25" customWidth="1"/>
    <col min="3" max="3" width="10.90625" style="25"/>
    <col min="4" max="4" width="14.6328125" style="25" customWidth="1"/>
    <col min="5" max="5" width="12.26953125" style="25" customWidth="1"/>
    <col min="6" max="6" width="10.90625" style="25"/>
    <col min="7" max="7" width="13.26953125" style="25" customWidth="1"/>
    <col min="8" max="8" width="10.90625" style="25"/>
    <col min="9" max="9" width="26.36328125" style="25" customWidth="1"/>
    <col min="10" max="10" width="12.7265625" style="25" customWidth="1"/>
    <col min="11" max="15" width="14.6328125" style="25" customWidth="1"/>
    <col min="16" max="16" width="10.90625" style="25"/>
    <col min="17" max="17" width="13.90625" style="25" customWidth="1"/>
    <col min="18" max="18" width="14" style="25" customWidth="1"/>
    <col min="19" max="19" width="13.08984375" style="25" customWidth="1"/>
    <col min="20" max="20" width="13.81640625" style="25" customWidth="1"/>
    <col min="21" max="21" width="19.36328125" style="25" customWidth="1"/>
    <col min="22" max="22" width="17.81640625" style="25" customWidth="1"/>
    <col min="23" max="23" width="19.1796875" style="25" customWidth="1"/>
    <col min="24" max="16384" width="10.90625" style="25"/>
  </cols>
  <sheetData>
    <row r="2" spans="2:23" x14ac:dyDescent="0.25">
      <c r="U2" s="71" t="s">
        <v>0</v>
      </c>
      <c r="V2" s="71" t="s">
        <v>1</v>
      </c>
      <c r="W2" s="72" t="s">
        <v>353</v>
      </c>
    </row>
    <row r="3" spans="2:23" x14ac:dyDescent="0.25">
      <c r="U3" s="11" t="s">
        <v>368</v>
      </c>
      <c r="V3" s="12" t="s">
        <v>368</v>
      </c>
      <c r="W3" s="34" t="s">
        <v>404</v>
      </c>
    </row>
    <row r="5" spans="2:23" x14ac:dyDescent="0.25">
      <c r="B5" s="22" t="s">
        <v>352</v>
      </c>
    </row>
    <row r="6" spans="2:23" x14ac:dyDescent="0.25">
      <c r="B6" s="22" t="s">
        <v>388</v>
      </c>
      <c r="H6" s="10"/>
    </row>
    <row r="7" spans="2:23" x14ac:dyDescent="0.25">
      <c r="B7" s="53" t="s">
        <v>367</v>
      </c>
      <c r="H7" s="10"/>
    </row>
    <row r="8" spans="2:23" x14ac:dyDescent="0.25">
      <c r="B8" s="53" t="s">
        <v>381</v>
      </c>
      <c r="H8" s="10"/>
    </row>
    <row r="9" spans="2:23" ht="6" customHeight="1" thickBot="1" x14ac:dyDescent="0.3">
      <c r="B9" s="2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2:23" ht="13" thickTop="1" x14ac:dyDescent="0.25"/>
    <row r="11" spans="2:23" x14ac:dyDescent="0.25">
      <c r="B11" s="24" t="s">
        <v>63</v>
      </c>
    </row>
    <row r="12" spans="2:23" ht="6" customHeight="1" x14ac:dyDescent="0.25">
      <c r="B12" s="24"/>
    </row>
    <row r="13" spans="2:23" x14ac:dyDescent="0.25">
      <c r="B13" s="55" t="s">
        <v>389</v>
      </c>
      <c r="F13" s="8"/>
      <c r="G13" s="8"/>
      <c r="H13" s="8"/>
      <c r="I13" s="8"/>
    </row>
    <row r="14" spans="2:23" x14ac:dyDescent="0.25">
      <c r="F14" s="8"/>
      <c r="G14" s="8"/>
      <c r="H14" s="8"/>
      <c r="I14" s="8"/>
    </row>
    <row r="15" spans="2:23" x14ac:dyDescent="0.25">
      <c r="B15" s="39" t="s">
        <v>355</v>
      </c>
      <c r="C15" s="36"/>
      <c r="F15" s="8"/>
      <c r="G15" s="8"/>
      <c r="H15" s="8"/>
      <c r="I15" s="8"/>
    </row>
    <row r="16" spans="2:23" ht="6" customHeight="1" x14ac:dyDescent="0.25">
      <c r="B16" s="39"/>
      <c r="C16" s="36"/>
      <c r="F16" s="8"/>
      <c r="G16" s="8"/>
      <c r="H16" s="8"/>
      <c r="I16" s="8"/>
    </row>
    <row r="17" spans="1:9" x14ac:dyDescent="0.25">
      <c r="B17" s="55"/>
      <c r="C17" s="56" t="s">
        <v>369</v>
      </c>
      <c r="D17" s="56" t="s">
        <v>370</v>
      </c>
      <c r="F17" s="8"/>
      <c r="G17" s="8"/>
      <c r="H17" s="8"/>
      <c r="I17" s="8"/>
    </row>
    <row r="18" spans="1:9" x14ac:dyDescent="0.25">
      <c r="B18" s="57" t="s">
        <v>356</v>
      </c>
      <c r="C18" s="58" t="s">
        <v>371</v>
      </c>
      <c r="D18" s="58" t="s">
        <v>371</v>
      </c>
      <c r="F18" s="8"/>
      <c r="G18" s="8"/>
      <c r="H18" s="8"/>
      <c r="I18" s="8"/>
    </row>
    <row r="19" spans="1:9" x14ac:dyDescent="0.25">
      <c r="B19" s="57" t="s">
        <v>357</v>
      </c>
      <c r="C19" s="58" t="s">
        <v>371</v>
      </c>
      <c r="D19" s="58" t="s">
        <v>371</v>
      </c>
      <c r="F19" s="8"/>
      <c r="G19" s="8"/>
      <c r="H19" s="8"/>
      <c r="I19" s="8"/>
    </row>
    <row r="20" spans="1:9" x14ac:dyDescent="0.25">
      <c r="B20" s="57" t="s">
        <v>358</v>
      </c>
      <c r="C20" s="58" t="s">
        <v>371</v>
      </c>
      <c r="D20" s="58" t="s">
        <v>371</v>
      </c>
      <c r="F20" s="8"/>
      <c r="G20" s="8"/>
      <c r="H20" s="8"/>
      <c r="I20" s="8"/>
    </row>
    <row r="21" spans="1:9" x14ac:dyDescent="0.25">
      <c r="F21" s="8"/>
      <c r="G21" s="8"/>
      <c r="H21" s="8"/>
      <c r="I21" s="8"/>
    </row>
    <row r="22" spans="1:9" x14ac:dyDescent="0.25">
      <c r="B22" s="39" t="s">
        <v>403</v>
      </c>
      <c r="F22" s="29"/>
      <c r="G22" s="29"/>
      <c r="H22" s="9"/>
      <c r="I22" s="30"/>
    </row>
    <row r="23" spans="1:9" ht="7" customHeight="1" x14ac:dyDescent="0.25">
      <c r="B23" s="39"/>
      <c r="F23" s="29"/>
      <c r="G23" s="29"/>
      <c r="H23" s="9"/>
      <c r="I23" s="30"/>
    </row>
    <row r="24" spans="1:9" x14ac:dyDescent="0.25">
      <c r="A24" s="75" t="s">
        <v>360</v>
      </c>
      <c r="B24" s="54" t="s">
        <v>386</v>
      </c>
      <c r="F24" s="9"/>
      <c r="G24" s="30"/>
      <c r="H24" s="30"/>
    </row>
    <row r="25" spans="1:9" x14ac:dyDescent="0.25">
      <c r="A25" s="75" t="s">
        <v>361</v>
      </c>
      <c r="B25" s="54" t="s">
        <v>390</v>
      </c>
      <c r="F25" s="9"/>
      <c r="G25" s="30"/>
      <c r="H25" s="30"/>
    </row>
    <row r="26" spans="1:9" x14ac:dyDescent="0.25">
      <c r="A26" s="75" t="s">
        <v>362</v>
      </c>
      <c r="B26" s="55" t="s">
        <v>391</v>
      </c>
      <c r="F26" s="9"/>
      <c r="G26" s="30"/>
      <c r="H26" s="30"/>
    </row>
    <row r="27" spans="1:9" x14ac:dyDescent="0.25">
      <c r="A27" s="75" t="s">
        <v>363</v>
      </c>
      <c r="B27" s="4" t="s">
        <v>392</v>
      </c>
      <c r="F27" s="9"/>
      <c r="G27" s="30"/>
      <c r="H27" s="30"/>
    </row>
    <row r="28" spans="1:9" x14ac:dyDescent="0.25">
      <c r="A28" s="75" t="s">
        <v>359</v>
      </c>
      <c r="B28" s="40" t="s">
        <v>387</v>
      </c>
      <c r="F28" s="9"/>
      <c r="G28" s="30"/>
      <c r="H28" s="30"/>
    </row>
    <row r="30" spans="1:9" x14ac:dyDescent="0.25">
      <c r="B30" s="39" t="s">
        <v>364</v>
      </c>
    </row>
    <row r="31" spans="1:9" ht="6" customHeight="1" x14ac:dyDescent="0.25"/>
    <row r="32" spans="1:9" x14ac:dyDescent="0.25">
      <c r="B32" s="37" t="s">
        <v>400</v>
      </c>
    </row>
    <row r="33" spans="2:23" x14ac:dyDescent="0.25">
      <c r="B33" s="37"/>
    </row>
    <row r="35" spans="2:23" x14ac:dyDescent="0.25">
      <c r="B35" s="77" t="s">
        <v>2</v>
      </c>
      <c r="C35" s="78" t="s">
        <v>405</v>
      </c>
      <c r="D35" s="78"/>
      <c r="E35" s="78"/>
      <c r="F35" s="78"/>
      <c r="G35" s="78"/>
      <c r="H35" s="78"/>
      <c r="I35" s="78"/>
      <c r="J35" s="78" t="s">
        <v>372</v>
      </c>
      <c r="K35" s="78"/>
      <c r="L35" s="78"/>
      <c r="M35" s="78"/>
      <c r="N35" s="78"/>
      <c r="O35" s="78"/>
      <c r="P35" s="78"/>
      <c r="Q35" s="78" t="s">
        <v>24</v>
      </c>
      <c r="R35" s="78"/>
      <c r="S35" s="78"/>
      <c r="T35" s="78"/>
      <c r="U35" s="78"/>
      <c r="V35" s="78"/>
      <c r="W35" s="78"/>
    </row>
    <row r="36" spans="2:23" ht="50" x14ac:dyDescent="0.25">
      <c r="B36" s="77"/>
      <c r="C36" s="74" t="s">
        <v>25</v>
      </c>
      <c r="D36" s="74" t="s">
        <v>26</v>
      </c>
      <c r="E36" s="74" t="s">
        <v>27</v>
      </c>
      <c r="F36" s="74" t="s">
        <v>28</v>
      </c>
      <c r="G36" s="74" t="s">
        <v>29</v>
      </c>
      <c r="H36" s="74" t="s">
        <v>30</v>
      </c>
      <c r="I36" s="74" t="s">
        <v>31</v>
      </c>
      <c r="J36" s="74" t="s">
        <v>32</v>
      </c>
      <c r="K36" s="74" t="s">
        <v>33</v>
      </c>
      <c r="L36" s="74" t="s">
        <v>34</v>
      </c>
      <c r="M36" s="74" t="s">
        <v>35</v>
      </c>
      <c r="N36" s="74" t="s">
        <v>36</v>
      </c>
      <c r="O36" s="74" t="s">
        <v>37</v>
      </c>
      <c r="P36" s="74" t="s">
        <v>38</v>
      </c>
      <c r="Q36" s="74" t="s">
        <v>39</v>
      </c>
      <c r="R36" s="74" t="s">
        <v>40</v>
      </c>
      <c r="S36" s="74" t="s">
        <v>41</v>
      </c>
      <c r="T36" s="74" t="s">
        <v>42</v>
      </c>
      <c r="U36" s="74" t="s">
        <v>43</v>
      </c>
      <c r="V36" s="74" t="s">
        <v>44</v>
      </c>
      <c r="W36" s="74" t="s">
        <v>45</v>
      </c>
    </row>
    <row r="37" spans="2:23" ht="25" x14ac:dyDescent="0.25">
      <c r="B37" s="77"/>
      <c r="C37" s="60" t="s">
        <v>4</v>
      </c>
      <c r="D37" s="60" t="s">
        <v>5</v>
      </c>
      <c r="E37" s="60" t="s">
        <v>6</v>
      </c>
      <c r="F37" s="61" t="s">
        <v>7</v>
      </c>
      <c r="G37" s="60" t="s">
        <v>8</v>
      </c>
      <c r="H37" s="60" t="s">
        <v>9</v>
      </c>
      <c r="I37" s="60" t="s">
        <v>46</v>
      </c>
      <c r="J37" s="60" t="s">
        <v>10</v>
      </c>
      <c r="K37" s="60" t="s">
        <v>47</v>
      </c>
      <c r="L37" s="60" t="s">
        <v>48</v>
      </c>
      <c r="M37" s="60" t="s">
        <v>49</v>
      </c>
      <c r="N37" s="60" t="s">
        <v>50</v>
      </c>
      <c r="O37" s="60" t="s">
        <v>11</v>
      </c>
      <c r="P37" s="60" t="s">
        <v>51</v>
      </c>
      <c r="Q37" s="60" t="s">
        <v>52</v>
      </c>
      <c r="R37" s="60" t="s">
        <v>53</v>
      </c>
      <c r="S37" s="60" t="s">
        <v>54</v>
      </c>
      <c r="T37" s="60" t="s">
        <v>55</v>
      </c>
      <c r="U37" s="60" t="s">
        <v>56</v>
      </c>
      <c r="V37" s="60" t="s">
        <v>57</v>
      </c>
      <c r="W37" s="60" t="s">
        <v>58</v>
      </c>
    </row>
    <row r="38" spans="2:23" x14ac:dyDescent="0.25">
      <c r="B38" s="41" t="s">
        <v>12</v>
      </c>
      <c r="C38" s="42">
        <v>0</v>
      </c>
      <c r="D38" s="42">
        <v>0</v>
      </c>
      <c r="E38" s="43"/>
      <c r="F38" s="43"/>
      <c r="G38" s="43"/>
      <c r="H38" s="43"/>
      <c r="I38" s="42">
        <f>+SUM(C38:H38)</f>
        <v>0</v>
      </c>
      <c r="J38" s="43"/>
      <c r="K38" s="43"/>
      <c r="L38" s="43"/>
      <c r="M38" s="43"/>
      <c r="N38" s="43"/>
      <c r="O38" s="43"/>
      <c r="P38" s="43">
        <f>SUM(J38:O38)</f>
        <v>0</v>
      </c>
      <c r="Q38" s="43">
        <f>+C38+J38</f>
        <v>0</v>
      </c>
      <c r="R38" s="43">
        <f>+D38+K38</f>
        <v>0</v>
      </c>
      <c r="S38" s="43">
        <f>+E38+L38</f>
        <v>0</v>
      </c>
      <c r="T38" s="43">
        <f t="shared" ref="T38:T49" si="0">+F38+M38</f>
        <v>0</v>
      </c>
      <c r="U38" s="43">
        <f t="shared" ref="U38:U44" si="1">+G38+N38</f>
        <v>0</v>
      </c>
      <c r="V38" s="43">
        <f t="shared" ref="V38:V44" si="2">+H38+O38</f>
        <v>0</v>
      </c>
      <c r="W38" s="43">
        <f>+I38+P38</f>
        <v>0</v>
      </c>
    </row>
    <row r="39" spans="2:23" x14ac:dyDescent="0.25">
      <c r="B39" s="3" t="s">
        <v>13</v>
      </c>
      <c r="C39" s="31">
        <v>0</v>
      </c>
      <c r="D39" s="31">
        <v>0</v>
      </c>
      <c r="E39" s="6"/>
      <c r="F39" s="6"/>
      <c r="G39" s="6"/>
      <c r="H39" s="6"/>
      <c r="I39" s="31">
        <f>+SUM(C39:H39)</f>
        <v>0</v>
      </c>
      <c r="J39" s="6"/>
      <c r="K39" s="6"/>
      <c r="L39" s="6"/>
      <c r="M39" s="6"/>
      <c r="N39" s="6"/>
      <c r="O39" s="6"/>
      <c r="P39" s="6">
        <f t="shared" ref="P39:P49" si="3">SUM(J39:O39)</f>
        <v>0</v>
      </c>
      <c r="Q39" s="6">
        <f t="shared" ref="Q39:Q49" si="4">+C39+J39</f>
        <v>0</v>
      </c>
      <c r="R39" s="6">
        <f t="shared" ref="R39:R49" si="5">+D39+K39</f>
        <v>0</v>
      </c>
      <c r="S39" s="6">
        <f t="shared" ref="S39:S49" si="6">+E39+L39</f>
        <v>0</v>
      </c>
      <c r="T39" s="6">
        <f t="shared" si="0"/>
        <v>0</v>
      </c>
      <c r="U39" s="6">
        <f t="shared" si="1"/>
        <v>0</v>
      </c>
      <c r="V39" s="6">
        <f t="shared" si="2"/>
        <v>0</v>
      </c>
      <c r="W39" s="6">
        <f t="shared" ref="W39:W44" si="7">+I39+P39</f>
        <v>0</v>
      </c>
    </row>
    <row r="40" spans="2:23" x14ac:dyDescent="0.25">
      <c r="B40" s="5" t="s">
        <v>14</v>
      </c>
      <c r="C40" s="31">
        <v>0</v>
      </c>
      <c r="D40" s="31">
        <v>0</v>
      </c>
      <c r="E40" s="7"/>
      <c r="F40" s="7"/>
      <c r="G40" s="7"/>
      <c r="H40" s="7"/>
      <c r="I40" s="31">
        <f t="shared" ref="I40:I49" si="8">+SUM(C40:H40)</f>
        <v>0</v>
      </c>
      <c r="J40" s="7"/>
      <c r="K40" s="7"/>
      <c r="L40" s="7"/>
      <c r="M40" s="7"/>
      <c r="N40" s="7"/>
      <c r="O40" s="7"/>
      <c r="P40" s="7">
        <f t="shared" si="3"/>
        <v>0</v>
      </c>
      <c r="Q40" s="6">
        <f t="shared" si="4"/>
        <v>0</v>
      </c>
      <c r="R40" s="6">
        <f t="shared" si="5"/>
        <v>0</v>
      </c>
      <c r="S40" s="6">
        <f t="shared" si="6"/>
        <v>0</v>
      </c>
      <c r="T40" s="6">
        <f t="shared" si="0"/>
        <v>0</v>
      </c>
      <c r="U40" s="6">
        <f t="shared" si="1"/>
        <v>0</v>
      </c>
      <c r="V40" s="6">
        <f t="shared" si="2"/>
        <v>0</v>
      </c>
      <c r="W40" s="6">
        <f t="shared" si="7"/>
        <v>0</v>
      </c>
    </row>
    <row r="41" spans="2:23" x14ac:dyDescent="0.25">
      <c r="B41" s="3" t="s">
        <v>15</v>
      </c>
      <c r="C41" s="31">
        <v>0</v>
      </c>
      <c r="D41" s="31">
        <v>0</v>
      </c>
      <c r="E41" s="6"/>
      <c r="F41" s="6"/>
      <c r="G41" s="6"/>
      <c r="H41" s="6"/>
      <c r="I41" s="31">
        <f>+SUM(C41:H41)</f>
        <v>0</v>
      </c>
      <c r="J41" s="6"/>
      <c r="K41" s="6"/>
      <c r="L41" s="6"/>
      <c r="M41" s="6"/>
      <c r="N41" s="6"/>
      <c r="O41" s="6"/>
      <c r="P41" s="6">
        <f t="shared" si="3"/>
        <v>0</v>
      </c>
      <c r="Q41" s="6">
        <f t="shared" si="4"/>
        <v>0</v>
      </c>
      <c r="R41" s="6">
        <f t="shared" si="5"/>
        <v>0</v>
      </c>
      <c r="S41" s="6">
        <f t="shared" si="6"/>
        <v>0</v>
      </c>
      <c r="T41" s="6">
        <f t="shared" si="0"/>
        <v>0</v>
      </c>
      <c r="U41" s="6">
        <f t="shared" si="1"/>
        <v>0</v>
      </c>
      <c r="V41" s="6">
        <f t="shared" si="2"/>
        <v>0</v>
      </c>
      <c r="W41" s="6">
        <f t="shared" si="7"/>
        <v>0</v>
      </c>
    </row>
    <row r="42" spans="2:23" x14ac:dyDescent="0.25">
      <c r="B42" s="3" t="s">
        <v>16</v>
      </c>
      <c r="C42" s="31">
        <v>0</v>
      </c>
      <c r="D42" s="31">
        <v>0</v>
      </c>
      <c r="E42" s="6"/>
      <c r="F42" s="6"/>
      <c r="G42" s="6"/>
      <c r="H42" s="6"/>
      <c r="I42" s="31">
        <f t="shared" si="8"/>
        <v>0</v>
      </c>
      <c r="J42" s="6"/>
      <c r="K42" s="6"/>
      <c r="L42" s="6"/>
      <c r="M42" s="6"/>
      <c r="N42" s="6"/>
      <c r="O42" s="6"/>
      <c r="P42" s="6">
        <f t="shared" si="3"/>
        <v>0</v>
      </c>
      <c r="Q42" s="6">
        <f t="shared" si="4"/>
        <v>0</v>
      </c>
      <c r="R42" s="6">
        <f t="shared" si="5"/>
        <v>0</v>
      </c>
      <c r="S42" s="6">
        <f t="shared" si="6"/>
        <v>0</v>
      </c>
      <c r="T42" s="6">
        <f t="shared" si="0"/>
        <v>0</v>
      </c>
      <c r="U42" s="6">
        <f t="shared" si="1"/>
        <v>0</v>
      </c>
      <c r="V42" s="6">
        <f t="shared" si="2"/>
        <v>0</v>
      </c>
      <c r="W42" s="6">
        <f t="shared" si="7"/>
        <v>0</v>
      </c>
    </row>
    <row r="43" spans="2:23" x14ac:dyDescent="0.25">
      <c r="B43" s="3" t="s">
        <v>17</v>
      </c>
      <c r="C43" s="31">
        <v>0</v>
      </c>
      <c r="D43" s="31">
        <v>0</v>
      </c>
      <c r="E43" s="6"/>
      <c r="F43" s="6"/>
      <c r="G43" s="6"/>
      <c r="H43" s="6"/>
      <c r="I43" s="31">
        <f t="shared" si="8"/>
        <v>0</v>
      </c>
      <c r="J43" s="7"/>
      <c r="K43" s="7"/>
      <c r="L43" s="7"/>
      <c r="M43" s="7"/>
      <c r="N43" s="7"/>
      <c r="O43" s="7"/>
      <c r="P43" s="6">
        <f t="shared" si="3"/>
        <v>0</v>
      </c>
      <c r="Q43" s="6">
        <f t="shared" si="4"/>
        <v>0</v>
      </c>
      <c r="R43" s="6">
        <f t="shared" si="5"/>
        <v>0</v>
      </c>
      <c r="S43" s="6">
        <f t="shared" si="6"/>
        <v>0</v>
      </c>
      <c r="T43" s="6">
        <f t="shared" si="0"/>
        <v>0</v>
      </c>
      <c r="U43" s="6">
        <f t="shared" si="1"/>
        <v>0</v>
      </c>
      <c r="V43" s="6">
        <f t="shared" si="2"/>
        <v>0</v>
      </c>
      <c r="W43" s="6">
        <f t="shared" si="7"/>
        <v>0</v>
      </c>
    </row>
    <row r="44" spans="2:23" x14ac:dyDescent="0.25">
      <c r="B44" s="3" t="s">
        <v>18</v>
      </c>
      <c r="C44" s="31">
        <v>0</v>
      </c>
      <c r="D44" s="31">
        <v>0</v>
      </c>
      <c r="E44" s="6"/>
      <c r="F44" s="6"/>
      <c r="G44" s="6"/>
      <c r="H44" s="6"/>
      <c r="I44" s="31">
        <f t="shared" si="8"/>
        <v>0</v>
      </c>
      <c r="J44" s="6"/>
      <c r="K44" s="6"/>
      <c r="L44" s="6"/>
      <c r="M44" s="6"/>
      <c r="N44" s="6"/>
      <c r="O44" s="6"/>
      <c r="P44" s="6">
        <f t="shared" si="3"/>
        <v>0</v>
      </c>
      <c r="Q44" s="6">
        <f t="shared" si="4"/>
        <v>0</v>
      </c>
      <c r="R44" s="6">
        <f t="shared" si="5"/>
        <v>0</v>
      </c>
      <c r="S44" s="6">
        <f t="shared" si="6"/>
        <v>0</v>
      </c>
      <c r="T44" s="6">
        <f t="shared" si="0"/>
        <v>0</v>
      </c>
      <c r="U44" s="6">
        <f t="shared" si="1"/>
        <v>0</v>
      </c>
      <c r="V44" s="6">
        <f t="shared" si="2"/>
        <v>0</v>
      </c>
      <c r="W44" s="6">
        <f t="shared" si="7"/>
        <v>0</v>
      </c>
    </row>
    <row r="45" spans="2:23" x14ac:dyDescent="0.25">
      <c r="B45" s="3" t="s">
        <v>19</v>
      </c>
      <c r="C45" s="31">
        <v>0</v>
      </c>
      <c r="D45" s="31">
        <v>0</v>
      </c>
      <c r="E45" s="6"/>
      <c r="F45" s="6"/>
      <c r="G45" s="6"/>
      <c r="H45" s="6"/>
      <c r="I45" s="31">
        <f t="shared" si="8"/>
        <v>0</v>
      </c>
      <c r="J45" s="6"/>
      <c r="K45" s="6"/>
      <c r="L45" s="6"/>
      <c r="M45" s="6"/>
      <c r="N45" s="6"/>
      <c r="O45" s="6"/>
      <c r="P45" s="6">
        <f>SUM(J45:O45)</f>
        <v>0</v>
      </c>
      <c r="Q45" s="6">
        <f t="shared" si="4"/>
        <v>0</v>
      </c>
      <c r="R45" s="6">
        <f t="shared" si="5"/>
        <v>0</v>
      </c>
      <c r="S45" s="6">
        <f t="shared" si="6"/>
        <v>0</v>
      </c>
      <c r="T45" s="6">
        <f t="shared" si="0"/>
        <v>0</v>
      </c>
      <c r="U45" s="6">
        <f t="shared" ref="U45:U49" si="9">+G45+N45</f>
        <v>0</v>
      </c>
      <c r="V45" s="6">
        <f t="shared" ref="V45:V49" si="10">+H45+O45</f>
        <v>0</v>
      </c>
      <c r="W45" s="6">
        <f t="shared" ref="W45:W49" si="11">+I45+P45</f>
        <v>0</v>
      </c>
    </row>
    <row r="46" spans="2:23" x14ac:dyDescent="0.25">
      <c r="B46" s="3" t="s">
        <v>20</v>
      </c>
      <c r="C46" s="31">
        <v>0</v>
      </c>
      <c r="D46" s="31">
        <v>0</v>
      </c>
      <c r="E46" s="6"/>
      <c r="F46" s="6"/>
      <c r="G46" s="6"/>
      <c r="H46" s="6"/>
      <c r="I46" s="31">
        <f t="shared" si="8"/>
        <v>0</v>
      </c>
      <c r="J46" s="6"/>
      <c r="K46" s="6"/>
      <c r="L46" s="6"/>
      <c r="M46" s="6"/>
      <c r="N46" s="6"/>
      <c r="O46" s="6"/>
      <c r="P46" s="6">
        <f t="shared" si="3"/>
        <v>0</v>
      </c>
      <c r="Q46" s="6">
        <f t="shared" si="4"/>
        <v>0</v>
      </c>
      <c r="R46" s="6">
        <f t="shared" si="5"/>
        <v>0</v>
      </c>
      <c r="S46" s="6">
        <f t="shared" si="6"/>
        <v>0</v>
      </c>
      <c r="T46" s="6">
        <f t="shared" si="0"/>
        <v>0</v>
      </c>
      <c r="U46" s="6">
        <f t="shared" si="9"/>
        <v>0</v>
      </c>
      <c r="V46" s="6">
        <f t="shared" si="10"/>
        <v>0</v>
      </c>
      <c r="W46" s="6">
        <f t="shared" si="11"/>
        <v>0</v>
      </c>
    </row>
    <row r="47" spans="2:23" x14ac:dyDescent="0.25">
      <c r="B47" s="5" t="s">
        <v>21</v>
      </c>
      <c r="C47" s="31">
        <v>0</v>
      </c>
      <c r="D47" s="31">
        <v>0</v>
      </c>
      <c r="E47" s="6"/>
      <c r="F47" s="6"/>
      <c r="G47" s="7"/>
      <c r="H47" s="7"/>
      <c r="I47" s="32">
        <f>+SUM(C47:H47)</f>
        <v>0</v>
      </c>
      <c r="J47" s="7"/>
      <c r="K47" s="7"/>
      <c r="L47" s="7"/>
      <c r="M47" s="7"/>
      <c r="N47" s="7"/>
      <c r="O47" s="7"/>
      <c r="P47" s="7">
        <f t="shared" si="3"/>
        <v>0</v>
      </c>
      <c r="Q47" s="6">
        <f t="shared" si="4"/>
        <v>0</v>
      </c>
      <c r="R47" s="6">
        <f t="shared" si="5"/>
        <v>0</v>
      </c>
      <c r="S47" s="6">
        <f t="shared" si="6"/>
        <v>0</v>
      </c>
      <c r="T47" s="6">
        <f t="shared" si="0"/>
        <v>0</v>
      </c>
      <c r="U47" s="6">
        <f t="shared" si="9"/>
        <v>0</v>
      </c>
      <c r="V47" s="6">
        <f t="shared" si="10"/>
        <v>0</v>
      </c>
      <c r="W47" s="6">
        <f t="shared" si="11"/>
        <v>0</v>
      </c>
    </row>
    <row r="48" spans="2:23" x14ac:dyDescent="0.25">
      <c r="B48" s="3" t="s">
        <v>22</v>
      </c>
      <c r="C48" s="31">
        <v>0</v>
      </c>
      <c r="D48" s="31">
        <v>0</v>
      </c>
      <c r="E48" s="6"/>
      <c r="F48" s="6"/>
      <c r="G48" s="6"/>
      <c r="H48" s="7"/>
      <c r="I48" s="31">
        <f t="shared" si="8"/>
        <v>0</v>
      </c>
      <c r="J48" s="6"/>
      <c r="K48" s="6"/>
      <c r="L48" s="6"/>
      <c r="M48" s="6"/>
      <c r="N48" s="6"/>
      <c r="O48" s="6"/>
      <c r="P48" s="6">
        <f t="shared" si="3"/>
        <v>0</v>
      </c>
      <c r="Q48" s="6">
        <f t="shared" si="4"/>
        <v>0</v>
      </c>
      <c r="R48" s="6">
        <f t="shared" si="5"/>
        <v>0</v>
      </c>
      <c r="S48" s="6">
        <f t="shared" si="6"/>
        <v>0</v>
      </c>
      <c r="T48" s="6">
        <f t="shared" si="0"/>
        <v>0</v>
      </c>
      <c r="U48" s="6">
        <f t="shared" si="9"/>
        <v>0</v>
      </c>
      <c r="V48" s="6">
        <f t="shared" si="10"/>
        <v>0</v>
      </c>
      <c r="W48" s="6">
        <f t="shared" si="11"/>
        <v>0</v>
      </c>
    </row>
    <row r="49" spans="2:23" x14ac:dyDescent="0.25">
      <c r="B49" s="3" t="s">
        <v>23</v>
      </c>
      <c r="C49" s="31">
        <v>0</v>
      </c>
      <c r="D49" s="31">
        <v>0</v>
      </c>
      <c r="E49" s="6"/>
      <c r="F49" s="6"/>
      <c r="G49" s="6"/>
      <c r="H49" s="7"/>
      <c r="I49" s="31">
        <f t="shared" si="8"/>
        <v>0</v>
      </c>
      <c r="J49" s="6"/>
      <c r="K49" s="6"/>
      <c r="L49" s="6"/>
      <c r="M49" s="6"/>
      <c r="N49" s="6"/>
      <c r="O49" s="6"/>
      <c r="P49" s="6">
        <f t="shared" si="3"/>
        <v>0</v>
      </c>
      <c r="Q49" s="6">
        <f t="shared" si="4"/>
        <v>0</v>
      </c>
      <c r="R49" s="6">
        <f t="shared" si="5"/>
        <v>0</v>
      </c>
      <c r="S49" s="6">
        <f t="shared" si="6"/>
        <v>0</v>
      </c>
      <c r="T49" s="6">
        <f t="shared" si="0"/>
        <v>0</v>
      </c>
      <c r="U49" s="6">
        <f t="shared" si="9"/>
        <v>0</v>
      </c>
      <c r="V49" s="6">
        <f t="shared" si="10"/>
        <v>0</v>
      </c>
      <c r="W49" s="6">
        <f t="shared" si="11"/>
        <v>0</v>
      </c>
    </row>
    <row r="50" spans="2:23" s="44" customFormat="1" ht="6" customHeight="1" x14ac:dyDescent="0.25">
      <c r="B50" s="45"/>
      <c r="C50" s="46"/>
      <c r="D50" s="46"/>
      <c r="E50" s="47"/>
      <c r="F50" s="47"/>
      <c r="G50" s="47"/>
      <c r="H50" s="48"/>
      <c r="I50" s="46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2:23" ht="13" thickBot="1" x14ac:dyDescent="0.3">
      <c r="B51" s="49"/>
      <c r="C51" s="76">
        <f>+SUM(C38:C49)</f>
        <v>0</v>
      </c>
      <c r="D51" s="76">
        <f>+SUM(D38:D49)</f>
        <v>0</v>
      </c>
      <c r="E51" s="76">
        <f>+SUM(E38:E49)</f>
        <v>0</v>
      </c>
      <c r="F51" s="76">
        <f>+SUM(F38:F49)</f>
        <v>0</v>
      </c>
      <c r="G51" s="76">
        <f t="shared" ref="G51:I51" si="12">+SUM(G38:G49)</f>
        <v>0</v>
      </c>
      <c r="H51" s="76">
        <f t="shared" si="12"/>
        <v>0</v>
      </c>
      <c r="I51" s="76">
        <f t="shared" si="12"/>
        <v>0</v>
      </c>
      <c r="J51" s="76">
        <f>+SUM(J39:J49)</f>
        <v>0</v>
      </c>
      <c r="K51" s="76">
        <f t="shared" ref="K51:O51" si="13">+SUM(K39:K49)</f>
        <v>0</v>
      </c>
      <c r="L51" s="76">
        <f t="shared" si="13"/>
        <v>0</v>
      </c>
      <c r="M51" s="76">
        <f t="shared" si="13"/>
        <v>0</v>
      </c>
      <c r="N51" s="76">
        <f t="shared" si="13"/>
        <v>0</v>
      </c>
      <c r="O51" s="76">
        <f t="shared" si="13"/>
        <v>0</v>
      </c>
      <c r="P51" s="76">
        <f t="shared" ref="P51:W51" si="14">+SUM(P38:P49)</f>
        <v>0</v>
      </c>
      <c r="Q51" s="76">
        <f t="shared" si="14"/>
        <v>0</v>
      </c>
      <c r="R51" s="76">
        <f t="shared" si="14"/>
        <v>0</v>
      </c>
      <c r="S51" s="76">
        <f t="shared" si="14"/>
        <v>0</v>
      </c>
      <c r="T51" s="76">
        <f t="shared" si="14"/>
        <v>0</v>
      </c>
      <c r="U51" s="76">
        <f>+SUM(U38:U49)</f>
        <v>0</v>
      </c>
      <c r="V51" s="76">
        <f t="shared" si="14"/>
        <v>0</v>
      </c>
      <c r="W51" s="76">
        <f t="shared" si="14"/>
        <v>0</v>
      </c>
    </row>
    <row r="52" spans="2:23" ht="13" thickTop="1" x14ac:dyDescent="0.25">
      <c r="P52" s="35"/>
    </row>
    <row r="53" spans="2:23" x14ac:dyDescent="0.25">
      <c r="P53" s="35"/>
    </row>
    <row r="54" spans="2:23" x14ac:dyDescent="0.25">
      <c r="P54" s="35"/>
    </row>
    <row r="55" spans="2:23" x14ac:dyDescent="0.25">
      <c r="P55" s="35"/>
    </row>
    <row r="56" spans="2:23" x14ac:dyDescent="0.25">
      <c r="P56" s="35"/>
    </row>
    <row r="57" spans="2:23" x14ac:dyDescent="0.25">
      <c r="B57" s="62" t="s">
        <v>394</v>
      </c>
      <c r="C57" s="63"/>
      <c r="D57" s="63"/>
      <c r="E57" s="64"/>
      <c r="F57" s="65"/>
    </row>
    <row r="58" spans="2:23" x14ac:dyDescent="0.25">
      <c r="B58" s="55"/>
      <c r="C58" s="55"/>
      <c r="D58" s="55"/>
      <c r="E58" s="55"/>
      <c r="F58" s="55"/>
    </row>
    <row r="59" spans="2:23" ht="50" x14ac:dyDescent="0.25">
      <c r="B59" s="66" t="s">
        <v>395</v>
      </c>
      <c r="C59" s="66" t="s">
        <v>396</v>
      </c>
      <c r="D59" s="66" t="s">
        <v>397</v>
      </c>
      <c r="E59" s="66" t="s">
        <v>399</v>
      </c>
      <c r="F59" s="66" t="s">
        <v>398</v>
      </c>
    </row>
    <row r="60" spans="2:23" x14ac:dyDescent="0.25">
      <c r="B60" s="67"/>
      <c r="C60" s="67"/>
      <c r="D60" s="68"/>
      <c r="E60" s="68">
        <f>+J49</f>
        <v>0</v>
      </c>
      <c r="F60" s="68">
        <f>+D60-E60</f>
        <v>0</v>
      </c>
    </row>
    <row r="61" spans="2:23" x14ac:dyDescent="0.25">
      <c r="B61" s="67"/>
      <c r="C61" s="67"/>
      <c r="D61" s="68"/>
      <c r="E61" s="68">
        <f>+K49</f>
        <v>0</v>
      </c>
      <c r="F61" s="68">
        <f>+D61-E61</f>
        <v>0</v>
      </c>
    </row>
    <row r="62" spans="2:23" x14ac:dyDescent="0.25">
      <c r="B62" s="67"/>
      <c r="C62" s="67"/>
      <c r="D62" s="68"/>
      <c r="E62" s="68">
        <f>+M49</f>
        <v>0</v>
      </c>
      <c r="F62" s="68">
        <f>+D62-E62</f>
        <v>0</v>
      </c>
    </row>
    <row r="63" spans="2:23" ht="6" customHeight="1" x14ac:dyDescent="0.25">
      <c r="B63" s="55"/>
      <c r="C63" s="55"/>
      <c r="D63" s="55"/>
      <c r="E63" s="55"/>
      <c r="F63" s="55"/>
    </row>
    <row r="64" spans="2:23" ht="13" thickBot="1" x14ac:dyDescent="0.3">
      <c r="B64" s="55"/>
      <c r="C64" s="55"/>
      <c r="D64" s="69"/>
      <c r="E64" s="55"/>
      <c r="F64" s="70">
        <f>+SUM(F60:F62)</f>
        <v>0</v>
      </c>
    </row>
    <row r="65" spans="1:8" ht="15" thickTop="1" x14ac:dyDescent="0.35">
      <c r="B65"/>
      <c r="C65"/>
      <c r="D65"/>
      <c r="E65"/>
      <c r="F65"/>
    </row>
    <row r="67" spans="1:8" x14ac:dyDescent="0.25">
      <c r="B67" s="26" t="s">
        <v>62</v>
      </c>
      <c r="C67" s="33"/>
    </row>
    <row r="68" spans="1:8" ht="6" customHeight="1" x14ac:dyDescent="0.25">
      <c r="B68" s="26"/>
      <c r="C68" s="33"/>
    </row>
    <row r="69" spans="1:8" ht="16.5" customHeight="1" x14ac:dyDescent="0.25">
      <c r="A69" s="50"/>
      <c r="B69" s="51" t="s">
        <v>366</v>
      </c>
      <c r="H69" s="33"/>
    </row>
    <row r="70" spans="1:8" ht="16.5" customHeight="1" x14ac:dyDescent="0.25">
      <c r="A70" s="52"/>
      <c r="B70" s="51" t="s">
        <v>401</v>
      </c>
      <c r="H70" s="33"/>
    </row>
    <row r="71" spans="1:8" ht="16.5" customHeight="1" x14ac:dyDescent="0.25">
      <c r="A71" s="52"/>
      <c r="B71" s="51" t="s">
        <v>374</v>
      </c>
      <c r="H71" s="33"/>
    </row>
    <row r="72" spans="1:8" ht="16.5" customHeight="1" x14ac:dyDescent="0.25">
      <c r="A72" s="52"/>
      <c r="B72" s="51" t="s">
        <v>373</v>
      </c>
      <c r="H72" s="33"/>
    </row>
    <row r="73" spans="1:8" x14ac:dyDescent="0.25">
      <c r="B73" s="38"/>
      <c r="C73" s="33"/>
    </row>
    <row r="74" spans="1:8" x14ac:dyDescent="0.25">
      <c r="B74" s="27" t="s">
        <v>382</v>
      </c>
      <c r="C74" s="33"/>
    </row>
    <row r="75" spans="1:8" ht="6" customHeight="1" x14ac:dyDescent="0.25">
      <c r="B75" s="26"/>
      <c r="C75" s="33"/>
    </row>
    <row r="76" spans="1:8" ht="18" customHeight="1" x14ac:dyDescent="0.25">
      <c r="A76" s="35" t="s">
        <v>383</v>
      </c>
      <c r="B76" s="51"/>
      <c r="H76" s="33"/>
    </row>
    <row r="77" spans="1:8" x14ac:dyDescent="0.25">
      <c r="A77" s="35" t="s">
        <v>384</v>
      </c>
      <c r="B77" s="27"/>
      <c r="C77" s="33"/>
    </row>
    <row r="78" spans="1:8" x14ac:dyDescent="0.25">
      <c r="A78" s="35" t="s">
        <v>385</v>
      </c>
      <c r="B78" s="27"/>
      <c r="C78" s="33"/>
    </row>
    <row r="79" spans="1:8" x14ac:dyDescent="0.25">
      <c r="A79" s="35"/>
      <c r="B79" s="27"/>
      <c r="C79" s="33"/>
    </row>
    <row r="80" spans="1:8" x14ac:dyDescent="0.25">
      <c r="B80" s="27" t="s">
        <v>354</v>
      </c>
      <c r="C80" s="33"/>
    </row>
    <row r="81" spans="1:8" ht="6" customHeight="1" x14ac:dyDescent="0.25">
      <c r="B81" s="26"/>
      <c r="C81" s="33"/>
    </row>
    <row r="82" spans="1:8" ht="18" customHeight="1" x14ac:dyDescent="0.25">
      <c r="A82" s="35" t="s">
        <v>375</v>
      </c>
      <c r="B82" s="51"/>
      <c r="H82" s="33"/>
    </row>
    <row r="83" spans="1:8" x14ac:dyDescent="0.25">
      <c r="A83" s="35" t="s">
        <v>376</v>
      </c>
      <c r="B83" s="27"/>
      <c r="C83" s="33"/>
    </row>
    <row r="84" spans="1:8" x14ac:dyDescent="0.25">
      <c r="A84" s="35" t="s">
        <v>377</v>
      </c>
      <c r="B84" s="27"/>
      <c r="C84" s="33"/>
    </row>
    <row r="85" spans="1:8" ht="14.5" x14ac:dyDescent="0.35">
      <c r="B85"/>
      <c r="C85" s="33"/>
    </row>
    <row r="86" spans="1:8" x14ac:dyDescent="0.25">
      <c r="B86" s="39" t="s">
        <v>365</v>
      </c>
    </row>
    <row r="87" spans="1:8" ht="6" customHeight="1" x14ac:dyDescent="0.25">
      <c r="B87" s="26"/>
      <c r="C87" s="33"/>
    </row>
    <row r="88" spans="1:8" x14ac:dyDescent="0.25">
      <c r="A88" s="50" t="s">
        <v>378</v>
      </c>
      <c r="B88" s="51"/>
      <c r="H88" s="33"/>
    </row>
    <row r="89" spans="1:8" x14ac:dyDescent="0.25">
      <c r="A89" s="50" t="s">
        <v>380</v>
      </c>
      <c r="B89" s="27"/>
      <c r="C89" s="33"/>
    </row>
    <row r="90" spans="1:8" x14ac:dyDescent="0.25">
      <c r="A90" s="50" t="s">
        <v>379</v>
      </c>
      <c r="B90" s="27"/>
      <c r="C90" s="33"/>
    </row>
    <row r="91" spans="1:8" x14ac:dyDescent="0.25">
      <c r="B91" s="27"/>
    </row>
    <row r="92" spans="1:8" x14ac:dyDescent="0.25">
      <c r="B92" s="27" t="s">
        <v>113</v>
      </c>
    </row>
    <row r="93" spans="1:8" ht="6" customHeight="1" x14ac:dyDescent="0.25">
      <c r="B93" s="26"/>
      <c r="C93" s="33"/>
    </row>
    <row r="94" spans="1:8" x14ac:dyDescent="0.25">
      <c r="A94" s="50"/>
      <c r="B94" s="73" t="s">
        <v>402</v>
      </c>
      <c r="H94" s="33"/>
    </row>
    <row r="95" spans="1:8" x14ac:dyDescent="0.25">
      <c r="B95" s="33"/>
    </row>
  </sheetData>
  <mergeCells count="4">
    <mergeCell ref="B35:B37"/>
    <mergeCell ref="C35:I35"/>
    <mergeCell ref="J35:P35"/>
    <mergeCell ref="Q35:W3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3B7B-1261-4E0A-A401-3C449EEC8A4C}">
  <dimension ref="B2"/>
  <sheetViews>
    <sheetView showGridLines="0" workbookViewId="0">
      <selection activeCell="B2" sqref="B2"/>
    </sheetView>
  </sheetViews>
  <sheetFormatPr baseColWidth="10" defaultRowHeight="14.5" x14ac:dyDescent="0.35"/>
  <cols>
    <col min="1" max="1" width="2" customWidth="1"/>
  </cols>
  <sheetData>
    <row r="2" spans="2:2" x14ac:dyDescent="0.35">
      <c r="B2" s="59" t="s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634F-13A7-4A30-A9BA-0725D022F59F}">
  <dimension ref="B2"/>
  <sheetViews>
    <sheetView showGridLines="0" workbookViewId="0">
      <selection activeCell="N11" sqref="N11"/>
    </sheetView>
  </sheetViews>
  <sheetFormatPr baseColWidth="10" defaultColWidth="3.36328125" defaultRowHeight="14.5" x14ac:dyDescent="0.35"/>
  <sheetData>
    <row r="2" spans="2:2" x14ac:dyDescent="0.35">
      <c r="B2" s="59" t="s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0E29-26BD-4DC6-B6B4-C256597F497B}">
  <dimension ref="A1:L220"/>
  <sheetViews>
    <sheetView showGridLines="0" zoomScaleNormal="100" workbookViewId="0">
      <pane ySplit="1" topLeftCell="A201" activePane="bottomLeft" state="frozen"/>
      <selection activeCell="H44" sqref="H44"/>
      <selection pane="bottomLeft"/>
    </sheetView>
  </sheetViews>
  <sheetFormatPr baseColWidth="10" defaultRowHeight="14.5" x14ac:dyDescent="0.35"/>
  <cols>
    <col min="1" max="1" width="11.6328125" bestFit="1" customWidth="1"/>
    <col min="2" max="2" width="20.08984375" bestFit="1" customWidth="1"/>
    <col min="3" max="5" width="28.36328125" bestFit="1" customWidth="1"/>
    <col min="6" max="6" width="12.6328125" bestFit="1" customWidth="1"/>
    <col min="7" max="15" width="11" bestFit="1" customWidth="1"/>
    <col min="16" max="16" width="12.6328125" bestFit="1" customWidth="1"/>
    <col min="17" max="17" width="9.7265625" bestFit="1" customWidth="1"/>
    <col min="18" max="18" width="12.7265625" bestFit="1" customWidth="1"/>
    <col min="19" max="19" width="8.08984375" bestFit="1" customWidth="1"/>
    <col min="20" max="20" width="12.7265625" bestFit="1" customWidth="1"/>
    <col min="21" max="21" width="8.08984375" bestFit="1" customWidth="1"/>
    <col min="22" max="22" width="12.7265625" bestFit="1" customWidth="1"/>
    <col min="23" max="23" width="8.08984375" bestFit="1" customWidth="1"/>
    <col min="24" max="24" width="12.7265625" bestFit="1" customWidth="1"/>
    <col min="25" max="25" width="8.08984375" bestFit="1" customWidth="1"/>
    <col min="26" max="26" width="12.7265625" bestFit="1" customWidth="1"/>
    <col min="27" max="27" width="9.7265625" bestFit="1" customWidth="1"/>
    <col min="28" max="28" width="12.6328125" bestFit="1" customWidth="1"/>
    <col min="29" max="30" width="12.7265625" bestFit="1" customWidth="1"/>
    <col min="31" max="31" width="7.08984375" bestFit="1" customWidth="1"/>
    <col min="32" max="33" width="12.7265625" bestFit="1" customWidth="1"/>
    <col min="34" max="34" width="7.90625" bestFit="1" customWidth="1"/>
    <col min="35" max="36" width="12.7265625" bestFit="1" customWidth="1"/>
    <col min="37" max="37" width="8.08984375" bestFit="1" customWidth="1"/>
    <col min="38" max="39" width="12.7265625" bestFit="1" customWidth="1"/>
    <col min="40" max="40" width="8.08984375" bestFit="1" customWidth="1"/>
    <col min="41" max="41" width="12.6328125" bestFit="1" customWidth="1"/>
  </cols>
  <sheetData>
    <row r="1" spans="1:12" s="13" customFormat="1" ht="12.5" x14ac:dyDescent="0.25">
      <c r="A1" s="14" t="s">
        <v>64</v>
      </c>
      <c r="B1" s="14" t="s">
        <v>59</v>
      </c>
      <c r="C1" s="15" t="s">
        <v>2</v>
      </c>
      <c r="D1" s="16" t="s">
        <v>60</v>
      </c>
      <c r="E1" s="16" t="s">
        <v>2</v>
      </c>
      <c r="F1" s="14" t="s">
        <v>65</v>
      </c>
      <c r="G1" s="17" t="s">
        <v>66</v>
      </c>
      <c r="H1" s="18" t="s">
        <v>67</v>
      </c>
      <c r="I1" s="18" t="s">
        <v>68</v>
      </c>
      <c r="J1" s="18" t="s">
        <v>61</v>
      </c>
      <c r="K1" s="18" t="s">
        <v>286</v>
      </c>
      <c r="L1" s="19" t="s">
        <v>66</v>
      </c>
    </row>
    <row r="2" spans="1:12" s="13" customFormat="1" ht="12.5" x14ac:dyDescent="0.25">
      <c r="A2" s="20">
        <v>201040211</v>
      </c>
      <c r="B2" s="20"/>
      <c r="C2" s="20">
        <v>2021</v>
      </c>
      <c r="D2" s="20" t="s">
        <v>69</v>
      </c>
      <c r="E2" s="20"/>
      <c r="F2" s="20"/>
      <c r="G2" s="20" t="s">
        <v>70</v>
      </c>
      <c r="H2" s="21"/>
      <c r="I2" s="21"/>
      <c r="J2" s="21">
        <v>0</v>
      </c>
      <c r="K2" s="21">
        <v>0</v>
      </c>
      <c r="L2" s="13" t="s">
        <v>350</v>
      </c>
    </row>
    <row r="3" spans="1:12" s="13" customFormat="1" ht="12.5" x14ac:dyDescent="0.25">
      <c r="A3" s="20">
        <v>201040211</v>
      </c>
      <c r="B3" s="20" t="s">
        <v>70</v>
      </c>
      <c r="C3" s="20" t="s">
        <v>72</v>
      </c>
      <c r="D3" s="20" t="s">
        <v>72</v>
      </c>
      <c r="E3" s="20">
        <f>MONTH(D3)</f>
        <v>2</v>
      </c>
      <c r="F3" s="20">
        <v>8062</v>
      </c>
      <c r="G3" s="20" t="s">
        <v>114</v>
      </c>
      <c r="H3" s="21"/>
      <c r="I3" s="21">
        <v>24.11</v>
      </c>
      <c r="J3" s="21">
        <v>-24.11</v>
      </c>
      <c r="K3" s="21">
        <v>-24.11</v>
      </c>
      <c r="L3" s="13" t="s">
        <v>348</v>
      </c>
    </row>
    <row r="4" spans="1:12" s="13" customFormat="1" ht="12.5" x14ac:dyDescent="0.25">
      <c r="A4" s="20">
        <v>201040211</v>
      </c>
      <c r="B4" s="20" t="s">
        <v>70</v>
      </c>
      <c r="C4" s="20" t="s">
        <v>74</v>
      </c>
      <c r="D4" s="20" t="s">
        <v>74</v>
      </c>
      <c r="E4" s="20">
        <f t="shared" ref="E4:E66" si="0">MONTH(D4)</f>
        <v>3</v>
      </c>
      <c r="F4" s="20">
        <v>8368</v>
      </c>
      <c r="G4" s="20" t="s">
        <v>115</v>
      </c>
      <c r="H4" s="21">
        <v>24.11</v>
      </c>
      <c r="I4" s="21"/>
      <c r="J4" s="21">
        <v>24.11</v>
      </c>
      <c r="K4" s="21">
        <v>0</v>
      </c>
      <c r="L4" s="13" t="s">
        <v>349</v>
      </c>
    </row>
    <row r="5" spans="1:12" s="13" customFormat="1" ht="12.5" x14ac:dyDescent="0.25">
      <c r="A5" s="20">
        <v>201040211</v>
      </c>
      <c r="B5" s="20" t="s">
        <v>70</v>
      </c>
      <c r="C5" s="20" t="s">
        <v>82</v>
      </c>
      <c r="D5" s="20" t="s">
        <v>82</v>
      </c>
      <c r="E5" s="20">
        <f t="shared" si="0"/>
        <v>5</v>
      </c>
      <c r="F5" s="20">
        <v>8583</v>
      </c>
      <c r="G5" s="20" t="s">
        <v>116</v>
      </c>
      <c r="H5" s="21"/>
      <c r="I5" s="21">
        <v>12.5</v>
      </c>
      <c r="J5" s="21">
        <v>-12.5</v>
      </c>
      <c r="K5" s="21">
        <v>-12.5</v>
      </c>
      <c r="L5" s="13" t="s">
        <v>348</v>
      </c>
    </row>
    <row r="6" spans="1:12" s="13" customFormat="1" ht="12.5" x14ac:dyDescent="0.25">
      <c r="A6" s="20">
        <v>201040211</v>
      </c>
      <c r="B6" s="20" t="s">
        <v>70</v>
      </c>
      <c r="C6" s="20" t="s">
        <v>117</v>
      </c>
      <c r="D6" s="20" t="s">
        <v>117</v>
      </c>
      <c r="E6" s="20">
        <f t="shared" si="0"/>
        <v>6</v>
      </c>
      <c r="F6" s="20">
        <v>8885</v>
      </c>
      <c r="G6" s="20" t="s">
        <v>118</v>
      </c>
      <c r="H6" s="21">
        <v>12.5</v>
      </c>
      <c r="I6" s="21"/>
      <c r="J6" s="21">
        <v>12.5</v>
      </c>
      <c r="K6" s="21">
        <v>0</v>
      </c>
      <c r="L6" s="13" t="s">
        <v>349</v>
      </c>
    </row>
    <row r="7" spans="1:12" s="13" customFormat="1" ht="12.5" x14ac:dyDescent="0.25">
      <c r="A7" s="20">
        <v>201040211</v>
      </c>
      <c r="B7" s="20" t="s">
        <v>70</v>
      </c>
      <c r="C7" s="20" t="s">
        <v>295</v>
      </c>
      <c r="D7" s="20" t="s">
        <v>295</v>
      </c>
      <c r="E7" s="20">
        <f t="shared" si="0"/>
        <v>11</v>
      </c>
      <c r="F7" s="20">
        <v>9474</v>
      </c>
      <c r="G7" s="20" t="s">
        <v>298</v>
      </c>
      <c r="H7" s="21"/>
      <c r="I7" s="21">
        <v>8.84</v>
      </c>
      <c r="J7" s="21">
        <v>-8.84</v>
      </c>
      <c r="K7" s="21">
        <v>-8.84</v>
      </c>
      <c r="L7" s="13" t="s">
        <v>348</v>
      </c>
    </row>
    <row r="8" spans="1:12" s="13" customFormat="1" ht="12.5" x14ac:dyDescent="0.25">
      <c r="A8" s="20">
        <v>201040211</v>
      </c>
      <c r="B8" s="20" t="s">
        <v>70</v>
      </c>
      <c r="C8" s="20" t="s">
        <v>343</v>
      </c>
      <c r="D8" s="20" t="s">
        <v>343</v>
      </c>
      <c r="E8" s="20">
        <f t="shared" si="0"/>
        <v>11</v>
      </c>
      <c r="F8" s="20">
        <v>9547</v>
      </c>
      <c r="G8" s="20" t="s">
        <v>344</v>
      </c>
      <c r="H8" s="21"/>
      <c r="I8" s="21">
        <v>10.37</v>
      </c>
      <c r="J8" s="21">
        <v>-10.37</v>
      </c>
      <c r="K8" s="21">
        <v>-19.21</v>
      </c>
      <c r="L8" s="13" t="s">
        <v>348</v>
      </c>
    </row>
    <row r="9" spans="1:12" s="13" customFormat="1" ht="12.5" x14ac:dyDescent="0.25">
      <c r="A9" s="20">
        <v>201040211</v>
      </c>
      <c r="B9" s="20" t="s">
        <v>70</v>
      </c>
      <c r="C9" s="20" t="s">
        <v>334</v>
      </c>
      <c r="D9" s="20" t="s">
        <v>334</v>
      </c>
      <c r="E9" s="20">
        <f t="shared" si="0"/>
        <v>12</v>
      </c>
      <c r="F9" s="20">
        <v>9726</v>
      </c>
      <c r="G9" s="20" t="s">
        <v>336</v>
      </c>
      <c r="H9" s="21">
        <v>19.21</v>
      </c>
      <c r="I9" s="21"/>
      <c r="J9" s="21">
        <v>19.21</v>
      </c>
      <c r="K9" s="21">
        <v>0</v>
      </c>
      <c r="L9" s="13" t="s">
        <v>349</v>
      </c>
    </row>
    <row r="10" spans="1:12" s="13" customFormat="1" ht="12.5" x14ac:dyDescent="0.25">
      <c r="A10" s="20">
        <v>201040212</v>
      </c>
      <c r="B10" s="20"/>
      <c r="C10" s="20">
        <v>2021</v>
      </c>
      <c r="D10" s="20" t="s">
        <v>69</v>
      </c>
      <c r="E10" s="20"/>
      <c r="F10" s="20"/>
      <c r="G10" s="20" t="s">
        <v>88</v>
      </c>
      <c r="H10" s="21"/>
      <c r="I10" s="21"/>
      <c r="J10" s="21">
        <v>-3297.96</v>
      </c>
      <c r="K10" s="21">
        <v>-3297.96</v>
      </c>
      <c r="L10" s="13" t="s">
        <v>350</v>
      </c>
    </row>
    <row r="11" spans="1:12" s="13" customFormat="1" ht="12.5" x14ac:dyDescent="0.25">
      <c r="A11" s="20">
        <v>201040212</v>
      </c>
      <c r="B11" s="20" t="s">
        <v>88</v>
      </c>
      <c r="C11" s="20" t="s">
        <v>119</v>
      </c>
      <c r="D11" s="20" t="s">
        <v>120</v>
      </c>
      <c r="E11" s="20">
        <f t="shared" si="0"/>
        <v>1</v>
      </c>
      <c r="F11" s="20">
        <v>8007</v>
      </c>
      <c r="G11" s="20" t="s">
        <v>121</v>
      </c>
      <c r="H11" s="21"/>
      <c r="I11" s="21">
        <v>17.25</v>
      </c>
      <c r="J11" s="21">
        <v>-17.25</v>
      </c>
      <c r="K11" s="21">
        <v>-3315.21</v>
      </c>
      <c r="L11" s="13" t="s">
        <v>348</v>
      </c>
    </row>
    <row r="12" spans="1:12" s="13" customFormat="1" ht="12.5" x14ac:dyDescent="0.25">
      <c r="A12" s="20">
        <v>201040212</v>
      </c>
      <c r="B12" s="20" t="s">
        <v>88</v>
      </c>
      <c r="C12" s="20" t="s">
        <v>119</v>
      </c>
      <c r="D12" s="20" t="s">
        <v>120</v>
      </c>
      <c r="E12" s="20">
        <f t="shared" si="0"/>
        <v>1</v>
      </c>
      <c r="F12" s="20">
        <v>8008</v>
      </c>
      <c r="G12" s="20" t="s">
        <v>122</v>
      </c>
      <c r="H12" s="21"/>
      <c r="I12" s="21">
        <v>12.01</v>
      </c>
      <c r="J12" s="21">
        <v>-12.01</v>
      </c>
      <c r="K12" s="21">
        <v>-3327.22</v>
      </c>
      <c r="L12" s="13" t="s">
        <v>348</v>
      </c>
    </row>
    <row r="13" spans="1:12" s="13" customFormat="1" ht="12.5" x14ac:dyDescent="0.25">
      <c r="A13" s="20">
        <v>201040212</v>
      </c>
      <c r="B13" s="20" t="s">
        <v>88</v>
      </c>
      <c r="C13" s="20" t="s">
        <v>71</v>
      </c>
      <c r="D13" s="20" t="s">
        <v>71</v>
      </c>
      <c r="E13" s="20">
        <f t="shared" si="0"/>
        <v>1</v>
      </c>
      <c r="F13" s="20">
        <v>7942</v>
      </c>
      <c r="G13" s="20" t="s">
        <v>123</v>
      </c>
      <c r="H13" s="21"/>
      <c r="I13" s="21">
        <v>10.92</v>
      </c>
      <c r="J13" s="21">
        <v>-10.92</v>
      </c>
      <c r="K13" s="21">
        <v>-3338.14</v>
      </c>
      <c r="L13" s="13" t="s">
        <v>348</v>
      </c>
    </row>
    <row r="14" spans="1:12" s="13" customFormat="1" ht="12.5" x14ac:dyDescent="0.25">
      <c r="A14" s="20">
        <v>201040212</v>
      </c>
      <c r="B14" s="20" t="s">
        <v>88</v>
      </c>
      <c r="C14" s="20" t="s">
        <v>89</v>
      </c>
      <c r="D14" s="20" t="s">
        <v>89</v>
      </c>
      <c r="E14" s="20">
        <f t="shared" si="0"/>
        <v>1</v>
      </c>
      <c r="F14" s="20">
        <v>8000</v>
      </c>
      <c r="G14" s="20" t="s">
        <v>124</v>
      </c>
      <c r="H14" s="21"/>
      <c r="I14" s="21">
        <v>17.14</v>
      </c>
      <c r="J14" s="21">
        <v>-17.14</v>
      </c>
      <c r="K14" s="21">
        <v>-3355.28</v>
      </c>
      <c r="L14" s="13" t="s">
        <v>348</v>
      </c>
    </row>
    <row r="15" spans="1:12" s="13" customFormat="1" ht="12.5" x14ac:dyDescent="0.25">
      <c r="A15" s="20">
        <v>201040212</v>
      </c>
      <c r="B15" s="20" t="s">
        <v>88</v>
      </c>
      <c r="C15" s="20" t="s">
        <v>90</v>
      </c>
      <c r="D15" s="20" t="s">
        <v>90</v>
      </c>
      <c r="E15" s="20">
        <f t="shared" si="0"/>
        <v>1</v>
      </c>
      <c r="F15" s="20">
        <v>7944</v>
      </c>
      <c r="G15" s="20" t="s">
        <v>125</v>
      </c>
      <c r="H15" s="21"/>
      <c r="I15" s="21">
        <v>19.32</v>
      </c>
      <c r="J15" s="21">
        <v>-19.32</v>
      </c>
      <c r="K15" s="21">
        <v>-3374.6</v>
      </c>
      <c r="L15" s="13" t="s">
        <v>348</v>
      </c>
    </row>
    <row r="16" spans="1:12" s="13" customFormat="1" ht="12.5" x14ac:dyDescent="0.25">
      <c r="A16" s="20">
        <v>201040212</v>
      </c>
      <c r="B16" s="20" t="s">
        <v>88</v>
      </c>
      <c r="C16" s="20" t="s">
        <v>91</v>
      </c>
      <c r="D16" s="20" t="s">
        <v>91</v>
      </c>
      <c r="E16" s="20">
        <f t="shared" si="0"/>
        <v>1</v>
      </c>
      <c r="F16" s="20">
        <v>7995</v>
      </c>
      <c r="G16" s="20" t="s">
        <v>126</v>
      </c>
      <c r="H16" s="21"/>
      <c r="I16" s="21">
        <v>6.72</v>
      </c>
      <c r="J16" s="21">
        <v>-6.72</v>
      </c>
      <c r="K16" s="21">
        <v>-3381.32</v>
      </c>
      <c r="L16" s="13" t="s">
        <v>348</v>
      </c>
    </row>
    <row r="17" spans="1:12" s="13" customFormat="1" ht="12.5" x14ac:dyDescent="0.25">
      <c r="A17" s="20">
        <v>201040212</v>
      </c>
      <c r="B17" s="20" t="s">
        <v>88</v>
      </c>
      <c r="C17" s="20" t="s">
        <v>91</v>
      </c>
      <c r="D17" s="20" t="s">
        <v>91</v>
      </c>
      <c r="E17" s="20">
        <f t="shared" si="0"/>
        <v>1</v>
      </c>
      <c r="F17" s="20">
        <v>8011</v>
      </c>
      <c r="G17" s="20" t="s">
        <v>127</v>
      </c>
      <c r="H17" s="21"/>
      <c r="I17" s="21">
        <v>33.6</v>
      </c>
      <c r="J17" s="21">
        <v>-33.6</v>
      </c>
      <c r="K17" s="21">
        <v>-3414.92</v>
      </c>
      <c r="L17" s="13" t="s">
        <v>348</v>
      </c>
    </row>
    <row r="18" spans="1:12" s="13" customFormat="1" ht="12.5" x14ac:dyDescent="0.25">
      <c r="A18" s="20">
        <v>201040212</v>
      </c>
      <c r="B18" s="20" t="s">
        <v>88</v>
      </c>
      <c r="C18" s="20" t="s">
        <v>92</v>
      </c>
      <c r="D18" s="20" t="s">
        <v>92</v>
      </c>
      <c r="E18" s="20">
        <f t="shared" si="0"/>
        <v>1</v>
      </c>
      <c r="F18" s="20">
        <v>8071</v>
      </c>
      <c r="G18" s="20" t="s">
        <v>128</v>
      </c>
      <c r="H18" s="21">
        <v>3297.96</v>
      </c>
      <c r="I18" s="21"/>
      <c r="J18" s="21">
        <v>3297.96</v>
      </c>
      <c r="K18" s="21">
        <v>-116.96</v>
      </c>
      <c r="L18" s="13" t="s">
        <v>349</v>
      </c>
    </row>
    <row r="19" spans="1:12" s="13" customFormat="1" ht="12.5" x14ac:dyDescent="0.25">
      <c r="A19" s="20">
        <v>201040212</v>
      </c>
      <c r="B19" s="20" t="s">
        <v>88</v>
      </c>
      <c r="C19" s="20" t="s">
        <v>93</v>
      </c>
      <c r="D19" s="20" t="s">
        <v>93</v>
      </c>
      <c r="E19" s="20">
        <f t="shared" si="0"/>
        <v>1</v>
      </c>
      <c r="F19" s="20">
        <v>8020</v>
      </c>
      <c r="G19" s="20" t="s">
        <v>129</v>
      </c>
      <c r="H19" s="21"/>
      <c r="I19" s="21">
        <v>13.86</v>
      </c>
      <c r="J19" s="21">
        <v>-13.86</v>
      </c>
      <c r="K19" s="21">
        <v>-130.82</v>
      </c>
      <c r="L19" s="13" t="s">
        <v>348</v>
      </c>
    </row>
    <row r="20" spans="1:12" s="13" customFormat="1" ht="12.5" x14ac:dyDescent="0.25">
      <c r="A20" s="20">
        <v>201040212</v>
      </c>
      <c r="B20" s="20" t="s">
        <v>88</v>
      </c>
      <c r="C20" s="20" t="s">
        <v>94</v>
      </c>
      <c r="D20" s="20" t="s">
        <v>94</v>
      </c>
      <c r="E20" s="20">
        <f t="shared" si="0"/>
        <v>1</v>
      </c>
      <c r="F20" s="20">
        <v>7970</v>
      </c>
      <c r="G20" s="20" t="s">
        <v>130</v>
      </c>
      <c r="H20" s="21"/>
      <c r="I20" s="21">
        <v>34.86</v>
      </c>
      <c r="J20" s="21">
        <v>-34.86</v>
      </c>
      <c r="K20" s="21">
        <v>-165.68</v>
      </c>
      <c r="L20" s="13" t="s">
        <v>348</v>
      </c>
    </row>
    <row r="21" spans="1:12" s="13" customFormat="1" ht="12.5" x14ac:dyDescent="0.25">
      <c r="A21" s="20">
        <v>201040212</v>
      </c>
      <c r="B21" s="20" t="s">
        <v>88</v>
      </c>
      <c r="C21" s="20" t="s">
        <v>131</v>
      </c>
      <c r="D21" s="20" t="s">
        <v>131</v>
      </c>
      <c r="E21" s="20">
        <f t="shared" si="0"/>
        <v>1</v>
      </c>
      <c r="F21" s="20">
        <v>8021</v>
      </c>
      <c r="G21" s="20" t="s">
        <v>132</v>
      </c>
      <c r="H21" s="21"/>
      <c r="I21" s="21">
        <v>50.4</v>
      </c>
      <c r="J21" s="21">
        <v>-50.4</v>
      </c>
      <c r="K21" s="21">
        <v>-216.08</v>
      </c>
      <c r="L21" s="13" t="s">
        <v>348</v>
      </c>
    </row>
    <row r="22" spans="1:12" s="13" customFormat="1" ht="12.5" x14ac:dyDescent="0.25">
      <c r="A22" s="20">
        <v>201040212</v>
      </c>
      <c r="B22" s="20" t="s">
        <v>88</v>
      </c>
      <c r="C22" s="20" t="s">
        <v>133</v>
      </c>
      <c r="D22" s="20" t="s">
        <v>133</v>
      </c>
      <c r="E22" s="20">
        <f t="shared" si="0"/>
        <v>1</v>
      </c>
      <c r="F22" s="20">
        <v>8057</v>
      </c>
      <c r="G22" s="20" t="s">
        <v>134</v>
      </c>
      <c r="H22" s="21"/>
      <c r="I22" s="21">
        <v>16.8</v>
      </c>
      <c r="J22" s="21">
        <v>-16.8</v>
      </c>
      <c r="K22" s="21">
        <v>-232.88</v>
      </c>
      <c r="L22" s="13" t="s">
        <v>348</v>
      </c>
    </row>
    <row r="23" spans="1:12" s="13" customFormat="1" ht="12.5" x14ac:dyDescent="0.25">
      <c r="A23" s="20">
        <v>201040212</v>
      </c>
      <c r="B23" s="20" t="s">
        <v>88</v>
      </c>
      <c r="C23" s="20" t="s">
        <v>133</v>
      </c>
      <c r="D23" s="20" t="s">
        <v>133</v>
      </c>
      <c r="E23" s="20">
        <f t="shared" si="0"/>
        <v>1</v>
      </c>
      <c r="F23" s="20">
        <v>8083</v>
      </c>
      <c r="G23" s="20" t="s">
        <v>135</v>
      </c>
      <c r="H23" s="21"/>
      <c r="I23" s="21">
        <v>40.32</v>
      </c>
      <c r="J23" s="21">
        <v>-40.32</v>
      </c>
      <c r="K23" s="21">
        <v>-273.2</v>
      </c>
      <c r="L23" s="13" t="s">
        <v>348</v>
      </c>
    </row>
    <row r="24" spans="1:12" s="13" customFormat="1" ht="12.5" x14ac:dyDescent="0.25">
      <c r="A24" s="20">
        <v>201040212</v>
      </c>
      <c r="B24" s="20" t="s">
        <v>88</v>
      </c>
      <c r="C24" s="20" t="s">
        <v>95</v>
      </c>
      <c r="D24" s="20" t="s">
        <v>95</v>
      </c>
      <c r="E24" s="20">
        <f t="shared" si="0"/>
        <v>2</v>
      </c>
      <c r="F24" s="20">
        <v>8086</v>
      </c>
      <c r="G24" s="20" t="s">
        <v>136</v>
      </c>
      <c r="H24" s="21"/>
      <c r="I24" s="21">
        <v>33.6</v>
      </c>
      <c r="J24" s="21">
        <v>-33.6</v>
      </c>
      <c r="K24" s="21">
        <v>-306.8</v>
      </c>
      <c r="L24" s="13" t="s">
        <v>348</v>
      </c>
    </row>
    <row r="25" spans="1:12" s="13" customFormat="1" ht="12.5" x14ac:dyDescent="0.25">
      <c r="A25" s="20">
        <v>201040212</v>
      </c>
      <c r="B25" s="20" t="s">
        <v>88</v>
      </c>
      <c r="C25" s="20" t="s">
        <v>137</v>
      </c>
      <c r="D25" s="20" t="s">
        <v>137</v>
      </c>
      <c r="E25" s="20">
        <f t="shared" si="0"/>
        <v>2</v>
      </c>
      <c r="F25" s="20">
        <v>8108</v>
      </c>
      <c r="G25" s="20" t="s">
        <v>138</v>
      </c>
      <c r="H25" s="21"/>
      <c r="I25" s="21">
        <v>580.44000000000005</v>
      </c>
      <c r="J25" s="21">
        <v>-580.44000000000005</v>
      </c>
      <c r="K25" s="21">
        <v>-887.24</v>
      </c>
      <c r="L25" s="13" t="s">
        <v>348</v>
      </c>
    </row>
    <row r="26" spans="1:12" s="13" customFormat="1" ht="12.5" x14ac:dyDescent="0.25">
      <c r="A26" s="20">
        <v>201040212</v>
      </c>
      <c r="B26" s="20" t="s">
        <v>88</v>
      </c>
      <c r="C26" s="20" t="s">
        <v>96</v>
      </c>
      <c r="D26" s="20" t="s">
        <v>96</v>
      </c>
      <c r="E26" s="20">
        <f t="shared" si="0"/>
        <v>2</v>
      </c>
      <c r="F26" s="20">
        <v>8113</v>
      </c>
      <c r="G26" s="20" t="s">
        <v>139</v>
      </c>
      <c r="H26" s="21"/>
      <c r="I26" s="21">
        <v>5.04</v>
      </c>
      <c r="J26" s="21">
        <v>-5.04</v>
      </c>
      <c r="K26" s="21">
        <v>-892.28</v>
      </c>
      <c r="L26" s="13" t="s">
        <v>348</v>
      </c>
    </row>
    <row r="27" spans="1:12" s="13" customFormat="1" ht="12.5" x14ac:dyDescent="0.25">
      <c r="A27" s="20">
        <v>201040212</v>
      </c>
      <c r="B27" s="20" t="s">
        <v>88</v>
      </c>
      <c r="C27" s="20" t="s">
        <v>96</v>
      </c>
      <c r="D27" s="20" t="s">
        <v>96</v>
      </c>
      <c r="E27" s="20">
        <f t="shared" si="0"/>
        <v>2</v>
      </c>
      <c r="F27" s="20">
        <v>8114</v>
      </c>
      <c r="G27" s="20" t="s">
        <v>140</v>
      </c>
      <c r="H27" s="21"/>
      <c r="I27" s="21">
        <v>10.08</v>
      </c>
      <c r="J27" s="21">
        <v>-10.08</v>
      </c>
      <c r="K27" s="21">
        <v>-902.36</v>
      </c>
      <c r="L27" s="13" t="s">
        <v>348</v>
      </c>
    </row>
    <row r="28" spans="1:12" s="13" customFormat="1" ht="12.5" x14ac:dyDescent="0.25">
      <c r="A28" s="20">
        <v>201040212</v>
      </c>
      <c r="B28" s="20" t="s">
        <v>88</v>
      </c>
      <c r="C28" s="20" t="s">
        <v>96</v>
      </c>
      <c r="D28" s="20" t="s">
        <v>96</v>
      </c>
      <c r="E28" s="20">
        <f t="shared" si="0"/>
        <v>2</v>
      </c>
      <c r="F28" s="20">
        <v>8115</v>
      </c>
      <c r="G28" s="20" t="s">
        <v>141</v>
      </c>
      <c r="H28" s="21"/>
      <c r="I28" s="21">
        <v>10.08</v>
      </c>
      <c r="J28" s="21">
        <v>-10.08</v>
      </c>
      <c r="K28" s="21">
        <v>-912.44</v>
      </c>
      <c r="L28" s="13" t="s">
        <v>348</v>
      </c>
    </row>
    <row r="29" spans="1:12" s="13" customFormat="1" ht="12.5" x14ac:dyDescent="0.25">
      <c r="A29" s="20">
        <v>201040212</v>
      </c>
      <c r="B29" s="20" t="s">
        <v>88</v>
      </c>
      <c r="C29" s="20" t="s">
        <v>142</v>
      </c>
      <c r="D29" s="20" t="s">
        <v>142</v>
      </c>
      <c r="E29" s="20">
        <f t="shared" si="0"/>
        <v>2</v>
      </c>
      <c r="F29" s="20">
        <v>8093</v>
      </c>
      <c r="G29" s="20" t="s">
        <v>143</v>
      </c>
      <c r="H29" s="21"/>
      <c r="I29" s="21">
        <v>11.97</v>
      </c>
      <c r="J29" s="21">
        <v>-11.97</v>
      </c>
      <c r="K29" s="21">
        <v>-924.41</v>
      </c>
      <c r="L29" s="13" t="s">
        <v>348</v>
      </c>
    </row>
    <row r="30" spans="1:12" s="13" customFormat="1" ht="12.5" x14ac:dyDescent="0.25">
      <c r="A30" s="20">
        <v>201040212</v>
      </c>
      <c r="B30" s="20" t="s">
        <v>88</v>
      </c>
      <c r="C30" s="20" t="s">
        <v>73</v>
      </c>
      <c r="D30" s="20" t="s">
        <v>73</v>
      </c>
      <c r="E30" s="20">
        <f t="shared" si="0"/>
        <v>2</v>
      </c>
      <c r="F30" s="20">
        <v>8311</v>
      </c>
      <c r="G30" s="20" t="s">
        <v>144</v>
      </c>
      <c r="H30" s="21">
        <v>273.2</v>
      </c>
      <c r="I30" s="21"/>
      <c r="J30" s="21">
        <v>273.2</v>
      </c>
      <c r="K30" s="21">
        <v>-651.21</v>
      </c>
      <c r="L30" s="13" t="s">
        <v>349</v>
      </c>
    </row>
    <row r="31" spans="1:12" s="13" customFormat="1" ht="12.5" x14ac:dyDescent="0.25">
      <c r="A31" s="20">
        <v>201040212</v>
      </c>
      <c r="B31" s="20" t="s">
        <v>88</v>
      </c>
      <c r="C31" s="20" t="s">
        <v>145</v>
      </c>
      <c r="D31" s="20" t="s">
        <v>145</v>
      </c>
      <c r="E31" s="20">
        <f t="shared" si="0"/>
        <v>2</v>
      </c>
      <c r="F31" s="20">
        <v>8262</v>
      </c>
      <c r="G31" s="20" t="s">
        <v>146</v>
      </c>
      <c r="H31" s="21"/>
      <c r="I31" s="21">
        <v>10.08</v>
      </c>
      <c r="J31" s="21">
        <v>-10.08</v>
      </c>
      <c r="K31" s="21">
        <v>-661.29</v>
      </c>
      <c r="L31" s="13" t="s">
        <v>348</v>
      </c>
    </row>
    <row r="32" spans="1:12" s="13" customFormat="1" ht="12.5" x14ac:dyDescent="0.25">
      <c r="A32" s="20">
        <v>201040212</v>
      </c>
      <c r="B32" s="20" t="s">
        <v>88</v>
      </c>
      <c r="C32" s="20" t="s">
        <v>147</v>
      </c>
      <c r="D32" s="20" t="s">
        <v>147</v>
      </c>
      <c r="E32" s="20">
        <f t="shared" si="0"/>
        <v>3</v>
      </c>
      <c r="F32" s="20">
        <v>8284</v>
      </c>
      <c r="G32" s="20" t="s">
        <v>148</v>
      </c>
      <c r="H32" s="21"/>
      <c r="I32" s="21">
        <v>33.6</v>
      </c>
      <c r="J32" s="21">
        <v>-33.6</v>
      </c>
      <c r="K32" s="21">
        <v>-694.89</v>
      </c>
      <c r="L32" s="13" t="s">
        <v>348</v>
      </c>
    </row>
    <row r="33" spans="1:12" s="13" customFormat="1" ht="12.5" x14ac:dyDescent="0.25">
      <c r="A33" s="20">
        <v>201040212</v>
      </c>
      <c r="B33" s="20" t="s">
        <v>88</v>
      </c>
      <c r="C33" s="20" t="s">
        <v>149</v>
      </c>
      <c r="D33" s="20" t="s">
        <v>149</v>
      </c>
      <c r="E33" s="20">
        <f t="shared" si="0"/>
        <v>3</v>
      </c>
      <c r="F33" s="20">
        <v>8288</v>
      </c>
      <c r="G33" s="20" t="s">
        <v>150</v>
      </c>
      <c r="H33" s="21"/>
      <c r="I33" s="21">
        <v>0.95</v>
      </c>
      <c r="J33" s="21">
        <v>-0.95</v>
      </c>
      <c r="K33" s="21">
        <v>-695.84</v>
      </c>
      <c r="L33" s="13" t="s">
        <v>348</v>
      </c>
    </row>
    <row r="34" spans="1:12" s="13" customFormat="1" ht="12.5" x14ac:dyDescent="0.25">
      <c r="A34" s="20">
        <v>201040212</v>
      </c>
      <c r="B34" s="20" t="s">
        <v>88</v>
      </c>
      <c r="C34" s="20" t="s">
        <v>149</v>
      </c>
      <c r="D34" s="20" t="s">
        <v>149</v>
      </c>
      <c r="E34" s="20">
        <f t="shared" si="0"/>
        <v>3</v>
      </c>
      <c r="F34" s="20">
        <v>8289</v>
      </c>
      <c r="G34" s="20" t="s">
        <v>151</v>
      </c>
      <c r="H34" s="21"/>
      <c r="I34" s="21">
        <v>36.4</v>
      </c>
      <c r="J34" s="21">
        <v>-36.4</v>
      </c>
      <c r="K34" s="21">
        <v>-732.24</v>
      </c>
      <c r="L34" s="13" t="s">
        <v>348</v>
      </c>
    </row>
    <row r="35" spans="1:12" s="13" customFormat="1" ht="12.5" x14ac:dyDescent="0.25">
      <c r="A35" s="20">
        <v>201040212</v>
      </c>
      <c r="B35" s="20" t="s">
        <v>88</v>
      </c>
      <c r="C35" s="20" t="s">
        <v>152</v>
      </c>
      <c r="D35" s="20" t="s">
        <v>152</v>
      </c>
      <c r="E35" s="20">
        <f t="shared" si="0"/>
        <v>3</v>
      </c>
      <c r="F35" s="20">
        <v>8290</v>
      </c>
      <c r="G35" s="20" t="s">
        <v>153</v>
      </c>
      <c r="H35" s="21"/>
      <c r="I35" s="21">
        <v>2.5099999999999998</v>
      </c>
      <c r="J35" s="21">
        <v>-2.5099999999999998</v>
      </c>
      <c r="K35" s="21">
        <v>-734.75</v>
      </c>
      <c r="L35" s="13" t="s">
        <v>348</v>
      </c>
    </row>
    <row r="36" spans="1:12" s="13" customFormat="1" ht="12.5" x14ac:dyDescent="0.25">
      <c r="A36" s="20">
        <v>201040212</v>
      </c>
      <c r="B36" s="20" t="s">
        <v>88</v>
      </c>
      <c r="C36" s="20" t="s">
        <v>152</v>
      </c>
      <c r="D36" s="20" t="s">
        <v>152</v>
      </c>
      <c r="E36" s="20">
        <f t="shared" si="0"/>
        <v>3</v>
      </c>
      <c r="F36" s="20">
        <v>8291</v>
      </c>
      <c r="G36" s="20" t="s">
        <v>154</v>
      </c>
      <c r="H36" s="21"/>
      <c r="I36" s="21">
        <v>15.96</v>
      </c>
      <c r="J36" s="21">
        <v>-15.96</v>
      </c>
      <c r="K36" s="21">
        <v>-750.71</v>
      </c>
      <c r="L36" s="13" t="s">
        <v>348</v>
      </c>
    </row>
    <row r="37" spans="1:12" s="13" customFormat="1" ht="12.5" x14ac:dyDescent="0.25">
      <c r="A37" s="20">
        <v>201040212</v>
      </c>
      <c r="B37" s="20" t="s">
        <v>88</v>
      </c>
      <c r="C37" s="20" t="s">
        <v>155</v>
      </c>
      <c r="D37" s="20" t="s">
        <v>155</v>
      </c>
      <c r="E37" s="20">
        <f t="shared" si="0"/>
        <v>3</v>
      </c>
      <c r="F37" s="20">
        <v>8348</v>
      </c>
      <c r="G37" s="20" t="s">
        <v>156</v>
      </c>
      <c r="H37" s="21"/>
      <c r="I37" s="21">
        <v>33.6</v>
      </c>
      <c r="J37" s="21">
        <v>-33.6</v>
      </c>
      <c r="K37" s="21">
        <v>-784.31</v>
      </c>
      <c r="L37" s="13" t="s">
        <v>348</v>
      </c>
    </row>
    <row r="38" spans="1:12" s="13" customFormat="1" ht="12.5" x14ac:dyDescent="0.25">
      <c r="A38" s="20">
        <v>201040212</v>
      </c>
      <c r="B38" s="20" t="s">
        <v>88</v>
      </c>
      <c r="C38" s="20" t="s">
        <v>97</v>
      </c>
      <c r="D38" s="20" t="s">
        <v>97</v>
      </c>
      <c r="E38" s="20">
        <f t="shared" si="0"/>
        <v>3</v>
      </c>
      <c r="F38" s="20">
        <v>8351</v>
      </c>
      <c r="G38" s="20" t="s">
        <v>157</v>
      </c>
      <c r="H38" s="21"/>
      <c r="I38" s="21">
        <v>168</v>
      </c>
      <c r="J38" s="21">
        <v>-168</v>
      </c>
      <c r="K38" s="21">
        <v>-952.31</v>
      </c>
      <c r="L38" s="13" t="s">
        <v>348</v>
      </c>
    </row>
    <row r="39" spans="1:12" s="13" customFormat="1" ht="12.5" x14ac:dyDescent="0.25">
      <c r="A39" s="20">
        <v>201040212</v>
      </c>
      <c r="B39" s="20" t="s">
        <v>88</v>
      </c>
      <c r="C39" s="20" t="s">
        <v>98</v>
      </c>
      <c r="D39" s="20" t="s">
        <v>158</v>
      </c>
      <c r="E39" s="20">
        <f t="shared" si="0"/>
        <v>3</v>
      </c>
      <c r="F39" s="20">
        <v>8322</v>
      </c>
      <c r="G39" s="20" t="s">
        <v>159</v>
      </c>
      <c r="H39" s="21"/>
      <c r="I39" s="21">
        <v>41.64</v>
      </c>
      <c r="J39" s="21">
        <v>-41.64</v>
      </c>
      <c r="K39" s="21">
        <v>-993.95</v>
      </c>
      <c r="L39" s="13" t="s">
        <v>348</v>
      </c>
    </row>
    <row r="40" spans="1:12" s="13" customFormat="1" ht="12.5" x14ac:dyDescent="0.25">
      <c r="A40" s="20">
        <v>201040212</v>
      </c>
      <c r="B40" s="20" t="s">
        <v>88</v>
      </c>
      <c r="C40" s="20" t="s">
        <v>98</v>
      </c>
      <c r="D40" s="20" t="s">
        <v>98</v>
      </c>
      <c r="E40" s="20">
        <f t="shared" si="0"/>
        <v>3</v>
      </c>
      <c r="F40" s="20">
        <v>8321</v>
      </c>
      <c r="G40" s="20" t="s">
        <v>160</v>
      </c>
      <c r="H40" s="21"/>
      <c r="I40" s="21">
        <v>50.4</v>
      </c>
      <c r="J40" s="21">
        <v>-50.4</v>
      </c>
      <c r="K40" s="21">
        <v>-1044.3499999999999</v>
      </c>
      <c r="L40" s="13" t="s">
        <v>348</v>
      </c>
    </row>
    <row r="41" spans="1:12" s="13" customFormat="1" ht="12.5" x14ac:dyDescent="0.25">
      <c r="A41" s="20">
        <v>201040212</v>
      </c>
      <c r="B41" s="20" t="s">
        <v>88</v>
      </c>
      <c r="C41" s="20" t="s">
        <v>106</v>
      </c>
      <c r="D41" s="20" t="s">
        <v>106</v>
      </c>
      <c r="E41" s="20">
        <f t="shared" si="0"/>
        <v>3</v>
      </c>
      <c r="F41" s="20">
        <v>8334</v>
      </c>
      <c r="G41" s="20" t="s">
        <v>161</v>
      </c>
      <c r="H41" s="21"/>
      <c r="I41" s="21">
        <v>5.04</v>
      </c>
      <c r="J41" s="21">
        <v>-5.04</v>
      </c>
      <c r="K41" s="21">
        <v>-1049.3900000000001</v>
      </c>
      <c r="L41" s="13" t="s">
        <v>348</v>
      </c>
    </row>
    <row r="42" spans="1:12" s="13" customFormat="1" ht="12.5" x14ac:dyDescent="0.25">
      <c r="A42" s="20">
        <v>201040212</v>
      </c>
      <c r="B42" s="20" t="s">
        <v>88</v>
      </c>
      <c r="C42" s="20" t="s">
        <v>74</v>
      </c>
      <c r="D42" s="20" t="s">
        <v>74</v>
      </c>
      <c r="E42" s="20">
        <f t="shared" si="0"/>
        <v>3</v>
      </c>
      <c r="F42" s="20">
        <v>8368</v>
      </c>
      <c r="G42" s="20" t="s">
        <v>115</v>
      </c>
      <c r="H42" s="21">
        <v>661.29</v>
      </c>
      <c r="I42" s="21"/>
      <c r="J42" s="21">
        <v>661.29</v>
      </c>
      <c r="K42" s="21">
        <v>-388.1</v>
      </c>
      <c r="L42" s="13" t="s">
        <v>349</v>
      </c>
    </row>
    <row r="43" spans="1:12" s="13" customFormat="1" ht="12.5" x14ac:dyDescent="0.25">
      <c r="A43" s="20">
        <v>201040212</v>
      </c>
      <c r="B43" s="20" t="s">
        <v>88</v>
      </c>
      <c r="C43" s="20" t="s">
        <v>162</v>
      </c>
      <c r="D43" s="20" t="s">
        <v>162</v>
      </c>
      <c r="E43" s="20">
        <f t="shared" si="0"/>
        <v>3</v>
      </c>
      <c r="F43" s="20">
        <v>8294</v>
      </c>
      <c r="G43" s="20" t="s">
        <v>163</v>
      </c>
      <c r="H43" s="21"/>
      <c r="I43" s="21">
        <v>17.850000000000001</v>
      </c>
      <c r="J43" s="21">
        <v>-17.850000000000001</v>
      </c>
      <c r="K43" s="21">
        <v>-405.95</v>
      </c>
      <c r="L43" s="13" t="s">
        <v>348</v>
      </c>
    </row>
    <row r="44" spans="1:12" s="13" customFormat="1" ht="12.5" x14ac:dyDescent="0.25">
      <c r="A44" s="20">
        <v>201040212</v>
      </c>
      <c r="B44" s="20" t="s">
        <v>88</v>
      </c>
      <c r="C44" s="20" t="s">
        <v>75</v>
      </c>
      <c r="D44" s="20" t="s">
        <v>75</v>
      </c>
      <c r="E44" s="20">
        <f t="shared" si="0"/>
        <v>4</v>
      </c>
      <c r="F44" s="20">
        <v>8409</v>
      </c>
      <c r="G44" s="20" t="s">
        <v>164</v>
      </c>
      <c r="H44" s="21"/>
      <c r="I44" s="21">
        <v>5.04</v>
      </c>
      <c r="J44" s="21">
        <v>-5.04</v>
      </c>
      <c r="K44" s="21">
        <v>-410.99</v>
      </c>
      <c r="L44" s="13" t="s">
        <v>348</v>
      </c>
    </row>
    <row r="45" spans="1:12" s="13" customFormat="1" ht="12.5" x14ac:dyDescent="0.25">
      <c r="A45" s="20">
        <v>201040212</v>
      </c>
      <c r="B45" s="20" t="s">
        <v>88</v>
      </c>
      <c r="C45" s="20" t="s">
        <v>75</v>
      </c>
      <c r="D45" s="20" t="s">
        <v>75</v>
      </c>
      <c r="E45" s="20">
        <f t="shared" si="0"/>
        <v>4</v>
      </c>
      <c r="F45" s="20">
        <v>8411</v>
      </c>
      <c r="G45" s="20" t="s">
        <v>165</v>
      </c>
      <c r="H45" s="21"/>
      <c r="I45" s="21">
        <v>5.04</v>
      </c>
      <c r="J45" s="21">
        <v>-5.04</v>
      </c>
      <c r="K45" s="21">
        <v>-416.03</v>
      </c>
      <c r="L45" s="13" t="s">
        <v>348</v>
      </c>
    </row>
    <row r="46" spans="1:12" s="13" customFormat="1" ht="12.5" x14ac:dyDescent="0.25">
      <c r="A46" s="20">
        <v>201040212</v>
      </c>
      <c r="B46" s="20" t="s">
        <v>88</v>
      </c>
      <c r="C46" s="20" t="s">
        <v>75</v>
      </c>
      <c r="D46" s="20" t="s">
        <v>75</v>
      </c>
      <c r="E46" s="20">
        <f t="shared" si="0"/>
        <v>4</v>
      </c>
      <c r="F46" s="20">
        <v>8477</v>
      </c>
      <c r="G46" s="20" t="s">
        <v>166</v>
      </c>
      <c r="H46" s="21"/>
      <c r="I46" s="21">
        <v>214.2</v>
      </c>
      <c r="J46" s="21">
        <v>-214.2</v>
      </c>
      <c r="K46" s="21">
        <v>-630.23</v>
      </c>
      <c r="L46" s="13" t="s">
        <v>348</v>
      </c>
    </row>
    <row r="47" spans="1:12" s="13" customFormat="1" ht="12.5" x14ac:dyDescent="0.25">
      <c r="A47" s="20">
        <v>201040212</v>
      </c>
      <c r="B47" s="20" t="s">
        <v>88</v>
      </c>
      <c r="C47" s="20" t="s">
        <v>167</v>
      </c>
      <c r="D47" s="20" t="s">
        <v>167</v>
      </c>
      <c r="E47" s="20">
        <f t="shared" si="0"/>
        <v>4</v>
      </c>
      <c r="F47" s="20">
        <v>8417</v>
      </c>
      <c r="G47" s="20" t="s">
        <v>168</v>
      </c>
      <c r="H47" s="21"/>
      <c r="I47" s="21">
        <v>18.760000000000002</v>
      </c>
      <c r="J47" s="21">
        <v>-18.760000000000002</v>
      </c>
      <c r="K47" s="21">
        <v>-648.99</v>
      </c>
      <c r="L47" s="13" t="s">
        <v>348</v>
      </c>
    </row>
    <row r="48" spans="1:12" s="13" customFormat="1" ht="12.5" x14ac:dyDescent="0.25">
      <c r="A48" s="20">
        <v>201040212</v>
      </c>
      <c r="B48" s="20" t="s">
        <v>88</v>
      </c>
      <c r="C48" s="20" t="s">
        <v>167</v>
      </c>
      <c r="D48" s="20" t="s">
        <v>167</v>
      </c>
      <c r="E48" s="20">
        <f t="shared" si="0"/>
        <v>4</v>
      </c>
      <c r="F48" s="20">
        <v>8478</v>
      </c>
      <c r="G48" s="20" t="s">
        <v>169</v>
      </c>
      <c r="H48" s="21"/>
      <c r="I48" s="21">
        <v>45.38</v>
      </c>
      <c r="J48" s="21">
        <v>-45.38</v>
      </c>
      <c r="K48" s="21">
        <v>-694.37</v>
      </c>
      <c r="L48" s="13" t="s">
        <v>348</v>
      </c>
    </row>
    <row r="49" spans="1:12" s="13" customFormat="1" ht="12.5" x14ac:dyDescent="0.25">
      <c r="A49" s="20">
        <v>201040212</v>
      </c>
      <c r="B49" s="20" t="s">
        <v>88</v>
      </c>
      <c r="C49" s="20" t="s">
        <v>76</v>
      </c>
      <c r="D49" s="20" t="s">
        <v>76</v>
      </c>
      <c r="E49" s="20">
        <f t="shared" si="0"/>
        <v>4</v>
      </c>
      <c r="F49" s="20">
        <v>8378</v>
      </c>
      <c r="G49" s="20" t="s">
        <v>170</v>
      </c>
      <c r="H49" s="21"/>
      <c r="I49" s="21">
        <v>42.84</v>
      </c>
      <c r="J49" s="21">
        <v>-42.84</v>
      </c>
      <c r="K49" s="21">
        <v>-737.21</v>
      </c>
      <c r="L49" s="13" t="s">
        <v>348</v>
      </c>
    </row>
    <row r="50" spans="1:12" s="13" customFormat="1" ht="12.5" x14ac:dyDescent="0.25">
      <c r="A50" s="20">
        <v>201040212</v>
      </c>
      <c r="B50" s="20" t="s">
        <v>88</v>
      </c>
      <c r="C50" s="20" t="s">
        <v>76</v>
      </c>
      <c r="D50" s="20" t="s">
        <v>76</v>
      </c>
      <c r="E50" s="20">
        <f t="shared" si="0"/>
        <v>4</v>
      </c>
      <c r="F50" s="20">
        <v>8379</v>
      </c>
      <c r="G50" s="20" t="s">
        <v>171</v>
      </c>
      <c r="H50" s="21"/>
      <c r="I50" s="21">
        <v>75.22</v>
      </c>
      <c r="J50" s="21">
        <v>-75.22</v>
      </c>
      <c r="K50" s="21">
        <v>-812.43</v>
      </c>
      <c r="L50" s="13" t="s">
        <v>348</v>
      </c>
    </row>
    <row r="51" spans="1:12" s="13" customFormat="1" ht="12.5" x14ac:dyDescent="0.25">
      <c r="A51" s="20">
        <v>201040212</v>
      </c>
      <c r="B51" s="20" t="s">
        <v>88</v>
      </c>
      <c r="C51" s="20" t="s">
        <v>76</v>
      </c>
      <c r="D51" s="20" t="s">
        <v>76</v>
      </c>
      <c r="E51" s="20">
        <f t="shared" si="0"/>
        <v>4</v>
      </c>
      <c r="F51" s="20">
        <v>8418</v>
      </c>
      <c r="G51" s="20" t="s">
        <v>172</v>
      </c>
      <c r="H51" s="21"/>
      <c r="I51" s="21">
        <v>5.04</v>
      </c>
      <c r="J51" s="21">
        <v>-5.04</v>
      </c>
      <c r="K51" s="21">
        <v>-817.47</v>
      </c>
      <c r="L51" s="13" t="s">
        <v>348</v>
      </c>
    </row>
    <row r="52" spans="1:12" s="13" customFormat="1" ht="12.5" x14ac:dyDescent="0.25">
      <c r="A52" s="20">
        <v>201040212</v>
      </c>
      <c r="B52" s="20" t="s">
        <v>88</v>
      </c>
      <c r="C52" s="20" t="s">
        <v>76</v>
      </c>
      <c r="D52" s="20" t="s">
        <v>76</v>
      </c>
      <c r="E52" s="20">
        <f t="shared" si="0"/>
        <v>4</v>
      </c>
      <c r="F52" s="20">
        <v>8419</v>
      </c>
      <c r="G52" s="20" t="s">
        <v>173</v>
      </c>
      <c r="H52" s="21"/>
      <c r="I52" s="21">
        <v>5.04</v>
      </c>
      <c r="J52" s="21">
        <v>-5.04</v>
      </c>
      <c r="K52" s="21">
        <v>-822.51</v>
      </c>
      <c r="L52" s="13" t="s">
        <v>348</v>
      </c>
    </row>
    <row r="53" spans="1:12" s="13" customFormat="1" ht="12.5" x14ac:dyDescent="0.25">
      <c r="A53" s="20">
        <v>201040212</v>
      </c>
      <c r="B53" s="20" t="s">
        <v>88</v>
      </c>
      <c r="C53" s="20" t="s">
        <v>76</v>
      </c>
      <c r="D53" s="20" t="s">
        <v>76</v>
      </c>
      <c r="E53" s="20">
        <f t="shared" si="0"/>
        <v>4</v>
      </c>
      <c r="F53" s="20">
        <v>8475</v>
      </c>
      <c r="G53" s="20" t="s">
        <v>174</v>
      </c>
      <c r="H53" s="21"/>
      <c r="I53" s="21">
        <v>5.04</v>
      </c>
      <c r="J53" s="21">
        <v>-5.04</v>
      </c>
      <c r="K53" s="21">
        <v>-827.55</v>
      </c>
      <c r="L53" s="13" t="s">
        <v>348</v>
      </c>
    </row>
    <row r="54" spans="1:12" s="13" customFormat="1" ht="12.5" x14ac:dyDescent="0.25">
      <c r="A54" s="20">
        <v>201040212</v>
      </c>
      <c r="B54" s="20" t="s">
        <v>88</v>
      </c>
      <c r="C54" s="20" t="s">
        <v>77</v>
      </c>
      <c r="D54" s="20" t="s">
        <v>77</v>
      </c>
      <c r="E54" s="20">
        <f t="shared" si="0"/>
        <v>4</v>
      </c>
      <c r="F54" s="20">
        <v>8479</v>
      </c>
      <c r="G54" s="20" t="s">
        <v>175</v>
      </c>
      <c r="H54" s="21"/>
      <c r="I54" s="21">
        <v>36.5</v>
      </c>
      <c r="J54" s="21">
        <v>-36.5</v>
      </c>
      <c r="K54" s="21">
        <v>-864.05</v>
      </c>
      <c r="L54" s="13" t="s">
        <v>348</v>
      </c>
    </row>
    <row r="55" spans="1:12" s="13" customFormat="1" ht="12.5" x14ac:dyDescent="0.25">
      <c r="A55" s="20">
        <v>201040212</v>
      </c>
      <c r="B55" s="20" t="s">
        <v>88</v>
      </c>
      <c r="C55" s="20" t="s">
        <v>77</v>
      </c>
      <c r="D55" s="20" t="s">
        <v>77</v>
      </c>
      <c r="E55" s="20">
        <f t="shared" si="0"/>
        <v>4</v>
      </c>
      <c r="F55" s="20">
        <v>8480</v>
      </c>
      <c r="G55" s="20" t="s">
        <v>176</v>
      </c>
      <c r="H55" s="21"/>
      <c r="I55" s="21">
        <v>33.99</v>
      </c>
      <c r="J55" s="21">
        <v>-33.99</v>
      </c>
      <c r="K55" s="21">
        <v>-898.04</v>
      </c>
      <c r="L55" s="13" t="s">
        <v>348</v>
      </c>
    </row>
    <row r="56" spans="1:12" s="13" customFormat="1" ht="12.5" x14ac:dyDescent="0.25">
      <c r="A56" s="20">
        <v>201040212</v>
      </c>
      <c r="B56" s="20" t="s">
        <v>88</v>
      </c>
      <c r="C56" s="20" t="s">
        <v>77</v>
      </c>
      <c r="D56" s="20" t="s">
        <v>77</v>
      </c>
      <c r="E56" s="20">
        <f t="shared" si="0"/>
        <v>4</v>
      </c>
      <c r="F56" s="20">
        <v>8573</v>
      </c>
      <c r="G56" s="20" t="s">
        <v>177</v>
      </c>
      <c r="H56" s="21">
        <v>405.95</v>
      </c>
      <c r="I56" s="21"/>
      <c r="J56" s="21">
        <v>405.95</v>
      </c>
      <c r="K56" s="21">
        <v>-492.09</v>
      </c>
      <c r="L56" s="13" t="s">
        <v>349</v>
      </c>
    </row>
    <row r="57" spans="1:12" s="13" customFormat="1" ht="12.5" x14ac:dyDescent="0.25">
      <c r="A57" s="20">
        <v>201040212</v>
      </c>
      <c r="B57" s="20" t="s">
        <v>88</v>
      </c>
      <c r="C57" s="20" t="s">
        <v>178</v>
      </c>
      <c r="D57" s="20" t="s">
        <v>178</v>
      </c>
      <c r="E57" s="20">
        <f t="shared" si="0"/>
        <v>4</v>
      </c>
      <c r="F57" s="20">
        <v>8444</v>
      </c>
      <c r="G57" s="20" t="s">
        <v>179</v>
      </c>
      <c r="H57" s="21"/>
      <c r="I57" s="21">
        <v>3.92</v>
      </c>
      <c r="J57" s="21">
        <v>-3.92</v>
      </c>
      <c r="K57" s="21">
        <v>-496.01</v>
      </c>
      <c r="L57" s="13" t="s">
        <v>348</v>
      </c>
    </row>
    <row r="58" spans="1:12" s="13" customFormat="1" ht="12.5" x14ac:dyDescent="0.25">
      <c r="A58" s="20">
        <v>201040212</v>
      </c>
      <c r="B58" s="20" t="s">
        <v>88</v>
      </c>
      <c r="C58" s="20" t="s">
        <v>180</v>
      </c>
      <c r="D58" s="20" t="s">
        <v>181</v>
      </c>
      <c r="E58" s="20">
        <f t="shared" si="0"/>
        <v>5</v>
      </c>
      <c r="F58" s="20">
        <v>8521</v>
      </c>
      <c r="G58" s="20" t="s">
        <v>182</v>
      </c>
      <c r="H58" s="21"/>
      <c r="I58" s="21">
        <v>214.2</v>
      </c>
      <c r="J58" s="21">
        <v>-214.2</v>
      </c>
      <c r="K58" s="21">
        <v>-710.21</v>
      </c>
      <c r="L58" s="13" t="s">
        <v>348</v>
      </c>
    </row>
    <row r="59" spans="1:12" s="13" customFormat="1" ht="12.5" x14ac:dyDescent="0.25">
      <c r="A59" s="20">
        <v>201040212</v>
      </c>
      <c r="B59" s="20" t="s">
        <v>88</v>
      </c>
      <c r="C59" s="20" t="s">
        <v>180</v>
      </c>
      <c r="D59" s="20" t="s">
        <v>181</v>
      </c>
      <c r="E59" s="20">
        <f t="shared" si="0"/>
        <v>5</v>
      </c>
      <c r="F59" s="20">
        <v>8522</v>
      </c>
      <c r="G59" s="20" t="s">
        <v>183</v>
      </c>
      <c r="H59" s="21"/>
      <c r="I59" s="21">
        <v>214.2</v>
      </c>
      <c r="J59" s="21">
        <v>-214.2</v>
      </c>
      <c r="K59" s="21">
        <v>-924.41</v>
      </c>
      <c r="L59" s="13" t="s">
        <v>348</v>
      </c>
    </row>
    <row r="60" spans="1:12" s="13" customFormat="1" ht="12.5" x14ac:dyDescent="0.25">
      <c r="A60" s="20">
        <v>201040212</v>
      </c>
      <c r="B60" s="20" t="s">
        <v>88</v>
      </c>
      <c r="C60" s="20" t="s">
        <v>180</v>
      </c>
      <c r="D60" s="20" t="s">
        <v>181</v>
      </c>
      <c r="E60" s="20">
        <f t="shared" si="0"/>
        <v>5</v>
      </c>
      <c r="F60" s="20">
        <v>8523</v>
      </c>
      <c r="G60" s="20" t="s">
        <v>184</v>
      </c>
      <c r="H60" s="21"/>
      <c r="I60" s="21">
        <v>214.2</v>
      </c>
      <c r="J60" s="21">
        <v>-214.2</v>
      </c>
      <c r="K60" s="21">
        <v>-1138.6099999999999</v>
      </c>
      <c r="L60" s="13" t="s">
        <v>348</v>
      </c>
    </row>
    <row r="61" spans="1:12" s="13" customFormat="1" ht="12.5" x14ac:dyDescent="0.25">
      <c r="A61" s="20">
        <v>201040212</v>
      </c>
      <c r="B61" s="20" t="s">
        <v>88</v>
      </c>
      <c r="C61" s="20" t="s">
        <v>180</v>
      </c>
      <c r="D61" s="20" t="s">
        <v>181</v>
      </c>
      <c r="E61" s="20">
        <f t="shared" si="0"/>
        <v>5</v>
      </c>
      <c r="F61" s="20">
        <v>8524</v>
      </c>
      <c r="G61" s="20" t="s">
        <v>185</v>
      </c>
      <c r="H61" s="21"/>
      <c r="I61" s="21">
        <v>214.2</v>
      </c>
      <c r="J61" s="21">
        <v>-214.2</v>
      </c>
      <c r="K61" s="21">
        <v>-1352.81</v>
      </c>
      <c r="L61" s="13" t="s">
        <v>348</v>
      </c>
    </row>
    <row r="62" spans="1:12" s="13" customFormat="1" ht="12.5" x14ac:dyDescent="0.25">
      <c r="A62" s="20">
        <v>201040212</v>
      </c>
      <c r="B62" s="20" t="s">
        <v>88</v>
      </c>
      <c r="C62" s="20" t="s">
        <v>180</v>
      </c>
      <c r="D62" s="20" t="s">
        <v>181</v>
      </c>
      <c r="E62" s="20">
        <f t="shared" si="0"/>
        <v>5</v>
      </c>
      <c r="F62" s="20">
        <v>8525</v>
      </c>
      <c r="G62" s="20" t="s">
        <v>186</v>
      </c>
      <c r="H62" s="21"/>
      <c r="I62" s="21">
        <v>36.229999999999997</v>
      </c>
      <c r="J62" s="21">
        <v>-36.229999999999997</v>
      </c>
      <c r="K62" s="21">
        <v>-1389.04</v>
      </c>
      <c r="L62" s="13" t="s">
        <v>348</v>
      </c>
    </row>
    <row r="63" spans="1:12" s="13" customFormat="1" ht="12.5" x14ac:dyDescent="0.25">
      <c r="A63" s="20">
        <v>201040212</v>
      </c>
      <c r="B63" s="20" t="s">
        <v>88</v>
      </c>
      <c r="C63" s="20" t="s">
        <v>180</v>
      </c>
      <c r="D63" s="20" t="s">
        <v>181</v>
      </c>
      <c r="E63" s="20">
        <f t="shared" si="0"/>
        <v>5</v>
      </c>
      <c r="F63" s="20">
        <v>8526</v>
      </c>
      <c r="G63" s="20" t="s">
        <v>187</v>
      </c>
      <c r="H63" s="21"/>
      <c r="I63" s="21">
        <v>30.03</v>
      </c>
      <c r="J63" s="21">
        <v>-30.03</v>
      </c>
      <c r="K63" s="21">
        <v>-1419.07</v>
      </c>
      <c r="L63" s="13" t="s">
        <v>348</v>
      </c>
    </row>
    <row r="64" spans="1:12" s="13" customFormat="1" ht="12.5" x14ac:dyDescent="0.25">
      <c r="A64" s="20">
        <v>201040212</v>
      </c>
      <c r="B64" s="20" t="s">
        <v>88</v>
      </c>
      <c r="C64" s="20" t="s">
        <v>180</v>
      </c>
      <c r="D64" s="20" t="s">
        <v>181</v>
      </c>
      <c r="E64" s="20">
        <f t="shared" si="0"/>
        <v>5</v>
      </c>
      <c r="F64" s="20">
        <v>8527</v>
      </c>
      <c r="G64" s="20" t="s">
        <v>188</v>
      </c>
      <c r="H64" s="21"/>
      <c r="I64" s="21">
        <v>18.02</v>
      </c>
      <c r="J64" s="21">
        <v>-18.02</v>
      </c>
      <c r="K64" s="21">
        <v>-1437.09</v>
      </c>
      <c r="L64" s="13" t="s">
        <v>348</v>
      </c>
    </row>
    <row r="65" spans="1:12" s="13" customFormat="1" ht="12.5" x14ac:dyDescent="0.25">
      <c r="A65" s="20">
        <v>201040212</v>
      </c>
      <c r="B65" s="20" t="s">
        <v>88</v>
      </c>
      <c r="C65" s="20" t="s">
        <v>180</v>
      </c>
      <c r="D65" s="20" t="s">
        <v>181</v>
      </c>
      <c r="E65" s="20">
        <f t="shared" si="0"/>
        <v>5</v>
      </c>
      <c r="F65" s="20">
        <v>8528</v>
      </c>
      <c r="G65" s="20" t="s">
        <v>189</v>
      </c>
      <c r="H65" s="21"/>
      <c r="I65" s="21">
        <v>37.36</v>
      </c>
      <c r="J65" s="21">
        <v>-37.36</v>
      </c>
      <c r="K65" s="21">
        <v>-1474.45</v>
      </c>
      <c r="L65" s="13" t="s">
        <v>348</v>
      </c>
    </row>
    <row r="66" spans="1:12" s="13" customFormat="1" ht="12.5" x14ac:dyDescent="0.25">
      <c r="A66" s="20">
        <v>201040212</v>
      </c>
      <c r="B66" s="20" t="s">
        <v>88</v>
      </c>
      <c r="C66" s="20" t="s">
        <v>180</v>
      </c>
      <c r="D66" s="20" t="s">
        <v>181</v>
      </c>
      <c r="E66" s="20">
        <f t="shared" si="0"/>
        <v>5</v>
      </c>
      <c r="F66" s="20">
        <v>8529</v>
      </c>
      <c r="G66" s="20" t="s">
        <v>190</v>
      </c>
      <c r="H66" s="21"/>
      <c r="I66" s="21">
        <v>43.89</v>
      </c>
      <c r="J66" s="21">
        <v>-43.89</v>
      </c>
      <c r="K66" s="21">
        <v>-1518.34</v>
      </c>
      <c r="L66" s="13" t="s">
        <v>348</v>
      </c>
    </row>
    <row r="67" spans="1:12" s="13" customFormat="1" ht="12.5" x14ac:dyDescent="0.25">
      <c r="A67" s="20">
        <v>201040212</v>
      </c>
      <c r="B67" s="20" t="s">
        <v>88</v>
      </c>
      <c r="C67" s="20" t="s">
        <v>180</v>
      </c>
      <c r="D67" s="20" t="s">
        <v>181</v>
      </c>
      <c r="E67" s="20">
        <f t="shared" ref="E67:E130" si="1">MONTH(D67)</f>
        <v>5</v>
      </c>
      <c r="F67" s="20">
        <v>8530</v>
      </c>
      <c r="G67" s="20" t="s">
        <v>191</v>
      </c>
      <c r="H67" s="21"/>
      <c r="I67" s="21">
        <v>-36.229999999999997</v>
      </c>
      <c r="J67" s="21">
        <v>36.229999999999997</v>
      </c>
      <c r="K67" s="21">
        <v>-1482.11</v>
      </c>
      <c r="L67" s="13" t="s">
        <v>348</v>
      </c>
    </row>
    <row r="68" spans="1:12" s="13" customFormat="1" ht="12.5" x14ac:dyDescent="0.25">
      <c r="A68" s="20">
        <v>201040212</v>
      </c>
      <c r="B68" s="20" t="s">
        <v>88</v>
      </c>
      <c r="C68" s="20" t="s">
        <v>180</v>
      </c>
      <c r="D68" s="20" t="s">
        <v>181</v>
      </c>
      <c r="E68" s="20">
        <f t="shared" si="1"/>
        <v>5</v>
      </c>
      <c r="F68" s="20">
        <v>8531</v>
      </c>
      <c r="G68" s="20" t="s">
        <v>186</v>
      </c>
      <c r="H68" s="21"/>
      <c r="I68" s="21">
        <v>36.229999999999997</v>
      </c>
      <c r="J68" s="21">
        <v>-36.229999999999997</v>
      </c>
      <c r="K68" s="21">
        <v>-1518.34</v>
      </c>
      <c r="L68" s="13" t="s">
        <v>348</v>
      </c>
    </row>
    <row r="69" spans="1:12" s="13" customFormat="1" ht="12.5" x14ac:dyDescent="0.25">
      <c r="A69" s="20">
        <v>201040212</v>
      </c>
      <c r="B69" s="20" t="s">
        <v>88</v>
      </c>
      <c r="C69" s="20" t="s">
        <v>107</v>
      </c>
      <c r="D69" s="20" t="s">
        <v>107</v>
      </c>
      <c r="E69" s="20">
        <f t="shared" si="1"/>
        <v>5</v>
      </c>
      <c r="F69" s="20">
        <v>8467</v>
      </c>
      <c r="G69" s="20" t="s">
        <v>192</v>
      </c>
      <c r="H69" s="21"/>
      <c r="I69" s="21">
        <v>384.72</v>
      </c>
      <c r="J69" s="21">
        <v>-384.72</v>
      </c>
      <c r="K69" s="21">
        <v>-1903.06</v>
      </c>
      <c r="L69" s="13" t="s">
        <v>348</v>
      </c>
    </row>
    <row r="70" spans="1:12" s="13" customFormat="1" ht="12.5" x14ac:dyDescent="0.25">
      <c r="A70" s="20">
        <v>201040212</v>
      </c>
      <c r="B70" s="20" t="s">
        <v>88</v>
      </c>
      <c r="C70" s="20" t="s">
        <v>78</v>
      </c>
      <c r="D70" s="20" t="s">
        <v>78</v>
      </c>
      <c r="E70" s="20">
        <f t="shared" si="1"/>
        <v>5</v>
      </c>
      <c r="F70" s="20">
        <v>8634</v>
      </c>
      <c r="G70" s="20" t="s">
        <v>193</v>
      </c>
      <c r="H70" s="21"/>
      <c r="I70" s="21">
        <v>3.36</v>
      </c>
      <c r="J70" s="21">
        <v>-3.36</v>
      </c>
      <c r="K70" s="21">
        <v>-1906.42</v>
      </c>
      <c r="L70" s="13" t="s">
        <v>348</v>
      </c>
    </row>
    <row r="71" spans="1:12" s="13" customFormat="1" ht="12.5" x14ac:dyDescent="0.25">
      <c r="A71" s="20">
        <v>201040212</v>
      </c>
      <c r="B71" s="20" t="s">
        <v>88</v>
      </c>
      <c r="C71" s="20" t="s">
        <v>79</v>
      </c>
      <c r="D71" s="20" t="s">
        <v>79</v>
      </c>
      <c r="E71" s="20">
        <f t="shared" si="1"/>
        <v>5</v>
      </c>
      <c r="F71" s="20">
        <v>8613</v>
      </c>
      <c r="G71" s="20" t="s">
        <v>194</v>
      </c>
      <c r="H71" s="21"/>
      <c r="I71" s="21">
        <v>10.08</v>
      </c>
      <c r="J71" s="21">
        <v>-10.08</v>
      </c>
      <c r="K71" s="21">
        <v>-1916.5</v>
      </c>
      <c r="L71" s="13" t="s">
        <v>348</v>
      </c>
    </row>
    <row r="72" spans="1:12" s="13" customFormat="1" ht="12.5" x14ac:dyDescent="0.25">
      <c r="A72" s="20">
        <v>201040212</v>
      </c>
      <c r="B72" s="20" t="s">
        <v>88</v>
      </c>
      <c r="C72" s="20" t="s">
        <v>80</v>
      </c>
      <c r="D72" s="20" t="s">
        <v>80</v>
      </c>
      <c r="E72" s="20">
        <f t="shared" si="1"/>
        <v>5</v>
      </c>
      <c r="F72" s="20">
        <v>8611</v>
      </c>
      <c r="G72" s="20" t="s">
        <v>195</v>
      </c>
      <c r="H72" s="21"/>
      <c r="I72" s="21">
        <v>5.04</v>
      </c>
      <c r="J72" s="21">
        <v>-5.04</v>
      </c>
      <c r="K72" s="21">
        <v>-1921.54</v>
      </c>
      <c r="L72" s="13" t="s">
        <v>348</v>
      </c>
    </row>
    <row r="73" spans="1:12" s="13" customFormat="1" ht="12.5" x14ac:dyDescent="0.25">
      <c r="A73" s="20">
        <v>201040212</v>
      </c>
      <c r="B73" s="20" t="s">
        <v>88</v>
      </c>
      <c r="C73" s="20" t="s">
        <v>80</v>
      </c>
      <c r="D73" s="20" t="s">
        <v>80</v>
      </c>
      <c r="E73" s="20">
        <f t="shared" si="1"/>
        <v>5</v>
      </c>
      <c r="F73" s="20">
        <v>8660</v>
      </c>
      <c r="G73" s="20" t="s">
        <v>196</v>
      </c>
      <c r="H73" s="21">
        <v>496.01</v>
      </c>
      <c r="I73" s="21"/>
      <c r="J73" s="21">
        <v>496.01</v>
      </c>
      <c r="K73" s="21">
        <v>-1425.53</v>
      </c>
      <c r="L73" s="13" t="s">
        <v>349</v>
      </c>
    </row>
    <row r="74" spans="1:12" s="13" customFormat="1" ht="12.5" x14ac:dyDescent="0.25">
      <c r="A74" s="20">
        <v>201040212</v>
      </c>
      <c r="B74" s="20" t="s">
        <v>88</v>
      </c>
      <c r="C74" s="20" t="s">
        <v>81</v>
      </c>
      <c r="D74" s="20" t="s">
        <v>81</v>
      </c>
      <c r="E74" s="20">
        <f t="shared" si="1"/>
        <v>5</v>
      </c>
      <c r="F74" s="20">
        <v>8612</v>
      </c>
      <c r="G74" s="20" t="s">
        <v>197</v>
      </c>
      <c r="H74" s="21"/>
      <c r="I74" s="21">
        <v>5.04</v>
      </c>
      <c r="J74" s="21">
        <v>-5.04</v>
      </c>
      <c r="K74" s="21">
        <v>-1430.57</v>
      </c>
      <c r="L74" s="13" t="s">
        <v>348</v>
      </c>
    </row>
    <row r="75" spans="1:12" s="13" customFormat="1" ht="12.5" x14ac:dyDescent="0.25">
      <c r="A75" s="20">
        <v>201040212</v>
      </c>
      <c r="B75" s="20" t="s">
        <v>88</v>
      </c>
      <c r="C75" s="20" t="s">
        <v>81</v>
      </c>
      <c r="D75" s="20" t="s">
        <v>81</v>
      </c>
      <c r="E75" s="20">
        <f t="shared" si="1"/>
        <v>5</v>
      </c>
      <c r="F75" s="20">
        <v>8615</v>
      </c>
      <c r="G75" s="20" t="s">
        <v>198</v>
      </c>
      <c r="H75" s="21"/>
      <c r="I75" s="21">
        <v>25.2</v>
      </c>
      <c r="J75" s="21">
        <v>-25.2</v>
      </c>
      <c r="K75" s="21">
        <v>-1455.77</v>
      </c>
      <c r="L75" s="13" t="s">
        <v>348</v>
      </c>
    </row>
    <row r="76" spans="1:12" s="13" customFormat="1" ht="12.5" x14ac:dyDescent="0.25">
      <c r="A76" s="20">
        <v>201040212</v>
      </c>
      <c r="B76" s="20" t="s">
        <v>88</v>
      </c>
      <c r="C76" s="20" t="s">
        <v>108</v>
      </c>
      <c r="D76" s="20" t="s">
        <v>108</v>
      </c>
      <c r="E76" s="20">
        <f t="shared" si="1"/>
        <v>5</v>
      </c>
      <c r="F76" s="20">
        <v>8614</v>
      </c>
      <c r="G76" s="20" t="s">
        <v>199</v>
      </c>
      <c r="H76" s="21"/>
      <c r="I76" s="21">
        <v>10.08</v>
      </c>
      <c r="J76" s="21">
        <v>-10.08</v>
      </c>
      <c r="K76" s="21">
        <v>-1465.85</v>
      </c>
      <c r="L76" s="13" t="s">
        <v>348</v>
      </c>
    </row>
    <row r="77" spans="1:12" s="13" customFormat="1" ht="12.5" x14ac:dyDescent="0.25">
      <c r="A77" s="20">
        <v>201040212</v>
      </c>
      <c r="B77" s="20" t="s">
        <v>88</v>
      </c>
      <c r="C77" s="20" t="s">
        <v>99</v>
      </c>
      <c r="D77" s="20" t="s">
        <v>99</v>
      </c>
      <c r="E77" s="20">
        <f t="shared" si="1"/>
        <v>5</v>
      </c>
      <c r="F77" s="20">
        <v>8678</v>
      </c>
      <c r="G77" s="20" t="s">
        <v>200</v>
      </c>
      <c r="H77" s="21"/>
      <c r="I77" s="21">
        <v>88.2</v>
      </c>
      <c r="J77" s="21">
        <v>-88.2</v>
      </c>
      <c r="K77" s="21">
        <v>-1554.05</v>
      </c>
      <c r="L77" s="13" t="s">
        <v>348</v>
      </c>
    </row>
    <row r="78" spans="1:12" s="13" customFormat="1" ht="12.5" x14ac:dyDescent="0.25">
      <c r="A78" s="20">
        <v>201040212</v>
      </c>
      <c r="B78" s="20" t="s">
        <v>88</v>
      </c>
      <c r="C78" s="20" t="s">
        <v>201</v>
      </c>
      <c r="D78" s="20" t="s">
        <v>201</v>
      </c>
      <c r="E78" s="20">
        <f t="shared" si="1"/>
        <v>6</v>
      </c>
      <c r="F78" s="20">
        <v>8689</v>
      </c>
      <c r="G78" s="20" t="s">
        <v>202</v>
      </c>
      <c r="H78" s="21"/>
      <c r="I78" s="21">
        <v>5.17</v>
      </c>
      <c r="J78" s="21">
        <v>-5.17</v>
      </c>
      <c r="K78" s="21">
        <v>-1559.22</v>
      </c>
      <c r="L78" s="13" t="s">
        <v>348</v>
      </c>
    </row>
    <row r="79" spans="1:12" s="13" customFormat="1" ht="12.5" x14ac:dyDescent="0.25">
      <c r="A79" s="20">
        <v>201040212</v>
      </c>
      <c r="B79" s="20" t="s">
        <v>88</v>
      </c>
      <c r="C79" s="20" t="s">
        <v>201</v>
      </c>
      <c r="D79" s="20" t="s">
        <v>201</v>
      </c>
      <c r="E79" s="20">
        <f t="shared" si="1"/>
        <v>6</v>
      </c>
      <c r="F79" s="20">
        <v>8690</v>
      </c>
      <c r="G79" s="20" t="s">
        <v>203</v>
      </c>
      <c r="H79" s="21"/>
      <c r="I79" s="21">
        <v>5.04</v>
      </c>
      <c r="J79" s="21">
        <v>-5.04</v>
      </c>
      <c r="K79" s="21">
        <v>-1564.26</v>
      </c>
      <c r="L79" s="13" t="s">
        <v>348</v>
      </c>
    </row>
    <row r="80" spans="1:12" s="13" customFormat="1" ht="12.5" x14ac:dyDescent="0.25">
      <c r="A80" s="20">
        <v>201040212</v>
      </c>
      <c r="B80" s="20" t="s">
        <v>88</v>
      </c>
      <c r="C80" s="20" t="s">
        <v>201</v>
      </c>
      <c r="D80" s="20" t="s">
        <v>201</v>
      </c>
      <c r="E80" s="20">
        <f t="shared" si="1"/>
        <v>6</v>
      </c>
      <c r="F80" s="20">
        <v>8691</v>
      </c>
      <c r="G80" s="20" t="s">
        <v>204</v>
      </c>
      <c r="H80" s="21"/>
      <c r="I80" s="21">
        <v>5.17</v>
      </c>
      <c r="J80" s="21">
        <v>-5.17</v>
      </c>
      <c r="K80" s="21">
        <v>-1569.43</v>
      </c>
      <c r="L80" s="13" t="s">
        <v>348</v>
      </c>
    </row>
    <row r="81" spans="1:12" s="13" customFormat="1" ht="12.5" x14ac:dyDescent="0.25">
      <c r="A81" s="20">
        <v>201040212</v>
      </c>
      <c r="B81" s="20" t="s">
        <v>88</v>
      </c>
      <c r="C81" s="20" t="s">
        <v>201</v>
      </c>
      <c r="D81" s="20" t="s">
        <v>201</v>
      </c>
      <c r="E81" s="20">
        <f t="shared" si="1"/>
        <v>6</v>
      </c>
      <c r="F81" s="20">
        <v>8753</v>
      </c>
      <c r="G81" s="20" t="s">
        <v>205</v>
      </c>
      <c r="H81" s="21"/>
      <c r="I81" s="21">
        <v>214.2</v>
      </c>
      <c r="J81" s="21">
        <v>-214.2</v>
      </c>
      <c r="K81" s="21">
        <v>-1783.63</v>
      </c>
      <c r="L81" s="13" t="s">
        <v>348</v>
      </c>
    </row>
    <row r="82" spans="1:12" s="13" customFormat="1" ht="12.5" x14ac:dyDescent="0.25">
      <c r="A82" s="20">
        <v>201040212</v>
      </c>
      <c r="B82" s="20" t="s">
        <v>88</v>
      </c>
      <c r="C82" s="20" t="s">
        <v>100</v>
      </c>
      <c r="D82" s="20" t="s">
        <v>100</v>
      </c>
      <c r="E82" s="20">
        <f t="shared" si="1"/>
        <v>6</v>
      </c>
      <c r="F82" s="20">
        <v>8685</v>
      </c>
      <c r="G82" s="20" t="s">
        <v>206</v>
      </c>
      <c r="H82" s="21"/>
      <c r="I82" s="21">
        <v>57.23</v>
      </c>
      <c r="J82" s="21">
        <v>-57.23</v>
      </c>
      <c r="K82" s="21">
        <v>-1840.86</v>
      </c>
      <c r="L82" s="13" t="s">
        <v>348</v>
      </c>
    </row>
    <row r="83" spans="1:12" s="13" customFormat="1" ht="12.5" x14ac:dyDescent="0.25">
      <c r="A83" s="20">
        <v>201040212</v>
      </c>
      <c r="B83" s="20" t="s">
        <v>88</v>
      </c>
      <c r="C83" s="20" t="s">
        <v>100</v>
      </c>
      <c r="D83" s="20" t="s">
        <v>100</v>
      </c>
      <c r="E83" s="20">
        <f t="shared" si="1"/>
        <v>6</v>
      </c>
      <c r="F83" s="20">
        <v>8754</v>
      </c>
      <c r="G83" s="20" t="s">
        <v>207</v>
      </c>
      <c r="H83" s="21"/>
      <c r="I83" s="21">
        <v>33.94</v>
      </c>
      <c r="J83" s="21">
        <v>-33.94</v>
      </c>
      <c r="K83" s="21">
        <v>-1874.8</v>
      </c>
      <c r="L83" s="13" t="s">
        <v>348</v>
      </c>
    </row>
    <row r="84" spans="1:12" s="13" customFormat="1" ht="12.5" x14ac:dyDescent="0.25">
      <c r="A84" s="20">
        <v>201040212</v>
      </c>
      <c r="B84" s="20" t="s">
        <v>88</v>
      </c>
      <c r="C84" s="20" t="s">
        <v>208</v>
      </c>
      <c r="D84" s="20" t="s">
        <v>208</v>
      </c>
      <c r="E84" s="20">
        <f t="shared" si="1"/>
        <v>6</v>
      </c>
      <c r="F84" s="20">
        <v>8700</v>
      </c>
      <c r="G84" s="20" t="s">
        <v>209</v>
      </c>
      <c r="H84" s="21"/>
      <c r="I84" s="21">
        <v>3.36</v>
      </c>
      <c r="J84" s="21">
        <v>-3.36</v>
      </c>
      <c r="K84" s="21">
        <v>-1878.16</v>
      </c>
      <c r="L84" s="13" t="s">
        <v>348</v>
      </c>
    </row>
    <row r="85" spans="1:12" s="13" customFormat="1" ht="12.5" x14ac:dyDescent="0.25">
      <c r="A85" s="20">
        <v>201040212</v>
      </c>
      <c r="B85" s="20" t="s">
        <v>88</v>
      </c>
      <c r="C85" s="20" t="s">
        <v>117</v>
      </c>
      <c r="D85" s="20" t="s">
        <v>117</v>
      </c>
      <c r="E85" s="20">
        <f t="shared" si="1"/>
        <v>6</v>
      </c>
      <c r="F85" s="20">
        <v>8885</v>
      </c>
      <c r="G85" s="20" t="s">
        <v>118</v>
      </c>
      <c r="H85" s="21">
        <v>1554.05</v>
      </c>
      <c r="I85" s="21"/>
      <c r="J85" s="21">
        <v>1554.05</v>
      </c>
      <c r="K85" s="21">
        <v>-324.11</v>
      </c>
      <c r="L85" s="13" t="s">
        <v>349</v>
      </c>
    </row>
    <row r="86" spans="1:12" s="13" customFormat="1" ht="12.5" x14ac:dyDescent="0.25">
      <c r="A86" s="20">
        <v>201040212</v>
      </c>
      <c r="B86" s="20" t="s">
        <v>88</v>
      </c>
      <c r="C86" s="20" t="s">
        <v>109</v>
      </c>
      <c r="D86" s="20" t="s">
        <v>109</v>
      </c>
      <c r="E86" s="20">
        <f t="shared" si="1"/>
        <v>6</v>
      </c>
      <c r="F86" s="20">
        <v>8771</v>
      </c>
      <c r="G86" s="20" t="s">
        <v>210</v>
      </c>
      <c r="H86" s="21"/>
      <c r="I86" s="21">
        <v>33.6</v>
      </c>
      <c r="J86" s="21">
        <v>-33.6</v>
      </c>
      <c r="K86" s="21">
        <v>-357.71</v>
      </c>
      <c r="L86" s="13" t="s">
        <v>348</v>
      </c>
    </row>
    <row r="87" spans="1:12" s="13" customFormat="1" ht="12.5" x14ac:dyDescent="0.25">
      <c r="A87" s="20">
        <v>201040212</v>
      </c>
      <c r="B87" s="20" t="s">
        <v>88</v>
      </c>
      <c r="C87" s="20" t="s">
        <v>101</v>
      </c>
      <c r="D87" s="20" t="s">
        <v>101</v>
      </c>
      <c r="E87" s="20">
        <f t="shared" si="1"/>
        <v>6</v>
      </c>
      <c r="F87" s="20">
        <v>8773</v>
      </c>
      <c r="G87" s="20" t="s">
        <v>211</v>
      </c>
      <c r="H87" s="21"/>
      <c r="I87" s="21">
        <v>135.24</v>
      </c>
      <c r="J87" s="21">
        <v>-135.24</v>
      </c>
      <c r="K87" s="21">
        <v>-492.95</v>
      </c>
      <c r="L87" s="13" t="s">
        <v>348</v>
      </c>
    </row>
    <row r="88" spans="1:12" s="13" customFormat="1" ht="12.5" x14ac:dyDescent="0.25">
      <c r="A88" s="20">
        <v>201040212</v>
      </c>
      <c r="B88" s="20" t="s">
        <v>88</v>
      </c>
      <c r="C88" s="20" t="s">
        <v>83</v>
      </c>
      <c r="D88" s="20" t="s">
        <v>83</v>
      </c>
      <c r="E88" s="20">
        <f t="shared" si="1"/>
        <v>7</v>
      </c>
      <c r="F88" s="20">
        <v>8816</v>
      </c>
      <c r="G88" s="20" t="s">
        <v>212</v>
      </c>
      <c r="H88" s="21"/>
      <c r="I88" s="21">
        <v>45.75</v>
      </c>
      <c r="J88" s="21">
        <v>-45.75</v>
      </c>
      <c r="K88" s="21">
        <v>-538.70000000000005</v>
      </c>
      <c r="L88" s="13" t="s">
        <v>348</v>
      </c>
    </row>
    <row r="89" spans="1:12" s="13" customFormat="1" ht="12.5" x14ac:dyDescent="0.25">
      <c r="A89" s="20">
        <v>201040212</v>
      </c>
      <c r="B89" s="20" t="s">
        <v>88</v>
      </c>
      <c r="C89" s="20" t="s">
        <v>83</v>
      </c>
      <c r="D89" s="20" t="s">
        <v>83</v>
      </c>
      <c r="E89" s="20">
        <f t="shared" si="1"/>
        <v>7</v>
      </c>
      <c r="F89" s="20">
        <v>8817</v>
      </c>
      <c r="G89" s="20" t="s">
        <v>213</v>
      </c>
      <c r="H89" s="21"/>
      <c r="I89" s="21">
        <v>5.04</v>
      </c>
      <c r="J89" s="21">
        <v>-5.04</v>
      </c>
      <c r="K89" s="21">
        <v>-543.74</v>
      </c>
      <c r="L89" s="13" t="s">
        <v>348</v>
      </c>
    </row>
    <row r="90" spans="1:12" s="13" customFormat="1" ht="12.5" x14ac:dyDescent="0.25">
      <c r="A90" s="20">
        <v>201040212</v>
      </c>
      <c r="B90" s="20" t="s">
        <v>88</v>
      </c>
      <c r="C90" s="20" t="s">
        <v>83</v>
      </c>
      <c r="D90" s="20" t="s">
        <v>83</v>
      </c>
      <c r="E90" s="20">
        <f t="shared" si="1"/>
        <v>7</v>
      </c>
      <c r="F90" s="20">
        <v>8818</v>
      </c>
      <c r="G90" s="20" t="s">
        <v>214</v>
      </c>
      <c r="H90" s="21"/>
      <c r="I90" s="21">
        <v>139.05000000000001</v>
      </c>
      <c r="J90" s="21">
        <v>-139.05000000000001</v>
      </c>
      <c r="K90" s="21">
        <v>-682.79</v>
      </c>
      <c r="L90" s="13" t="s">
        <v>348</v>
      </c>
    </row>
    <row r="91" spans="1:12" s="13" customFormat="1" ht="12.5" x14ac:dyDescent="0.25">
      <c r="A91" s="20">
        <v>201040212</v>
      </c>
      <c r="B91" s="20" t="s">
        <v>88</v>
      </c>
      <c r="C91" s="20" t="s">
        <v>83</v>
      </c>
      <c r="D91" s="20" t="s">
        <v>83</v>
      </c>
      <c r="E91" s="20">
        <f t="shared" si="1"/>
        <v>7</v>
      </c>
      <c r="F91" s="20">
        <v>8819</v>
      </c>
      <c r="G91" s="20" t="s">
        <v>215</v>
      </c>
      <c r="H91" s="21"/>
      <c r="I91" s="21">
        <v>57.29</v>
      </c>
      <c r="J91" s="21">
        <v>-57.29</v>
      </c>
      <c r="K91" s="21">
        <v>-740.08</v>
      </c>
      <c r="L91" s="13" t="s">
        <v>348</v>
      </c>
    </row>
    <row r="92" spans="1:12" s="13" customFormat="1" ht="12.5" x14ac:dyDescent="0.25">
      <c r="A92" s="20">
        <v>201040212</v>
      </c>
      <c r="B92" s="20" t="s">
        <v>88</v>
      </c>
      <c r="C92" s="20" t="s">
        <v>83</v>
      </c>
      <c r="D92" s="20" t="s">
        <v>83</v>
      </c>
      <c r="E92" s="20">
        <f t="shared" si="1"/>
        <v>7</v>
      </c>
      <c r="F92" s="20">
        <v>8820</v>
      </c>
      <c r="G92" s="20" t="s">
        <v>216</v>
      </c>
      <c r="H92" s="21"/>
      <c r="I92" s="21">
        <v>123.38</v>
      </c>
      <c r="J92" s="21">
        <v>-123.38</v>
      </c>
      <c r="K92" s="21">
        <v>-863.46</v>
      </c>
      <c r="L92" s="13" t="s">
        <v>348</v>
      </c>
    </row>
    <row r="93" spans="1:12" s="13" customFormat="1" ht="12.5" x14ac:dyDescent="0.25">
      <c r="A93" s="20">
        <v>201040212</v>
      </c>
      <c r="B93" s="20" t="s">
        <v>88</v>
      </c>
      <c r="C93" s="20" t="s">
        <v>83</v>
      </c>
      <c r="D93" s="20" t="s">
        <v>83</v>
      </c>
      <c r="E93" s="20">
        <f t="shared" si="1"/>
        <v>7</v>
      </c>
      <c r="F93" s="20">
        <v>8821</v>
      </c>
      <c r="G93" s="20" t="s">
        <v>217</v>
      </c>
      <c r="H93" s="21"/>
      <c r="I93" s="21">
        <v>179.92</v>
      </c>
      <c r="J93" s="21">
        <v>-179.92</v>
      </c>
      <c r="K93" s="21">
        <v>-1043.3800000000001</v>
      </c>
      <c r="L93" s="13" t="s">
        <v>348</v>
      </c>
    </row>
    <row r="94" spans="1:12" s="13" customFormat="1" ht="12.5" x14ac:dyDescent="0.25">
      <c r="A94" s="20">
        <v>201040212</v>
      </c>
      <c r="B94" s="20" t="s">
        <v>88</v>
      </c>
      <c r="C94" s="20" t="s">
        <v>83</v>
      </c>
      <c r="D94" s="20" t="s">
        <v>83</v>
      </c>
      <c r="E94" s="20">
        <f t="shared" si="1"/>
        <v>7</v>
      </c>
      <c r="F94" s="20">
        <v>8822</v>
      </c>
      <c r="G94" s="20" t="s">
        <v>218</v>
      </c>
      <c r="H94" s="21"/>
      <c r="I94" s="21">
        <v>45.28</v>
      </c>
      <c r="J94" s="21">
        <v>-45.28</v>
      </c>
      <c r="K94" s="21">
        <v>-1088.6600000000001</v>
      </c>
      <c r="L94" s="13" t="s">
        <v>348</v>
      </c>
    </row>
    <row r="95" spans="1:12" s="13" customFormat="1" ht="12.5" x14ac:dyDescent="0.25">
      <c r="A95" s="20">
        <v>201040212</v>
      </c>
      <c r="B95" s="20" t="s">
        <v>88</v>
      </c>
      <c r="C95" s="20" t="s">
        <v>83</v>
      </c>
      <c r="D95" s="20" t="s">
        <v>83</v>
      </c>
      <c r="E95" s="20">
        <f t="shared" si="1"/>
        <v>7</v>
      </c>
      <c r="F95" s="20">
        <v>8823</v>
      </c>
      <c r="G95" s="20" t="s">
        <v>219</v>
      </c>
      <c r="H95" s="21"/>
      <c r="I95" s="21">
        <v>1.68</v>
      </c>
      <c r="J95" s="21">
        <v>-1.68</v>
      </c>
      <c r="K95" s="21">
        <v>-1090.3399999999999</v>
      </c>
      <c r="L95" s="13" t="s">
        <v>348</v>
      </c>
    </row>
    <row r="96" spans="1:12" s="13" customFormat="1" ht="12.5" x14ac:dyDescent="0.25">
      <c r="A96" s="20">
        <v>201040212</v>
      </c>
      <c r="B96" s="20" t="s">
        <v>88</v>
      </c>
      <c r="C96" s="20" t="s">
        <v>83</v>
      </c>
      <c r="D96" s="20" t="s">
        <v>83</v>
      </c>
      <c r="E96" s="20">
        <f t="shared" si="1"/>
        <v>7</v>
      </c>
      <c r="F96" s="20">
        <v>8824</v>
      </c>
      <c r="G96" s="20" t="s">
        <v>220</v>
      </c>
      <c r="H96" s="21"/>
      <c r="I96" s="21">
        <v>27.52</v>
      </c>
      <c r="J96" s="21">
        <v>-27.52</v>
      </c>
      <c r="K96" s="21">
        <v>-1117.8599999999999</v>
      </c>
      <c r="L96" s="13" t="s">
        <v>348</v>
      </c>
    </row>
    <row r="97" spans="1:12" s="13" customFormat="1" ht="12.5" x14ac:dyDescent="0.25">
      <c r="A97" s="20">
        <v>201040212</v>
      </c>
      <c r="B97" s="20" t="s">
        <v>88</v>
      </c>
      <c r="C97" s="20" t="s">
        <v>83</v>
      </c>
      <c r="D97" s="20" t="s">
        <v>83</v>
      </c>
      <c r="E97" s="20">
        <f t="shared" si="1"/>
        <v>7</v>
      </c>
      <c r="F97" s="20">
        <v>8825</v>
      </c>
      <c r="G97" s="20" t="s">
        <v>221</v>
      </c>
      <c r="H97" s="21"/>
      <c r="I97" s="21">
        <v>42.82</v>
      </c>
      <c r="J97" s="21">
        <v>-42.82</v>
      </c>
      <c r="K97" s="21">
        <v>-1160.68</v>
      </c>
      <c r="L97" s="13" t="s">
        <v>348</v>
      </c>
    </row>
    <row r="98" spans="1:12" s="13" customFormat="1" ht="12.5" x14ac:dyDescent="0.25">
      <c r="A98" s="20">
        <v>201040212</v>
      </c>
      <c r="B98" s="20" t="s">
        <v>88</v>
      </c>
      <c r="C98" s="20" t="s">
        <v>83</v>
      </c>
      <c r="D98" s="20" t="s">
        <v>83</v>
      </c>
      <c r="E98" s="20">
        <f t="shared" si="1"/>
        <v>7</v>
      </c>
      <c r="F98" s="20">
        <v>8826</v>
      </c>
      <c r="G98" s="20" t="s">
        <v>222</v>
      </c>
      <c r="H98" s="21"/>
      <c r="I98" s="21">
        <v>15.9</v>
      </c>
      <c r="J98" s="21">
        <v>-15.9</v>
      </c>
      <c r="K98" s="21">
        <v>-1176.58</v>
      </c>
      <c r="L98" s="13" t="s">
        <v>348</v>
      </c>
    </row>
    <row r="99" spans="1:12" s="13" customFormat="1" ht="12.5" x14ac:dyDescent="0.25">
      <c r="A99" s="20">
        <v>201040212</v>
      </c>
      <c r="B99" s="20" t="s">
        <v>88</v>
      </c>
      <c r="C99" s="20" t="s">
        <v>83</v>
      </c>
      <c r="D99" s="20" t="s">
        <v>83</v>
      </c>
      <c r="E99" s="20">
        <f t="shared" si="1"/>
        <v>7</v>
      </c>
      <c r="F99" s="20">
        <v>8827</v>
      </c>
      <c r="G99" s="20" t="s">
        <v>223</v>
      </c>
      <c r="H99" s="21"/>
      <c r="I99" s="21">
        <v>14.01</v>
      </c>
      <c r="J99" s="21">
        <v>-14.01</v>
      </c>
      <c r="K99" s="21">
        <v>-1190.5899999999999</v>
      </c>
      <c r="L99" s="13" t="s">
        <v>348</v>
      </c>
    </row>
    <row r="100" spans="1:12" s="13" customFormat="1" ht="12.5" x14ac:dyDescent="0.25">
      <c r="A100" s="20">
        <v>201040212</v>
      </c>
      <c r="B100" s="20" t="s">
        <v>88</v>
      </c>
      <c r="C100" s="20" t="s">
        <v>83</v>
      </c>
      <c r="D100" s="20" t="s">
        <v>83</v>
      </c>
      <c r="E100" s="20">
        <f t="shared" si="1"/>
        <v>7</v>
      </c>
      <c r="F100" s="20">
        <v>8828</v>
      </c>
      <c r="G100" s="20" t="s">
        <v>224</v>
      </c>
      <c r="H100" s="21"/>
      <c r="I100" s="21">
        <v>15.12</v>
      </c>
      <c r="J100" s="21">
        <v>-15.12</v>
      </c>
      <c r="K100" s="21">
        <v>-1205.71</v>
      </c>
      <c r="L100" s="13" t="s">
        <v>348</v>
      </c>
    </row>
    <row r="101" spans="1:12" s="13" customFormat="1" ht="12.5" x14ac:dyDescent="0.25">
      <c r="A101" s="20">
        <v>201040212</v>
      </c>
      <c r="B101" s="20" t="s">
        <v>88</v>
      </c>
      <c r="C101" s="20" t="s">
        <v>83</v>
      </c>
      <c r="D101" s="20" t="s">
        <v>83</v>
      </c>
      <c r="E101" s="20">
        <f t="shared" si="1"/>
        <v>7</v>
      </c>
      <c r="F101" s="20">
        <v>8829</v>
      </c>
      <c r="G101" s="20" t="s">
        <v>225</v>
      </c>
      <c r="H101" s="21"/>
      <c r="I101" s="21">
        <v>25.25</v>
      </c>
      <c r="J101" s="21">
        <v>-25.25</v>
      </c>
      <c r="K101" s="21">
        <v>-1230.96</v>
      </c>
      <c r="L101" s="13" t="s">
        <v>348</v>
      </c>
    </row>
    <row r="102" spans="1:12" s="13" customFormat="1" ht="12.5" x14ac:dyDescent="0.25">
      <c r="A102" s="20">
        <v>201040212</v>
      </c>
      <c r="B102" s="20" t="s">
        <v>88</v>
      </c>
      <c r="C102" s="20" t="s">
        <v>83</v>
      </c>
      <c r="D102" s="20" t="s">
        <v>83</v>
      </c>
      <c r="E102" s="20">
        <f t="shared" si="1"/>
        <v>7</v>
      </c>
      <c r="F102" s="20">
        <v>8830</v>
      </c>
      <c r="G102" s="20" t="s">
        <v>226</v>
      </c>
      <c r="H102" s="21"/>
      <c r="I102" s="21">
        <v>26.59</v>
      </c>
      <c r="J102" s="21">
        <v>-26.59</v>
      </c>
      <c r="K102" s="21">
        <v>-1257.55</v>
      </c>
      <c r="L102" s="13" t="s">
        <v>348</v>
      </c>
    </row>
    <row r="103" spans="1:12" s="13" customFormat="1" ht="12.5" x14ac:dyDescent="0.25">
      <c r="A103" s="20">
        <v>201040212</v>
      </c>
      <c r="B103" s="20" t="s">
        <v>88</v>
      </c>
      <c r="C103" s="20" t="s">
        <v>83</v>
      </c>
      <c r="D103" s="20" t="s">
        <v>83</v>
      </c>
      <c r="E103" s="20">
        <f t="shared" si="1"/>
        <v>7</v>
      </c>
      <c r="F103" s="20">
        <v>8831</v>
      </c>
      <c r="G103" s="20" t="s">
        <v>227</v>
      </c>
      <c r="H103" s="21"/>
      <c r="I103" s="21">
        <v>26.54</v>
      </c>
      <c r="J103" s="21">
        <v>-26.54</v>
      </c>
      <c r="K103" s="21">
        <v>-1284.0899999999999</v>
      </c>
      <c r="L103" s="13" t="s">
        <v>348</v>
      </c>
    </row>
    <row r="104" spans="1:12" s="13" customFormat="1" ht="12.5" x14ac:dyDescent="0.25">
      <c r="A104" s="20">
        <v>201040212</v>
      </c>
      <c r="B104" s="20" t="s">
        <v>88</v>
      </c>
      <c r="C104" s="20" t="s">
        <v>83</v>
      </c>
      <c r="D104" s="20" t="s">
        <v>83</v>
      </c>
      <c r="E104" s="20">
        <f t="shared" si="1"/>
        <v>7</v>
      </c>
      <c r="F104" s="20">
        <v>8832</v>
      </c>
      <c r="G104" s="20" t="s">
        <v>228</v>
      </c>
      <c r="H104" s="21"/>
      <c r="I104" s="21">
        <v>17.64</v>
      </c>
      <c r="J104" s="21">
        <v>-17.64</v>
      </c>
      <c r="K104" s="21">
        <v>-1301.73</v>
      </c>
      <c r="L104" s="13" t="s">
        <v>348</v>
      </c>
    </row>
    <row r="105" spans="1:12" s="13" customFormat="1" ht="12.5" x14ac:dyDescent="0.25">
      <c r="A105" s="20">
        <v>201040212</v>
      </c>
      <c r="B105" s="20" t="s">
        <v>88</v>
      </c>
      <c r="C105" s="20" t="s">
        <v>83</v>
      </c>
      <c r="D105" s="20" t="s">
        <v>83</v>
      </c>
      <c r="E105" s="20">
        <f t="shared" si="1"/>
        <v>7</v>
      </c>
      <c r="F105" s="20">
        <v>8833</v>
      </c>
      <c r="G105" s="20" t="s">
        <v>229</v>
      </c>
      <c r="H105" s="21"/>
      <c r="I105" s="21">
        <v>43</v>
      </c>
      <c r="J105" s="21">
        <v>-43</v>
      </c>
      <c r="K105" s="21">
        <v>-1344.73</v>
      </c>
      <c r="L105" s="13" t="s">
        <v>348</v>
      </c>
    </row>
    <row r="106" spans="1:12" s="13" customFormat="1" ht="12.5" x14ac:dyDescent="0.25">
      <c r="A106" s="20">
        <v>201040212</v>
      </c>
      <c r="B106" s="20" t="s">
        <v>88</v>
      </c>
      <c r="C106" s="20" t="s">
        <v>83</v>
      </c>
      <c r="D106" s="20" t="s">
        <v>83</v>
      </c>
      <c r="E106" s="20">
        <f t="shared" si="1"/>
        <v>7</v>
      </c>
      <c r="F106" s="20">
        <v>8834</v>
      </c>
      <c r="G106" s="20" t="s">
        <v>230</v>
      </c>
      <c r="H106" s="21"/>
      <c r="I106" s="21">
        <v>11.76</v>
      </c>
      <c r="J106" s="21">
        <v>-11.76</v>
      </c>
      <c r="K106" s="21">
        <v>-1356.49</v>
      </c>
      <c r="L106" s="13" t="s">
        <v>348</v>
      </c>
    </row>
    <row r="107" spans="1:12" s="13" customFormat="1" ht="12.5" x14ac:dyDescent="0.25">
      <c r="A107" s="20">
        <v>201040212</v>
      </c>
      <c r="B107" s="20" t="s">
        <v>88</v>
      </c>
      <c r="C107" s="20" t="s">
        <v>83</v>
      </c>
      <c r="D107" s="20" t="s">
        <v>83</v>
      </c>
      <c r="E107" s="20">
        <f t="shared" si="1"/>
        <v>7</v>
      </c>
      <c r="F107" s="20">
        <v>8835</v>
      </c>
      <c r="G107" s="20" t="s">
        <v>231</v>
      </c>
      <c r="H107" s="21"/>
      <c r="I107" s="21">
        <v>214.2</v>
      </c>
      <c r="J107" s="21">
        <v>-214.2</v>
      </c>
      <c r="K107" s="21">
        <v>-1570.69</v>
      </c>
      <c r="L107" s="13" t="s">
        <v>348</v>
      </c>
    </row>
    <row r="108" spans="1:12" s="13" customFormat="1" ht="12.5" x14ac:dyDescent="0.25">
      <c r="A108" s="20">
        <v>201040212</v>
      </c>
      <c r="B108" s="20" t="s">
        <v>88</v>
      </c>
      <c r="C108" s="20" t="s">
        <v>83</v>
      </c>
      <c r="D108" s="20" t="s">
        <v>83</v>
      </c>
      <c r="E108" s="20">
        <f t="shared" si="1"/>
        <v>7</v>
      </c>
      <c r="F108" s="20">
        <v>9014</v>
      </c>
      <c r="G108" s="20" t="s">
        <v>191</v>
      </c>
      <c r="H108" s="21"/>
      <c r="I108" s="21">
        <v>-26.59</v>
      </c>
      <c r="J108" s="21">
        <v>26.59</v>
      </c>
      <c r="K108" s="21">
        <v>-1544.1</v>
      </c>
      <c r="L108" s="13" t="s">
        <v>348</v>
      </c>
    </row>
    <row r="109" spans="1:12" s="13" customFormat="1" ht="12.5" x14ac:dyDescent="0.25">
      <c r="A109" s="20">
        <v>201040212</v>
      </c>
      <c r="B109" s="20" t="s">
        <v>88</v>
      </c>
      <c r="C109" s="20" t="s">
        <v>83</v>
      </c>
      <c r="D109" s="20" t="s">
        <v>83</v>
      </c>
      <c r="E109" s="20">
        <f t="shared" si="1"/>
        <v>7</v>
      </c>
      <c r="F109" s="20">
        <v>9015</v>
      </c>
      <c r="G109" s="20" t="s">
        <v>191</v>
      </c>
      <c r="H109" s="21"/>
      <c r="I109" s="21">
        <v>-42.82</v>
      </c>
      <c r="J109" s="21">
        <v>42.82</v>
      </c>
      <c r="K109" s="21">
        <v>-1501.28</v>
      </c>
      <c r="L109" s="13" t="s">
        <v>348</v>
      </c>
    </row>
    <row r="110" spans="1:12" s="13" customFormat="1" ht="12.5" x14ac:dyDescent="0.25">
      <c r="A110" s="20">
        <v>201040212</v>
      </c>
      <c r="B110" s="20" t="s">
        <v>88</v>
      </c>
      <c r="C110" s="20" t="s">
        <v>83</v>
      </c>
      <c r="D110" s="20" t="s">
        <v>83</v>
      </c>
      <c r="E110" s="20">
        <f t="shared" si="1"/>
        <v>7</v>
      </c>
      <c r="F110" s="20">
        <v>9016</v>
      </c>
      <c r="G110" s="20" t="s">
        <v>191</v>
      </c>
      <c r="H110" s="21"/>
      <c r="I110" s="21">
        <v>-25.25</v>
      </c>
      <c r="J110" s="21">
        <v>25.25</v>
      </c>
      <c r="K110" s="21">
        <v>-1476.03</v>
      </c>
      <c r="L110" s="13" t="s">
        <v>348</v>
      </c>
    </row>
    <row r="111" spans="1:12" s="13" customFormat="1" ht="12.5" x14ac:dyDescent="0.25">
      <c r="A111" s="20">
        <v>201040212</v>
      </c>
      <c r="B111" s="20" t="s">
        <v>88</v>
      </c>
      <c r="C111" s="20" t="s">
        <v>83</v>
      </c>
      <c r="D111" s="20" t="s">
        <v>83</v>
      </c>
      <c r="E111" s="20">
        <f t="shared" si="1"/>
        <v>7</v>
      </c>
      <c r="F111" s="20">
        <v>9017</v>
      </c>
      <c r="G111" s="20" t="s">
        <v>225</v>
      </c>
      <c r="H111" s="21"/>
      <c r="I111" s="21">
        <v>25.25</v>
      </c>
      <c r="J111" s="21">
        <v>-25.25</v>
      </c>
      <c r="K111" s="21">
        <v>-1501.28</v>
      </c>
      <c r="L111" s="13" t="s">
        <v>348</v>
      </c>
    </row>
    <row r="112" spans="1:12" s="13" customFormat="1" ht="12.5" x14ac:dyDescent="0.25">
      <c r="A112" s="20">
        <v>201040212</v>
      </c>
      <c r="B112" s="20" t="s">
        <v>88</v>
      </c>
      <c r="C112" s="20" t="s">
        <v>83</v>
      </c>
      <c r="D112" s="20" t="s">
        <v>83</v>
      </c>
      <c r="E112" s="20">
        <f t="shared" si="1"/>
        <v>7</v>
      </c>
      <c r="F112" s="20">
        <v>9018</v>
      </c>
      <c r="G112" s="20" t="s">
        <v>226</v>
      </c>
      <c r="H112" s="21"/>
      <c r="I112" s="21">
        <v>26.59</v>
      </c>
      <c r="J112" s="21">
        <v>-26.59</v>
      </c>
      <c r="K112" s="21">
        <v>-1527.87</v>
      </c>
      <c r="L112" s="13" t="s">
        <v>348</v>
      </c>
    </row>
    <row r="113" spans="1:12" s="13" customFormat="1" ht="12.5" x14ac:dyDescent="0.25">
      <c r="A113" s="20">
        <v>201040212</v>
      </c>
      <c r="B113" s="20" t="s">
        <v>88</v>
      </c>
      <c r="C113" s="20" t="s">
        <v>83</v>
      </c>
      <c r="D113" s="20" t="s">
        <v>83</v>
      </c>
      <c r="E113" s="20">
        <f t="shared" si="1"/>
        <v>7</v>
      </c>
      <c r="F113" s="20">
        <v>9019</v>
      </c>
      <c r="G113" s="20" t="s">
        <v>221</v>
      </c>
      <c r="H113" s="21"/>
      <c r="I113" s="21">
        <v>42.82</v>
      </c>
      <c r="J113" s="21">
        <v>-42.82</v>
      </c>
      <c r="K113" s="21">
        <v>-1570.69</v>
      </c>
      <c r="L113" s="13" t="s">
        <v>348</v>
      </c>
    </row>
    <row r="114" spans="1:12" s="13" customFormat="1" ht="12.5" x14ac:dyDescent="0.25">
      <c r="A114" s="20">
        <v>201040212</v>
      </c>
      <c r="B114" s="20" t="s">
        <v>88</v>
      </c>
      <c r="C114" s="20" t="s">
        <v>83</v>
      </c>
      <c r="D114" s="20" t="s">
        <v>83</v>
      </c>
      <c r="E114" s="20">
        <f t="shared" si="1"/>
        <v>7</v>
      </c>
      <c r="F114" s="20">
        <v>9020</v>
      </c>
      <c r="G114" s="20" t="s">
        <v>191</v>
      </c>
      <c r="H114" s="21"/>
      <c r="I114" s="21">
        <v>-42.82</v>
      </c>
      <c r="J114" s="21">
        <v>42.82</v>
      </c>
      <c r="K114" s="21">
        <v>-1527.87</v>
      </c>
      <c r="L114" s="13" t="s">
        <v>348</v>
      </c>
    </row>
    <row r="115" spans="1:12" s="13" customFormat="1" ht="12.5" x14ac:dyDescent="0.25">
      <c r="A115" s="20">
        <v>201040212</v>
      </c>
      <c r="B115" s="20" t="s">
        <v>88</v>
      </c>
      <c r="C115" s="20" t="s">
        <v>83</v>
      </c>
      <c r="D115" s="20" t="s">
        <v>83</v>
      </c>
      <c r="E115" s="20">
        <f t="shared" si="1"/>
        <v>7</v>
      </c>
      <c r="F115" s="20">
        <v>9021</v>
      </c>
      <c r="G115" s="20" t="s">
        <v>221</v>
      </c>
      <c r="H115" s="21"/>
      <c r="I115" s="21">
        <v>42.82</v>
      </c>
      <c r="J115" s="21">
        <v>-42.82</v>
      </c>
      <c r="K115" s="21">
        <v>-1570.69</v>
      </c>
      <c r="L115" s="13" t="s">
        <v>348</v>
      </c>
    </row>
    <row r="116" spans="1:12" s="13" customFormat="1" ht="12.5" x14ac:dyDescent="0.25">
      <c r="A116" s="20">
        <v>201040212</v>
      </c>
      <c r="B116" s="20" t="s">
        <v>88</v>
      </c>
      <c r="C116" s="20" t="s">
        <v>83</v>
      </c>
      <c r="D116" s="20" t="s">
        <v>83</v>
      </c>
      <c r="E116" s="20">
        <f t="shared" si="1"/>
        <v>7</v>
      </c>
      <c r="F116" s="20">
        <v>9022</v>
      </c>
      <c r="G116" s="20" t="s">
        <v>191</v>
      </c>
      <c r="H116" s="21"/>
      <c r="I116" s="21">
        <v>-25.25</v>
      </c>
      <c r="J116" s="21">
        <v>25.25</v>
      </c>
      <c r="K116" s="21">
        <v>-1545.44</v>
      </c>
      <c r="L116" s="13" t="s">
        <v>348</v>
      </c>
    </row>
    <row r="117" spans="1:12" s="13" customFormat="1" ht="12.5" x14ac:dyDescent="0.25">
      <c r="A117" s="20">
        <v>201040212</v>
      </c>
      <c r="B117" s="20" t="s">
        <v>88</v>
      </c>
      <c r="C117" s="20" t="s">
        <v>83</v>
      </c>
      <c r="D117" s="20" t="s">
        <v>83</v>
      </c>
      <c r="E117" s="20">
        <f t="shared" si="1"/>
        <v>7</v>
      </c>
      <c r="F117" s="20">
        <v>9023</v>
      </c>
      <c r="G117" s="20" t="s">
        <v>225</v>
      </c>
      <c r="H117" s="21"/>
      <c r="I117" s="21">
        <v>25.25</v>
      </c>
      <c r="J117" s="21">
        <v>-25.25</v>
      </c>
      <c r="K117" s="21">
        <v>-1570.69</v>
      </c>
      <c r="L117" s="13" t="s">
        <v>348</v>
      </c>
    </row>
    <row r="118" spans="1:12" s="13" customFormat="1" ht="12.5" x14ac:dyDescent="0.25">
      <c r="A118" s="20">
        <v>201040212</v>
      </c>
      <c r="B118" s="20" t="s">
        <v>88</v>
      </c>
      <c r="C118" s="20" t="s">
        <v>83</v>
      </c>
      <c r="D118" s="20" t="s">
        <v>83</v>
      </c>
      <c r="E118" s="20">
        <f t="shared" si="1"/>
        <v>7</v>
      </c>
      <c r="F118" s="20">
        <v>9024</v>
      </c>
      <c r="G118" s="20" t="s">
        <v>191</v>
      </c>
      <c r="H118" s="21"/>
      <c r="I118" s="21">
        <v>-26.59</v>
      </c>
      <c r="J118" s="21">
        <v>26.59</v>
      </c>
      <c r="K118" s="21">
        <v>-1544.1</v>
      </c>
      <c r="L118" s="13" t="s">
        <v>348</v>
      </c>
    </row>
    <row r="119" spans="1:12" s="13" customFormat="1" ht="12.5" x14ac:dyDescent="0.25">
      <c r="A119" s="20">
        <v>201040212</v>
      </c>
      <c r="B119" s="20" t="s">
        <v>88</v>
      </c>
      <c r="C119" s="20" t="s">
        <v>83</v>
      </c>
      <c r="D119" s="20" t="s">
        <v>83</v>
      </c>
      <c r="E119" s="20">
        <f t="shared" si="1"/>
        <v>7</v>
      </c>
      <c r="F119" s="20">
        <v>9025</v>
      </c>
      <c r="G119" s="20" t="s">
        <v>226</v>
      </c>
      <c r="H119" s="21"/>
      <c r="I119" s="21">
        <v>26.59</v>
      </c>
      <c r="J119" s="21">
        <v>-26.59</v>
      </c>
      <c r="K119" s="21">
        <v>-1570.69</v>
      </c>
      <c r="L119" s="13" t="s">
        <v>348</v>
      </c>
    </row>
    <row r="120" spans="1:12" s="13" customFormat="1" ht="12.5" x14ac:dyDescent="0.25">
      <c r="A120" s="20">
        <v>201040212</v>
      </c>
      <c r="B120" s="20" t="s">
        <v>88</v>
      </c>
      <c r="C120" s="20" t="s">
        <v>232</v>
      </c>
      <c r="D120" s="20" t="s">
        <v>232</v>
      </c>
      <c r="E120" s="20">
        <f t="shared" si="1"/>
        <v>7</v>
      </c>
      <c r="F120" s="20">
        <v>8868</v>
      </c>
      <c r="G120" s="20" t="s">
        <v>233</v>
      </c>
      <c r="H120" s="21"/>
      <c r="I120" s="21">
        <v>10.08</v>
      </c>
      <c r="J120" s="21">
        <v>-10.08</v>
      </c>
      <c r="K120" s="21">
        <v>-1580.77</v>
      </c>
      <c r="L120" s="13" t="s">
        <v>348</v>
      </c>
    </row>
    <row r="121" spans="1:12" s="13" customFormat="1" ht="12.5" x14ac:dyDescent="0.25">
      <c r="A121" s="20">
        <v>201040212</v>
      </c>
      <c r="B121" s="20" t="s">
        <v>88</v>
      </c>
      <c r="C121" s="20" t="s">
        <v>110</v>
      </c>
      <c r="D121" s="20" t="s">
        <v>234</v>
      </c>
      <c r="E121" s="20">
        <f t="shared" si="1"/>
        <v>7</v>
      </c>
      <c r="F121" s="20">
        <v>8806</v>
      </c>
      <c r="G121" s="20" t="s">
        <v>235</v>
      </c>
      <c r="H121" s="21"/>
      <c r="I121" s="21">
        <v>25.2</v>
      </c>
      <c r="J121" s="21">
        <v>-25.2</v>
      </c>
      <c r="K121" s="21">
        <v>-1605.97</v>
      </c>
      <c r="L121" s="13" t="s">
        <v>348</v>
      </c>
    </row>
    <row r="122" spans="1:12" s="13" customFormat="1" ht="12.5" x14ac:dyDescent="0.25">
      <c r="A122" s="20">
        <v>201040212</v>
      </c>
      <c r="B122" s="20" t="s">
        <v>88</v>
      </c>
      <c r="C122" s="20" t="s">
        <v>110</v>
      </c>
      <c r="D122" s="20" t="s">
        <v>110</v>
      </c>
      <c r="E122" s="20">
        <f t="shared" si="1"/>
        <v>7</v>
      </c>
      <c r="F122" s="20">
        <v>8799</v>
      </c>
      <c r="G122" s="20" t="s">
        <v>236</v>
      </c>
      <c r="H122" s="21"/>
      <c r="I122" s="21">
        <v>17.37</v>
      </c>
      <c r="J122" s="21">
        <v>-17.37</v>
      </c>
      <c r="K122" s="21">
        <v>-1623.34</v>
      </c>
      <c r="L122" s="13" t="s">
        <v>348</v>
      </c>
    </row>
    <row r="123" spans="1:12" s="13" customFormat="1" ht="12.5" x14ac:dyDescent="0.25">
      <c r="A123" s="20">
        <v>201040212</v>
      </c>
      <c r="B123" s="20" t="s">
        <v>88</v>
      </c>
      <c r="C123" s="20" t="s">
        <v>110</v>
      </c>
      <c r="D123" s="20" t="s">
        <v>110</v>
      </c>
      <c r="E123" s="20">
        <f t="shared" si="1"/>
        <v>7</v>
      </c>
      <c r="F123" s="20">
        <v>8800</v>
      </c>
      <c r="G123" s="20" t="s">
        <v>237</v>
      </c>
      <c r="H123" s="21"/>
      <c r="I123" s="21">
        <v>4.12</v>
      </c>
      <c r="J123" s="21">
        <v>-4.12</v>
      </c>
      <c r="K123" s="21">
        <v>-1627.46</v>
      </c>
      <c r="L123" s="13" t="s">
        <v>348</v>
      </c>
    </row>
    <row r="124" spans="1:12" s="13" customFormat="1" ht="12.5" x14ac:dyDescent="0.25">
      <c r="A124" s="20">
        <v>201040212</v>
      </c>
      <c r="B124" s="20" t="s">
        <v>88</v>
      </c>
      <c r="C124" s="20" t="s">
        <v>110</v>
      </c>
      <c r="D124" s="20" t="s">
        <v>110</v>
      </c>
      <c r="E124" s="20">
        <f t="shared" si="1"/>
        <v>7</v>
      </c>
      <c r="F124" s="20">
        <v>8905</v>
      </c>
      <c r="G124" s="20" t="s">
        <v>238</v>
      </c>
      <c r="H124" s="21"/>
      <c r="I124" s="21">
        <v>84</v>
      </c>
      <c r="J124" s="21">
        <v>-84</v>
      </c>
      <c r="K124" s="21">
        <v>-1711.46</v>
      </c>
      <c r="L124" s="13" t="s">
        <v>348</v>
      </c>
    </row>
    <row r="125" spans="1:12" s="13" customFormat="1" ht="12.5" x14ac:dyDescent="0.25">
      <c r="A125" s="20">
        <v>201040212</v>
      </c>
      <c r="B125" s="20" t="s">
        <v>88</v>
      </c>
      <c r="C125" s="20" t="s">
        <v>102</v>
      </c>
      <c r="D125" s="20" t="s">
        <v>102</v>
      </c>
      <c r="E125" s="20">
        <f t="shared" si="1"/>
        <v>7</v>
      </c>
      <c r="F125" s="20">
        <v>8955</v>
      </c>
      <c r="G125" s="20" t="s">
        <v>239</v>
      </c>
      <c r="H125" s="21">
        <v>492.95</v>
      </c>
      <c r="I125" s="21"/>
      <c r="J125" s="21">
        <v>492.95</v>
      </c>
      <c r="K125" s="21">
        <v>-1218.51</v>
      </c>
      <c r="L125" s="13" t="s">
        <v>349</v>
      </c>
    </row>
    <row r="126" spans="1:12" s="13" customFormat="1" ht="12.5" x14ac:dyDescent="0.25">
      <c r="A126" s="20">
        <v>201040212</v>
      </c>
      <c r="B126" s="20" t="s">
        <v>88</v>
      </c>
      <c r="C126" s="20" t="s">
        <v>240</v>
      </c>
      <c r="D126" s="20" t="s">
        <v>240</v>
      </c>
      <c r="E126" s="20">
        <f t="shared" si="1"/>
        <v>7</v>
      </c>
      <c r="F126" s="20">
        <v>8836</v>
      </c>
      <c r="G126" s="20" t="s">
        <v>241</v>
      </c>
      <c r="H126" s="21"/>
      <c r="I126" s="21">
        <v>231</v>
      </c>
      <c r="J126" s="21">
        <v>-231</v>
      </c>
      <c r="K126" s="21">
        <v>-1449.51</v>
      </c>
      <c r="L126" s="13" t="s">
        <v>348</v>
      </c>
    </row>
    <row r="127" spans="1:12" s="13" customFormat="1" ht="12.5" x14ac:dyDescent="0.25">
      <c r="A127" s="20">
        <v>201040212</v>
      </c>
      <c r="B127" s="20" t="s">
        <v>88</v>
      </c>
      <c r="C127" s="20" t="s">
        <v>240</v>
      </c>
      <c r="D127" s="20" t="s">
        <v>240</v>
      </c>
      <c r="E127" s="20">
        <f t="shared" si="1"/>
        <v>7</v>
      </c>
      <c r="F127" s="20">
        <v>8837</v>
      </c>
      <c r="G127" s="20" t="s">
        <v>242</v>
      </c>
      <c r="H127" s="21">
        <v>0</v>
      </c>
      <c r="I127" s="21">
        <v>0</v>
      </c>
      <c r="J127" s="21">
        <v>0</v>
      </c>
      <c r="K127" s="21">
        <v>-1449.51</v>
      </c>
    </row>
    <row r="128" spans="1:12" s="13" customFormat="1" ht="12.5" x14ac:dyDescent="0.25">
      <c r="A128" s="20">
        <v>201040212</v>
      </c>
      <c r="B128" s="20" t="s">
        <v>88</v>
      </c>
      <c r="C128" s="20" t="s">
        <v>240</v>
      </c>
      <c r="D128" s="20" t="s">
        <v>240</v>
      </c>
      <c r="E128" s="20">
        <f t="shared" si="1"/>
        <v>7</v>
      </c>
      <c r="F128" s="20">
        <v>8838</v>
      </c>
      <c r="G128" s="20" t="s">
        <v>243</v>
      </c>
      <c r="H128" s="21"/>
      <c r="I128" s="21">
        <v>40</v>
      </c>
      <c r="J128" s="21">
        <v>-40</v>
      </c>
      <c r="K128" s="21">
        <v>-1489.51</v>
      </c>
      <c r="L128" s="13" t="s">
        <v>348</v>
      </c>
    </row>
    <row r="129" spans="1:12" s="13" customFormat="1" ht="12.5" x14ac:dyDescent="0.25">
      <c r="A129" s="20">
        <v>201040212</v>
      </c>
      <c r="B129" s="20" t="s">
        <v>88</v>
      </c>
      <c r="C129" s="20" t="s">
        <v>240</v>
      </c>
      <c r="D129" s="20" t="s">
        <v>240</v>
      </c>
      <c r="E129" s="20">
        <f t="shared" si="1"/>
        <v>7</v>
      </c>
      <c r="F129" s="20">
        <v>8839</v>
      </c>
      <c r="G129" s="20" t="s">
        <v>244</v>
      </c>
      <c r="H129" s="21"/>
      <c r="I129" s="21">
        <v>18.02</v>
      </c>
      <c r="J129" s="21">
        <v>-18.02</v>
      </c>
      <c r="K129" s="21">
        <v>-1507.53</v>
      </c>
      <c r="L129" s="13" t="s">
        <v>348</v>
      </c>
    </row>
    <row r="130" spans="1:12" s="13" customFormat="1" ht="12.5" x14ac:dyDescent="0.25">
      <c r="A130" s="20">
        <v>201040212</v>
      </c>
      <c r="B130" s="20" t="s">
        <v>88</v>
      </c>
      <c r="C130" s="20" t="s">
        <v>240</v>
      </c>
      <c r="D130" s="20" t="s">
        <v>240</v>
      </c>
      <c r="E130" s="20">
        <f t="shared" si="1"/>
        <v>7</v>
      </c>
      <c r="F130" s="20">
        <v>8840</v>
      </c>
      <c r="G130" s="20" t="s">
        <v>245</v>
      </c>
      <c r="H130" s="21"/>
      <c r="I130" s="21">
        <v>12.01</v>
      </c>
      <c r="J130" s="21">
        <v>-12.01</v>
      </c>
      <c r="K130" s="21">
        <v>-1519.54</v>
      </c>
      <c r="L130" s="13" t="s">
        <v>348</v>
      </c>
    </row>
    <row r="131" spans="1:12" s="13" customFormat="1" ht="12.5" x14ac:dyDescent="0.25">
      <c r="A131" s="20">
        <v>201040212</v>
      </c>
      <c r="B131" s="20" t="s">
        <v>88</v>
      </c>
      <c r="C131" s="20" t="s">
        <v>240</v>
      </c>
      <c r="D131" s="20" t="s">
        <v>240</v>
      </c>
      <c r="E131" s="20">
        <f t="shared" ref="E131:E194" si="2">MONTH(D131)</f>
        <v>7</v>
      </c>
      <c r="F131" s="20">
        <v>8841</v>
      </c>
      <c r="G131" s="20" t="s">
        <v>246</v>
      </c>
      <c r="H131" s="21"/>
      <c r="I131" s="21">
        <v>60.48</v>
      </c>
      <c r="J131" s="21">
        <v>-60.48</v>
      </c>
      <c r="K131" s="21">
        <v>-1580.02</v>
      </c>
      <c r="L131" s="13" t="s">
        <v>348</v>
      </c>
    </row>
    <row r="132" spans="1:12" s="13" customFormat="1" ht="12.5" x14ac:dyDescent="0.25">
      <c r="A132" s="20">
        <v>201040212</v>
      </c>
      <c r="B132" s="20" t="s">
        <v>88</v>
      </c>
      <c r="C132" s="20" t="s">
        <v>240</v>
      </c>
      <c r="D132" s="20" t="s">
        <v>240</v>
      </c>
      <c r="E132" s="20">
        <f t="shared" si="2"/>
        <v>7</v>
      </c>
      <c r="F132" s="20">
        <v>8842</v>
      </c>
      <c r="G132" s="20" t="s">
        <v>247</v>
      </c>
      <c r="H132" s="21"/>
      <c r="I132" s="21">
        <v>40.32</v>
      </c>
      <c r="J132" s="21">
        <v>-40.32</v>
      </c>
      <c r="K132" s="21">
        <v>-1620.34</v>
      </c>
      <c r="L132" s="13" t="s">
        <v>348</v>
      </c>
    </row>
    <row r="133" spans="1:12" s="13" customFormat="1" ht="12.5" x14ac:dyDescent="0.25">
      <c r="A133" s="20">
        <v>201040212</v>
      </c>
      <c r="B133" s="20" t="s">
        <v>88</v>
      </c>
      <c r="C133" s="20" t="s">
        <v>240</v>
      </c>
      <c r="D133" s="20" t="s">
        <v>240</v>
      </c>
      <c r="E133" s="20">
        <f t="shared" si="2"/>
        <v>7</v>
      </c>
      <c r="F133" s="20">
        <v>8843</v>
      </c>
      <c r="G133" s="20" t="s">
        <v>248</v>
      </c>
      <c r="H133" s="21"/>
      <c r="I133" s="21">
        <v>26.31</v>
      </c>
      <c r="J133" s="21">
        <v>-26.31</v>
      </c>
      <c r="K133" s="21">
        <v>-1646.65</v>
      </c>
      <c r="L133" s="13" t="s">
        <v>348</v>
      </c>
    </row>
    <row r="134" spans="1:12" s="13" customFormat="1" ht="12.5" x14ac:dyDescent="0.25">
      <c r="A134" s="20">
        <v>201040212</v>
      </c>
      <c r="B134" s="20" t="s">
        <v>88</v>
      </c>
      <c r="C134" s="20" t="s">
        <v>240</v>
      </c>
      <c r="D134" s="20" t="s">
        <v>240</v>
      </c>
      <c r="E134" s="20">
        <f t="shared" si="2"/>
        <v>7</v>
      </c>
      <c r="F134" s="20">
        <v>8844</v>
      </c>
      <c r="G134" s="20" t="s">
        <v>249</v>
      </c>
      <c r="H134" s="21"/>
      <c r="I134" s="21">
        <v>51.8</v>
      </c>
      <c r="J134" s="21">
        <v>-51.8</v>
      </c>
      <c r="K134" s="21">
        <v>-1698.45</v>
      </c>
      <c r="L134" s="13" t="s">
        <v>348</v>
      </c>
    </row>
    <row r="135" spans="1:12" s="13" customFormat="1" ht="12.5" x14ac:dyDescent="0.25">
      <c r="A135" s="20">
        <v>201040212</v>
      </c>
      <c r="B135" s="20" t="s">
        <v>88</v>
      </c>
      <c r="C135" s="20" t="s">
        <v>240</v>
      </c>
      <c r="D135" s="20" t="s">
        <v>240</v>
      </c>
      <c r="E135" s="20">
        <f t="shared" si="2"/>
        <v>7</v>
      </c>
      <c r="F135" s="20">
        <v>8845</v>
      </c>
      <c r="G135" s="20" t="s">
        <v>250</v>
      </c>
      <c r="H135" s="21"/>
      <c r="I135" s="21">
        <v>43.47</v>
      </c>
      <c r="J135" s="21">
        <v>-43.47</v>
      </c>
      <c r="K135" s="21">
        <v>-1741.92</v>
      </c>
      <c r="L135" s="13" t="s">
        <v>348</v>
      </c>
    </row>
    <row r="136" spans="1:12" s="13" customFormat="1" ht="12.5" x14ac:dyDescent="0.25">
      <c r="A136" s="20">
        <v>201040212</v>
      </c>
      <c r="B136" s="20" t="s">
        <v>88</v>
      </c>
      <c r="C136" s="20" t="s">
        <v>240</v>
      </c>
      <c r="D136" s="20" t="s">
        <v>240</v>
      </c>
      <c r="E136" s="20">
        <f t="shared" si="2"/>
        <v>7</v>
      </c>
      <c r="F136" s="20">
        <v>8974</v>
      </c>
      <c r="G136" s="20" t="s">
        <v>191</v>
      </c>
      <c r="H136" s="21"/>
      <c r="I136" s="21">
        <v>-43.47</v>
      </c>
      <c r="J136" s="21">
        <v>43.47</v>
      </c>
      <c r="K136" s="21">
        <v>-1698.45</v>
      </c>
      <c r="L136" s="13" t="s">
        <v>348</v>
      </c>
    </row>
    <row r="137" spans="1:12" s="13" customFormat="1" ht="12.5" x14ac:dyDescent="0.25">
      <c r="A137" s="20">
        <v>201040212</v>
      </c>
      <c r="B137" s="20" t="s">
        <v>88</v>
      </c>
      <c r="C137" s="20" t="s">
        <v>251</v>
      </c>
      <c r="D137" s="20" t="s">
        <v>252</v>
      </c>
      <c r="E137" s="20">
        <f t="shared" si="2"/>
        <v>7</v>
      </c>
      <c r="F137" s="20">
        <v>8938</v>
      </c>
      <c r="G137" s="20" t="s">
        <v>253</v>
      </c>
      <c r="H137" s="21"/>
      <c r="I137" s="21">
        <v>111.72</v>
      </c>
      <c r="J137" s="21">
        <v>-111.72</v>
      </c>
      <c r="K137" s="21">
        <v>-1810.17</v>
      </c>
      <c r="L137" s="13" t="s">
        <v>348</v>
      </c>
    </row>
    <row r="138" spans="1:12" s="13" customFormat="1" ht="12.5" x14ac:dyDescent="0.25">
      <c r="A138" s="20">
        <v>201040212</v>
      </c>
      <c r="B138" s="20" t="s">
        <v>88</v>
      </c>
      <c r="C138" s="20" t="s">
        <v>251</v>
      </c>
      <c r="D138" s="20" t="s">
        <v>251</v>
      </c>
      <c r="E138" s="20">
        <f t="shared" si="2"/>
        <v>8</v>
      </c>
      <c r="F138" s="20">
        <v>9013</v>
      </c>
      <c r="G138" s="20" t="s">
        <v>254</v>
      </c>
      <c r="H138" s="21"/>
      <c r="I138" s="21">
        <v>14.2</v>
      </c>
      <c r="J138" s="21">
        <v>-14.2</v>
      </c>
      <c r="K138" s="21">
        <v>-1824.37</v>
      </c>
      <c r="L138" s="13" t="s">
        <v>348</v>
      </c>
    </row>
    <row r="139" spans="1:12" s="13" customFormat="1" ht="12.5" x14ac:dyDescent="0.25">
      <c r="A139" s="20">
        <v>201040212</v>
      </c>
      <c r="B139" s="20" t="s">
        <v>88</v>
      </c>
      <c r="C139" s="20" t="s">
        <v>251</v>
      </c>
      <c r="D139" s="20" t="s">
        <v>251</v>
      </c>
      <c r="E139" s="20">
        <f t="shared" si="2"/>
        <v>8</v>
      </c>
      <c r="F139" s="20">
        <v>9029</v>
      </c>
      <c r="G139" s="20" t="s">
        <v>255</v>
      </c>
      <c r="H139" s="21"/>
      <c r="I139" s="21">
        <v>41.92</v>
      </c>
      <c r="J139" s="21">
        <v>-41.92</v>
      </c>
      <c r="K139" s="21">
        <v>-1866.29</v>
      </c>
      <c r="L139" s="13" t="s">
        <v>348</v>
      </c>
    </row>
    <row r="140" spans="1:12" s="13" customFormat="1" ht="12.5" x14ac:dyDescent="0.25">
      <c r="A140" s="20">
        <v>201040212</v>
      </c>
      <c r="B140" s="20" t="s">
        <v>88</v>
      </c>
      <c r="C140" s="20" t="s">
        <v>256</v>
      </c>
      <c r="D140" s="20" t="s">
        <v>256</v>
      </c>
      <c r="E140" s="20">
        <f t="shared" si="2"/>
        <v>8</v>
      </c>
      <c r="F140" s="20">
        <v>9030</v>
      </c>
      <c r="G140" s="20" t="s">
        <v>257</v>
      </c>
      <c r="H140" s="21"/>
      <c r="I140" s="21">
        <v>6.47</v>
      </c>
      <c r="J140" s="21">
        <v>-6.47</v>
      </c>
      <c r="K140" s="21">
        <v>-1872.76</v>
      </c>
      <c r="L140" s="13" t="s">
        <v>348</v>
      </c>
    </row>
    <row r="141" spans="1:12" s="13" customFormat="1" ht="12.5" x14ac:dyDescent="0.25">
      <c r="A141" s="20">
        <v>201040212</v>
      </c>
      <c r="B141" s="20" t="s">
        <v>88</v>
      </c>
      <c r="C141" s="20" t="s">
        <v>256</v>
      </c>
      <c r="D141" s="20" t="s">
        <v>256</v>
      </c>
      <c r="E141" s="20">
        <f t="shared" si="2"/>
        <v>8</v>
      </c>
      <c r="F141" s="20">
        <v>9031</v>
      </c>
      <c r="G141" s="20" t="s">
        <v>258</v>
      </c>
      <c r="H141" s="21"/>
      <c r="I141" s="21">
        <v>21.02</v>
      </c>
      <c r="J141" s="21">
        <v>-21.02</v>
      </c>
      <c r="K141" s="21">
        <v>-1893.78</v>
      </c>
      <c r="L141" s="13" t="s">
        <v>348</v>
      </c>
    </row>
    <row r="142" spans="1:12" s="13" customFormat="1" ht="12.5" x14ac:dyDescent="0.25">
      <c r="A142" s="20">
        <v>201040212</v>
      </c>
      <c r="B142" s="20" t="s">
        <v>88</v>
      </c>
      <c r="C142" s="20" t="s">
        <v>259</v>
      </c>
      <c r="D142" s="20" t="s">
        <v>259</v>
      </c>
      <c r="E142" s="20">
        <f t="shared" si="2"/>
        <v>8</v>
      </c>
      <c r="F142" s="20">
        <v>9144</v>
      </c>
      <c r="G142" s="20" t="s">
        <v>260</v>
      </c>
      <c r="H142" s="21"/>
      <c r="I142" s="21">
        <v>12.6</v>
      </c>
      <c r="J142" s="21">
        <v>-12.6</v>
      </c>
      <c r="K142" s="21">
        <v>-1906.38</v>
      </c>
      <c r="L142" s="13" t="s">
        <v>348</v>
      </c>
    </row>
    <row r="143" spans="1:12" s="13" customFormat="1" ht="12.5" x14ac:dyDescent="0.25">
      <c r="A143" s="20">
        <v>201040212</v>
      </c>
      <c r="B143" s="20" t="s">
        <v>88</v>
      </c>
      <c r="C143" s="20" t="s">
        <v>103</v>
      </c>
      <c r="D143" s="20" t="s">
        <v>103</v>
      </c>
      <c r="E143" s="20">
        <f t="shared" si="2"/>
        <v>8</v>
      </c>
      <c r="F143" s="20">
        <v>9101</v>
      </c>
      <c r="G143" s="20" t="s">
        <v>261</v>
      </c>
      <c r="H143" s="21"/>
      <c r="I143" s="21">
        <v>35.01</v>
      </c>
      <c r="J143" s="21">
        <v>-35.01</v>
      </c>
      <c r="K143" s="21">
        <v>-1941.39</v>
      </c>
      <c r="L143" s="13" t="s">
        <v>348</v>
      </c>
    </row>
    <row r="144" spans="1:12" s="13" customFormat="1" ht="12.5" x14ac:dyDescent="0.25">
      <c r="A144" s="20">
        <v>201040212</v>
      </c>
      <c r="B144" s="20" t="s">
        <v>88</v>
      </c>
      <c r="C144" s="20" t="s">
        <v>262</v>
      </c>
      <c r="D144" s="20" t="s">
        <v>262</v>
      </c>
      <c r="E144" s="20">
        <f t="shared" si="2"/>
        <v>8</v>
      </c>
      <c r="F144" s="20">
        <v>9028</v>
      </c>
      <c r="G144" s="20" t="s">
        <v>263</v>
      </c>
      <c r="H144" s="21"/>
      <c r="I144" s="21">
        <v>5.04</v>
      </c>
      <c r="J144" s="21">
        <v>-5.04</v>
      </c>
      <c r="K144" s="21">
        <v>-1946.43</v>
      </c>
      <c r="L144" s="13" t="s">
        <v>348</v>
      </c>
    </row>
    <row r="145" spans="1:12" s="13" customFormat="1" ht="12.5" x14ac:dyDescent="0.25">
      <c r="A145" s="20">
        <v>201040212</v>
      </c>
      <c r="B145" s="20" t="s">
        <v>88</v>
      </c>
      <c r="C145" s="20" t="s">
        <v>84</v>
      </c>
      <c r="D145" s="20" t="s">
        <v>84</v>
      </c>
      <c r="E145" s="20">
        <f t="shared" si="2"/>
        <v>8</v>
      </c>
      <c r="F145" s="20">
        <v>9102</v>
      </c>
      <c r="G145" s="20" t="s">
        <v>264</v>
      </c>
      <c r="H145" s="21"/>
      <c r="I145" s="21">
        <v>5.17</v>
      </c>
      <c r="J145" s="21">
        <v>-5.17</v>
      </c>
      <c r="K145" s="21">
        <v>-1951.6</v>
      </c>
      <c r="L145" s="13" t="s">
        <v>348</v>
      </c>
    </row>
    <row r="146" spans="1:12" s="13" customFormat="1" ht="12.5" x14ac:dyDescent="0.25">
      <c r="A146" s="20">
        <v>201040212</v>
      </c>
      <c r="B146" s="20" t="s">
        <v>88</v>
      </c>
      <c r="C146" s="20" t="s">
        <v>84</v>
      </c>
      <c r="D146" s="20" t="s">
        <v>84</v>
      </c>
      <c r="E146" s="20">
        <f t="shared" si="2"/>
        <v>8</v>
      </c>
      <c r="F146" s="20">
        <v>9103</v>
      </c>
      <c r="G146" s="20" t="s">
        <v>265</v>
      </c>
      <c r="H146" s="21"/>
      <c r="I146" s="21">
        <v>5.04</v>
      </c>
      <c r="J146" s="21">
        <v>-5.04</v>
      </c>
      <c r="K146" s="21">
        <v>-1956.64</v>
      </c>
      <c r="L146" s="13" t="s">
        <v>348</v>
      </c>
    </row>
    <row r="147" spans="1:12" s="13" customFormat="1" ht="12.5" x14ac:dyDescent="0.25">
      <c r="A147" s="20">
        <v>201040212</v>
      </c>
      <c r="B147" s="20" t="s">
        <v>88</v>
      </c>
      <c r="C147" s="20" t="s">
        <v>84</v>
      </c>
      <c r="D147" s="20" t="s">
        <v>84</v>
      </c>
      <c r="E147" s="20">
        <f t="shared" si="2"/>
        <v>8</v>
      </c>
      <c r="F147" s="20">
        <v>9151</v>
      </c>
      <c r="G147" s="20" t="s">
        <v>85</v>
      </c>
      <c r="H147" s="21">
        <v>1810.17</v>
      </c>
      <c r="I147" s="21"/>
      <c r="J147" s="21">
        <v>1810.17</v>
      </c>
      <c r="K147" s="21">
        <v>-146.47</v>
      </c>
      <c r="L147" s="13" t="s">
        <v>349</v>
      </c>
    </row>
    <row r="148" spans="1:12" s="13" customFormat="1" ht="12.5" x14ac:dyDescent="0.25">
      <c r="A148" s="20">
        <v>201040212</v>
      </c>
      <c r="B148" s="20" t="s">
        <v>88</v>
      </c>
      <c r="C148" s="20" t="s">
        <v>266</v>
      </c>
      <c r="D148" s="20" t="s">
        <v>266</v>
      </c>
      <c r="E148" s="20">
        <f t="shared" si="2"/>
        <v>9</v>
      </c>
      <c r="F148" s="20">
        <v>9238</v>
      </c>
      <c r="G148" s="20" t="s">
        <v>267</v>
      </c>
      <c r="H148" s="21"/>
      <c r="I148" s="21">
        <v>138.18</v>
      </c>
      <c r="J148" s="21">
        <v>-138.18</v>
      </c>
      <c r="K148" s="21">
        <v>-284.64999999999998</v>
      </c>
      <c r="L148" s="13" t="s">
        <v>348</v>
      </c>
    </row>
    <row r="149" spans="1:12" s="13" customFormat="1" ht="12.5" x14ac:dyDescent="0.25">
      <c r="A149" s="20">
        <v>201040212</v>
      </c>
      <c r="B149" s="20" t="s">
        <v>88</v>
      </c>
      <c r="C149" s="20" t="s">
        <v>268</v>
      </c>
      <c r="D149" s="20" t="s">
        <v>268</v>
      </c>
      <c r="E149" s="20">
        <f t="shared" si="2"/>
        <v>9</v>
      </c>
      <c r="F149" s="20">
        <v>9265</v>
      </c>
      <c r="G149" s="20" t="s">
        <v>269</v>
      </c>
      <c r="H149" s="21"/>
      <c r="I149" s="21">
        <v>21.62</v>
      </c>
      <c r="J149" s="21">
        <v>-21.62</v>
      </c>
      <c r="K149" s="21">
        <v>-306.27</v>
      </c>
      <c r="L149" s="13" t="s">
        <v>348</v>
      </c>
    </row>
    <row r="150" spans="1:12" s="13" customFormat="1" ht="12.5" x14ac:dyDescent="0.25">
      <c r="A150" s="20">
        <v>201040212</v>
      </c>
      <c r="B150" s="20" t="s">
        <v>88</v>
      </c>
      <c r="C150" s="20" t="s">
        <v>270</v>
      </c>
      <c r="D150" s="20" t="s">
        <v>270</v>
      </c>
      <c r="E150" s="20">
        <f t="shared" si="2"/>
        <v>9</v>
      </c>
      <c r="F150" s="20">
        <v>9179</v>
      </c>
      <c r="G150" s="20" t="s">
        <v>271</v>
      </c>
      <c r="H150" s="21"/>
      <c r="I150" s="21">
        <v>10.08</v>
      </c>
      <c r="J150" s="21">
        <v>-10.08</v>
      </c>
      <c r="K150" s="21">
        <v>-316.35000000000002</v>
      </c>
      <c r="L150" s="13" t="s">
        <v>348</v>
      </c>
    </row>
    <row r="151" spans="1:12" s="13" customFormat="1" ht="12.5" x14ac:dyDescent="0.25">
      <c r="A151" s="20">
        <v>201040212</v>
      </c>
      <c r="B151" s="20" t="s">
        <v>88</v>
      </c>
      <c r="C151" s="20" t="s">
        <v>272</v>
      </c>
      <c r="D151" s="20" t="s">
        <v>272</v>
      </c>
      <c r="E151" s="20">
        <f t="shared" si="2"/>
        <v>9</v>
      </c>
      <c r="F151" s="20">
        <v>9180</v>
      </c>
      <c r="G151" s="20" t="s">
        <v>273</v>
      </c>
      <c r="H151" s="21"/>
      <c r="I151" s="21">
        <v>15.12</v>
      </c>
      <c r="J151" s="21">
        <v>-15.12</v>
      </c>
      <c r="K151" s="21">
        <v>-331.47</v>
      </c>
      <c r="L151" s="13" t="s">
        <v>348</v>
      </c>
    </row>
    <row r="152" spans="1:12" s="13" customFormat="1" ht="12.5" x14ac:dyDescent="0.25">
      <c r="A152" s="20">
        <v>201040212</v>
      </c>
      <c r="B152" s="20" t="s">
        <v>88</v>
      </c>
      <c r="C152" s="20" t="s">
        <v>272</v>
      </c>
      <c r="D152" s="20" t="s">
        <v>272</v>
      </c>
      <c r="E152" s="20">
        <f t="shared" si="2"/>
        <v>9</v>
      </c>
      <c r="F152" s="20">
        <v>9181</v>
      </c>
      <c r="G152" s="20" t="s">
        <v>274</v>
      </c>
      <c r="H152" s="21"/>
      <c r="I152" s="21">
        <v>10.08</v>
      </c>
      <c r="J152" s="21">
        <v>-10.08</v>
      </c>
      <c r="K152" s="21">
        <v>-341.55</v>
      </c>
      <c r="L152" s="13" t="s">
        <v>348</v>
      </c>
    </row>
    <row r="153" spans="1:12" s="13" customFormat="1" ht="12.5" x14ac:dyDescent="0.25">
      <c r="A153" s="20">
        <v>201040212</v>
      </c>
      <c r="B153" s="20" t="s">
        <v>88</v>
      </c>
      <c r="C153" s="20" t="s">
        <v>272</v>
      </c>
      <c r="D153" s="20" t="s">
        <v>272</v>
      </c>
      <c r="E153" s="20">
        <f t="shared" si="2"/>
        <v>9</v>
      </c>
      <c r="F153" s="20">
        <v>9182</v>
      </c>
      <c r="G153" s="20" t="s">
        <v>275</v>
      </c>
      <c r="H153" s="21"/>
      <c r="I153" s="21">
        <v>10.08</v>
      </c>
      <c r="J153" s="21">
        <v>-10.08</v>
      </c>
      <c r="K153" s="21">
        <v>-351.63</v>
      </c>
      <c r="L153" s="13" t="s">
        <v>348</v>
      </c>
    </row>
    <row r="154" spans="1:12" s="13" customFormat="1" ht="12.5" x14ac:dyDescent="0.25">
      <c r="A154" s="20">
        <v>201040212</v>
      </c>
      <c r="B154" s="20" t="s">
        <v>88</v>
      </c>
      <c r="C154" s="20" t="s">
        <v>276</v>
      </c>
      <c r="D154" s="20" t="s">
        <v>276</v>
      </c>
      <c r="E154" s="20">
        <f t="shared" si="2"/>
        <v>9</v>
      </c>
      <c r="F154" s="20">
        <v>9260</v>
      </c>
      <c r="G154" s="20" t="s">
        <v>277</v>
      </c>
      <c r="H154" s="21"/>
      <c r="I154" s="21">
        <v>5.32</v>
      </c>
      <c r="J154" s="21">
        <v>-5.32</v>
      </c>
      <c r="K154" s="21">
        <v>-356.95</v>
      </c>
      <c r="L154" s="13" t="s">
        <v>348</v>
      </c>
    </row>
    <row r="155" spans="1:12" s="13" customFormat="1" ht="12.5" x14ac:dyDescent="0.25">
      <c r="A155" s="20">
        <v>201040212</v>
      </c>
      <c r="B155" s="20" t="s">
        <v>88</v>
      </c>
      <c r="C155" s="20" t="s">
        <v>86</v>
      </c>
      <c r="D155" s="20" t="s">
        <v>86</v>
      </c>
      <c r="E155" s="20">
        <f t="shared" si="2"/>
        <v>9</v>
      </c>
      <c r="F155" s="20">
        <v>9285</v>
      </c>
      <c r="G155" s="20" t="s">
        <v>278</v>
      </c>
      <c r="H155" s="21">
        <v>146.47</v>
      </c>
      <c r="I155" s="21"/>
      <c r="J155" s="21">
        <v>146.47</v>
      </c>
      <c r="K155" s="21">
        <v>-210.48</v>
      </c>
      <c r="L155" s="13" t="s">
        <v>349</v>
      </c>
    </row>
    <row r="156" spans="1:12" s="13" customFormat="1" ht="12.5" x14ac:dyDescent="0.25">
      <c r="A156" s="20">
        <v>201040212</v>
      </c>
      <c r="B156" s="20" t="s">
        <v>88</v>
      </c>
      <c r="C156" s="20" t="s">
        <v>104</v>
      </c>
      <c r="D156" s="20" t="s">
        <v>104</v>
      </c>
      <c r="E156" s="20">
        <f t="shared" si="2"/>
        <v>9</v>
      </c>
      <c r="F156" s="20">
        <v>9264</v>
      </c>
      <c r="G156" s="20" t="s">
        <v>279</v>
      </c>
      <c r="H156" s="21"/>
      <c r="I156" s="21">
        <v>19.64</v>
      </c>
      <c r="J156" s="21">
        <v>-19.64</v>
      </c>
      <c r="K156" s="21">
        <v>-230.12</v>
      </c>
      <c r="L156" s="13" t="s">
        <v>348</v>
      </c>
    </row>
    <row r="157" spans="1:12" s="13" customFormat="1" ht="12.5" x14ac:dyDescent="0.25">
      <c r="A157" s="20">
        <v>201040212</v>
      </c>
      <c r="B157" s="20" t="s">
        <v>88</v>
      </c>
      <c r="C157" s="20" t="s">
        <v>280</v>
      </c>
      <c r="D157" s="20" t="s">
        <v>280</v>
      </c>
      <c r="E157" s="20">
        <f t="shared" si="2"/>
        <v>10</v>
      </c>
      <c r="F157" s="20">
        <v>9353</v>
      </c>
      <c r="G157" s="20" t="s">
        <v>281</v>
      </c>
      <c r="H157" s="21"/>
      <c r="I157" s="21">
        <v>135.24</v>
      </c>
      <c r="J157" s="21">
        <v>-135.24</v>
      </c>
      <c r="K157" s="21">
        <v>-365.36</v>
      </c>
      <c r="L157" s="13" t="s">
        <v>348</v>
      </c>
    </row>
    <row r="158" spans="1:12" s="13" customFormat="1" ht="12.5" x14ac:dyDescent="0.25">
      <c r="A158" s="20">
        <v>201040212</v>
      </c>
      <c r="B158" s="20" t="s">
        <v>88</v>
      </c>
      <c r="C158" s="20" t="s">
        <v>111</v>
      </c>
      <c r="D158" s="20" t="s">
        <v>111</v>
      </c>
      <c r="E158" s="20">
        <f t="shared" si="2"/>
        <v>10</v>
      </c>
      <c r="F158" s="20">
        <v>9295</v>
      </c>
      <c r="G158" s="20" t="s">
        <v>282</v>
      </c>
      <c r="H158" s="21"/>
      <c r="I158" s="21">
        <v>4.8899999999999997</v>
      </c>
      <c r="J158" s="21">
        <v>-4.8899999999999997</v>
      </c>
      <c r="K158" s="21">
        <v>-370.25</v>
      </c>
      <c r="L158" s="13" t="s">
        <v>348</v>
      </c>
    </row>
    <row r="159" spans="1:12" s="13" customFormat="1" ht="12.5" x14ac:dyDescent="0.25">
      <c r="A159" s="20">
        <v>201040212</v>
      </c>
      <c r="B159" s="20" t="s">
        <v>88</v>
      </c>
      <c r="C159" s="20" t="s">
        <v>87</v>
      </c>
      <c r="D159" s="20" t="s">
        <v>87</v>
      </c>
      <c r="E159" s="20">
        <f t="shared" si="2"/>
        <v>10</v>
      </c>
      <c r="F159" s="20">
        <v>9425</v>
      </c>
      <c r="G159" s="20" t="s">
        <v>283</v>
      </c>
      <c r="H159" s="21">
        <v>230.12</v>
      </c>
      <c r="I159" s="21"/>
      <c r="J159" s="21">
        <v>230.12</v>
      </c>
      <c r="K159" s="21">
        <v>-140.13</v>
      </c>
      <c r="L159" s="13" t="s">
        <v>349</v>
      </c>
    </row>
    <row r="160" spans="1:12" s="13" customFormat="1" ht="12.5" x14ac:dyDescent="0.25">
      <c r="A160" s="20">
        <v>201040212</v>
      </c>
      <c r="B160" s="20" t="s">
        <v>88</v>
      </c>
      <c r="C160" s="20" t="s">
        <v>287</v>
      </c>
      <c r="D160" s="20" t="s">
        <v>287</v>
      </c>
      <c r="E160" s="20">
        <f t="shared" si="2"/>
        <v>11</v>
      </c>
      <c r="F160" s="20">
        <v>9435</v>
      </c>
      <c r="G160" s="20" t="s">
        <v>288</v>
      </c>
      <c r="H160" s="21"/>
      <c r="I160" s="21">
        <v>5.04</v>
      </c>
      <c r="J160" s="21">
        <v>-5.04</v>
      </c>
      <c r="K160" s="21">
        <v>-145.16999999999999</v>
      </c>
      <c r="L160" s="13" t="s">
        <v>348</v>
      </c>
    </row>
    <row r="161" spans="1:12" s="13" customFormat="1" ht="12.5" x14ac:dyDescent="0.25">
      <c r="A161" s="20">
        <v>201040212</v>
      </c>
      <c r="B161" s="20" t="s">
        <v>88</v>
      </c>
      <c r="C161" s="20" t="s">
        <v>287</v>
      </c>
      <c r="D161" s="20" t="s">
        <v>287</v>
      </c>
      <c r="E161" s="20">
        <f t="shared" si="2"/>
        <v>11</v>
      </c>
      <c r="F161" s="20">
        <v>9436</v>
      </c>
      <c r="G161" s="20" t="s">
        <v>289</v>
      </c>
      <c r="H161" s="21"/>
      <c r="I161" s="21">
        <v>5.04</v>
      </c>
      <c r="J161" s="21">
        <v>-5.04</v>
      </c>
      <c r="K161" s="21">
        <v>-150.21</v>
      </c>
      <c r="L161" s="13" t="s">
        <v>348</v>
      </c>
    </row>
    <row r="162" spans="1:12" s="13" customFormat="1" ht="12.5" x14ac:dyDescent="0.25">
      <c r="A162" s="20">
        <v>201040212</v>
      </c>
      <c r="B162" s="20" t="s">
        <v>88</v>
      </c>
      <c r="C162" s="20" t="s">
        <v>287</v>
      </c>
      <c r="D162" s="20" t="s">
        <v>287</v>
      </c>
      <c r="E162" s="20">
        <f t="shared" si="2"/>
        <v>11</v>
      </c>
      <c r="F162" s="20">
        <v>9437</v>
      </c>
      <c r="G162" s="20" t="s">
        <v>290</v>
      </c>
      <c r="H162" s="21"/>
      <c r="I162" s="21">
        <v>5.04</v>
      </c>
      <c r="J162" s="21">
        <v>-5.04</v>
      </c>
      <c r="K162" s="21">
        <v>-155.25</v>
      </c>
      <c r="L162" s="13" t="s">
        <v>348</v>
      </c>
    </row>
    <row r="163" spans="1:12" s="13" customFormat="1" ht="12.5" x14ac:dyDescent="0.25">
      <c r="A163" s="20">
        <v>201040212</v>
      </c>
      <c r="B163" s="20" t="s">
        <v>88</v>
      </c>
      <c r="C163" s="20" t="s">
        <v>287</v>
      </c>
      <c r="D163" s="20" t="s">
        <v>287</v>
      </c>
      <c r="E163" s="20">
        <f t="shared" si="2"/>
        <v>11</v>
      </c>
      <c r="F163" s="20">
        <v>9439</v>
      </c>
      <c r="G163" s="20" t="s">
        <v>291</v>
      </c>
      <c r="H163" s="21"/>
      <c r="I163" s="21">
        <v>16.809999999999999</v>
      </c>
      <c r="J163" s="21">
        <v>-16.809999999999999</v>
      </c>
      <c r="K163" s="21">
        <v>-172.06</v>
      </c>
      <c r="L163" s="13" t="s">
        <v>348</v>
      </c>
    </row>
    <row r="164" spans="1:12" s="13" customFormat="1" ht="12.5" x14ac:dyDescent="0.25">
      <c r="A164" s="20">
        <v>201040212</v>
      </c>
      <c r="B164" s="20" t="s">
        <v>88</v>
      </c>
      <c r="C164" s="20" t="s">
        <v>287</v>
      </c>
      <c r="D164" s="20" t="s">
        <v>287</v>
      </c>
      <c r="E164" s="20">
        <f t="shared" si="2"/>
        <v>11</v>
      </c>
      <c r="F164" s="20">
        <v>9440</v>
      </c>
      <c r="G164" s="20" t="s">
        <v>292</v>
      </c>
      <c r="H164" s="21"/>
      <c r="I164" s="21">
        <v>214.2</v>
      </c>
      <c r="J164" s="21">
        <v>-214.2</v>
      </c>
      <c r="K164" s="21">
        <v>-386.26</v>
      </c>
      <c r="L164" s="13" t="s">
        <v>348</v>
      </c>
    </row>
    <row r="165" spans="1:12" s="13" customFormat="1" ht="12.5" x14ac:dyDescent="0.25">
      <c r="A165" s="20">
        <v>201040212</v>
      </c>
      <c r="B165" s="20" t="s">
        <v>88</v>
      </c>
      <c r="C165" s="20" t="s">
        <v>293</v>
      </c>
      <c r="D165" s="20" t="s">
        <v>293</v>
      </c>
      <c r="E165" s="20">
        <f t="shared" si="2"/>
        <v>11</v>
      </c>
      <c r="F165" s="20">
        <v>9607</v>
      </c>
      <c r="G165" s="20" t="s">
        <v>294</v>
      </c>
      <c r="H165" s="21"/>
      <c r="I165" s="21">
        <v>40.299999999999997</v>
      </c>
      <c r="J165" s="21">
        <v>-40.299999999999997</v>
      </c>
      <c r="K165" s="21">
        <v>-426.56</v>
      </c>
      <c r="L165" s="13" t="s">
        <v>348</v>
      </c>
    </row>
    <row r="166" spans="1:12" s="13" customFormat="1" ht="12.5" x14ac:dyDescent="0.25">
      <c r="A166" s="20">
        <v>201040212</v>
      </c>
      <c r="B166" s="20" t="s">
        <v>88</v>
      </c>
      <c r="C166" s="20" t="s">
        <v>295</v>
      </c>
      <c r="D166" s="20" t="s">
        <v>295</v>
      </c>
      <c r="E166" s="20">
        <f t="shared" si="2"/>
        <v>11</v>
      </c>
      <c r="F166" s="20">
        <v>9452</v>
      </c>
      <c r="G166" s="20" t="s">
        <v>296</v>
      </c>
      <c r="H166" s="21"/>
      <c r="I166" s="21">
        <v>5.04</v>
      </c>
      <c r="J166" s="21">
        <v>-5.04</v>
      </c>
      <c r="K166" s="21">
        <v>-431.6</v>
      </c>
      <c r="L166" s="13" t="s">
        <v>348</v>
      </c>
    </row>
    <row r="167" spans="1:12" s="13" customFormat="1" ht="12.5" x14ac:dyDescent="0.25">
      <c r="A167" s="20">
        <v>201040212</v>
      </c>
      <c r="B167" s="20" t="s">
        <v>88</v>
      </c>
      <c r="C167" s="20" t="s">
        <v>295</v>
      </c>
      <c r="D167" s="20" t="s">
        <v>295</v>
      </c>
      <c r="E167" s="20">
        <f t="shared" si="2"/>
        <v>11</v>
      </c>
      <c r="F167" s="20">
        <v>9453</v>
      </c>
      <c r="G167" s="20" t="s">
        <v>297</v>
      </c>
      <c r="H167" s="21"/>
      <c r="I167" s="21">
        <v>6.72</v>
      </c>
      <c r="J167" s="21">
        <v>-6.72</v>
      </c>
      <c r="K167" s="21">
        <v>-438.32</v>
      </c>
      <c r="L167" s="13" t="s">
        <v>348</v>
      </c>
    </row>
    <row r="168" spans="1:12" s="13" customFormat="1" ht="12.5" x14ac:dyDescent="0.25">
      <c r="A168" s="20">
        <v>201040212</v>
      </c>
      <c r="B168" s="20" t="s">
        <v>88</v>
      </c>
      <c r="C168" s="20" t="s">
        <v>295</v>
      </c>
      <c r="D168" s="20" t="s">
        <v>295</v>
      </c>
      <c r="E168" s="20">
        <f t="shared" si="2"/>
        <v>11</v>
      </c>
      <c r="F168" s="20">
        <v>9474</v>
      </c>
      <c r="G168" s="20" t="s">
        <v>298</v>
      </c>
      <c r="H168" s="21"/>
      <c r="I168" s="21">
        <v>8.1</v>
      </c>
      <c r="J168" s="21">
        <v>-8.1</v>
      </c>
      <c r="K168" s="21">
        <v>-446.42</v>
      </c>
      <c r="L168" s="13" t="s">
        <v>348</v>
      </c>
    </row>
    <row r="169" spans="1:12" s="13" customFormat="1" ht="12.5" x14ac:dyDescent="0.25">
      <c r="A169" s="20">
        <v>201040212</v>
      </c>
      <c r="B169" s="20" t="s">
        <v>88</v>
      </c>
      <c r="C169" s="20" t="s">
        <v>299</v>
      </c>
      <c r="D169" s="20" t="s">
        <v>299</v>
      </c>
      <c r="E169" s="20">
        <f t="shared" si="2"/>
        <v>11</v>
      </c>
      <c r="F169" s="20">
        <v>9450</v>
      </c>
      <c r="G169" s="20" t="s">
        <v>300</v>
      </c>
      <c r="H169" s="21"/>
      <c r="I169" s="21">
        <v>33.6</v>
      </c>
      <c r="J169" s="21">
        <v>-33.6</v>
      </c>
      <c r="K169" s="21">
        <v>-480.02</v>
      </c>
      <c r="L169" s="13" t="s">
        <v>348</v>
      </c>
    </row>
    <row r="170" spans="1:12" s="13" customFormat="1" ht="12.5" x14ac:dyDescent="0.25">
      <c r="A170" s="20">
        <v>201040212</v>
      </c>
      <c r="B170" s="20" t="s">
        <v>88</v>
      </c>
      <c r="C170" s="20" t="s">
        <v>299</v>
      </c>
      <c r="D170" s="20" t="s">
        <v>299</v>
      </c>
      <c r="E170" s="20">
        <f t="shared" si="2"/>
        <v>11</v>
      </c>
      <c r="F170" s="20">
        <v>9518</v>
      </c>
      <c r="G170" s="20" t="s">
        <v>301</v>
      </c>
      <c r="H170" s="21"/>
      <c r="I170" s="21">
        <v>5.17</v>
      </c>
      <c r="J170" s="21">
        <v>-5.17</v>
      </c>
      <c r="K170" s="21">
        <v>-485.19</v>
      </c>
      <c r="L170" s="13" t="s">
        <v>348</v>
      </c>
    </row>
    <row r="171" spans="1:12" s="13" customFormat="1" ht="12.5" x14ac:dyDescent="0.25">
      <c r="A171" s="20">
        <v>201040212</v>
      </c>
      <c r="B171" s="20" t="s">
        <v>88</v>
      </c>
      <c r="C171" s="20" t="s">
        <v>302</v>
      </c>
      <c r="D171" s="20" t="s">
        <v>302</v>
      </c>
      <c r="E171" s="20">
        <f t="shared" si="2"/>
        <v>11</v>
      </c>
      <c r="F171" s="20">
        <v>9519</v>
      </c>
      <c r="G171" s="20" t="s">
        <v>303</v>
      </c>
      <c r="H171" s="21"/>
      <c r="I171" s="21">
        <v>5.17</v>
      </c>
      <c r="J171" s="21">
        <v>-5.17</v>
      </c>
      <c r="K171" s="21">
        <v>-490.36</v>
      </c>
      <c r="L171" s="13" t="s">
        <v>348</v>
      </c>
    </row>
    <row r="172" spans="1:12" s="13" customFormat="1" ht="12.5" x14ac:dyDescent="0.25">
      <c r="A172" s="20">
        <v>201040212</v>
      </c>
      <c r="B172" s="20" t="s">
        <v>88</v>
      </c>
      <c r="C172" s="20" t="s">
        <v>304</v>
      </c>
      <c r="D172" s="20" t="s">
        <v>304</v>
      </c>
      <c r="E172" s="20">
        <f t="shared" si="2"/>
        <v>11</v>
      </c>
      <c r="F172" s="20">
        <v>9472</v>
      </c>
      <c r="G172" s="20" t="s">
        <v>305</v>
      </c>
      <c r="H172" s="21"/>
      <c r="I172" s="21">
        <v>58.8</v>
      </c>
      <c r="J172" s="21">
        <v>-58.8</v>
      </c>
      <c r="K172" s="21">
        <v>-549.16</v>
      </c>
      <c r="L172" s="13" t="s">
        <v>348</v>
      </c>
    </row>
    <row r="173" spans="1:12" s="13" customFormat="1" ht="12.5" x14ac:dyDescent="0.25">
      <c r="A173" s="20">
        <v>201040212</v>
      </c>
      <c r="B173" s="20" t="s">
        <v>88</v>
      </c>
      <c r="C173" s="20" t="s">
        <v>304</v>
      </c>
      <c r="D173" s="20" t="s">
        <v>304</v>
      </c>
      <c r="E173" s="20">
        <f t="shared" si="2"/>
        <v>11</v>
      </c>
      <c r="F173" s="20">
        <v>9608</v>
      </c>
      <c r="G173" s="20" t="s">
        <v>306</v>
      </c>
      <c r="H173" s="21"/>
      <c r="I173" s="21">
        <v>6.97</v>
      </c>
      <c r="J173" s="21">
        <v>-6.97</v>
      </c>
      <c r="K173" s="21">
        <v>-556.13</v>
      </c>
      <c r="L173" s="13" t="s">
        <v>348</v>
      </c>
    </row>
    <row r="174" spans="1:12" s="13" customFormat="1" ht="12.5" x14ac:dyDescent="0.25">
      <c r="A174" s="20">
        <v>201040212</v>
      </c>
      <c r="B174" s="20" t="s">
        <v>88</v>
      </c>
      <c r="C174" s="20" t="s">
        <v>304</v>
      </c>
      <c r="D174" s="20" t="s">
        <v>304</v>
      </c>
      <c r="E174" s="20">
        <f t="shared" si="2"/>
        <v>11</v>
      </c>
      <c r="F174" s="20">
        <v>9609</v>
      </c>
      <c r="G174" s="20" t="s">
        <v>307</v>
      </c>
      <c r="H174" s="21"/>
      <c r="I174" s="21">
        <v>4.05</v>
      </c>
      <c r="J174" s="21">
        <v>-4.05</v>
      </c>
      <c r="K174" s="21">
        <v>-560.17999999999995</v>
      </c>
      <c r="L174" s="13" t="s">
        <v>348</v>
      </c>
    </row>
    <row r="175" spans="1:12" s="13" customFormat="1" ht="12.5" x14ac:dyDescent="0.25">
      <c r="A175" s="20">
        <v>201040212</v>
      </c>
      <c r="B175" s="20" t="s">
        <v>88</v>
      </c>
      <c r="C175" s="20" t="s">
        <v>308</v>
      </c>
      <c r="D175" s="20" t="s">
        <v>308</v>
      </c>
      <c r="E175" s="20">
        <f t="shared" si="2"/>
        <v>11</v>
      </c>
      <c r="F175" s="20">
        <v>9517</v>
      </c>
      <c r="G175" s="20" t="s">
        <v>309</v>
      </c>
      <c r="H175" s="21"/>
      <c r="I175" s="21">
        <v>57.96</v>
      </c>
      <c r="J175" s="21">
        <v>-57.96</v>
      </c>
      <c r="K175" s="21">
        <v>-618.14</v>
      </c>
      <c r="L175" s="13" t="s">
        <v>348</v>
      </c>
    </row>
    <row r="176" spans="1:12" s="13" customFormat="1" ht="12.5" x14ac:dyDescent="0.25">
      <c r="A176" s="20">
        <v>201040212</v>
      </c>
      <c r="B176" s="20" t="s">
        <v>88</v>
      </c>
      <c r="C176" s="20" t="s">
        <v>310</v>
      </c>
      <c r="D176" s="20" t="s">
        <v>311</v>
      </c>
      <c r="E176" s="20">
        <f t="shared" si="2"/>
        <v>11</v>
      </c>
      <c r="F176" s="20">
        <v>9610</v>
      </c>
      <c r="G176" s="20" t="s">
        <v>312</v>
      </c>
      <c r="H176" s="21"/>
      <c r="I176" s="21">
        <v>25.26</v>
      </c>
      <c r="J176" s="21">
        <v>-25.26</v>
      </c>
      <c r="K176" s="21">
        <v>-643.4</v>
      </c>
      <c r="L176" s="13" t="s">
        <v>348</v>
      </c>
    </row>
    <row r="177" spans="1:12" s="13" customFormat="1" ht="12.5" x14ac:dyDescent="0.25">
      <c r="A177" s="20">
        <v>201040212</v>
      </c>
      <c r="B177" s="20" t="s">
        <v>88</v>
      </c>
      <c r="C177" s="20" t="s">
        <v>310</v>
      </c>
      <c r="D177" s="20" t="s">
        <v>313</v>
      </c>
      <c r="E177" s="20">
        <f t="shared" si="2"/>
        <v>11</v>
      </c>
      <c r="F177" s="20">
        <v>9611</v>
      </c>
      <c r="G177" s="20" t="s">
        <v>314</v>
      </c>
      <c r="H177" s="21"/>
      <c r="I177" s="21">
        <v>6.62</v>
      </c>
      <c r="J177" s="21">
        <v>-6.62</v>
      </c>
      <c r="K177" s="21">
        <v>-650.02</v>
      </c>
      <c r="L177" s="13" t="s">
        <v>348</v>
      </c>
    </row>
    <row r="178" spans="1:12" s="13" customFormat="1" ht="12.5" x14ac:dyDescent="0.25">
      <c r="A178" s="20">
        <v>201040212</v>
      </c>
      <c r="B178" s="20" t="s">
        <v>88</v>
      </c>
      <c r="C178" s="20" t="s">
        <v>310</v>
      </c>
      <c r="D178" s="20" t="s">
        <v>310</v>
      </c>
      <c r="E178" s="20">
        <f t="shared" si="2"/>
        <v>11</v>
      </c>
      <c r="F178" s="20">
        <v>9588</v>
      </c>
      <c r="G178" s="20" t="s">
        <v>315</v>
      </c>
      <c r="H178" s="21">
        <v>140.13</v>
      </c>
      <c r="I178" s="21"/>
      <c r="J178" s="21">
        <v>140.13</v>
      </c>
      <c r="K178" s="21">
        <v>-509.89</v>
      </c>
      <c r="L178" s="13" t="s">
        <v>349</v>
      </c>
    </row>
    <row r="179" spans="1:12" s="13" customFormat="1" ht="12.5" x14ac:dyDescent="0.25">
      <c r="A179" s="20">
        <v>201040212</v>
      </c>
      <c r="B179" s="20" t="s">
        <v>88</v>
      </c>
      <c r="C179" s="20" t="s">
        <v>310</v>
      </c>
      <c r="D179" s="20" t="s">
        <v>310</v>
      </c>
      <c r="E179" s="20">
        <f t="shared" si="2"/>
        <v>11</v>
      </c>
      <c r="F179" s="20">
        <v>9612</v>
      </c>
      <c r="G179" s="20" t="s">
        <v>316</v>
      </c>
      <c r="H179" s="21"/>
      <c r="I179" s="21">
        <v>21.02</v>
      </c>
      <c r="J179" s="21">
        <v>-21.02</v>
      </c>
      <c r="K179" s="21">
        <v>-530.91</v>
      </c>
      <c r="L179" s="13" t="s">
        <v>348</v>
      </c>
    </row>
    <row r="180" spans="1:12" s="13" customFormat="1" ht="12.5" x14ac:dyDescent="0.25">
      <c r="A180" s="20">
        <v>201040212</v>
      </c>
      <c r="B180" s="20" t="s">
        <v>88</v>
      </c>
      <c r="C180" s="20" t="s">
        <v>317</v>
      </c>
      <c r="D180" s="20" t="s">
        <v>317</v>
      </c>
      <c r="E180" s="20">
        <f t="shared" si="2"/>
        <v>11</v>
      </c>
      <c r="F180" s="20">
        <v>9530</v>
      </c>
      <c r="G180" s="20" t="s">
        <v>318</v>
      </c>
      <c r="H180" s="21"/>
      <c r="I180" s="21">
        <v>5.04</v>
      </c>
      <c r="J180" s="21">
        <v>-5.04</v>
      </c>
      <c r="K180" s="21">
        <v>-535.95000000000005</v>
      </c>
      <c r="L180" s="13" t="s">
        <v>348</v>
      </c>
    </row>
    <row r="181" spans="1:12" s="13" customFormat="1" ht="12.5" x14ac:dyDescent="0.25">
      <c r="A181" s="20">
        <v>201040212</v>
      </c>
      <c r="B181" s="20" t="s">
        <v>88</v>
      </c>
      <c r="C181" s="20" t="s">
        <v>317</v>
      </c>
      <c r="D181" s="20" t="s">
        <v>317</v>
      </c>
      <c r="E181" s="20">
        <f t="shared" si="2"/>
        <v>11</v>
      </c>
      <c r="F181" s="20">
        <v>9532</v>
      </c>
      <c r="G181" s="20" t="s">
        <v>319</v>
      </c>
      <c r="H181" s="21"/>
      <c r="I181" s="21">
        <v>53.76</v>
      </c>
      <c r="J181" s="21">
        <v>-53.76</v>
      </c>
      <c r="K181" s="21">
        <v>-589.71</v>
      </c>
      <c r="L181" s="13" t="s">
        <v>348</v>
      </c>
    </row>
    <row r="182" spans="1:12" s="13" customFormat="1" ht="12.5" x14ac:dyDescent="0.25">
      <c r="A182" s="20">
        <v>201040212</v>
      </c>
      <c r="B182" s="20" t="s">
        <v>88</v>
      </c>
      <c r="C182" s="20" t="s">
        <v>317</v>
      </c>
      <c r="D182" s="20" t="s">
        <v>317</v>
      </c>
      <c r="E182" s="20">
        <f t="shared" si="2"/>
        <v>11</v>
      </c>
      <c r="F182" s="20">
        <v>9538</v>
      </c>
      <c r="G182" s="20" t="s">
        <v>320</v>
      </c>
      <c r="H182" s="21"/>
      <c r="I182" s="21">
        <v>6.72</v>
      </c>
      <c r="J182" s="21">
        <v>-6.72</v>
      </c>
      <c r="K182" s="21">
        <v>-596.42999999999995</v>
      </c>
      <c r="L182" s="13" t="s">
        <v>348</v>
      </c>
    </row>
    <row r="183" spans="1:12" s="13" customFormat="1" ht="12.5" x14ac:dyDescent="0.25">
      <c r="A183" s="20">
        <v>201040212</v>
      </c>
      <c r="B183" s="20" t="s">
        <v>88</v>
      </c>
      <c r="C183" s="20" t="s">
        <v>317</v>
      </c>
      <c r="D183" s="20" t="s">
        <v>317</v>
      </c>
      <c r="E183" s="20">
        <f t="shared" si="2"/>
        <v>11</v>
      </c>
      <c r="F183" s="20">
        <v>9539</v>
      </c>
      <c r="G183" s="20" t="s">
        <v>321</v>
      </c>
      <c r="H183" s="21"/>
      <c r="I183" s="21">
        <v>5.04</v>
      </c>
      <c r="J183" s="21">
        <v>-5.04</v>
      </c>
      <c r="K183" s="21">
        <v>-601.47</v>
      </c>
      <c r="L183" s="13" t="s">
        <v>348</v>
      </c>
    </row>
    <row r="184" spans="1:12" s="13" customFormat="1" ht="12.5" x14ac:dyDescent="0.25">
      <c r="A184" s="20">
        <v>201040212</v>
      </c>
      <c r="B184" s="20" t="s">
        <v>88</v>
      </c>
      <c r="C184" s="20" t="s">
        <v>322</v>
      </c>
      <c r="D184" s="20" t="s">
        <v>322</v>
      </c>
      <c r="E184" s="20">
        <f t="shared" si="2"/>
        <v>12</v>
      </c>
      <c r="F184" s="20">
        <v>9613</v>
      </c>
      <c r="G184" s="20" t="s">
        <v>323</v>
      </c>
      <c r="H184" s="21"/>
      <c r="I184" s="21">
        <v>13.48</v>
      </c>
      <c r="J184" s="21">
        <v>-13.48</v>
      </c>
      <c r="K184" s="21">
        <v>-614.95000000000005</v>
      </c>
      <c r="L184" s="13" t="s">
        <v>348</v>
      </c>
    </row>
    <row r="185" spans="1:12" s="13" customFormat="1" ht="12.5" x14ac:dyDescent="0.25">
      <c r="A185" s="20">
        <v>201040212</v>
      </c>
      <c r="B185" s="20" t="s">
        <v>88</v>
      </c>
      <c r="C185" s="20" t="s">
        <v>322</v>
      </c>
      <c r="D185" s="20" t="s">
        <v>322</v>
      </c>
      <c r="E185" s="20">
        <f t="shared" si="2"/>
        <v>12</v>
      </c>
      <c r="F185" s="20">
        <v>9615</v>
      </c>
      <c r="G185" s="20" t="s">
        <v>324</v>
      </c>
      <c r="H185" s="21"/>
      <c r="I185" s="21">
        <v>214.2</v>
      </c>
      <c r="J185" s="21">
        <v>-214.2</v>
      </c>
      <c r="K185" s="21">
        <v>-829.15</v>
      </c>
      <c r="L185" s="13" t="s">
        <v>348</v>
      </c>
    </row>
    <row r="186" spans="1:12" s="13" customFormat="1" ht="12.5" x14ac:dyDescent="0.25">
      <c r="A186" s="20">
        <v>201040212</v>
      </c>
      <c r="B186" s="20" t="s">
        <v>88</v>
      </c>
      <c r="C186" s="20" t="s">
        <v>322</v>
      </c>
      <c r="D186" s="20" t="s">
        <v>322</v>
      </c>
      <c r="E186" s="20">
        <f t="shared" si="2"/>
        <v>12</v>
      </c>
      <c r="F186" s="20">
        <v>9647</v>
      </c>
      <c r="G186" s="20" t="s">
        <v>325</v>
      </c>
      <c r="H186" s="21"/>
      <c r="I186" s="21">
        <v>1.1499999999999999</v>
      </c>
      <c r="J186" s="21">
        <v>-1.1499999999999999</v>
      </c>
      <c r="K186" s="21">
        <v>-830.3</v>
      </c>
      <c r="L186" s="13" t="s">
        <v>348</v>
      </c>
    </row>
    <row r="187" spans="1:12" s="13" customFormat="1" ht="12.5" x14ac:dyDescent="0.25">
      <c r="A187" s="20">
        <v>201040212</v>
      </c>
      <c r="B187" s="20" t="s">
        <v>88</v>
      </c>
      <c r="C187" s="20" t="s">
        <v>326</v>
      </c>
      <c r="D187" s="20" t="s">
        <v>326</v>
      </c>
      <c r="E187" s="20">
        <f t="shared" si="2"/>
        <v>12</v>
      </c>
      <c r="F187" s="20">
        <v>9614</v>
      </c>
      <c r="G187" s="20" t="s">
        <v>327</v>
      </c>
      <c r="H187" s="21"/>
      <c r="I187" s="21">
        <v>5.62</v>
      </c>
      <c r="J187" s="21">
        <v>-5.62</v>
      </c>
      <c r="K187" s="21">
        <v>-835.92</v>
      </c>
      <c r="L187" s="13" t="s">
        <v>348</v>
      </c>
    </row>
    <row r="188" spans="1:12" s="13" customFormat="1" ht="12.5" x14ac:dyDescent="0.25">
      <c r="A188" s="20">
        <v>201040212</v>
      </c>
      <c r="B188" s="20" t="s">
        <v>88</v>
      </c>
      <c r="C188" s="20" t="s">
        <v>326</v>
      </c>
      <c r="D188" s="20" t="s">
        <v>326</v>
      </c>
      <c r="E188" s="20">
        <f t="shared" si="2"/>
        <v>12</v>
      </c>
      <c r="F188" s="20">
        <v>9616</v>
      </c>
      <c r="G188" s="20" t="s">
        <v>328</v>
      </c>
      <c r="H188" s="21"/>
      <c r="I188" s="21">
        <v>50.6</v>
      </c>
      <c r="J188" s="21">
        <v>-50.6</v>
      </c>
      <c r="K188" s="21">
        <v>-886.52</v>
      </c>
      <c r="L188" s="13" t="s">
        <v>348</v>
      </c>
    </row>
    <row r="189" spans="1:12" s="13" customFormat="1" ht="12.5" x14ac:dyDescent="0.25">
      <c r="A189" s="20">
        <v>201040212</v>
      </c>
      <c r="B189" s="20" t="s">
        <v>88</v>
      </c>
      <c r="C189" s="20" t="s">
        <v>326</v>
      </c>
      <c r="D189" s="20" t="s">
        <v>326</v>
      </c>
      <c r="E189" s="20">
        <f t="shared" si="2"/>
        <v>12</v>
      </c>
      <c r="F189" s="20">
        <v>9643</v>
      </c>
      <c r="G189" s="20" t="s">
        <v>329</v>
      </c>
      <c r="H189" s="21"/>
      <c r="I189" s="21">
        <v>5.17</v>
      </c>
      <c r="J189" s="21">
        <v>-5.17</v>
      </c>
      <c r="K189" s="21">
        <v>-891.69</v>
      </c>
      <c r="L189" s="13" t="s">
        <v>348</v>
      </c>
    </row>
    <row r="190" spans="1:12" s="13" customFormat="1" ht="12.5" x14ac:dyDescent="0.25">
      <c r="A190" s="20">
        <v>201040212</v>
      </c>
      <c r="B190" s="20" t="s">
        <v>88</v>
      </c>
      <c r="C190" s="20" t="s">
        <v>330</v>
      </c>
      <c r="D190" s="20" t="s">
        <v>330</v>
      </c>
      <c r="E190" s="20">
        <f t="shared" si="2"/>
        <v>12</v>
      </c>
      <c r="F190" s="20">
        <v>9742</v>
      </c>
      <c r="G190" s="20" t="s">
        <v>331</v>
      </c>
      <c r="H190" s="21"/>
      <c r="I190" s="21">
        <v>44.39</v>
      </c>
      <c r="J190" s="21">
        <v>-44.39</v>
      </c>
      <c r="K190" s="21">
        <v>-936.08</v>
      </c>
      <c r="L190" s="13" t="s">
        <v>348</v>
      </c>
    </row>
    <row r="191" spans="1:12" s="13" customFormat="1" ht="12.5" x14ac:dyDescent="0.25">
      <c r="A191" s="20">
        <v>201040212</v>
      </c>
      <c r="B191" s="20" t="s">
        <v>88</v>
      </c>
      <c r="C191" s="20" t="s">
        <v>332</v>
      </c>
      <c r="D191" s="20" t="s">
        <v>332</v>
      </c>
      <c r="E191" s="20">
        <f t="shared" si="2"/>
        <v>12</v>
      </c>
      <c r="F191" s="20">
        <v>9682</v>
      </c>
      <c r="G191" s="20" t="s">
        <v>333</v>
      </c>
      <c r="H191" s="21"/>
      <c r="I191" s="21">
        <v>33.6</v>
      </c>
      <c r="J191" s="21">
        <v>-33.6</v>
      </c>
      <c r="K191" s="21">
        <v>-969.68</v>
      </c>
      <c r="L191" s="13" t="s">
        <v>348</v>
      </c>
    </row>
    <row r="192" spans="1:12" s="13" customFormat="1" ht="12.5" x14ac:dyDescent="0.25">
      <c r="A192" s="20">
        <v>201040212</v>
      </c>
      <c r="B192" s="20" t="s">
        <v>88</v>
      </c>
      <c r="C192" s="20" t="s">
        <v>334</v>
      </c>
      <c r="D192" s="20" t="s">
        <v>334</v>
      </c>
      <c r="E192" s="20">
        <f t="shared" si="2"/>
        <v>12</v>
      </c>
      <c r="F192" s="20">
        <v>9714</v>
      </c>
      <c r="G192" s="20" t="s">
        <v>335</v>
      </c>
      <c r="H192" s="21"/>
      <c r="I192" s="21">
        <v>20.16</v>
      </c>
      <c r="J192" s="21">
        <v>-20.16</v>
      </c>
      <c r="K192" s="21">
        <v>-989.84</v>
      </c>
      <c r="L192" s="13" t="s">
        <v>348</v>
      </c>
    </row>
    <row r="193" spans="1:12" s="13" customFormat="1" ht="12.5" x14ac:dyDescent="0.25">
      <c r="A193" s="20">
        <v>201040212</v>
      </c>
      <c r="B193" s="20" t="s">
        <v>88</v>
      </c>
      <c r="C193" s="20" t="s">
        <v>334</v>
      </c>
      <c r="D193" s="20" t="s">
        <v>334</v>
      </c>
      <c r="E193" s="20">
        <f t="shared" si="2"/>
        <v>12</v>
      </c>
      <c r="F193" s="20">
        <v>9726</v>
      </c>
      <c r="G193" s="20" t="s">
        <v>336</v>
      </c>
      <c r="H193" s="21">
        <v>601.47</v>
      </c>
      <c r="I193" s="21"/>
      <c r="J193" s="21">
        <v>601.47</v>
      </c>
      <c r="K193" s="21">
        <v>-388.37</v>
      </c>
      <c r="L193" s="13" t="s">
        <v>349</v>
      </c>
    </row>
    <row r="194" spans="1:12" s="13" customFormat="1" ht="12.5" x14ac:dyDescent="0.25">
      <c r="A194" s="20">
        <v>201040212</v>
      </c>
      <c r="B194" s="20" t="s">
        <v>88</v>
      </c>
      <c r="C194" s="20" t="s">
        <v>334</v>
      </c>
      <c r="D194" s="20" t="s">
        <v>334</v>
      </c>
      <c r="E194" s="20">
        <f t="shared" si="2"/>
        <v>12</v>
      </c>
      <c r="F194" s="20">
        <v>9743</v>
      </c>
      <c r="G194" s="20" t="s">
        <v>337</v>
      </c>
      <c r="H194" s="21"/>
      <c r="I194" s="21">
        <v>56.97</v>
      </c>
      <c r="J194" s="21">
        <v>-56.97</v>
      </c>
      <c r="K194" s="21">
        <v>-445.34</v>
      </c>
      <c r="L194" s="13" t="s">
        <v>348</v>
      </c>
    </row>
    <row r="195" spans="1:12" s="13" customFormat="1" ht="12.5" x14ac:dyDescent="0.25">
      <c r="A195" s="20">
        <v>201040212</v>
      </c>
      <c r="B195" s="20" t="s">
        <v>88</v>
      </c>
      <c r="C195" s="20" t="s">
        <v>338</v>
      </c>
      <c r="D195" s="20" t="s">
        <v>338</v>
      </c>
      <c r="E195" s="20">
        <f t="shared" ref="E195:E201" si="3">MONTH(D195)</f>
        <v>12</v>
      </c>
      <c r="F195" s="20">
        <v>9698</v>
      </c>
      <c r="G195" s="20" t="s">
        <v>339</v>
      </c>
      <c r="H195" s="21"/>
      <c r="I195" s="21">
        <v>42.34</v>
      </c>
      <c r="J195" s="21">
        <v>-42.34</v>
      </c>
      <c r="K195" s="21">
        <v>-487.68</v>
      </c>
      <c r="L195" s="13" t="s">
        <v>348</v>
      </c>
    </row>
    <row r="196" spans="1:12" s="13" customFormat="1" ht="12.5" x14ac:dyDescent="0.25">
      <c r="A196" s="20">
        <v>201040212</v>
      </c>
      <c r="B196" s="20" t="s">
        <v>88</v>
      </c>
      <c r="C196" s="20" t="s">
        <v>338</v>
      </c>
      <c r="D196" s="20" t="s">
        <v>338</v>
      </c>
      <c r="E196" s="20">
        <f t="shared" si="3"/>
        <v>12</v>
      </c>
      <c r="F196" s="20">
        <v>9744</v>
      </c>
      <c r="G196" s="20" t="s">
        <v>340</v>
      </c>
      <c r="H196" s="21"/>
      <c r="I196" s="21">
        <v>57.69</v>
      </c>
      <c r="J196" s="21">
        <v>-57.69</v>
      </c>
      <c r="K196" s="21">
        <v>-545.37</v>
      </c>
      <c r="L196" s="13" t="s">
        <v>348</v>
      </c>
    </row>
    <row r="197" spans="1:12" s="13" customFormat="1" ht="12.5" x14ac:dyDescent="0.25">
      <c r="A197" s="20">
        <v>201040212</v>
      </c>
      <c r="B197" s="20" t="s">
        <v>88</v>
      </c>
      <c r="C197" s="20" t="s">
        <v>341</v>
      </c>
      <c r="D197" s="20" t="s">
        <v>341</v>
      </c>
      <c r="E197" s="20">
        <f t="shared" si="3"/>
        <v>12</v>
      </c>
      <c r="F197" s="20">
        <v>9745</v>
      </c>
      <c r="G197" s="20" t="s">
        <v>342</v>
      </c>
      <c r="H197" s="21"/>
      <c r="I197" s="21">
        <v>58.07</v>
      </c>
      <c r="J197" s="21">
        <v>-58.07</v>
      </c>
      <c r="K197" s="21">
        <v>-603.44000000000005</v>
      </c>
      <c r="L197" s="13" t="s">
        <v>348</v>
      </c>
    </row>
    <row r="198" spans="1:12" s="13" customFormat="1" ht="12.5" x14ac:dyDescent="0.25">
      <c r="A198" s="20">
        <v>201040213</v>
      </c>
      <c r="B198" s="20"/>
      <c r="C198" s="20">
        <v>2021</v>
      </c>
      <c r="D198" s="20" t="s">
        <v>69</v>
      </c>
      <c r="E198" s="20"/>
      <c r="F198" s="20"/>
      <c r="G198" s="20" t="s">
        <v>105</v>
      </c>
      <c r="H198" s="21"/>
      <c r="I198" s="21"/>
      <c r="J198" s="21">
        <v>0</v>
      </c>
      <c r="K198" s="21">
        <v>0</v>
      </c>
      <c r="L198" s="13" t="s">
        <v>350</v>
      </c>
    </row>
    <row r="199" spans="1:12" s="13" customFormat="1" ht="12.5" x14ac:dyDescent="0.25">
      <c r="A199" s="20">
        <v>201040213</v>
      </c>
      <c r="B199" s="20" t="s">
        <v>105</v>
      </c>
      <c r="C199" s="20" t="s">
        <v>284</v>
      </c>
      <c r="D199" s="20" t="s">
        <v>284</v>
      </c>
      <c r="E199" s="20">
        <f t="shared" si="3"/>
        <v>9</v>
      </c>
      <c r="F199" s="20">
        <v>9172</v>
      </c>
      <c r="G199" s="20" t="s">
        <v>285</v>
      </c>
      <c r="H199" s="21"/>
      <c r="I199" s="21">
        <v>7.03</v>
      </c>
      <c r="J199" s="21">
        <v>-7.03</v>
      </c>
      <c r="K199" s="21">
        <v>-7.03</v>
      </c>
      <c r="L199" s="13" t="s">
        <v>348</v>
      </c>
    </row>
    <row r="200" spans="1:12" s="13" customFormat="1" ht="12.5" x14ac:dyDescent="0.25">
      <c r="A200" s="20">
        <v>201040213</v>
      </c>
      <c r="B200" s="20" t="s">
        <v>105</v>
      </c>
      <c r="C200" s="20" t="s">
        <v>87</v>
      </c>
      <c r="D200" s="20" t="s">
        <v>87</v>
      </c>
      <c r="E200" s="20">
        <f t="shared" si="3"/>
        <v>10</v>
      </c>
      <c r="F200" s="20">
        <v>9425</v>
      </c>
      <c r="G200" s="20" t="s">
        <v>283</v>
      </c>
      <c r="H200" s="21">
        <v>7.03</v>
      </c>
      <c r="I200" s="21"/>
      <c r="J200" s="21">
        <v>7.03</v>
      </c>
      <c r="K200" s="21">
        <v>0</v>
      </c>
      <c r="L200" s="13" t="s">
        <v>349</v>
      </c>
    </row>
    <row r="201" spans="1:12" s="13" customFormat="1" ht="12.5" x14ac:dyDescent="0.25">
      <c r="A201" s="20">
        <v>201040213</v>
      </c>
      <c r="B201" s="20" t="s">
        <v>105</v>
      </c>
      <c r="C201" s="20" t="s">
        <v>345</v>
      </c>
      <c r="D201" s="20" t="s">
        <v>345</v>
      </c>
      <c r="E201" s="20">
        <f t="shared" si="3"/>
        <v>12</v>
      </c>
      <c r="F201" s="20">
        <v>9686</v>
      </c>
      <c r="G201" s="20" t="s">
        <v>346</v>
      </c>
      <c r="H201" s="21"/>
      <c r="I201" s="21">
        <v>420</v>
      </c>
      <c r="J201" s="21">
        <v>-420</v>
      </c>
      <c r="K201" s="21">
        <v>-420</v>
      </c>
      <c r="L201" s="13" t="s">
        <v>348</v>
      </c>
    </row>
    <row r="203" spans="1:12" x14ac:dyDescent="0.35">
      <c r="B203" s="1" t="s">
        <v>351</v>
      </c>
      <c r="C203" t="s">
        <v>348</v>
      </c>
    </row>
    <row r="205" spans="1:12" x14ac:dyDescent="0.35">
      <c r="B205" s="1" t="s">
        <v>112</v>
      </c>
      <c r="C205" s="1" t="s">
        <v>64</v>
      </c>
      <c r="D205" s="1" t="s">
        <v>59</v>
      </c>
    </row>
    <row r="206" spans="1:12" x14ac:dyDescent="0.35">
      <c r="C206">
        <v>201040211</v>
      </c>
      <c r="D206">
        <v>201040212</v>
      </c>
      <c r="E206">
        <v>201040213</v>
      </c>
      <c r="F206" t="s">
        <v>3</v>
      </c>
    </row>
    <row r="207" spans="1:12" x14ac:dyDescent="0.35">
      <c r="B207" s="1" t="s">
        <v>347</v>
      </c>
      <c r="C207" t="s">
        <v>70</v>
      </c>
      <c r="D207" t="s">
        <v>88</v>
      </c>
      <c r="E207" t="s">
        <v>105</v>
      </c>
    </row>
    <row r="208" spans="1:12" x14ac:dyDescent="0.35">
      <c r="B208">
        <v>1</v>
      </c>
      <c r="C208" s="2"/>
      <c r="D208" s="2">
        <v>-273.20000000000005</v>
      </c>
      <c r="E208" s="2"/>
      <c r="F208" s="2">
        <v>-273.20000000000005</v>
      </c>
    </row>
    <row r="209" spans="2:6" x14ac:dyDescent="0.35">
      <c r="B209">
        <v>2</v>
      </c>
      <c r="C209" s="2">
        <v>-24.11</v>
      </c>
      <c r="D209" s="2">
        <v>-661.29000000000019</v>
      </c>
      <c r="E209" s="2"/>
      <c r="F209" s="2">
        <v>-685.4000000000002</v>
      </c>
    </row>
    <row r="210" spans="2:6" x14ac:dyDescent="0.35">
      <c r="B210">
        <v>3</v>
      </c>
      <c r="C210" s="2"/>
      <c r="D210" s="2">
        <v>-405.95</v>
      </c>
      <c r="E210" s="2"/>
      <c r="F210" s="2">
        <v>-405.95</v>
      </c>
    </row>
    <row r="211" spans="2:6" x14ac:dyDescent="0.35">
      <c r="B211">
        <v>4</v>
      </c>
      <c r="C211" s="2"/>
      <c r="D211" s="2">
        <v>-496.0100000000001</v>
      </c>
      <c r="E211" s="2"/>
      <c r="F211" s="2">
        <v>-496.0100000000001</v>
      </c>
    </row>
    <row r="212" spans="2:6" x14ac:dyDescent="0.35">
      <c r="B212">
        <v>5</v>
      </c>
      <c r="C212" s="2">
        <v>-12.5</v>
      </c>
      <c r="D212" s="2">
        <v>-1554.0499999999997</v>
      </c>
      <c r="E212" s="2"/>
      <c r="F212" s="2">
        <v>-1566.5499999999997</v>
      </c>
    </row>
    <row r="213" spans="2:6" x14ac:dyDescent="0.35">
      <c r="B213">
        <v>6</v>
      </c>
      <c r="C213" s="2"/>
      <c r="D213" s="2">
        <v>-492.95000000000005</v>
      </c>
      <c r="E213" s="2"/>
      <c r="F213" s="2">
        <v>-492.95000000000005</v>
      </c>
    </row>
    <row r="214" spans="2:6" x14ac:dyDescent="0.35">
      <c r="B214">
        <v>7</v>
      </c>
      <c r="C214" s="2"/>
      <c r="D214" s="2">
        <v>-1810.1699999999994</v>
      </c>
      <c r="E214" s="2"/>
      <c r="F214" s="2">
        <v>-1810.1699999999994</v>
      </c>
    </row>
    <row r="215" spans="2:6" x14ac:dyDescent="0.35">
      <c r="B215">
        <v>8</v>
      </c>
      <c r="C215" s="2"/>
      <c r="D215" s="2">
        <v>-146.46999999999997</v>
      </c>
      <c r="E215" s="2"/>
      <c r="F215" s="2">
        <v>-146.46999999999997</v>
      </c>
    </row>
    <row r="216" spans="2:6" x14ac:dyDescent="0.35">
      <c r="B216">
        <v>9</v>
      </c>
      <c r="C216" s="2"/>
      <c r="D216" s="2">
        <v>-230.12000000000006</v>
      </c>
      <c r="E216" s="2">
        <v>-7.03</v>
      </c>
      <c r="F216" s="2">
        <v>-237.15000000000006</v>
      </c>
    </row>
    <row r="217" spans="2:6" x14ac:dyDescent="0.35">
      <c r="B217">
        <v>10</v>
      </c>
      <c r="C217" s="2"/>
      <c r="D217" s="2">
        <v>-140.13</v>
      </c>
      <c r="E217" s="2"/>
      <c r="F217" s="2">
        <v>-140.13</v>
      </c>
    </row>
    <row r="218" spans="2:6" x14ac:dyDescent="0.35">
      <c r="B218">
        <v>11</v>
      </c>
      <c r="C218" s="2">
        <v>-19.21</v>
      </c>
      <c r="D218" s="2">
        <v>-601.47</v>
      </c>
      <c r="E218" s="2"/>
      <c r="F218" s="2">
        <v>-620.68000000000006</v>
      </c>
    </row>
    <row r="219" spans="2:6" x14ac:dyDescent="0.35">
      <c r="B219">
        <v>12</v>
      </c>
      <c r="C219" s="2"/>
      <c r="D219" s="2">
        <v>-603.44000000000005</v>
      </c>
      <c r="E219" s="2">
        <v>-420</v>
      </c>
      <c r="F219" s="2">
        <v>-1023.44</v>
      </c>
    </row>
    <row r="220" spans="2:6" x14ac:dyDescent="0.35">
      <c r="B220" t="s">
        <v>3</v>
      </c>
      <c r="C220" s="2">
        <v>-55.82</v>
      </c>
      <c r="D220" s="2">
        <v>-7415.25</v>
      </c>
      <c r="E220" s="2">
        <v>-427.03</v>
      </c>
      <c r="F220" s="2">
        <v>-7898.1</v>
      </c>
    </row>
  </sheetData>
  <autoFilter ref="A1:J201" xr:uid="{2C650E29-26BD-4DC6-B6B4-C256597F497B}"/>
  <pageMargins left="0.7" right="0.7" top="0.75" bottom="0.75" header="0.3" footer="0.3"/>
  <pageSetup paperSize="9" orientation="portrait" horizontalDpi="30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324.03</vt:lpstr>
      <vt:lpstr>Base de compras</vt:lpstr>
      <vt:lpstr>Base de retenciones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2021-09-13T17:51:55Z</cp:lastPrinted>
  <dcterms:created xsi:type="dcterms:W3CDTF">2019-11-07T15:52:46Z</dcterms:created>
  <dcterms:modified xsi:type="dcterms:W3CDTF">2026-04-17T03:36:49Z</dcterms:modified>
</cp:coreProperties>
</file>